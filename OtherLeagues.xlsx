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9fb27646cb5ea21/Excel Files/"/>
    </mc:Choice>
  </mc:AlternateContent>
  <xr:revisionPtr revIDLastSave="579" documentId="8_{595D2767-5E65-418A-8CBF-B9F1CB0B6B8F}" xr6:coauthVersionLast="47" xr6:coauthVersionMax="47" xr10:uidLastSave="{6D0CDDB1-70C9-4760-AD90-26E90F0D0076}"/>
  <bookViews>
    <workbookView xWindow="5400" yWindow="315" windowWidth="33840" windowHeight="16680" activeTab="6" xr2:uid="{0A162ED7-1454-46DB-B884-8A00FDA340E5}"/>
  </bookViews>
  <sheets>
    <sheet name="IPL Table" sheetId="1" r:id="rId1"/>
    <sheet name="IPL Playoff Matches" sheetId="2" r:id="rId2"/>
    <sheet name="Euroleague Table" sheetId="3" r:id="rId3"/>
    <sheet name="Women's Club Football" sheetId="5" r:id="rId4"/>
    <sheet name="WNBA" sheetId="6" r:id="rId5"/>
    <sheet name="Team Valuations" sheetId="8" r:id="rId6"/>
    <sheet name="FACup-LgCup SF" sheetId="9" r:id="rId7"/>
  </sheets>
  <definedNames>
    <definedName name="_xlnm._FilterDatabase" localSheetId="2" hidden="1">'Euroleague Table'!$A$1:$S$1048</definedName>
    <definedName name="_xlnm._FilterDatabase" localSheetId="6" hidden="1">'FACup-LgCup SF'!$A$1:$CB$1715</definedName>
    <definedName name="_xlnm._FilterDatabase" localSheetId="0" hidden="1">'IPL Table'!$A$1:$N$167</definedName>
    <definedName name="_xlnm._FilterDatabase" localSheetId="5" hidden="1">'Team Valuations'!$A$1:$E$188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B1667" i="9" l="1"/>
  <c r="CB1668" i="9"/>
  <c r="CB1669" i="9"/>
  <c r="CB1670" i="9"/>
  <c r="CB1671" i="9"/>
  <c r="CB1672" i="9"/>
  <c r="CB1673" i="9"/>
  <c r="CB1674" i="9"/>
  <c r="CB1675" i="9"/>
  <c r="CB1676" i="9"/>
  <c r="CB1677" i="9"/>
  <c r="CB1678" i="9"/>
  <c r="CB1679" i="9"/>
  <c r="CB1680" i="9"/>
  <c r="CB1681" i="9"/>
  <c r="CB1682" i="9"/>
  <c r="CB1683" i="9"/>
  <c r="CB1684" i="9"/>
  <c r="CB1685" i="9"/>
  <c r="CB1686" i="9"/>
  <c r="CB1687" i="9"/>
  <c r="CB1688" i="9"/>
  <c r="CB1689" i="9"/>
  <c r="CB1690" i="9"/>
  <c r="CB1691" i="9"/>
  <c r="CB1692" i="9"/>
  <c r="CB1693" i="9"/>
  <c r="CB1694" i="9"/>
  <c r="CB1695" i="9"/>
  <c r="CB1696" i="9"/>
  <c r="CB1697" i="9"/>
  <c r="CB1698" i="9"/>
  <c r="CB1699" i="9"/>
  <c r="CB1700" i="9"/>
  <c r="CB1701" i="9"/>
  <c r="CB1702" i="9"/>
  <c r="CB1703" i="9"/>
  <c r="CB1704" i="9"/>
  <c r="CB1705" i="9"/>
  <c r="CB1706" i="9"/>
  <c r="CB1707" i="9"/>
  <c r="CB1708" i="9"/>
  <c r="CB1709" i="9"/>
  <c r="CB1710" i="9"/>
  <c r="CB1711" i="9"/>
  <c r="CB1712" i="9"/>
  <c r="CB1713" i="9"/>
  <c r="CB1714" i="9"/>
  <c r="CB1715" i="9"/>
  <c r="A1669" i="9"/>
  <c r="B1669" i="9"/>
  <c r="A1670" i="9"/>
  <c r="B1670" i="9"/>
  <c r="A1671" i="9"/>
  <c r="B1671" i="9"/>
  <c r="A1672" i="9"/>
  <c r="B1672" i="9"/>
  <c r="A1673" i="9"/>
  <c r="B1673" i="9"/>
  <c r="A1674" i="9"/>
  <c r="B1674" i="9"/>
  <c r="A1675" i="9"/>
  <c r="B1675" i="9"/>
  <c r="A1676" i="9"/>
  <c r="B1676" i="9"/>
  <c r="A1677" i="9"/>
  <c r="B1677" i="9"/>
  <c r="A1678" i="9"/>
  <c r="B1678" i="9"/>
  <c r="A1679" i="9"/>
  <c r="B1679" i="9"/>
  <c r="A1680" i="9"/>
  <c r="B1680" i="9"/>
  <c r="A1681" i="9"/>
  <c r="B1681" i="9"/>
  <c r="A1682" i="9"/>
  <c r="B1682" i="9"/>
  <c r="A1683" i="9"/>
  <c r="B1683" i="9"/>
  <c r="A1684" i="9"/>
  <c r="B1684" i="9"/>
  <c r="A1685" i="9"/>
  <c r="B1685" i="9"/>
  <c r="A1686" i="9"/>
  <c r="B1686" i="9"/>
  <c r="A1687" i="9"/>
  <c r="B1687" i="9"/>
  <c r="A1688" i="9"/>
  <c r="B1688" i="9"/>
  <c r="A1689" i="9"/>
  <c r="B1689" i="9"/>
  <c r="A1690" i="9"/>
  <c r="B1690" i="9"/>
  <c r="A1691" i="9"/>
  <c r="B1691" i="9"/>
  <c r="A1692" i="9"/>
  <c r="B1692" i="9"/>
  <c r="A1693" i="9"/>
  <c r="B1693" i="9"/>
  <c r="A1694" i="9"/>
  <c r="B1694" i="9"/>
  <c r="A1695" i="9"/>
  <c r="B1695" i="9"/>
  <c r="A1696" i="9"/>
  <c r="B1696" i="9"/>
  <c r="A1697" i="9"/>
  <c r="B1697" i="9"/>
  <c r="A1698" i="9"/>
  <c r="B1698" i="9"/>
  <c r="A1699" i="9"/>
  <c r="B1699" i="9"/>
  <c r="A1700" i="9"/>
  <c r="B1700" i="9"/>
  <c r="A1701" i="9"/>
  <c r="B1701" i="9"/>
  <c r="A1702" i="9"/>
  <c r="B1702" i="9"/>
  <c r="A1703" i="9"/>
  <c r="B1703" i="9"/>
  <c r="A1704" i="9"/>
  <c r="B1704" i="9"/>
  <c r="A1705" i="9"/>
  <c r="B1705" i="9"/>
  <c r="A1706" i="9"/>
  <c r="B1706" i="9"/>
  <c r="A1707" i="9"/>
  <c r="B1707" i="9"/>
  <c r="A1708" i="9"/>
  <c r="B1708" i="9"/>
  <c r="A1709" i="9"/>
  <c r="B1709" i="9"/>
  <c r="A1710" i="9"/>
  <c r="B1710" i="9"/>
  <c r="A1711" i="9"/>
  <c r="B1711" i="9"/>
  <c r="A1712" i="9"/>
  <c r="B1712" i="9"/>
  <c r="A1713" i="9"/>
  <c r="B1713" i="9"/>
  <c r="A1714" i="9"/>
  <c r="B1714" i="9"/>
  <c r="A1715" i="9"/>
  <c r="B1715" i="9"/>
  <c r="A1668" i="9"/>
  <c r="B1668" i="9"/>
  <c r="CB701" i="9"/>
  <c r="CB716" i="9"/>
  <c r="CB717" i="9"/>
  <c r="CB894" i="9"/>
  <c r="CB895" i="9"/>
  <c r="CB992" i="9"/>
  <c r="CB993" i="9"/>
  <c r="CB1060" i="9"/>
  <c r="CB1061" i="9"/>
  <c r="CB1082" i="9"/>
  <c r="CB1083" i="9"/>
  <c r="CB1168" i="9"/>
  <c r="CB1169" i="9"/>
  <c r="CB1220" i="9"/>
  <c r="CB1221" i="9"/>
  <c r="CB1256" i="9"/>
  <c r="CB1257" i="9"/>
  <c r="CB1352" i="9"/>
  <c r="CB1353" i="9"/>
  <c r="CB1388" i="9"/>
  <c r="CB1389" i="9"/>
  <c r="CB1406" i="9"/>
  <c r="CB1407" i="9"/>
  <c r="CB1418" i="9"/>
  <c r="CB1419" i="9"/>
  <c r="CB1468" i="9"/>
  <c r="CB1469" i="9"/>
  <c r="CB1582" i="9"/>
  <c r="CB1583" i="9"/>
  <c r="CB1584" i="9"/>
  <c r="CB1585" i="9"/>
  <c r="CB1642" i="9"/>
  <c r="CB1643" i="9"/>
  <c r="CB580" i="9"/>
  <c r="CB581" i="9"/>
  <c r="CB588" i="9"/>
  <c r="CB589" i="9"/>
  <c r="CB616" i="9"/>
  <c r="CB617" i="9"/>
  <c r="CB626" i="9"/>
  <c r="CB627" i="9"/>
  <c r="CB648" i="9"/>
  <c r="CB649" i="9"/>
  <c r="CB760" i="9"/>
  <c r="CB761" i="9"/>
  <c r="CB836" i="9"/>
  <c r="CB837" i="9"/>
  <c r="CB872" i="9"/>
  <c r="CB873" i="9"/>
  <c r="CB874" i="9"/>
  <c r="CB875" i="9"/>
  <c r="CB1014" i="9"/>
  <c r="CB1015" i="9"/>
  <c r="CB1046" i="9"/>
  <c r="CB1047" i="9"/>
  <c r="CB1186" i="9"/>
  <c r="CB1187" i="9"/>
  <c r="CB1222" i="9"/>
  <c r="CB1223" i="9"/>
  <c r="CB1290" i="9"/>
  <c r="CB1291" i="9"/>
  <c r="CB1356" i="9"/>
  <c r="CB1357" i="9"/>
  <c r="CB1452" i="9"/>
  <c r="CB1453" i="9"/>
  <c r="CB1500" i="9"/>
  <c r="CB1501" i="9"/>
  <c r="CB1612" i="9"/>
  <c r="CB1613" i="9"/>
  <c r="CB72" i="9"/>
  <c r="CB73" i="9"/>
  <c r="CB86" i="9"/>
  <c r="CB87" i="9"/>
  <c r="CB116" i="9"/>
  <c r="CB117" i="9"/>
  <c r="CB130" i="9"/>
  <c r="CB131" i="9"/>
  <c r="CB132" i="9"/>
  <c r="CB133" i="9"/>
  <c r="CB162" i="9"/>
  <c r="CB163" i="9"/>
  <c r="CB176" i="9"/>
  <c r="CB177" i="9"/>
  <c r="CB184" i="9"/>
  <c r="CB185" i="9"/>
  <c r="CB204" i="9"/>
  <c r="CB205" i="9"/>
  <c r="CB212" i="9"/>
  <c r="CB213" i="9"/>
  <c r="CB216" i="9"/>
  <c r="CB217" i="9"/>
  <c r="CB226" i="9"/>
  <c r="CB227" i="9"/>
  <c r="CB232" i="9"/>
  <c r="CB233" i="9"/>
  <c r="CB246" i="9"/>
  <c r="CB247" i="9"/>
  <c r="CB252" i="9"/>
  <c r="CB253" i="9"/>
  <c r="CB266" i="9"/>
  <c r="CB267" i="9"/>
  <c r="CB282" i="9"/>
  <c r="CB283" i="9"/>
  <c r="CB304" i="9"/>
  <c r="CB305" i="9"/>
  <c r="CB318" i="9"/>
  <c r="CB319" i="9"/>
  <c r="CB350" i="9"/>
  <c r="CB351" i="9"/>
  <c r="CB366" i="9"/>
  <c r="CB367" i="9"/>
  <c r="CB392" i="9"/>
  <c r="CB393" i="9"/>
  <c r="CB404" i="9"/>
  <c r="CB405" i="9"/>
  <c r="CB410" i="9"/>
  <c r="CB411" i="9"/>
  <c r="CB416" i="9"/>
  <c r="CB417" i="9"/>
  <c r="CB422" i="9"/>
  <c r="CB423" i="9"/>
  <c r="CB430" i="9"/>
  <c r="CB431" i="9"/>
  <c r="CB454" i="9"/>
  <c r="CB455" i="9"/>
  <c r="CB462" i="9"/>
  <c r="CB463" i="9"/>
  <c r="CB470" i="9"/>
  <c r="CB471" i="9"/>
  <c r="CB512" i="9"/>
  <c r="CB513" i="9"/>
  <c r="CB518" i="9"/>
  <c r="CB519" i="9"/>
  <c r="CB524" i="9"/>
  <c r="CB525" i="9"/>
  <c r="CB532" i="9"/>
  <c r="CB533" i="9"/>
  <c r="CB538" i="9"/>
  <c r="CB539" i="9"/>
  <c r="CB540" i="9"/>
  <c r="CB541" i="9"/>
  <c r="CB546" i="9"/>
  <c r="CB547" i="9"/>
  <c r="CB556" i="9"/>
  <c r="CB557" i="9"/>
  <c r="CB562" i="9"/>
  <c r="CB563" i="9"/>
  <c r="CB568" i="9"/>
  <c r="CB569" i="9"/>
  <c r="CB574" i="9"/>
  <c r="CB575" i="9"/>
  <c r="CB594" i="9"/>
  <c r="CB595" i="9"/>
  <c r="CB620" i="9"/>
  <c r="CB621" i="9"/>
  <c r="CB636" i="9"/>
  <c r="CB637" i="9"/>
  <c r="CB658" i="9"/>
  <c r="CB659" i="9"/>
  <c r="CB680" i="9"/>
  <c r="CB681" i="9"/>
  <c r="CB696" i="9"/>
  <c r="CB697" i="9"/>
  <c r="CB712" i="9"/>
  <c r="CB713" i="9"/>
  <c r="CB728" i="9"/>
  <c r="CB729" i="9"/>
  <c r="CB748" i="9"/>
  <c r="CB749" i="9"/>
  <c r="CB770" i="9"/>
  <c r="CB771" i="9"/>
  <c r="CB790" i="9"/>
  <c r="CB791" i="9"/>
  <c r="CB826" i="9"/>
  <c r="CB827" i="9"/>
  <c r="CB842" i="9"/>
  <c r="CB843" i="9"/>
  <c r="CB920" i="9"/>
  <c r="CB921" i="9"/>
  <c r="CB938" i="9"/>
  <c r="CB939" i="9"/>
  <c r="CB942" i="9"/>
  <c r="CB943" i="9"/>
  <c r="CB944" i="9"/>
  <c r="CB945" i="9"/>
  <c r="CB960" i="9"/>
  <c r="CB961" i="9"/>
  <c r="CB964" i="9"/>
  <c r="CB965" i="9"/>
  <c r="CB984" i="9"/>
  <c r="CB985" i="9"/>
  <c r="CB1002" i="9"/>
  <c r="CB1003" i="9"/>
  <c r="CB1022" i="9"/>
  <c r="CB1023" i="9"/>
  <c r="CB1038" i="9"/>
  <c r="CB1039" i="9"/>
  <c r="CB1052" i="9"/>
  <c r="CB1053" i="9"/>
  <c r="CB1072" i="9"/>
  <c r="CB1073" i="9"/>
  <c r="CB1104" i="9"/>
  <c r="CB1105" i="9"/>
  <c r="CB1120" i="9"/>
  <c r="CB1121" i="9"/>
  <c r="CB1138" i="9"/>
  <c r="CB1139" i="9"/>
  <c r="CB1160" i="9"/>
  <c r="CB1161" i="9"/>
  <c r="CB1212" i="9"/>
  <c r="CB1213" i="9"/>
  <c r="CB1214" i="9"/>
  <c r="CB1215" i="9"/>
  <c r="CB1230" i="9"/>
  <c r="CB1231" i="9"/>
  <c r="CB1266" i="9"/>
  <c r="CB1267" i="9"/>
  <c r="CB1284" i="9"/>
  <c r="CB1285" i="9"/>
  <c r="CB1316" i="9"/>
  <c r="CB1317" i="9"/>
  <c r="CB1332" i="9"/>
  <c r="CB1333" i="9"/>
  <c r="CB1348" i="9"/>
  <c r="CB1349" i="9"/>
  <c r="CB1362" i="9"/>
  <c r="CB1363" i="9"/>
  <c r="CB1396" i="9"/>
  <c r="CB1397" i="9"/>
  <c r="CB1410" i="9"/>
  <c r="CB1411" i="9"/>
  <c r="CB612" i="9"/>
  <c r="CB613" i="9"/>
  <c r="CB622" i="9"/>
  <c r="CB623" i="9"/>
  <c r="CB684" i="9"/>
  <c r="CB685" i="9"/>
  <c r="CB1218" i="9"/>
  <c r="CB1219" i="9"/>
  <c r="CB1310" i="9"/>
  <c r="CB1311" i="9"/>
  <c r="CB1470" i="9"/>
  <c r="CB1471" i="9"/>
  <c r="CB144" i="9"/>
  <c r="CB145" i="9"/>
  <c r="CB156" i="9"/>
  <c r="CB157" i="9"/>
  <c r="CB302" i="9"/>
  <c r="CB303" i="9"/>
  <c r="CB316" i="9"/>
  <c r="CB317" i="9"/>
  <c r="CB442" i="9"/>
  <c r="CB443" i="9"/>
  <c r="CB596" i="9"/>
  <c r="CB597" i="9"/>
  <c r="CB1166" i="9"/>
  <c r="CB1167" i="9"/>
  <c r="CB1324" i="9"/>
  <c r="CB1325" i="9"/>
  <c r="CB1342" i="9"/>
  <c r="CB1343" i="9"/>
  <c r="CB1386" i="9"/>
  <c r="CB1387" i="9"/>
  <c r="CB1448" i="9"/>
  <c r="CB1449" i="9"/>
  <c r="CB602" i="9"/>
  <c r="CB603" i="9"/>
  <c r="CB870" i="9"/>
  <c r="CB871" i="9"/>
  <c r="CB1204" i="9"/>
  <c r="CB1205" i="9"/>
  <c r="CB1288" i="9"/>
  <c r="CB1289" i="9"/>
  <c r="CB1354" i="9"/>
  <c r="CB1355" i="9"/>
  <c r="CB1496" i="9"/>
  <c r="CB1497" i="9"/>
  <c r="CB756" i="9"/>
  <c r="CB757" i="9"/>
  <c r="CB1098" i="9"/>
  <c r="CB1099" i="9"/>
  <c r="CB1580" i="9"/>
  <c r="CB1581" i="9"/>
  <c r="CB338" i="9"/>
  <c r="CB339" i="9"/>
  <c r="CB578" i="9"/>
  <c r="CB579" i="9"/>
  <c r="CB582" i="9"/>
  <c r="CB583" i="9"/>
  <c r="CB718" i="9"/>
  <c r="CB719" i="9"/>
  <c r="CB724" i="9"/>
  <c r="CB725" i="9"/>
  <c r="CB994" i="9"/>
  <c r="CB995" i="9"/>
  <c r="CB1438" i="9"/>
  <c r="CB1439" i="9"/>
  <c r="CB1596" i="9"/>
  <c r="CB1597" i="9"/>
  <c r="CB614" i="9"/>
  <c r="CB615" i="9"/>
  <c r="CB1312" i="9"/>
  <c r="CB1313" i="9"/>
  <c r="CB1318" i="9"/>
  <c r="CB1319" i="9"/>
  <c r="CB1328" i="9"/>
  <c r="CB1329" i="9"/>
  <c r="CB1334" i="9"/>
  <c r="CB1335" i="9"/>
  <c r="CB1344" i="9"/>
  <c r="CB1345" i="9"/>
  <c r="CB1350" i="9"/>
  <c r="CB1351" i="9"/>
  <c r="CB1360" i="9"/>
  <c r="CB1361" i="9"/>
  <c r="CB1366" i="9"/>
  <c r="CB1367" i="9"/>
  <c r="CB1376" i="9"/>
  <c r="CB1377" i="9"/>
  <c r="CB1378" i="9"/>
  <c r="CB1379" i="9"/>
  <c r="CB1380" i="9"/>
  <c r="CB1381" i="9"/>
  <c r="CB1382" i="9"/>
  <c r="CB1383" i="9"/>
  <c r="CB1392" i="9"/>
  <c r="CB1393" i="9"/>
  <c r="CB1398" i="9"/>
  <c r="CB1399" i="9"/>
  <c r="CB1408" i="9"/>
  <c r="CB1409" i="9"/>
  <c r="CB672" i="9"/>
  <c r="CB673" i="9"/>
  <c r="CB1484" i="9"/>
  <c r="CB1485" i="9"/>
  <c r="CB734" i="9"/>
  <c r="CB735" i="9"/>
  <c r="CB652" i="9"/>
  <c r="CB653" i="9"/>
  <c r="CB654" i="9"/>
  <c r="CB655" i="9"/>
  <c r="CB778" i="9"/>
  <c r="CB779" i="9"/>
  <c r="CB796" i="9"/>
  <c r="CB797" i="9"/>
  <c r="CB1030" i="9"/>
  <c r="CB1031" i="9"/>
  <c r="CB1134" i="9"/>
  <c r="CB1135" i="9"/>
  <c r="CB1260" i="9"/>
  <c r="CB1261" i="9"/>
  <c r="CB1322" i="9"/>
  <c r="CB1323" i="9"/>
  <c r="CB1370" i="9"/>
  <c r="CB1371" i="9"/>
  <c r="CB1402" i="9"/>
  <c r="CB1403" i="9"/>
  <c r="CB1416" i="9"/>
  <c r="CB1417" i="9"/>
  <c r="CB1498" i="9"/>
  <c r="CB1499" i="9"/>
  <c r="CB1532" i="9"/>
  <c r="CB1533" i="9"/>
  <c r="CB1578" i="9"/>
  <c r="CB1579" i="9"/>
  <c r="CB1598" i="9"/>
  <c r="CB1599" i="9"/>
  <c r="CB1636" i="9"/>
  <c r="CB1637" i="9"/>
  <c r="CB832" i="9"/>
  <c r="CB833" i="9"/>
  <c r="CB946" i="9"/>
  <c r="CB947" i="9"/>
  <c r="CB950" i="9"/>
  <c r="CB951" i="9"/>
  <c r="CB1114" i="9"/>
  <c r="CB1115" i="9"/>
  <c r="CB96" i="9"/>
  <c r="CB97" i="9"/>
  <c r="CB110" i="9"/>
  <c r="CB111" i="9"/>
  <c r="CB1164" i="9"/>
  <c r="CB1165" i="9"/>
  <c r="CB1206" i="9"/>
  <c r="CB1207" i="9"/>
  <c r="CB1306" i="9"/>
  <c r="CB1307" i="9"/>
  <c r="CB1480" i="9"/>
  <c r="CB1481" i="9"/>
  <c r="CB80" i="9"/>
  <c r="CB81" i="9"/>
  <c r="CB88" i="9"/>
  <c r="CB89" i="9"/>
  <c r="CB92" i="9"/>
  <c r="CB93" i="9"/>
  <c r="CB114" i="9"/>
  <c r="CB115" i="9"/>
  <c r="CB134" i="9"/>
  <c r="CB135" i="9"/>
  <c r="CB154" i="9"/>
  <c r="CB155" i="9"/>
  <c r="CB188" i="9"/>
  <c r="CB189" i="9"/>
  <c r="CB206" i="9"/>
  <c r="CB207" i="9"/>
  <c r="CB702" i="9"/>
  <c r="CB703" i="9"/>
  <c r="CB1434" i="9"/>
  <c r="CB1435" i="9"/>
  <c r="CB82" i="9"/>
  <c r="CB83" i="9"/>
  <c r="CB866" i="9"/>
  <c r="CB867" i="9"/>
  <c r="CB1012" i="9"/>
  <c r="CB1013" i="9"/>
  <c r="CB1078" i="9"/>
  <c r="CB1079" i="9"/>
  <c r="CB1422" i="9"/>
  <c r="CB1423" i="9"/>
  <c r="CB1546" i="9"/>
  <c r="CB1547" i="9"/>
  <c r="CB704" i="9"/>
  <c r="CB705" i="9"/>
  <c r="CB1566" i="9"/>
  <c r="CB1567" i="9"/>
  <c r="CB972" i="9"/>
  <c r="CB973" i="9"/>
  <c r="CB1028" i="9"/>
  <c r="CB1029" i="9"/>
  <c r="CB1304" i="9"/>
  <c r="CB1305" i="9"/>
  <c r="CB1466" i="9"/>
  <c r="CB1467" i="9"/>
  <c r="CB60" i="9"/>
  <c r="CB61" i="9"/>
  <c r="CB402" i="9"/>
  <c r="CB403" i="9"/>
  <c r="CB408" i="9"/>
  <c r="CB409" i="9"/>
  <c r="CB414" i="9"/>
  <c r="CB415" i="9"/>
  <c r="CB428" i="9"/>
  <c r="CB429" i="9"/>
  <c r="CB436" i="9"/>
  <c r="CB437" i="9"/>
  <c r="CB496" i="9"/>
  <c r="CB497" i="9"/>
  <c r="CB270" i="9"/>
  <c r="CB271" i="9"/>
  <c r="CB388" i="9"/>
  <c r="CB389" i="9"/>
  <c r="CB396" i="9"/>
  <c r="CB397" i="9"/>
  <c r="CB420" i="9"/>
  <c r="CB421" i="9"/>
  <c r="CB460" i="9"/>
  <c r="CB461" i="9"/>
  <c r="CB502" i="9"/>
  <c r="CB503" i="9"/>
  <c r="CB566" i="9"/>
  <c r="CB567" i="9"/>
  <c r="CB940" i="9"/>
  <c r="CB941" i="9"/>
  <c r="CB1210" i="9"/>
  <c r="CB1211" i="9"/>
  <c r="CB706" i="9"/>
  <c r="CB707" i="9"/>
  <c r="CB892" i="9"/>
  <c r="CB893" i="9"/>
  <c r="CB910" i="9"/>
  <c r="CB911" i="9"/>
  <c r="CB1132" i="9"/>
  <c r="CB1133" i="9"/>
  <c r="CB1224" i="9"/>
  <c r="CB1225" i="9"/>
  <c r="CB372" i="9"/>
  <c r="CB373" i="9"/>
  <c r="CB598" i="9"/>
  <c r="CB599" i="9"/>
  <c r="CB630" i="9"/>
  <c r="CB631" i="9"/>
  <c r="CB642" i="9"/>
  <c r="CB643" i="9"/>
  <c r="CB646" i="9"/>
  <c r="CB647" i="9"/>
  <c r="CB662" i="9"/>
  <c r="CB663" i="9"/>
  <c r="CB1234" i="9"/>
  <c r="CB1235" i="9"/>
  <c r="CB1276" i="9"/>
  <c r="CB1277" i="9"/>
  <c r="CB1294" i="9"/>
  <c r="CB1295" i="9"/>
  <c r="CB1610" i="9"/>
  <c r="CB1611" i="9"/>
  <c r="CB100" i="9"/>
  <c r="CB101" i="9"/>
  <c r="CB152" i="9"/>
  <c r="CB153" i="9"/>
  <c r="CB160" i="9"/>
  <c r="CB161" i="9"/>
  <c r="CB224" i="9"/>
  <c r="CB225" i="9"/>
  <c r="CB230" i="9"/>
  <c r="CB231" i="9"/>
  <c r="CB256" i="9"/>
  <c r="CB257" i="9"/>
  <c r="CB288" i="9"/>
  <c r="CB289" i="9"/>
  <c r="CB312" i="9"/>
  <c r="CB313" i="9"/>
  <c r="CB328" i="9"/>
  <c r="CB329" i="9"/>
  <c r="CB376" i="9"/>
  <c r="CB377" i="9"/>
  <c r="CB382" i="9"/>
  <c r="CB383" i="9"/>
  <c r="CB478" i="9"/>
  <c r="CB479" i="9"/>
  <c r="CB494" i="9"/>
  <c r="CB495" i="9"/>
  <c r="CB792" i="9"/>
  <c r="CB793" i="9"/>
  <c r="CB890" i="9"/>
  <c r="CB891" i="9"/>
  <c r="CB922" i="9"/>
  <c r="CB923" i="9"/>
  <c r="CB930" i="9"/>
  <c r="CB931" i="9"/>
  <c r="CB954" i="9"/>
  <c r="CB955" i="9"/>
  <c r="CB976" i="9"/>
  <c r="CB977" i="9"/>
  <c r="CB990" i="9"/>
  <c r="CB991" i="9"/>
  <c r="CB1008" i="9"/>
  <c r="CB1009" i="9"/>
  <c r="CB1036" i="9"/>
  <c r="CB1037" i="9"/>
  <c r="CB1048" i="9"/>
  <c r="CB1049" i="9"/>
  <c r="CB1064" i="9"/>
  <c r="CB1065" i="9"/>
  <c r="CB1202" i="9"/>
  <c r="CB1203" i="9"/>
  <c r="CB1254" i="9"/>
  <c r="CB1255" i="9"/>
  <c r="CB1308" i="9"/>
  <c r="CB1309" i="9"/>
  <c r="CB1340" i="9"/>
  <c r="CB1341" i="9"/>
  <c r="CB1368" i="9"/>
  <c r="CB1369" i="9"/>
  <c r="CB1486" i="9"/>
  <c r="CB1487" i="9"/>
  <c r="CB1528" i="9"/>
  <c r="CB1529" i="9"/>
  <c r="CB1548" i="9"/>
  <c r="CB1549" i="9"/>
  <c r="CB1564" i="9"/>
  <c r="CB1565" i="9"/>
  <c r="CB1640" i="9"/>
  <c r="CB1641" i="9"/>
  <c r="CB2" i="9"/>
  <c r="CB3" i="9"/>
  <c r="CB4" i="9"/>
  <c r="CB5" i="9"/>
  <c r="CB6" i="9"/>
  <c r="CB7" i="9"/>
  <c r="CB8" i="9"/>
  <c r="CB9" i="9"/>
  <c r="CB12" i="9"/>
  <c r="CB13" i="9"/>
  <c r="CB14" i="9"/>
  <c r="CB15" i="9"/>
  <c r="CB16" i="9"/>
  <c r="CB17" i="9"/>
  <c r="CB18" i="9"/>
  <c r="CB19" i="9"/>
  <c r="CB20" i="9"/>
  <c r="CB21" i="9"/>
  <c r="CB22" i="9"/>
  <c r="CB23" i="9"/>
  <c r="CB24" i="9"/>
  <c r="CB25" i="9"/>
  <c r="CB26" i="9"/>
  <c r="CB27" i="9"/>
  <c r="CB28" i="9"/>
  <c r="CB29" i="9"/>
  <c r="CB30" i="9"/>
  <c r="CB31" i="9"/>
  <c r="CB32" i="9"/>
  <c r="CB33" i="9"/>
  <c r="CB34" i="9"/>
  <c r="CB35" i="9"/>
  <c r="CB36" i="9"/>
  <c r="CB37" i="9"/>
  <c r="CB38" i="9"/>
  <c r="CB39" i="9"/>
  <c r="CB40" i="9"/>
  <c r="CB41" i="9"/>
  <c r="CB42" i="9"/>
  <c r="CB43" i="9"/>
  <c r="CB44" i="9"/>
  <c r="CB45" i="9"/>
  <c r="CB46" i="9"/>
  <c r="CB47" i="9"/>
  <c r="CB48" i="9"/>
  <c r="CB49" i="9"/>
  <c r="CB50" i="9"/>
  <c r="CB51" i="9"/>
  <c r="CB52" i="9"/>
  <c r="CB53" i="9"/>
  <c r="CB54" i="9"/>
  <c r="CB55" i="9"/>
  <c r="CB56" i="9"/>
  <c r="CB57" i="9"/>
  <c r="CB58" i="9"/>
  <c r="CB59" i="9"/>
  <c r="CB64" i="9"/>
  <c r="CB65" i="9"/>
  <c r="CB66" i="9"/>
  <c r="CB67" i="9"/>
  <c r="CB70" i="9"/>
  <c r="CB71" i="9"/>
  <c r="CB76" i="9"/>
  <c r="CB77" i="9"/>
  <c r="CB84" i="9"/>
  <c r="CB85" i="9"/>
  <c r="CB90" i="9"/>
  <c r="CB91" i="9"/>
  <c r="CB98" i="9"/>
  <c r="CB99" i="9"/>
  <c r="CB104" i="9"/>
  <c r="CB105" i="9"/>
  <c r="CB112" i="9"/>
  <c r="CB113" i="9"/>
  <c r="CB118" i="9"/>
  <c r="CB119" i="9"/>
  <c r="CB126" i="9"/>
  <c r="CB127" i="9"/>
  <c r="CB136" i="9"/>
  <c r="CB137" i="9"/>
  <c r="CB158" i="9"/>
  <c r="CB159" i="9"/>
  <c r="CB166" i="9"/>
  <c r="CB167" i="9"/>
  <c r="CB172" i="9"/>
  <c r="CB173" i="9"/>
  <c r="CB178" i="9"/>
  <c r="CB179" i="9"/>
  <c r="CB180" i="9"/>
  <c r="CB181" i="9"/>
  <c r="CB190" i="9"/>
  <c r="CB191" i="9"/>
  <c r="CB192" i="9"/>
  <c r="CB193" i="9"/>
  <c r="CB200" i="9"/>
  <c r="CB201" i="9"/>
  <c r="CB208" i="9"/>
  <c r="CB209" i="9"/>
  <c r="CB214" i="9"/>
  <c r="CB215" i="9"/>
  <c r="CB220" i="9"/>
  <c r="CB221" i="9"/>
  <c r="CB222" i="9"/>
  <c r="CB223" i="9"/>
  <c r="CB228" i="9"/>
  <c r="CB229" i="9"/>
  <c r="CB234" i="9"/>
  <c r="CB235" i="9"/>
  <c r="CB242" i="9"/>
  <c r="CB243" i="9"/>
  <c r="CB248" i="9"/>
  <c r="CB249" i="9"/>
  <c r="CB254" i="9"/>
  <c r="CB255" i="9"/>
  <c r="CB258" i="9"/>
  <c r="CB259" i="9"/>
  <c r="CB260" i="9"/>
  <c r="CB261" i="9"/>
  <c r="CB264" i="9"/>
  <c r="CB265" i="9"/>
  <c r="CB268" i="9"/>
  <c r="CB269" i="9"/>
  <c r="CB272" i="9"/>
  <c r="CB273" i="9"/>
  <c r="CB276" i="9"/>
  <c r="CB277" i="9"/>
  <c r="CB284" i="9"/>
  <c r="CB285" i="9"/>
  <c r="CB290" i="9"/>
  <c r="CB291" i="9"/>
  <c r="CB296" i="9"/>
  <c r="CB297" i="9"/>
  <c r="CB306" i="9"/>
  <c r="CB307" i="9"/>
  <c r="CB310" i="9"/>
  <c r="CB311" i="9"/>
  <c r="CB314" i="9"/>
  <c r="CB315" i="9"/>
  <c r="CB324" i="9"/>
  <c r="CB325" i="9"/>
  <c r="CB326" i="9"/>
  <c r="CB327" i="9"/>
  <c r="CB334" i="9"/>
  <c r="CB335" i="9"/>
  <c r="CB340" i="9"/>
  <c r="CB341" i="9"/>
  <c r="CB344" i="9"/>
  <c r="CB345" i="9"/>
  <c r="CB346" i="9"/>
  <c r="CB347" i="9"/>
  <c r="CB352" i="9"/>
  <c r="CB353" i="9"/>
  <c r="CB356" i="9"/>
  <c r="CB357" i="9"/>
  <c r="CB358" i="9"/>
  <c r="CB359" i="9"/>
  <c r="CB362" i="9"/>
  <c r="CB363" i="9"/>
  <c r="CB364" i="9"/>
  <c r="CB365" i="9"/>
  <c r="CB368" i="9"/>
  <c r="CB369" i="9"/>
  <c r="CB370" i="9"/>
  <c r="CB371" i="9"/>
  <c r="CB380" i="9"/>
  <c r="CB381" i="9"/>
  <c r="CB384" i="9"/>
  <c r="CB385" i="9"/>
  <c r="CB386" i="9"/>
  <c r="CB387" i="9"/>
  <c r="CB394" i="9"/>
  <c r="CB395" i="9"/>
  <c r="CB400" i="9"/>
  <c r="CB401" i="9"/>
  <c r="CB406" i="9"/>
  <c r="CB407" i="9"/>
  <c r="CB412" i="9"/>
  <c r="CB413" i="9"/>
  <c r="CB418" i="9"/>
  <c r="CB419" i="9"/>
  <c r="CB426" i="9"/>
  <c r="CB427" i="9"/>
  <c r="CB432" i="9"/>
  <c r="CB433" i="9"/>
  <c r="CB434" i="9"/>
  <c r="CB435" i="9"/>
  <c r="CB438" i="9"/>
  <c r="CB439" i="9"/>
  <c r="CB444" i="9"/>
  <c r="CB445" i="9"/>
  <c r="CB446" i="9"/>
  <c r="CB447" i="9"/>
  <c r="CB450" i="9"/>
  <c r="CB451" i="9"/>
  <c r="CB458" i="9"/>
  <c r="CB459" i="9"/>
  <c r="CB466" i="9"/>
  <c r="CB467" i="9"/>
  <c r="CB472" i="9"/>
  <c r="CB473" i="9"/>
  <c r="CB474" i="9"/>
  <c r="CB475" i="9"/>
  <c r="CB480" i="9"/>
  <c r="CB481" i="9"/>
  <c r="CB482" i="9"/>
  <c r="CB483" i="9"/>
  <c r="CB484" i="9"/>
  <c r="CB485" i="9"/>
  <c r="CB488" i="9"/>
  <c r="CB489" i="9"/>
  <c r="CB498" i="9"/>
  <c r="CB499" i="9"/>
  <c r="CB504" i="9"/>
  <c r="CB505" i="9"/>
  <c r="CB506" i="9"/>
  <c r="CB507" i="9"/>
  <c r="CB508" i="9"/>
  <c r="CB509" i="9"/>
  <c r="CB514" i="9"/>
  <c r="CB515" i="9"/>
  <c r="CB520" i="9"/>
  <c r="CB521" i="9"/>
  <c r="CB528" i="9"/>
  <c r="CB529" i="9"/>
  <c r="CB534" i="9"/>
  <c r="CB535" i="9"/>
  <c r="CB542" i="9"/>
  <c r="CB543" i="9"/>
  <c r="CB548" i="9"/>
  <c r="CB549" i="9"/>
  <c r="CB550" i="9"/>
  <c r="CB551" i="9"/>
  <c r="CB554" i="9"/>
  <c r="CB555" i="9"/>
  <c r="CB558" i="9"/>
  <c r="CB559" i="9"/>
  <c r="CB564" i="9"/>
  <c r="CB565" i="9"/>
  <c r="CB584" i="9"/>
  <c r="CB585" i="9"/>
  <c r="CB608" i="9"/>
  <c r="CB609" i="9"/>
  <c r="CB624" i="9"/>
  <c r="CB625" i="9"/>
  <c r="CB644" i="9"/>
  <c r="CB645" i="9"/>
  <c r="CB664" i="9"/>
  <c r="CB665" i="9"/>
  <c r="CB682" i="9"/>
  <c r="CB683" i="9"/>
  <c r="CB692" i="9"/>
  <c r="CB693" i="9"/>
  <c r="CB698" i="9"/>
  <c r="CB699" i="9"/>
  <c r="CB708" i="9"/>
  <c r="CB709" i="9"/>
  <c r="CB714" i="9"/>
  <c r="CB715" i="9"/>
  <c r="CB726" i="9"/>
  <c r="CB727" i="9"/>
  <c r="CB732" i="9"/>
  <c r="CB733" i="9"/>
  <c r="CB742" i="9"/>
  <c r="CB743" i="9"/>
  <c r="CB746" i="9"/>
  <c r="CB747" i="9"/>
  <c r="CB752" i="9"/>
  <c r="CB753" i="9"/>
  <c r="CB764" i="9"/>
  <c r="CB765" i="9"/>
  <c r="CB772" i="9"/>
  <c r="CB773" i="9"/>
  <c r="CB786" i="9"/>
  <c r="CB787" i="9"/>
  <c r="CB794" i="9"/>
  <c r="CB795" i="9"/>
  <c r="CB804" i="9"/>
  <c r="CB805" i="9"/>
  <c r="CB810" i="9"/>
  <c r="CB811" i="9"/>
  <c r="CB820" i="9"/>
  <c r="CB821" i="9"/>
  <c r="CB828" i="9"/>
  <c r="CB829" i="9"/>
  <c r="CB838" i="9"/>
  <c r="CB839" i="9"/>
  <c r="CB846" i="9"/>
  <c r="CB847" i="9"/>
  <c r="CB848" i="9"/>
  <c r="CB849" i="9"/>
  <c r="CB858" i="9"/>
  <c r="CB859" i="9"/>
  <c r="CB862" i="9"/>
  <c r="CB863" i="9"/>
  <c r="CB864" i="9"/>
  <c r="CB865" i="9"/>
  <c r="CB876" i="9"/>
  <c r="CB877" i="9"/>
  <c r="CB888" i="9"/>
  <c r="CB889" i="9"/>
  <c r="CB898" i="9"/>
  <c r="CB899" i="9"/>
  <c r="CB902" i="9"/>
  <c r="CB903" i="9"/>
  <c r="CB904" i="9"/>
  <c r="CB905" i="9"/>
  <c r="CB906" i="9"/>
  <c r="CB907" i="9"/>
  <c r="CB916" i="9"/>
  <c r="CB917" i="9"/>
  <c r="CB924" i="9"/>
  <c r="CB925" i="9"/>
  <c r="CB934" i="9"/>
  <c r="CB935" i="9"/>
  <c r="CB948" i="9"/>
  <c r="CB949" i="9"/>
  <c r="CB958" i="9"/>
  <c r="CB959" i="9"/>
  <c r="CB966" i="9"/>
  <c r="CB967" i="9"/>
  <c r="CB968" i="9"/>
  <c r="CB969" i="9"/>
  <c r="CB970" i="9"/>
  <c r="CB971" i="9"/>
  <c r="CB980" i="9"/>
  <c r="CB981" i="9"/>
  <c r="CB982" i="9"/>
  <c r="CB983" i="9"/>
  <c r="CB986" i="9"/>
  <c r="CB987" i="9"/>
  <c r="CB988" i="9"/>
  <c r="CB989" i="9"/>
  <c r="CB998" i="9"/>
  <c r="CB999" i="9"/>
  <c r="CB1000" i="9"/>
  <c r="CB1001" i="9"/>
  <c r="CB1004" i="9"/>
  <c r="CB1005" i="9"/>
  <c r="CB1006" i="9"/>
  <c r="CB1007" i="9"/>
  <c r="CB1016" i="9"/>
  <c r="CB1017" i="9"/>
  <c r="CB1020" i="9"/>
  <c r="CB1021" i="9"/>
  <c r="CB1024" i="9"/>
  <c r="CB1025" i="9"/>
  <c r="CB1034" i="9"/>
  <c r="CB1035" i="9"/>
  <c r="CB1042" i="9"/>
  <c r="CB1043" i="9"/>
  <c r="CB1054" i="9"/>
  <c r="CB1055" i="9"/>
  <c r="CB1056" i="9"/>
  <c r="CB1057" i="9"/>
  <c r="CB1058" i="9"/>
  <c r="CB1059" i="9"/>
  <c r="CB1070" i="9"/>
  <c r="CB1071" i="9"/>
  <c r="CB1076" i="9"/>
  <c r="CB1077" i="9"/>
  <c r="CB1088" i="9"/>
  <c r="CB1089" i="9"/>
  <c r="CB1090" i="9"/>
  <c r="CB1091" i="9"/>
  <c r="CB1092" i="9"/>
  <c r="CB1093" i="9"/>
  <c r="CB1102" i="9"/>
  <c r="CB1103" i="9"/>
  <c r="CB1108" i="9"/>
  <c r="CB1109" i="9"/>
  <c r="CB1124" i="9"/>
  <c r="CB1125" i="9"/>
  <c r="CB1126" i="9"/>
  <c r="CB1127" i="9"/>
  <c r="CB1128" i="9"/>
  <c r="CB1129" i="9"/>
  <c r="CB1140" i="9"/>
  <c r="CB1141" i="9"/>
  <c r="CB1142" i="9"/>
  <c r="CB1143" i="9"/>
  <c r="CB1144" i="9"/>
  <c r="CB1145" i="9"/>
  <c r="CB1154" i="9"/>
  <c r="CB1155" i="9"/>
  <c r="CB1158" i="9"/>
  <c r="CB1159" i="9"/>
  <c r="CB1162" i="9"/>
  <c r="CB1163" i="9"/>
  <c r="CB1172" i="9"/>
  <c r="CB1173" i="9"/>
  <c r="CB1174" i="9"/>
  <c r="CB1175" i="9"/>
  <c r="CB1176" i="9"/>
  <c r="CB1177" i="9"/>
  <c r="CB1178" i="9"/>
  <c r="CB1179" i="9"/>
  <c r="CB1180" i="9"/>
  <c r="CB1181" i="9"/>
  <c r="CB1190" i="9"/>
  <c r="CB1191" i="9"/>
  <c r="CB1192" i="9"/>
  <c r="CB1193" i="9"/>
  <c r="CB1194" i="9"/>
  <c r="CB1195" i="9"/>
  <c r="CB1198" i="9"/>
  <c r="CB1199" i="9"/>
  <c r="CB1208" i="9"/>
  <c r="CB1209" i="9"/>
  <c r="CB1216" i="9"/>
  <c r="CB1217" i="9"/>
  <c r="CB1226" i="9"/>
  <c r="CB1227" i="9"/>
  <c r="CB1232" i="9"/>
  <c r="CB1233" i="9"/>
  <c r="CB1242" i="9"/>
  <c r="CB1243" i="9"/>
  <c r="CB1244" i="9"/>
  <c r="CB1245" i="9"/>
  <c r="CB1248" i="9"/>
  <c r="CB1249" i="9"/>
  <c r="CB1252" i="9"/>
  <c r="CB1253" i="9"/>
  <c r="CB1262" i="9"/>
  <c r="CB1263" i="9"/>
  <c r="CB1268" i="9"/>
  <c r="CB1269" i="9"/>
  <c r="CB1278" i="9"/>
  <c r="CB1279" i="9"/>
  <c r="CB1286" i="9"/>
  <c r="CB1287" i="9"/>
  <c r="CB1296" i="9"/>
  <c r="CB1297" i="9"/>
  <c r="CB1298" i="9"/>
  <c r="CB1299" i="9"/>
  <c r="CB1300" i="9"/>
  <c r="CB1301" i="9"/>
  <c r="CB1302" i="9"/>
  <c r="CB1303" i="9"/>
  <c r="CB1414" i="9"/>
  <c r="CB1415" i="9"/>
  <c r="CB1424" i="9"/>
  <c r="CB1425" i="9"/>
  <c r="CB1426" i="9"/>
  <c r="CB1427" i="9"/>
  <c r="CB1428" i="9"/>
  <c r="CB1429" i="9"/>
  <c r="CB1430" i="9"/>
  <c r="CB1431" i="9"/>
  <c r="CB1440" i="9"/>
  <c r="CB1441" i="9"/>
  <c r="CB1442" i="9"/>
  <c r="CB1443" i="9"/>
  <c r="CB1444" i="9"/>
  <c r="CB1445" i="9"/>
  <c r="CB1446" i="9"/>
  <c r="CB1447" i="9"/>
  <c r="CB1456" i="9"/>
  <c r="CB1457" i="9"/>
  <c r="CB1458" i="9"/>
  <c r="CB1459" i="9"/>
  <c r="CB1460" i="9"/>
  <c r="CB1461" i="9"/>
  <c r="CB1462" i="9"/>
  <c r="CB1463" i="9"/>
  <c r="CB1472" i="9"/>
  <c r="CB1473" i="9"/>
  <c r="CB1474" i="9"/>
  <c r="CB1475" i="9"/>
  <c r="CB1476" i="9"/>
  <c r="CB1477" i="9"/>
  <c r="CB1478" i="9"/>
  <c r="CB1479" i="9"/>
  <c r="CB1488" i="9"/>
  <c r="CB1489" i="9"/>
  <c r="CB1490" i="9"/>
  <c r="CB1491" i="9"/>
  <c r="CB1492" i="9"/>
  <c r="CB1493" i="9"/>
  <c r="CB1494" i="9"/>
  <c r="CB1495" i="9"/>
  <c r="CB1504" i="9"/>
  <c r="CB1505" i="9"/>
  <c r="CB1506" i="9"/>
  <c r="CB1507" i="9"/>
  <c r="CB1508" i="9"/>
  <c r="CB1509" i="9"/>
  <c r="CB1510" i="9"/>
  <c r="CB1511" i="9"/>
  <c r="CB1520" i="9"/>
  <c r="CB1521" i="9"/>
  <c r="CB1522" i="9"/>
  <c r="CB1523" i="9"/>
  <c r="CB1524" i="9"/>
  <c r="CB1525" i="9"/>
  <c r="CB1526" i="9"/>
  <c r="CB1527" i="9"/>
  <c r="CB1536" i="9"/>
  <c r="CB1537" i="9"/>
  <c r="CB1538" i="9"/>
  <c r="CB1539" i="9"/>
  <c r="CB1540" i="9"/>
  <c r="CB1541" i="9"/>
  <c r="CB1542" i="9"/>
  <c r="CB1543" i="9"/>
  <c r="CB1552" i="9"/>
  <c r="CB1553" i="9"/>
  <c r="CB1554" i="9"/>
  <c r="CB1555" i="9"/>
  <c r="CB1556" i="9"/>
  <c r="CB1557" i="9"/>
  <c r="CB1558" i="9"/>
  <c r="CB1559" i="9"/>
  <c r="CB1568" i="9"/>
  <c r="CB1569" i="9"/>
  <c r="CB1570" i="9"/>
  <c r="CB1571" i="9"/>
  <c r="CB1572" i="9"/>
  <c r="CB1573" i="9"/>
  <c r="CB1574" i="9"/>
  <c r="CB1575" i="9"/>
  <c r="CB1586" i="9"/>
  <c r="CB1587" i="9"/>
  <c r="CB1588" i="9"/>
  <c r="CB1589" i="9"/>
  <c r="CB1590" i="9"/>
  <c r="CB1591" i="9"/>
  <c r="CB1600" i="9"/>
  <c r="CB1601" i="9"/>
  <c r="CB1602" i="9"/>
  <c r="CB1603" i="9"/>
  <c r="CB1604" i="9"/>
  <c r="CB1605" i="9"/>
  <c r="CB1606" i="9"/>
  <c r="CB1607" i="9"/>
  <c r="CB1616" i="9"/>
  <c r="CB1617" i="9"/>
  <c r="CB1618" i="9"/>
  <c r="CB1619" i="9"/>
  <c r="CB1620" i="9"/>
  <c r="CB1621" i="9"/>
  <c r="CB1622" i="9"/>
  <c r="CB1623" i="9"/>
  <c r="CB1628" i="9"/>
  <c r="CB1629" i="9"/>
  <c r="CB1630" i="9"/>
  <c r="CB1631" i="9"/>
  <c r="CB1632" i="9"/>
  <c r="CB1633" i="9"/>
  <c r="CB1634" i="9"/>
  <c r="CB1635" i="9"/>
  <c r="CB1644" i="9"/>
  <c r="CB1645" i="9"/>
  <c r="CB1646" i="9"/>
  <c r="CB1647" i="9"/>
  <c r="CB1648" i="9"/>
  <c r="CB1649" i="9"/>
  <c r="CB1650" i="9"/>
  <c r="CB1651" i="9"/>
  <c r="CB1660" i="9"/>
  <c r="CB1661" i="9"/>
  <c r="CB1662" i="9"/>
  <c r="CB1663" i="9"/>
  <c r="CB1664" i="9"/>
  <c r="CB1665" i="9"/>
  <c r="CB1666" i="9"/>
  <c r="CB1084" i="9"/>
  <c r="CB1085" i="9"/>
  <c r="CB1100" i="9"/>
  <c r="CB1101" i="9"/>
  <c r="CB62" i="9"/>
  <c r="CB63" i="9"/>
  <c r="CB68" i="9"/>
  <c r="CB69" i="9"/>
  <c r="CB146" i="9"/>
  <c r="CB147" i="9"/>
  <c r="CB150" i="9"/>
  <c r="CB151" i="9"/>
  <c r="CB186" i="9"/>
  <c r="CB187" i="9"/>
  <c r="CB210" i="9"/>
  <c r="CB211" i="9"/>
  <c r="CB236" i="9"/>
  <c r="CB237" i="9"/>
  <c r="CB250" i="9"/>
  <c r="CB251" i="9"/>
  <c r="CB274" i="9"/>
  <c r="CB275" i="9"/>
  <c r="CB278" i="9"/>
  <c r="CB279" i="9"/>
  <c r="CB286" i="9"/>
  <c r="CB287" i="9"/>
  <c r="CB308" i="9"/>
  <c r="CB309" i="9"/>
  <c r="CB320" i="9"/>
  <c r="CB321" i="9"/>
  <c r="CB332" i="9"/>
  <c r="CB333" i="9"/>
  <c r="CB342" i="9"/>
  <c r="CB343" i="9"/>
  <c r="CB374" i="9"/>
  <c r="CB375" i="9"/>
  <c r="CB378" i="9"/>
  <c r="CB379" i="9"/>
  <c r="CB390" i="9"/>
  <c r="CB391" i="9"/>
  <c r="CB398" i="9"/>
  <c r="CB399" i="9"/>
  <c r="CB448" i="9"/>
  <c r="CB449" i="9"/>
  <c r="CB456" i="9"/>
  <c r="CB457" i="9"/>
  <c r="CB464" i="9"/>
  <c r="CB465" i="9"/>
  <c r="CB486" i="9"/>
  <c r="CB487" i="9"/>
  <c r="CB492" i="9"/>
  <c r="CB493" i="9"/>
  <c r="CB510" i="9"/>
  <c r="CB511" i="9"/>
  <c r="CB516" i="9"/>
  <c r="CB517" i="9"/>
  <c r="CB544" i="9"/>
  <c r="CB545" i="9"/>
  <c r="CB560" i="9"/>
  <c r="CB561" i="9"/>
  <c r="CB678" i="9"/>
  <c r="CB679" i="9"/>
  <c r="CB710" i="9"/>
  <c r="CB711" i="9"/>
  <c r="CB750" i="9"/>
  <c r="CB751" i="9"/>
  <c r="CB754" i="9"/>
  <c r="CB755" i="9"/>
  <c r="CB768" i="9"/>
  <c r="CB769" i="9"/>
  <c r="CB808" i="9"/>
  <c r="CB809" i="9"/>
  <c r="CB824" i="9"/>
  <c r="CB825" i="9"/>
  <c r="CB844" i="9"/>
  <c r="CB845" i="9"/>
  <c r="CB880" i="9"/>
  <c r="CB881" i="9"/>
  <c r="CB884" i="9"/>
  <c r="CB885" i="9"/>
  <c r="CB886" i="9"/>
  <c r="CB887" i="9"/>
  <c r="CB900" i="9"/>
  <c r="CB901" i="9"/>
  <c r="CB918" i="9"/>
  <c r="CB919" i="9"/>
  <c r="CB1018" i="9"/>
  <c r="CB1019" i="9"/>
  <c r="CB1040" i="9"/>
  <c r="CB1041" i="9"/>
  <c r="CB1106" i="9"/>
  <c r="CB1107" i="9"/>
  <c r="CB1118" i="9"/>
  <c r="CB1119" i="9"/>
  <c r="CB1122" i="9"/>
  <c r="CB1123" i="9"/>
  <c r="CB1196" i="9"/>
  <c r="CB1197" i="9"/>
  <c r="CB1228" i="9"/>
  <c r="CB1229" i="9"/>
  <c r="CB1246" i="9"/>
  <c r="CB1247" i="9"/>
  <c r="CB1264" i="9"/>
  <c r="CB1265" i="9"/>
  <c r="CB1282" i="9"/>
  <c r="CB1283" i="9"/>
  <c r="CB1314" i="9"/>
  <c r="CB1315" i="9"/>
  <c r="CB1330" i="9"/>
  <c r="CB1331" i="9"/>
  <c r="CB1346" i="9"/>
  <c r="CB1347" i="9"/>
  <c r="CB1364" i="9"/>
  <c r="CB1365" i="9"/>
  <c r="CB1394" i="9"/>
  <c r="CB1395" i="9"/>
  <c r="CB1412" i="9"/>
  <c r="CB1413" i="9"/>
  <c r="CB632" i="9"/>
  <c r="CB633" i="9"/>
  <c r="CB736" i="9"/>
  <c r="CB737" i="9"/>
  <c r="CB818" i="9"/>
  <c r="CB819" i="9"/>
  <c r="CB854" i="9"/>
  <c r="CB855" i="9"/>
  <c r="CB952" i="9"/>
  <c r="CB953" i="9"/>
  <c r="CB1450" i="9"/>
  <c r="CB1451" i="9"/>
  <c r="CB1482" i="9"/>
  <c r="CB1483" i="9"/>
  <c r="CB1514" i="9"/>
  <c r="CB1515" i="9"/>
  <c r="CB1550" i="9"/>
  <c r="CB1551" i="9"/>
  <c r="CB1576" i="9"/>
  <c r="CB1577" i="9"/>
  <c r="CB1594" i="9"/>
  <c r="CB1595" i="9"/>
  <c r="CB1614" i="9"/>
  <c r="CB1615" i="9"/>
  <c r="CB740" i="9"/>
  <c r="CB741" i="9"/>
  <c r="CB758" i="9"/>
  <c r="CB759" i="9"/>
  <c r="CB830" i="9"/>
  <c r="CB831" i="9"/>
  <c r="CB996" i="9"/>
  <c r="CB997" i="9"/>
  <c r="CB1130" i="9"/>
  <c r="CB1131" i="9"/>
  <c r="CB1152" i="9"/>
  <c r="CB1153" i="9"/>
  <c r="CB1182" i="9"/>
  <c r="CB1183" i="9"/>
  <c r="CB1280" i="9"/>
  <c r="CB1281" i="9"/>
  <c r="CB1336" i="9"/>
  <c r="CB1337" i="9"/>
  <c r="CB1374" i="9"/>
  <c r="CB1375" i="9"/>
  <c r="CB1390" i="9"/>
  <c r="CB1391" i="9"/>
  <c r="CB1436" i="9"/>
  <c r="CB1437" i="9"/>
  <c r="CB1454" i="9"/>
  <c r="CB1455" i="9"/>
  <c r="CB1518" i="9"/>
  <c r="CB1519" i="9"/>
  <c r="CB1560" i="9"/>
  <c r="CB1561" i="9"/>
  <c r="CB1608" i="9"/>
  <c r="CB1609" i="9"/>
  <c r="CB1626" i="9"/>
  <c r="CB1627" i="9"/>
  <c r="CB1658" i="9"/>
  <c r="CB1659" i="9"/>
  <c r="CB850" i="9"/>
  <c r="CB851" i="9"/>
  <c r="CB1150" i="9"/>
  <c r="CB1151" i="9"/>
  <c r="CB1240" i="9"/>
  <c r="CB1241" i="9"/>
  <c r="CB1258" i="9"/>
  <c r="CB1259" i="9"/>
  <c r="CB1358" i="9"/>
  <c r="CB1359" i="9"/>
  <c r="CB1238" i="9"/>
  <c r="CB1239" i="9"/>
  <c r="CB1274" i="9"/>
  <c r="CB1275" i="9"/>
  <c r="CB856" i="9"/>
  <c r="CB857" i="9"/>
  <c r="CB1656" i="9"/>
  <c r="CB1657" i="9"/>
  <c r="CB600" i="9"/>
  <c r="CB601" i="9"/>
  <c r="CB606" i="9"/>
  <c r="CB607" i="9"/>
  <c r="CB802" i="9"/>
  <c r="CB803" i="9"/>
  <c r="CB812" i="9"/>
  <c r="CB813" i="9"/>
  <c r="CB834" i="9"/>
  <c r="CB835" i="9"/>
  <c r="CB1032" i="9"/>
  <c r="CB1033" i="9"/>
  <c r="CB74" i="9"/>
  <c r="CB75" i="9"/>
  <c r="CB78" i="9"/>
  <c r="CB79" i="9"/>
  <c r="CB94" i="9"/>
  <c r="CB95" i="9"/>
  <c r="CB140" i="9"/>
  <c r="CB141" i="9"/>
  <c r="CB164" i="9"/>
  <c r="CB165" i="9"/>
  <c r="CB202" i="9"/>
  <c r="CB203" i="9"/>
  <c r="CB218" i="9"/>
  <c r="CB219" i="9"/>
  <c r="CB240" i="9"/>
  <c r="CB241" i="9"/>
  <c r="CB294" i="9"/>
  <c r="CB295" i="9"/>
  <c r="CB354" i="9"/>
  <c r="CB355" i="9"/>
  <c r="CB572" i="9"/>
  <c r="CB573" i="9"/>
  <c r="CB660" i="9"/>
  <c r="CB661" i="9"/>
  <c r="CB896" i="9"/>
  <c r="CB897" i="9"/>
  <c r="CB908" i="9"/>
  <c r="CB909" i="9"/>
  <c r="CB926" i="9"/>
  <c r="CB927" i="9"/>
  <c r="CB1096" i="9"/>
  <c r="CB1097" i="9"/>
  <c r="CB1110" i="9"/>
  <c r="CB1111" i="9"/>
  <c r="CB1146" i="9"/>
  <c r="CB1147" i="9"/>
  <c r="CB1654" i="9"/>
  <c r="CB1655" i="9"/>
  <c r="CB1112" i="9"/>
  <c r="CB1113" i="9"/>
  <c r="CB1050" i="9"/>
  <c r="CB1051" i="9"/>
  <c r="CB1080" i="9"/>
  <c r="CB1081" i="9"/>
  <c r="CB10" i="9"/>
  <c r="CB11" i="9"/>
  <c r="CB668" i="9"/>
  <c r="CB669" i="9"/>
  <c r="CB650" i="9"/>
  <c r="CB651" i="9"/>
  <c r="CB814" i="9"/>
  <c r="CB815" i="9"/>
  <c r="CB106" i="9"/>
  <c r="CB107" i="9"/>
  <c r="CB688" i="9"/>
  <c r="CB689" i="9"/>
  <c r="CB868" i="9"/>
  <c r="CB869" i="9"/>
  <c r="CB1044" i="9"/>
  <c r="CB1045" i="9"/>
  <c r="CB196" i="9"/>
  <c r="CB197" i="9"/>
  <c r="CB590" i="9"/>
  <c r="CB591" i="9"/>
  <c r="CB604" i="9"/>
  <c r="CB605" i="9"/>
  <c r="CB570" i="9"/>
  <c r="CB571" i="9"/>
  <c r="CB586" i="9"/>
  <c r="CB587" i="9"/>
  <c r="CB120" i="9"/>
  <c r="CB121" i="9"/>
  <c r="CB124" i="9"/>
  <c r="CB125" i="9"/>
  <c r="CB128" i="9"/>
  <c r="CB129" i="9"/>
  <c r="CB138" i="9"/>
  <c r="CB139" i="9"/>
  <c r="CB142" i="9"/>
  <c r="CB143" i="9"/>
  <c r="CB148" i="9"/>
  <c r="CB149" i="9"/>
  <c r="CB168" i="9"/>
  <c r="CB169" i="9"/>
  <c r="CB174" i="9"/>
  <c r="CB175" i="9"/>
  <c r="CB182" i="9"/>
  <c r="CB183" i="9"/>
  <c r="CB198" i="9"/>
  <c r="CB199" i="9"/>
  <c r="CB262" i="9"/>
  <c r="CB263" i="9"/>
  <c r="CB280" i="9"/>
  <c r="CB281" i="9"/>
  <c r="CB292" i="9"/>
  <c r="CB293" i="9"/>
  <c r="CB298" i="9"/>
  <c r="CB299" i="9"/>
  <c r="CB300" i="9"/>
  <c r="CB301" i="9"/>
  <c r="CB322" i="9"/>
  <c r="CB323" i="9"/>
  <c r="CB330" i="9"/>
  <c r="CB331" i="9"/>
  <c r="CB336" i="9"/>
  <c r="CB337" i="9"/>
  <c r="CB348" i="9"/>
  <c r="CB349" i="9"/>
  <c r="CB360" i="9"/>
  <c r="CB361" i="9"/>
  <c r="CB440" i="9"/>
  <c r="CB441" i="9"/>
  <c r="CB452" i="9"/>
  <c r="CB453" i="9"/>
  <c r="CB468" i="9"/>
  <c r="CB469" i="9"/>
  <c r="CB476" i="9"/>
  <c r="CB477" i="9"/>
  <c r="CB490" i="9"/>
  <c r="CB491" i="9"/>
  <c r="CB500" i="9"/>
  <c r="CB501" i="9"/>
  <c r="CB522" i="9"/>
  <c r="CB523" i="9"/>
  <c r="CB530" i="9"/>
  <c r="CB531" i="9"/>
  <c r="CB536" i="9"/>
  <c r="CB537" i="9"/>
  <c r="CB552" i="9"/>
  <c r="CB553" i="9"/>
  <c r="CB592" i="9"/>
  <c r="CB593" i="9"/>
  <c r="CB618" i="9"/>
  <c r="CB619" i="9"/>
  <c r="CB634" i="9"/>
  <c r="CB635" i="9"/>
  <c r="CB656" i="9"/>
  <c r="CB657" i="9"/>
  <c r="CB694" i="9"/>
  <c r="CB695" i="9"/>
  <c r="CB730" i="9"/>
  <c r="CB731" i="9"/>
  <c r="CB744" i="9"/>
  <c r="CB745" i="9"/>
  <c r="CB766" i="9"/>
  <c r="CB767" i="9"/>
  <c r="CB788" i="9"/>
  <c r="CB789" i="9"/>
  <c r="CB806" i="9"/>
  <c r="CB807" i="9"/>
  <c r="CB822" i="9"/>
  <c r="CB823" i="9"/>
  <c r="CB840" i="9"/>
  <c r="CB841" i="9"/>
  <c r="CB860" i="9"/>
  <c r="CB861" i="9"/>
  <c r="CB878" i="9"/>
  <c r="CB879" i="9"/>
  <c r="CB882" i="9"/>
  <c r="CB883" i="9"/>
  <c r="CB936" i="9"/>
  <c r="CB937" i="9"/>
  <c r="CB962" i="9"/>
  <c r="CB963" i="9"/>
  <c r="CB1074" i="9"/>
  <c r="CB1075" i="9"/>
  <c r="CB1086" i="9"/>
  <c r="CB1087" i="9"/>
  <c r="CB1156" i="9"/>
  <c r="CB1157" i="9"/>
  <c r="CB1250" i="9"/>
  <c r="CB1251" i="9"/>
  <c r="CB1338" i="9"/>
  <c r="CB1339" i="9"/>
  <c r="CB1534" i="9"/>
  <c r="CB1535" i="9"/>
  <c r="CB1136" i="9"/>
  <c r="CB1137" i="9"/>
  <c r="CB1170" i="9"/>
  <c r="CB1171" i="9"/>
  <c r="CB1188" i="9"/>
  <c r="CB1189" i="9"/>
  <c r="CB1320" i="9"/>
  <c r="CB1321" i="9"/>
  <c r="CB576" i="9"/>
  <c r="CB577" i="9"/>
  <c r="CB912" i="9"/>
  <c r="CB913" i="9"/>
  <c r="CB1062" i="9"/>
  <c r="CB1063" i="9"/>
  <c r="CB1562" i="9"/>
  <c r="CB1563" i="9"/>
  <c r="CB1652" i="9"/>
  <c r="CB1653" i="9"/>
  <c r="CB1236" i="9"/>
  <c r="CB1237" i="9"/>
  <c r="CB628" i="9"/>
  <c r="CB629" i="9"/>
  <c r="CB640" i="9"/>
  <c r="CB641" i="9"/>
  <c r="CB774" i="9"/>
  <c r="CB775" i="9"/>
  <c r="CB780" i="9"/>
  <c r="CB781" i="9"/>
  <c r="CB784" i="9"/>
  <c r="CB785" i="9"/>
  <c r="CB1544" i="9"/>
  <c r="CB1545" i="9"/>
  <c r="CB102" i="9"/>
  <c r="CB103" i="9"/>
  <c r="CB122" i="9"/>
  <c r="CB123" i="9"/>
  <c r="CB170" i="9"/>
  <c r="CB171" i="9"/>
  <c r="CB194" i="9"/>
  <c r="CB195" i="9"/>
  <c r="CB238" i="9"/>
  <c r="CB239" i="9"/>
  <c r="CB244" i="9"/>
  <c r="CB245" i="9"/>
  <c r="CB424" i="9"/>
  <c r="CB425" i="9"/>
  <c r="CB526" i="9"/>
  <c r="CB527" i="9"/>
  <c r="CB610" i="9"/>
  <c r="CB611" i="9"/>
  <c r="CB1026" i="9"/>
  <c r="CB1027" i="9"/>
  <c r="CB1270" i="9"/>
  <c r="CB1271" i="9"/>
  <c r="CB1512" i="9"/>
  <c r="CB1513" i="9"/>
  <c r="CB1502" i="9"/>
  <c r="CB1503" i="9"/>
  <c r="CB720" i="9"/>
  <c r="CB721" i="9"/>
  <c r="CB928" i="9"/>
  <c r="CB929" i="9"/>
  <c r="CB1200" i="9"/>
  <c r="CB1201" i="9"/>
  <c r="CB722" i="9"/>
  <c r="CB723" i="9"/>
  <c r="CB762" i="9"/>
  <c r="CB763" i="9"/>
  <c r="CB782" i="9"/>
  <c r="CB783" i="9"/>
  <c r="CB800" i="9"/>
  <c r="CB801" i="9"/>
  <c r="CB852" i="9"/>
  <c r="CB853" i="9"/>
  <c r="CB978" i="9"/>
  <c r="CB979" i="9"/>
  <c r="CB1066" i="9"/>
  <c r="CB1067" i="9"/>
  <c r="CB1068" i="9"/>
  <c r="CB1069" i="9"/>
  <c r="CB1148" i="9"/>
  <c r="CB1149" i="9"/>
  <c r="CB1272" i="9"/>
  <c r="CB1273" i="9"/>
  <c r="CB1326" i="9"/>
  <c r="CB1327" i="9"/>
  <c r="CB1404" i="9"/>
  <c r="CB1405" i="9"/>
  <c r="CB1420" i="9"/>
  <c r="CB1421" i="9"/>
  <c r="CB1432" i="9"/>
  <c r="CB1433" i="9"/>
  <c r="CB1530" i="9"/>
  <c r="CB1531" i="9"/>
  <c r="CB1592" i="9"/>
  <c r="CB1593" i="9"/>
  <c r="CB1624" i="9"/>
  <c r="CB1625" i="9"/>
  <c r="CB1638" i="9"/>
  <c r="CB1639" i="9"/>
  <c r="CB1184" i="9"/>
  <c r="CB1185" i="9"/>
  <c r="CB1292" i="9"/>
  <c r="CB1293" i="9"/>
  <c r="CB1010" i="9"/>
  <c r="CB1011" i="9"/>
  <c r="CB914" i="9"/>
  <c r="CB915" i="9"/>
  <c r="CB1372" i="9"/>
  <c r="CB1373" i="9"/>
  <c r="CB666" i="9"/>
  <c r="CB667" i="9"/>
  <c r="CB676" i="9"/>
  <c r="CB677" i="9"/>
  <c r="CB686" i="9"/>
  <c r="CB687" i="9"/>
  <c r="CB738" i="9"/>
  <c r="CB739" i="9"/>
  <c r="CB974" i="9"/>
  <c r="CB975" i="9"/>
  <c r="CB638" i="9"/>
  <c r="CB639" i="9"/>
  <c r="CB670" i="9"/>
  <c r="CB671" i="9"/>
  <c r="CB674" i="9"/>
  <c r="CB675" i="9"/>
  <c r="CB690" i="9"/>
  <c r="CB691" i="9"/>
  <c r="CB776" i="9"/>
  <c r="CB777" i="9"/>
  <c r="CB956" i="9"/>
  <c r="CB957" i="9"/>
  <c r="CB1094" i="9"/>
  <c r="CB1095" i="9"/>
  <c r="CB1116" i="9"/>
  <c r="CB1117" i="9"/>
  <c r="CB1464" i="9"/>
  <c r="CB1465" i="9"/>
  <c r="CB1516" i="9"/>
  <c r="CB1517" i="9"/>
  <c r="CB1384" i="9"/>
  <c r="CB1385" i="9"/>
  <c r="CB108" i="9"/>
  <c r="CB109" i="9"/>
  <c r="CB798" i="9"/>
  <c r="CB799" i="9"/>
  <c r="CB816" i="9"/>
  <c r="CB817" i="9"/>
  <c r="CB932" i="9"/>
  <c r="CB933" i="9"/>
  <c r="CB1400" i="9"/>
  <c r="CB1401" i="9"/>
  <c r="CB700" i="9"/>
  <c r="BL3" i="9"/>
  <c r="BL4" i="9"/>
  <c r="BL5" i="9"/>
  <c r="BL6" i="9"/>
  <c r="BL7" i="9"/>
  <c r="BL8" i="9"/>
  <c r="BL9" i="9"/>
  <c r="BL10" i="9"/>
  <c r="BL11" i="9"/>
  <c r="BL12" i="9"/>
  <c r="BL13" i="9"/>
  <c r="BL14" i="9"/>
  <c r="BL15" i="9"/>
  <c r="BL16" i="9"/>
  <c r="BL17" i="9"/>
  <c r="BL18" i="9"/>
  <c r="BL19" i="9"/>
  <c r="BL20" i="9"/>
  <c r="BL21" i="9"/>
  <c r="BL22" i="9"/>
  <c r="BL23" i="9"/>
  <c r="BL24" i="9"/>
  <c r="BL25" i="9"/>
  <c r="BL26" i="9"/>
  <c r="BL27" i="9"/>
  <c r="BL28" i="9"/>
  <c r="BL29" i="9"/>
  <c r="BL30" i="9"/>
  <c r="BL31" i="9"/>
  <c r="BL32" i="9"/>
  <c r="BL33" i="9"/>
  <c r="BL34" i="9"/>
  <c r="BL35" i="9"/>
  <c r="BL36" i="9"/>
  <c r="BL37" i="9"/>
  <c r="BL38" i="9"/>
  <c r="BL39" i="9"/>
  <c r="BL40" i="9"/>
  <c r="BL41" i="9"/>
  <c r="BL42" i="9"/>
  <c r="BL43" i="9"/>
  <c r="BL44" i="9"/>
  <c r="BL45" i="9"/>
  <c r="BL46" i="9"/>
  <c r="BL47" i="9"/>
  <c r="BL48" i="9"/>
  <c r="BL49" i="9"/>
  <c r="BL50" i="9"/>
  <c r="BL51" i="9"/>
  <c r="BL52" i="9"/>
  <c r="BL53" i="9"/>
  <c r="BL54" i="9"/>
  <c r="BL55" i="9"/>
  <c r="BL56" i="9"/>
  <c r="BL57" i="9"/>
  <c r="BL58" i="9"/>
  <c r="BL59" i="9"/>
  <c r="BL60" i="9"/>
  <c r="BL61" i="9"/>
  <c r="BL62" i="9"/>
  <c r="BL63" i="9"/>
  <c r="BL64" i="9"/>
  <c r="BL65" i="9"/>
  <c r="BL66" i="9"/>
  <c r="BL67" i="9"/>
  <c r="BL68" i="9"/>
  <c r="BL69" i="9"/>
  <c r="BL70" i="9"/>
  <c r="BL71" i="9"/>
  <c r="BL72" i="9"/>
  <c r="BL73" i="9"/>
  <c r="BL74" i="9"/>
  <c r="BL75" i="9"/>
  <c r="BL76" i="9"/>
  <c r="BL77" i="9"/>
  <c r="BL78" i="9"/>
  <c r="BL79" i="9"/>
  <c r="BL80" i="9"/>
  <c r="BL81" i="9"/>
  <c r="BL82" i="9"/>
  <c r="BL83" i="9"/>
  <c r="BL84" i="9"/>
  <c r="BL85" i="9"/>
  <c r="BL86" i="9"/>
  <c r="BL87" i="9"/>
  <c r="BL88" i="9"/>
  <c r="BL89" i="9"/>
  <c r="BL90" i="9"/>
  <c r="BL91" i="9"/>
  <c r="BL92" i="9"/>
  <c r="BL93" i="9"/>
  <c r="BL96" i="9"/>
  <c r="BL97" i="9"/>
  <c r="BL94" i="9"/>
  <c r="BL95" i="9"/>
  <c r="BL98" i="9"/>
  <c r="BL99" i="9"/>
  <c r="BL100" i="9"/>
  <c r="BL101" i="9"/>
  <c r="BL102" i="9"/>
  <c r="BL103" i="9"/>
  <c r="BL104" i="9"/>
  <c r="BL105" i="9"/>
  <c r="BL106" i="9"/>
  <c r="BL107" i="9"/>
  <c r="BL108" i="9"/>
  <c r="BL109" i="9"/>
  <c r="BL110" i="9"/>
  <c r="BL111" i="9"/>
  <c r="BL112" i="9"/>
  <c r="BL113" i="9"/>
  <c r="BL116" i="9"/>
  <c r="BL117" i="9"/>
  <c r="BL114" i="9"/>
  <c r="BL115" i="9"/>
  <c r="BL118" i="9"/>
  <c r="BL119" i="9"/>
  <c r="BL120" i="9"/>
  <c r="BL121" i="9"/>
  <c r="BL122" i="9"/>
  <c r="BL123" i="9"/>
  <c r="BL124" i="9"/>
  <c r="BL125" i="9"/>
  <c r="BL126" i="9"/>
  <c r="BL127" i="9"/>
  <c r="BL130" i="9"/>
  <c r="BL131" i="9"/>
  <c r="BL128" i="9"/>
  <c r="BL129" i="9"/>
  <c r="BL132" i="9"/>
  <c r="BL133" i="9"/>
  <c r="BL134" i="9"/>
  <c r="BL135" i="9"/>
  <c r="BL136" i="9"/>
  <c r="BL137" i="9"/>
  <c r="BL140" i="9"/>
  <c r="BL141" i="9"/>
  <c r="BL138" i="9"/>
  <c r="BL139" i="9"/>
  <c r="BL142" i="9"/>
  <c r="BL143" i="9"/>
  <c r="BL144" i="9"/>
  <c r="BL145" i="9"/>
  <c r="BL146" i="9"/>
  <c r="BL147" i="9"/>
  <c r="BL150" i="9"/>
  <c r="BL151" i="9"/>
  <c r="BL148" i="9"/>
  <c r="BL149" i="9"/>
  <c r="BL152" i="9"/>
  <c r="BL153" i="9"/>
  <c r="BL156" i="9"/>
  <c r="BL157" i="9"/>
  <c r="BL154" i="9"/>
  <c r="BL155" i="9"/>
  <c r="BL158" i="9"/>
  <c r="BL159" i="9"/>
  <c r="BL162" i="9"/>
  <c r="BL163" i="9"/>
  <c r="BL160" i="9"/>
  <c r="BL161" i="9"/>
  <c r="BL164" i="9"/>
  <c r="BL165" i="9"/>
  <c r="BL166" i="9"/>
  <c r="BL167" i="9"/>
  <c r="BL168" i="9"/>
  <c r="BL169" i="9"/>
  <c r="BL170" i="9"/>
  <c r="BL171" i="9"/>
  <c r="BL172" i="9"/>
  <c r="BL173" i="9"/>
  <c r="BL176" i="9"/>
  <c r="BL177" i="9"/>
  <c r="BL174" i="9"/>
  <c r="BL175" i="9"/>
  <c r="BL178" i="9"/>
  <c r="BL179" i="9"/>
  <c r="BL180" i="9"/>
  <c r="BL181" i="9"/>
  <c r="BL184" i="9"/>
  <c r="BL185" i="9"/>
  <c r="BL182" i="9"/>
  <c r="BL183" i="9"/>
  <c r="BL186" i="9"/>
  <c r="BL187" i="9"/>
  <c r="BL188" i="9"/>
  <c r="BL189" i="9"/>
  <c r="BL190" i="9"/>
  <c r="BL191" i="9"/>
  <c r="BL192" i="9"/>
  <c r="BL193" i="9"/>
  <c r="BL194" i="9"/>
  <c r="BL195" i="9"/>
  <c r="BL196" i="9"/>
  <c r="BL197" i="9"/>
  <c r="BL198" i="9"/>
  <c r="BL199" i="9"/>
  <c r="BL200" i="9"/>
  <c r="BL201" i="9"/>
  <c r="BL202" i="9"/>
  <c r="BL203" i="9"/>
  <c r="BL204" i="9"/>
  <c r="BL205" i="9"/>
  <c r="BL206" i="9"/>
  <c r="BL207" i="9"/>
  <c r="BL208" i="9"/>
  <c r="BL209" i="9"/>
  <c r="BL210" i="9"/>
  <c r="BL211" i="9"/>
  <c r="BL212" i="9"/>
  <c r="BL213" i="9"/>
  <c r="BL214" i="9"/>
  <c r="BL215" i="9"/>
  <c r="BL216" i="9"/>
  <c r="BL217" i="9"/>
  <c r="BL218" i="9"/>
  <c r="BL219" i="9"/>
  <c r="BL220" i="9"/>
  <c r="BL221" i="9"/>
  <c r="BL222" i="9"/>
  <c r="BL223" i="9"/>
  <c r="BL226" i="9"/>
  <c r="BL227" i="9"/>
  <c r="BL224" i="9"/>
  <c r="BL225" i="9"/>
  <c r="BL228" i="9"/>
  <c r="BL229" i="9"/>
  <c r="BL232" i="9"/>
  <c r="BL233" i="9"/>
  <c r="BL230" i="9"/>
  <c r="BL231" i="9"/>
  <c r="BL234" i="9"/>
  <c r="BL235" i="9"/>
  <c r="BL236" i="9"/>
  <c r="BL237" i="9"/>
  <c r="BL238" i="9"/>
  <c r="BL239" i="9"/>
  <c r="BL240" i="9"/>
  <c r="BL241" i="9"/>
  <c r="BL242" i="9"/>
  <c r="BL243" i="9"/>
  <c r="BL246" i="9"/>
  <c r="BL247" i="9"/>
  <c r="BL244" i="9"/>
  <c r="BL245" i="9"/>
  <c r="BL248" i="9"/>
  <c r="BL249" i="9"/>
  <c r="BL252" i="9"/>
  <c r="BL253" i="9"/>
  <c r="BL250" i="9"/>
  <c r="BL251" i="9"/>
  <c r="BL254" i="9"/>
  <c r="BL255" i="9"/>
  <c r="BL256" i="9"/>
  <c r="BL257" i="9"/>
  <c r="BL258" i="9"/>
  <c r="BL259" i="9"/>
  <c r="BL260" i="9"/>
  <c r="BL261" i="9"/>
  <c r="BL264" i="9"/>
  <c r="BL265" i="9"/>
  <c r="BL262" i="9"/>
  <c r="BL263" i="9"/>
  <c r="BL266" i="9"/>
  <c r="BL267" i="9"/>
  <c r="BL268" i="9"/>
  <c r="BL269" i="9"/>
  <c r="BL270" i="9"/>
  <c r="BL271" i="9"/>
  <c r="BL272" i="9"/>
  <c r="BL273" i="9"/>
  <c r="BL274" i="9"/>
  <c r="BL275" i="9"/>
  <c r="BL276" i="9"/>
  <c r="BL277" i="9"/>
  <c r="BL278" i="9"/>
  <c r="BL279" i="9"/>
  <c r="BL282" i="9"/>
  <c r="BL283" i="9"/>
  <c r="BL280" i="9"/>
  <c r="BL281" i="9"/>
  <c r="BL284" i="9"/>
  <c r="BL285" i="9"/>
  <c r="BL286" i="9"/>
  <c r="BL287" i="9"/>
  <c r="BL288" i="9"/>
  <c r="BL289" i="9"/>
  <c r="BL290" i="9"/>
  <c r="BL291" i="9"/>
  <c r="BL294" i="9"/>
  <c r="BL295" i="9"/>
  <c r="BL292" i="9"/>
  <c r="BL293" i="9"/>
  <c r="BL296" i="9"/>
  <c r="BL297" i="9"/>
  <c r="BL298" i="9"/>
  <c r="BL299" i="9"/>
  <c r="BL302" i="9"/>
  <c r="BL303" i="9"/>
  <c r="BL300" i="9"/>
  <c r="BL301" i="9"/>
  <c r="BL304" i="9"/>
  <c r="BL305" i="9"/>
  <c r="BL306" i="9"/>
  <c r="BL307" i="9"/>
  <c r="BL310" i="9"/>
  <c r="BL311" i="9"/>
  <c r="BL308" i="9"/>
  <c r="BL309" i="9"/>
  <c r="BL312" i="9"/>
  <c r="BL313" i="9"/>
  <c r="BL314" i="9"/>
  <c r="BL315" i="9"/>
  <c r="BL318" i="9"/>
  <c r="BL319" i="9"/>
  <c r="BL316" i="9"/>
  <c r="BL317" i="9"/>
  <c r="BL320" i="9"/>
  <c r="BL321" i="9"/>
  <c r="BL324" i="9"/>
  <c r="BL325" i="9"/>
  <c r="BL322" i="9"/>
  <c r="BL323" i="9"/>
  <c r="BL326" i="9"/>
  <c r="BL327" i="9"/>
  <c r="BL328" i="9"/>
  <c r="BL329" i="9"/>
  <c r="BL330" i="9"/>
  <c r="BL331" i="9"/>
  <c r="BL332" i="9"/>
  <c r="BL333" i="9"/>
  <c r="BL334" i="9"/>
  <c r="BL335" i="9"/>
  <c r="BL338" i="9"/>
  <c r="BL339" i="9"/>
  <c r="BL336" i="9"/>
  <c r="BL337" i="9"/>
  <c r="BL340" i="9"/>
  <c r="BL341" i="9"/>
  <c r="BL344" i="9"/>
  <c r="BL345" i="9"/>
  <c r="BL342" i="9"/>
  <c r="BL343" i="9"/>
  <c r="BL346" i="9"/>
  <c r="BL347" i="9"/>
  <c r="BL350" i="9"/>
  <c r="BL351" i="9"/>
  <c r="BL348" i="9"/>
  <c r="BL349" i="9"/>
  <c r="BL352" i="9"/>
  <c r="BL353" i="9"/>
  <c r="BL356" i="9"/>
  <c r="BL357" i="9"/>
  <c r="BL354" i="9"/>
  <c r="BL355" i="9"/>
  <c r="BL358" i="9"/>
  <c r="BL359" i="9"/>
  <c r="BL360" i="9"/>
  <c r="BL361" i="9"/>
  <c r="BL362" i="9"/>
  <c r="BL363" i="9"/>
  <c r="BL364" i="9"/>
  <c r="BL365" i="9"/>
  <c r="BL366" i="9"/>
  <c r="BL367" i="9"/>
  <c r="BL368" i="9"/>
  <c r="BL369" i="9"/>
  <c r="BL370" i="9"/>
  <c r="BL371" i="9"/>
  <c r="BL372" i="9"/>
  <c r="BL373" i="9"/>
  <c r="BL374" i="9"/>
  <c r="BL375" i="9"/>
  <c r="BL376" i="9"/>
  <c r="BL377" i="9"/>
  <c r="BL378" i="9"/>
  <c r="BL379" i="9"/>
  <c r="BL380" i="9"/>
  <c r="BL381" i="9"/>
  <c r="BL382" i="9"/>
  <c r="BL383" i="9"/>
  <c r="BL384" i="9"/>
  <c r="BL385" i="9"/>
  <c r="BL386" i="9"/>
  <c r="BL387" i="9"/>
  <c r="BL388" i="9"/>
  <c r="BL389" i="9"/>
  <c r="BL390" i="9"/>
  <c r="BL391" i="9"/>
  <c r="BL392" i="9"/>
  <c r="BL393" i="9"/>
  <c r="BL394" i="9"/>
  <c r="BL395" i="9"/>
  <c r="BL396" i="9"/>
  <c r="BL397" i="9"/>
  <c r="BL398" i="9"/>
  <c r="BL399" i="9"/>
  <c r="BL400" i="9"/>
  <c r="BL401" i="9"/>
  <c r="BL404" i="9"/>
  <c r="BL405" i="9"/>
  <c r="BL402" i="9"/>
  <c r="BL403" i="9"/>
  <c r="BL406" i="9"/>
  <c r="BL407" i="9"/>
  <c r="BL410" i="9"/>
  <c r="BL411" i="9"/>
  <c r="BL408" i="9"/>
  <c r="BL409" i="9"/>
  <c r="BL412" i="9"/>
  <c r="BL413" i="9"/>
  <c r="BL416" i="9"/>
  <c r="BL417" i="9"/>
  <c r="BL414" i="9"/>
  <c r="BL415" i="9"/>
  <c r="BL418" i="9"/>
  <c r="BL419" i="9"/>
  <c r="BL422" i="9"/>
  <c r="BL423" i="9"/>
  <c r="BL420" i="9"/>
  <c r="BL421" i="9"/>
  <c r="BL424" i="9"/>
  <c r="BL425" i="9"/>
  <c r="BL426" i="9"/>
  <c r="BL427" i="9"/>
  <c r="BL430" i="9"/>
  <c r="BL431" i="9"/>
  <c r="BL428" i="9"/>
  <c r="BL429" i="9"/>
  <c r="BL432" i="9"/>
  <c r="BL433" i="9"/>
  <c r="BL436" i="9"/>
  <c r="BL437" i="9"/>
  <c r="BL434" i="9"/>
  <c r="BL435" i="9"/>
  <c r="BL438" i="9"/>
  <c r="BL439" i="9"/>
  <c r="BL442" i="9"/>
  <c r="BL443" i="9"/>
  <c r="BL440" i="9"/>
  <c r="BL441" i="9"/>
  <c r="BL444" i="9"/>
  <c r="BL445" i="9"/>
  <c r="BL446" i="9"/>
  <c r="BL447" i="9"/>
  <c r="BL448" i="9"/>
  <c r="BL449" i="9"/>
  <c r="BL450" i="9"/>
  <c r="BL451" i="9"/>
  <c r="BL454" i="9"/>
  <c r="BL455" i="9"/>
  <c r="BL452" i="9"/>
  <c r="BL453" i="9"/>
  <c r="BL456" i="9"/>
  <c r="BL457" i="9"/>
  <c r="BL458" i="9"/>
  <c r="BL459" i="9"/>
  <c r="BL462" i="9"/>
  <c r="BL463" i="9"/>
  <c r="BL460" i="9"/>
  <c r="BL461" i="9"/>
  <c r="BL464" i="9"/>
  <c r="BL465" i="9"/>
  <c r="BL466" i="9"/>
  <c r="BL467" i="9"/>
  <c r="BL470" i="9"/>
  <c r="BL471" i="9"/>
  <c r="BL468" i="9"/>
  <c r="BL469" i="9"/>
  <c r="BL472" i="9"/>
  <c r="BL473" i="9"/>
  <c r="BL474" i="9"/>
  <c r="BL475" i="9"/>
  <c r="BL476" i="9"/>
  <c r="BL477" i="9"/>
  <c r="BL478" i="9"/>
  <c r="BL479" i="9"/>
  <c r="BL480" i="9"/>
  <c r="BL481" i="9"/>
  <c r="BL482" i="9"/>
  <c r="BL483" i="9"/>
  <c r="BL484" i="9"/>
  <c r="BL485" i="9"/>
  <c r="BL486" i="9"/>
  <c r="BL487" i="9"/>
  <c r="BL488" i="9"/>
  <c r="BL489" i="9"/>
  <c r="BL492" i="9"/>
  <c r="BL493" i="9"/>
  <c r="BL490" i="9"/>
  <c r="BL491" i="9"/>
  <c r="BL496" i="9"/>
  <c r="BL497" i="9"/>
  <c r="BL494" i="9"/>
  <c r="BL495" i="9"/>
  <c r="BL498" i="9"/>
  <c r="BL499" i="9"/>
  <c r="BL500" i="9"/>
  <c r="BL501" i="9"/>
  <c r="BL502" i="9"/>
  <c r="BL503" i="9"/>
  <c r="BL504" i="9"/>
  <c r="BL505" i="9"/>
  <c r="BL506" i="9"/>
  <c r="BL507" i="9"/>
  <c r="BL508" i="9"/>
  <c r="BL509" i="9"/>
  <c r="BL512" i="9"/>
  <c r="BL513" i="9"/>
  <c r="BL510" i="9"/>
  <c r="BL511" i="9"/>
  <c r="BL514" i="9"/>
  <c r="BL515" i="9"/>
  <c r="BL518" i="9"/>
  <c r="BL519" i="9"/>
  <c r="BL516" i="9"/>
  <c r="BL517" i="9"/>
  <c r="BL520" i="9"/>
  <c r="BL521" i="9"/>
  <c r="BL524" i="9"/>
  <c r="BL525" i="9"/>
  <c r="BL522" i="9"/>
  <c r="BL523" i="9"/>
  <c r="BL526" i="9"/>
  <c r="BL527" i="9"/>
  <c r="BL528" i="9"/>
  <c r="BL529" i="9"/>
  <c r="BL532" i="9"/>
  <c r="BL533" i="9"/>
  <c r="BL530" i="9"/>
  <c r="BL531" i="9"/>
  <c r="BL534" i="9"/>
  <c r="BL535" i="9"/>
  <c r="BL538" i="9"/>
  <c r="BL539" i="9"/>
  <c r="BL536" i="9"/>
  <c r="BL537" i="9"/>
  <c r="BL540" i="9"/>
  <c r="BL541" i="9"/>
  <c r="BL542" i="9"/>
  <c r="BL543" i="9"/>
  <c r="BL546" i="9"/>
  <c r="BL547" i="9"/>
  <c r="BL544" i="9"/>
  <c r="BL545" i="9"/>
  <c r="BL548" i="9"/>
  <c r="BL549" i="9"/>
  <c r="BL550" i="9"/>
  <c r="BL551" i="9"/>
  <c r="BL554" i="9"/>
  <c r="BL555" i="9"/>
  <c r="BL552" i="9"/>
  <c r="BL553" i="9"/>
  <c r="BL556" i="9"/>
  <c r="BL557" i="9"/>
  <c r="BL558" i="9"/>
  <c r="BL559" i="9"/>
  <c r="BL562" i="9"/>
  <c r="BL563" i="9"/>
  <c r="BL560" i="9"/>
  <c r="BL561" i="9"/>
  <c r="BL564" i="9"/>
  <c r="BL565" i="9"/>
  <c r="BL568" i="9"/>
  <c r="BL569" i="9"/>
  <c r="BL566" i="9"/>
  <c r="BL567" i="9"/>
  <c r="BL570" i="9"/>
  <c r="BL571" i="9"/>
  <c r="BL572" i="9"/>
  <c r="BL573" i="9"/>
  <c r="BL574" i="9"/>
  <c r="BL575" i="9"/>
  <c r="BL576" i="9"/>
  <c r="BL577" i="9"/>
  <c r="BL578" i="9"/>
  <c r="BL579" i="9"/>
  <c r="BL580" i="9"/>
  <c r="BL581" i="9"/>
  <c r="BL582" i="9"/>
  <c r="BL583" i="9"/>
  <c r="BL584" i="9"/>
  <c r="BL585" i="9"/>
  <c r="BL586" i="9"/>
  <c r="BL587" i="9"/>
  <c r="BL588" i="9"/>
  <c r="BL589" i="9"/>
  <c r="BL590" i="9"/>
  <c r="BL591" i="9"/>
  <c r="BL594" i="9"/>
  <c r="BL595" i="9"/>
  <c r="BL592" i="9"/>
  <c r="BL593" i="9"/>
  <c r="BL596" i="9"/>
  <c r="BL597" i="9"/>
  <c r="BL598" i="9"/>
  <c r="BL599" i="9"/>
  <c r="BL600" i="9"/>
  <c r="BL601" i="9"/>
  <c r="BL602" i="9"/>
  <c r="BL603" i="9"/>
  <c r="BL604" i="9"/>
  <c r="BL605" i="9"/>
  <c r="BL606" i="9"/>
  <c r="BL607" i="9"/>
  <c r="BL608" i="9"/>
  <c r="BL609" i="9"/>
  <c r="BL610" i="9"/>
  <c r="BL611" i="9"/>
  <c r="BL612" i="9"/>
  <c r="BL613" i="9"/>
  <c r="BL614" i="9"/>
  <c r="BL615" i="9"/>
  <c r="BL616" i="9"/>
  <c r="BL617" i="9"/>
  <c r="BL620" i="9"/>
  <c r="BL621" i="9"/>
  <c r="BL618" i="9"/>
  <c r="BL619" i="9"/>
  <c r="BL622" i="9"/>
  <c r="BL623" i="9"/>
  <c r="BL624" i="9"/>
  <c r="BL625" i="9"/>
  <c r="BL626" i="9"/>
  <c r="BL627" i="9"/>
  <c r="BL628" i="9"/>
  <c r="BL629" i="9"/>
  <c r="BL630" i="9"/>
  <c r="BL631" i="9"/>
  <c r="BL632" i="9"/>
  <c r="BL633" i="9"/>
  <c r="BL636" i="9"/>
  <c r="BL637" i="9"/>
  <c r="BL634" i="9"/>
  <c r="BL635" i="9"/>
  <c r="BL638" i="9"/>
  <c r="BL639" i="9"/>
  <c r="BL640" i="9"/>
  <c r="BL641" i="9"/>
  <c r="BL642" i="9"/>
  <c r="BL643" i="9"/>
  <c r="BL644" i="9"/>
  <c r="BL645" i="9"/>
  <c r="BL648" i="9"/>
  <c r="BL649" i="9"/>
  <c r="BL646" i="9"/>
  <c r="BL647" i="9"/>
  <c r="BL652" i="9"/>
  <c r="BL653" i="9"/>
  <c r="BL650" i="9"/>
  <c r="BL651" i="9"/>
  <c r="BL654" i="9"/>
  <c r="BL655" i="9"/>
  <c r="BL658" i="9"/>
  <c r="BL659" i="9"/>
  <c r="BL656" i="9"/>
  <c r="BL657" i="9"/>
  <c r="BL660" i="9"/>
  <c r="BL661" i="9"/>
  <c r="BL662" i="9"/>
  <c r="BL663" i="9"/>
  <c r="BL664" i="9"/>
  <c r="BL665" i="9"/>
  <c r="BL666" i="9"/>
  <c r="BL667" i="9"/>
  <c r="BL668" i="9"/>
  <c r="BL669" i="9"/>
  <c r="BL670" i="9"/>
  <c r="BL671" i="9"/>
  <c r="BL672" i="9"/>
  <c r="BL673" i="9"/>
  <c r="BL674" i="9"/>
  <c r="BL675" i="9"/>
  <c r="BL676" i="9"/>
  <c r="BL677" i="9"/>
  <c r="BL680" i="9"/>
  <c r="BL681" i="9"/>
  <c r="BL678" i="9"/>
  <c r="BL679" i="9"/>
  <c r="BL682" i="9"/>
  <c r="BL683" i="9"/>
  <c r="BL684" i="9"/>
  <c r="BL685" i="9"/>
  <c r="BL686" i="9"/>
  <c r="BL687" i="9"/>
  <c r="BL688" i="9"/>
  <c r="BL689" i="9"/>
  <c r="BL690" i="9"/>
  <c r="BL691" i="9"/>
  <c r="BL692" i="9"/>
  <c r="BL693" i="9"/>
  <c r="BL696" i="9"/>
  <c r="BL697" i="9"/>
  <c r="BL694" i="9"/>
  <c r="BL695" i="9"/>
  <c r="BL698" i="9"/>
  <c r="BL699" i="9"/>
  <c r="BL700" i="9"/>
  <c r="BL701" i="9"/>
  <c r="BL702" i="9"/>
  <c r="BL703" i="9"/>
  <c r="BL704" i="9"/>
  <c r="BL705" i="9"/>
  <c r="BL706" i="9"/>
  <c r="BL707" i="9"/>
  <c r="BL708" i="9"/>
  <c r="BL709" i="9"/>
  <c r="BL712" i="9"/>
  <c r="BL713" i="9"/>
  <c r="BL710" i="9"/>
  <c r="BL711" i="9"/>
  <c r="BL714" i="9"/>
  <c r="BL715" i="9"/>
  <c r="BL716" i="9"/>
  <c r="BL717" i="9"/>
  <c r="BL718" i="9"/>
  <c r="BL719" i="9"/>
  <c r="BL720" i="9"/>
  <c r="BL721" i="9"/>
  <c r="BL722" i="9"/>
  <c r="BL723" i="9"/>
  <c r="BL724" i="9"/>
  <c r="BL725" i="9"/>
  <c r="BL726" i="9"/>
  <c r="BL727" i="9"/>
  <c r="BL728" i="9"/>
  <c r="BL729" i="9"/>
  <c r="BL730" i="9"/>
  <c r="BL731" i="9"/>
  <c r="BL732" i="9"/>
  <c r="BL733" i="9"/>
  <c r="BL734" i="9"/>
  <c r="BL735" i="9"/>
  <c r="BL736" i="9"/>
  <c r="BL737" i="9"/>
  <c r="BL738" i="9"/>
  <c r="BL739" i="9"/>
  <c r="BL740" i="9"/>
  <c r="BL741" i="9"/>
  <c r="BL742" i="9"/>
  <c r="BL743" i="9"/>
  <c r="BL746" i="9"/>
  <c r="BL747" i="9"/>
  <c r="BL744" i="9"/>
  <c r="BL745" i="9"/>
  <c r="BL748" i="9"/>
  <c r="BL749" i="9"/>
  <c r="BL750" i="9"/>
  <c r="BL751" i="9"/>
  <c r="BL752" i="9"/>
  <c r="BL753" i="9"/>
  <c r="BL754" i="9"/>
  <c r="BL755" i="9"/>
  <c r="BL756" i="9"/>
  <c r="BL757" i="9"/>
  <c r="BL758" i="9"/>
  <c r="BL759" i="9"/>
  <c r="BL760" i="9"/>
  <c r="BL761" i="9"/>
  <c r="BL762" i="9"/>
  <c r="BL763" i="9"/>
  <c r="BL764" i="9"/>
  <c r="BL765" i="9"/>
  <c r="BL768" i="9"/>
  <c r="BL769" i="9"/>
  <c r="BL766" i="9"/>
  <c r="BL767" i="9"/>
  <c r="BL770" i="9"/>
  <c r="BL771" i="9"/>
  <c r="BL772" i="9"/>
  <c r="BL773" i="9"/>
  <c r="BL774" i="9"/>
  <c r="BL775" i="9"/>
  <c r="BL776" i="9"/>
  <c r="BL777" i="9"/>
  <c r="BL778" i="9"/>
  <c r="BL779" i="9"/>
  <c r="BL780" i="9"/>
  <c r="BL781" i="9"/>
  <c r="BL782" i="9"/>
  <c r="BL783" i="9"/>
  <c r="BL784" i="9"/>
  <c r="BL785" i="9"/>
  <c r="BL786" i="9"/>
  <c r="BL787" i="9"/>
  <c r="BL790" i="9"/>
  <c r="BL791" i="9"/>
  <c r="BL788" i="9"/>
  <c r="BL789" i="9"/>
  <c r="BL792" i="9"/>
  <c r="BL793" i="9"/>
  <c r="BL794" i="9"/>
  <c r="BL795" i="9"/>
  <c r="BL796" i="9"/>
  <c r="BL797" i="9"/>
  <c r="BL798" i="9"/>
  <c r="BL799" i="9"/>
  <c r="BL800" i="9"/>
  <c r="BL801" i="9"/>
  <c r="BL802" i="9"/>
  <c r="BL803" i="9"/>
  <c r="BL804" i="9"/>
  <c r="BL805" i="9"/>
  <c r="BL808" i="9"/>
  <c r="BL809" i="9"/>
  <c r="BL806" i="9"/>
  <c r="BL807" i="9"/>
  <c r="BL810" i="9"/>
  <c r="BL811" i="9"/>
  <c r="BL812" i="9"/>
  <c r="BL813" i="9"/>
  <c r="BL814" i="9"/>
  <c r="BL815" i="9"/>
  <c r="BL816" i="9"/>
  <c r="BL817" i="9"/>
  <c r="BL818" i="9"/>
  <c r="BL819" i="9"/>
  <c r="BL820" i="9"/>
  <c r="BL821" i="9"/>
  <c r="BL824" i="9"/>
  <c r="BL825" i="9"/>
  <c r="BL822" i="9"/>
  <c r="BL823" i="9"/>
  <c r="BL826" i="9"/>
  <c r="BL827" i="9"/>
  <c r="BL828" i="9"/>
  <c r="BL829" i="9"/>
  <c r="BL832" i="9"/>
  <c r="BL833" i="9"/>
  <c r="BL830" i="9"/>
  <c r="BL831" i="9"/>
  <c r="BL836" i="9"/>
  <c r="BL837" i="9"/>
  <c r="BL834" i="9"/>
  <c r="BL835" i="9"/>
  <c r="BL838" i="9"/>
  <c r="BL839" i="9"/>
  <c r="BL842" i="9"/>
  <c r="BL843" i="9"/>
  <c r="BL840" i="9"/>
  <c r="BL841" i="9"/>
  <c r="BL846" i="9"/>
  <c r="BL847" i="9"/>
  <c r="BL844" i="9"/>
  <c r="BL845" i="9"/>
  <c r="BL848" i="9"/>
  <c r="BL849" i="9"/>
  <c r="BL850" i="9"/>
  <c r="BL851" i="9"/>
  <c r="BL852" i="9"/>
  <c r="BL853" i="9"/>
  <c r="BL854" i="9"/>
  <c r="BL855" i="9"/>
  <c r="BL856" i="9"/>
  <c r="BL857" i="9"/>
  <c r="BL858" i="9"/>
  <c r="BL859" i="9"/>
  <c r="BL862" i="9"/>
  <c r="BL863" i="9"/>
  <c r="BL860" i="9"/>
  <c r="BL861" i="9"/>
  <c r="BL864" i="9"/>
  <c r="BL865" i="9"/>
  <c r="BL866" i="9"/>
  <c r="BL867" i="9"/>
  <c r="BL868" i="9"/>
  <c r="BL869" i="9"/>
  <c r="BL870" i="9"/>
  <c r="BL871" i="9"/>
  <c r="BL872" i="9"/>
  <c r="BL873" i="9"/>
  <c r="BL874" i="9"/>
  <c r="BL875" i="9"/>
  <c r="BL876" i="9"/>
  <c r="BL877" i="9"/>
  <c r="BL878" i="9"/>
  <c r="BL879" i="9"/>
  <c r="BL880" i="9"/>
  <c r="BL881" i="9"/>
  <c r="BL884" i="9"/>
  <c r="BL885" i="9"/>
  <c r="BL882" i="9"/>
  <c r="BL883" i="9"/>
  <c r="BL886" i="9"/>
  <c r="BL887" i="9"/>
  <c r="BL888" i="9"/>
  <c r="BL889" i="9"/>
  <c r="BL890" i="9"/>
  <c r="BL891" i="9"/>
  <c r="BL892" i="9"/>
  <c r="BL893" i="9"/>
  <c r="BL894" i="9"/>
  <c r="BL895" i="9"/>
  <c r="BL896" i="9"/>
  <c r="BL897" i="9"/>
  <c r="BL898" i="9"/>
  <c r="BL899" i="9"/>
  <c r="BL900" i="9"/>
  <c r="BL901" i="9"/>
  <c r="BL902" i="9"/>
  <c r="BL903" i="9"/>
  <c r="BL904" i="9"/>
  <c r="BL905" i="9"/>
  <c r="BL906" i="9"/>
  <c r="BL907" i="9"/>
  <c r="BL908" i="9"/>
  <c r="BL909" i="9"/>
  <c r="BL910" i="9"/>
  <c r="BL911" i="9"/>
  <c r="BL912" i="9"/>
  <c r="BL913" i="9"/>
  <c r="BL914" i="9"/>
  <c r="BL915" i="9"/>
  <c r="BL916" i="9"/>
  <c r="BL917" i="9"/>
  <c r="BL920" i="9"/>
  <c r="BL921" i="9"/>
  <c r="BL918" i="9"/>
  <c r="BL919" i="9"/>
  <c r="BL922" i="9"/>
  <c r="BL923" i="9"/>
  <c r="BL924" i="9"/>
  <c r="BL925" i="9"/>
  <c r="BL926" i="9"/>
  <c r="BL927" i="9"/>
  <c r="BL928" i="9"/>
  <c r="BL929" i="9"/>
  <c r="BL930" i="9"/>
  <c r="BL931" i="9"/>
  <c r="BL932" i="9"/>
  <c r="BL933" i="9"/>
  <c r="BL934" i="9"/>
  <c r="BL935" i="9"/>
  <c r="BL938" i="9"/>
  <c r="BL939" i="9"/>
  <c r="BL936" i="9"/>
  <c r="BL937" i="9"/>
  <c r="BL942" i="9"/>
  <c r="BL943" i="9"/>
  <c r="BL940" i="9"/>
  <c r="BL941" i="9"/>
  <c r="BL944" i="9"/>
  <c r="BL945" i="9"/>
  <c r="BL946" i="9"/>
  <c r="BL947" i="9"/>
  <c r="BL948" i="9"/>
  <c r="BL949" i="9"/>
  <c r="BL950" i="9"/>
  <c r="BL951" i="9"/>
  <c r="BL952" i="9"/>
  <c r="BL953" i="9"/>
  <c r="BL954" i="9"/>
  <c r="BL955" i="9"/>
  <c r="BL956" i="9"/>
  <c r="BL957" i="9"/>
  <c r="BL958" i="9"/>
  <c r="BL959" i="9"/>
  <c r="BL960" i="9"/>
  <c r="BL961" i="9"/>
  <c r="BL964" i="9"/>
  <c r="BL965" i="9"/>
  <c r="BL962" i="9"/>
  <c r="BL963" i="9"/>
  <c r="BL966" i="9"/>
  <c r="BL967" i="9"/>
  <c r="BL968" i="9"/>
  <c r="BL969" i="9"/>
  <c r="BL970" i="9"/>
  <c r="BL971" i="9"/>
  <c r="BL972" i="9"/>
  <c r="BL973" i="9"/>
  <c r="BL974" i="9"/>
  <c r="BL975" i="9"/>
  <c r="BL976" i="9"/>
  <c r="BL977" i="9"/>
  <c r="BL978" i="9"/>
  <c r="BL979" i="9"/>
  <c r="BL980" i="9"/>
  <c r="BL981" i="9"/>
  <c r="BL984" i="9"/>
  <c r="BL985" i="9"/>
  <c r="BL982" i="9"/>
  <c r="BL983" i="9"/>
  <c r="BL986" i="9"/>
  <c r="BL987" i="9"/>
  <c r="BL988" i="9"/>
  <c r="BL989" i="9"/>
  <c r="BL990" i="9"/>
  <c r="BL991" i="9"/>
  <c r="BL992" i="9"/>
  <c r="BL993" i="9"/>
  <c r="BL994" i="9"/>
  <c r="BL995" i="9"/>
  <c r="BL996" i="9"/>
  <c r="BL997" i="9"/>
  <c r="BL998" i="9"/>
  <c r="BL999" i="9"/>
  <c r="BL1002" i="9"/>
  <c r="BL1003" i="9"/>
  <c r="BL1000" i="9"/>
  <c r="BL1001" i="9"/>
  <c r="BL1004" i="9"/>
  <c r="BL1005" i="9"/>
  <c r="BL1006" i="9"/>
  <c r="BL1007" i="9"/>
  <c r="BL1008" i="9"/>
  <c r="BL1009" i="9"/>
  <c r="BL1010" i="9"/>
  <c r="BL1011" i="9"/>
  <c r="BL1012" i="9"/>
  <c r="BL1013" i="9"/>
  <c r="BL1014" i="9"/>
  <c r="BL1015" i="9"/>
  <c r="BL1016" i="9"/>
  <c r="BL1017" i="9"/>
  <c r="BL1018" i="9"/>
  <c r="BL1019" i="9"/>
  <c r="BL1022" i="9"/>
  <c r="BL1023" i="9"/>
  <c r="BL1020" i="9"/>
  <c r="BL1021" i="9"/>
  <c r="BL1024" i="9"/>
  <c r="BL1025" i="9"/>
  <c r="BL1026" i="9"/>
  <c r="BL1027" i="9"/>
  <c r="BL1028" i="9"/>
  <c r="BL1029" i="9"/>
  <c r="BL1030" i="9"/>
  <c r="BL1031" i="9"/>
  <c r="BL1032" i="9"/>
  <c r="BL1033" i="9"/>
  <c r="BL1034" i="9"/>
  <c r="BL1035" i="9"/>
  <c r="BL1038" i="9"/>
  <c r="BL1039" i="9"/>
  <c r="BL1036" i="9"/>
  <c r="BL1037" i="9"/>
  <c r="BL1040" i="9"/>
  <c r="BL1041" i="9"/>
  <c r="BL1042" i="9"/>
  <c r="BL1043" i="9"/>
  <c r="BL1046" i="9"/>
  <c r="BL1047" i="9"/>
  <c r="BL1044" i="9"/>
  <c r="BL1045" i="9"/>
  <c r="BL1048" i="9"/>
  <c r="BL1049" i="9"/>
  <c r="BL1050" i="9"/>
  <c r="BL1051" i="9"/>
  <c r="BL1052" i="9"/>
  <c r="BL1053" i="9"/>
  <c r="BL1054" i="9"/>
  <c r="BL1055" i="9"/>
  <c r="BL1056" i="9"/>
  <c r="BL1057" i="9"/>
  <c r="BL1058" i="9"/>
  <c r="BL1059" i="9"/>
  <c r="BL1060" i="9"/>
  <c r="BL1061" i="9"/>
  <c r="BL1062" i="9"/>
  <c r="BL1063" i="9"/>
  <c r="BL1064" i="9"/>
  <c r="BL1065" i="9"/>
  <c r="BL1066" i="9"/>
  <c r="BL1067" i="9"/>
  <c r="BL1068" i="9"/>
  <c r="BL1069" i="9"/>
  <c r="BL1070" i="9"/>
  <c r="BL1071" i="9"/>
  <c r="BL1072" i="9"/>
  <c r="BL1073" i="9"/>
  <c r="BL1074" i="9"/>
  <c r="BL1075" i="9"/>
  <c r="BL1076" i="9"/>
  <c r="BL1077" i="9"/>
  <c r="BL1078" i="9"/>
  <c r="BL1079" i="9"/>
  <c r="BL1080" i="9"/>
  <c r="BL1081" i="9"/>
  <c r="BL1082" i="9"/>
  <c r="BL1083" i="9"/>
  <c r="BL1084" i="9"/>
  <c r="BL1085" i="9"/>
  <c r="BL1088" i="9"/>
  <c r="BL1089" i="9"/>
  <c r="BL1086" i="9"/>
  <c r="BL1087" i="9"/>
  <c r="BL1090" i="9"/>
  <c r="BL1091" i="9"/>
  <c r="BL1092" i="9"/>
  <c r="BL1093" i="9"/>
  <c r="BL1094" i="9"/>
  <c r="BL1095" i="9"/>
  <c r="BL1096" i="9"/>
  <c r="BL1097" i="9"/>
  <c r="BL1098" i="9"/>
  <c r="BL1099" i="9"/>
  <c r="BL1100" i="9"/>
  <c r="BL1101" i="9"/>
  <c r="BL1102" i="9"/>
  <c r="BL1103" i="9"/>
  <c r="BL1104" i="9"/>
  <c r="BL1105" i="9"/>
  <c r="BL1106" i="9"/>
  <c r="BL1107" i="9"/>
  <c r="BL1108" i="9"/>
  <c r="BL1109" i="9"/>
  <c r="BL1110" i="9"/>
  <c r="BL1111" i="9"/>
  <c r="BL1112" i="9"/>
  <c r="BL1113" i="9"/>
  <c r="BL1114" i="9"/>
  <c r="BL1115" i="9"/>
  <c r="BL1116" i="9"/>
  <c r="BL1117" i="9"/>
  <c r="BL1120" i="9"/>
  <c r="BL1121" i="9"/>
  <c r="BL1118" i="9"/>
  <c r="BL1119" i="9"/>
  <c r="BL1122" i="9"/>
  <c r="BL1123" i="9"/>
  <c r="BL1124" i="9"/>
  <c r="BL1125" i="9"/>
  <c r="BL1126" i="9"/>
  <c r="BL1127" i="9"/>
  <c r="BL1128" i="9"/>
  <c r="BL1129" i="9"/>
  <c r="BL1130" i="9"/>
  <c r="BL1131" i="9"/>
  <c r="BL1134" i="9"/>
  <c r="BL1135" i="9"/>
  <c r="BL1132" i="9"/>
  <c r="BL1133" i="9"/>
  <c r="BL1136" i="9"/>
  <c r="BL1137" i="9"/>
  <c r="BL1138" i="9"/>
  <c r="BL1139" i="9"/>
  <c r="BL1140" i="9"/>
  <c r="BL1141" i="9"/>
  <c r="BL1142" i="9"/>
  <c r="BL1143" i="9"/>
  <c r="BL1144" i="9"/>
  <c r="BL1145" i="9"/>
  <c r="BL1146" i="9"/>
  <c r="BL1147" i="9"/>
  <c r="BL1148" i="9"/>
  <c r="BL1149" i="9"/>
  <c r="BL1150" i="9"/>
  <c r="BL1151" i="9"/>
  <c r="BL1152" i="9"/>
  <c r="BL1153" i="9"/>
  <c r="BL1154" i="9"/>
  <c r="BL1155" i="9"/>
  <c r="BL1156" i="9"/>
  <c r="BL1157" i="9"/>
  <c r="BL1158" i="9"/>
  <c r="BL1159" i="9"/>
  <c r="BL1160" i="9"/>
  <c r="BL1161" i="9"/>
  <c r="BL1162" i="9"/>
  <c r="BL1163" i="9"/>
  <c r="BL1164" i="9"/>
  <c r="BL1165" i="9"/>
  <c r="BL1166" i="9"/>
  <c r="BL1167" i="9"/>
  <c r="BL1168" i="9"/>
  <c r="BL1169" i="9"/>
  <c r="BL1170" i="9"/>
  <c r="BL1171" i="9"/>
  <c r="BL1172" i="9"/>
  <c r="BL1173" i="9"/>
  <c r="BL1174" i="9"/>
  <c r="BL1175" i="9"/>
  <c r="BL1176" i="9"/>
  <c r="BL1177" i="9"/>
  <c r="BL1178" i="9"/>
  <c r="BL1179" i="9"/>
  <c r="BL1180" i="9"/>
  <c r="BL1181" i="9"/>
  <c r="BL1182" i="9"/>
  <c r="BL1183" i="9"/>
  <c r="BL1184" i="9"/>
  <c r="BL1185" i="9"/>
  <c r="BL1186" i="9"/>
  <c r="BL1187" i="9"/>
  <c r="BL1188" i="9"/>
  <c r="BL1189" i="9"/>
  <c r="BL1190" i="9"/>
  <c r="BL1191" i="9"/>
  <c r="BL1192" i="9"/>
  <c r="BL1193" i="9"/>
  <c r="BL1194" i="9"/>
  <c r="BL1195" i="9"/>
  <c r="BL1196" i="9"/>
  <c r="BL1197" i="9"/>
  <c r="BL1198" i="9"/>
  <c r="BL1199" i="9"/>
  <c r="BL1200" i="9"/>
  <c r="BL1201" i="9"/>
  <c r="BL1202" i="9"/>
  <c r="BL1203" i="9"/>
  <c r="BL1204" i="9"/>
  <c r="BL1205" i="9"/>
  <c r="BL1206" i="9"/>
  <c r="BL1207" i="9"/>
  <c r="BL1208" i="9"/>
  <c r="BL1209" i="9"/>
  <c r="BL1212" i="9"/>
  <c r="BL1213" i="9"/>
  <c r="BL1210" i="9"/>
  <c r="BL1211" i="9"/>
  <c r="BL1214" i="9"/>
  <c r="BL1215" i="9"/>
  <c r="BL1216" i="9"/>
  <c r="BL1217" i="9"/>
  <c r="BL1218" i="9"/>
  <c r="BL1219" i="9"/>
  <c r="BL1220" i="9"/>
  <c r="BL1221" i="9"/>
  <c r="BL1222" i="9"/>
  <c r="BL1223" i="9"/>
  <c r="BL1224" i="9"/>
  <c r="BL1225" i="9"/>
  <c r="BL1226" i="9"/>
  <c r="BL1227" i="9"/>
  <c r="BL1230" i="9"/>
  <c r="BL1231" i="9"/>
  <c r="BL1228" i="9"/>
  <c r="BL1229" i="9"/>
  <c r="BL1232" i="9"/>
  <c r="BL1233" i="9"/>
  <c r="BL1234" i="9"/>
  <c r="BL1235" i="9"/>
  <c r="BL1236" i="9"/>
  <c r="BL1237" i="9"/>
  <c r="BL1238" i="9"/>
  <c r="BL1239" i="9"/>
  <c r="BL1240" i="9"/>
  <c r="BL1241" i="9"/>
  <c r="BL1242" i="9"/>
  <c r="BL1243" i="9"/>
  <c r="BL1244" i="9"/>
  <c r="BL1245" i="9"/>
  <c r="BL1246" i="9"/>
  <c r="BL1247" i="9"/>
  <c r="BL1248" i="9"/>
  <c r="BL1249" i="9"/>
  <c r="BL1250" i="9"/>
  <c r="BL1251" i="9"/>
  <c r="BL1252" i="9"/>
  <c r="BL1253" i="9"/>
  <c r="BL1254" i="9"/>
  <c r="BL1255" i="9"/>
  <c r="BL1256" i="9"/>
  <c r="BL1257" i="9"/>
  <c r="BL1260" i="9"/>
  <c r="BL1261" i="9"/>
  <c r="BL1258" i="9"/>
  <c r="BL1259" i="9"/>
  <c r="BL1262" i="9"/>
  <c r="BL1263" i="9"/>
  <c r="BL1266" i="9"/>
  <c r="BL1267" i="9"/>
  <c r="BL1264" i="9"/>
  <c r="BL1265" i="9"/>
  <c r="BL1268" i="9"/>
  <c r="BL1269" i="9"/>
  <c r="BL1270" i="9"/>
  <c r="BL1271" i="9"/>
  <c r="BL1272" i="9"/>
  <c r="BL1273" i="9"/>
  <c r="BL1274" i="9"/>
  <c r="BL1275" i="9"/>
  <c r="BL1276" i="9"/>
  <c r="BL1277" i="9"/>
  <c r="BL1278" i="9"/>
  <c r="BL1279" i="9"/>
  <c r="BL1282" i="9"/>
  <c r="BL1283" i="9"/>
  <c r="BL1280" i="9"/>
  <c r="BL1281" i="9"/>
  <c r="BL1284" i="9"/>
  <c r="BL1285" i="9"/>
  <c r="BL1286" i="9"/>
  <c r="BL1287" i="9"/>
  <c r="BL1288" i="9"/>
  <c r="BL1289" i="9"/>
  <c r="BL1290" i="9"/>
  <c r="BL1291" i="9"/>
  <c r="BL1292" i="9"/>
  <c r="BL1293" i="9"/>
  <c r="BL1294" i="9"/>
  <c r="BL1295" i="9"/>
  <c r="BL1296" i="9"/>
  <c r="BL1297" i="9"/>
  <c r="BL1298" i="9"/>
  <c r="BL1299" i="9"/>
  <c r="BL1300" i="9"/>
  <c r="BL1301" i="9"/>
  <c r="BL1302" i="9"/>
  <c r="BL1303" i="9"/>
  <c r="BL1304" i="9"/>
  <c r="BL1305" i="9"/>
  <c r="BL1306" i="9"/>
  <c r="BL1307" i="9"/>
  <c r="BL1308" i="9"/>
  <c r="BL1309" i="9"/>
  <c r="BL1310" i="9"/>
  <c r="BL1311" i="9"/>
  <c r="BL1312" i="9"/>
  <c r="BL1313" i="9"/>
  <c r="BL1316" i="9"/>
  <c r="BL1317" i="9"/>
  <c r="BL1314" i="9"/>
  <c r="BL1315" i="9"/>
  <c r="BL1318" i="9"/>
  <c r="BL1319" i="9"/>
  <c r="BL1320" i="9"/>
  <c r="BL1321" i="9"/>
  <c r="BL1322" i="9"/>
  <c r="BL1323" i="9"/>
  <c r="BL1324" i="9"/>
  <c r="BL1325" i="9"/>
  <c r="BL1326" i="9"/>
  <c r="BL1327" i="9"/>
  <c r="BL1328" i="9"/>
  <c r="BL1329" i="9"/>
  <c r="BL1332" i="9"/>
  <c r="BL1333" i="9"/>
  <c r="BL1330" i="9"/>
  <c r="BL1331" i="9"/>
  <c r="BL1334" i="9"/>
  <c r="BL1335" i="9"/>
  <c r="BL1336" i="9"/>
  <c r="BL1337" i="9"/>
  <c r="BL1338" i="9"/>
  <c r="BL1339" i="9"/>
  <c r="BL1340" i="9"/>
  <c r="BL1341" i="9"/>
  <c r="BL1342" i="9"/>
  <c r="BL1343" i="9"/>
  <c r="BL1344" i="9"/>
  <c r="BL1345" i="9"/>
  <c r="BL1348" i="9"/>
  <c r="BL1349" i="9"/>
  <c r="BL1346" i="9"/>
  <c r="BL1347" i="9"/>
  <c r="BL1350" i="9"/>
  <c r="BL1351" i="9"/>
  <c r="BL1352" i="9"/>
  <c r="BL1353" i="9"/>
  <c r="BL1354" i="9"/>
  <c r="BL1355" i="9"/>
  <c r="BL1356" i="9"/>
  <c r="BL1357" i="9"/>
  <c r="BL1358" i="9"/>
  <c r="BL1359" i="9"/>
  <c r="BL1360" i="9"/>
  <c r="BL1361" i="9"/>
  <c r="BL1362" i="9"/>
  <c r="BL1363" i="9"/>
  <c r="BL1364" i="9"/>
  <c r="BL1365" i="9"/>
  <c r="BL1366" i="9"/>
  <c r="BL1367" i="9"/>
  <c r="BL1368" i="9"/>
  <c r="BL1369" i="9"/>
  <c r="BL1370" i="9"/>
  <c r="BL1371" i="9"/>
  <c r="BL1372" i="9"/>
  <c r="BL1373" i="9"/>
  <c r="BL1374" i="9"/>
  <c r="BL1375" i="9"/>
  <c r="BL1376" i="9"/>
  <c r="BL1377" i="9"/>
  <c r="BL1378" i="9"/>
  <c r="BL1379" i="9"/>
  <c r="BL1380" i="9"/>
  <c r="BL1381" i="9"/>
  <c r="BL1382" i="9"/>
  <c r="BL1383" i="9"/>
  <c r="BL1384" i="9"/>
  <c r="BL1385" i="9"/>
  <c r="BL1386" i="9"/>
  <c r="BL1387" i="9"/>
  <c r="BL1388" i="9"/>
  <c r="BL1389" i="9"/>
  <c r="BL1390" i="9"/>
  <c r="BL1391" i="9"/>
  <c r="BL1392" i="9"/>
  <c r="BL1393" i="9"/>
  <c r="BL1394" i="9"/>
  <c r="BL1395" i="9"/>
  <c r="BL1396" i="9"/>
  <c r="BL1397" i="9"/>
  <c r="BL1398" i="9"/>
  <c r="BL1399" i="9"/>
  <c r="BL1400" i="9"/>
  <c r="BL1401" i="9"/>
  <c r="BL1402" i="9"/>
  <c r="BL1403" i="9"/>
  <c r="BL1404" i="9"/>
  <c r="BL1405" i="9"/>
  <c r="BL1406" i="9"/>
  <c r="BL1407" i="9"/>
  <c r="BL1408" i="9"/>
  <c r="BL1409" i="9"/>
  <c r="BL1410" i="9"/>
  <c r="BL1411" i="9"/>
  <c r="BL1412" i="9"/>
  <c r="BL1413" i="9"/>
  <c r="BL1414" i="9"/>
  <c r="BL1415" i="9"/>
  <c r="BL1416" i="9"/>
  <c r="BL1417" i="9"/>
  <c r="BL1418" i="9"/>
  <c r="BL1419" i="9"/>
  <c r="BL1420" i="9"/>
  <c r="BL1421" i="9"/>
  <c r="BL1422" i="9"/>
  <c r="BL1423" i="9"/>
  <c r="BL1424" i="9"/>
  <c r="BL1425" i="9"/>
  <c r="BL1426" i="9"/>
  <c r="BL1427" i="9"/>
  <c r="BL1428" i="9"/>
  <c r="BL1429" i="9"/>
  <c r="BL1430" i="9"/>
  <c r="BL1431" i="9"/>
  <c r="BL1432" i="9"/>
  <c r="BL1433" i="9"/>
  <c r="BL1434" i="9"/>
  <c r="BL1435" i="9"/>
  <c r="BL1436" i="9"/>
  <c r="BL1437" i="9"/>
  <c r="BL1438" i="9"/>
  <c r="BL1439" i="9"/>
  <c r="BL1440" i="9"/>
  <c r="BL1441" i="9"/>
  <c r="BL1442" i="9"/>
  <c r="BL1443" i="9"/>
  <c r="BL1444" i="9"/>
  <c r="BL1445" i="9"/>
  <c r="BL1446" i="9"/>
  <c r="BL1447" i="9"/>
  <c r="BL1448" i="9"/>
  <c r="BL1449" i="9"/>
  <c r="BL1450" i="9"/>
  <c r="BL1451" i="9"/>
  <c r="BL1452" i="9"/>
  <c r="BL1453" i="9"/>
  <c r="BL1454" i="9"/>
  <c r="BL1455" i="9"/>
  <c r="BL1456" i="9"/>
  <c r="BL1457" i="9"/>
  <c r="BL1458" i="9"/>
  <c r="BL1459" i="9"/>
  <c r="BL1460" i="9"/>
  <c r="BL1461" i="9"/>
  <c r="BL1462" i="9"/>
  <c r="BL1463" i="9"/>
  <c r="BL1464" i="9"/>
  <c r="BL1465" i="9"/>
  <c r="BL1466" i="9"/>
  <c r="BL1467" i="9"/>
  <c r="BL1468" i="9"/>
  <c r="BL1469" i="9"/>
  <c r="BL1470" i="9"/>
  <c r="BL1471" i="9"/>
  <c r="BL1472" i="9"/>
  <c r="BL1473" i="9"/>
  <c r="BL1474" i="9"/>
  <c r="BL1475" i="9"/>
  <c r="BL1476" i="9"/>
  <c r="BL1477" i="9"/>
  <c r="BL1478" i="9"/>
  <c r="BL1479" i="9"/>
  <c r="BL1480" i="9"/>
  <c r="BL1481" i="9"/>
  <c r="BL1482" i="9"/>
  <c r="BL1483" i="9"/>
  <c r="BL1484" i="9"/>
  <c r="BL1485" i="9"/>
  <c r="BL1486" i="9"/>
  <c r="BL1487" i="9"/>
  <c r="BL1488" i="9"/>
  <c r="BL1489" i="9"/>
  <c r="BL1490" i="9"/>
  <c r="BL1491" i="9"/>
  <c r="BL1492" i="9"/>
  <c r="BL1493" i="9"/>
  <c r="BL1494" i="9"/>
  <c r="BL1495" i="9"/>
  <c r="BL1496" i="9"/>
  <c r="BL1497" i="9"/>
  <c r="BL1498" i="9"/>
  <c r="BL1499" i="9"/>
  <c r="BL1500" i="9"/>
  <c r="BL1501" i="9"/>
  <c r="BL1502" i="9"/>
  <c r="BL1503" i="9"/>
  <c r="BL1504" i="9"/>
  <c r="BL1505" i="9"/>
  <c r="BL1506" i="9"/>
  <c r="BL1507" i="9"/>
  <c r="BL1508" i="9"/>
  <c r="BL1509" i="9"/>
  <c r="BL1510" i="9"/>
  <c r="BL1511" i="9"/>
  <c r="BL1512" i="9"/>
  <c r="BL1513" i="9"/>
  <c r="BL1514" i="9"/>
  <c r="BL1515" i="9"/>
  <c r="BL1516" i="9"/>
  <c r="BL1517" i="9"/>
  <c r="BL1518" i="9"/>
  <c r="BL1519" i="9"/>
  <c r="BL1520" i="9"/>
  <c r="BL1521" i="9"/>
  <c r="BL1522" i="9"/>
  <c r="BL1523" i="9"/>
  <c r="BL1524" i="9"/>
  <c r="BL1525" i="9"/>
  <c r="BL1526" i="9"/>
  <c r="BL1527" i="9"/>
  <c r="BL1528" i="9"/>
  <c r="BL1529" i="9"/>
  <c r="BL1530" i="9"/>
  <c r="BL1531" i="9"/>
  <c r="BL1532" i="9"/>
  <c r="BL1533" i="9"/>
  <c r="BL1534" i="9"/>
  <c r="BL1535" i="9"/>
  <c r="BL1536" i="9"/>
  <c r="BL1537" i="9"/>
  <c r="BL1538" i="9"/>
  <c r="BL1539" i="9"/>
  <c r="BL1540" i="9"/>
  <c r="BL1541" i="9"/>
  <c r="BL1542" i="9"/>
  <c r="BL1543" i="9"/>
  <c r="BL1544" i="9"/>
  <c r="BL1545" i="9"/>
  <c r="BL1546" i="9"/>
  <c r="BL1547" i="9"/>
  <c r="BL1548" i="9"/>
  <c r="BL1549" i="9"/>
  <c r="BL1550" i="9"/>
  <c r="BL1551" i="9"/>
  <c r="BL1552" i="9"/>
  <c r="BL1553" i="9"/>
  <c r="BL1554" i="9"/>
  <c r="BL1555" i="9"/>
  <c r="BL1556" i="9"/>
  <c r="BL1557" i="9"/>
  <c r="BL1558" i="9"/>
  <c r="BL1559" i="9"/>
  <c r="BL1560" i="9"/>
  <c r="BL1561" i="9"/>
  <c r="BL1562" i="9"/>
  <c r="BL1563" i="9"/>
  <c r="BL1564" i="9"/>
  <c r="BL1565" i="9"/>
  <c r="BL1566" i="9"/>
  <c r="BL1567" i="9"/>
  <c r="BL1568" i="9"/>
  <c r="BL1569" i="9"/>
  <c r="BL1570" i="9"/>
  <c r="BL1571" i="9"/>
  <c r="BL1572" i="9"/>
  <c r="BL1573" i="9"/>
  <c r="BL1574" i="9"/>
  <c r="BL1575" i="9"/>
  <c r="BL1576" i="9"/>
  <c r="BL1577" i="9"/>
  <c r="BL1578" i="9"/>
  <c r="BL1579" i="9"/>
  <c r="BL1580" i="9"/>
  <c r="BL1581" i="9"/>
  <c r="BL1582" i="9"/>
  <c r="BL1583" i="9"/>
  <c r="BL1584" i="9"/>
  <c r="BL1585" i="9"/>
  <c r="BL1586" i="9"/>
  <c r="BL1587" i="9"/>
  <c r="BL1588" i="9"/>
  <c r="BL1589" i="9"/>
  <c r="BL1590" i="9"/>
  <c r="BL1591" i="9"/>
  <c r="BL1592" i="9"/>
  <c r="BL1593" i="9"/>
  <c r="BL1594" i="9"/>
  <c r="BL1595" i="9"/>
  <c r="BL1596" i="9"/>
  <c r="BL1597" i="9"/>
  <c r="BL1598" i="9"/>
  <c r="BL1599" i="9"/>
  <c r="BL1600" i="9"/>
  <c r="BL1601" i="9"/>
  <c r="BL1602" i="9"/>
  <c r="BL1603" i="9"/>
  <c r="BL1604" i="9"/>
  <c r="BL1605" i="9"/>
  <c r="BL1606" i="9"/>
  <c r="BL1607" i="9"/>
  <c r="BL1608" i="9"/>
  <c r="BL1609" i="9"/>
  <c r="BL1610" i="9"/>
  <c r="BL1611" i="9"/>
  <c r="BL1612" i="9"/>
  <c r="BL1613" i="9"/>
  <c r="BL1614" i="9"/>
  <c r="BL1615" i="9"/>
  <c r="BL1616" i="9"/>
  <c r="BL1617" i="9"/>
  <c r="BL1618" i="9"/>
  <c r="BL1619" i="9"/>
  <c r="BL1620" i="9"/>
  <c r="BL1621" i="9"/>
  <c r="BL1622" i="9"/>
  <c r="BL1623" i="9"/>
  <c r="BL1624" i="9"/>
  <c r="BL1625" i="9"/>
  <c r="BL1626" i="9"/>
  <c r="BL1627" i="9"/>
  <c r="BL1628" i="9"/>
  <c r="BL1629" i="9"/>
  <c r="BL1630" i="9"/>
  <c r="BL1631" i="9"/>
  <c r="BL1632" i="9"/>
  <c r="BL1633" i="9"/>
  <c r="BL1634" i="9"/>
  <c r="BL1635" i="9"/>
  <c r="BL1636" i="9"/>
  <c r="BL1637" i="9"/>
  <c r="BL1638" i="9"/>
  <c r="BL1639" i="9"/>
  <c r="BL1640" i="9"/>
  <c r="BL1641" i="9"/>
  <c r="BL1642" i="9"/>
  <c r="BL1643" i="9"/>
  <c r="BL1644" i="9"/>
  <c r="BL1645" i="9"/>
  <c r="BL1646" i="9"/>
  <c r="BL1647" i="9"/>
  <c r="BL1648" i="9"/>
  <c r="BL1649" i="9"/>
  <c r="BL1650" i="9"/>
  <c r="BL1651" i="9"/>
  <c r="BL1652" i="9"/>
  <c r="BL1653" i="9"/>
  <c r="BL1654" i="9"/>
  <c r="BL1655" i="9"/>
  <c r="BL1656" i="9"/>
  <c r="BL1657" i="9"/>
  <c r="BL1658" i="9"/>
  <c r="BL1659" i="9"/>
  <c r="BL1660" i="9"/>
  <c r="BL1661" i="9"/>
  <c r="BL1662" i="9"/>
  <c r="BL1663" i="9"/>
  <c r="BL1664" i="9"/>
  <c r="BL1665" i="9"/>
  <c r="BL1666" i="9"/>
  <c r="BL1667" i="9"/>
  <c r="BL1668" i="9"/>
  <c r="BL1669" i="9"/>
  <c r="BL1670" i="9"/>
  <c r="BL1671" i="9"/>
  <c r="BL1672" i="9"/>
  <c r="BL1673" i="9"/>
  <c r="BL1674" i="9"/>
  <c r="BL1675" i="9"/>
  <c r="BL1676" i="9"/>
  <c r="BL1677" i="9"/>
  <c r="BL1678" i="9"/>
  <c r="BL1679" i="9"/>
  <c r="BL1680" i="9"/>
  <c r="BL1681" i="9"/>
  <c r="BL1682" i="9"/>
  <c r="BL1683" i="9"/>
  <c r="BL1686" i="9"/>
  <c r="BL1687" i="9"/>
  <c r="BL1684" i="9"/>
  <c r="BL1685" i="9"/>
  <c r="BL1690" i="9"/>
  <c r="BL1691" i="9"/>
  <c r="BL1688" i="9"/>
  <c r="BL1689" i="9"/>
  <c r="BL1692" i="9"/>
  <c r="BL1693" i="9"/>
  <c r="BL1694" i="9"/>
  <c r="BL1695" i="9"/>
  <c r="BL1696" i="9"/>
  <c r="BL1697" i="9"/>
  <c r="BL1698" i="9"/>
  <c r="BL1699" i="9"/>
  <c r="BL1700" i="9"/>
  <c r="BL1701" i="9"/>
  <c r="BL1702" i="9"/>
  <c r="BL1703" i="9"/>
  <c r="BL1706" i="9"/>
  <c r="BL1707" i="9"/>
  <c r="BL1704" i="9"/>
  <c r="BL1705" i="9"/>
  <c r="BL1708" i="9"/>
  <c r="BL1709" i="9"/>
  <c r="BL1710" i="9"/>
  <c r="BL1711" i="9"/>
  <c r="BL1712" i="9"/>
  <c r="BL1713" i="9"/>
  <c r="BL1714" i="9"/>
  <c r="BL1715" i="9"/>
  <c r="BL2" i="9"/>
  <c r="AG1635" i="9"/>
  <c r="AF1635" i="9"/>
  <c r="AE1635" i="9"/>
  <c r="AG1634" i="9"/>
  <c r="AF1634" i="9"/>
  <c r="AE1634" i="9"/>
  <c r="AG1633" i="9"/>
  <c r="AF1633" i="9"/>
  <c r="AE1633" i="9"/>
  <c r="AG1632" i="9"/>
  <c r="AF1632" i="9"/>
  <c r="AE1632" i="9"/>
  <c r="AG1631" i="9"/>
  <c r="AF1631" i="9"/>
  <c r="AE1631" i="9"/>
  <c r="AG1630" i="9"/>
  <c r="AF1630" i="9"/>
  <c r="AE1630" i="9"/>
  <c r="AG1629" i="9"/>
  <c r="AF1629" i="9"/>
  <c r="AE1629" i="9"/>
  <c r="AG1628" i="9"/>
  <c r="AF1628" i="9"/>
  <c r="AE1628" i="9"/>
  <c r="AG1627" i="9"/>
  <c r="AF1627" i="9"/>
  <c r="AE1627" i="9"/>
  <c r="AG1626" i="9"/>
  <c r="AF1626" i="9"/>
  <c r="AE1626" i="9"/>
  <c r="AG1625" i="9"/>
  <c r="AF1625" i="9"/>
  <c r="AE1625" i="9"/>
  <c r="AG1624" i="9"/>
  <c r="AF1624" i="9"/>
  <c r="AE1624" i="9"/>
  <c r="AG1623" i="9"/>
  <c r="AF1623" i="9"/>
  <c r="AE1623" i="9"/>
  <c r="AG1622" i="9"/>
  <c r="AF1622" i="9"/>
  <c r="AE1622" i="9"/>
  <c r="AG1621" i="9"/>
  <c r="AF1621" i="9"/>
  <c r="AE1621" i="9"/>
  <c r="AG1620" i="9"/>
  <c r="AF1620" i="9"/>
  <c r="AE1620" i="9"/>
  <c r="AG1619" i="9"/>
  <c r="AF1619" i="9"/>
  <c r="AE1619" i="9"/>
  <c r="AG1618" i="9"/>
  <c r="AF1618" i="9"/>
  <c r="AE1618" i="9"/>
  <c r="AG1617" i="9"/>
  <c r="AF1617" i="9"/>
  <c r="AE1617" i="9"/>
  <c r="AG1616" i="9"/>
  <c r="AF1616" i="9"/>
  <c r="AE1616" i="9"/>
  <c r="AG1615" i="9"/>
  <c r="AF1615" i="9"/>
  <c r="AE1615" i="9"/>
  <c r="AG1614" i="9"/>
  <c r="AF1614" i="9"/>
  <c r="AE1614" i="9"/>
  <c r="AG1613" i="9"/>
  <c r="AF1613" i="9"/>
  <c r="AE1613" i="9"/>
  <c r="AG1612" i="9"/>
  <c r="AF1612" i="9"/>
  <c r="AE1612" i="9"/>
  <c r="AG1611" i="9"/>
  <c r="AF1611" i="9"/>
  <c r="AE1611" i="9"/>
  <c r="AG1610" i="9"/>
  <c r="AF1610" i="9"/>
  <c r="AE1610" i="9"/>
  <c r="AG1609" i="9"/>
  <c r="AF1609" i="9"/>
  <c r="AE1609" i="9"/>
  <c r="AG1608" i="9"/>
  <c r="AF1608" i="9"/>
  <c r="AE1608" i="9"/>
  <c r="AG1607" i="9"/>
  <c r="AF1607" i="9"/>
  <c r="AE1607" i="9"/>
  <c r="AG1606" i="9"/>
  <c r="AF1606" i="9"/>
  <c r="AE1606" i="9"/>
  <c r="AG1605" i="9"/>
  <c r="AF1605" i="9"/>
  <c r="AE1605" i="9"/>
  <c r="AG1604" i="9"/>
  <c r="AF1604" i="9"/>
  <c r="AE1604" i="9"/>
  <c r="AG1603" i="9"/>
  <c r="AF1603" i="9"/>
  <c r="AE1603" i="9"/>
  <c r="AG1602" i="9"/>
  <c r="AF1602" i="9"/>
  <c r="AE1602" i="9"/>
  <c r="AG1601" i="9"/>
  <c r="AF1601" i="9"/>
  <c r="AE1601" i="9"/>
  <c r="AG1600" i="9"/>
  <c r="AF1600" i="9"/>
  <c r="AE1600" i="9"/>
  <c r="AG1599" i="9"/>
  <c r="AF1599" i="9"/>
  <c r="AE1599" i="9"/>
  <c r="AG1598" i="9"/>
  <c r="AF1598" i="9"/>
  <c r="AE1598" i="9"/>
  <c r="AG1597" i="9"/>
  <c r="AF1597" i="9"/>
  <c r="AE1597" i="9"/>
  <c r="AG1596" i="9"/>
  <c r="AF1596" i="9"/>
  <c r="AE1596" i="9"/>
  <c r="AG1595" i="9"/>
  <c r="AF1595" i="9"/>
  <c r="AE1595" i="9"/>
  <c r="AG1594" i="9"/>
  <c r="AF1594" i="9"/>
  <c r="AE1594" i="9"/>
  <c r="AG1593" i="9"/>
  <c r="AF1593" i="9"/>
  <c r="AE1593" i="9"/>
  <c r="AG1592" i="9"/>
  <c r="AF1592" i="9"/>
  <c r="AE1592" i="9"/>
  <c r="AG1591" i="9"/>
  <c r="AF1591" i="9"/>
  <c r="AE1591" i="9"/>
  <c r="AG1590" i="9"/>
  <c r="AF1590" i="9"/>
  <c r="AE1590" i="9"/>
  <c r="AG1589" i="9"/>
  <c r="AF1589" i="9"/>
  <c r="AE1589" i="9"/>
  <c r="AG1588" i="9"/>
  <c r="AF1588" i="9"/>
  <c r="AE1588" i="9"/>
  <c r="AG1587" i="9"/>
  <c r="AF1587" i="9"/>
  <c r="AE1587" i="9"/>
  <c r="AG1586" i="9"/>
  <c r="AF1586" i="9"/>
  <c r="AE1586" i="9"/>
  <c r="AG1585" i="9"/>
  <c r="AF1585" i="9"/>
  <c r="AE1585" i="9"/>
  <c r="AG1584" i="9"/>
  <c r="AF1584" i="9"/>
  <c r="AE1584" i="9"/>
  <c r="AG1583" i="9"/>
  <c r="AF1583" i="9"/>
  <c r="AE1583" i="9"/>
  <c r="AG1582" i="9"/>
  <c r="AF1582" i="9"/>
  <c r="AE1582" i="9"/>
  <c r="AG1581" i="9"/>
  <c r="AF1581" i="9"/>
  <c r="AE1581" i="9"/>
  <c r="AG1580" i="9"/>
  <c r="AF1580" i="9"/>
  <c r="AE1580" i="9"/>
  <c r="AG1579" i="9"/>
  <c r="AF1579" i="9"/>
  <c r="AE1579" i="9"/>
  <c r="AG1578" i="9"/>
  <c r="AF1578" i="9"/>
  <c r="AE1578" i="9"/>
  <c r="AG1577" i="9"/>
  <c r="AF1577" i="9"/>
  <c r="AE1577" i="9"/>
  <c r="AG1576" i="9"/>
  <c r="AF1576" i="9"/>
  <c r="AE1576" i="9"/>
  <c r="AG1575" i="9"/>
  <c r="AF1575" i="9"/>
  <c r="AE1575" i="9"/>
  <c r="AG1574" i="9"/>
  <c r="AF1574" i="9"/>
  <c r="AE1574" i="9"/>
  <c r="AG1573" i="9"/>
  <c r="AF1573" i="9"/>
  <c r="AE1573" i="9"/>
  <c r="AG1572" i="9"/>
  <c r="AF1572" i="9"/>
  <c r="AE1572" i="9"/>
  <c r="AG1571" i="9"/>
  <c r="AF1571" i="9"/>
  <c r="AE1571" i="9"/>
  <c r="AG1570" i="9"/>
  <c r="AF1570" i="9"/>
  <c r="AE1570" i="9"/>
  <c r="AG1569" i="9"/>
  <c r="AF1569" i="9"/>
  <c r="AE1569" i="9"/>
  <c r="AG1568" i="9"/>
  <c r="AF1568" i="9"/>
  <c r="AE1568" i="9"/>
  <c r="AG1567" i="9"/>
  <c r="AF1567" i="9"/>
  <c r="AE1567" i="9"/>
  <c r="AG1566" i="9"/>
  <c r="AF1566" i="9"/>
  <c r="AE1566" i="9"/>
  <c r="AG1565" i="9"/>
  <c r="AF1565" i="9"/>
  <c r="AE1565" i="9"/>
  <c r="AG1564" i="9"/>
  <c r="AF1564" i="9"/>
  <c r="AE1564" i="9"/>
  <c r="AG1563" i="9"/>
  <c r="AF1563" i="9"/>
  <c r="AE1563" i="9"/>
  <c r="AG1562" i="9"/>
  <c r="AF1562" i="9"/>
  <c r="AE1562" i="9"/>
  <c r="AG1561" i="9"/>
  <c r="AF1561" i="9"/>
  <c r="AE1561" i="9"/>
  <c r="AG1560" i="9"/>
  <c r="AF1560" i="9"/>
  <c r="AE1560" i="9"/>
  <c r="AG1559" i="9"/>
  <c r="AF1559" i="9"/>
  <c r="AE1559" i="9"/>
  <c r="AG1558" i="9"/>
  <c r="AF1558" i="9"/>
  <c r="AE1558" i="9"/>
  <c r="AG1557" i="9"/>
  <c r="AF1557" i="9"/>
  <c r="AE1557" i="9"/>
  <c r="AG1556" i="9"/>
  <c r="AF1556" i="9"/>
  <c r="AE1556" i="9"/>
  <c r="AG1555" i="9"/>
  <c r="AF1555" i="9"/>
  <c r="AE1555" i="9"/>
  <c r="AG1554" i="9"/>
  <c r="AF1554" i="9"/>
  <c r="AE1554" i="9"/>
  <c r="AG1553" i="9"/>
  <c r="AF1553" i="9"/>
  <c r="AE1553" i="9"/>
  <c r="AG1552" i="9"/>
  <c r="AF1552" i="9"/>
  <c r="AE1552" i="9"/>
  <c r="AG1551" i="9"/>
  <c r="AF1551" i="9"/>
  <c r="AE1551" i="9"/>
  <c r="AG1550" i="9"/>
  <c r="AF1550" i="9"/>
  <c r="AE1550" i="9"/>
  <c r="AG1549" i="9"/>
  <c r="AF1549" i="9"/>
  <c r="AE1549" i="9"/>
  <c r="AG1548" i="9"/>
  <c r="AF1548" i="9"/>
  <c r="AE1548" i="9"/>
  <c r="AG1547" i="9"/>
  <c r="AF1547" i="9"/>
  <c r="AE1547" i="9"/>
  <c r="AG1546" i="9"/>
  <c r="AF1546" i="9"/>
  <c r="AE1546" i="9"/>
  <c r="AG1545" i="9"/>
  <c r="AF1545" i="9"/>
  <c r="AE1545" i="9"/>
  <c r="AG1544" i="9"/>
  <c r="AF1544" i="9"/>
  <c r="AE1544" i="9"/>
  <c r="AG1543" i="9"/>
  <c r="AF1543" i="9"/>
  <c r="AE1543" i="9"/>
  <c r="AG1542" i="9"/>
  <c r="AF1542" i="9"/>
  <c r="AE1542" i="9"/>
  <c r="AG1541" i="9"/>
  <c r="AF1541" i="9"/>
  <c r="AE1541" i="9"/>
  <c r="AG1540" i="9"/>
  <c r="AF1540" i="9"/>
  <c r="AE1540" i="9"/>
  <c r="AG1539" i="9"/>
  <c r="AF1539" i="9"/>
  <c r="AE1539" i="9"/>
  <c r="AG1538" i="9"/>
  <c r="AF1538" i="9"/>
  <c r="AE1538" i="9"/>
  <c r="AG1537" i="9"/>
  <c r="AF1537" i="9"/>
  <c r="AE1537" i="9"/>
  <c r="AG1536" i="9"/>
  <c r="AF1536" i="9"/>
  <c r="AE1536" i="9"/>
  <c r="AG1535" i="9"/>
  <c r="AF1535" i="9"/>
  <c r="AE1535" i="9"/>
  <c r="AG1534" i="9"/>
  <c r="AF1534" i="9"/>
  <c r="AE1534" i="9"/>
  <c r="AG1533" i="9"/>
  <c r="AF1533" i="9"/>
  <c r="AE1533" i="9"/>
  <c r="AG1532" i="9"/>
  <c r="AF1532" i="9"/>
  <c r="AE1532" i="9"/>
  <c r="AG1531" i="9"/>
  <c r="AF1531" i="9"/>
  <c r="AE1531" i="9"/>
  <c r="AG1530" i="9"/>
  <c r="AF1530" i="9"/>
  <c r="AE1530" i="9"/>
  <c r="AG1529" i="9"/>
  <c r="AF1529" i="9"/>
  <c r="AE1529" i="9"/>
  <c r="AG1528" i="9"/>
  <c r="AF1528" i="9"/>
  <c r="AE1528" i="9"/>
  <c r="AG1527" i="9"/>
  <c r="AF1527" i="9"/>
  <c r="AE1527" i="9"/>
  <c r="AG1526" i="9"/>
  <c r="AF1526" i="9"/>
  <c r="AE1526" i="9"/>
  <c r="BM1525" i="9"/>
  <c r="AG1525" i="9"/>
  <c r="AF1525" i="9"/>
  <c r="AE1525" i="9"/>
  <c r="BM1524" i="9"/>
  <c r="AG1524" i="9"/>
  <c r="AF1524" i="9"/>
  <c r="AE1524" i="9"/>
  <c r="BM1523" i="9"/>
  <c r="AG1523" i="9"/>
  <c r="AF1523" i="9"/>
  <c r="AE1523" i="9"/>
  <c r="BM1522" i="9"/>
  <c r="AG1522" i="9"/>
  <c r="AF1522" i="9"/>
  <c r="AE1522" i="9"/>
  <c r="BM1521" i="9"/>
  <c r="AG1521" i="9"/>
  <c r="AF1521" i="9"/>
  <c r="AE1521" i="9"/>
  <c r="BM1520" i="9"/>
  <c r="AG1520" i="9"/>
  <c r="AF1520" i="9"/>
  <c r="AE1520" i="9"/>
  <c r="BM1519" i="9"/>
  <c r="AG1519" i="9"/>
  <c r="AF1519" i="9"/>
  <c r="AE1519" i="9"/>
  <c r="BM1518" i="9"/>
  <c r="AG1518" i="9"/>
  <c r="AF1518" i="9"/>
  <c r="AE1518" i="9"/>
  <c r="BM1517" i="9"/>
  <c r="AG1517" i="9"/>
  <c r="AF1517" i="9"/>
  <c r="AE1517" i="9"/>
  <c r="BM1516" i="9"/>
  <c r="AG1516" i="9"/>
  <c r="AF1516" i="9"/>
  <c r="AE1516" i="9"/>
  <c r="BM1515" i="9"/>
  <c r="AG1515" i="9"/>
  <c r="AF1515" i="9"/>
  <c r="AE1515" i="9"/>
  <c r="BM1514" i="9"/>
  <c r="AG1514" i="9"/>
  <c r="AF1514" i="9"/>
  <c r="AE1514" i="9"/>
  <c r="BM1513" i="9"/>
  <c r="AG1513" i="9"/>
  <c r="AF1513" i="9"/>
  <c r="AE1513" i="9"/>
  <c r="BM1512" i="9"/>
  <c r="AG1512" i="9"/>
  <c r="AF1512" i="9"/>
  <c r="AE1512" i="9"/>
  <c r="BM1511" i="9"/>
  <c r="AG1511" i="9"/>
  <c r="AF1511" i="9"/>
  <c r="AE1511" i="9"/>
  <c r="BM1510" i="9"/>
  <c r="AG1510" i="9"/>
  <c r="AF1510" i="9"/>
  <c r="AE1510" i="9"/>
  <c r="BM1509" i="9"/>
  <c r="AG1509" i="9"/>
  <c r="AF1509" i="9"/>
  <c r="AE1509" i="9"/>
  <c r="BM1508" i="9"/>
  <c r="AG1508" i="9"/>
  <c r="AF1508" i="9"/>
  <c r="AE1508" i="9"/>
  <c r="BM1507" i="9"/>
  <c r="AG1507" i="9"/>
  <c r="AF1507" i="9"/>
  <c r="AE1507" i="9"/>
  <c r="BM1506" i="9"/>
  <c r="AG1506" i="9"/>
  <c r="AF1506" i="9"/>
  <c r="AE1506" i="9"/>
  <c r="BM1505" i="9"/>
  <c r="AG1505" i="9"/>
  <c r="AF1505" i="9"/>
  <c r="AE1505" i="9"/>
  <c r="BM1504" i="9"/>
  <c r="AG1504" i="9"/>
  <c r="AF1504" i="9"/>
  <c r="AE1504" i="9"/>
  <c r="BM1503" i="9"/>
  <c r="AG1503" i="9"/>
  <c r="AF1503" i="9"/>
  <c r="AE1503" i="9"/>
  <c r="BM1502" i="9"/>
  <c r="AG1502" i="9"/>
  <c r="AF1502" i="9"/>
  <c r="AE1502" i="9"/>
  <c r="BM1501" i="9"/>
  <c r="AG1501" i="9"/>
  <c r="AF1501" i="9"/>
  <c r="AE1501" i="9"/>
  <c r="BM1500" i="9"/>
  <c r="AG1500" i="9"/>
  <c r="AF1500" i="9"/>
  <c r="AE1500" i="9"/>
  <c r="BM1499" i="9"/>
  <c r="AG1499" i="9"/>
  <c r="AF1499" i="9"/>
  <c r="AE1499" i="9"/>
  <c r="BM1498" i="9"/>
  <c r="AG1498" i="9"/>
  <c r="AF1498" i="9"/>
  <c r="AE1498" i="9"/>
  <c r="BM1497" i="9"/>
  <c r="AG1497" i="9"/>
  <c r="AF1497" i="9"/>
  <c r="AE1497" i="9"/>
  <c r="BM1496" i="9"/>
  <c r="AG1496" i="9"/>
  <c r="AF1496" i="9"/>
  <c r="AE1496" i="9"/>
  <c r="BM1495" i="9"/>
  <c r="AG1495" i="9"/>
  <c r="AF1495" i="9"/>
  <c r="AE1495" i="9"/>
  <c r="BM1494" i="9"/>
  <c r="AG1494" i="9"/>
  <c r="AF1494" i="9"/>
  <c r="AE1494" i="9"/>
  <c r="BM1493" i="9"/>
  <c r="AG1493" i="9"/>
  <c r="AF1493" i="9"/>
  <c r="AE1493" i="9"/>
  <c r="BM1492" i="9"/>
  <c r="AG1492" i="9"/>
  <c r="AF1492" i="9"/>
  <c r="AE1492" i="9"/>
  <c r="BM1491" i="9"/>
  <c r="AG1491" i="9"/>
  <c r="AF1491" i="9"/>
  <c r="AE1491" i="9"/>
  <c r="BM1490" i="9"/>
  <c r="AG1490" i="9"/>
  <c r="AF1490" i="9"/>
  <c r="AE1490" i="9"/>
  <c r="BM1489" i="9"/>
  <c r="AG1489" i="9"/>
  <c r="AF1489" i="9"/>
  <c r="AE1489" i="9"/>
  <c r="BM1488" i="9"/>
  <c r="AG1488" i="9"/>
  <c r="AF1488" i="9"/>
  <c r="AE1488" i="9"/>
  <c r="BM1487" i="9"/>
  <c r="AG1487" i="9"/>
  <c r="AF1487" i="9"/>
  <c r="AE1487" i="9"/>
  <c r="BM1486" i="9"/>
  <c r="AG1486" i="9"/>
  <c r="AF1486" i="9"/>
  <c r="AE1486" i="9"/>
  <c r="BM1485" i="9"/>
  <c r="AG1485" i="9"/>
  <c r="AF1485" i="9"/>
  <c r="AE1485" i="9"/>
  <c r="BM1484" i="9"/>
  <c r="AG1484" i="9"/>
  <c r="AF1484" i="9"/>
  <c r="AE1484" i="9"/>
  <c r="BM1483" i="9"/>
  <c r="AG1483" i="9"/>
  <c r="AF1483" i="9"/>
  <c r="AE1483" i="9"/>
  <c r="BM1482" i="9"/>
  <c r="AG1482" i="9"/>
  <c r="AF1482" i="9"/>
  <c r="AE1482" i="9"/>
  <c r="BM1481" i="9"/>
  <c r="AG1481" i="9"/>
  <c r="AF1481" i="9"/>
  <c r="AE1481" i="9"/>
  <c r="BM1480" i="9"/>
  <c r="AG1480" i="9"/>
  <c r="AF1480" i="9"/>
  <c r="AE1480" i="9"/>
  <c r="BM1479" i="9"/>
  <c r="AG1479" i="9"/>
  <c r="AF1479" i="9"/>
  <c r="AE1479" i="9"/>
  <c r="BM1478" i="9"/>
  <c r="AG1478" i="9"/>
  <c r="AF1478" i="9"/>
  <c r="AE1478" i="9"/>
  <c r="BM1477" i="9"/>
  <c r="AG1477" i="9"/>
  <c r="AF1477" i="9"/>
  <c r="AE1477" i="9"/>
  <c r="BM1476" i="9"/>
  <c r="AG1476" i="9"/>
  <c r="AF1476" i="9"/>
  <c r="AE1476" i="9"/>
  <c r="BM1475" i="9"/>
  <c r="AG1475" i="9"/>
  <c r="AF1475" i="9"/>
  <c r="AE1475" i="9"/>
  <c r="BM1474" i="9"/>
  <c r="AG1474" i="9"/>
  <c r="AF1474" i="9"/>
  <c r="AE1474" i="9"/>
  <c r="BM1473" i="9"/>
  <c r="AG1473" i="9"/>
  <c r="AF1473" i="9"/>
  <c r="AE1473" i="9"/>
  <c r="BM1472" i="9"/>
  <c r="AG1472" i="9"/>
  <c r="AF1472" i="9"/>
  <c r="AE1472" i="9"/>
  <c r="BM1471" i="9"/>
  <c r="AG1471" i="9"/>
  <c r="AF1471" i="9"/>
  <c r="AE1471" i="9"/>
  <c r="BM1470" i="9"/>
  <c r="AG1470" i="9"/>
  <c r="AF1470" i="9"/>
  <c r="AE1470" i="9"/>
  <c r="BM1469" i="9"/>
  <c r="AG1469" i="9"/>
  <c r="AF1469" i="9"/>
  <c r="AE1469" i="9"/>
  <c r="BM1468" i="9"/>
  <c r="AG1468" i="9"/>
  <c r="AF1468" i="9"/>
  <c r="AE1468" i="9"/>
  <c r="BM1467" i="9"/>
  <c r="AG1467" i="9"/>
  <c r="AF1467" i="9"/>
  <c r="AE1467" i="9"/>
  <c r="BM1466" i="9"/>
  <c r="AG1466" i="9"/>
  <c r="AF1466" i="9"/>
  <c r="AE1466" i="9"/>
  <c r="BM1465" i="9"/>
  <c r="AG1465" i="9"/>
  <c r="AF1465" i="9"/>
  <c r="AE1465" i="9"/>
  <c r="BM1464" i="9"/>
  <c r="AG1464" i="9"/>
  <c r="AF1464" i="9"/>
  <c r="AE1464" i="9"/>
  <c r="BM1463" i="9"/>
  <c r="AG1463" i="9"/>
  <c r="AF1463" i="9"/>
  <c r="AE1463" i="9"/>
  <c r="BM1462" i="9"/>
  <c r="AG1462" i="9"/>
  <c r="AF1462" i="9"/>
  <c r="AE1462" i="9"/>
  <c r="BM1461" i="9"/>
  <c r="AG1461" i="9"/>
  <c r="AF1461" i="9"/>
  <c r="AE1461" i="9"/>
  <c r="BM1460" i="9"/>
  <c r="AG1460" i="9"/>
  <c r="AF1460" i="9"/>
  <c r="AE1460" i="9"/>
  <c r="BM1459" i="9"/>
  <c r="AG1459" i="9"/>
  <c r="AF1459" i="9"/>
  <c r="AE1459" i="9"/>
  <c r="BM1458" i="9"/>
  <c r="AG1458" i="9"/>
  <c r="AF1458" i="9"/>
  <c r="AE1458" i="9"/>
  <c r="BM1457" i="9"/>
  <c r="AG1457" i="9"/>
  <c r="AF1457" i="9"/>
  <c r="AE1457" i="9"/>
  <c r="BM1456" i="9"/>
  <c r="AG1456" i="9"/>
  <c r="AF1456" i="9"/>
  <c r="AE1456" i="9"/>
  <c r="BM1455" i="9"/>
  <c r="AG1455" i="9"/>
  <c r="AF1455" i="9"/>
  <c r="AE1455" i="9"/>
  <c r="BM1454" i="9"/>
  <c r="AG1454" i="9"/>
  <c r="AF1454" i="9"/>
  <c r="AE1454" i="9"/>
  <c r="BM1453" i="9"/>
  <c r="AG1453" i="9"/>
  <c r="AF1453" i="9"/>
  <c r="AE1453" i="9"/>
  <c r="BM1452" i="9"/>
  <c r="AG1452" i="9"/>
  <c r="AF1452" i="9"/>
  <c r="AE1452" i="9"/>
  <c r="BM1451" i="9"/>
  <c r="AG1451" i="9"/>
  <c r="AF1451" i="9"/>
  <c r="AE1451" i="9"/>
  <c r="BM1450" i="9"/>
  <c r="AG1450" i="9"/>
  <c r="AF1450" i="9"/>
  <c r="AE1450" i="9"/>
  <c r="BM1449" i="9"/>
  <c r="AG1449" i="9"/>
  <c r="AF1449" i="9"/>
  <c r="AE1449" i="9"/>
  <c r="BM1448" i="9"/>
  <c r="AG1448" i="9"/>
  <c r="AF1448" i="9"/>
  <c r="AE1448" i="9"/>
  <c r="BM1447" i="9"/>
  <c r="AG1447" i="9"/>
  <c r="AF1447" i="9"/>
  <c r="AE1447" i="9"/>
  <c r="BM1446" i="9"/>
  <c r="AG1446" i="9"/>
  <c r="AF1446" i="9"/>
  <c r="AE1446" i="9"/>
  <c r="BM1445" i="9"/>
  <c r="AG1445" i="9"/>
  <c r="AF1445" i="9"/>
  <c r="AE1445" i="9"/>
  <c r="BM1444" i="9"/>
  <c r="AG1444" i="9"/>
  <c r="AF1444" i="9"/>
  <c r="AE1444" i="9"/>
  <c r="BM1443" i="9"/>
  <c r="AG1443" i="9"/>
  <c r="AF1443" i="9"/>
  <c r="AE1443" i="9"/>
  <c r="BM1442" i="9"/>
  <c r="AG1442" i="9"/>
  <c r="AF1442" i="9"/>
  <c r="AE1442" i="9"/>
  <c r="BM1441" i="9"/>
  <c r="AG1441" i="9"/>
  <c r="AF1441" i="9"/>
  <c r="AE1441" i="9"/>
  <c r="BM1440" i="9"/>
  <c r="AG1440" i="9"/>
  <c r="AF1440" i="9"/>
  <c r="AE1440" i="9"/>
  <c r="BM1439" i="9"/>
  <c r="AG1439" i="9"/>
  <c r="AF1439" i="9"/>
  <c r="AE1439" i="9"/>
  <c r="BM1438" i="9"/>
  <c r="AG1438" i="9"/>
  <c r="AF1438" i="9"/>
  <c r="AE1438" i="9"/>
  <c r="BM1437" i="9"/>
  <c r="AG1437" i="9"/>
  <c r="AF1437" i="9"/>
  <c r="AE1437" i="9"/>
  <c r="BM1436" i="9"/>
  <c r="AG1436" i="9"/>
  <c r="AF1436" i="9"/>
  <c r="AE1436" i="9"/>
  <c r="BM1435" i="9"/>
  <c r="AG1435" i="9"/>
  <c r="AF1435" i="9"/>
  <c r="AE1435" i="9"/>
  <c r="BM1434" i="9"/>
  <c r="AG1434" i="9"/>
  <c r="AF1434" i="9"/>
  <c r="AE1434" i="9"/>
  <c r="BM1433" i="9"/>
  <c r="AG1433" i="9"/>
  <c r="AF1433" i="9"/>
  <c r="AE1433" i="9"/>
  <c r="BM1432" i="9"/>
  <c r="AG1432" i="9"/>
  <c r="AF1432" i="9"/>
  <c r="AE1432" i="9"/>
  <c r="BM1431" i="9"/>
  <c r="AG1431" i="9"/>
  <c r="AF1431" i="9"/>
  <c r="AE1431" i="9"/>
  <c r="BM1430" i="9"/>
  <c r="AG1430" i="9"/>
  <c r="AF1430" i="9"/>
  <c r="AE1430" i="9"/>
  <c r="BM1429" i="9"/>
  <c r="AG1429" i="9"/>
  <c r="AF1429" i="9"/>
  <c r="AE1429" i="9"/>
  <c r="BM1428" i="9"/>
  <c r="AG1428" i="9"/>
  <c r="AF1428" i="9"/>
  <c r="AE1428" i="9"/>
  <c r="BM1427" i="9"/>
  <c r="AG1427" i="9"/>
  <c r="AF1427" i="9"/>
  <c r="AE1427" i="9"/>
  <c r="BM1426" i="9"/>
  <c r="AG1426" i="9"/>
  <c r="AF1426" i="9"/>
  <c r="AE1426" i="9"/>
  <c r="BM1425" i="9"/>
  <c r="AG1425" i="9"/>
  <c r="AF1425" i="9"/>
  <c r="AE1425" i="9"/>
  <c r="BM1424" i="9"/>
  <c r="AG1424" i="9"/>
  <c r="AF1424" i="9"/>
  <c r="AE1424" i="9"/>
  <c r="BM1423" i="9"/>
  <c r="AG1423" i="9"/>
  <c r="AF1423" i="9"/>
  <c r="AE1423" i="9"/>
  <c r="BM1422" i="9"/>
  <c r="AG1422" i="9"/>
  <c r="AF1422" i="9"/>
  <c r="AE1422" i="9"/>
  <c r="BM1421" i="9"/>
  <c r="AG1421" i="9"/>
  <c r="AF1421" i="9"/>
  <c r="AE1421" i="9"/>
  <c r="BM1420" i="9"/>
  <c r="AG1420" i="9"/>
  <c r="AF1420" i="9"/>
  <c r="AE1420" i="9"/>
  <c r="BM1419" i="9"/>
  <c r="AG1419" i="9"/>
  <c r="AF1419" i="9"/>
  <c r="AE1419" i="9"/>
  <c r="BM1418" i="9"/>
  <c r="AG1418" i="9"/>
  <c r="AF1418" i="9"/>
  <c r="AE1418" i="9"/>
  <c r="BM1417" i="9"/>
  <c r="AG1417" i="9"/>
  <c r="AF1417" i="9"/>
  <c r="AE1417" i="9"/>
  <c r="BM1416" i="9"/>
  <c r="AG1416" i="9"/>
  <c r="AF1416" i="9"/>
  <c r="AE1416" i="9"/>
  <c r="BM1415" i="9"/>
  <c r="AG1415" i="9"/>
  <c r="AF1415" i="9"/>
  <c r="AE1415" i="9"/>
  <c r="BM1414" i="9"/>
  <c r="AG1414" i="9"/>
  <c r="AF1414" i="9"/>
  <c r="AE1414" i="9"/>
  <c r="BM1413" i="9"/>
  <c r="AG1413" i="9"/>
  <c r="AF1413" i="9"/>
  <c r="AE1413" i="9"/>
  <c r="BM1412" i="9"/>
  <c r="AG1412" i="9"/>
  <c r="AF1412" i="9"/>
  <c r="AE1412" i="9"/>
  <c r="BM1411" i="9"/>
  <c r="AG1411" i="9"/>
  <c r="AF1411" i="9"/>
  <c r="AE1411" i="9"/>
  <c r="BM1410" i="9"/>
  <c r="AG1410" i="9"/>
  <c r="AF1410" i="9"/>
  <c r="AE1410" i="9"/>
  <c r="BM1409" i="9"/>
  <c r="AG1409" i="9"/>
  <c r="AF1409" i="9"/>
  <c r="AE1409" i="9"/>
  <c r="BM1408" i="9"/>
  <c r="AG1408" i="9"/>
  <c r="AF1408" i="9"/>
  <c r="AE1408" i="9"/>
  <c r="BM1407" i="9"/>
  <c r="AG1407" i="9"/>
  <c r="AF1407" i="9"/>
  <c r="AE1407" i="9"/>
  <c r="BM1406" i="9"/>
  <c r="AG1406" i="9"/>
  <c r="AF1406" i="9"/>
  <c r="AE1406" i="9"/>
  <c r="BM1405" i="9"/>
  <c r="AG1405" i="9"/>
  <c r="AF1405" i="9"/>
  <c r="AE1405" i="9"/>
  <c r="BM1404" i="9"/>
  <c r="AG1404" i="9"/>
  <c r="AF1404" i="9"/>
  <c r="AE1404" i="9"/>
  <c r="BM1403" i="9"/>
  <c r="AG1403" i="9"/>
  <c r="AF1403" i="9"/>
  <c r="AE1403" i="9"/>
  <c r="BM1402" i="9"/>
  <c r="AG1402" i="9"/>
  <c r="AF1402" i="9"/>
  <c r="AE1402" i="9"/>
  <c r="BM1401" i="9"/>
  <c r="AG1401" i="9"/>
  <c r="AF1401" i="9"/>
  <c r="AE1401" i="9"/>
  <c r="BM1400" i="9"/>
  <c r="AG1400" i="9"/>
  <c r="AF1400" i="9"/>
  <c r="AE1400" i="9"/>
  <c r="BM1399" i="9"/>
  <c r="AG1399" i="9"/>
  <c r="AF1399" i="9"/>
  <c r="AE1399" i="9"/>
  <c r="BM1398" i="9"/>
  <c r="AG1398" i="9"/>
  <c r="AF1398" i="9"/>
  <c r="AE1398" i="9"/>
  <c r="BM1397" i="9"/>
  <c r="AG1397" i="9"/>
  <c r="AF1397" i="9"/>
  <c r="AE1397" i="9"/>
  <c r="BM1396" i="9"/>
  <c r="AG1396" i="9"/>
  <c r="AF1396" i="9"/>
  <c r="AE1396" i="9"/>
  <c r="BM1395" i="9"/>
  <c r="AG1395" i="9"/>
  <c r="AF1395" i="9"/>
  <c r="AE1395" i="9"/>
  <c r="BM1394" i="9"/>
  <c r="AG1394" i="9"/>
  <c r="AF1394" i="9"/>
  <c r="AE1394" i="9"/>
  <c r="BM1393" i="9"/>
  <c r="AG1393" i="9"/>
  <c r="AF1393" i="9"/>
  <c r="AE1393" i="9"/>
  <c r="BM1392" i="9"/>
  <c r="AG1392" i="9"/>
  <c r="AF1392" i="9"/>
  <c r="AE1392" i="9"/>
  <c r="BM1391" i="9"/>
  <c r="AG1391" i="9"/>
  <c r="AF1391" i="9"/>
  <c r="AE1391" i="9"/>
  <c r="BM1390" i="9"/>
  <c r="AG1390" i="9"/>
  <c r="AF1390" i="9"/>
  <c r="AE1390" i="9"/>
  <c r="BM1389" i="9"/>
  <c r="AG1389" i="9"/>
  <c r="AF1389" i="9"/>
  <c r="AE1389" i="9"/>
  <c r="BM1388" i="9"/>
  <c r="AG1388" i="9"/>
  <c r="AF1388" i="9"/>
  <c r="AE1388" i="9"/>
  <c r="BM1387" i="9"/>
  <c r="AG1387" i="9"/>
  <c r="AF1387" i="9"/>
  <c r="AE1387" i="9"/>
  <c r="BM1386" i="9"/>
  <c r="AG1386" i="9"/>
  <c r="AF1386" i="9"/>
  <c r="AE1386" i="9"/>
  <c r="BM1385" i="9"/>
  <c r="AG1385" i="9"/>
  <c r="AF1385" i="9"/>
  <c r="AE1385" i="9"/>
  <c r="BM1384" i="9"/>
  <c r="AG1384" i="9"/>
  <c r="AF1384" i="9"/>
  <c r="AE1384" i="9"/>
  <c r="BM1383" i="9"/>
  <c r="AG1383" i="9"/>
  <c r="AF1383" i="9"/>
  <c r="AE1383" i="9"/>
  <c r="BM1382" i="9"/>
  <c r="AG1382" i="9"/>
  <c r="AF1382" i="9"/>
  <c r="AE1382" i="9"/>
  <c r="BM1381" i="9"/>
  <c r="AG1381" i="9"/>
  <c r="AF1381" i="9"/>
  <c r="AE1381" i="9"/>
  <c r="BM1380" i="9"/>
  <c r="AG1380" i="9"/>
  <c r="AF1380" i="9"/>
  <c r="AE1380" i="9"/>
  <c r="BM1379" i="9"/>
  <c r="AG1379" i="9"/>
  <c r="AF1379" i="9"/>
  <c r="AE1379" i="9"/>
  <c r="BM1378" i="9"/>
  <c r="AG1378" i="9"/>
  <c r="AF1378" i="9"/>
  <c r="AE1378" i="9"/>
  <c r="BM1377" i="9"/>
  <c r="AG1377" i="9"/>
  <c r="AF1377" i="9"/>
  <c r="AE1377" i="9"/>
  <c r="BM1376" i="9"/>
  <c r="AG1376" i="9"/>
  <c r="AF1376" i="9"/>
  <c r="AE1376" i="9"/>
  <c r="BM1375" i="9"/>
  <c r="AG1375" i="9"/>
  <c r="AF1375" i="9"/>
  <c r="AE1375" i="9"/>
  <c r="BM1374" i="9"/>
  <c r="AG1374" i="9"/>
  <c r="AF1374" i="9"/>
  <c r="AE1374" i="9"/>
  <c r="BM1373" i="9"/>
  <c r="AG1373" i="9"/>
  <c r="AF1373" i="9"/>
  <c r="AE1373" i="9"/>
  <c r="BM1372" i="9"/>
  <c r="AG1372" i="9"/>
  <c r="AF1372" i="9"/>
  <c r="AE1372" i="9"/>
  <c r="BM1371" i="9"/>
  <c r="AG1371" i="9"/>
  <c r="AF1371" i="9"/>
  <c r="AE1371" i="9"/>
  <c r="BM1370" i="9"/>
  <c r="AG1370" i="9"/>
  <c r="AF1370" i="9"/>
  <c r="AE1370" i="9"/>
  <c r="BM1369" i="9"/>
  <c r="AG1369" i="9"/>
  <c r="AF1369" i="9"/>
  <c r="AE1369" i="9"/>
  <c r="BM1368" i="9"/>
  <c r="AG1368" i="9"/>
  <c r="AF1368" i="9"/>
  <c r="AE1368" i="9"/>
  <c r="BM1367" i="9"/>
  <c r="AG1367" i="9"/>
  <c r="AF1367" i="9"/>
  <c r="AE1367" i="9"/>
  <c r="BM1366" i="9"/>
  <c r="AG1366" i="9"/>
  <c r="AF1366" i="9"/>
  <c r="AE1366" i="9"/>
  <c r="BM1365" i="9"/>
  <c r="AG1365" i="9"/>
  <c r="AF1365" i="9"/>
  <c r="AE1365" i="9"/>
  <c r="BM1364" i="9"/>
  <c r="AG1364" i="9"/>
  <c r="AF1364" i="9"/>
  <c r="AE1364" i="9"/>
  <c r="BM1363" i="9"/>
  <c r="AG1363" i="9"/>
  <c r="AF1363" i="9"/>
  <c r="AE1363" i="9"/>
  <c r="BM1362" i="9"/>
  <c r="AG1362" i="9"/>
  <c r="AF1362" i="9"/>
  <c r="AE1362" i="9"/>
  <c r="BM1361" i="9"/>
  <c r="AG1361" i="9"/>
  <c r="AF1361" i="9"/>
  <c r="AE1361" i="9"/>
  <c r="BM1360" i="9"/>
  <c r="AG1360" i="9"/>
  <c r="AF1360" i="9"/>
  <c r="AE1360" i="9"/>
  <c r="BM1359" i="9"/>
  <c r="AG1359" i="9"/>
  <c r="AF1359" i="9"/>
  <c r="AE1359" i="9"/>
  <c r="BM1358" i="9"/>
  <c r="AG1358" i="9"/>
  <c r="AF1358" i="9"/>
  <c r="AE1358" i="9"/>
  <c r="BM1357" i="9"/>
  <c r="AG1357" i="9"/>
  <c r="AF1357" i="9"/>
  <c r="AE1357" i="9"/>
  <c r="BM1356" i="9"/>
  <c r="AG1356" i="9"/>
  <c r="AF1356" i="9"/>
  <c r="AE1356" i="9"/>
  <c r="BM1355" i="9"/>
  <c r="AG1355" i="9"/>
  <c r="AF1355" i="9"/>
  <c r="AE1355" i="9"/>
  <c r="BM1354" i="9"/>
  <c r="AG1354" i="9"/>
  <c r="AF1354" i="9"/>
  <c r="AE1354" i="9"/>
  <c r="BM1353" i="9"/>
  <c r="AG1353" i="9"/>
  <c r="AF1353" i="9"/>
  <c r="AE1353" i="9"/>
  <c r="BM1352" i="9"/>
  <c r="AG1352" i="9"/>
  <c r="AF1352" i="9"/>
  <c r="AE1352" i="9"/>
  <c r="BM1351" i="9"/>
  <c r="AG1351" i="9"/>
  <c r="AF1351" i="9"/>
  <c r="AE1351" i="9"/>
  <c r="BM1350" i="9"/>
  <c r="AG1350" i="9"/>
  <c r="AF1350" i="9"/>
  <c r="AE1350" i="9"/>
  <c r="BM1347" i="9"/>
  <c r="AG1347" i="9"/>
  <c r="AF1347" i="9"/>
  <c r="AE1347" i="9"/>
  <c r="BM1346" i="9"/>
  <c r="AG1346" i="9"/>
  <c r="AF1346" i="9"/>
  <c r="AE1346" i="9"/>
  <c r="BM1349" i="9"/>
  <c r="AG1349" i="9"/>
  <c r="AF1349" i="9"/>
  <c r="AE1349" i="9"/>
  <c r="BM1348" i="9"/>
  <c r="AG1348" i="9"/>
  <c r="AF1348" i="9"/>
  <c r="AE1348" i="9"/>
  <c r="BM1345" i="9"/>
  <c r="AG1345" i="9"/>
  <c r="AF1345" i="9"/>
  <c r="AE1345" i="9"/>
  <c r="BM1344" i="9"/>
  <c r="AG1344" i="9"/>
  <c r="AF1344" i="9"/>
  <c r="AE1344" i="9"/>
  <c r="BM1343" i="9"/>
  <c r="AG1343" i="9"/>
  <c r="AF1343" i="9"/>
  <c r="AE1343" i="9"/>
  <c r="BM1342" i="9"/>
  <c r="AG1342" i="9"/>
  <c r="AF1342" i="9"/>
  <c r="AE1342" i="9"/>
  <c r="BM1341" i="9"/>
  <c r="AG1341" i="9"/>
  <c r="AF1341" i="9"/>
  <c r="AE1341" i="9"/>
  <c r="BM1340" i="9"/>
  <c r="AG1340" i="9"/>
  <c r="AF1340" i="9"/>
  <c r="AE1340" i="9"/>
  <c r="BM1339" i="9"/>
  <c r="AG1339" i="9"/>
  <c r="AF1339" i="9"/>
  <c r="AE1339" i="9"/>
  <c r="BM1338" i="9"/>
  <c r="AG1338" i="9"/>
  <c r="AF1338" i="9"/>
  <c r="AE1338" i="9"/>
  <c r="BM1337" i="9"/>
  <c r="AG1337" i="9"/>
  <c r="AF1337" i="9"/>
  <c r="AE1337" i="9"/>
  <c r="BM1336" i="9"/>
  <c r="AG1336" i="9"/>
  <c r="AF1336" i="9"/>
  <c r="AE1336" i="9"/>
  <c r="BM1335" i="9"/>
  <c r="AG1335" i="9"/>
  <c r="AF1335" i="9"/>
  <c r="AE1335" i="9"/>
  <c r="BM1334" i="9"/>
  <c r="AG1334" i="9"/>
  <c r="AF1334" i="9"/>
  <c r="AE1334" i="9"/>
  <c r="BM1331" i="9"/>
  <c r="AG1331" i="9"/>
  <c r="AF1331" i="9"/>
  <c r="AE1331" i="9"/>
  <c r="BM1330" i="9"/>
  <c r="AG1330" i="9"/>
  <c r="AF1330" i="9"/>
  <c r="AE1330" i="9"/>
  <c r="BM1333" i="9"/>
  <c r="AG1333" i="9"/>
  <c r="AF1333" i="9"/>
  <c r="AE1333" i="9"/>
  <c r="BM1332" i="9"/>
  <c r="AG1332" i="9"/>
  <c r="AF1332" i="9"/>
  <c r="AE1332" i="9"/>
  <c r="BM1329" i="9"/>
  <c r="AG1329" i="9"/>
  <c r="AF1329" i="9"/>
  <c r="AE1329" i="9"/>
  <c r="BM1328" i="9"/>
  <c r="AG1328" i="9"/>
  <c r="AF1328" i="9"/>
  <c r="AE1328" i="9"/>
  <c r="BM1327" i="9"/>
  <c r="AG1327" i="9"/>
  <c r="AF1327" i="9"/>
  <c r="AE1327" i="9"/>
  <c r="BM1326" i="9"/>
  <c r="AG1326" i="9"/>
  <c r="AF1326" i="9"/>
  <c r="AE1326" i="9"/>
  <c r="BM1325" i="9"/>
  <c r="AG1325" i="9"/>
  <c r="AF1325" i="9"/>
  <c r="AE1325" i="9"/>
  <c r="BM1324" i="9"/>
  <c r="AG1324" i="9"/>
  <c r="AF1324" i="9"/>
  <c r="AE1324" i="9"/>
  <c r="BM1323" i="9"/>
  <c r="AG1323" i="9"/>
  <c r="AF1323" i="9"/>
  <c r="AE1323" i="9"/>
  <c r="BM1322" i="9"/>
  <c r="AG1322" i="9"/>
  <c r="AF1322" i="9"/>
  <c r="AE1322" i="9"/>
  <c r="BM1321" i="9"/>
  <c r="AG1321" i="9"/>
  <c r="AF1321" i="9"/>
  <c r="AE1321" i="9"/>
  <c r="BM1320" i="9"/>
  <c r="AG1320" i="9"/>
  <c r="AF1320" i="9"/>
  <c r="AE1320" i="9"/>
  <c r="BM1319" i="9"/>
  <c r="AG1319" i="9"/>
  <c r="AF1319" i="9"/>
  <c r="AE1319" i="9"/>
  <c r="BM1318" i="9"/>
  <c r="AG1318" i="9"/>
  <c r="AF1318" i="9"/>
  <c r="AE1318" i="9"/>
  <c r="BM1315" i="9"/>
  <c r="AG1315" i="9"/>
  <c r="AF1315" i="9"/>
  <c r="AE1315" i="9"/>
  <c r="BM1314" i="9"/>
  <c r="AG1314" i="9"/>
  <c r="AF1314" i="9"/>
  <c r="AE1314" i="9"/>
  <c r="BM1317" i="9"/>
  <c r="AG1317" i="9"/>
  <c r="AF1317" i="9"/>
  <c r="AE1317" i="9"/>
  <c r="BM1316" i="9"/>
  <c r="AG1316" i="9"/>
  <c r="AF1316" i="9"/>
  <c r="AE1316" i="9"/>
  <c r="BM1313" i="9"/>
  <c r="AG1313" i="9"/>
  <c r="AF1313" i="9"/>
  <c r="AE1313" i="9"/>
  <c r="BM1312" i="9"/>
  <c r="AG1312" i="9"/>
  <c r="AF1312" i="9"/>
  <c r="AE1312" i="9"/>
  <c r="BM1311" i="9"/>
  <c r="AG1311" i="9"/>
  <c r="AF1311" i="9"/>
  <c r="AE1311" i="9"/>
  <c r="BM1310" i="9"/>
  <c r="AG1310" i="9"/>
  <c r="AF1310" i="9"/>
  <c r="AE1310" i="9"/>
  <c r="BM1309" i="9"/>
  <c r="AG1309" i="9"/>
  <c r="AF1309" i="9"/>
  <c r="AE1309" i="9"/>
  <c r="BM1308" i="9"/>
  <c r="AG1308" i="9"/>
  <c r="AF1308" i="9"/>
  <c r="AE1308" i="9"/>
  <c r="BM1307" i="9"/>
  <c r="AG1307" i="9"/>
  <c r="AF1307" i="9"/>
  <c r="AE1307" i="9"/>
  <c r="BM1306" i="9"/>
  <c r="AG1306" i="9"/>
  <c r="AF1306" i="9"/>
  <c r="AE1306" i="9"/>
  <c r="BM1305" i="9"/>
  <c r="AG1305" i="9"/>
  <c r="AF1305" i="9"/>
  <c r="AE1305" i="9"/>
  <c r="BM1304" i="9"/>
  <c r="AG1304" i="9"/>
  <c r="AF1304" i="9"/>
  <c r="AE1304" i="9"/>
  <c r="BM1303" i="9"/>
  <c r="AG1303" i="9"/>
  <c r="AF1303" i="9"/>
  <c r="AE1303" i="9"/>
  <c r="BM1302" i="9"/>
  <c r="AG1302" i="9"/>
  <c r="AF1302" i="9"/>
  <c r="AE1302" i="9"/>
  <c r="BM1301" i="9"/>
  <c r="AG1301" i="9"/>
  <c r="AF1301" i="9"/>
  <c r="AE1301" i="9"/>
  <c r="BM1300" i="9"/>
  <c r="AG1300" i="9"/>
  <c r="AF1300" i="9"/>
  <c r="AE1300" i="9"/>
  <c r="BM1299" i="9"/>
  <c r="AG1299" i="9"/>
  <c r="AF1299" i="9"/>
  <c r="AE1299" i="9"/>
  <c r="BM1298" i="9"/>
  <c r="AG1298" i="9"/>
  <c r="AF1298" i="9"/>
  <c r="AE1298" i="9"/>
  <c r="BM1297" i="9"/>
  <c r="AG1297" i="9"/>
  <c r="AF1297" i="9"/>
  <c r="AE1297" i="9"/>
  <c r="BM1296" i="9"/>
  <c r="AG1296" i="9"/>
  <c r="AF1296" i="9"/>
  <c r="AE1296" i="9"/>
  <c r="BM1295" i="9"/>
  <c r="AG1295" i="9"/>
  <c r="AF1295" i="9"/>
  <c r="AE1295" i="9"/>
  <c r="BM1294" i="9"/>
  <c r="AG1294" i="9"/>
  <c r="AF1294" i="9"/>
  <c r="AE1294" i="9"/>
  <c r="BM1293" i="9"/>
  <c r="AG1293" i="9"/>
  <c r="AF1293" i="9"/>
  <c r="AE1293" i="9"/>
  <c r="BM1292" i="9"/>
  <c r="AG1292" i="9"/>
  <c r="AF1292" i="9"/>
  <c r="AE1292" i="9"/>
  <c r="BM1291" i="9"/>
  <c r="AG1291" i="9"/>
  <c r="AF1291" i="9"/>
  <c r="AE1291" i="9"/>
  <c r="BM1290" i="9"/>
  <c r="AG1290" i="9"/>
  <c r="AF1290" i="9"/>
  <c r="AE1290" i="9"/>
  <c r="BM1289" i="9"/>
  <c r="AG1289" i="9"/>
  <c r="AF1289" i="9"/>
  <c r="AE1289" i="9"/>
  <c r="BM1288" i="9"/>
  <c r="AG1288" i="9"/>
  <c r="AF1288" i="9"/>
  <c r="AE1288" i="9"/>
  <c r="BM1287" i="9"/>
  <c r="AG1287" i="9"/>
  <c r="AF1287" i="9"/>
  <c r="AE1287" i="9"/>
  <c r="BM1286" i="9"/>
  <c r="AG1286" i="9"/>
  <c r="AF1286" i="9"/>
  <c r="AE1286" i="9"/>
  <c r="BM1285" i="9"/>
  <c r="AG1285" i="9"/>
  <c r="AF1285" i="9"/>
  <c r="AE1285" i="9"/>
  <c r="BM1284" i="9"/>
  <c r="AG1284" i="9"/>
  <c r="AF1284" i="9"/>
  <c r="AE1284" i="9"/>
  <c r="BM1281" i="9"/>
  <c r="AG1281" i="9"/>
  <c r="AF1281" i="9"/>
  <c r="AE1281" i="9"/>
  <c r="BM1280" i="9"/>
  <c r="AG1280" i="9"/>
  <c r="AF1280" i="9"/>
  <c r="AE1280" i="9"/>
  <c r="BM1283" i="9"/>
  <c r="AG1283" i="9"/>
  <c r="AF1283" i="9"/>
  <c r="AE1283" i="9"/>
  <c r="BM1282" i="9"/>
  <c r="AG1282" i="9"/>
  <c r="AF1282" i="9"/>
  <c r="AE1282" i="9"/>
  <c r="BM1279" i="9"/>
  <c r="AG1279" i="9"/>
  <c r="AF1279" i="9"/>
  <c r="AE1279" i="9"/>
  <c r="BM1278" i="9"/>
  <c r="AG1278" i="9"/>
  <c r="AF1278" i="9"/>
  <c r="AE1278" i="9"/>
  <c r="BM1277" i="9"/>
  <c r="AG1277" i="9"/>
  <c r="AF1277" i="9"/>
  <c r="AE1277" i="9"/>
  <c r="BM1276" i="9"/>
  <c r="AG1276" i="9"/>
  <c r="AF1276" i="9"/>
  <c r="AE1276" i="9"/>
  <c r="BM1275" i="9"/>
  <c r="AG1275" i="9"/>
  <c r="AF1275" i="9"/>
  <c r="AE1275" i="9"/>
  <c r="BM1274" i="9"/>
  <c r="AG1274" i="9"/>
  <c r="AF1274" i="9"/>
  <c r="AE1274" i="9"/>
  <c r="BM1273" i="9"/>
  <c r="AG1273" i="9"/>
  <c r="AF1273" i="9"/>
  <c r="AE1273" i="9"/>
  <c r="BM1272" i="9"/>
  <c r="AG1272" i="9"/>
  <c r="AF1272" i="9"/>
  <c r="AE1272" i="9"/>
  <c r="BM1271" i="9"/>
  <c r="AG1271" i="9"/>
  <c r="AF1271" i="9"/>
  <c r="AE1271" i="9"/>
  <c r="BM1270" i="9"/>
  <c r="AG1270" i="9"/>
  <c r="AF1270" i="9"/>
  <c r="AE1270" i="9"/>
  <c r="BM1269" i="9"/>
  <c r="AG1269" i="9"/>
  <c r="AF1269" i="9"/>
  <c r="AE1269" i="9"/>
  <c r="BM1268" i="9"/>
  <c r="AG1268" i="9"/>
  <c r="AF1268" i="9"/>
  <c r="AE1268" i="9"/>
  <c r="BM1265" i="9"/>
  <c r="AG1265" i="9"/>
  <c r="AF1265" i="9"/>
  <c r="AE1265" i="9"/>
  <c r="BM1264" i="9"/>
  <c r="AG1264" i="9"/>
  <c r="AF1264" i="9"/>
  <c r="AE1264" i="9"/>
  <c r="BM1267" i="9"/>
  <c r="AG1267" i="9"/>
  <c r="AF1267" i="9"/>
  <c r="AE1267" i="9"/>
  <c r="BM1266" i="9"/>
  <c r="AG1266" i="9"/>
  <c r="AF1266" i="9"/>
  <c r="AE1266" i="9"/>
  <c r="BM1263" i="9"/>
  <c r="AG1263" i="9"/>
  <c r="AF1263" i="9"/>
  <c r="AE1263" i="9"/>
  <c r="BM1262" i="9"/>
  <c r="AG1262" i="9"/>
  <c r="AF1262" i="9"/>
  <c r="AE1262" i="9"/>
  <c r="BM1259" i="9"/>
  <c r="AG1259" i="9"/>
  <c r="AF1259" i="9"/>
  <c r="AE1259" i="9"/>
  <c r="BM1258" i="9"/>
  <c r="AG1258" i="9"/>
  <c r="AF1258" i="9"/>
  <c r="AE1258" i="9"/>
  <c r="BM1261" i="9"/>
  <c r="AG1261" i="9"/>
  <c r="AF1261" i="9"/>
  <c r="AE1261" i="9"/>
  <c r="BM1260" i="9"/>
  <c r="AG1260" i="9"/>
  <c r="AF1260" i="9"/>
  <c r="AE1260" i="9"/>
  <c r="BM1257" i="9"/>
  <c r="AG1257" i="9"/>
  <c r="AF1257" i="9"/>
  <c r="AE1257" i="9"/>
  <c r="BM1256" i="9"/>
  <c r="AG1256" i="9"/>
  <c r="AF1256" i="9"/>
  <c r="AE1256" i="9"/>
  <c r="BM1255" i="9"/>
  <c r="AG1255" i="9"/>
  <c r="AF1255" i="9"/>
  <c r="AE1255" i="9"/>
  <c r="BM1254" i="9"/>
  <c r="AG1254" i="9"/>
  <c r="AF1254" i="9"/>
  <c r="AE1254" i="9"/>
  <c r="BM1253" i="9"/>
  <c r="AG1253" i="9"/>
  <c r="AF1253" i="9"/>
  <c r="AE1253" i="9"/>
  <c r="BM1252" i="9"/>
  <c r="AG1252" i="9"/>
  <c r="AF1252" i="9"/>
  <c r="AE1252" i="9"/>
  <c r="BM1251" i="9"/>
  <c r="AG1251" i="9"/>
  <c r="AF1251" i="9"/>
  <c r="AE1251" i="9"/>
  <c r="BM1250" i="9"/>
  <c r="AG1250" i="9"/>
  <c r="AF1250" i="9"/>
  <c r="AE1250" i="9"/>
  <c r="BM1249" i="9"/>
  <c r="AG1249" i="9"/>
  <c r="AF1249" i="9"/>
  <c r="AE1249" i="9"/>
  <c r="BM1248" i="9"/>
  <c r="AG1248" i="9"/>
  <c r="AF1248" i="9"/>
  <c r="AE1248" i="9"/>
  <c r="BM1247" i="9"/>
  <c r="AG1247" i="9"/>
  <c r="AF1247" i="9"/>
  <c r="AE1247" i="9"/>
  <c r="BM1246" i="9"/>
  <c r="AG1246" i="9"/>
  <c r="AF1246" i="9"/>
  <c r="AE1246" i="9"/>
  <c r="BM1245" i="9"/>
  <c r="AG1245" i="9"/>
  <c r="AF1245" i="9"/>
  <c r="AE1245" i="9"/>
  <c r="BM1244" i="9"/>
  <c r="AG1244" i="9"/>
  <c r="AF1244" i="9"/>
  <c r="AE1244" i="9"/>
  <c r="BM1243" i="9"/>
  <c r="AG1243" i="9"/>
  <c r="AF1243" i="9"/>
  <c r="AE1243" i="9"/>
  <c r="BM1242" i="9"/>
  <c r="AG1242" i="9"/>
  <c r="AF1242" i="9"/>
  <c r="AE1242" i="9"/>
  <c r="BM1241" i="9"/>
  <c r="AG1241" i="9"/>
  <c r="AF1241" i="9"/>
  <c r="AE1241" i="9"/>
  <c r="BM1240" i="9"/>
  <c r="AG1240" i="9"/>
  <c r="AF1240" i="9"/>
  <c r="AE1240" i="9"/>
  <c r="BM1239" i="9"/>
  <c r="AG1239" i="9"/>
  <c r="AF1239" i="9"/>
  <c r="AE1239" i="9"/>
  <c r="BM1238" i="9"/>
  <c r="AG1238" i="9"/>
  <c r="AF1238" i="9"/>
  <c r="AE1238" i="9"/>
  <c r="BM1237" i="9"/>
  <c r="AG1237" i="9"/>
  <c r="AF1237" i="9"/>
  <c r="AE1237" i="9"/>
  <c r="BM1236" i="9"/>
  <c r="AG1236" i="9"/>
  <c r="AF1236" i="9"/>
  <c r="AE1236" i="9"/>
  <c r="BM1235" i="9"/>
  <c r="AG1235" i="9"/>
  <c r="AF1235" i="9"/>
  <c r="AE1235" i="9"/>
  <c r="BM1234" i="9"/>
  <c r="AG1234" i="9"/>
  <c r="AF1234" i="9"/>
  <c r="AE1234" i="9"/>
  <c r="BM1233" i="9"/>
  <c r="AG1233" i="9"/>
  <c r="AF1233" i="9"/>
  <c r="AE1233" i="9"/>
  <c r="BM1232" i="9"/>
  <c r="AG1232" i="9"/>
  <c r="AF1232" i="9"/>
  <c r="AE1232" i="9"/>
  <c r="BM1229" i="9"/>
  <c r="AG1229" i="9"/>
  <c r="AF1229" i="9"/>
  <c r="AE1229" i="9"/>
  <c r="BM1228" i="9"/>
  <c r="AG1228" i="9"/>
  <c r="AF1228" i="9"/>
  <c r="AE1228" i="9"/>
  <c r="BM1231" i="9"/>
  <c r="AG1231" i="9"/>
  <c r="AF1231" i="9"/>
  <c r="AE1231" i="9"/>
  <c r="BM1230" i="9"/>
  <c r="AG1230" i="9"/>
  <c r="AF1230" i="9"/>
  <c r="AE1230" i="9"/>
  <c r="BM1227" i="9"/>
  <c r="AG1227" i="9"/>
  <c r="AF1227" i="9"/>
  <c r="AE1227" i="9"/>
  <c r="BM1226" i="9"/>
  <c r="AG1226" i="9"/>
  <c r="AF1226" i="9"/>
  <c r="AE1226" i="9"/>
  <c r="BM1225" i="9"/>
  <c r="AG1225" i="9"/>
  <c r="AF1225" i="9"/>
  <c r="AE1225" i="9"/>
  <c r="BM1224" i="9"/>
  <c r="AG1224" i="9"/>
  <c r="AF1224" i="9"/>
  <c r="AE1224" i="9"/>
  <c r="BM1223" i="9"/>
  <c r="AG1223" i="9"/>
  <c r="AF1223" i="9"/>
  <c r="AE1223" i="9"/>
  <c r="BM1222" i="9"/>
  <c r="AG1222" i="9"/>
  <c r="AF1222" i="9"/>
  <c r="AE1222" i="9"/>
  <c r="BM1221" i="9"/>
  <c r="AG1221" i="9"/>
  <c r="AF1221" i="9"/>
  <c r="AE1221" i="9"/>
  <c r="BM1220" i="9"/>
  <c r="AG1220" i="9"/>
  <c r="AF1220" i="9"/>
  <c r="AE1220" i="9"/>
  <c r="BM1219" i="9"/>
  <c r="AG1219" i="9"/>
  <c r="AF1219" i="9"/>
  <c r="AE1219" i="9"/>
  <c r="BM1218" i="9"/>
  <c r="AG1218" i="9"/>
  <c r="AF1218" i="9"/>
  <c r="AE1218" i="9"/>
  <c r="BM1217" i="9"/>
  <c r="AG1217" i="9"/>
  <c r="AF1217" i="9"/>
  <c r="AE1217" i="9"/>
  <c r="BM1216" i="9"/>
  <c r="AG1216" i="9"/>
  <c r="AF1216" i="9"/>
  <c r="AE1216" i="9"/>
  <c r="BM1215" i="9"/>
  <c r="AG1215" i="9"/>
  <c r="AF1215" i="9"/>
  <c r="AE1215" i="9"/>
  <c r="BM1214" i="9"/>
  <c r="AG1214" i="9"/>
  <c r="AF1214" i="9"/>
  <c r="AE1214" i="9"/>
  <c r="BM1211" i="9"/>
  <c r="AG1211" i="9"/>
  <c r="AF1211" i="9"/>
  <c r="AE1211" i="9"/>
  <c r="BM1210" i="9"/>
  <c r="AG1210" i="9"/>
  <c r="AF1210" i="9"/>
  <c r="AE1210" i="9"/>
  <c r="BM1213" i="9"/>
  <c r="AG1213" i="9"/>
  <c r="AF1213" i="9"/>
  <c r="AE1213" i="9"/>
  <c r="BM1212" i="9"/>
  <c r="AG1212" i="9"/>
  <c r="AF1212" i="9"/>
  <c r="AE1212" i="9"/>
  <c r="BM1209" i="9"/>
  <c r="AG1209" i="9"/>
  <c r="AF1209" i="9"/>
  <c r="AE1209" i="9"/>
  <c r="BM1208" i="9"/>
  <c r="AG1208" i="9"/>
  <c r="AF1208" i="9"/>
  <c r="AE1208" i="9"/>
  <c r="BM1207" i="9"/>
  <c r="AG1207" i="9"/>
  <c r="AF1207" i="9"/>
  <c r="AE1207" i="9"/>
  <c r="BM1206" i="9"/>
  <c r="AG1206" i="9"/>
  <c r="AF1206" i="9"/>
  <c r="AE1206" i="9"/>
  <c r="BM1205" i="9"/>
  <c r="AG1205" i="9"/>
  <c r="AF1205" i="9"/>
  <c r="AE1205" i="9"/>
  <c r="BM1204" i="9"/>
  <c r="AG1204" i="9"/>
  <c r="AF1204" i="9"/>
  <c r="AE1204" i="9"/>
  <c r="BM1203" i="9"/>
  <c r="AG1203" i="9"/>
  <c r="AF1203" i="9"/>
  <c r="AE1203" i="9"/>
  <c r="BM1202" i="9"/>
  <c r="AG1202" i="9"/>
  <c r="AF1202" i="9"/>
  <c r="AE1202" i="9"/>
  <c r="BM1201" i="9"/>
  <c r="AG1201" i="9"/>
  <c r="AF1201" i="9"/>
  <c r="AE1201" i="9"/>
  <c r="BM1200" i="9"/>
  <c r="AG1200" i="9"/>
  <c r="AF1200" i="9"/>
  <c r="AE1200" i="9"/>
  <c r="BM1199" i="9"/>
  <c r="AG1199" i="9"/>
  <c r="AF1199" i="9"/>
  <c r="AE1199" i="9"/>
  <c r="BM1198" i="9"/>
  <c r="AG1198" i="9"/>
  <c r="AF1198" i="9"/>
  <c r="AE1198" i="9"/>
  <c r="BM1197" i="9"/>
  <c r="AG1197" i="9"/>
  <c r="AF1197" i="9"/>
  <c r="AE1197" i="9"/>
  <c r="BM1196" i="9"/>
  <c r="AG1196" i="9"/>
  <c r="AF1196" i="9"/>
  <c r="AE1196" i="9"/>
  <c r="BM1195" i="9"/>
  <c r="AG1195" i="9"/>
  <c r="AF1195" i="9"/>
  <c r="AE1195" i="9"/>
  <c r="BM1194" i="9"/>
  <c r="AG1194" i="9"/>
  <c r="AF1194" i="9"/>
  <c r="AE1194" i="9"/>
  <c r="BM1193" i="9"/>
  <c r="AG1193" i="9"/>
  <c r="AF1193" i="9"/>
  <c r="AE1193" i="9"/>
  <c r="BM1192" i="9"/>
  <c r="AG1192" i="9"/>
  <c r="AF1192" i="9"/>
  <c r="AE1192" i="9"/>
  <c r="BM1191" i="9"/>
  <c r="AG1191" i="9"/>
  <c r="AF1191" i="9"/>
  <c r="AE1191" i="9"/>
  <c r="BM1190" i="9"/>
  <c r="AG1190" i="9"/>
  <c r="AF1190" i="9"/>
  <c r="AE1190" i="9"/>
  <c r="BM1189" i="9"/>
  <c r="AG1189" i="9"/>
  <c r="AF1189" i="9"/>
  <c r="AE1189" i="9"/>
  <c r="BM1188" i="9"/>
  <c r="AG1188" i="9"/>
  <c r="AF1188" i="9"/>
  <c r="AE1188" i="9"/>
  <c r="BM1187" i="9"/>
  <c r="AG1187" i="9"/>
  <c r="AF1187" i="9"/>
  <c r="AE1187" i="9"/>
  <c r="BM1186" i="9"/>
  <c r="AG1186" i="9"/>
  <c r="AF1186" i="9"/>
  <c r="AE1186" i="9"/>
  <c r="BM1185" i="9"/>
  <c r="AG1185" i="9"/>
  <c r="AF1185" i="9"/>
  <c r="AE1185" i="9"/>
  <c r="BM1184" i="9"/>
  <c r="AG1184" i="9"/>
  <c r="AF1184" i="9"/>
  <c r="AE1184" i="9"/>
  <c r="BM1183" i="9"/>
  <c r="AG1183" i="9"/>
  <c r="AF1183" i="9"/>
  <c r="AE1183" i="9"/>
  <c r="BM1182" i="9"/>
  <c r="AG1182" i="9"/>
  <c r="AF1182" i="9"/>
  <c r="AE1182" i="9"/>
  <c r="BM1181" i="9"/>
  <c r="AG1181" i="9"/>
  <c r="AF1181" i="9"/>
  <c r="AE1181" i="9"/>
  <c r="BM1180" i="9"/>
  <c r="AG1180" i="9"/>
  <c r="AF1180" i="9"/>
  <c r="AE1180" i="9"/>
  <c r="BM1179" i="9"/>
  <c r="AG1179" i="9"/>
  <c r="AF1179" i="9"/>
  <c r="AE1179" i="9"/>
  <c r="BM1178" i="9"/>
  <c r="AG1178" i="9"/>
  <c r="AF1178" i="9"/>
  <c r="AE1178" i="9"/>
  <c r="BM1177" i="9"/>
  <c r="AG1177" i="9"/>
  <c r="AF1177" i="9"/>
  <c r="AE1177" i="9"/>
  <c r="BM1176" i="9"/>
  <c r="AG1176" i="9"/>
  <c r="AF1176" i="9"/>
  <c r="AE1176" i="9"/>
  <c r="BM1175" i="9"/>
  <c r="AG1175" i="9"/>
  <c r="AF1175" i="9"/>
  <c r="AE1175" i="9"/>
  <c r="BM1174" i="9"/>
  <c r="AG1174" i="9"/>
  <c r="AF1174" i="9"/>
  <c r="AE1174" i="9"/>
  <c r="BM1173" i="9"/>
  <c r="AG1173" i="9"/>
  <c r="AF1173" i="9"/>
  <c r="AE1173" i="9"/>
  <c r="BM1172" i="9"/>
  <c r="AG1172" i="9"/>
  <c r="AF1172" i="9"/>
  <c r="AE1172" i="9"/>
  <c r="BM1171" i="9"/>
  <c r="AG1171" i="9"/>
  <c r="AF1171" i="9"/>
  <c r="AE1171" i="9"/>
  <c r="BM1170" i="9"/>
  <c r="AG1170" i="9"/>
  <c r="AF1170" i="9"/>
  <c r="AE1170" i="9"/>
  <c r="BM1169" i="9"/>
  <c r="AG1169" i="9"/>
  <c r="AF1169" i="9"/>
  <c r="AE1169" i="9"/>
  <c r="BM1168" i="9"/>
  <c r="AG1168" i="9"/>
  <c r="AF1168" i="9"/>
  <c r="AE1168" i="9"/>
  <c r="BM1167" i="9"/>
  <c r="AG1167" i="9"/>
  <c r="AF1167" i="9"/>
  <c r="AE1167" i="9"/>
  <c r="BM1166" i="9"/>
  <c r="AG1166" i="9"/>
  <c r="AF1166" i="9"/>
  <c r="AE1166" i="9"/>
  <c r="BM1165" i="9"/>
  <c r="AG1165" i="9"/>
  <c r="AF1165" i="9"/>
  <c r="AE1165" i="9"/>
  <c r="BM1164" i="9"/>
  <c r="AG1164" i="9"/>
  <c r="AF1164" i="9"/>
  <c r="AE1164" i="9"/>
  <c r="BM1163" i="9"/>
  <c r="AG1163" i="9"/>
  <c r="AF1163" i="9"/>
  <c r="AE1163" i="9"/>
  <c r="BM1162" i="9"/>
  <c r="AG1162" i="9"/>
  <c r="AF1162" i="9"/>
  <c r="AE1162" i="9"/>
  <c r="BM1161" i="9"/>
  <c r="AG1161" i="9"/>
  <c r="AF1161" i="9"/>
  <c r="AE1161" i="9"/>
  <c r="BM1160" i="9"/>
  <c r="AG1160" i="9"/>
  <c r="AF1160" i="9"/>
  <c r="AE1160" i="9"/>
  <c r="BM1159" i="9"/>
  <c r="AG1159" i="9"/>
  <c r="AF1159" i="9"/>
  <c r="AE1159" i="9"/>
  <c r="BM1158" i="9"/>
  <c r="AG1158" i="9"/>
  <c r="AF1158" i="9"/>
  <c r="AE1158" i="9"/>
  <c r="BM1157" i="9"/>
  <c r="AG1157" i="9"/>
  <c r="AF1157" i="9"/>
  <c r="AE1157" i="9"/>
  <c r="BM1156" i="9"/>
  <c r="AG1156" i="9"/>
  <c r="AF1156" i="9"/>
  <c r="AE1156" i="9"/>
  <c r="BM1155" i="9"/>
  <c r="AG1155" i="9"/>
  <c r="AF1155" i="9"/>
  <c r="AE1155" i="9"/>
  <c r="BM1154" i="9"/>
  <c r="AG1154" i="9"/>
  <c r="AF1154" i="9"/>
  <c r="AE1154" i="9"/>
  <c r="BM1153" i="9"/>
  <c r="AG1153" i="9"/>
  <c r="AF1153" i="9"/>
  <c r="AE1153" i="9"/>
  <c r="BM1152" i="9"/>
  <c r="AG1152" i="9"/>
  <c r="AF1152" i="9"/>
  <c r="AE1152" i="9"/>
  <c r="BM1151" i="9"/>
  <c r="AG1151" i="9"/>
  <c r="AF1151" i="9"/>
  <c r="AE1151" i="9"/>
  <c r="BM1150" i="9"/>
  <c r="AG1150" i="9"/>
  <c r="AF1150" i="9"/>
  <c r="AE1150" i="9"/>
  <c r="BM1149" i="9"/>
  <c r="AG1149" i="9"/>
  <c r="AF1149" i="9"/>
  <c r="AE1149" i="9"/>
  <c r="BM1148" i="9"/>
  <c r="AG1148" i="9"/>
  <c r="AF1148" i="9"/>
  <c r="AE1148" i="9"/>
  <c r="BM1147" i="9"/>
  <c r="AG1147" i="9"/>
  <c r="AF1147" i="9"/>
  <c r="AE1147" i="9"/>
  <c r="BM1146" i="9"/>
  <c r="AG1146" i="9"/>
  <c r="AF1146" i="9"/>
  <c r="AE1146" i="9"/>
  <c r="BM1145" i="9"/>
  <c r="AG1145" i="9"/>
  <c r="AF1145" i="9"/>
  <c r="AE1145" i="9"/>
  <c r="BM1144" i="9"/>
  <c r="AG1144" i="9"/>
  <c r="AF1144" i="9"/>
  <c r="AE1144" i="9"/>
  <c r="BM1143" i="9"/>
  <c r="AG1143" i="9"/>
  <c r="AF1143" i="9"/>
  <c r="AE1143" i="9"/>
  <c r="BM1142" i="9"/>
  <c r="AG1142" i="9"/>
  <c r="AF1142" i="9"/>
  <c r="AE1142" i="9"/>
  <c r="BM1141" i="9"/>
  <c r="AG1141" i="9"/>
  <c r="AF1141" i="9"/>
  <c r="AE1141" i="9"/>
  <c r="BM1140" i="9"/>
  <c r="AG1140" i="9"/>
  <c r="AF1140" i="9"/>
  <c r="AE1140" i="9"/>
  <c r="BM1139" i="9"/>
  <c r="AG1139" i="9"/>
  <c r="AF1139" i="9"/>
  <c r="AE1139" i="9"/>
  <c r="BM1138" i="9"/>
  <c r="AG1138" i="9"/>
  <c r="AF1138" i="9"/>
  <c r="AE1138" i="9"/>
  <c r="BM1137" i="9"/>
  <c r="AG1137" i="9"/>
  <c r="AF1137" i="9"/>
  <c r="AE1137" i="9"/>
  <c r="BM1136" i="9"/>
  <c r="AG1136" i="9"/>
  <c r="AF1136" i="9"/>
  <c r="AE1136" i="9"/>
  <c r="BM1133" i="9"/>
  <c r="AG1133" i="9"/>
  <c r="AF1133" i="9"/>
  <c r="AE1133" i="9"/>
  <c r="BM1132" i="9"/>
  <c r="AG1132" i="9"/>
  <c r="AF1132" i="9"/>
  <c r="AE1132" i="9"/>
  <c r="BM1135" i="9"/>
  <c r="AG1135" i="9"/>
  <c r="AF1135" i="9"/>
  <c r="AE1135" i="9"/>
  <c r="BM1134" i="9"/>
  <c r="AG1134" i="9"/>
  <c r="AF1134" i="9"/>
  <c r="AE1134" i="9"/>
  <c r="BM1131" i="9"/>
  <c r="AG1131" i="9"/>
  <c r="AF1131" i="9"/>
  <c r="AE1131" i="9"/>
  <c r="BM1130" i="9"/>
  <c r="AG1130" i="9"/>
  <c r="AF1130" i="9"/>
  <c r="AE1130" i="9"/>
  <c r="BM1129" i="9"/>
  <c r="AG1129" i="9"/>
  <c r="AF1129" i="9"/>
  <c r="AE1129" i="9"/>
  <c r="BM1128" i="9"/>
  <c r="AG1128" i="9"/>
  <c r="AF1128" i="9"/>
  <c r="AE1128" i="9"/>
  <c r="BM1127" i="9"/>
  <c r="AG1127" i="9"/>
  <c r="AF1127" i="9"/>
  <c r="AE1127" i="9"/>
  <c r="BM1126" i="9"/>
  <c r="AG1126" i="9"/>
  <c r="AF1126" i="9"/>
  <c r="AE1126" i="9"/>
  <c r="BM1125" i="9"/>
  <c r="AG1125" i="9"/>
  <c r="AF1125" i="9"/>
  <c r="AE1125" i="9"/>
  <c r="BM1124" i="9"/>
  <c r="AG1124" i="9"/>
  <c r="AF1124" i="9"/>
  <c r="AE1124" i="9"/>
  <c r="BM1123" i="9"/>
  <c r="AG1123" i="9"/>
  <c r="AF1123" i="9"/>
  <c r="AE1123" i="9"/>
  <c r="BM1122" i="9"/>
  <c r="AG1122" i="9"/>
  <c r="AF1122" i="9"/>
  <c r="AE1122" i="9"/>
  <c r="BM1119" i="9"/>
  <c r="AG1119" i="9"/>
  <c r="AF1119" i="9"/>
  <c r="AE1119" i="9"/>
  <c r="BM1118" i="9"/>
  <c r="AG1118" i="9"/>
  <c r="AF1118" i="9"/>
  <c r="AE1118" i="9"/>
  <c r="BM1121" i="9"/>
  <c r="AG1121" i="9"/>
  <c r="AF1121" i="9"/>
  <c r="AE1121" i="9"/>
  <c r="BM1120" i="9"/>
  <c r="AG1120" i="9"/>
  <c r="AF1120" i="9"/>
  <c r="AE1120" i="9"/>
  <c r="BM1117" i="9"/>
  <c r="AG1117" i="9"/>
  <c r="AF1117" i="9"/>
  <c r="AE1117" i="9"/>
  <c r="BM1116" i="9"/>
  <c r="AG1116" i="9"/>
  <c r="AF1116" i="9"/>
  <c r="AE1116" i="9"/>
  <c r="BM1115" i="9"/>
  <c r="AG1115" i="9"/>
  <c r="AF1115" i="9"/>
  <c r="AE1115" i="9"/>
  <c r="BM1114" i="9"/>
  <c r="AG1114" i="9"/>
  <c r="AF1114" i="9"/>
  <c r="AE1114" i="9"/>
  <c r="BM1113" i="9"/>
  <c r="AG1113" i="9"/>
  <c r="AF1113" i="9"/>
  <c r="AE1113" i="9"/>
  <c r="BM1112" i="9"/>
  <c r="AG1112" i="9"/>
  <c r="AF1112" i="9"/>
  <c r="AE1112" i="9"/>
  <c r="BM1111" i="9"/>
  <c r="AG1111" i="9"/>
  <c r="AF1111" i="9"/>
  <c r="AE1111" i="9"/>
  <c r="BM1110" i="9"/>
  <c r="AG1110" i="9"/>
  <c r="AF1110" i="9"/>
  <c r="AE1110" i="9"/>
  <c r="BM1109" i="9"/>
  <c r="AG1109" i="9"/>
  <c r="AF1109" i="9"/>
  <c r="AE1109" i="9"/>
  <c r="BM1108" i="9"/>
  <c r="AG1108" i="9"/>
  <c r="AF1108" i="9"/>
  <c r="AE1108" i="9"/>
  <c r="BM1107" i="9"/>
  <c r="AG1107" i="9"/>
  <c r="AF1107" i="9"/>
  <c r="AE1107" i="9"/>
  <c r="BM1106" i="9"/>
  <c r="AG1106" i="9"/>
  <c r="AF1106" i="9"/>
  <c r="AE1106" i="9"/>
  <c r="BM1105" i="9"/>
  <c r="AG1105" i="9"/>
  <c r="AF1105" i="9"/>
  <c r="AE1105" i="9"/>
  <c r="BM1104" i="9"/>
  <c r="AG1104" i="9"/>
  <c r="AF1104" i="9"/>
  <c r="AE1104" i="9"/>
  <c r="BM1103" i="9"/>
  <c r="AG1103" i="9"/>
  <c r="AF1103" i="9"/>
  <c r="AE1103" i="9"/>
  <c r="BM1102" i="9"/>
  <c r="AG1102" i="9"/>
  <c r="AF1102" i="9"/>
  <c r="AE1102" i="9"/>
  <c r="BM1101" i="9"/>
  <c r="AG1101" i="9"/>
  <c r="AF1101" i="9"/>
  <c r="AE1101" i="9"/>
  <c r="BM1100" i="9"/>
  <c r="AG1100" i="9"/>
  <c r="AF1100" i="9"/>
  <c r="AE1100" i="9"/>
  <c r="BM1099" i="9"/>
  <c r="AG1099" i="9"/>
  <c r="AF1099" i="9"/>
  <c r="AE1099" i="9"/>
  <c r="BM1098" i="9"/>
  <c r="AG1098" i="9"/>
  <c r="AF1098" i="9"/>
  <c r="AE1098" i="9"/>
  <c r="BM1097" i="9"/>
  <c r="AG1097" i="9"/>
  <c r="AF1097" i="9"/>
  <c r="AE1097" i="9"/>
  <c r="BM1096" i="9"/>
  <c r="AG1096" i="9"/>
  <c r="AF1096" i="9"/>
  <c r="AE1096" i="9"/>
  <c r="BM1095" i="9"/>
  <c r="AG1095" i="9"/>
  <c r="AF1095" i="9"/>
  <c r="AE1095" i="9"/>
  <c r="BM1094" i="9"/>
  <c r="AG1094" i="9"/>
  <c r="AF1094" i="9"/>
  <c r="AE1094" i="9"/>
  <c r="BM1093" i="9"/>
  <c r="AG1093" i="9"/>
  <c r="AF1093" i="9"/>
  <c r="AE1093" i="9"/>
  <c r="BM1092" i="9"/>
  <c r="AG1092" i="9"/>
  <c r="AF1092" i="9"/>
  <c r="AE1092" i="9"/>
  <c r="BM1091" i="9"/>
  <c r="AG1091" i="9"/>
  <c r="AF1091" i="9"/>
  <c r="AE1091" i="9"/>
  <c r="BM1090" i="9"/>
  <c r="AG1090" i="9"/>
  <c r="AF1090" i="9"/>
  <c r="AE1090" i="9"/>
  <c r="BM1087" i="9"/>
  <c r="AG1087" i="9"/>
  <c r="AF1087" i="9"/>
  <c r="AE1087" i="9"/>
  <c r="BM1086" i="9"/>
  <c r="AG1086" i="9"/>
  <c r="AF1086" i="9"/>
  <c r="AE1086" i="9"/>
  <c r="BM1089" i="9"/>
  <c r="AG1089" i="9"/>
  <c r="AF1089" i="9"/>
  <c r="AE1089" i="9"/>
  <c r="BM1088" i="9"/>
  <c r="AG1088" i="9"/>
  <c r="AF1088" i="9"/>
  <c r="AE1088" i="9"/>
  <c r="BM1085" i="9"/>
  <c r="AG1085" i="9"/>
  <c r="AF1085" i="9"/>
  <c r="AE1085" i="9"/>
  <c r="BM1084" i="9"/>
  <c r="AG1084" i="9"/>
  <c r="AF1084" i="9"/>
  <c r="AE1084" i="9"/>
  <c r="BM1083" i="9"/>
  <c r="AG1083" i="9"/>
  <c r="AF1083" i="9"/>
  <c r="AE1083" i="9"/>
  <c r="BM1082" i="9"/>
  <c r="AG1082" i="9"/>
  <c r="AF1082" i="9"/>
  <c r="AE1082" i="9"/>
  <c r="BM1081" i="9"/>
  <c r="AG1081" i="9"/>
  <c r="AF1081" i="9"/>
  <c r="AE1081" i="9"/>
  <c r="BM1080" i="9"/>
  <c r="AG1080" i="9"/>
  <c r="AF1080" i="9"/>
  <c r="AE1080" i="9"/>
  <c r="BM1079" i="9"/>
  <c r="AG1079" i="9"/>
  <c r="AF1079" i="9"/>
  <c r="AE1079" i="9"/>
  <c r="BM1078" i="9"/>
  <c r="AG1078" i="9"/>
  <c r="AF1078" i="9"/>
  <c r="AE1078" i="9"/>
  <c r="BM1077" i="9"/>
  <c r="AG1077" i="9"/>
  <c r="AF1077" i="9"/>
  <c r="AE1077" i="9"/>
  <c r="BM1076" i="9"/>
  <c r="AG1076" i="9"/>
  <c r="AF1076" i="9"/>
  <c r="AE1076" i="9"/>
  <c r="BM1075" i="9"/>
  <c r="AG1075" i="9"/>
  <c r="AF1075" i="9"/>
  <c r="AE1075" i="9"/>
  <c r="BM1074" i="9"/>
  <c r="AG1074" i="9"/>
  <c r="AF1074" i="9"/>
  <c r="AE1074" i="9"/>
  <c r="BM1073" i="9"/>
  <c r="AG1073" i="9"/>
  <c r="AF1073" i="9"/>
  <c r="AE1073" i="9"/>
  <c r="BM1072" i="9"/>
  <c r="AG1072" i="9"/>
  <c r="AF1072" i="9"/>
  <c r="AE1072" i="9"/>
  <c r="BM1071" i="9"/>
  <c r="AG1071" i="9"/>
  <c r="AF1071" i="9"/>
  <c r="AE1071" i="9"/>
  <c r="BM1070" i="9"/>
  <c r="AG1070" i="9"/>
  <c r="AF1070" i="9"/>
  <c r="AE1070" i="9"/>
  <c r="BM1069" i="9"/>
  <c r="AG1069" i="9"/>
  <c r="AF1069" i="9"/>
  <c r="AE1069" i="9"/>
  <c r="BM1068" i="9"/>
  <c r="AG1068" i="9"/>
  <c r="AF1068" i="9"/>
  <c r="AE1068" i="9"/>
  <c r="BM1067" i="9"/>
  <c r="AG1067" i="9"/>
  <c r="AF1067" i="9"/>
  <c r="AE1067" i="9"/>
  <c r="BM1066" i="9"/>
  <c r="AG1066" i="9"/>
  <c r="AF1066" i="9"/>
  <c r="AE1066" i="9"/>
  <c r="BM1065" i="9"/>
  <c r="AG1065" i="9"/>
  <c r="AF1065" i="9"/>
  <c r="AE1065" i="9"/>
  <c r="BM1064" i="9"/>
  <c r="AG1064" i="9"/>
  <c r="AF1064" i="9"/>
  <c r="AE1064" i="9"/>
  <c r="BM1063" i="9"/>
  <c r="AG1063" i="9"/>
  <c r="AF1063" i="9"/>
  <c r="AE1063" i="9"/>
  <c r="BM1062" i="9"/>
  <c r="AG1062" i="9"/>
  <c r="AF1062" i="9"/>
  <c r="AE1062" i="9"/>
  <c r="BM1061" i="9"/>
  <c r="AG1061" i="9"/>
  <c r="AF1061" i="9"/>
  <c r="AE1061" i="9"/>
  <c r="BM1060" i="9"/>
  <c r="AG1060" i="9"/>
  <c r="AF1060" i="9"/>
  <c r="AE1060" i="9"/>
  <c r="BM1059" i="9"/>
  <c r="AG1059" i="9"/>
  <c r="AF1059" i="9"/>
  <c r="AE1059" i="9"/>
  <c r="BM1058" i="9"/>
  <c r="AG1058" i="9"/>
  <c r="AF1058" i="9"/>
  <c r="AE1058" i="9"/>
  <c r="BM1057" i="9"/>
  <c r="AG1057" i="9"/>
  <c r="AF1057" i="9"/>
  <c r="AE1057" i="9"/>
  <c r="BM1056" i="9"/>
  <c r="AG1056" i="9"/>
  <c r="AF1056" i="9"/>
  <c r="AE1056" i="9"/>
  <c r="BM1055" i="9"/>
  <c r="AG1055" i="9"/>
  <c r="AF1055" i="9"/>
  <c r="AE1055" i="9"/>
  <c r="BM1054" i="9"/>
  <c r="AG1054" i="9"/>
  <c r="AF1054" i="9"/>
  <c r="AE1054" i="9"/>
  <c r="BM1053" i="9"/>
  <c r="AG1053" i="9"/>
  <c r="AF1053" i="9"/>
  <c r="AE1053" i="9"/>
  <c r="BM1052" i="9"/>
  <c r="AG1052" i="9"/>
  <c r="AF1052" i="9"/>
  <c r="AE1052" i="9"/>
  <c r="BM1051" i="9"/>
  <c r="AG1051" i="9"/>
  <c r="AF1051" i="9"/>
  <c r="AE1051" i="9"/>
  <c r="BM1050" i="9"/>
  <c r="AG1050" i="9"/>
  <c r="AF1050" i="9"/>
  <c r="AE1050" i="9"/>
  <c r="BM1049" i="9"/>
  <c r="AG1049" i="9"/>
  <c r="AF1049" i="9"/>
  <c r="AE1049" i="9"/>
  <c r="BM1048" i="9"/>
  <c r="AG1048" i="9"/>
  <c r="AF1048" i="9"/>
  <c r="AE1048" i="9"/>
  <c r="BM1045" i="9"/>
  <c r="AG1045" i="9"/>
  <c r="AF1045" i="9"/>
  <c r="AE1045" i="9"/>
  <c r="BM1044" i="9"/>
  <c r="AG1044" i="9"/>
  <c r="AF1044" i="9"/>
  <c r="AE1044" i="9"/>
  <c r="BM1047" i="9"/>
  <c r="AG1047" i="9"/>
  <c r="AF1047" i="9"/>
  <c r="AE1047" i="9"/>
  <c r="BM1046" i="9"/>
  <c r="AG1046" i="9"/>
  <c r="AF1046" i="9"/>
  <c r="AE1046" i="9"/>
  <c r="BM1043" i="9"/>
  <c r="AG1043" i="9"/>
  <c r="AF1043" i="9"/>
  <c r="AE1043" i="9"/>
  <c r="BM1042" i="9"/>
  <c r="AG1042" i="9"/>
  <c r="AF1042" i="9"/>
  <c r="AE1042" i="9"/>
  <c r="BM1041" i="9"/>
  <c r="AG1041" i="9"/>
  <c r="AF1041" i="9"/>
  <c r="AE1041" i="9"/>
  <c r="BM1040" i="9"/>
  <c r="AG1040" i="9"/>
  <c r="AF1040" i="9"/>
  <c r="AE1040" i="9"/>
  <c r="BM1037" i="9"/>
  <c r="AG1037" i="9"/>
  <c r="AF1037" i="9"/>
  <c r="AE1037" i="9"/>
  <c r="BM1036" i="9"/>
  <c r="AG1036" i="9"/>
  <c r="AF1036" i="9"/>
  <c r="AE1036" i="9"/>
  <c r="BM1039" i="9"/>
  <c r="AG1039" i="9"/>
  <c r="AF1039" i="9"/>
  <c r="AE1039" i="9"/>
  <c r="BM1038" i="9"/>
  <c r="AG1038" i="9"/>
  <c r="AF1038" i="9"/>
  <c r="AE1038" i="9"/>
  <c r="BM1035" i="9"/>
  <c r="AG1035" i="9"/>
  <c r="AF1035" i="9"/>
  <c r="AE1035" i="9"/>
  <c r="BM1034" i="9"/>
  <c r="AG1034" i="9"/>
  <c r="AF1034" i="9"/>
  <c r="AE1034" i="9"/>
  <c r="BM1033" i="9"/>
  <c r="AG1033" i="9"/>
  <c r="AF1033" i="9"/>
  <c r="AE1033" i="9"/>
  <c r="BM1032" i="9"/>
  <c r="AG1032" i="9"/>
  <c r="AF1032" i="9"/>
  <c r="AE1032" i="9"/>
  <c r="BM1031" i="9"/>
  <c r="AG1031" i="9"/>
  <c r="AF1031" i="9"/>
  <c r="AE1031" i="9"/>
  <c r="BM1030" i="9"/>
  <c r="AG1030" i="9"/>
  <c r="AF1030" i="9"/>
  <c r="AE1030" i="9"/>
  <c r="BM1029" i="9"/>
  <c r="AG1029" i="9"/>
  <c r="AF1029" i="9"/>
  <c r="AE1029" i="9"/>
  <c r="BM1028" i="9"/>
  <c r="AG1028" i="9"/>
  <c r="AF1028" i="9"/>
  <c r="AE1028" i="9"/>
  <c r="BM1027" i="9"/>
  <c r="AG1027" i="9"/>
  <c r="AF1027" i="9"/>
  <c r="AE1027" i="9"/>
  <c r="BM1026" i="9"/>
  <c r="AG1026" i="9"/>
  <c r="AF1026" i="9"/>
  <c r="AE1026" i="9"/>
  <c r="BM1025" i="9"/>
  <c r="AG1025" i="9"/>
  <c r="AF1025" i="9"/>
  <c r="AE1025" i="9"/>
  <c r="BM1024" i="9"/>
  <c r="AG1024" i="9"/>
  <c r="AF1024" i="9"/>
  <c r="AE1024" i="9"/>
  <c r="BM1021" i="9"/>
  <c r="AG1021" i="9"/>
  <c r="AF1021" i="9"/>
  <c r="AE1021" i="9"/>
  <c r="BM1020" i="9"/>
  <c r="AG1020" i="9"/>
  <c r="AF1020" i="9"/>
  <c r="AE1020" i="9"/>
  <c r="BM1023" i="9"/>
  <c r="AG1023" i="9"/>
  <c r="AF1023" i="9"/>
  <c r="AE1023" i="9"/>
  <c r="BM1022" i="9"/>
  <c r="AG1022" i="9"/>
  <c r="AF1022" i="9"/>
  <c r="AE1022" i="9"/>
  <c r="BM1019" i="9"/>
  <c r="AG1019" i="9"/>
  <c r="AF1019" i="9"/>
  <c r="AE1019" i="9"/>
  <c r="BM1018" i="9"/>
  <c r="AG1018" i="9"/>
  <c r="AF1018" i="9"/>
  <c r="AE1018" i="9"/>
  <c r="BM1017" i="9"/>
  <c r="AG1017" i="9"/>
  <c r="AF1017" i="9"/>
  <c r="AE1017" i="9"/>
  <c r="BM1016" i="9"/>
  <c r="AG1016" i="9"/>
  <c r="AF1016" i="9"/>
  <c r="AE1016" i="9"/>
  <c r="BM1015" i="9"/>
  <c r="AG1015" i="9"/>
  <c r="AF1015" i="9"/>
  <c r="AE1015" i="9"/>
  <c r="BM1014" i="9"/>
  <c r="AG1014" i="9"/>
  <c r="AF1014" i="9"/>
  <c r="AE1014" i="9"/>
  <c r="BM1013" i="9"/>
  <c r="AG1013" i="9"/>
  <c r="AF1013" i="9"/>
  <c r="AE1013" i="9"/>
  <c r="BM1012" i="9"/>
  <c r="AG1012" i="9"/>
  <c r="AF1012" i="9"/>
  <c r="AE1012" i="9"/>
  <c r="BM1011" i="9"/>
  <c r="AG1011" i="9"/>
  <c r="AF1011" i="9"/>
  <c r="AE1011" i="9"/>
  <c r="BM1010" i="9"/>
  <c r="AG1010" i="9"/>
  <c r="AF1010" i="9"/>
  <c r="AE1010" i="9"/>
  <c r="BM1009" i="9"/>
  <c r="AG1009" i="9"/>
  <c r="AF1009" i="9"/>
  <c r="AE1009" i="9"/>
  <c r="BM1008" i="9"/>
  <c r="AG1008" i="9"/>
  <c r="AF1008" i="9"/>
  <c r="AE1008" i="9"/>
  <c r="BM1007" i="9"/>
  <c r="AG1007" i="9"/>
  <c r="AF1007" i="9"/>
  <c r="AE1007" i="9"/>
  <c r="BM1006" i="9"/>
  <c r="AG1006" i="9"/>
  <c r="AF1006" i="9"/>
  <c r="AE1006" i="9"/>
  <c r="BM1005" i="9"/>
  <c r="AG1005" i="9"/>
  <c r="AF1005" i="9"/>
  <c r="AE1005" i="9"/>
  <c r="BM1004" i="9"/>
  <c r="AG1004" i="9"/>
  <c r="AF1004" i="9"/>
  <c r="AE1004" i="9"/>
  <c r="BM1001" i="9"/>
  <c r="AG1001" i="9"/>
  <c r="AF1001" i="9"/>
  <c r="AE1001" i="9"/>
  <c r="BM1000" i="9"/>
  <c r="AG1000" i="9"/>
  <c r="AF1000" i="9"/>
  <c r="AE1000" i="9"/>
  <c r="BM1003" i="9"/>
  <c r="AG1003" i="9"/>
  <c r="AF1003" i="9"/>
  <c r="AE1003" i="9"/>
  <c r="BM1002" i="9"/>
  <c r="AG1002" i="9"/>
  <c r="AF1002" i="9"/>
  <c r="AE1002" i="9"/>
  <c r="BM999" i="9"/>
  <c r="AG999" i="9"/>
  <c r="AF999" i="9"/>
  <c r="AE999" i="9"/>
  <c r="BM998" i="9"/>
  <c r="AG998" i="9"/>
  <c r="AF998" i="9"/>
  <c r="AE998" i="9"/>
  <c r="BM997" i="9"/>
  <c r="AG997" i="9"/>
  <c r="AF997" i="9"/>
  <c r="AE997" i="9"/>
  <c r="BM996" i="9"/>
  <c r="AG996" i="9"/>
  <c r="AF996" i="9"/>
  <c r="AE996" i="9"/>
  <c r="BM995" i="9"/>
  <c r="AG995" i="9"/>
  <c r="AF995" i="9"/>
  <c r="AE995" i="9"/>
  <c r="BM994" i="9"/>
  <c r="AG994" i="9"/>
  <c r="AF994" i="9"/>
  <c r="AE994" i="9"/>
  <c r="BM993" i="9"/>
  <c r="AG993" i="9"/>
  <c r="AF993" i="9"/>
  <c r="AE993" i="9"/>
  <c r="BM992" i="9"/>
  <c r="AG992" i="9"/>
  <c r="AF992" i="9"/>
  <c r="AE992" i="9"/>
  <c r="BM991" i="9"/>
  <c r="AG991" i="9"/>
  <c r="AF991" i="9"/>
  <c r="AE991" i="9"/>
  <c r="BM990" i="9"/>
  <c r="AG990" i="9"/>
  <c r="AF990" i="9"/>
  <c r="AE990" i="9"/>
  <c r="BM989" i="9"/>
  <c r="AG989" i="9"/>
  <c r="AF989" i="9"/>
  <c r="AE989" i="9"/>
  <c r="BM988" i="9"/>
  <c r="AG988" i="9"/>
  <c r="AF988" i="9"/>
  <c r="AE988" i="9"/>
  <c r="BM987" i="9"/>
  <c r="AG987" i="9"/>
  <c r="AF987" i="9"/>
  <c r="AE987" i="9"/>
  <c r="BM986" i="9"/>
  <c r="AG986" i="9"/>
  <c r="AF986" i="9"/>
  <c r="AE986" i="9"/>
  <c r="BM983" i="9"/>
  <c r="AG983" i="9"/>
  <c r="AF983" i="9"/>
  <c r="AE983" i="9"/>
  <c r="BM982" i="9"/>
  <c r="AG982" i="9"/>
  <c r="AF982" i="9"/>
  <c r="AE982" i="9"/>
  <c r="BM985" i="9"/>
  <c r="AG985" i="9"/>
  <c r="AF985" i="9"/>
  <c r="AE985" i="9"/>
  <c r="BM984" i="9"/>
  <c r="AG984" i="9"/>
  <c r="AF984" i="9"/>
  <c r="AE984" i="9"/>
  <c r="BM981" i="9"/>
  <c r="AG981" i="9"/>
  <c r="AF981" i="9"/>
  <c r="AE981" i="9"/>
  <c r="BM980" i="9"/>
  <c r="AG980" i="9"/>
  <c r="AF980" i="9"/>
  <c r="AE980" i="9"/>
  <c r="BM979" i="9"/>
  <c r="AG979" i="9"/>
  <c r="AF979" i="9"/>
  <c r="AE979" i="9"/>
  <c r="BM978" i="9"/>
  <c r="AG978" i="9"/>
  <c r="AF978" i="9"/>
  <c r="AE978" i="9"/>
  <c r="BM977" i="9"/>
  <c r="AG977" i="9"/>
  <c r="AF977" i="9"/>
  <c r="AE977" i="9"/>
  <c r="BM976" i="9"/>
  <c r="AG976" i="9"/>
  <c r="AF976" i="9"/>
  <c r="AE976" i="9"/>
  <c r="BM975" i="9"/>
  <c r="AG975" i="9"/>
  <c r="AF975" i="9"/>
  <c r="AE975" i="9"/>
  <c r="BM974" i="9"/>
  <c r="AG974" i="9"/>
  <c r="AF974" i="9"/>
  <c r="AE974" i="9"/>
  <c r="BM973" i="9"/>
  <c r="AG973" i="9"/>
  <c r="AF973" i="9"/>
  <c r="AE973" i="9"/>
  <c r="BM972" i="9"/>
  <c r="AG972" i="9"/>
  <c r="AF972" i="9"/>
  <c r="AE972" i="9"/>
  <c r="BM971" i="9"/>
  <c r="AG971" i="9"/>
  <c r="AF971" i="9"/>
  <c r="AE971" i="9"/>
  <c r="BM970" i="9"/>
  <c r="AG970" i="9"/>
  <c r="AF970" i="9"/>
  <c r="AE970" i="9"/>
  <c r="BM969" i="9"/>
  <c r="AG969" i="9"/>
  <c r="AF969" i="9"/>
  <c r="AE969" i="9"/>
  <c r="BM968" i="9"/>
  <c r="AG968" i="9"/>
  <c r="AF968" i="9"/>
  <c r="AE968" i="9"/>
  <c r="BM967" i="9"/>
  <c r="AG967" i="9"/>
  <c r="AF967" i="9"/>
  <c r="AE967" i="9"/>
  <c r="BM966" i="9"/>
  <c r="AG966" i="9"/>
  <c r="AF966" i="9"/>
  <c r="AE966" i="9"/>
  <c r="BM963" i="9"/>
  <c r="AG963" i="9"/>
  <c r="AF963" i="9"/>
  <c r="AE963" i="9"/>
  <c r="BM962" i="9"/>
  <c r="AG962" i="9"/>
  <c r="AF962" i="9"/>
  <c r="AE962" i="9"/>
  <c r="BM965" i="9"/>
  <c r="AG965" i="9"/>
  <c r="AF965" i="9"/>
  <c r="AE965" i="9"/>
  <c r="BM964" i="9"/>
  <c r="AG964" i="9"/>
  <c r="AF964" i="9"/>
  <c r="AE964" i="9"/>
  <c r="BM961" i="9"/>
  <c r="AG961" i="9"/>
  <c r="AF961" i="9"/>
  <c r="AE961" i="9"/>
  <c r="BM960" i="9"/>
  <c r="AG960" i="9"/>
  <c r="AF960" i="9"/>
  <c r="AE960" i="9"/>
  <c r="BM959" i="9"/>
  <c r="AG959" i="9"/>
  <c r="AF959" i="9"/>
  <c r="AE959" i="9"/>
  <c r="BM958" i="9"/>
  <c r="AG958" i="9"/>
  <c r="AF958" i="9"/>
  <c r="AE958" i="9"/>
  <c r="BM957" i="9"/>
  <c r="AG957" i="9"/>
  <c r="AF957" i="9"/>
  <c r="AE957" i="9"/>
  <c r="BM956" i="9"/>
  <c r="AG956" i="9"/>
  <c r="AF956" i="9"/>
  <c r="AE956" i="9"/>
  <c r="BM955" i="9"/>
  <c r="AG955" i="9"/>
  <c r="AF955" i="9"/>
  <c r="AE955" i="9"/>
  <c r="BM954" i="9"/>
  <c r="AG954" i="9"/>
  <c r="AF954" i="9"/>
  <c r="AE954" i="9"/>
  <c r="BM953" i="9"/>
  <c r="AG953" i="9"/>
  <c r="AF953" i="9"/>
  <c r="AE953" i="9"/>
  <c r="BM952" i="9"/>
  <c r="AG952" i="9"/>
  <c r="AF952" i="9"/>
  <c r="AE952" i="9"/>
  <c r="BM951" i="9"/>
  <c r="AG951" i="9"/>
  <c r="AF951" i="9"/>
  <c r="AE951" i="9"/>
  <c r="BM950" i="9"/>
  <c r="AG950" i="9"/>
  <c r="AF950" i="9"/>
  <c r="AE950" i="9"/>
  <c r="BM949" i="9"/>
  <c r="AG949" i="9"/>
  <c r="AF949" i="9"/>
  <c r="AE949" i="9"/>
  <c r="BM948" i="9"/>
  <c r="AG948" i="9"/>
  <c r="AF948" i="9"/>
  <c r="AE948" i="9"/>
  <c r="BM947" i="9"/>
  <c r="AG947" i="9"/>
  <c r="AF947" i="9"/>
  <c r="AE947" i="9"/>
  <c r="BM946" i="9"/>
  <c r="AG946" i="9"/>
  <c r="AF946" i="9"/>
  <c r="AE946" i="9"/>
  <c r="BM945" i="9"/>
  <c r="AG945" i="9"/>
  <c r="AF945" i="9"/>
  <c r="AE945" i="9"/>
  <c r="BM944" i="9"/>
  <c r="AG944" i="9"/>
  <c r="AF944" i="9"/>
  <c r="AE944" i="9"/>
  <c r="BM941" i="9"/>
  <c r="AG941" i="9"/>
  <c r="AF941" i="9"/>
  <c r="AE941" i="9"/>
  <c r="BM940" i="9"/>
  <c r="AG940" i="9"/>
  <c r="AF940" i="9"/>
  <c r="AE940" i="9"/>
  <c r="BM943" i="9"/>
  <c r="AG943" i="9"/>
  <c r="AF943" i="9"/>
  <c r="AE943" i="9"/>
  <c r="BM942" i="9"/>
  <c r="AG942" i="9"/>
  <c r="AF942" i="9"/>
  <c r="AE942" i="9"/>
  <c r="BM937" i="9"/>
  <c r="AG937" i="9"/>
  <c r="AF937" i="9"/>
  <c r="AE937" i="9"/>
  <c r="BM936" i="9"/>
  <c r="AG936" i="9"/>
  <c r="AF936" i="9"/>
  <c r="AE936" i="9"/>
  <c r="BM939" i="9"/>
  <c r="AG939" i="9"/>
  <c r="AF939" i="9"/>
  <c r="AE939" i="9"/>
  <c r="BM938" i="9"/>
  <c r="AG938" i="9"/>
  <c r="AF938" i="9"/>
  <c r="AE938" i="9"/>
  <c r="BM935" i="9"/>
  <c r="AG935" i="9"/>
  <c r="AF935" i="9"/>
  <c r="AE935" i="9"/>
  <c r="BM934" i="9"/>
  <c r="AG934" i="9"/>
  <c r="AF934" i="9"/>
  <c r="AE934" i="9"/>
  <c r="BM933" i="9"/>
  <c r="AG933" i="9"/>
  <c r="AF933" i="9"/>
  <c r="AE933" i="9"/>
  <c r="BM932" i="9"/>
  <c r="AG932" i="9"/>
  <c r="AF932" i="9"/>
  <c r="AE932" i="9"/>
  <c r="BM931" i="9"/>
  <c r="AG931" i="9"/>
  <c r="AF931" i="9"/>
  <c r="AE931" i="9"/>
  <c r="BM930" i="9"/>
  <c r="AG930" i="9"/>
  <c r="AF930" i="9"/>
  <c r="AE930" i="9"/>
  <c r="BM929" i="9"/>
  <c r="AG929" i="9"/>
  <c r="AF929" i="9"/>
  <c r="AE929" i="9"/>
  <c r="BM928" i="9"/>
  <c r="AG928" i="9"/>
  <c r="AF928" i="9"/>
  <c r="AE928" i="9"/>
  <c r="BM927" i="9"/>
  <c r="AG927" i="9"/>
  <c r="AF927" i="9"/>
  <c r="AE927" i="9"/>
  <c r="BM926" i="9"/>
  <c r="AG926" i="9"/>
  <c r="AF926" i="9"/>
  <c r="AE926" i="9"/>
  <c r="BM925" i="9"/>
  <c r="AG925" i="9"/>
  <c r="AF925" i="9"/>
  <c r="AE925" i="9"/>
  <c r="BM924" i="9"/>
  <c r="AG924" i="9"/>
  <c r="AF924" i="9"/>
  <c r="AE924" i="9"/>
  <c r="BM923" i="9"/>
  <c r="AG923" i="9"/>
  <c r="AF923" i="9"/>
  <c r="AE923" i="9"/>
  <c r="BM922" i="9"/>
  <c r="AG922" i="9"/>
  <c r="AF922" i="9"/>
  <c r="AE922" i="9"/>
  <c r="BM919" i="9"/>
  <c r="AG919" i="9"/>
  <c r="AF919" i="9"/>
  <c r="AE919" i="9"/>
  <c r="BM918" i="9"/>
  <c r="AG918" i="9"/>
  <c r="AF918" i="9"/>
  <c r="AE918" i="9"/>
  <c r="BM921" i="9"/>
  <c r="AG921" i="9"/>
  <c r="AF921" i="9"/>
  <c r="AE921" i="9"/>
  <c r="BM920" i="9"/>
  <c r="AG920" i="9"/>
  <c r="AF920" i="9"/>
  <c r="AE920" i="9"/>
  <c r="BM917" i="9"/>
  <c r="AG917" i="9"/>
  <c r="AF917" i="9"/>
  <c r="AE917" i="9"/>
  <c r="BM916" i="9"/>
  <c r="AG916" i="9"/>
  <c r="AF916" i="9"/>
  <c r="AE916" i="9"/>
  <c r="BM915" i="9"/>
  <c r="AG915" i="9"/>
  <c r="AF915" i="9"/>
  <c r="AE915" i="9"/>
  <c r="BM914" i="9"/>
  <c r="AG914" i="9"/>
  <c r="AF914" i="9"/>
  <c r="AE914" i="9"/>
  <c r="BM913" i="9"/>
  <c r="AG913" i="9"/>
  <c r="AF913" i="9"/>
  <c r="AE913" i="9"/>
  <c r="BM912" i="9"/>
  <c r="AG912" i="9"/>
  <c r="AF912" i="9"/>
  <c r="AE912" i="9"/>
  <c r="BM911" i="9"/>
  <c r="AG911" i="9"/>
  <c r="AF911" i="9"/>
  <c r="AE911" i="9"/>
  <c r="BM910" i="9"/>
  <c r="AG910" i="9"/>
  <c r="AF910" i="9"/>
  <c r="AE910" i="9"/>
  <c r="BM909" i="9"/>
  <c r="AG909" i="9"/>
  <c r="AF909" i="9"/>
  <c r="AE909" i="9"/>
  <c r="BM908" i="9"/>
  <c r="AG908" i="9"/>
  <c r="AF908" i="9"/>
  <c r="AE908" i="9"/>
  <c r="BM907" i="9"/>
  <c r="AG907" i="9"/>
  <c r="AF907" i="9"/>
  <c r="AE907" i="9"/>
  <c r="BM906" i="9"/>
  <c r="AG906" i="9"/>
  <c r="AF906" i="9"/>
  <c r="AE906" i="9"/>
  <c r="BM905" i="9"/>
  <c r="AG905" i="9"/>
  <c r="AF905" i="9"/>
  <c r="AE905" i="9"/>
  <c r="BM904" i="9"/>
  <c r="AG904" i="9"/>
  <c r="AF904" i="9"/>
  <c r="AE904" i="9"/>
  <c r="BM903" i="9"/>
  <c r="AG903" i="9"/>
  <c r="AF903" i="9"/>
  <c r="AE903" i="9"/>
  <c r="BM902" i="9"/>
  <c r="AG902" i="9"/>
  <c r="AF902" i="9"/>
  <c r="AE902" i="9"/>
  <c r="BM901" i="9"/>
  <c r="AG901" i="9"/>
  <c r="AF901" i="9"/>
  <c r="AE901" i="9"/>
  <c r="BM900" i="9"/>
  <c r="AG900" i="9"/>
  <c r="AF900" i="9"/>
  <c r="AE900" i="9"/>
  <c r="BM899" i="9"/>
  <c r="AG899" i="9"/>
  <c r="AF899" i="9"/>
  <c r="AE899" i="9"/>
  <c r="BM898" i="9"/>
  <c r="AG898" i="9"/>
  <c r="AF898" i="9"/>
  <c r="AE898" i="9"/>
  <c r="BM897" i="9"/>
  <c r="AG897" i="9"/>
  <c r="AF897" i="9"/>
  <c r="AE897" i="9"/>
  <c r="BM896" i="9"/>
  <c r="AG896" i="9"/>
  <c r="AF896" i="9"/>
  <c r="AE896" i="9"/>
  <c r="BM895" i="9"/>
  <c r="AG895" i="9"/>
  <c r="AF895" i="9"/>
  <c r="AE895" i="9"/>
  <c r="BM894" i="9"/>
  <c r="AG894" i="9"/>
  <c r="AF894" i="9"/>
  <c r="AE894" i="9"/>
  <c r="BM893" i="9"/>
  <c r="AG893" i="9"/>
  <c r="AF893" i="9"/>
  <c r="AE893" i="9"/>
  <c r="BM892" i="9"/>
  <c r="AG892" i="9"/>
  <c r="AF892" i="9"/>
  <c r="AE892" i="9"/>
  <c r="BM891" i="9"/>
  <c r="AG891" i="9"/>
  <c r="AF891" i="9"/>
  <c r="AE891" i="9"/>
  <c r="BM890" i="9"/>
  <c r="AG890" i="9"/>
  <c r="AF890" i="9"/>
  <c r="AE890" i="9"/>
  <c r="BM889" i="9"/>
  <c r="AG889" i="9"/>
  <c r="AF889" i="9"/>
  <c r="AE889" i="9"/>
  <c r="BM888" i="9"/>
  <c r="AG888" i="9"/>
  <c r="AF888" i="9"/>
  <c r="AE888" i="9"/>
  <c r="BM887" i="9"/>
  <c r="AG887" i="9"/>
  <c r="AF887" i="9"/>
  <c r="AE887" i="9"/>
  <c r="BM886" i="9"/>
  <c r="AG886" i="9"/>
  <c r="AF886" i="9"/>
  <c r="AE886" i="9"/>
  <c r="BM883" i="9"/>
  <c r="AG883" i="9"/>
  <c r="AF883" i="9"/>
  <c r="AE883" i="9"/>
  <c r="BM882" i="9"/>
  <c r="AG882" i="9"/>
  <c r="AF882" i="9"/>
  <c r="AE882" i="9"/>
  <c r="BM885" i="9"/>
  <c r="AG885" i="9"/>
  <c r="AF885" i="9"/>
  <c r="AE885" i="9"/>
  <c r="BM884" i="9"/>
  <c r="AG884" i="9"/>
  <c r="AF884" i="9"/>
  <c r="AE884" i="9"/>
  <c r="BM881" i="9"/>
  <c r="AG881" i="9"/>
  <c r="AF881" i="9"/>
  <c r="AE881" i="9"/>
  <c r="BM880" i="9"/>
  <c r="AG880" i="9"/>
  <c r="AF880" i="9"/>
  <c r="AE880" i="9"/>
  <c r="BM879" i="9"/>
  <c r="AG879" i="9"/>
  <c r="AF879" i="9"/>
  <c r="AE879" i="9"/>
  <c r="BM878" i="9"/>
  <c r="AG878" i="9"/>
  <c r="AF878" i="9"/>
  <c r="AE878" i="9"/>
  <c r="BM877" i="9"/>
  <c r="AG877" i="9"/>
  <c r="AF877" i="9"/>
  <c r="AE877" i="9"/>
  <c r="BM876" i="9"/>
  <c r="AG876" i="9"/>
  <c r="AF876" i="9"/>
  <c r="AE876" i="9"/>
  <c r="BM875" i="9"/>
  <c r="AG875" i="9"/>
  <c r="AF875" i="9"/>
  <c r="AE875" i="9"/>
  <c r="BM874" i="9"/>
  <c r="AG874" i="9"/>
  <c r="AF874" i="9"/>
  <c r="AE874" i="9"/>
  <c r="BM873" i="9"/>
  <c r="AG873" i="9"/>
  <c r="AF873" i="9"/>
  <c r="AE873" i="9"/>
  <c r="BM872" i="9"/>
  <c r="AG872" i="9"/>
  <c r="AF872" i="9"/>
  <c r="AE872" i="9"/>
  <c r="BM871" i="9"/>
  <c r="AG871" i="9"/>
  <c r="AF871" i="9"/>
  <c r="AE871" i="9"/>
  <c r="BM870" i="9"/>
  <c r="AG870" i="9"/>
  <c r="AF870" i="9"/>
  <c r="AE870" i="9"/>
  <c r="BM869" i="9"/>
  <c r="AG869" i="9"/>
  <c r="AF869" i="9"/>
  <c r="AE869" i="9"/>
  <c r="BM868" i="9"/>
  <c r="AG868" i="9"/>
  <c r="AF868" i="9"/>
  <c r="AE868" i="9"/>
  <c r="BM867" i="9"/>
  <c r="AG867" i="9"/>
  <c r="AF867" i="9"/>
  <c r="AE867" i="9"/>
  <c r="BM866" i="9"/>
  <c r="AG866" i="9"/>
  <c r="AF866" i="9"/>
  <c r="AE866" i="9"/>
  <c r="BM865" i="9"/>
  <c r="AG865" i="9"/>
  <c r="AF865" i="9"/>
  <c r="AE865" i="9"/>
  <c r="BM864" i="9"/>
  <c r="AG864" i="9"/>
  <c r="AF864" i="9"/>
  <c r="AE864" i="9"/>
  <c r="BM861" i="9"/>
  <c r="AG861" i="9"/>
  <c r="AF861" i="9"/>
  <c r="AE861" i="9"/>
  <c r="BM860" i="9"/>
  <c r="AG860" i="9"/>
  <c r="AF860" i="9"/>
  <c r="AE860" i="9"/>
  <c r="BM863" i="9"/>
  <c r="AG863" i="9"/>
  <c r="AF863" i="9"/>
  <c r="AE863" i="9"/>
  <c r="BM862" i="9"/>
  <c r="AG862" i="9"/>
  <c r="AF862" i="9"/>
  <c r="AE862" i="9"/>
  <c r="BM859" i="9"/>
  <c r="AG859" i="9"/>
  <c r="AF859" i="9"/>
  <c r="AE859" i="9"/>
  <c r="BM858" i="9"/>
  <c r="AG858" i="9"/>
  <c r="AF858" i="9"/>
  <c r="AE858" i="9"/>
  <c r="BM857" i="9"/>
  <c r="AG857" i="9"/>
  <c r="AF857" i="9"/>
  <c r="AE857" i="9"/>
  <c r="BM856" i="9"/>
  <c r="AG856" i="9"/>
  <c r="AF856" i="9"/>
  <c r="AE856" i="9"/>
  <c r="BM855" i="9"/>
  <c r="AG855" i="9"/>
  <c r="AF855" i="9"/>
  <c r="AE855" i="9"/>
  <c r="BM854" i="9"/>
  <c r="AG854" i="9"/>
  <c r="AF854" i="9"/>
  <c r="AE854" i="9"/>
  <c r="BM853" i="9"/>
  <c r="AG853" i="9"/>
  <c r="AF853" i="9"/>
  <c r="AE853" i="9"/>
  <c r="BM852" i="9"/>
  <c r="AG852" i="9"/>
  <c r="AF852" i="9"/>
  <c r="AE852" i="9"/>
  <c r="BM851" i="9"/>
  <c r="AG851" i="9"/>
  <c r="AF851" i="9"/>
  <c r="AE851" i="9"/>
  <c r="BM850" i="9"/>
  <c r="AG850" i="9"/>
  <c r="AF850" i="9"/>
  <c r="AE850" i="9"/>
  <c r="BM849" i="9"/>
  <c r="AG849" i="9"/>
  <c r="AF849" i="9"/>
  <c r="AE849" i="9"/>
  <c r="BM848" i="9"/>
  <c r="AG848" i="9"/>
  <c r="AF848" i="9"/>
  <c r="AE848" i="9"/>
  <c r="BM845" i="9"/>
  <c r="AG845" i="9"/>
  <c r="AF845" i="9"/>
  <c r="AE845" i="9"/>
  <c r="BM844" i="9"/>
  <c r="AG844" i="9"/>
  <c r="AF844" i="9"/>
  <c r="AE844" i="9"/>
  <c r="BM847" i="9"/>
  <c r="AG847" i="9"/>
  <c r="AF847" i="9"/>
  <c r="AE847" i="9"/>
  <c r="BM846" i="9"/>
  <c r="AG846" i="9"/>
  <c r="AF846" i="9"/>
  <c r="AE846" i="9"/>
  <c r="BM841" i="9"/>
  <c r="AG841" i="9"/>
  <c r="AF841" i="9"/>
  <c r="AE841" i="9"/>
  <c r="BM840" i="9"/>
  <c r="AG840" i="9"/>
  <c r="AF840" i="9"/>
  <c r="AE840" i="9"/>
  <c r="BM843" i="9"/>
  <c r="AG843" i="9"/>
  <c r="AF843" i="9"/>
  <c r="AE843" i="9"/>
  <c r="BM842" i="9"/>
  <c r="AG842" i="9"/>
  <c r="AF842" i="9"/>
  <c r="AE842" i="9"/>
  <c r="BM839" i="9"/>
  <c r="AG839" i="9"/>
  <c r="AF839" i="9"/>
  <c r="AE839" i="9"/>
  <c r="BM838" i="9"/>
  <c r="AG838" i="9"/>
  <c r="AF838" i="9"/>
  <c r="AE838" i="9"/>
  <c r="BM835" i="9"/>
  <c r="AG835" i="9"/>
  <c r="AF835" i="9"/>
  <c r="AE835" i="9"/>
  <c r="BM834" i="9"/>
  <c r="AG834" i="9"/>
  <c r="AF834" i="9"/>
  <c r="AE834" i="9"/>
  <c r="BM837" i="9"/>
  <c r="AG837" i="9"/>
  <c r="AF837" i="9"/>
  <c r="AE837" i="9"/>
  <c r="BM836" i="9"/>
  <c r="AG836" i="9"/>
  <c r="AF836" i="9"/>
  <c r="AE836" i="9"/>
  <c r="BM831" i="9"/>
  <c r="AG831" i="9"/>
  <c r="AF831" i="9"/>
  <c r="AE831" i="9"/>
  <c r="BM830" i="9"/>
  <c r="AG830" i="9"/>
  <c r="AF830" i="9"/>
  <c r="AE830" i="9"/>
  <c r="BM833" i="9"/>
  <c r="AG833" i="9"/>
  <c r="AF833" i="9"/>
  <c r="AE833" i="9"/>
  <c r="BM832" i="9"/>
  <c r="AG832" i="9"/>
  <c r="AF832" i="9"/>
  <c r="AE832" i="9"/>
  <c r="BM829" i="9"/>
  <c r="AG829" i="9"/>
  <c r="AF829" i="9"/>
  <c r="AE829" i="9"/>
  <c r="BM828" i="9"/>
  <c r="AG828" i="9"/>
  <c r="AF828" i="9"/>
  <c r="AE828" i="9"/>
  <c r="BM827" i="9"/>
  <c r="AG827" i="9"/>
  <c r="AF827" i="9"/>
  <c r="AE827" i="9"/>
  <c r="BM826" i="9"/>
  <c r="AG826" i="9"/>
  <c r="AF826" i="9"/>
  <c r="AE826" i="9"/>
  <c r="BM823" i="9"/>
  <c r="AG823" i="9"/>
  <c r="AF823" i="9"/>
  <c r="AE823" i="9"/>
  <c r="BM822" i="9"/>
  <c r="AG822" i="9"/>
  <c r="AF822" i="9"/>
  <c r="AE822" i="9"/>
  <c r="BM825" i="9"/>
  <c r="AG825" i="9"/>
  <c r="AF825" i="9"/>
  <c r="AE825" i="9"/>
  <c r="BM824" i="9"/>
  <c r="AG824" i="9"/>
  <c r="AF824" i="9"/>
  <c r="AE824" i="9"/>
  <c r="BM821" i="9"/>
  <c r="AG821" i="9"/>
  <c r="AF821" i="9"/>
  <c r="AE821" i="9"/>
  <c r="BM820" i="9"/>
  <c r="AG820" i="9"/>
  <c r="AF820" i="9"/>
  <c r="AE820" i="9"/>
  <c r="BM819" i="9"/>
  <c r="AG819" i="9"/>
  <c r="AF819" i="9"/>
  <c r="AE819" i="9"/>
  <c r="BM818" i="9"/>
  <c r="AG818" i="9"/>
  <c r="AF818" i="9"/>
  <c r="AE818" i="9"/>
  <c r="BM817" i="9"/>
  <c r="AG817" i="9"/>
  <c r="AF817" i="9"/>
  <c r="AE817" i="9"/>
  <c r="BM816" i="9"/>
  <c r="AG816" i="9"/>
  <c r="AF816" i="9"/>
  <c r="AE816" i="9"/>
  <c r="BM815" i="9"/>
  <c r="AG815" i="9"/>
  <c r="AF815" i="9"/>
  <c r="AE815" i="9"/>
  <c r="BM814" i="9"/>
  <c r="AG814" i="9"/>
  <c r="AF814" i="9"/>
  <c r="AE814" i="9"/>
  <c r="BM813" i="9"/>
  <c r="AG813" i="9"/>
  <c r="AF813" i="9"/>
  <c r="AE813" i="9"/>
  <c r="BM812" i="9"/>
  <c r="AG812" i="9"/>
  <c r="AF812" i="9"/>
  <c r="AE812" i="9"/>
  <c r="BM811" i="9"/>
  <c r="AG811" i="9"/>
  <c r="AF811" i="9"/>
  <c r="AE811" i="9"/>
  <c r="BM810" i="9"/>
  <c r="AG810" i="9"/>
  <c r="AF810" i="9"/>
  <c r="AE810" i="9"/>
  <c r="BM807" i="9"/>
  <c r="AG807" i="9"/>
  <c r="AF807" i="9"/>
  <c r="AE807" i="9"/>
  <c r="BM806" i="9"/>
  <c r="AG806" i="9"/>
  <c r="AF806" i="9"/>
  <c r="AE806" i="9"/>
  <c r="BM809" i="9"/>
  <c r="AG809" i="9"/>
  <c r="AF809" i="9"/>
  <c r="AE809" i="9"/>
  <c r="BM808" i="9"/>
  <c r="AG808" i="9"/>
  <c r="AF808" i="9"/>
  <c r="AE808" i="9"/>
  <c r="BM805" i="9"/>
  <c r="AG805" i="9"/>
  <c r="AF805" i="9"/>
  <c r="AE805" i="9"/>
  <c r="BM804" i="9"/>
  <c r="AG804" i="9"/>
  <c r="AF804" i="9"/>
  <c r="AE804" i="9"/>
  <c r="BM803" i="9"/>
  <c r="AG803" i="9"/>
  <c r="AF803" i="9"/>
  <c r="AE803" i="9"/>
  <c r="BM802" i="9"/>
  <c r="AG802" i="9"/>
  <c r="AF802" i="9"/>
  <c r="AE802" i="9"/>
  <c r="BM801" i="9"/>
  <c r="AG801" i="9"/>
  <c r="AF801" i="9"/>
  <c r="AE801" i="9"/>
  <c r="BM800" i="9"/>
  <c r="AG800" i="9"/>
  <c r="AF800" i="9"/>
  <c r="AE800" i="9"/>
  <c r="BM799" i="9"/>
  <c r="AG799" i="9"/>
  <c r="AF799" i="9"/>
  <c r="AE799" i="9"/>
  <c r="BM798" i="9"/>
  <c r="AG798" i="9"/>
  <c r="AF798" i="9"/>
  <c r="AE798" i="9"/>
  <c r="BM797" i="9"/>
  <c r="AG797" i="9"/>
  <c r="AF797" i="9"/>
  <c r="AE797" i="9"/>
  <c r="BM796" i="9"/>
  <c r="AG796" i="9"/>
  <c r="AF796" i="9"/>
  <c r="AE796" i="9"/>
  <c r="BM795" i="9"/>
  <c r="AG795" i="9"/>
  <c r="AF795" i="9"/>
  <c r="AE795" i="9"/>
  <c r="BM794" i="9"/>
  <c r="AG794" i="9"/>
  <c r="AF794" i="9"/>
  <c r="AE794" i="9"/>
  <c r="BM793" i="9"/>
  <c r="AG793" i="9"/>
  <c r="AF793" i="9"/>
  <c r="AE793" i="9"/>
  <c r="BM792" i="9"/>
  <c r="AG792" i="9"/>
  <c r="AF792" i="9"/>
  <c r="AE792" i="9"/>
  <c r="BM789" i="9"/>
  <c r="AG789" i="9"/>
  <c r="AF789" i="9"/>
  <c r="AE789" i="9"/>
  <c r="BM788" i="9"/>
  <c r="AG788" i="9"/>
  <c r="AF788" i="9"/>
  <c r="AE788" i="9"/>
  <c r="BM791" i="9"/>
  <c r="AG791" i="9"/>
  <c r="AF791" i="9"/>
  <c r="AE791" i="9"/>
  <c r="BM790" i="9"/>
  <c r="AG790" i="9"/>
  <c r="AF790" i="9"/>
  <c r="AE790" i="9"/>
  <c r="BM787" i="9"/>
  <c r="AG787" i="9"/>
  <c r="AF787" i="9"/>
  <c r="AE787" i="9"/>
  <c r="BM786" i="9"/>
  <c r="AG786" i="9"/>
  <c r="AF786" i="9"/>
  <c r="AE786" i="9"/>
  <c r="BM785" i="9"/>
  <c r="AG785" i="9"/>
  <c r="AF785" i="9"/>
  <c r="AE785" i="9"/>
  <c r="BM784" i="9"/>
  <c r="AG784" i="9"/>
  <c r="AF784" i="9"/>
  <c r="AE784" i="9"/>
  <c r="BM783" i="9"/>
  <c r="AG783" i="9"/>
  <c r="AF783" i="9"/>
  <c r="AE783" i="9"/>
  <c r="BM782" i="9"/>
  <c r="AG782" i="9"/>
  <c r="AF782" i="9"/>
  <c r="AE782" i="9"/>
  <c r="BM781" i="9"/>
  <c r="AG781" i="9"/>
  <c r="AF781" i="9"/>
  <c r="AE781" i="9"/>
  <c r="BM780" i="9"/>
  <c r="AG780" i="9"/>
  <c r="AF780" i="9"/>
  <c r="AE780" i="9"/>
  <c r="BM779" i="9"/>
  <c r="AG779" i="9"/>
  <c r="AF779" i="9"/>
  <c r="AE779" i="9"/>
  <c r="BM778" i="9"/>
  <c r="AG778" i="9"/>
  <c r="AF778" i="9"/>
  <c r="AE778" i="9"/>
  <c r="BM777" i="9"/>
  <c r="AG777" i="9"/>
  <c r="AF777" i="9"/>
  <c r="AE777" i="9"/>
  <c r="BM776" i="9"/>
  <c r="AG776" i="9"/>
  <c r="AF776" i="9"/>
  <c r="AE776" i="9"/>
  <c r="BM775" i="9"/>
  <c r="AG775" i="9"/>
  <c r="AF775" i="9"/>
  <c r="AE775" i="9"/>
  <c r="BM774" i="9"/>
  <c r="AG774" i="9"/>
  <c r="AF774" i="9"/>
  <c r="AE774" i="9"/>
  <c r="BM773" i="9"/>
  <c r="AG773" i="9"/>
  <c r="AF773" i="9"/>
  <c r="AE773" i="9"/>
  <c r="BM772" i="9"/>
  <c r="AG772" i="9"/>
  <c r="AF772" i="9"/>
  <c r="AE772" i="9"/>
  <c r="BM771" i="9"/>
  <c r="AG771" i="9"/>
  <c r="AF771" i="9"/>
  <c r="AE771" i="9"/>
  <c r="BM770" i="9"/>
  <c r="AG770" i="9"/>
  <c r="AF770" i="9"/>
  <c r="AE770" i="9"/>
  <c r="BM767" i="9"/>
  <c r="AG767" i="9"/>
  <c r="AF767" i="9"/>
  <c r="AE767" i="9"/>
  <c r="BM766" i="9"/>
  <c r="AG766" i="9"/>
  <c r="AF766" i="9"/>
  <c r="AE766" i="9"/>
  <c r="BM769" i="9"/>
  <c r="AG769" i="9"/>
  <c r="AF769" i="9"/>
  <c r="AE769" i="9"/>
  <c r="BM768" i="9"/>
  <c r="AG768" i="9"/>
  <c r="AF768" i="9"/>
  <c r="AE768" i="9"/>
  <c r="BM765" i="9"/>
  <c r="AG765" i="9"/>
  <c r="AF765" i="9"/>
  <c r="AE765" i="9"/>
  <c r="BM764" i="9"/>
  <c r="AG764" i="9"/>
  <c r="AF764" i="9"/>
  <c r="AE764" i="9"/>
  <c r="BM763" i="9"/>
  <c r="AG763" i="9"/>
  <c r="AF763" i="9"/>
  <c r="AE763" i="9"/>
  <c r="BM762" i="9"/>
  <c r="AG762" i="9"/>
  <c r="AF762" i="9"/>
  <c r="AE762" i="9"/>
  <c r="BM761" i="9"/>
  <c r="AG761" i="9"/>
  <c r="AF761" i="9"/>
  <c r="AE761" i="9"/>
  <c r="BM760" i="9"/>
  <c r="AG760" i="9"/>
  <c r="AF760" i="9"/>
  <c r="AE760" i="9"/>
  <c r="BM759" i="9"/>
  <c r="AG759" i="9"/>
  <c r="AF759" i="9"/>
  <c r="AE759" i="9"/>
  <c r="BM758" i="9"/>
  <c r="AG758" i="9"/>
  <c r="AF758" i="9"/>
  <c r="AE758" i="9"/>
  <c r="BM757" i="9"/>
  <c r="AG757" i="9"/>
  <c r="AF757" i="9"/>
  <c r="AE757" i="9"/>
  <c r="BM756" i="9"/>
  <c r="AG756" i="9"/>
  <c r="AF756" i="9"/>
  <c r="AE756" i="9"/>
  <c r="BM755" i="9"/>
  <c r="AG755" i="9"/>
  <c r="AF755" i="9"/>
  <c r="AE755" i="9"/>
  <c r="BM754" i="9"/>
  <c r="AG754" i="9"/>
  <c r="AF754" i="9"/>
  <c r="AE754" i="9"/>
  <c r="BM753" i="9"/>
  <c r="AG753" i="9"/>
  <c r="AF753" i="9"/>
  <c r="AE753" i="9"/>
  <c r="BM752" i="9"/>
  <c r="AG752" i="9"/>
  <c r="AF752" i="9"/>
  <c r="AE752" i="9"/>
  <c r="BM751" i="9"/>
  <c r="AG751" i="9"/>
  <c r="AF751" i="9"/>
  <c r="AE751" i="9"/>
  <c r="BM750" i="9"/>
  <c r="AG750" i="9"/>
  <c r="AF750" i="9"/>
  <c r="AE750" i="9"/>
  <c r="BM749" i="9"/>
  <c r="AG749" i="9"/>
  <c r="AF749" i="9"/>
  <c r="AE749" i="9"/>
  <c r="BM748" i="9"/>
  <c r="AG748" i="9"/>
  <c r="AF748" i="9"/>
  <c r="AE748" i="9"/>
  <c r="BM745" i="9"/>
  <c r="AG745" i="9"/>
  <c r="AF745" i="9"/>
  <c r="AE745" i="9"/>
  <c r="BM744" i="9"/>
  <c r="AG744" i="9"/>
  <c r="AF744" i="9"/>
  <c r="AE744" i="9"/>
  <c r="BM747" i="9"/>
  <c r="AG747" i="9"/>
  <c r="AF747" i="9"/>
  <c r="AE747" i="9"/>
  <c r="BM746" i="9"/>
  <c r="AG746" i="9"/>
  <c r="AF746" i="9"/>
  <c r="AE746" i="9"/>
  <c r="BM743" i="9"/>
  <c r="AG743" i="9"/>
  <c r="AF743" i="9"/>
  <c r="AE743" i="9"/>
  <c r="BM742" i="9"/>
  <c r="AG742" i="9"/>
  <c r="AF742" i="9"/>
  <c r="AE742" i="9"/>
  <c r="BM741" i="9"/>
  <c r="AG741" i="9"/>
  <c r="AF741" i="9"/>
  <c r="AE741" i="9"/>
  <c r="BM740" i="9"/>
  <c r="AG740" i="9"/>
  <c r="AF740" i="9"/>
  <c r="AE740" i="9"/>
  <c r="BM739" i="9"/>
  <c r="AG739" i="9"/>
  <c r="AF739" i="9"/>
  <c r="AE739" i="9"/>
  <c r="BM738" i="9"/>
  <c r="AG738" i="9"/>
  <c r="AF738" i="9"/>
  <c r="AE738" i="9"/>
  <c r="BM737" i="9"/>
  <c r="AG737" i="9"/>
  <c r="AF737" i="9"/>
  <c r="AE737" i="9"/>
  <c r="BM736" i="9"/>
  <c r="AG736" i="9"/>
  <c r="AF736" i="9"/>
  <c r="AE736" i="9"/>
  <c r="BM735" i="9"/>
  <c r="AG735" i="9"/>
  <c r="AF735" i="9"/>
  <c r="AE735" i="9"/>
  <c r="BM734" i="9"/>
  <c r="AG734" i="9"/>
  <c r="AF734" i="9"/>
  <c r="AE734" i="9"/>
  <c r="BM733" i="9"/>
  <c r="AG733" i="9"/>
  <c r="AF733" i="9"/>
  <c r="AE733" i="9"/>
  <c r="BM732" i="9"/>
  <c r="AG732" i="9"/>
  <c r="AF732" i="9"/>
  <c r="AE732" i="9"/>
  <c r="BM731" i="9"/>
  <c r="AG731" i="9"/>
  <c r="AF731" i="9"/>
  <c r="AE731" i="9"/>
  <c r="BM730" i="9"/>
  <c r="AG730" i="9"/>
  <c r="AF730" i="9"/>
  <c r="AE730" i="9"/>
  <c r="BM729" i="9"/>
  <c r="AG729" i="9"/>
  <c r="AF729" i="9"/>
  <c r="AE729" i="9"/>
  <c r="BM728" i="9"/>
  <c r="AG728" i="9"/>
  <c r="AF728" i="9"/>
  <c r="AE728" i="9"/>
  <c r="BM727" i="9"/>
  <c r="AG727" i="9"/>
  <c r="AF727" i="9"/>
  <c r="AE727" i="9"/>
  <c r="BM726" i="9"/>
  <c r="AG726" i="9"/>
  <c r="AF726" i="9"/>
  <c r="AE726" i="9"/>
  <c r="BM725" i="9"/>
  <c r="AG725" i="9"/>
  <c r="AF725" i="9"/>
  <c r="AE725" i="9"/>
  <c r="BM724" i="9"/>
  <c r="AG724" i="9"/>
  <c r="AF724" i="9"/>
  <c r="AE724" i="9"/>
  <c r="BM723" i="9"/>
  <c r="AG723" i="9"/>
  <c r="AF723" i="9"/>
  <c r="AE723" i="9"/>
  <c r="BM722" i="9"/>
  <c r="AG722" i="9"/>
  <c r="AF722" i="9"/>
  <c r="AE722" i="9"/>
  <c r="BM721" i="9"/>
  <c r="AG721" i="9"/>
  <c r="AF721" i="9"/>
  <c r="AE721" i="9"/>
  <c r="BM720" i="9"/>
  <c r="AG720" i="9"/>
  <c r="AF720" i="9"/>
  <c r="AE720" i="9"/>
  <c r="BM719" i="9"/>
  <c r="AG719" i="9"/>
  <c r="AF719" i="9"/>
  <c r="AE719" i="9"/>
  <c r="BM718" i="9"/>
  <c r="AG718" i="9"/>
  <c r="AF718" i="9"/>
  <c r="AE718" i="9"/>
  <c r="BM717" i="9"/>
  <c r="AG717" i="9"/>
  <c r="AF717" i="9"/>
  <c r="AE717" i="9"/>
  <c r="BM716" i="9"/>
  <c r="AG716" i="9"/>
  <c r="AF716" i="9"/>
  <c r="AE716" i="9"/>
  <c r="BM715" i="9"/>
  <c r="AG715" i="9"/>
  <c r="AF715" i="9"/>
  <c r="AE715" i="9"/>
  <c r="BM714" i="9"/>
  <c r="AG714" i="9"/>
  <c r="AF714" i="9"/>
  <c r="AE714" i="9"/>
  <c r="BM711" i="9"/>
  <c r="AG711" i="9"/>
  <c r="AF711" i="9"/>
  <c r="AE711" i="9"/>
  <c r="BM710" i="9"/>
  <c r="AG710" i="9"/>
  <c r="AF710" i="9"/>
  <c r="AE710" i="9"/>
  <c r="BM713" i="9"/>
  <c r="AG713" i="9"/>
  <c r="AF713" i="9"/>
  <c r="AE713" i="9"/>
  <c r="BM712" i="9"/>
  <c r="AG712" i="9"/>
  <c r="AF712" i="9"/>
  <c r="AE712" i="9"/>
  <c r="BM709" i="9"/>
  <c r="AG709" i="9"/>
  <c r="AF709" i="9"/>
  <c r="AE709" i="9"/>
  <c r="BM708" i="9"/>
  <c r="AG708" i="9"/>
  <c r="AF708" i="9"/>
  <c r="AE708" i="9"/>
  <c r="BM707" i="9"/>
  <c r="AG707" i="9"/>
  <c r="AF707" i="9"/>
  <c r="AE707" i="9"/>
  <c r="BM706" i="9"/>
  <c r="AG706" i="9"/>
  <c r="AF706" i="9"/>
  <c r="AE706" i="9"/>
  <c r="BM705" i="9"/>
  <c r="AG705" i="9"/>
  <c r="AF705" i="9"/>
  <c r="AE705" i="9"/>
  <c r="BM704" i="9"/>
  <c r="AG704" i="9"/>
  <c r="AF704" i="9"/>
  <c r="AE704" i="9"/>
  <c r="BM703" i="9"/>
  <c r="AG703" i="9"/>
  <c r="AF703" i="9"/>
  <c r="AE703" i="9"/>
  <c r="BM702" i="9"/>
  <c r="AG702" i="9"/>
  <c r="AF702" i="9"/>
  <c r="AE702" i="9"/>
  <c r="BM701" i="9"/>
  <c r="AG701" i="9"/>
  <c r="AF701" i="9"/>
  <c r="AE701" i="9"/>
  <c r="BM700" i="9"/>
  <c r="AG700" i="9"/>
  <c r="AF700" i="9"/>
  <c r="AE700" i="9"/>
  <c r="BM699" i="9"/>
  <c r="AG699" i="9"/>
  <c r="AF699" i="9"/>
  <c r="AE699" i="9"/>
  <c r="BM698" i="9"/>
  <c r="AG698" i="9"/>
  <c r="AF698" i="9"/>
  <c r="AE698" i="9"/>
  <c r="BM695" i="9"/>
  <c r="AG695" i="9"/>
  <c r="AF695" i="9"/>
  <c r="AE695" i="9"/>
  <c r="BM694" i="9"/>
  <c r="AG694" i="9"/>
  <c r="AF694" i="9"/>
  <c r="AE694" i="9"/>
  <c r="BM697" i="9"/>
  <c r="AG697" i="9"/>
  <c r="AF697" i="9"/>
  <c r="AE697" i="9"/>
  <c r="BM696" i="9"/>
  <c r="AG696" i="9"/>
  <c r="AF696" i="9"/>
  <c r="AE696" i="9"/>
  <c r="BM693" i="9"/>
  <c r="AG693" i="9"/>
  <c r="AF693" i="9"/>
  <c r="AE693" i="9"/>
  <c r="BM692" i="9"/>
  <c r="AG692" i="9"/>
  <c r="AF692" i="9"/>
  <c r="AE692" i="9"/>
  <c r="BM691" i="9"/>
  <c r="AG691" i="9"/>
  <c r="AF691" i="9"/>
  <c r="AE691" i="9"/>
  <c r="BM690" i="9"/>
  <c r="AG690" i="9"/>
  <c r="AF690" i="9"/>
  <c r="AE690" i="9"/>
  <c r="BM689" i="9"/>
  <c r="AG689" i="9"/>
  <c r="AF689" i="9"/>
  <c r="AE689" i="9"/>
  <c r="BM688" i="9"/>
  <c r="AG688" i="9"/>
  <c r="AF688" i="9"/>
  <c r="AE688" i="9"/>
  <c r="BM687" i="9"/>
  <c r="AG687" i="9"/>
  <c r="AF687" i="9"/>
  <c r="AE687" i="9"/>
  <c r="BM686" i="9"/>
  <c r="AG686" i="9"/>
  <c r="AF686" i="9"/>
  <c r="AE686" i="9"/>
  <c r="BM685" i="9"/>
  <c r="AG685" i="9"/>
  <c r="AF685" i="9"/>
  <c r="AE685" i="9"/>
  <c r="BM684" i="9"/>
  <c r="AG684" i="9"/>
  <c r="AF684" i="9"/>
  <c r="AE684" i="9"/>
  <c r="BM683" i="9"/>
  <c r="AG683" i="9"/>
  <c r="AF683" i="9"/>
  <c r="AE683" i="9"/>
  <c r="BM682" i="9"/>
  <c r="AG682" i="9"/>
  <c r="AF682" i="9"/>
  <c r="AE682" i="9"/>
  <c r="BM679" i="9"/>
  <c r="AG679" i="9"/>
  <c r="AF679" i="9"/>
  <c r="AE679" i="9"/>
  <c r="BM678" i="9"/>
  <c r="AG678" i="9"/>
  <c r="AF678" i="9"/>
  <c r="AE678" i="9"/>
  <c r="BM681" i="9"/>
  <c r="AG681" i="9"/>
  <c r="AF681" i="9"/>
  <c r="AE681" i="9"/>
  <c r="BM680" i="9"/>
  <c r="AG680" i="9"/>
  <c r="AF680" i="9"/>
  <c r="AE680" i="9"/>
  <c r="BM677" i="9"/>
  <c r="AG677" i="9"/>
  <c r="AF677" i="9"/>
  <c r="AE677" i="9"/>
  <c r="BM676" i="9"/>
  <c r="AG676" i="9"/>
  <c r="AF676" i="9"/>
  <c r="AE676" i="9"/>
  <c r="BM675" i="9"/>
  <c r="AG675" i="9"/>
  <c r="AF675" i="9"/>
  <c r="AE675" i="9"/>
  <c r="BM674" i="9"/>
  <c r="AG674" i="9"/>
  <c r="AF674" i="9"/>
  <c r="AE674" i="9"/>
  <c r="BM673" i="9"/>
  <c r="AG673" i="9"/>
  <c r="AF673" i="9"/>
  <c r="AE673" i="9"/>
  <c r="BM672" i="9"/>
  <c r="AG672" i="9"/>
  <c r="AF672" i="9"/>
  <c r="AE672" i="9"/>
  <c r="BM671" i="9"/>
  <c r="AG671" i="9"/>
  <c r="AF671" i="9"/>
  <c r="AE671" i="9"/>
  <c r="BM670" i="9"/>
  <c r="AG670" i="9"/>
  <c r="AF670" i="9"/>
  <c r="AE670" i="9"/>
  <c r="BM669" i="9"/>
  <c r="AG669" i="9"/>
  <c r="AF669" i="9"/>
  <c r="AE669" i="9"/>
  <c r="BM668" i="9"/>
  <c r="AG668" i="9"/>
  <c r="AF668" i="9"/>
  <c r="AE668" i="9"/>
  <c r="BM667" i="9"/>
  <c r="AG667" i="9"/>
  <c r="AF667" i="9"/>
  <c r="AE667" i="9"/>
  <c r="BM666" i="9"/>
  <c r="AG666" i="9"/>
  <c r="AF666" i="9"/>
  <c r="AE666" i="9"/>
  <c r="BM665" i="9"/>
  <c r="AG665" i="9"/>
  <c r="AF665" i="9"/>
  <c r="AE665" i="9"/>
  <c r="BM664" i="9"/>
  <c r="AG664" i="9"/>
  <c r="AF664" i="9"/>
  <c r="AE664" i="9"/>
  <c r="BM663" i="9"/>
  <c r="AG663" i="9"/>
  <c r="AF663" i="9"/>
  <c r="AE663" i="9"/>
  <c r="BM662" i="9"/>
  <c r="AG662" i="9"/>
  <c r="AF662" i="9"/>
  <c r="AE662" i="9"/>
  <c r="BM661" i="9"/>
  <c r="AG661" i="9"/>
  <c r="AF661" i="9"/>
  <c r="AE661" i="9"/>
  <c r="BM660" i="9"/>
  <c r="AG660" i="9"/>
  <c r="AF660" i="9"/>
  <c r="AE660" i="9"/>
  <c r="BM657" i="9"/>
  <c r="AG657" i="9"/>
  <c r="AF657" i="9"/>
  <c r="AE657" i="9"/>
  <c r="BM656" i="9"/>
  <c r="AG656" i="9"/>
  <c r="AF656" i="9"/>
  <c r="AE656" i="9"/>
  <c r="BM659" i="9"/>
  <c r="AG659" i="9"/>
  <c r="AF659" i="9"/>
  <c r="AE659" i="9"/>
  <c r="BM658" i="9"/>
  <c r="AG658" i="9"/>
  <c r="AF658" i="9"/>
  <c r="AE658" i="9"/>
  <c r="BM655" i="9"/>
  <c r="AG655" i="9"/>
  <c r="AF655" i="9"/>
  <c r="AE655" i="9"/>
  <c r="BM654" i="9"/>
  <c r="AG654" i="9"/>
  <c r="AF654" i="9"/>
  <c r="AE654" i="9"/>
  <c r="BM651" i="9"/>
  <c r="AG651" i="9"/>
  <c r="AF651" i="9"/>
  <c r="AE651" i="9"/>
  <c r="BM650" i="9"/>
  <c r="AG650" i="9"/>
  <c r="AF650" i="9"/>
  <c r="AE650" i="9"/>
  <c r="BM653" i="9"/>
  <c r="AG653" i="9"/>
  <c r="AF653" i="9"/>
  <c r="AE653" i="9"/>
  <c r="BM652" i="9"/>
  <c r="AG652" i="9"/>
  <c r="AF652" i="9"/>
  <c r="AE652" i="9"/>
  <c r="BM647" i="9"/>
  <c r="AG647" i="9"/>
  <c r="AF647" i="9"/>
  <c r="AE647" i="9"/>
  <c r="BM646" i="9"/>
  <c r="AG646" i="9"/>
  <c r="AF646" i="9"/>
  <c r="AE646" i="9"/>
  <c r="BM649" i="9"/>
  <c r="AG649" i="9"/>
  <c r="AF649" i="9"/>
  <c r="AE649" i="9"/>
  <c r="BM648" i="9"/>
  <c r="AG648" i="9"/>
  <c r="AF648" i="9"/>
  <c r="AE648" i="9"/>
  <c r="BM645" i="9"/>
  <c r="AG645" i="9"/>
  <c r="AF645" i="9"/>
  <c r="AE645" i="9"/>
  <c r="BM644" i="9"/>
  <c r="AG644" i="9"/>
  <c r="AF644" i="9"/>
  <c r="AE644" i="9"/>
  <c r="BM643" i="9"/>
  <c r="AG643" i="9"/>
  <c r="AF643" i="9"/>
  <c r="AE643" i="9"/>
  <c r="BM642" i="9"/>
  <c r="AG642" i="9"/>
  <c r="AF642" i="9"/>
  <c r="AE642" i="9"/>
  <c r="BM641" i="9"/>
  <c r="AG641" i="9"/>
  <c r="AF641" i="9"/>
  <c r="AE641" i="9"/>
  <c r="BM640" i="9"/>
  <c r="AG640" i="9"/>
  <c r="AF640" i="9"/>
  <c r="AE640" i="9"/>
  <c r="BM639" i="9"/>
  <c r="AG639" i="9"/>
  <c r="AF639" i="9"/>
  <c r="AE639" i="9"/>
  <c r="BM638" i="9"/>
  <c r="AG638" i="9"/>
  <c r="AF638" i="9"/>
  <c r="AE638" i="9"/>
  <c r="BM635" i="9"/>
  <c r="AG635" i="9"/>
  <c r="AF635" i="9"/>
  <c r="AE635" i="9"/>
  <c r="BM634" i="9"/>
  <c r="AG634" i="9"/>
  <c r="AF634" i="9"/>
  <c r="AE634" i="9"/>
  <c r="BM637" i="9"/>
  <c r="AG637" i="9"/>
  <c r="AF637" i="9"/>
  <c r="AE637" i="9"/>
  <c r="BM636" i="9"/>
  <c r="AG636" i="9"/>
  <c r="AF636" i="9"/>
  <c r="AE636" i="9"/>
  <c r="BM633" i="9"/>
  <c r="AG633" i="9"/>
  <c r="AF633" i="9"/>
  <c r="AE633" i="9"/>
  <c r="BM632" i="9"/>
  <c r="AG632" i="9"/>
  <c r="AF632" i="9"/>
  <c r="AE632" i="9"/>
  <c r="BM631" i="9"/>
  <c r="AG631" i="9"/>
  <c r="AF631" i="9"/>
  <c r="AE631" i="9"/>
  <c r="BM630" i="9"/>
  <c r="AG630" i="9"/>
  <c r="AF630" i="9"/>
  <c r="AE630" i="9"/>
  <c r="BM629" i="9"/>
  <c r="AG629" i="9"/>
  <c r="AF629" i="9"/>
  <c r="AE629" i="9"/>
  <c r="BM628" i="9"/>
  <c r="AG628" i="9"/>
  <c r="AF628" i="9"/>
  <c r="AE628" i="9"/>
  <c r="BM627" i="9"/>
  <c r="AG627" i="9"/>
  <c r="AF627" i="9"/>
  <c r="AE627" i="9"/>
  <c r="BM626" i="9"/>
  <c r="AG626" i="9"/>
  <c r="AF626" i="9"/>
  <c r="AE626" i="9"/>
  <c r="BM625" i="9"/>
  <c r="AG625" i="9"/>
  <c r="AF625" i="9"/>
  <c r="AE625" i="9"/>
  <c r="BM624" i="9"/>
  <c r="AG624" i="9"/>
  <c r="AF624" i="9"/>
  <c r="AE624" i="9"/>
  <c r="BM623" i="9"/>
  <c r="AG623" i="9"/>
  <c r="AF623" i="9"/>
  <c r="AE623" i="9"/>
  <c r="BM622" i="9"/>
  <c r="AG622" i="9"/>
  <c r="AF622" i="9"/>
  <c r="AE622" i="9"/>
  <c r="BM619" i="9"/>
  <c r="AG619" i="9"/>
  <c r="AF619" i="9"/>
  <c r="AE619" i="9"/>
  <c r="BM618" i="9"/>
  <c r="AG618" i="9"/>
  <c r="AF618" i="9"/>
  <c r="AE618" i="9"/>
  <c r="BM621" i="9"/>
  <c r="AG621" i="9"/>
  <c r="AF621" i="9"/>
  <c r="AE621" i="9"/>
  <c r="BM620" i="9"/>
  <c r="AG620" i="9"/>
  <c r="AF620" i="9"/>
  <c r="AE620" i="9"/>
  <c r="BM617" i="9"/>
  <c r="AG617" i="9"/>
  <c r="AF617" i="9"/>
  <c r="AE617" i="9"/>
  <c r="BM616" i="9"/>
  <c r="AG616" i="9"/>
  <c r="AF616" i="9"/>
  <c r="AE616" i="9"/>
  <c r="BM615" i="9"/>
  <c r="AG615" i="9"/>
  <c r="AF615" i="9"/>
  <c r="AE615" i="9"/>
  <c r="BM614" i="9"/>
  <c r="AG614" i="9"/>
  <c r="AF614" i="9"/>
  <c r="AE614" i="9"/>
  <c r="BM613" i="9"/>
  <c r="AG613" i="9"/>
  <c r="AF613" i="9"/>
  <c r="AE613" i="9"/>
  <c r="BM612" i="9"/>
  <c r="AG612" i="9"/>
  <c r="AF612" i="9"/>
  <c r="AE612" i="9"/>
  <c r="BM611" i="9"/>
  <c r="AG611" i="9"/>
  <c r="AF611" i="9"/>
  <c r="AE611" i="9"/>
  <c r="BM610" i="9"/>
  <c r="AG610" i="9"/>
  <c r="AF610" i="9"/>
  <c r="AE610" i="9"/>
  <c r="BM609" i="9"/>
  <c r="AG609" i="9"/>
  <c r="AF609" i="9"/>
  <c r="AE609" i="9"/>
  <c r="BM608" i="9"/>
  <c r="AG608" i="9"/>
  <c r="AF608" i="9"/>
  <c r="AE608" i="9"/>
  <c r="BM607" i="9"/>
  <c r="AG607" i="9"/>
  <c r="AF607" i="9"/>
  <c r="AE607" i="9"/>
  <c r="BM606" i="9"/>
  <c r="AG606" i="9"/>
  <c r="AF606" i="9"/>
  <c r="AE606" i="9"/>
  <c r="BM605" i="9"/>
  <c r="AG605" i="9"/>
  <c r="AF605" i="9"/>
  <c r="AE605" i="9"/>
  <c r="BM604" i="9"/>
  <c r="AG604" i="9"/>
  <c r="AF604" i="9"/>
  <c r="AE604" i="9"/>
  <c r="BM603" i="9"/>
  <c r="AG603" i="9"/>
  <c r="AF603" i="9"/>
  <c r="AE603" i="9"/>
  <c r="BM602" i="9"/>
  <c r="AG602" i="9"/>
  <c r="AF602" i="9"/>
  <c r="AE602" i="9"/>
  <c r="BM601" i="9"/>
  <c r="AG601" i="9"/>
  <c r="AF601" i="9"/>
  <c r="AE601" i="9"/>
  <c r="BM600" i="9"/>
  <c r="AG600" i="9"/>
  <c r="AF600" i="9"/>
  <c r="AE600" i="9"/>
  <c r="BM599" i="9"/>
  <c r="AG599" i="9"/>
  <c r="AF599" i="9"/>
  <c r="AE599" i="9"/>
  <c r="BM598" i="9"/>
  <c r="AG598" i="9"/>
  <c r="AF598" i="9"/>
  <c r="AE598" i="9"/>
  <c r="BM597" i="9"/>
  <c r="AG597" i="9"/>
  <c r="AF597" i="9"/>
  <c r="AE597" i="9"/>
  <c r="BM596" i="9"/>
  <c r="AG596" i="9"/>
  <c r="AF596" i="9"/>
  <c r="AE596" i="9"/>
  <c r="BM593" i="9"/>
  <c r="AG593" i="9"/>
  <c r="AF593" i="9"/>
  <c r="AE593" i="9"/>
  <c r="BM592" i="9"/>
  <c r="AG592" i="9"/>
  <c r="AF592" i="9"/>
  <c r="AE592" i="9"/>
  <c r="BM595" i="9"/>
  <c r="AG595" i="9"/>
  <c r="AF595" i="9"/>
  <c r="AE595" i="9"/>
  <c r="BM594" i="9"/>
  <c r="AG594" i="9"/>
  <c r="AF594" i="9"/>
  <c r="AE594" i="9"/>
  <c r="BM591" i="9"/>
  <c r="AG591" i="9"/>
  <c r="AF591" i="9"/>
  <c r="AE591" i="9"/>
  <c r="BM590" i="9"/>
  <c r="AG590" i="9"/>
  <c r="AF590" i="9"/>
  <c r="AE590" i="9"/>
  <c r="BM589" i="9"/>
  <c r="AG589" i="9"/>
  <c r="AF589" i="9"/>
  <c r="AE589" i="9"/>
  <c r="BM588" i="9"/>
  <c r="AG588" i="9"/>
  <c r="AF588" i="9"/>
  <c r="AE588" i="9"/>
  <c r="BM587" i="9"/>
  <c r="AG587" i="9"/>
  <c r="AF587" i="9"/>
  <c r="AE587" i="9"/>
  <c r="BM586" i="9"/>
  <c r="AG586" i="9"/>
  <c r="AF586" i="9"/>
  <c r="AE586" i="9"/>
  <c r="BM585" i="9"/>
  <c r="AG585" i="9"/>
  <c r="AF585" i="9"/>
  <c r="AE585" i="9"/>
  <c r="BM584" i="9"/>
  <c r="AG584" i="9"/>
  <c r="AF584" i="9"/>
  <c r="AE584" i="9"/>
  <c r="BM583" i="9"/>
  <c r="AG583" i="9"/>
  <c r="AF583" i="9"/>
  <c r="AE583" i="9"/>
  <c r="BM582" i="9"/>
  <c r="AG582" i="9"/>
  <c r="AF582" i="9"/>
  <c r="AE582" i="9"/>
  <c r="BM581" i="9"/>
  <c r="AG581" i="9"/>
  <c r="AF581" i="9"/>
  <c r="AE581" i="9"/>
  <c r="BM580" i="9"/>
  <c r="AG580" i="9"/>
  <c r="AF580" i="9"/>
  <c r="AE580" i="9"/>
  <c r="BM579" i="9"/>
  <c r="AG579" i="9"/>
  <c r="AF579" i="9"/>
  <c r="AE579" i="9"/>
  <c r="BM578" i="9"/>
  <c r="AG578" i="9"/>
  <c r="AF578" i="9"/>
  <c r="AE578" i="9"/>
  <c r="BM577" i="9"/>
  <c r="AG577" i="9"/>
  <c r="AF577" i="9"/>
  <c r="AE577" i="9"/>
  <c r="BM576" i="9"/>
  <c r="AG576" i="9"/>
  <c r="AF576" i="9"/>
  <c r="AE576" i="9"/>
  <c r="BM575" i="9"/>
  <c r="AG575" i="9"/>
  <c r="AF575" i="9"/>
  <c r="AE575" i="9"/>
  <c r="BM574" i="9"/>
  <c r="AG574" i="9"/>
  <c r="AF574" i="9"/>
  <c r="AE574" i="9"/>
  <c r="BM573" i="9"/>
  <c r="AG573" i="9"/>
  <c r="AF573" i="9"/>
  <c r="AE573" i="9"/>
  <c r="BM572" i="9"/>
  <c r="AG572" i="9"/>
  <c r="AF572" i="9"/>
  <c r="AE572" i="9"/>
  <c r="BM571" i="9"/>
  <c r="AG571" i="9"/>
  <c r="AF571" i="9"/>
  <c r="AE571" i="9"/>
  <c r="BM570" i="9"/>
  <c r="AG570" i="9"/>
  <c r="AF570" i="9"/>
  <c r="AE570" i="9"/>
  <c r="BM567" i="9"/>
  <c r="AG567" i="9"/>
  <c r="AF567" i="9"/>
  <c r="AE567" i="9"/>
  <c r="BM566" i="9"/>
  <c r="AG566" i="9"/>
  <c r="AF566" i="9"/>
  <c r="AE566" i="9"/>
  <c r="BM569" i="9"/>
  <c r="AG569" i="9"/>
  <c r="AF569" i="9"/>
  <c r="AE569" i="9"/>
  <c r="BM568" i="9"/>
  <c r="AG568" i="9"/>
  <c r="AF568" i="9"/>
  <c r="AE568" i="9"/>
  <c r="BM565" i="9"/>
  <c r="AG565" i="9"/>
  <c r="AF565" i="9"/>
  <c r="AE565" i="9"/>
  <c r="BM564" i="9"/>
  <c r="AG564" i="9"/>
  <c r="AF564" i="9"/>
  <c r="AE564" i="9"/>
  <c r="BM561" i="9"/>
  <c r="AG561" i="9"/>
  <c r="AF561" i="9"/>
  <c r="AE561" i="9"/>
  <c r="BM560" i="9"/>
  <c r="AG560" i="9"/>
  <c r="AF560" i="9"/>
  <c r="AE560" i="9"/>
  <c r="BM563" i="9"/>
  <c r="AG563" i="9"/>
  <c r="AF563" i="9"/>
  <c r="AE563" i="9"/>
  <c r="BM562" i="9"/>
  <c r="AG562" i="9"/>
  <c r="AF562" i="9"/>
  <c r="AE562" i="9"/>
  <c r="BM559" i="9"/>
  <c r="AG559" i="9"/>
  <c r="AF559" i="9"/>
  <c r="AE559" i="9"/>
  <c r="BM558" i="9"/>
  <c r="AG558" i="9"/>
  <c r="AF558" i="9"/>
  <c r="AE558" i="9"/>
  <c r="BM557" i="9"/>
  <c r="AG557" i="9"/>
  <c r="AF557" i="9"/>
  <c r="AE557" i="9"/>
  <c r="BM556" i="9"/>
  <c r="AG556" i="9"/>
  <c r="AF556" i="9"/>
  <c r="AE556" i="9"/>
  <c r="BM553" i="9"/>
  <c r="AG553" i="9"/>
  <c r="AF553" i="9"/>
  <c r="AE553" i="9"/>
  <c r="BM552" i="9"/>
  <c r="AG552" i="9"/>
  <c r="AF552" i="9"/>
  <c r="AE552" i="9"/>
  <c r="BM555" i="9"/>
  <c r="AG555" i="9"/>
  <c r="AF555" i="9"/>
  <c r="AE555" i="9"/>
  <c r="BM554" i="9"/>
  <c r="AG554" i="9"/>
  <c r="AF554" i="9"/>
  <c r="AE554" i="9"/>
  <c r="BM551" i="9"/>
  <c r="AG551" i="9"/>
  <c r="AF551" i="9"/>
  <c r="AE551" i="9"/>
  <c r="BM550" i="9"/>
  <c r="AG550" i="9"/>
  <c r="AF550" i="9"/>
  <c r="AE550" i="9"/>
  <c r="BM549" i="9"/>
  <c r="AG549" i="9"/>
  <c r="AF549" i="9"/>
  <c r="AE549" i="9"/>
  <c r="BM548" i="9"/>
  <c r="AG548" i="9"/>
  <c r="AF548" i="9"/>
  <c r="AE548" i="9"/>
  <c r="BM545" i="9"/>
  <c r="AG545" i="9"/>
  <c r="AF545" i="9"/>
  <c r="AE545" i="9"/>
  <c r="BM544" i="9"/>
  <c r="AG544" i="9"/>
  <c r="AF544" i="9"/>
  <c r="AE544" i="9"/>
  <c r="BM547" i="9"/>
  <c r="AG547" i="9"/>
  <c r="AF547" i="9"/>
  <c r="AE547" i="9"/>
  <c r="BM546" i="9"/>
  <c r="AG546" i="9"/>
  <c r="AF546" i="9"/>
  <c r="AE546" i="9"/>
  <c r="BM543" i="9"/>
  <c r="AG543" i="9"/>
  <c r="AF543" i="9"/>
  <c r="AE543" i="9"/>
  <c r="BM542" i="9"/>
  <c r="AG542" i="9"/>
  <c r="AF542" i="9"/>
  <c r="AE542" i="9"/>
  <c r="BM541" i="9"/>
  <c r="AG541" i="9"/>
  <c r="AF541" i="9"/>
  <c r="AE541" i="9"/>
  <c r="BM540" i="9"/>
  <c r="AG540" i="9"/>
  <c r="AF540" i="9"/>
  <c r="AE540" i="9"/>
  <c r="BM537" i="9"/>
  <c r="AG537" i="9"/>
  <c r="AF537" i="9"/>
  <c r="AE537" i="9"/>
  <c r="BM536" i="9"/>
  <c r="AG536" i="9"/>
  <c r="AF536" i="9"/>
  <c r="AE536" i="9"/>
  <c r="BM539" i="9"/>
  <c r="AG539" i="9"/>
  <c r="AF539" i="9"/>
  <c r="AE539" i="9"/>
  <c r="BM538" i="9"/>
  <c r="AG538" i="9"/>
  <c r="AF538" i="9"/>
  <c r="AE538" i="9"/>
  <c r="BM535" i="9"/>
  <c r="AG535" i="9"/>
  <c r="AF535" i="9"/>
  <c r="AE535" i="9"/>
  <c r="BM534" i="9"/>
  <c r="AG534" i="9"/>
  <c r="AF534" i="9"/>
  <c r="AE534" i="9"/>
  <c r="BM531" i="9"/>
  <c r="AG531" i="9"/>
  <c r="AF531" i="9"/>
  <c r="AE531" i="9"/>
  <c r="BM530" i="9"/>
  <c r="AG530" i="9"/>
  <c r="AF530" i="9"/>
  <c r="AE530" i="9"/>
  <c r="BM533" i="9"/>
  <c r="AG533" i="9"/>
  <c r="AF533" i="9"/>
  <c r="AE533" i="9"/>
  <c r="BM532" i="9"/>
  <c r="AG532" i="9"/>
  <c r="AF532" i="9"/>
  <c r="AE532" i="9"/>
  <c r="BM529" i="9"/>
  <c r="AG529" i="9"/>
  <c r="AF529" i="9"/>
  <c r="AE529" i="9"/>
  <c r="BM528" i="9"/>
  <c r="AG528" i="9"/>
  <c r="AF528" i="9"/>
  <c r="AE528" i="9"/>
  <c r="BM527" i="9"/>
  <c r="AG527" i="9"/>
  <c r="AF527" i="9"/>
  <c r="AE527" i="9"/>
  <c r="BM526" i="9"/>
  <c r="AG526" i="9"/>
  <c r="AF526" i="9"/>
  <c r="AE526" i="9"/>
  <c r="BM523" i="9"/>
  <c r="AG523" i="9"/>
  <c r="AF523" i="9"/>
  <c r="AE523" i="9"/>
  <c r="BM522" i="9"/>
  <c r="AG522" i="9"/>
  <c r="AF522" i="9"/>
  <c r="AE522" i="9"/>
  <c r="BM525" i="9"/>
  <c r="AG525" i="9"/>
  <c r="AF525" i="9"/>
  <c r="AE525" i="9"/>
  <c r="BM524" i="9"/>
  <c r="AG524" i="9"/>
  <c r="AF524" i="9"/>
  <c r="AE524" i="9"/>
  <c r="BM521" i="9"/>
  <c r="AG521" i="9"/>
  <c r="AF521" i="9"/>
  <c r="AE521" i="9"/>
  <c r="BM520" i="9"/>
  <c r="AG520" i="9"/>
  <c r="AF520" i="9"/>
  <c r="AE520" i="9"/>
  <c r="BM517" i="9"/>
  <c r="AG517" i="9"/>
  <c r="AF517" i="9"/>
  <c r="AE517" i="9"/>
  <c r="BM516" i="9"/>
  <c r="AG516" i="9"/>
  <c r="AF516" i="9"/>
  <c r="AE516" i="9"/>
  <c r="BM519" i="9"/>
  <c r="AG519" i="9"/>
  <c r="AF519" i="9"/>
  <c r="AE519" i="9"/>
  <c r="BM518" i="9"/>
  <c r="AG518" i="9"/>
  <c r="AF518" i="9"/>
  <c r="AE518" i="9"/>
  <c r="BM515" i="9"/>
  <c r="AG515" i="9"/>
  <c r="AF515" i="9"/>
  <c r="AE515" i="9"/>
  <c r="BM514" i="9"/>
  <c r="AG514" i="9"/>
  <c r="AF514" i="9"/>
  <c r="AE514" i="9"/>
  <c r="BM511" i="9"/>
  <c r="AG511" i="9"/>
  <c r="AF511" i="9"/>
  <c r="AE511" i="9"/>
  <c r="BM510" i="9"/>
  <c r="AG510" i="9"/>
  <c r="AF510" i="9"/>
  <c r="AE510" i="9"/>
  <c r="BM513" i="9"/>
  <c r="AG513" i="9"/>
  <c r="AF513" i="9"/>
  <c r="AE513" i="9"/>
  <c r="BM512" i="9"/>
  <c r="AG512" i="9"/>
  <c r="AF512" i="9"/>
  <c r="AE512" i="9"/>
  <c r="BM509" i="9"/>
  <c r="AG509" i="9"/>
  <c r="AF509" i="9"/>
  <c r="AE509" i="9"/>
  <c r="BM508" i="9"/>
  <c r="AG508" i="9"/>
  <c r="AF508" i="9"/>
  <c r="AE508" i="9"/>
  <c r="BM507" i="9"/>
  <c r="AG507" i="9"/>
  <c r="AF507" i="9"/>
  <c r="AE507" i="9"/>
  <c r="BM506" i="9"/>
  <c r="AG506" i="9"/>
  <c r="AF506" i="9"/>
  <c r="AE506" i="9"/>
  <c r="BM505" i="9"/>
  <c r="AG505" i="9"/>
  <c r="AF505" i="9"/>
  <c r="AE505" i="9"/>
  <c r="BM504" i="9"/>
  <c r="AG504" i="9"/>
  <c r="AF504" i="9"/>
  <c r="AE504" i="9"/>
  <c r="BM503" i="9"/>
  <c r="AG503" i="9"/>
  <c r="AF503" i="9"/>
  <c r="AE503" i="9"/>
  <c r="BM502" i="9"/>
  <c r="AG502" i="9"/>
  <c r="AF502" i="9"/>
  <c r="AE502" i="9"/>
  <c r="BM501" i="9"/>
  <c r="AG501" i="9"/>
  <c r="AF501" i="9"/>
  <c r="AE501" i="9"/>
  <c r="BM500" i="9"/>
  <c r="AG500" i="9"/>
  <c r="AF500" i="9"/>
  <c r="AE500" i="9"/>
  <c r="BM499" i="9"/>
  <c r="AG499" i="9"/>
  <c r="AF499" i="9"/>
  <c r="AE499" i="9"/>
  <c r="BM498" i="9"/>
  <c r="AG498" i="9"/>
  <c r="AF498" i="9"/>
  <c r="AE498" i="9"/>
  <c r="BM495" i="9"/>
  <c r="AG495" i="9"/>
  <c r="AF495" i="9"/>
  <c r="AE495" i="9"/>
  <c r="BM494" i="9"/>
  <c r="AG494" i="9"/>
  <c r="AF494" i="9"/>
  <c r="AE494" i="9"/>
  <c r="BM497" i="9"/>
  <c r="AG497" i="9"/>
  <c r="AF497" i="9"/>
  <c r="AE497" i="9"/>
  <c r="BM496" i="9"/>
  <c r="AG496" i="9"/>
  <c r="AF496" i="9"/>
  <c r="AE496" i="9"/>
  <c r="BM491" i="9"/>
  <c r="AG491" i="9"/>
  <c r="AF491" i="9"/>
  <c r="AE491" i="9"/>
  <c r="BM490" i="9"/>
  <c r="AG490" i="9"/>
  <c r="AF490" i="9"/>
  <c r="AE490" i="9"/>
  <c r="BM493" i="9"/>
  <c r="AG493" i="9"/>
  <c r="AF493" i="9"/>
  <c r="AE493" i="9"/>
  <c r="BM492" i="9"/>
  <c r="AG492" i="9"/>
  <c r="AF492" i="9"/>
  <c r="AE492" i="9"/>
  <c r="BM489" i="9"/>
  <c r="AG489" i="9"/>
  <c r="AF489" i="9"/>
  <c r="AE489" i="9"/>
  <c r="BM488" i="9"/>
  <c r="AG488" i="9"/>
  <c r="AF488" i="9"/>
  <c r="AE488" i="9"/>
  <c r="BM487" i="9"/>
  <c r="AG487" i="9"/>
  <c r="AF487" i="9"/>
  <c r="AE487" i="9"/>
  <c r="BM486" i="9"/>
  <c r="AG486" i="9"/>
  <c r="AF486" i="9"/>
  <c r="AE486" i="9"/>
  <c r="BM485" i="9"/>
  <c r="AG485" i="9"/>
  <c r="AF485" i="9"/>
  <c r="AE485" i="9"/>
  <c r="BM484" i="9"/>
  <c r="AG484" i="9"/>
  <c r="AF484" i="9"/>
  <c r="AE484" i="9"/>
  <c r="BM483" i="9"/>
  <c r="AG483" i="9"/>
  <c r="AF483" i="9"/>
  <c r="AE483" i="9"/>
  <c r="BM482" i="9"/>
  <c r="AG482" i="9"/>
  <c r="AF482" i="9"/>
  <c r="AE482" i="9"/>
  <c r="BM481" i="9"/>
  <c r="AG481" i="9"/>
  <c r="AF481" i="9"/>
  <c r="AE481" i="9"/>
  <c r="BM480" i="9"/>
  <c r="AG480" i="9"/>
  <c r="AF480" i="9"/>
  <c r="AE480" i="9"/>
  <c r="BM479" i="9"/>
  <c r="AG479" i="9"/>
  <c r="AF479" i="9"/>
  <c r="AE479" i="9"/>
  <c r="BM478" i="9"/>
  <c r="AG478" i="9"/>
  <c r="AF478" i="9"/>
  <c r="AE478" i="9"/>
  <c r="BM477" i="9"/>
  <c r="AG477" i="9"/>
  <c r="AF477" i="9"/>
  <c r="AE477" i="9"/>
  <c r="BM476" i="9"/>
  <c r="AG476" i="9"/>
  <c r="AF476" i="9"/>
  <c r="AE476" i="9"/>
  <c r="BM475" i="9"/>
  <c r="AG475" i="9"/>
  <c r="AF475" i="9"/>
  <c r="AE475" i="9"/>
  <c r="BM474" i="9"/>
  <c r="AG474" i="9"/>
  <c r="AF474" i="9"/>
  <c r="AE474" i="9"/>
  <c r="BM473" i="9"/>
  <c r="AG473" i="9"/>
  <c r="AF473" i="9"/>
  <c r="AE473" i="9"/>
  <c r="BM472" i="9"/>
  <c r="AG472" i="9"/>
  <c r="AF472" i="9"/>
  <c r="AE472" i="9"/>
  <c r="BM469" i="9"/>
  <c r="AG469" i="9"/>
  <c r="AF469" i="9"/>
  <c r="AE469" i="9"/>
  <c r="BM468" i="9"/>
  <c r="AG468" i="9"/>
  <c r="AF468" i="9"/>
  <c r="AE468" i="9"/>
  <c r="BM471" i="9"/>
  <c r="AG471" i="9"/>
  <c r="AF471" i="9"/>
  <c r="AE471" i="9"/>
  <c r="BM470" i="9"/>
  <c r="AG470" i="9"/>
  <c r="AF470" i="9"/>
  <c r="AE470" i="9"/>
  <c r="BM467" i="9"/>
  <c r="AG467" i="9"/>
  <c r="AF467" i="9"/>
  <c r="AE467" i="9"/>
  <c r="BM466" i="9"/>
  <c r="AG466" i="9"/>
  <c r="AF466" i="9"/>
  <c r="AE466" i="9"/>
  <c r="BM465" i="9"/>
  <c r="AG465" i="9"/>
  <c r="AF465" i="9"/>
  <c r="AE465" i="9"/>
  <c r="BM464" i="9"/>
  <c r="AG464" i="9"/>
  <c r="AF464" i="9"/>
  <c r="AE464" i="9"/>
  <c r="BM461" i="9"/>
  <c r="AG461" i="9"/>
  <c r="AF461" i="9"/>
  <c r="AE461" i="9"/>
  <c r="BM460" i="9"/>
  <c r="AG460" i="9"/>
  <c r="AF460" i="9"/>
  <c r="AE460" i="9"/>
  <c r="BM463" i="9"/>
  <c r="AG463" i="9"/>
  <c r="AF463" i="9"/>
  <c r="AE463" i="9"/>
  <c r="BM462" i="9"/>
  <c r="AG462" i="9"/>
  <c r="AF462" i="9"/>
  <c r="AE462" i="9"/>
  <c r="BM459" i="9"/>
  <c r="AG459" i="9"/>
  <c r="AF459" i="9"/>
  <c r="AE459" i="9"/>
  <c r="BM458" i="9"/>
  <c r="AG458" i="9"/>
  <c r="AF458" i="9"/>
  <c r="AE458" i="9"/>
  <c r="BM457" i="9"/>
  <c r="AG457" i="9"/>
  <c r="AF457" i="9"/>
  <c r="AE457" i="9"/>
  <c r="BM456" i="9"/>
  <c r="AG456" i="9"/>
  <c r="AF456" i="9"/>
  <c r="AE456" i="9"/>
  <c r="BM453" i="9"/>
  <c r="AG453" i="9"/>
  <c r="AF453" i="9"/>
  <c r="AE453" i="9"/>
  <c r="BM452" i="9"/>
  <c r="AG452" i="9"/>
  <c r="AF452" i="9"/>
  <c r="AE452" i="9"/>
  <c r="BM455" i="9"/>
  <c r="AG455" i="9"/>
  <c r="AF455" i="9"/>
  <c r="AE455" i="9"/>
  <c r="BM454" i="9"/>
  <c r="AG454" i="9"/>
  <c r="AF454" i="9"/>
  <c r="AE454" i="9"/>
  <c r="BM451" i="9"/>
  <c r="AG451" i="9"/>
  <c r="AF451" i="9"/>
  <c r="AE451" i="9"/>
  <c r="BM450" i="9"/>
  <c r="AG450" i="9"/>
  <c r="AF450" i="9"/>
  <c r="AE450" i="9"/>
  <c r="BM449" i="9"/>
  <c r="AG449" i="9"/>
  <c r="AF449" i="9"/>
  <c r="AE449" i="9"/>
  <c r="BM448" i="9"/>
  <c r="AG448" i="9"/>
  <c r="AF448" i="9"/>
  <c r="AE448" i="9"/>
  <c r="BM447" i="9"/>
  <c r="AG447" i="9"/>
  <c r="AF447" i="9"/>
  <c r="AE447" i="9"/>
  <c r="BM446" i="9"/>
  <c r="AG446" i="9"/>
  <c r="AF446" i="9"/>
  <c r="AE446" i="9"/>
  <c r="BM445" i="9"/>
  <c r="AG445" i="9"/>
  <c r="AF445" i="9"/>
  <c r="AE445" i="9"/>
  <c r="BM444" i="9"/>
  <c r="AG444" i="9"/>
  <c r="AF444" i="9"/>
  <c r="AE444" i="9"/>
  <c r="BM441" i="9"/>
  <c r="AG441" i="9"/>
  <c r="AF441" i="9"/>
  <c r="AE441" i="9"/>
  <c r="BM440" i="9"/>
  <c r="AG440" i="9"/>
  <c r="AF440" i="9"/>
  <c r="AE440" i="9"/>
  <c r="BM443" i="9"/>
  <c r="AG443" i="9"/>
  <c r="AF443" i="9"/>
  <c r="AE443" i="9"/>
  <c r="BM442" i="9"/>
  <c r="AG442" i="9"/>
  <c r="AF442" i="9"/>
  <c r="AE442" i="9"/>
  <c r="BM439" i="9"/>
  <c r="AG439" i="9"/>
  <c r="AF439" i="9"/>
  <c r="AE439" i="9"/>
  <c r="BM438" i="9"/>
  <c r="AG438" i="9"/>
  <c r="AF438" i="9"/>
  <c r="AE438" i="9"/>
  <c r="BM435" i="9"/>
  <c r="AG435" i="9"/>
  <c r="AF435" i="9"/>
  <c r="AE435" i="9"/>
  <c r="BM434" i="9"/>
  <c r="AG434" i="9"/>
  <c r="AF434" i="9"/>
  <c r="AE434" i="9"/>
  <c r="BM437" i="9"/>
  <c r="AG437" i="9"/>
  <c r="AF437" i="9"/>
  <c r="AE437" i="9"/>
  <c r="BM436" i="9"/>
  <c r="AG436" i="9"/>
  <c r="AF436" i="9"/>
  <c r="AE436" i="9"/>
  <c r="BM433" i="9"/>
  <c r="AG433" i="9"/>
  <c r="AF433" i="9"/>
  <c r="AE433" i="9"/>
  <c r="BM432" i="9"/>
  <c r="AG432" i="9"/>
  <c r="AF432" i="9"/>
  <c r="AE432" i="9"/>
  <c r="BM429" i="9"/>
  <c r="AG429" i="9"/>
  <c r="AF429" i="9"/>
  <c r="AE429" i="9"/>
  <c r="BM428" i="9"/>
  <c r="AG428" i="9"/>
  <c r="AF428" i="9"/>
  <c r="AE428" i="9"/>
  <c r="BM431" i="9"/>
  <c r="AG431" i="9"/>
  <c r="AF431" i="9"/>
  <c r="AE431" i="9"/>
  <c r="BM430" i="9"/>
  <c r="AG430" i="9"/>
  <c r="AF430" i="9"/>
  <c r="AE430" i="9"/>
  <c r="BM427" i="9"/>
  <c r="AG427" i="9"/>
  <c r="AF427" i="9"/>
  <c r="AE427" i="9"/>
  <c r="BM426" i="9"/>
  <c r="AG426" i="9"/>
  <c r="AF426" i="9"/>
  <c r="AE426" i="9"/>
  <c r="BM425" i="9"/>
  <c r="AG425" i="9"/>
  <c r="AF425" i="9"/>
  <c r="AE425" i="9"/>
  <c r="BM424" i="9"/>
  <c r="AG424" i="9"/>
  <c r="AF424" i="9"/>
  <c r="AE424" i="9"/>
  <c r="BM421" i="9"/>
  <c r="AG421" i="9"/>
  <c r="AF421" i="9"/>
  <c r="AE421" i="9"/>
  <c r="BM420" i="9"/>
  <c r="AG420" i="9"/>
  <c r="AF420" i="9"/>
  <c r="AE420" i="9"/>
  <c r="BM423" i="9"/>
  <c r="AG423" i="9"/>
  <c r="AF423" i="9"/>
  <c r="AE423" i="9"/>
  <c r="BM422" i="9"/>
  <c r="AG422" i="9"/>
  <c r="AF422" i="9"/>
  <c r="AE422" i="9"/>
  <c r="BM419" i="9"/>
  <c r="AG419" i="9"/>
  <c r="AF419" i="9"/>
  <c r="AE419" i="9"/>
  <c r="BM418" i="9"/>
  <c r="AG418" i="9"/>
  <c r="AF418" i="9"/>
  <c r="AE418" i="9"/>
  <c r="BM415" i="9"/>
  <c r="AG415" i="9"/>
  <c r="AF415" i="9"/>
  <c r="AE415" i="9"/>
  <c r="BM414" i="9"/>
  <c r="AG414" i="9"/>
  <c r="AF414" i="9"/>
  <c r="AE414" i="9"/>
  <c r="BM417" i="9"/>
  <c r="AG417" i="9"/>
  <c r="AF417" i="9"/>
  <c r="AE417" i="9"/>
  <c r="BM416" i="9"/>
  <c r="AG416" i="9"/>
  <c r="AF416" i="9"/>
  <c r="AE416" i="9"/>
  <c r="BM413" i="9"/>
  <c r="AG413" i="9"/>
  <c r="AF413" i="9"/>
  <c r="AE413" i="9"/>
  <c r="BM412" i="9"/>
  <c r="AG412" i="9"/>
  <c r="AF412" i="9"/>
  <c r="AE412" i="9"/>
  <c r="BM409" i="9"/>
  <c r="AG409" i="9"/>
  <c r="AF409" i="9"/>
  <c r="AE409" i="9"/>
  <c r="BM408" i="9"/>
  <c r="AG408" i="9"/>
  <c r="AF408" i="9"/>
  <c r="AE408" i="9"/>
  <c r="BM411" i="9"/>
  <c r="AG411" i="9"/>
  <c r="AF411" i="9"/>
  <c r="AE411" i="9"/>
  <c r="BM410" i="9"/>
  <c r="AG410" i="9"/>
  <c r="AF410" i="9"/>
  <c r="AE410" i="9"/>
  <c r="BM407" i="9"/>
  <c r="AG407" i="9"/>
  <c r="AF407" i="9"/>
  <c r="AE407" i="9"/>
  <c r="BM406" i="9"/>
  <c r="AG406" i="9"/>
  <c r="AF406" i="9"/>
  <c r="AE406" i="9"/>
  <c r="BM403" i="9"/>
  <c r="AG403" i="9"/>
  <c r="AF403" i="9"/>
  <c r="AE403" i="9"/>
  <c r="BM402" i="9"/>
  <c r="AG402" i="9"/>
  <c r="AF402" i="9"/>
  <c r="AE402" i="9"/>
  <c r="BM405" i="9"/>
  <c r="AG405" i="9"/>
  <c r="AF405" i="9"/>
  <c r="AE405" i="9"/>
  <c r="BM404" i="9"/>
  <c r="AG404" i="9"/>
  <c r="AF404" i="9"/>
  <c r="AE404" i="9"/>
  <c r="BM401" i="9"/>
  <c r="AG401" i="9"/>
  <c r="AF401" i="9"/>
  <c r="AE401" i="9"/>
  <c r="BM400" i="9"/>
  <c r="AG400" i="9"/>
  <c r="AF400" i="9"/>
  <c r="AE400" i="9"/>
  <c r="BM399" i="9"/>
  <c r="AG399" i="9"/>
  <c r="AF399" i="9"/>
  <c r="AE399" i="9"/>
  <c r="BM398" i="9"/>
  <c r="AG398" i="9"/>
  <c r="AF398" i="9"/>
  <c r="AE398" i="9"/>
  <c r="BM397" i="9"/>
  <c r="AG397" i="9"/>
  <c r="AF397" i="9"/>
  <c r="AE397" i="9"/>
  <c r="BM396" i="9"/>
  <c r="AG396" i="9"/>
  <c r="AF396" i="9"/>
  <c r="AE396" i="9"/>
  <c r="BM395" i="9"/>
  <c r="AG395" i="9"/>
  <c r="AF395" i="9"/>
  <c r="AE395" i="9"/>
  <c r="BM394" i="9"/>
  <c r="AG394" i="9"/>
  <c r="AF394" i="9"/>
  <c r="AE394" i="9"/>
  <c r="BM393" i="9"/>
  <c r="AG393" i="9"/>
  <c r="AF393" i="9"/>
  <c r="AE393" i="9"/>
  <c r="BM392" i="9"/>
  <c r="AG392" i="9"/>
  <c r="AF392" i="9"/>
  <c r="AE392" i="9"/>
  <c r="BM391" i="9"/>
  <c r="AG391" i="9"/>
  <c r="AF391" i="9"/>
  <c r="AE391" i="9"/>
  <c r="BM390" i="9"/>
  <c r="AG390" i="9"/>
  <c r="AF390" i="9"/>
  <c r="AE390" i="9"/>
  <c r="BM389" i="9"/>
  <c r="AG389" i="9"/>
  <c r="AF389" i="9"/>
  <c r="AE389" i="9"/>
  <c r="BM388" i="9"/>
  <c r="AG388" i="9"/>
  <c r="AF388" i="9"/>
  <c r="AE388" i="9"/>
  <c r="BM387" i="9"/>
  <c r="AG387" i="9"/>
  <c r="AF387" i="9"/>
  <c r="AE387" i="9"/>
  <c r="BM386" i="9"/>
  <c r="AG386" i="9"/>
  <c r="AF386" i="9"/>
  <c r="AE386" i="9"/>
  <c r="BM385" i="9"/>
  <c r="AG385" i="9"/>
  <c r="AF385" i="9"/>
  <c r="AE385" i="9"/>
  <c r="BM384" i="9"/>
  <c r="AG384" i="9"/>
  <c r="AF384" i="9"/>
  <c r="AE384" i="9"/>
  <c r="BM383" i="9"/>
  <c r="AG383" i="9"/>
  <c r="AF383" i="9"/>
  <c r="AE383" i="9"/>
  <c r="BM382" i="9"/>
  <c r="AG382" i="9"/>
  <c r="AF382" i="9"/>
  <c r="AE382" i="9"/>
  <c r="BM381" i="9"/>
  <c r="AG381" i="9"/>
  <c r="AF381" i="9"/>
  <c r="AE381" i="9"/>
  <c r="BM380" i="9"/>
  <c r="AG380" i="9"/>
  <c r="AF380" i="9"/>
  <c r="AE380" i="9"/>
  <c r="BM379" i="9"/>
  <c r="AG379" i="9"/>
  <c r="AF379" i="9"/>
  <c r="AE379" i="9"/>
  <c r="BM378" i="9"/>
  <c r="AG378" i="9"/>
  <c r="AF378" i="9"/>
  <c r="AE378" i="9"/>
  <c r="BM377" i="9"/>
  <c r="AG377" i="9"/>
  <c r="AF377" i="9"/>
  <c r="AE377" i="9"/>
  <c r="BM376" i="9"/>
  <c r="AG376" i="9"/>
  <c r="AF376" i="9"/>
  <c r="AE376" i="9"/>
  <c r="BM375" i="9"/>
  <c r="AG375" i="9"/>
  <c r="AF375" i="9"/>
  <c r="AE375" i="9"/>
  <c r="BM374" i="9"/>
  <c r="AG374" i="9"/>
  <c r="AF374" i="9"/>
  <c r="AE374" i="9"/>
  <c r="BM373" i="9"/>
  <c r="AG373" i="9"/>
  <c r="AF373" i="9"/>
  <c r="AE373" i="9"/>
  <c r="BM372" i="9"/>
  <c r="AG372" i="9"/>
  <c r="AF372" i="9"/>
  <c r="AE372" i="9"/>
  <c r="BM371" i="9"/>
  <c r="AG371" i="9"/>
  <c r="AF371" i="9"/>
  <c r="AE371" i="9"/>
  <c r="BM370" i="9"/>
  <c r="AG370" i="9"/>
  <c r="AF370" i="9"/>
  <c r="AE370" i="9"/>
  <c r="BM369" i="9"/>
  <c r="AG369" i="9"/>
  <c r="AF369" i="9"/>
  <c r="AE369" i="9"/>
  <c r="BM368" i="9"/>
  <c r="AG368" i="9"/>
  <c r="AF368" i="9"/>
  <c r="AE368" i="9"/>
  <c r="BM367" i="9"/>
  <c r="AG367" i="9"/>
  <c r="AF367" i="9"/>
  <c r="AE367" i="9"/>
  <c r="BM366" i="9"/>
  <c r="AG366" i="9"/>
  <c r="AF366" i="9"/>
  <c r="AE366" i="9"/>
  <c r="BM365" i="9"/>
  <c r="AG365" i="9"/>
  <c r="AF365" i="9"/>
  <c r="AE365" i="9"/>
  <c r="BM364" i="9"/>
  <c r="AG364" i="9"/>
  <c r="AF364" i="9"/>
  <c r="AE364" i="9"/>
  <c r="BM363" i="9"/>
  <c r="AG363" i="9"/>
  <c r="AF363" i="9"/>
  <c r="AE363" i="9"/>
  <c r="BM362" i="9"/>
  <c r="AG362" i="9"/>
  <c r="AF362" i="9"/>
  <c r="AE362" i="9"/>
  <c r="BM361" i="9"/>
  <c r="AG361" i="9"/>
  <c r="AF361" i="9"/>
  <c r="AE361" i="9"/>
  <c r="BM360" i="9"/>
  <c r="AG360" i="9"/>
  <c r="AF360" i="9"/>
  <c r="AE360" i="9"/>
  <c r="BM359" i="9"/>
  <c r="AG359" i="9"/>
  <c r="AF359" i="9"/>
  <c r="AE359" i="9"/>
  <c r="BM358" i="9"/>
  <c r="AG358" i="9"/>
  <c r="AF358" i="9"/>
  <c r="AE358" i="9"/>
  <c r="BM355" i="9"/>
  <c r="AG355" i="9"/>
  <c r="AF355" i="9"/>
  <c r="AE355" i="9"/>
  <c r="BM354" i="9"/>
  <c r="AG354" i="9"/>
  <c r="AF354" i="9"/>
  <c r="AE354" i="9"/>
  <c r="BM357" i="9"/>
  <c r="AG357" i="9"/>
  <c r="AF357" i="9"/>
  <c r="AE357" i="9"/>
  <c r="BM356" i="9"/>
  <c r="AG356" i="9"/>
  <c r="AF356" i="9"/>
  <c r="AE356" i="9"/>
  <c r="BM353" i="9"/>
  <c r="AG353" i="9"/>
  <c r="AF353" i="9"/>
  <c r="AE353" i="9"/>
  <c r="BM352" i="9"/>
  <c r="AG352" i="9"/>
  <c r="AF352" i="9"/>
  <c r="AE352" i="9"/>
  <c r="BM349" i="9"/>
  <c r="AG349" i="9"/>
  <c r="AF349" i="9"/>
  <c r="AE349" i="9"/>
  <c r="BM348" i="9"/>
  <c r="AG348" i="9"/>
  <c r="AF348" i="9"/>
  <c r="AE348" i="9"/>
  <c r="BM351" i="9"/>
  <c r="AG351" i="9"/>
  <c r="AF351" i="9"/>
  <c r="AE351" i="9"/>
  <c r="BM350" i="9"/>
  <c r="AG350" i="9"/>
  <c r="AF350" i="9"/>
  <c r="AE350" i="9"/>
  <c r="BM347" i="9"/>
  <c r="AG347" i="9"/>
  <c r="AF347" i="9"/>
  <c r="AE347" i="9"/>
  <c r="BM346" i="9"/>
  <c r="AG346" i="9"/>
  <c r="AF346" i="9"/>
  <c r="AE346" i="9"/>
  <c r="BM343" i="9"/>
  <c r="AG343" i="9"/>
  <c r="AF343" i="9"/>
  <c r="AE343" i="9"/>
  <c r="BM342" i="9"/>
  <c r="AG342" i="9"/>
  <c r="AF342" i="9"/>
  <c r="AE342" i="9"/>
  <c r="BM345" i="9"/>
  <c r="AG345" i="9"/>
  <c r="AF345" i="9"/>
  <c r="AE345" i="9"/>
  <c r="BM344" i="9"/>
  <c r="AG344" i="9"/>
  <c r="AF344" i="9"/>
  <c r="AE344" i="9"/>
  <c r="BM341" i="9"/>
  <c r="AG341" i="9"/>
  <c r="AF341" i="9"/>
  <c r="AE341" i="9"/>
  <c r="BM340" i="9"/>
  <c r="AG340" i="9"/>
  <c r="AF340" i="9"/>
  <c r="AE340" i="9"/>
  <c r="BM337" i="9"/>
  <c r="AG337" i="9"/>
  <c r="AF337" i="9"/>
  <c r="AE337" i="9"/>
  <c r="BM336" i="9"/>
  <c r="AG336" i="9"/>
  <c r="AF336" i="9"/>
  <c r="AE336" i="9"/>
  <c r="BM339" i="9"/>
  <c r="AG339" i="9"/>
  <c r="AF339" i="9"/>
  <c r="AE339" i="9"/>
  <c r="BM338" i="9"/>
  <c r="AG338" i="9"/>
  <c r="AF338" i="9"/>
  <c r="AE338" i="9"/>
  <c r="BM335" i="9"/>
  <c r="AG335" i="9"/>
  <c r="AF335" i="9"/>
  <c r="AE335" i="9"/>
  <c r="BM334" i="9"/>
  <c r="AG334" i="9"/>
  <c r="AF334" i="9"/>
  <c r="AE334" i="9"/>
  <c r="BM333" i="9"/>
  <c r="AG333" i="9"/>
  <c r="AF333" i="9"/>
  <c r="AE333" i="9"/>
  <c r="BM332" i="9"/>
  <c r="AG332" i="9"/>
  <c r="AF332" i="9"/>
  <c r="AE332" i="9"/>
  <c r="BM331" i="9"/>
  <c r="AG331" i="9"/>
  <c r="AF331" i="9"/>
  <c r="AE331" i="9"/>
  <c r="BM330" i="9"/>
  <c r="AG330" i="9"/>
  <c r="AF330" i="9"/>
  <c r="AE330" i="9"/>
  <c r="BM329" i="9"/>
  <c r="AG329" i="9"/>
  <c r="AF329" i="9"/>
  <c r="AE329" i="9"/>
  <c r="BM328" i="9"/>
  <c r="AG328" i="9"/>
  <c r="AF328" i="9"/>
  <c r="AE328" i="9"/>
  <c r="BM327" i="9"/>
  <c r="AG327" i="9"/>
  <c r="AF327" i="9"/>
  <c r="AE327" i="9"/>
  <c r="BM326" i="9"/>
  <c r="AG326" i="9"/>
  <c r="AF326" i="9"/>
  <c r="AE326" i="9"/>
  <c r="BM323" i="9"/>
  <c r="AG323" i="9"/>
  <c r="AF323" i="9"/>
  <c r="AE323" i="9"/>
  <c r="BM322" i="9"/>
  <c r="AG322" i="9"/>
  <c r="AF322" i="9"/>
  <c r="AE322" i="9"/>
  <c r="BM325" i="9"/>
  <c r="AG325" i="9"/>
  <c r="AF325" i="9"/>
  <c r="AE325" i="9"/>
  <c r="BM324" i="9"/>
  <c r="AG324" i="9"/>
  <c r="AF324" i="9"/>
  <c r="AE324" i="9"/>
  <c r="BM321" i="9"/>
  <c r="AG321" i="9"/>
  <c r="AF321" i="9"/>
  <c r="AE321" i="9"/>
  <c r="BM320" i="9"/>
  <c r="AG320" i="9"/>
  <c r="AF320" i="9"/>
  <c r="AE320" i="9"/>
  <c r="BM317" i="9"/>
  <c r="AG317" i="9"/>
  <c r="AF317" i="9"/>
  <c r="AE317" i="9"/>
  <c r="BM316" i="9"/>
  <c r="AG316" i="9"/>
  <c r="AF316" i="9"/>
  <c r="AE316" i="9"/>
  <c r="BM319" i="9"/>
  <c r="AG319" i="9"/>
  <c r="AF319" i="9"/>
  <c r="AE319" i="9"/>
  <c r="BM318" i="9"/>
  <c r="AG318" i="9"/>
  <c r="AF318" i="9"/>
  <c r="AE318" i="9"/>
  <c r="BM315" i="9"/>
  <c r="AG315" i="9"/>
  <c r="AF315" i="9"/>
  <c r="AE315" i="9"/>
  <c r="BM314" i="9"/>
  <c r="AG314" i="9"/>
  <c r="AF314" i="9"/>
  <c r="AE314" i="9"/>
  <c r="BM313" i="9"/>
  <c r="AG313" i="9"/>
  <c r="AF313" i="9"/>
  <c r="AE313" i="9"/>
  <c r="BM312" i="9"/>
  <c r="AG312" i="9"/>
  <c r="AF312" i="9"/>
  <c r="AE312" i="9"/>
  <c r="BM309" i="9"/>
  <c r="AG309" i="9"/>
  <c r="AF309" i="9"/>
  <c r="AE309" i="9"/>
  <c r="BM308" i="9"/>
  <c r="AG308" i="9"/>
  <c r="AF308" i="9"/>
  <c r="AE308" i="9"/>
  <c r="BM311" i="9"/>
  <c r="AG311" i="9"/>
  <c r="AF311" i="9"/>
  <c r="AE311" i="9"/>
  <c r="BM310" i="9"/>
  <c r="AG310" i="9"/>
  <c r="AF310" i="9"/>
  <c r="AE310" i="9"/>
  <c r="BM307" i="9"/>
  <c r="AG307" i="9"/>
  <c r="AF307" i="9"/>
  <c r="AE307" i="9"/>
  <c r="BM306" i="9"/>
  <c r="AG306" i="9"/>
  <c r="AF306" i="9"/>
  <c r="AE306" i="9"/>
  <c r="BM305" i="9"/>
  <c r="AG305" i="9"/>
  <c r="AF305" i="9"/>
  <c r="AE305" i="9"/>
  <c r="BM304" i="9"/>
  <c r="AG304" i="9"/>
  <c r="AF304" i="9"/>
  <c r="AE304" i="9"/>
  <c r="BM301" i="9"/>
  <c r="AG301" i="9"/>
  <c r="AF301" i="9"/>
  <c r="AE301" i="9"/>
  <c r="BM300" i="9"/>
  <c r="AG300" i="9"/>
  <c r="AF300" i="9"/>
  <c r="AE300" i="9"/>
  <c r="BM303" i="9"/>
  <c r="AG303" i="9"/>
  <c r="AF303" i="9"/>
  <c r="AE303" i="9"/>
  <c r="BM302" i="9"/>
  <c r="AG302" i="9"/>
  <c r="AF302" i="9"/>
  <c r="AE302" i="9"/>
  <c r="BM299" i="9"/>
  <c r="AG299" i="9"/>
  <c r="AF299" i="9"/>
  <c r="AE299" i="9"/>
  <c r="BM298" i="9"/>
  <c r="AG298" i="9"/>
  <c r="AF298" i="9"/>
  <c r="AE298" i="9"/>
  <c r="BM297" i="9"/>
  <c r="AG297" i="9"/>
  <c r="AF297" i="9"/>
  <c r="AE297" i="9"/>
  <c r="BM296" i="9"/>
  <c r="AG296" i="9"/>
  <c r="AF296" i="9"/>
  <c r="AE296" i="9"/>
  <c r="BM293" i="9"/>
  <c r="AG293" i="9"/>
  <c r="AF293" i="9"/>
  <c r="AE293" i="9"/>
  <c r="BM292" i="9"/>
  <c r="AG292" i="9"/>
  <c r="AF292" i="9"/>
  <c r="AE292" i="9"/>
  <c r="BM295" i="9"/>
  <c r="AG295" i="9"/>
  <c r="AF295" i="9"/>
  <c r="AE295" i="9"/>
  <c r="BM294" i="9"/>
  <c r="AG294" i="9"/>
  <c r="AF294" i="9"/>
  <c r="AE294" i="9"/>
  <c r="BM291" i="9"/>
  <c r="AG291" i="9"/>
  <c r="AF291" i="9"/>
  <c r="AE291" i="9"/>
  <c r="BM290" i="9"/>
  <c r="AG290" i="9"/>
  <c r="AF290" i="9"/>
  <c r="AE290" i="9"/>
  <c r="BM289" i="9"/>
  <c r="AG289" i="9"/>
  <c r="AF289" i="9"/>
  <c r="AE289" i="9"/>
  <c r="BM288" i="9"/>
  <c r="AG288" i="9"/>
  <c r="AF288" i="9"/>
  <c r="AE288" i="9"/>
  <c r="BM287" i="9"/>
  <c r="AG287" i="9"/>
  <c r="AF287" i="9"/>
  <c r="AE287" i="9"/>
  <c r="BM286" i="9"/>
  <c r="AG286" i="9"/>
  <c r="AF286" i="9"/>
  <c r="AE286" i="9"/>
  <c r="BM285" i="9"/>
  <c r="AG285" i="9"/>
  <c r="AF285" i="9"/>
  <c r="AE285" i="9"/>
  <c r="BM284" i="9"/>
  <c r="AG284" i="9"/>
  <c r="AF284" i="9"/>
  <c r="AE284" i="9"/>
  <c r="BM281" i="9"/>
  <c r="AG281" i="9"/>
  <c r="AF281" i="9"/>
  <c r="AE281" i="9"/>
  <c r="BM280" i="9"/>
  <c r="AG280" i="9"/>
  <c r="AF280" i="9"/>
  <c r="AE280" i="9"/>
  <c r="BM283" i="9"/>
  <c r="AG283" i="9"/>
  <c r="AF283" i="9"/>
  <c r="AE283" i="9"/>
  <c r="BM282" i="9"/>
  <c r="AG282" i="9"/>
  <c r="AF282" i="9"/>
  <c r="AE282" i="9"/>
  <c r="BM279" i="9"/>
  <c r="AG279" i="9"/>
  <c r="AF279" i="9"/>
  <c r="AE279" i="9"/>
  <c r="BM278" i="9"/>
  <c r="AG278" i="9"/>
  <c r="AF278" i="9"/>
  <c r="AE278" i="9"/>
  <c r="BM277" i="9"/>
  <c r="AG277" i="9"/>
  <c r="AF277" i="9"/>
  <c r="AE277" i="9"/>
  <c r="BM276" i="9"/>
  <c r="AG276" i="9"/>
  <c r="AF276" i="9"/>
  <c r="AE276" i="9"/>
  <c r="BM275" i="9"/>
  <c r="AG275" i="9"/>
  <c r="AF275" i="9"/>
  <c r="AE275" i="9"/>
  <c r="BM274" i="9"/>
  <c r="AG274" i="9"/>
  <c r="AF274" i="9"/>
  <c r="AE274" i="9"/>
  <c r="BM273" i="9"/>
  <c r="AG273" i="9"/>
  <c r="AF273" i="9"/>
  <c r="AE273" i="9"/>
  <c r="BM272" i="9"/>
  <c r="AG272" i="9"/>
  <c r="AF272" i="9"/>
  <c r="AE272" i="9"/>
  <c r="BM271" i="9"/>
  <c r="AG271" i="9"/>
  <c r="AF271" i="9"/>
  <c r="AE271" i="9"/>
  <c r="BM270" i="9"/>
  <c r="AG270" i="9"/>
  <c r="AF270" i="9"/>
  <c r="AE270" i="9"/>
  <c r="BM269" i="9"/>
  <c r="AG269" i="9"/>
  <c r="AF269" i="9"/>
  <c r="AE269" i="9"/>
  <c r="BM268" i="9"/>
  <c r="AG268" i="9"/>
  <c r="AF268" i="9"/>
  <c r="AE268" i="9"/>
  <c r="BM267" i="9"/>
  <c r="AG267" i="9"/>
  <c r="AF267" i="9"/>
  <c r="AE267" i="9"/>
  <c r="BM266" i="9"/>
  <c r="AG266" i="9"/>
  <c r="AF266" i="9"/>
  <c r="AE266" i="9"/>
  <c r="BM263" i="9"/>
  <c r="AG263" i="9"/>
  <c r="AF263" i="9"/>
  <c r="AE263" i="9"/>
  <c r="BM262" i="9"/>
  <c r="AG262" i="9"/>
  <c r="AF262" i="9"/>
  <c r="AE262" i="9"/>
  <c r="BM265" i="9"/>
  <c r="AG265" i="9"/>
  <c r="AF265" i="9"/>
  <c r="AE265" i="9"/>
  <c r="BM264" i="9"/>
  <c r="AG264" i="9"/>
  <c r="AF264" i="9"/>
  <c r="AE264" i="9"/>
  <c r="BM261" i="9"/>
  <c r="AG261" i="9"/>
  <c r="AF261" i="9"/>
  <c r="AE261" i="9"/>
  <c r="BM260" i="9"/>
  <c r="AG260" i="9"/>
  <c r="AF260" i="9"/>
  <c r="AE260" i="9"/>
  <c r="BM259" i="9"/>
  <c r="AG259" i="9"/>
  <c r="AF259" i="9"/>
  <c r="AE259" i="9"/>
  <c r="BM258" i="9"/>
  <c r="AG258" i="9"/>
  <c r="AF258" i="9"/>
  <c r="AE258" i="9"/>
  <c r="BM257" i="9"/>
  <c r="AG257" i="9"/>
  <c r="AF257" i="9"/>
  <c r="AE257" i="9"/>
  <c r="BM256" i="9"/>
  <c r="AG256" i="9"/>
  <c r="AF256" i="9"/>
  <c r="AE256" i="9"/>
  <c r="BM255" i="9"/>
  <c r="AG255" i="9"/>
  <c r="AF255" i="9"/>
  <c r="AE255" i="9"/>
  <c r="BM254" i="9"/>
  <c r="AG254" i="9"/>
  <c r="AF254" i="9"/>
  <c r="AE254" i="9"/>
  <c r="BM251" i="9"/>
  <c r="AG251" i="9"/>
  <c r="AF251" i="9"/>
  <c r="AE251" i="9"/>
  <c r="BM250" i="9"/>
  <c r="AG250" i="9"/>
  <c r="AF250" i="9"/>
  <c r="AE250" i="9"/>
  <c r="BM253" i="9"/>
  <c r="AG253" i="9"/>
  <c r="AF253" i="9"/>
  <c r="AE253" i="9"/>
  <c r="BM252" i="9"/>
  <c r="AG252" i="9"/>
  <c r="AF252" i="9"/>
  <c r="AE252" i="9"/>
  <c r="BM249" i="9"/>
  <c r="AG249" i="9"/>
  <c r="AF249" i="9"/>
  <c r="AE249" i="9"/>
  <c r="BM248" i="9"/>
  <c r="AG248" i="9"/>
  <c r="AF248" i="9"/>
  <c r="AE248" i="9"/>
  <c r="BM245" i="9"/>
  <c r="AG245" i="9"/>
  <c r="AF245" i="9"/>
  <c r="AE245" i="9"/>
  <c r="BM244" i="9"/>
  <c r="AG244" i="9"/>
  <c r="AF244" i="9"/>
  <c r="AE244" i="9"/>
  <c r="BM247" i="9"/>
  <c r="AG247" i="9"/>
  <c r="AF247" i="9"/>
  <c r="AE247" i="9"/>
  <c r="BM246" i="9"/>
  <c r="AG246" i="9"/>
  <c r="AF246" i="9"/>
  <c r="AE246" i="9"/>
  <c r="BM243" i="9"/>
  <c r="AG243" i="9"/>
  <c r="AF243" i="9"/>
  <c r="AE243" i="9"/>
  <c r="BM242" i="9"/>
  <c r="AG242" i="9"/>
  <c r="AF242" i="9"/>
  <c r="AE242" i="9"/>
  <c r="BM241" i="9"/>
  <c r="AG241" i="9"/>
  <c r="AF241" i="9"/>
  <c r="AE241" i="9"/>
  <c r="BM240" i="9"/>
  <c r="AG240" i="9"/>
  <c r="AF240" i="9"/>
  <c r="AE240" i="9"/>
  <c r="BM239" i="9"/>
  <c r="AG239" i="9"/>
  <c r="AF239" i="9"/>
  <c r="AE239" i="9"/>
  <c r="BM238" i="9"/>
  <c r="AG238" i="9"/>
  <c r="AF238" i="9"/>
  <c r="AE238" i="9"/>
  <c r="BM237" i="9"/>
  <c r="AG237" i="9"/>
  <c r="AF237" i="9"/>
  <c r="AE237" i="9"/>
  <c r="BM236" i="9"/>
  <c r="AG236" i="9"/>
  <c r="AF236" i="9"/>
  <c r="AE236" i="9"/>
  <c r="BM235" i="9"/>
  <c r="AG235" i="9"/>
  <c r="AF235" i="9"/>
  <c r="AE235" i="9"/>
  <c r="BM234" i="9"/>
  <c r="AG234" i="9"/>
  <c r="AF234" i="9"/>
  <c r="AE234" i="9"/>
  <c r="BM231" i="9"/>
  <c r="AG231" i="9"/>
  <c r="AF231" i="9"/>
  <c r="AE231" i="9"/>
  <c r="BM230" i="9"/>
  <c r="AG230" i="9"/>
  <c r="AF230" i="9"/>
  <c r="AE230" i="9"/>
  <c r="BM233" i="9"/>
  <c r="AG233" i="9"/>
  <c r="AF233" i="9"/>
  <c r="AE233" i="9"/>
  <c r="BM232" i="9"/>
  <c r="AG232" i="9"/>
  <c r="AF232" i="9"/>
  <c r="AE232" i="9"/>
  <c r="BM229" i="9"/>
  <c r="AG229" i="9"/>
  <c r="AF229" i="9"/>
  <c r="AE229" i="9"/>
  <c r="BM228" i="9"/>
  <c r="AG228" i="9"/>
  <c r="AF228" i="9"/>
  <c r="AE228" i="9"/>
  <c r="BM225" i="9"/>
  <c r="AG225" i="9"/>
  <c r="AF225" i="9"/>
  <c r="AE225" i="9"/>
  <c r="BM224" i="9"/>
  <c r="AG224" i="9"/>
  <c r="AF224" i="9"/>
  <c r="AE224" i="9"/>
  <c r="BM227" i="9"/>
  <c r="AG227" i="9"/>
  <c r="AF227" i="9"/>
  <c r="AE227" i="9"/>
  <c r="BM226" i="9"/>
  <c r="AG226" i="9"/>
  <c r="AF226" i="9"/>
  <c r="AE226" i="9"/>
  <c r="BM223" i="9"/>
  <c r="AG223" i="9"/>
  <c r="AF223" i="9"/>
  <c r="AE223" i="9"/>
  <c r="BM222" i="9"/>
  <c r="AG222" i="9"/>
  <c r="AF222" i="9"/>
  <c r="AE222" i="9"/>
  <c r="BM221" i="9"/>
  <c r="AG221" i="9"/>
  <c r="AF221" i="9"/>
  <c r="AE221" i="9"/>
  <c r="BM220" i="9"/>
  <c r="AG220" i="9"/>
  <c r="AF220" i="9"/>
  <c r="AE220" i="9"/>
  <c r="BM219" i="9"/>
  <c r="AG219" i="9"/>
  <c r="AF219" i="9"/>
  <c r="AE219" i="9"/>
  <c r="BM218" i="9"/>
  <c r="AG218" i="9"/>
  <c r="AF218" i="9"/>
  <c r="AE218" i="9"/>
  <c r="BM217" i="9"/>
  <c r="AG217" i="9"/>
  <c r="AF217" i="9"/>
  <c r="AE217" i="9"/>
  <c r="BM216" i="9"/>
  <c r="AG216" i="9"/>
  <c r="AF216" i="9"/>
  <c r="AE216" i="9"/>
  <c r="BM215" i="9"/>
  <c r="AG215" i="9"/>
  <c r="AF215" i="9"/>
  <c r="AE215" i="9"/>
  <c r="BM214" i="9"/>
  <c r="AG214" i="9"/>
  <c r="AF214" i="9"/>
  <c r="AE214" i="9"/>
  <c r="BM213" i="9"/>
  <c r="AG213" i="9"/>
  <c r="AF213" i="9"/>
  <c r="AE213" i="9"/>
  <c r="BM212" i="9"/>
  <c r="AG212" i="9"/>
  <c r="AF212" i="9"/>
  <c r="AE212" i="9"/>
  <c r="BM211" i="9"/>
  <c r="AG211" i="9"/>
  <c r="AF211" i="9"/>
  <c r="AE211" i="9"/>
  <c r="BM210" i="9"/>
  <c r="AG210" i="9"/>
  <c r="AF210" i="9"/>
  <c r="AE210" i="9"/>
  <c r="BM209" i="9"/>
  <c r="AG209" i="9"/>
  <c r="AF209" i="9"/>
  <c r="AE209" i="9"/>
  <c r="BM208" i="9"/>
  <c r="AG208" i="9"/>
  <c r="AF208" i="9"/>
  <c r="AE208" i="9"/>
  <c r="BM207" i="9"/>
  <c r="AG207" i="9"/>
  <c r="AF207" i="9"/>
  <c r="AE207" i="9"/>
  <c r="BM206" i="9"/>
  <c r="AG206" i="9"/>
  <c r="AF206" i="9"/>
  <c r="AE206" i="9"/>
  <c r="BM205" i="9"/>
  <c r="AG205" i="9"/>
  <c r="AF205" i="9"/>
  <c r="AE205" i="9"/>
  <c r="BM204" i="9"/>
  <c r="AG204" i="9"/>
  <c r="AF204" i="9"/>
  <c r="AE204" i="9"/>
  <c r="BM203" i="9"/>
  <c r="AG203" i="9"/>
  <c r="AF203" i="9"/>
  <c r="AE203" i="9"/>
  <c r="BM202" i="9"/>
  <c r="AG202" i="9"/>
  <c r="AF202" i="9"/>
  <c r="AE202" i="9"/>
  <c r="BM201" i="9"/>
  <c r="AG201" i="9"/>
  <c r="AF201" i="9"/>
  <c r="AE201" i="9"/>
  <c r="BM200" i="9"/>
  <c r="AG200" i="9"/>
  <c r="AF200" i="9"/>
  <c r="AE200" i="9"/>
  <c r="BM199" i="9"/>
  <c r="AG199" i="9"/>
  <c r="AF199" i="9"/>
  <c r="AE199" i="9"/>
  <c r="BM198" i="9"/>
  <c r="AG198" i="9"/>
  <c r="AF198" i="9"/>
  <c r="AE198" i="9"/>
  <c r="BM197" i="9"/>
  <c r="AG197" i="9"/>
  <c r="AF197" i="9"/>
  <c r="AE197" i="9"/>
  <c r="BM196" i="9"/>
  <c r="AG196" i="9"/>
  <c r="AF196" i="9"/>
  <c r="AE196" i="9"/>
  <c r="BM195" i="9"/>
  <c r="AG195" i="9"/>
  <c r="AF195" i="9"/>
  <c r="AE195" i="9"/>
  <c r="BM194" i="9"/>
  <c r="AG194" i="9"/>
  <c r="AF194" i="9"/>
  <c r="AE194" i="9"/>
  <c r="BM193" i="9"/>
  <c r="AG193" i="9"/>
  <c r="AF193" i="9"/>
  <c r="AE193" i="9"/>
  <c r="BM192" i="9"/>
  <c r="AG192" i="9"/>
  <c r="AF192" i="9"/>
  <c r="AE192" i="9"/>
  <c r="BM191" i="9"/>
  <c r="AG191" i="9"/>
  <c r="AF191" i="9"/>
  <c r="AE191" i="9"/>
  <c r="BM190" i="9"/>
  <c r="AG190" i="9"/>
  <c r="AF190" i="9"/>
  <c r="AE190" i="9"/>
  <c r="BM189" i="9"/>
  <c r="AG189" i="9"/>
  <c r="AF189" i="9"/>
  <c r="AE189" i="9"/>
  <c r="BM188" i="9"/>
  <c r="AG188" i="9"/>
  <c r="AF188" i="9"/>
  <c r="AE188" i="9"/>
  <c r="BM187" i="9"/>
  <c r="AG187" i="9"/>
  <c r="AF187" i="9"/>
  <c r="AE187" i="9"/>
  <c r="BM186" i="9"/>
  <c r="AG186" i="9"/>
  <c r="AF186" i="9"/>
  <c r="AE186" i="9"/>
  <c r="BM183" i="9"/>
  <c r="AG183" i="9"/>
  <c r="AF183" i="9"/>
  <c r="AE183" i="9"/>
  <c r="BM182" i="9"/>
  <c r="AG182" i="9"/>
  <c r="AF182" i="9"/>
  <c r="AE182" i="9"/>
  <c r="BM185" i="9"/>
  <c r="AG185" i="9"/>
  <c r="AF185" i="9"/>
  <c r="AE185" i="9"/>
  <c r="BM184" i="9"/>
  <c r="AG184" i="9"/>
  <c r="AF184" i="9"/>
  <c r="AE184" i="9"/>
  <c r="BM181" i="9"/>
  <c r="AG181" i="9"/>
  <c r="AF181" i="9"/>
  <c r="AE181" i="9"/>
  <c r="BM180" i="9"/>
  <c r="AG180" i="9"/>
  <c r="AF180" i="9"/>
  <c r="AE180" i="9"/>
  <c r="BM179" i="9"/>
  <c r="AG179" i="9"/>
  <c r="AF179" i="9"/>
  <c r="AE179" i="9"/>
  <c r="BM178" i="9"/>
  <c r="AG178" i="9"/>
  <c r="AF178" i="9"/>
  <c r="AE178" i="9"/>
  <c r="BM175" i="9"/>
  <c r="AG175" i="9"/>
  <c r="AF175" i="9"/>
  <c r="AE175" i="9"/>
  <c r="BM174" i="9"/>
  <c r="AG174" i="9"/>
  <c r="AF174" i="9"/>
  <c r="AE174" i="9"/>
  <c r="BM177" i="9"/>
  <c r="AG177" i="9"/>
  <c r="AF177" i="9"/>
  <c r="AE177" i="9"/>
  <c r="BM176" i="9"/>
  <c r="AG176" i="9"/>
  <c r="AF176" i="9"/>
  <c r="AE176" i="9"/>
  <c r="BM173" i="9"/>
  <c r="AG173" i="9"/>
  <c r="AF173" i="9"/>
  <c r="AE173" i="9"/>
  <c r="BM172" i="9"/>
  <c r="AG172" i="9"/>
  <c r="AF172" i="9"/>
  <c r="AE172" i="9"/>
  <c r="BM171" i="9"/>
  <c r="AG171" i="9"/>
  <c r="AF171" i="9"/>
  <c r="AE171" i="9"/>
  <c r="BM170" i="9"/>
  <c r="AG170" i="9"/>
  <c r="AF170" i="9"/>
  <c r="AE170" i="9"/>
  <c r="BM169" i="9"/>
  <c r="AG169" i="9"/>
  <c r="AF169" i="9"/>
  <c r="AE169" i="9"/>
  <c r="BM168" i="9"/>
  <c r="AG168" i="9"/>
  <c r="AF168" i="9"/>
  <c r="AE168" i="9"/>
  <c r="BM167" i="9"/>
  <c r="AG167" i="9"/>
  <c r="AF167" i="9"/>
  <c r="AE167" i="9"/>
  <c r="BM166" i="9"/>
  <c r="AG166" i="9"/>
  <c r="AF166" i="9"/>
  <c r="AE166" i="9"/>
  <c r="BM165" i="9"/>
  <c r="AG165" i="9"/>
  <c r="AF165" i="9"/>
  <c r="AE165" i="9"/>
  <c r="BM164" i="9"/>
  <c r="AG164" i="9"/>
  <c r="AF164" i="9"/>
  <c r="AE164" i="9"/>
  <c r="BM161" i="9"/>
  <c r="AG161" i="9"/>
  <c r="AF161" i="9"/>
  <c r="AE161" i="9"/>
  <c r="BM160" i="9"/>
  <c r="AG160" i="9"/>
  <c r="AF160" i="9"/>
  <c r="AE160" i="9"/>
  <c r="BM163" i="9"/>
  <c r="AG163" i="9"/>
  <c r="AF163" i="9"/>
  <c r="AE163" i="9"/>
  <c r="BM162" i="9"/>
  <c r="AG162" i="9"/>
  <c r="AF162" i="9"/>
  <c r="AE162" i="9"/>
  <c r="BM159" i="9"/>
  <c r="AG159" i="9"/>
  <c r="AF159" i="9"/>
  <c r="AE159" i="9"/>
  <c r="BM158" i="9"/>
  <c r="AG158" i="9"/>
  <c r="AF158" i="9"/>
  <c r="AE158" i="9"/>
  <c r="BM155" i="9"/>
  <c r="AG155" i="9"/>
  <c r="AF155" i="9"/>
  <c r="AE155" i="9"/>
  <c r="BM154" i="9"/>
  <c r="AG154" i="9"/>
  <c r="AF154" i="9"/>
  <c r="AE154" i="9"/>
  <c r="BM157" i="9"/>
  <c r="AG157" i="9"/>
  <c r="AF157" i="9"/>
  <c r="AE157" i="9"/>
  <c r="BM156" i="9"/>
  <c r="AG156" i="9"/>
  <c r="AF156" i="9"/>
  <c r="AE156" i="9"/>
  <c r="BM153" i="9"/>
  <c r="AG153" i="9"/>
  <c r="AF153" i="9"/>
  <c r="AE153" i="9"/>
  <c r="BM152" i="9"/>
  <c r="AG152" i="9"/>
  <c r="AF152" i="9"/>
  <c r="AE152" i="9"/>
  <c r="BM149" i="9"/>
  <c r="AG149" i="9"/>
  <c r="AF149" i="9"/>
  <c r="AE149" i="9"/>
  <c r="BM148" i="9"/>
  <c r="AG148" i="9"/>
  <c r="AF148" i="9"/>
  <c r="AE148" i="9"/>
  <c r="BM151" i="9"/>
  <c r="AG151" i="9"/>
  <c r="AF151" i="9"/>
  <c r="AE151" i="9"/>
  <c r="BM150" i="9"/>
  <c r="AG150" i="9"/>
  <c r="AF150" i="9"/>
  <c r="AE150" i="9"/>
  <c r="BM147" i="9"/>
  <c r="AG147" i="9"/>
  <c r="AF147" i="9"/>
  <c r="AE147" i="9"/>
  <c r="BM146" i="9"/>
  <c r="AG146" i="9"/>
  <c r="AF146" i="9"/>
  <c r="AE146" i="9"/>
  <c r="BM145" i="9"/>
  <c r="AG145" i="9"/>
  <c r="AF145" i="9"/>
  <c r="AE145" i="9"/>
  <c r="BM144" i="9"/>
  <c r="AG144" i="9"/>
  <c r="AF144" i="9"/>
  <c r="AE144" i="9"/>
  <c r="BM143" i="9"/>
  <c r="AG143" i="9"/>
  <c r="AF143" i="9"/>
  <c r="AE143" i="9"/>
  <c r="BM142" i="9"/>
  <c r="AG142" i="9"/>
  <c r="AF142" i="9"/>
  <c r="AE142" i="9"/>
  <c r="BM139" i="9"/>
  <c r="AG139" i="9"/>
  <c r="AF139" i="9"/>
  <c r="AE139" i="9"/>
  <c r="BM138" i="9"/>
  <c r="AG138" i="9"/>
  <c r="AF138" i="9"/>
  <c r="AE138" i="9"/>
  <c r="BM141" i="9"/>
  <c r="AG141" i="9"/>
  <c r="AF141" i="9"/>
  <c r="AE141" i="9"/>
  <c r="BM140" i="9"/>
  <c r="AG140" i="9"/>
  <c r="AF140" i="9"/>
  <c r="AE140" i="9"/>
  <c r="BM137" i="9"/>
  <c r="AG137" i="9"/>
  <c r="AF137" i="9"/>
  <c r="AE137" i="9"/>
  <c r="BM136" i="9"/>
  <c r="AG136" i="9"/>
  <c r="AF136" i="9"/>
  <c r="AE136" i="9"/>
  <c r="BM135" i="9"/>
  <c r="AG135" i="9"/>
  <c r="AF135" i="9"/>
  <c r="AE135" i="9"/>
  <c r="BM134" i="9"/>
  <c r="AG134" i="9"/>
  <c r="AF134" i="9"/>
  <c r="AE134" i="9"/>
  <c r="BM133" i="9"/>
  <c r="AG133" i="9"/>
  <c r="AF133" i="9"/>
  <c r="AE133" i="9"/>
  <c r="BM132" i="9"/>
  <c r="AG132" i="9"/>
  <c r="AF132" i="9"/>
  <c r="AE132" i="9"/>
  <c r="BM129" i="9"/>
  <c r="AG129" i="9"/>
  <c r="AF129" i="9"/>
  <c r="AE129" i="9"/>
  <c r="BM128" i="9"/>
  <c r="AG128" i="9"/>
  <c r="AF128" i="9"/>
  <c r="AE128" i="9"/>
  <c r="BM131" i="9"/>
  <c r="AG131" i="9"/>
  <c r="AF131" i="9"/>
  <c r="AE131" i="9"/>
  <c r="BM130" i="9"/>
  <c r="AG130" i="9"/>
  <c r="AF130" i="9"/>
  <c r="AE130" i="9"/>
  <c r="BM127" i="9"/>
  <c r="AG127" i="9"/>
  <c r="AF127" i="9"/>
  <c r="AE127" i="9"/>
  <c r="BM126" i="9"/>
  <c r="AG126" i="9"/>
  <c r="AF126" i="9"/>
  <c r="AE126" i="9"/>
  <c r="BM125" i="9"/>
  <c r="AG125" i="9"/>
  <c r="AF125" i="9"/>
  <c r="AE125" i="9"/>
  <c r="BM124" i="9"/>
  <c r="AG124" i="9"/>
  <c r="AF124" i="9"/>
  <c r="AE124" i="9"/>
  <c r="BM123" i="9"/>
  <c r="AG123" i="9"/>
  <c r="AF123" i="9"/>
  <c r="AE123" i="9"/>
  <c r="BM122" i="9"/>
  <c r="AG122" i="9"/>
  <c r="AF122" i="9"/>
  <c r="AE122" i="9"/>
  <c r="BM121" i="9"/>
  <c r="AG121" i="9"/>
  <c r="AF121" i="9"/>
  <c r="AE121" i="9"/>
  <c r="BM120" i="9"/>
  <c r="AG120" i="9"/>
  <c r="AF120" i="9"/>
  <c r="AE120" i="9"/>
  <c r="BM119" i="9"/>
  <c r="AG119" i="9"/>
  <c r="AF119" i="9"/>
  <c r="AE119" i="9"/>
  <c r="BM118" i="9"/>
  <c r="AG118" i="9"/>
  <c r="AF118" i="9"/>
  <c r="AE118" i="9"/>
  <c r="BM115" i="9"/>
  <c r="AG115" i="9"/>
  <c r="AF115" i="9"/>
  <c r="AE115" i="9"/>
  <c r="BM114" i="9"/>
  <c r="AG114" i="9"/>
  <c r="AF114" i="9"/>
  <c r="AE114" i="9"/>
  <c r="BM117" i="9"/>
  <c r="AG117" i="9"/>
  <c r="AF117" i="9"/>
  <c r="AE117" i="9"/>
  <c r="BM116" i="9"/>
  <c r="AG116" i="9"/>
  <c r="AF116" i="9"/>
  <c r="AE116" i="9"/>
  <c r="BM113" i="9"/>
  <c r="AG113" i="9"/>
  <c r="AF113" i="9"/>
  <c r="AE113" i="9"/>
  <c r="BM112" i="9"/>
  <c r="AG112" i="9"/>
  <c r="AF112" i="9"/>
  <c r="AE112" i="9"/>
  <c r="BM111" i="9"/>
  <c r="AG111" i="9"/>
  <c r="AF111" i="9"/>
  <c r="AE111" i="9"/>
  <c r="BM110" i="9"/>
  <c r="AG110" i="9"/>
  <c r="AF110" i="9"/>
  <c r="AE110" i="9"/>
  <c r="BM109" i="9"/>
  <c r="AG109" i="9"/>
  <c r="AF109" i="9"/>
  <c r="AE109" i="9"/>
  <c r="BM108" i="9"/>
  <c r="AG108" i="9"/>
  <c r="AF108" i="9"/>
  <c r="AE108" i="9"/>
  <c r="BM107" i="9"/>
  <c r="AG107" i="9"/>
  <c r="AF107" i="9"/>
  <c r="AE107" i="9"/>
  <c r="BM106" i="9"/>
  <c r="AG106" i="9"/>
  <c r="AF106" i="9"/>
  <c r="AE106" i="9"/>
  <c r="BM105" i="9"/>
  <c r="AG105" i="9"/>
  <c r="AF105" i="9"/>
  <c r="AE105" i="9"/>
  <c r="BM104" i="9"/>
  <c r="AG104" i="9"/>
  <c r="AF104" i="9"/>
  <c r="AE104" i="9"/>
  <c r="BM103" i="9"/>
  <c r="AG103" i="9"/>
  <c r="AF103" i="9"/>
  <c r="AE103" i="9"/>
  <c r="BM102" i="9"/>
  <c r="AG102" i="9"/>
  <c r="AF102" i="9"/>
  <c r="AE102" i="9"/>
  <c r="BM101" i="9"/>
  <c r="AG101" i="9"/>
  <c r="AF101" i="9"/>
  <c r="AE101" i="9"/>
  <c r="BM100" i="9"/>
  <c r="AG100" i="9"/>
  <c r="AF100" i="9"/>
  <c r="AE100" i="9"/>
  <c r="BM99" i="9"/>
  <c r="AG99" i="9"/>
  <c r="AF99" i="9"/>
  <c r="AE99" i="9"/>
  <c r="BM98" i="9"/>
  <c r="AG98" i="9"/>
  <c r="AF98" i="9"/>
  <c r="AE98" i="9"/>
  <c r="BM95" i="9"/>
  <c r="AG95" i="9"/>
  <c r="AF95" i="9"/>
  <c r="AE95" i="9"/>
  <c r="BM94" i="9"/>
  <c r="AG94" i="9"/>
  <c r="AF94" i="9"/>
  <c r="AE94" i="9"/>
  <c r="BM97" i="9"/>
  <c r="AG97" i="9"/>
  <c r="AF97" i="9"/>
  <c r="AE97" i="9"/>
  <c r="BM96" i="9"/>
  <c r="AG96" i="9"/>
  <c r="AF96" i="9"/>
  <c r="AE96" i="9"/>
  <c r="BM93" i="9"/>
  <c r="AG93" i="9"/>
  <c r="AF93" i="9"/>
  <c r="AE93" i="9"/>
  <c r="BM92" i="9"/>
  <c r="AG92" i="9"/>
  <c r="AF92" i="9"/>
  <c r="AE92" i="9"/>
  <c r="BM91" i="9"/>
  <c r="AG91" i="9"/>
  <c r="AF91" i="9"/>
  <c r="AE91" i="9"/>
  <c r="BM90" i="9"/>
  <c r="AG90" i="9"/>
  <c r="AF90" i="9"/>
  <c r="AE90" i="9"/>
  <c r="BM89" i="9"/>
  <c r="AG89" i="9"/>
  <c r="AF89" i="9"/>
  <c r="AE89" i="9"/>
  <c r="BM88" i="9"/>
  <c r="AG88" i="9"/>
  <c r="AF88" i="9"/>
  <c r="AE88" i="9"/>
  <c r="BM87" i="9"/>
  <c r="AG87" i="9"/>
  <c r="AF87" i="9"/>
  <c r="AE87" i="9"/>
  <c r="BM86" i="9"/>
  <c r="AG86" i="9"/>
  <c r="AF86" i="9"/>
  <c r="AE86" i="9"/>
  <c r="BM85" i="9"/>
  <c r="AG85" i="9"/>
  <c r="AF85" i="9"/>
  <c r="AE85" i="9"/>
  <c r="BM84" i="9"/>
  <c r="AG84" i="9"/>
  <c r="AF84" i="9"/>
  <c r="AE84" i="9"/>
  <c r="BM83" i="9"/>
  <c r="AG83" i="9"/>
  <c r="AF83" i="9"/>
  <c r="AE83" i="9"/>
  <c r="BM82" i="9"/>
  <c r="AG82" i="9"/>
  <c r="AF82" i="9"/>
  <c r="AE82" i="9"/>
  <c r="BM81" i="9"/>
  <c r="AG81" i="9"/>
  <c r="AF81" i="9"/>
  <c r="AE81" i="9"/>
  <c r="BM80" i="9"/>
  <c r="AG80" i="9"/>
  <c r="AF80" i="9"/>
  <c r="AE80" i="9"/>
  <c r="BM79" i="9"/>
  <c r="AG79" i="9"/>
  <c r="AF79" i="9"/>
  <c r="AE79" i="9"/>
  <c r="BM78" i="9"/>
  <c r="AG78" i="9"/>
  <c r="AF78" i="9"/>
  <c r="AE78" i="9"/>
  <c r="BM77" i="9"/>
  <c r="AG77" i="9"/>
  <c r="AF77" i="9"/>
  <c r="AE77" i="9"/>
  <c r="BM76" i="9"/>
  <c r="AG76" i="9"/>
  <c r="AF76" i="9"/>
  <c r="AE76" i="9"/>
  <c r="BM75" i="9"/>
  <c r="AG75" i="9"/>
  <c r="AF75" i="9"/>
  <c r="AE75" i="9"/>
  <c r="BM74" i="9"/>
  <c r="AG74" i="9"/>
  <c r="AF74" i="9"/>
  <c r="AE74" i="9"/>
  <c r="BM73" i="9"/>
  <c r="AG73" i="9"/>
  <c r="AF73" i="9"/>
  <c r="AE73" i="9"/>
  <c r="BM72" i="9"/>
  <c r="AG72" i="9"/>
  <c r="AF72" i="9"/>
  <c r="AE72" i="9"/>
  <c r="BM71" i="9"/>
  <c r="AG71" i="9"/>
  <c r="AF71" i="9"/>
  <c r="AE71" i="9"/>
  <c r="BM70" i="9"/>
  <c r="AG70" i="9"/>
  <c r="AF70" i="9"/>
  <c r="AE70" i="9"/>
  <c r="BM69" i="9"/>
  <c r="AG69" i="9"/>
  <c r="AF69" i="9"/>
  <c r="AE69" i="9"/>
  <c r="BM68" i="9"/>
  <c r="AG68" i="9"/>
  <c r="AF68" i="9"/>
  <c r="AE68" i="9"/>
  <c r="BM67" i="9"/>
  <c r="AG67" i="9"/>
  <c r="AF67" i="9"/>
  <c r="AE67" i="9"/>
  <c r="BM66" i="9"/>
  <c r="AG66" i="9"/>
  <c r="AF66" i="9"/>
  <c r="AE66" i="9"/>
  <c r="BM65" i="9"/>
  <c r="AG65" i="9"/>
  <c r="AF65" i="9"/>
  <c r="AE65" i="9"/>
  <c r="BM64" i="9"/>
  <c r="AG64" i="9"/>
  <c r="AF64" i="9"/>
  <c r="AE64" i="9"/>
  <c r="BM63" i="9"/>
  <c r="AG63" i="9"/>
  <c r="AF63" i="9"/>
  <c r="AE63" i="9"/>
  <c r="BM62" i="9"/>
  <c r="AG62" i="9"/>
  <c r="AF62" i="9"/>
  <c r="AE62" i="9"/>
  <c r="BM61" i="9"/>
  <c r="AG61" i="9"/>
  <c r="AF61" i="9"/>
  <c r="AE61" i="9"/>
  <c r="BM60" i="9"/>
  <c r="AG60" i="9"/>
  <c r="AF60" i="9"/>
  <c r="AE60" i="9"/>
  <c r="BM59" i="9"/>
  <c r="AG59" i="9"/>
  <c r="AF59" i="9"/>
  <c r="AE59" i="9"/>
  <c r="BM58" i="9"/>
  <c r="AG58" i="9"/>
  <c r="AF58" i="9"/>
  <c r="AE58" i="9"/>
  <c r="BM57" i="9"/>
  <c r="AG57" i="9"/>
  <c r="AF57" i="9"/>
  <c r="AE57" i="9"/>
  <c r="BM56" i="9"/>
  <c r="AG56" i="9"/>
  <c r="AF56" i="9"/>
  <c r="AE56" i="9"/>
  <c r="BM55" i="9"/>
  <c r="AG55" i="9"/>
  <c r="AF55" i="9"/>
  <c r="AE55" i="9"/>
  <c r="BM54" i="9"/>
  <c r="AG54" i="9"/>
  <c r="AF54" i="9"/>
  <c r="AE54" i="9"/>
  <c r="BM53" i="9"/>
  <c r="AG53" i="9"/>
  <c r="AF53" i="9"/>
  <c r="AE53" i="9"/>
  <c r="BM52" i="9"/>
  <c r="AG52" i="9"/>
  <c r="AF52" i="9"/>
  <c r="AE52" i="9"/>
  <c r="BM51" i="9"/>
  <c r="AG51" i="9"/>
  <c r="AF51" i="9"/>
  <c r="AE51" i="9"/>
  <c r="BM50" i="9"/>
  <c r="AG50" i="9"/>
  <c r="AF50" i="9"/>
  <c r="AE50" i="9"/>
  <c r="BM49" i="9"/>
  <c r="AG49" i="9"/>
  <c r="AF49" i="9"/>
  <c r="AE49" i="9"/>
  <c r="BM48" i="9"/>
  <c r="AG48" i="9"/>
  <c r="AF48" i="9"/>
  <c r="AE48" i="9"/>
  <c r="BM47" i="9"/>
  <c r="AG47" i="9"/>
  <c r="AF47" i="9"/>
  <c r="AE47" i="9"/>
  <c r="BM46" i="9"/>
  <c r="AG46" i="9"/>
  <c r="AF46" i="9"/>
  <c r="AE46" i="9"/>
  <c r="BM45" i="9"/>
  <c r="AG45" i="9"/>
  <c r="AF45" i="9"/>
  <c r="AE45" i="9"/>
  <c r="BM44" i="9"/>
  <c r="AG44" i="9"/>
  <c r="AF44" i="9"/>
  <c r="AE44" i="9"/>
  <c r="BM43" i="9"/>
  <c r="AG43" i="9"/>
  <c r="AF43" i="9"/>
  <c r="AE43" i="9"/>
  <c r="BM42" i="9"/>
  <c r="AG42" i="9"/>
  <c r="AF42" i="9"/>
  <c r="AE42" i="9"/>
  <c r="BM41" i="9"/>
  <c r="AG41" i="9"/>
  <c r="AF41" i="9"/>
  <c r="AE41" i="9"/>
  <c r="BM40" i="9"/>
  <c r="AG40" i="9"/>
  <c r="AF40" i="9"/>
  <c r="AE40" i="9"/>
  <c r="BM39" i="9"/>
  <c r="AG39" i="9"/>
  <c r="AF39" i="9"/>
  <c r="AE39" i="9"/>
  <c r="BM38" i="9"/>
  <c r="AG38" i="9"/>
  <c r="AF38" i="9"/>
  <c r="AE38" i="9"/>
  <c r="BM37" i="9"/>
  <c r="AG37" i="9"/>
  <c r="AF37" i="9"/>
  <c r="AE37" i="9"/>
  <c r="BM36" i="9"/>
  <c r="AG36" i="9"/>
  <c r="AF36" i="9"/>
  <c r="AE36" i="9"/>
  <c r="BM35" i="9"/>
  <c r="AG35" i="9"/>
  <c r="AF35" i="9"/>
  <c r="AE35" i="9"/>
  <c r="BM34" i="9"/>
  <c r="AG34" i="9"/>
  <c r="AF34" i="9"/>
  <c r="AE34" i="9"/>
  <c r="BM33" i="9"/>
  <c r="AG33" i="9"/>
  <c r="AF33" i="9"/>
  <c r="AE33" i="9"/>
  <c r="BM32" i="9"/>
  <c r="AG32" i="9"/>
  <c r="AF32" i="9"/>
  <c r="AE32" i="9"/>
  <c r="BM31" i="9"/>
  <c r="AG31" i="9"/>
  <c r="AF31" i="9"/>
  <c r="AE31" i="9"/>
  <c r="BM30" i="9"/>
  <c r="AG30" i="9"/>
  <c r="AF30" i="9"/>
  <c r="AE30" i="9"/>
  <c r="BM29" i="9"/>
  <c r="AG29" i="9"/>
  <c r="AF29" i="9"/>
  <c r="AE29" i="9"/>
  <c r="BM28" i="9"/>
  <c r="AG28" i="9"/>
  <c r="AF28" i="9"/>
  <c r="AE28" i="9"/>
  <c r="BM27" i="9"/>
  <c r="AG27" i="9"/>
  <c r="AF27" i="9"/>
  <c r="AE27" i="9"/>
  <c r="BM26" i="9"/>
  <c r="AG26" i="9"/>
  <c r="AF26" i="9"/>
  <c r="AE26" i="9"/>
  <c r="BM25" i="9"/>
  <c r="AG25" i="9"/>
  <c r="AF25" i="9"/>
  <c r="AE25" i="9"/>
  <c r="BM24" i="9"/>
  <c r="AG24" i="9"/>
  <c r="AF24" i="9"/>
  <c r="AE24" i="9"/>
  <c r="BM23" i="9"/>
  <c r="AG23" i="9"/>
  <c r="AF23" i="9"/>
  <c r="AE23" i="9"/>
  <c r="BM22" i="9"/>
  <c r="AG22" i="9"/>
  <c r="AF22" i="9"/>
  <c r="AE22" i="9"/>
  <c r="BM21" i="9"/>
  <c r="AG21" i="9"/>
  <c r="AF21" i="9"/>
  <c r="AE21" i="9"/>
  <c r="BM20" i="9"/>
  <c r="AG20" i="9"/>
  <c r="AF20" i="9"/>
  <c r="AE20" i="9"/>
  <c r="BM19" i="9"/>
  <c r="AG19" i="9"/>
  <c r="AF19" i="9"/>
  <c r="AE19" i="9"/>
  <c r="BM18" i="9"/>
  <c r="AG18" i="9"/>
  <c r="AF18" i="9"/>
  <c r="AE18" i="9"/>
  <c r="BM17" i="9"/>
  <c r="AG17" i="9"/>
  <c r="AF17" i="9"/>
  <c r="AE17" i="9"/>
  <c r="BM16" i="9"/>
  <c r="AG16" i="9"/>
  <c r="AF16" i="9"/>
  <c r="AE16" i="9"/>
  <c r="BM15" i="9"/>
  <c r="AG15" i="9"/>
  <c r="AF15" i="9"/>
  <c r="AE15" i="9"/>
  <c r="BM14" i="9"/>
  <c r="AG14" i="9"/>
  <c r="AF14" i="9"/>
  <c r="AE14" i="9"/>
  <c r="BM13" i="9"/>
  <c r="AG13" i="9"/>
  <c r="AF13" i="9"/>
  <c r="AE13" i="9"/>
  <c r="BM12" i="9"/>
  <c r="AG12" i="9"/>
  <c r="AF12" i="9"/>
  <c r="AE12" i="9"/>
  <c r="BM11" i="9"/>
  <c r="AG11" i="9"/>
  <c r="AF11" i="9"/>
  <c r="AE11" i="9"/>
  <c r="BM10" i="9"/>
  <c r="AG10" i="9"/>
  <c r="AF10" i="9"/>
  <c r="AE10" i="9"/>
  <c r="BM9" i="9"/>
  <c r="AG9" i="9"/>
  <c r="AF9" i="9"/>
  <c r="AE9" i="9"/>
  <c r="BM8" i="9"/>
  <c r="AG8" i="9"/>
  <c r="AF8" i="9"/>
  <c r="AE8" i="9"/>
  <c r="BM7" i="9"/>
  <c r="AG7" i="9"/>
  <c r="AF7" i="9"/>
  <c r="AE7" i="9"/>
  <c r="BM6" i="9"/>
  <c r="AG6" i="9"/>
  <c r="AF6" i="9"/>
  <c r="AE6" i="9"/>
  <c r="BM5" i="9"/>
  <c r="AG5" i="9"/>
  <c r="AF5" i="9"/>
  <c r="AE5" i="9"/>
  <c r="BM4" i="9"/>
  <c r="AG4" i="9"/>
  <c r="AF4" i="9"/>
  <c r="AE4" i="9"/>
  <c r="BM3" i="9"/>
  <c r="AG3" i="9"/>
  <c r="AF3" i="9"/>
  <c r="AE3" i="9"/>
  <c r="BM2" i="9"/>
  <c r="AG2" i="9"/>
  <c r="AF2" i="9"/>
  <c r="AE2" i="9"/>
  <c r="R367" i="6"/>
  <c r="R364" i="6"/>
  <c r="R363" i="6"/>
  <c r="R361" i="6"/>
  <c r="R359" i="6"/>
  <c r="R356" i="6"/>
  <c r="R352" i="6"/>
  <c r="R351" i="6"/>
  <c r="R347" i="6"/>
  <c r="R345" i="6"/>
  <c r="R344" i="6"/>
  <c r="R340" i="6"/>
  <c r="R333" i="6"/>
  <c r="R332" i="6"/>
  <c r="R330" i="6"/>
  <c r="R328" i="6"/>
  <c r="R324" i="6"/>
  <c r="R317" i="6"/>
  <c r="R316" i="6"/>
  <c r="R310" i="6"/>
  <c r="R309" i="6"/>
  <c r="R307" i="6"/>
  <c r="R304" i="6"/>
  <c r="R300" i="6"/>
  <c r="R297" i="6"/>
  <c r="R296" i="6"/>
  <c r="R291" i="6"/>
  <c r="R286" i="6"/>
  <c r="R285" i="6"/>
  <c r="R280" i="6"/>
  <c r="R278" i="6"/>
  <c r="R275" i="6"/>
  <c r="R273" i="6"/>
  <c r="R268" i="6"/>
  <c r="R259" i="6"/>
  <c r="R257" i="6"/>
  <c r="R256" i="6"/>
  <c r="R246" i="6"/>
  <c r="R245" i="6"/>
  <c r="R241" i="6"/>
  <c r="R234" i="6"/>
  <c r="R232" i="6"/>
  <c r="R221" i="6"/>
  <c r="R220" i="6"/>
  <c r="R209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3" i="6"/>
  <c r="R114" i="6"/>
  <c r="R115" i="6"/>
  <c r="R116" i="6"/>
  <c r="R117" i="6"/>
  <c r="R118" i="6"/>
  <c r="R119" i="6"/>
  <c r="R120" i="6"/>
  <c r="R121" i="6"/>
  <c r="R122" i="6"/>
  <c r="R123" i="6"/>
  <c r="R125" i="6"/>
  <c r="R126" i="6"/>
  <c r="R127" i="6"/>
  <c r="R128" i="6"/>
  <c r="R129" i="6"/>
  <c r="R130" i="6"/>
  <c r="R131" i="6"/>
  <c r="R132" i="6"/>
  <c r="R134" i="6"/>
  <c r="R135" i="6"/>
  <c r="R137" i="6"/>
  <c r="R138" i="6"/>
  <c r="R139" i="6"/>
  <c r="R140" i="6"/>
  <c r="R141" i="6"/>
  <c r="R142" i="6"/>
  <c r="R143" i="6"/>
  <c r="R144" i="6"/>
  <c r="R145" i="6"/>
  <c r="R147" i="6"/>
  <c r="R149" i="6"/>
  <c r="R150" i="6"/>
  <c r="R151" i="6"/>
  <c r="R152" i="6"/>
  <c r="R153" i="6"/>
  <c r="R154" i="6"/>
  <c r="R155" i="6"/>
  <c r="R156" i="6"/>
  <c r="R157" i="6"/>
  <c r="R158" i="6"/>
  <c r="R161" i="6"/>
  <c r="R162" i="6"/>
  <c r="R163" i="6"/>
  <c r="R164" i="6"/>
  <c r="R165" i="6"/>
  <c r="R166" i="6"/>
  <c r="R167" i="6"/>
  <c r="R168" i="6"/>
  <c r="R170" i="6"/>
  <c r="R172" i="6"/>
  <c r="R173" i="6"/>
  <c r="R174" i="6"/>
  <c r="R175" i="6"/>
  <c r="R176" i="6"/>
  <c r="R177" i="6"/>
  <c r="R178" i="6"/>
  <c r="R179" i="6"/>
  <c r="R180" i="6"/>
  <c r="R181" i="6"/>
  <c r="R183" i="6"/>
  <c r="R185" i="6"/>
  <c r="R186" i="6"/>
  <c r="R187" i="6"/>
  <c r="R188" i="6"/>
  <c r="R189" i="6"/>
  <c r="R190" i="6"/>
  <c r="R191" i="6"/>
  <c r="R192" i="6"/>
  <c r="R194" i="6"/>
  <c r="R195" i="6"/>
  <c r="R197" i="6"/>
  <c r="R198" i="6"/>
  <c r="R200" i="6"/>
  <c r="R201" i="6"/>
  <c r="R202" i="6"/>
  <c r="R203" i="6"/>
  <c r="R204" i="6"/>
  <c r="R205" i="6"/>
  <c r="R206" i="6"/>
  <c r="R208" i="6"/>
  <c r="R211" i="6"/>
  <c r="R212" i="6"/>
  <c r="R213" i="6"/>
  <c r="R214" i="6"/>
  <c r="R215" i="6"/>
  <c r="R216" i="6"/>
  <c r="R218" i="6"/>
  <c r="R219" i="6"/>
  <c r="R222" i="6"/>
  <c r="R223" i="6"/>
  <c r="R225" i="6"/>
  <c r="R226" i="6"/>
  <c r="R227" i="6"/>
  <c r="R228" i="6"/>
  <c r="R229" i="6"/>
  <c r="R230" i="6"/>
  <c r="R233" i="6"/>
  <c r="R235" i="6"/>
  <c r="R236" i="6"/>
  <c r="R237" i="6"/>
  <c r="R239" i="6"/>
  <c r="R240" i="6"/>
  <c r="R242" i="6"/>
  <c r="R243" i="6"/>
  <c r="R244" i="6"/>
  <c r="R247" i="6"/>
  <c r="R248" i="6"/>
  <c r="R250" i="6"/>
  <c r="R251" i="6"/>
  <c r="R252" i="6"/>
  <c r="R253" i="6"/>
  <c r="R255" i="6"/>
  <c r="R258" i="6"/>
  <c r="R260" i="6"/>
  <c r="R261" i="6"/>
  <c r="R262" i="6"/>
  <c r="R264" i="6"/>
  <c r="R265" i="6"/>
  <c r="R267" i="6"/>
  <c r="R269" i="6"/>
  <c r="R270" i="6"/>
  <c r="R271" i="6"/>
  <c r="R272" i="6"/>
  <c r="R274" i="6"/>
  <c r="R279" i="6"/>
  <c r="R281" i="6"/>
  <c r="R282" i="6"/>
  <c r="R283" i="6"/>
  <c r="R284" i="6"/>
  <c r="R287" i="6"/>
  <c r="R288" i="6"/>
  <c r="R290" i="6"/>
  <c r="R292" i="6"/>
  <c r="R293" i="6"/>
  <c r="R294" i="6"/>
  <c r="R299" i="6"/>
  <c r="R302" i="6"/>
  <c r="R303" i="6"/>
  <c r="R305" i="6"/>
  <c r="R306" i="6"/>
  <c r="R308" i="6"/>
  <c r="R313" i="6"/>
  <c r="R314" i="6"/>
  <c r="R315" i="6"/>
  <c r="R319" i="6"/>
  <c r="R320" i="6"/>
  <c r="R321" i="6"/>
  <c r="R322" i="6"/>
  <c r="R323" i="6"/>
  <c r="R326" i="6"/>
  <c r="R329" i="6"/>
  <c r="R331" i="6"/>
  <c r="R334" i="6"/>
  <c r="R336" i="6"/>
  <c r="R337" i="6"/>
  <c r="R338" i="6"/>
  <c r="R339" i="6"/>
  <c r="R343" i="6"/>
  <c r="R346" i="6"/>
  <c r="R348" i="6"/>
  <c r="R349" i="6"/>
  <c r="R353" i="6"/>
  <c r="R355" i="6"/>
  <c r="R357" i="6"/>
  <c r="R358" i="6"/>
  <c r="R362" i="6"/>
  <c r="R365" i="6"/>
  <c r="R366" i="6"/>
  <c r="J988" i="3" l="1"/>
  <c r="J987" i="3"/>
  <c r="J986" i="3"/>
  <c r="J985" i="3"/>
  <c r="J984" i="3"/>
  <c r="J983" i="3"/>
  <c r="J982" i="3"/>
  <c r="J981" i="3"/>
  <c r="J980" i="3"/>
  <c r="J979" i="3"/>
  <c r="J978" i="3"/>
  <c r="J977" i="3"/>
  <c r="J976" i="3"/>
  <c r="J975" i="3"/>
  <c r="J974" i="3"/>
  <c r="J973" i="3"/>
  <c r="J972" i="3"/>
  <c r="J971" i="3"/>
  <c r="J970" i="3"/>
  <c r="J969" i="3"/>
  <c r="J968" i="3"/>
  <c r="J967" i="3"/>
  <c r="J966" i="3"/>
  <c r="J965" i="3"/>
  <c r="J964" i="3"/>
  <c r="J963" i="3"/>
  <c r="J962" i="3"/>
  <c r="J961" i="3"/>
  <c r="J960" i="3"/>
  <c r="J959" i="3"/>
  <c r="J958" i="3"/>
  <c r="J957" i="3"/>
  <c r="J956" i="3"/>
  <c r="J955" i="3"/>
  <c r="J954" i="3"/>
  <c r="J953" i="3"/>
  <c r="J952" i="3"/>
  <c r="J951" i="3"/>
  <c r="J950" i="3"/>
  <c r="J949" i="3"/>
  <c r="J948" i="3"/>
  <c r="J947" i="3"/>
  <c r="J946" i="3"/>
  <c r="J945" i="3"/>
  <c r="J944" i="3"/>
  <c r="J943" i="3"/>
  <c r="J942" i="3"/>
  <c r="J941" i="3"/>
  <c r="J940" i="3"/>
  <c r="J939" i="3"/>
  <c r="J938" i="3"/>
  <c r="J937" i="3"/>
  <c r="J936" i="3"/>
  <c r="J935" i="3"/>
  <c r="J934" i="3"/>
  <c r="J933" i="3"/>
  <c r="J932" i="3"/>
  <c r="J931" i="3"/>
  <c r="J930" i="3"/>
  <c r="J929" i="3"/>
  <c r="J928" i="3"/>
  <c r="J927" i="3"/>
  <c r="J926" i="3"/>
  <c r="J925" i="3"/>
  <c r="J924" i="3"/>
  <c r="J923" i="3"/>
  <c r="J922" i="3"/>
  <c r="J921" i="3"/>
  <c r="J920" i="3"/>
  <c r="J919" i="3"/>
  <c r="J918" i="3"/>
  <c r="J917" i="3"/>
  <c r="J916" i="3"/>
  <c r="J915" i="3"/>
  <c r="J914" i="3"/>
  <c r="J913" i="3"/>
  <c r="J912" i="3"/>
  <c r="J911" i="3"/>
  <c r="J910" i="3"/>
  <c r="J909" i="3"/>
  <c r="J908" i="3"/>
  <c r="J907" i="3"/>
  <c r="J906" i="3"/>
  <c r="J905" i="3"/>
  <c r="J904" i="3"/>
  <c r="J903" i="3"/>
  <c r="J902" i="3"/>
  <c r="J901" i="3"/>
  <c r="J900" i="3"/>
  <c r="J899" i="3"/>
  <c r="J898" i="3"/>
  <c r="J897" i="3"/>
  <c r="J896" i="3"/>
  <c r="J895" i="3"/>
  <c r="J894" i="3"/>
  <c r="J893" i="3"/>
  <c r="J892" i="3"/>
  <c r="J891" i="3"/>
  <c r="J890" i="3"/>
  <c r="J889" i="3"/>
  <c r="J888" i="3"/>
  <c r="J887" i="3"/>
  <c r="J886" i="3"/>
  <c r="J885" i="3"/>
  <c r="J884" i="3"/>
  <c r="J883" i="3"/>
  <c r="J882" i="3"/>
  <c r="J881" i="3"/>
  <c r="J880" i="3"/>
  <c r="J879" i="3"/>
  <c r="J878" i="3"/>
  <c r="J877" i="3"/>
  <c r="J876" i="3"/>
  <c r="J875" i="3"/>
  <c r="J874" i="3"/>
  <c r="J873" i="3"/>
  <c r="J872" i="3"/>
  <c r="J871" i="3"/>
  <c r="J870" i="3"/>
  <c r="J869" i="3"/>
  <c r="J868" i="3"/>
  <c r="J867" i="3"/>
  <c r="J866" i="3"/>
  <c r="J865" i="3"/>
  <c r="J864" i="3"/>
  <c r="J863" i="3"/>
  <c r="J862" i="3"/>
  <c r="J861" i="3"/>
  <c r="J860" i="3"/>
  <c r="J859" i="3"/>
  <c r="J858" i="3"/>
  <c r="J857" i="3"/>
  <c r="J856" i="3"/>
  <c r="J855" i="3"/>
  <c r="J854" i="3"/>
  <c r="J853" i="3"/>
  <c r="J852" i="3"/>
  <c r="J851" i="3"/>
  <c r="J850" i="3"/>
  <c r="J849" i="3"/>
  <c r="J848" i="3"/>
  <c r="J847" i="3"/>
  <c r="J846" i="3"/>
  <c r="J845" i="3"/>
  <c r="J844" i="3"/>
  <c r="J843" i="3"/>
  <c r="J842" i="3"/>
  <c r="J841" i="3"/>
  <c r="J840" i="3"/>
  <c r="J839" i="3"/>
  <c r="J838" i="3"/>
  <c r="J837" i="3"/>
  <c r="J836" i="3"/>
  <c r="J835" i="3"/>
  <c r="J834" i="3"/>
  <c r="J833" i="3"/>
  <c r="J832" i="3"/>
  <c r="J831" i="3"/>
  <c r="J830" i="3"/>
  <c r="J829" i="3"/>
  <c r="J828" i="3"/>
  <c r="J827" i="3"/>
  <c r="J826" i="3"/>
  <c r="J825" i="3"/>
  <c r="J824" i="3"/>
  <c r="J823" i="3"/>
  <c r="J822" i="3"/>
  <c r="J821" i="3"/>
  <c r="J820" i="3"/>
  <c r="J819" i="3"/>
  <c r="J818" i="3"/>
  <c r="J817" i="3"/>
  <c r="J816" i="3"/>
  <c r="J815" i="3"/>
  <c r="J814" i="3"/>
  <c r="J813" i="3"/>
  <c r="J812" i="3"/>
  <c r="J811" i="3"/>
  <c r="J810" i="3"/>
  <c r="J809" i="3"/>
  <c r="J808" i="3"/>
  <c r="J807" i="3"/>
  <c r="J806" i="3"/>
  <c r="J805" i="3"/>
  <c r="J804" i="3"/>
  <c r="J803" i="3"/>
  <c r="J802" i="3"/>
  <c r="J801" i="3"/>
  <c r="J800" i="3"/>
  <c r="J799" i="3"/>
  <c r="J798" i="3"/>
  <c r="J797" i="3"/>
  <c r="J796" i="3"/>
  <c r="J795" i="3"/>
  <c r="J794" i="3"/>
  <c r="J793" i="3"/>
  <c r="J792" i="3"/>
  <c r="J791" i="3"/>
  <c r="J790" i="3"/>
  <c r="J789" i="3"/>
  <c r="J788" i="3"/>
  <c r="J787" i="3"/>
  <c r="J786" i="3"/>
  <c r="J785" i="3"/>
  <c r="J784" i="3"/>
  <c r="J783" i="3"/>
  <c r="J782" i="3"/>
  <c r="J781" i="3"/>
  <c r="J780" i="3"/>
  <c r="J779" i="3"/>
  <c r="J778" i="3"/>
  <c r="J777" i="3"/>
  <c r="J776" i="3"/>
  <c r="J775" i="3"/>
  <c r="J774" i="3"/>
  <c r="J773" i="3"/>
  <c r="J772" i="3"/>
  <c r="J771" i="3"/>
  <c r="J770" i="3"/>
  <c r="J769" i="3"/>
  <c r="J768" i="3"/>
  <c r="J767" i="3"/>
  <c r="J766" i="3"/>
  <c r="J765" i="3"/>
  <c r="J764" i="3"/>
  <c r="J763" i="3"/>
  <c r="J762" i="3"/>
  <c r="J761" i="3"/>
  <c r="J760" i="3"/>
  <c r="J759" i="3"/>
  <c r="J758" i="3"/>
  <c r="J757" i="3"/>
  <c r="J756" i="3"/>
  <c r="J755" i="3"/>
  <c r="J754" i="3"/>
  <c r="J753" i="3"/>
  <c r="J752" i="3"/>
  <c r="J751" i="3"/>
  <c r="J750" i="3"/>
  <c r="J749" i="3"/>
  <c r="J748" i="3"/>
  <c r="J747" i="3"/>
  <c r="J746" i="3"/>
  <c r="J745" i="3"/>
  <c r="J744" i="3"/>
  <c r="J743" i="3"/>
  <c r="J742" i="3"/>
  <c r="J741" i="3"/>
  <c r="J740" i="3"/>
  <c r="J739" i="3"/>
  <c r="J738" i="3"/>
  <c r="J737" i="3"/>
  <c r="J736" i="3"/>
  <c r="J735" i="3"/>
  <c r="J734" i="3"/>
  <c r="J733" i="3"/>
  <c r="J732" i="3"/>
  <c r="J731" i="3"/>
  <c r="J730" i="3"/>
  <c r="J729" i="3"/>
  <c r="J728" i="3"/>
  <c r="J727" i="3"/>
  <c r="J726" i="3"/>
  <c r="J725" i="3"/>
  <c r="J724" i="3"/>
  <c r="J723" i="3"/>
  <c r="J722" i="3"/>
  <c r="J721" i="3"/>
  <c r="J720" i="3"/>
  <c r="J719" i="3"/>
  <c r="J718" i="3"/>
  <c r="J717" i="3"/>
  <c r="J716" i="3"/>
  <c r="J715" i="3"/>
  <c r="J714" i="3"/>
  <c r="J713" i="3"/>
  <c r="J712" i="3"/>
  <c r="J711" i="3"/>
  <c r="J710" i="3"/>
  <c r="J709" i="3"/>
  <c r="J708" i="3"/>
  <c r="J707" i="3"/>
  <c r="J706" i="3"/>
  <c r="J705" i="3"/>
  <c r="J704" i="3"/>
  <c r="J703" i="3"/>
  <c r="J702" i="3"/>
  <c r="J701" i="3"/>
  <c r="J700" i="3"/>
  <c r="J699" i="3"/>
  <c r="J698" i="3"/>
  <c r="J697" i="3"/>
  <c r="J696" i="3"/>
  <c r="J695" i="3"/>
  <c r="J694" i="3"/>
  <c r="J693" i="3"/>
  <c r="J692" i="3"/>
  <c r="J691" i="3"/>
  <c r="J690" i="3"/>
  <c r="J689" i="3"/>
  <c r="J688" i="3"/>
  <c r="J687" i="3"/>
  <c r="J686" i="3"/>
  <c r="J685" i="3"/>
  <c r="J684" i="3"/>
  <c r="J683" i="3"/>
  <c r="J682" i="3"/>
  <c r="J681" i="3"/>
  <c r="J680" i="3"/>
  <c r="J679" i="3"/>
  <c r="J678" i="3"/>
  <c r="J677" i="3"/>
  <c r="J676" i="3"/>
  <c r="J675" i="3"/>
  <c r="J674" i="3"/>
  <c r="J673" i="3"/>
  <c r="J672" i="3"/>
  <c r="J671" i="3"/>
  <c r="J670" i="3"/>
  <c r="J669" i="3"/>
  <c r="J668" i="3"/>
  <c r="J667" i="3"/>
  <c r="J666" i="3"/>
  <c r="J665" i="3"/>
  <c r="J664" i="3"/>
  <c r="J663" i="3"/>
  <c r="J662" i="3"/>
  <c r="J661" i="3"/>
  <c r="J660" i="3"/>
  <c r="J659" i="3"/>
  <c r="J658" i="3"/>
  <c r="J657" i="3"/>
  <c r="J656" i="3"/>
  <c r="J655" i="3"/>
  <c r="J654" i="3"/>
  <c r="J653" i="3"/>
  <c r="J652" i="3"/>
  <c r="J651" i="3"/>
  <c r="J650" i="3"/>
  <c r="J649" i="3"/>
  <c r="J648" i="3"/>
  <c r="J647" i="3"/>
  <c r="J646" i="3"/>
  <c r="J645" i="3"/>
  <c r="J644" i="3"/>
  <c r="J643" i="3"/>
  <c r="J642" i="3"/>
  <c r="J641" i="3"/>
  <c r="J640" i="3"/>
  <c r="J639" i="3"/>
  <c r="J638" i="3"/>
  <c r="J637" i="3"/>
  <c r="J636" i="3"/>
  <c r="J635" i="3"/>
  <c r="J634" i="3"/>
  <c r="J633" i="3"/>
  <c r="J632" i="3"/>
  <c r="J631" i="3"/>
  <c r="J630" i="3"/>
  <c r="J629" i="3"/>
  <c r="J628" i="3"/>
  <c r="J627" i="3"/>
  <c r="J626" i="3"/>
  <c r="J625" i="3"/>
  <c r="J624" i="3"/>
  <c r="J623" i="3"/>
  <c r="J622" i="3"/>
  <c r="J621" i="3"/>
  <c r="J620" i="3"/>
  <c r="J619" i="3"/>
  <c r="J618" i="3"/>
  <c r="J617" i="3"/>
  <c r="J616" i="3"/>
  <c r="J615" i="3"/>
  <c r="J614" i="3"/>
  <c r="J613" i="3"/>
  <c r="J612" i="3"/>
  <c r="J611" i="3"/>
  <c r="J610" i="3"/>
  <c r="J609" i="3"/>
  <c r="J608" i="3"/>
  <c r="J607" i="3"/>
  <c r="J606" i="3"/>
  <c r="J605" i="3"/>
  <c r="J604" i="3"/>
  <c r="J603" i="3"/>
  <c r="J602" i="3"/>
  <c r="J601" i="3"/>
  <c r="J600" i="3"/>
  <c r="J599" i="3"/>
  <c r="J598" i="3"/>
  <c r="J597" i="3"/>
  <c r="J596" i="3"/>
  <c r="J595" i="3"/>
  <c r="J594" i="3"/>
  <c r="J593" i="3"/>
  <c r="J592" i="3"/>
  <c r="J591" i="3"/>
  <c r="J590" i="3"/>
  <c r="J589" i="3"/>
  <c r="J588" i="3"/>
  <c r="J587" i="3"/>
  <c r="J586" i="3"/>
  <c r="J585" i="3"/>
  <c r="J584" i="3"/>
  <c r="J583" i="3"/>
  <c r="J582" i="3"/>
  <c r="J581" i="3"/>
  <c r="J580" i="3"/>
  <c r="J579" i="3"/>
  <c r="J578" i="3"/>
  <c r="J577" i="3"/>
  <c r="J576" i="3"/>
  <c r="J575" i="3"/>
  <c r="J574" i="3"/>
  <c r="J573" i="3"/>
  <c r="J572" i="3"/>
  <c r="J571" i="3"/>
  <c r="J570" i="3"/>
  <c r="J569" i="3"/>
  <c r="J568" i="3"/>
  <c r="J567" i="3"/>
  <c r="J566" i="3"/>
  <c r="J565" i="3"/>
  <c r="J564" i="3"/>
  <c r="J563" i="3"/>
  <c r="J562" i="3"/>
  <c r="J561" i="3"/>
  <c r="J560" i="3"/>
  <c r="J559" i="3"/>
  <c r="J558" i="3"/>
  <c r="J557" i="3"/>
  <c r="J556" i="3"/>
  <c r="J555" i="3"/>
  <c r="J554" i="3"/>
  <c r="J553" i="3"/>
  <c r="J552" i="3"/>
  <c r="J551" i="3"/>
  <c r="J550" i="3"/>
  <c r="J549" i="3"/>
  <c r="J548" i="3"/>
  <c r="J547" i="3"/>
  <c r="J546" i="3"/>
  <c r="J545" i="3"/>
  <c r="J544" i="3"/>
  <c r="J543" i="3"/>
  <c r="J542" i="3"/>
  <c r="J541" i="3"/>
  <c r="J540" i="3"/>
  <c r="J539" i="3"/>
  <c r="J538" i="3"/>
  <c r="J537" i="3"/>
  <c r="J536" i="3"/>
  <c r="J535" i="3"/>
  <c r="J534" i="3"/>
  <c r="J533" i="3"/>
  <c r="J532" i="3"/>
  <c r="J531" i="3"/>
  <c r="J530" i="3"/>
  <c r="J529" i="3"/>
  <c r="J528" i="3"/>
  <c r="J527" i="3"/>
  <c r="J526" i="3"/>
  <c r="J525" i="3"/>
  <c r="J524" i="3"/>
  <c r="J523" i="3"/>
  <c r="J522" i="3"/>
  <c r="J521" i="3"/>
  <c r="J520" i="3"/>
  <c r="J519" i="3"/>
  <c r="J518" i="3"/>
  <c r="J517" i="3"/>
  <c r="J516" i="3"/>
  <c r="J515" i="3"/>
  <c r="J514" i="3"/>
  <c r="J513" i="3"/>
  <c r="J512" i="3"/>
  <c r="J511" i="3"/>
  <c r="J510" i="3"/>
  <c r="J509" i="3"/>
  <c r="J508" i="3"/>
  <c r="J507" i="3"/>
  <c r="J506" i="3"/>
  <c r="J505" i="3"/>
  <c r="J504" i="3"/>
  <c r="J503" i="3"/>
  <c r="J502" i="3"/>
  <c r="J501" i="3"/>
  <c r="J500" i="3"/>
  <c r="J499" i="3"/>
  <c r="J498" i="3"/>
  <c r="J497" i="3"/>
  <c r="J496" i="3"/>
  <c r="J495" i="3"/>
  <c r="J494" i="3"/>
  <c r="J493" i="3"/>
  <c r="J492" i="3"/>
  <c r="J491" i="3"/>
  <c r="J490" i="3"/>
  <c r="J489" i="3"/>
  <c r="J488" i="3"/>
  <c r="J487" i="3"/>
  <c r="J486" i="3"/>
  <c r="J485" i="3"/>
  <c r="J484" i="3"/>
  <c r="J483" i="3"/>
  <c r="J482" i="3"/>
  <c r="J481" i="3"/>
  <c r="J480" i="3"/>
  <c r="J479" i="3"/>
  <c r="J478" i="3"/>
  <c r="J477" i="3"/>
  <c r="J476" i="3"/>
  <c r="J475" i="3"/>
  <c r="J474" i="3"/>
  <c r="J473" i="3"/>
  <c r="J472" i="3"/>
  <c r="J471" i="3"/>
  <c r="J470" i="3"/>
  <c r="J469" i="3"/>
  <c r="J468" i="3"/>
  <c r="J467" i="3"/>
  <c r="J466" i="3"/>
  <c r="J465" i="3"/>
  <c r="J464" i="3"/>
  <c r="J463" i="3"/>
  <c r="J462" i="3"/>
  <c r="J461" i="3"/>
  <c r="J460" i="3"/>
  <c r="J459" i="3"/>
  <c r="J458" i="3"/>
  <c r="J457" i="3"/>
  <c r="J456" i="3"/>
  <c r="J455" i="3"/>
  <c r="J454" i="3"/>
  <c r="J453" i="3"/>
  <c r="J452" i="3"/>
  <c r="J451" i="3"/>
  <c r="J450" i="3"/>
  <c r="J449" i="3"/>
  <c r="J448" i="3"/>
  <c r="J447" i="3"/>
  <c r="J446" i="3"/>
  <c r="J445" i="3"/>
  <c r="J444" i="3"/>
  <c r="J443" i="3"/>
  <c r="J442" i="3"/>
  <c r="J441" i="3"/>
  <c r="J440" i="3"/>
  <c r="J439" i="3"/>
  <c r="J438" i="3"/>
  <c r="J437" i="3"/>
  <c r="J436" i="3"/>
  <c r="J435" i="3"/>
  <c r="J434" i="3"/>
  <c r="J433" i="3"/>
  <c r="J432" i="3"/>
  <c r="J431" i="3"/>
  <c r="J430" i="3"/>
  <c r="J429" i="3"/>
  <c r="J428" i="3"/>
  <c r="J427" i="3"/>
  <c r="J426" i="3"/>
  <c r="J425" i="3"/>
  <c r="J424" i="3"/>
  <c r="J423" i="3"/>
  <c r="J422" i="3"/>
  <c r="J421" i="3"/>
  <c r="J420" i="3"/>
  <c r="J419" i="3"/>
  <c r="J418" i="3"/>
  <c r="J417" i="3"/>
  <c r="J416" i="3"/>
  <c r="J415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J397" i="3"/>
  <c r="J396" i="3"/>
  <c r="J395" i="3"/>
  <c r="J394" i="3"/>
  <c r="J393" i="3"/>
  <c r="J392" i="3"/>
  <c r="J391" i="3"/>
  <c r="J390" i="3"/>
  <c r="J389" i="3"/>
  <c r="J388" i="3"/>
  <c r="J387" i="3"/>
  <c r="J386" i="3"/>
  <c r="J385" i="3"/>
  <c r="J384" i="3"/>
  <c r="J383" i="3"/>
  <c r="J382" i="3"/>
  <c r="J381" i="3"/>
  <c r="J380" i="3"/>
  <c r="J379" i="3"/>
  <c r="J378" i="3"/>
  <c r="J377" i="3"/>
  <c r="J376" i="3"/>
  <c r="J375" i="3"/>
  <c r="J374" i="3"/>
  <c r="J373" i="3"/>
  <c r="J372" i="3"/>
  <c r="J371" i="3"/>
  <c r="J370" i="3"/>
  <c r="J369" i="3"/>
  <c r="J368" i="3"/>
  <c r="J367" i="3"/>
  <c r="J366" i="3"/>
  <c r="J365" i="3"/>
  <c r="J364" i="3"/>
  <c r="J363" i="3"/>
  <c r="J362" i="3"/>
  <c r="J361" i="3"/>
  <c r="J360" i="3"/>
  <c r="J359" i="3"/>
  <c r="J358" i="3"/>
  <c r="J357" i="3"/>
  <c r="J356" i="3"/>
  <c r="J355" i="3"/>
  <c r="J354" i="3"/>
  <c r="J353" i="3"/>
  <c r="J352" i="3"/>
  <c r="J351" i="3"/>
  <c r="J350" i="3"/>
  <c r="J349" i="3"/>
  <c r="J348" i="3"/>
  <c r="J347" i="3"/>
  <c r="J346" i="3"/>
  <c r="J345" i="3"/>
  <c r="J344" i="3"/>
  <c r="J343" i="3"/>
  <c r="J342" i="3"/>
  <c r="J341" i="3"/>
  <c r="J340" i="3"/>
  <c r="J339" i="3"/>
  <c r="J338" i="3"/>
  <c r="J337" i="3"/>
  <c r="J336" i="3"/>
  <c r="J335" i="3"/>
  <c r="J334" i="3"/>
  <c r="J333" i="3"/>
  <c r="J332" i="3"/>
  <c r="J331" i="3"/>
  <c r="J330" i="3"/>
  <c r="J329" i="3"/>
  <c r="J328" i="3"/>
  <c r="J327" i="3"/>
  <c r="J326" i="3"/>
  <c r="J325" i="3"/>
  <c r="J324" i="3"/>
  <c r="J323" i="3"/>
  <c r="J322" i="3"/>
  <c r="J321" i="3"/>
  <c r="J320" i="3"/>
  <c r="J319" i="3"/>
  <c r="J318" i="3"/>
  <c r="J317" i="3"/>
  <c r="J316" i="3"/>
  <c r="J315" i="3"/>
  <c r="J314" i="3"/>
  <c r="J313" i="3"/>
  <c r="J312" i="3"/>
  <c r="J311" i="3"/>
  <c r="J310" i="3"/>
  <c r="J309" i="3"/>
  <c r="J308" i="3"/>
  <c r="J307" i="3"/>
  <c r="J306" i="3"/>
  <c r="J305" i="3"/>
  <c r="J304" i="3"/>
  <c r="J303" i="3"/>
  <c r="J302" i="3"/>
  <c r="J301" i="3"/>
  <c r="J300" i="3"/>
  <c r="J299" i="3"/>
  <c r="J298" i="3"/>
  <c r="J297" i="3"/>
  <c r="J296" i="3"/>
  <c r="J295" i="3"/>
  <c r="J294" i="3"/>
  <c r="J293" i="3"/>
  <c r="J292" i="3"/>
  <c r="J291" i="3"/>
  <c r="J290" i="3"/>
  <c r="J289" i="3"/>
  <c r="J288" i="3"/>
  <c r="J287" i="3"/>
  <c r="J286" i="3"/>
  <c r="J285" i="3"/>
  <c r="J284" i="3"/>
  <c r="J283" i="3"/>
  <c r="J282" i="3"/>
  <c r="J281" i="3"/>
  <c r="J280" i="3"/>
  <c r="J279" i="3"/>
  <c r="J278" i="3"/>
  <c r="J277" i="3"/>
  <c r="J276" i="3"/>
  <c r="J275" i="3"/>
  <c r="J274" i="3"/>
  <c r="J273" i="3"/>
  <c r="J272" i="3"/>
  <c r="J271" i="3"/>
  <c r="J270" i="3"/>
  <c r="J269" i="3"/>
  <c r="J268" i="3"/>
  <c r="J267" i="3"/>
  <c r="J266" i="3"/>
  <c r="J265" i="3"/>
  <c r="J264" i="3"/>
  <c r="J263" i="3"/>
  <c r="J262" i="3"/>
  <c r="J261" i="3"/>
  <c r="J260" i="3"/>
  <c r="J259" i="3"/>
  <c r="J258" i="3"/>
  <c r="J257" i="3"/>
  <c r="J256" i="3"/>
  <c r="J255" i="3"/>
  <c r="J254" i="3"/>
  <c r="J253" i="3"/>
  <c r="J252" i="3"/>
  <c r="J251" i="3"/>
  <c r="J250" i="3"/>
  <c r="J249" i="3"/>
  <c r="J248" i="3"/>
  <c r="J247" i="3"/>
  <c r="J246" i="3"/>
  <c r="J245" i="3"/>
  <c r="J244" i="3"/>
  <c r="J243" i="3"/>
  <c r="J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9" i="3"/>
  <c r="J228" i="3"/>
  <c r="J227" i="3"/>
  <c r="J226" i="3"/>
  <c r="J225" i="3"/>
  <c r="J224" i="3"/>
  <c r="J223" i="3"/>
  <c r="J222" i="3"/>
  <c r="J221" i="3"/>
  <c r="J220" i="3"/>
  <c r="J219" i="3"/>
  <c r="J218" i="3"/>
  <c r="J217" i="3"/>
  <c r="J216" i="3"/>
  <c r="J215" i="3"/>
  <c r="J214" i="3"/>
  <c r="J213" i="3"/>
  <c r="J212" i="3"/>
  <c r="J211" i="3"/>
  <c r="J210" i="3"/>
  <c r="J209" i="3"/>
  <c r="J208" i="3"/>
  <c r="J207" i="3"/>
  <c r="J206" i="3"/>
  <c r="J205" i="3"/>
  <c r="J204" i="3"/>
  <c r="J203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J189" i="3"/>
  <c r="J188" i="3"/>
  <c r="J187" i="3"/>
  <c r="J186" i="3"/>
  <c r="J185" i="3"/>
  <c r="J184" i="3"/>
  <c r="J183" i="3"/>
  <c r="J182" i="3"/>
  <c r="J181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" i="3"/>
</calcChain>
</file>

<file path=xl/sharedStrings.xml><?xml version="1.0" encoding="utf-8"?>
<sst xmlns="http://schemas.openxmlformats.org/spreadsheetml/2006/main" count="55615" uniqueCount="1436">
  <si>
    <t>Pos</t>
  </si>
  <si>
    <t>Team</t>
  </si>
  <si>
    <t>M</t>
  </si>
  <si>
    <t>W</t>
  </si>
  <si>
    <t>L</t>
  </si>
  <si>
    <t>NR</t>
  </si>
  <si>
    <t>Pts</t>
  </si>
  <si>
    <t>NRR</t>
  </si>
  <si>
    <t>Playoffs</t>
  </si>
  <si>
    <t>Rajasthan Royals</t>
  </si>
  <si>
    <t>Kings XI Punjab</t>
  </si>
  <si>
    <t>Chennai Super Kings</t>
  </si>
  <si>
    <t>Delhi Daredevils</t>
  </si>
  <si>
    <t>Mumbai Indians</t>
  </si>
  <si>
    <t>Kolkata Knight Riders</t>
  </si>
  <si>
    <t>Royal Challengers Bangalore</t>
  </si>
  <si>
    <t>Deccan Chargers</t>
  </si>
  <si>
    <t>Kochi Tuskers Kerala</t>
  </si>
  <si>
    <t>Pune Warriors</t>
  </si>
  <si>
    <t>Sunrisers Hyderabad</t>
  </si>
  <si>
    <t>Gujarat Lions</t>
  </si>
  <si>
    <t>Rising Pune Supergiant</t>
  </si>
  <si>
    <t>Delhi Capitals</t>
  </si>
  <si>
    <t>Punjab Kings</t>
  </si>
  <si>
    <t>Gujarat Titans</t>
  </si>
  <si>
    <t>Lucknow Super Giants</t>
  </si>
  <si>
    <t>Royal Challengers Bengaluru</t>
  </si>
  <si>
    <t>Season</t>
  </si>
  <si>
    <t>Name</t>
  </si>
  <si>
    <t>Current</t>
  </si>
  <si>
    <t>Y</t>
  </si>
  <si>
    <t>N</t>
  </si>
  <si>
    <t>Round</t>
  </si>
  <si>
    <t>Team 1</t>
  </si>
  <si>
    <t>Team 2</t>
  </si>
  <si>
    <t>Result</t>
  </si>
  <si>
    <t>Semifinal 1</t>
  </si>
  <si>
    <t>RR won by 105 runs</t>
  </si>
  <si>
    <t>Semifinal 2</t>
  </si>
  <si>
    <t>CSK won by 9 wickets</t>
  </si>
  <si>
    <t>Final</t>
  </si>
  <si>
    <t>RR won by 3 wickets</t>
  </si>
  <si>
    <t>DEC won by 6 wickets</t>
  </si>
  <si>
    <t>RCB won by 6 wickets</t>
  </si>
  <si>
    <t>DEC won by 6 runs</t>
  </si>
  <si>
    <t>MI won by 35 runs</t>
  </si>
  <si>
    <t>CSK won by 38 runs</t>
  </si>
  <si>
    <t>Third-Place Playoff</t>
  </si>
  <si>
    <t>RCB won by 9 wickets</t>
  </si>
  <si>
    <t>CSK won by 22 runs</t>
  </si>
  <si>
    <t>Qualifier 1</t>
  </si>
  <si>
    <t>CSK won by 6 wickets</t>
  </si>
  <si>
    <t>Eliminator</t>
  </si>
  <si>
    <t>MI won by 4 wickets</t>
  </si>
  <si>
    <t>Qualifier 2</t>
  </si>
  <si>
    <t>RCB won by 43 runs</t>
  </si>
  <si>
    <t>CSK won by 58 runs</t>
  </si>
  <si>
    <t>KKR won by 18 runs</t>
  </si>
  <si>
    <t>CSK won by 86 runs</t>
  </si>
  <si>
    <t>KKR won by 5 wickets</t>
  </si>
  <si>
    <t>CSK won by 48 runs</t>
  </si>
  <si>
    <t>RR won by 4 wickets</t>
  </si>
  <si>
    <t>MI won by 23 runs</t>
  </si>
  <si>
    <t>KKR won by 28 runs</t>
  </si>
  <si>
    <t>CSK won by 7 wickets</t>
  </si>
  <si>
    <t>KXIP won by 24 runs</t>
  </si>
  <si>
    <t>KKR won by 3 wickets</t>
  </si>
  <si>
    <t>MI won by 25 runs</t>
  </si>
  <si>
    <t>RCB won by 71 runs</t>
  </si>
  <si>
    <t>CSK won by 3 wickets</t>
  </si>
  <si>
    <t>MI won by 41 runs</t>
  </si>
  <si>
    <t>RCB won by 4 wickets</t>
  </si>
  <si>
    <t>SRH won by 22 runs</t>
  </si>
  <si>
    <t>SRH won by 4 wickets</t>
  </si>
  <si>
    <t>SRH won by 8 runs</t>
  </si>
  <si>
    <t>RPSG won by 20 runs</t>
  </si>
  <si>
    <t>KKR won by 7 wickets (D/L)</t>
  </si>
  <si>
    <t>MI won by 6 wickets</t>
  </si>
  <si>
    <t>MI won by 1 run</t>
  </si>
  <si>
    <t>CSK won by 2 wickets</t>
  </si>
  <si>
    <t>KKR won by 25 runs</t>
  </si>
  <si>
    <t>SRH won by 14 runs</t>
  </si>
  <si>
    <t>CSK won by 8 wickets</t>
  </si>
  <si>
    <t>DC won by 2 wickets</t>
  </si>
  <si>
    <t>MI won by 57 runs</t>
  </si>
  <si>
    <t>SRH won by 6 wickets</t>
  </si>
  <si>
    <t>DC won by 17 runs</t>
  </si>
  <si>
    <t>MI won by 5 wickets</t>
  </si>
  <si>
    <t>CSK won by 4 wickets</t>
  </si>
  <si>
    <t>KKR won by 4 wickets</t>
  </si>
  <si>
    <t>CSK won by 27 runs</t>
  </si>
  <si>
    <t>GT won by 7 wickets</t>
  </si>
  <si>
    <t>RCB won by 14 runs</t>
  </si>
  <si>
    <t>RR won by 7 wickets</t>
  </si>
  <si>
    <t>CSK won by 15 runs</t>
  </si>
  <si>
    <t>MI won by 81 runs</t>
  </si>
  <si>
    <t>GT won by 62 runs</t>
  </si>
  <si>
    <t>CSK won by 5 wickets</t>
  </si>
  <si>
    <t>SRH won by 36 runs</t>
  </si>
  <si>
    <t>KKR won by 8 wickets</t>
  </si>
  <si>
    <t>RCB won by 8 wickets</t>
  </si>
  <si>
    <t>MI won by 20 runs</t>
  </si>
  <si>
    <t>PBKS won by 5 wickets</t>
  </si>
  <si>
    <t>RCB won by 6 runs</t>
  </si>
  <si>
    <t>RCB won by 92 runs</t>
  </si>
  <si>
    <t>RCB won by 5 wickets</t>
  </si>
  <si>
    <t>RR won by 47 runs</t>
  </si>
  <si>
    <t>Champions</t>
  </si>
  <si>
    <t/>
  </si>
  <si>
    <t>Chennai</t>
  </si>
  <si>
    <t>Tamil Nadu</t>
  </si>
  <si>
    <t>Delhi</t>
  </si>
  <si>
    <t>National Capital Territory</t>
  </si>
  <si>
    <t>Ahmedabad</t>
  </si>
  <si>
    <t>Gujarat</t>
  </si>
  <si>
    <t>Calcutta</t>
  </si>
  <si>
    <t>West Bengal</t>
  </si>
  <si>
    <t>Lucknow</t>
  </si>
  <si>
    <t>Uttar Pradesh</t>
  </si>
  <si>
    <t>Mumbai</t>
  </si>
  <si>
    <t>Maharashtra</t>
  </si>
  <si>
    <t>Chandigarh</t>
  </si>
  <si>
    <t>Jaipur</t>
  </si>
  <si>
    <t>Rajasthan</t>
  </si>
  <si>
    <t>Bangalore</t>
  </si>
  <si>
    <t>Karnataka</t>
  </si>
  <si>
    <t>Hyderabad</t>
  </si>
  <si>
    <t>Telangana</t>
  </si>
  <si>
    <t>Metro Area</t>
  </si>
  <si>
    <t>State</t>
  </si>
  <si>
    <t>Kochi</t>
  </si>
  <si>
    <t>Kerala</t>
  </si>
  <si>
    <t>Pune</t>
  </si>
  <si>
    <t>Rajkot</t>
  </si>
  <si>
    <t>Competition</t>
  </si>
  <si>
    <t>League</t>
  </si>
  <si>
    <t>Group</t>
  </si>
  <si>
    <t>1st Round</t>
  </si>
  <si>
    <t>2nd Round</t>
  </si>
  <si>
    <t>W%</t>
  </si>
  <si>
    <t>Play. Ap</t>
  </si>
  <si>
    <t>QF App</t>
  </si>
  <si>
    <t>Final Four App</t>
  </si>
  <si>
    <t>Cham App</t>
  </si>
  <si>
    <t>Champs.</t>
  </si>
  <si>
    <t>QF W</t>
  </si>
  <si>
    <t>QF L</t>
  </si>
  <si>
    <t>Final 4 W</t>
  </si>
  <si>
    <t>Final 4 L</t>
  </si>
  <si>
    <t>Olympiacos BC</t>
  </si>
  <si>
    <t>2025-26</t>
  </si>
  <si>
    <t>EuroLeague</t>
  </si>
  <si>
    <t>Greece</t>
  </si>
  <si>
    <t>Valencia Basket</t>
  </si>
  <si>
    <t>Spain</t>
  </si>
  <si>
    <t>Real Madrid Baloncesto</t>
  </si>
  <si>
    <t>Fenerbahçe Basketball</t>
  </si>
  <si>
    <t>Turkey</t>
  </si>
  <si>
    <t>BC Žalgiris</t>
  </si>
  <si>
    <t>Lithuania</t>
  </si>
  <si>
    <t>Hapoel Tel Aviv BC</t>
  </si>
  <si>
    <t>Israel</t>
  </si>
  <si>
    <t>Panathinaikos BC</t>
  </si>
  <si>
    <t>AS Monaco Basket</t>
  </si>
  <si>
    <t>France</t>
  </si>
  <si>
    <t>KK Crvena zvezda</t>
  </si>
  <si>
    <t>Serbia</t>
  </si>
  <si>
    <t>Dubai Basketball</t>
  </si>
  <si>
    <t>United Arab Emirates</t>
  </si>
  <si>
    <t>Maccabi Tel Aviv BC</t>
  </si>
  <si>
    <t>Olimpia Milano</t>
  </si>
  <si>
    <t>Italy</t>
  </si>
  <si>
    <t>FC Bayern München Basketball</t>
  </si>
  <si>
    <t>Germany</t>
  </si>
  <si>
    <t>KK Partizan</t>
  </si>
  <si>
    <t>Paris Basketball</t>
  </si>
  <si>
    <t>Virtus Bologna</t>
  </si>
  <si>
    <t>Saski Baskonia</t>
  </si>
  <si>
    <t>Anadolu Efes</t>
  </si>
  <si>
    <t>ASVEL Basket</t>
  </si>
  <si>
    <t>2024-25</t>
  </si>
  <si>
    <t>Alba Berlin</t>
  </si>
  <si>
    <t>2023-24</t>
  </si>
  <si>
    <t>2022-23</t>
  </si>
  <si>
    <t>Bitci Baskonia</t>
  </si>
  <si>
    <t>2021-22</t>
  </si>
  <si>
    <t>BC Zenit Saint Petersburg</t>
  </si>
  <si>
    <t>Russia</t>
  </si>
  <si>
    <t>PBC CSKA Moscow</t>
  </si>
  <si>
    <t>BC UNICS Kazan</t>
  </si>
  <si>
    <t>2020-21</t>
  </si>
  <si>
    <t>TD Systems Baskonia</t>
  </si>
  <si>
    <t>BC Khimki</t>
  </si>
  <si>
    <t>2019-20</t>
  </si>
  <si>
    <t>Kirolbet Baskonia</t>
  </si>
  <si>
    <t>2018-19</t>
  </si>
  <si>
    <t>CB Gran Canaria</t>
  </si>
  <si>
    <t>KK Budućnost</t>
  </si>
  <si>
    <t>Montenegro</t>
  </si>
  <si>
    <t>Daçka Basketbol</t>
  </si>
  <si>
    <t>2017-18</t>
  </si>
  <si>
    <t>Unicaja Málaga</t>
  </si>
  <si>
    <t>Brose Bamberg</t>
  </si>
  <si>
    <t>2016-17</t>
  </si>
  <si>
    <t>Galatasaray Basketball</t>
  </si>
  <si>
    <t>Galatasaray Odeabank</t>
  </si>
  <si>
    <t>2015-16</t>
  </si>
  <si>
    <t>D</t>
  </si>
  <si>
    <t>A</t>
  </si>
  <si>
    <t>PBC Lokomotiv Kuban</t>
  </si>
  <si>
    <t>C</t>
  </si>
  <si>
    <t>Laboral Kutxa Baskonia</t>
  </si>
  <si>
    <t>B</t>
  </si>
  <si>
    <t>Brose Baskets</t>
  </si>
  <si>
    <t>KK Cedevita Junior</t>
  </si>
  <si>
    <t>Croatia</t>
  </si>
  <si>
    <t>Limoges CSP</t>
  </si>
  <si>
    <t>SIG Strasbourg</t>
  </si>
  <si>
    <t>Karşıyaka Basket</t>
  </si>
  <si>
    <t>Zastal Zielona Góra</t>
  </si>
  <si>
    <t>Poland</t>
  </si>
  <si>
    <t>Dinamo Sassari</t>
  </si>
  <si>
    <t>2014-15</t>
  </si>
  <si>
    <t>BC Nizhny Novgorod</t>
  </si>
  <si>
    <t>Galatasaray Liv Hospital</t>
  </si>
  <si>
    <t>Neptūnas Klaipėda</t>
  </si>
  <si>
    <t>Turów Zgorzelec</t>
  </si>
  <si>
    <t>2013-14</t>
  </si>
  <si>
    <t>Nanterre 92</t>
  </si>
  <si>
    <t>JSF Nanterre</t>
  </si>
  <si>
    <t>Montepaschi Siena</t>
  </si>
  <si>
    <t>BC Budivelnyk</t>
  </si>
  <si>
    <t>Budivelnyk</t>
  </si>
  <si>
    <t>Ukraine</t>
  </si>
  <si>
    <t>BC Rytas</t>
  </si>
  <si>
    <t>Lietuvos rytas</t>
  </si>
  <si>
    <t>2012-13</t>
  </si>
  <si>
    <t>Beşiktaş Basketbol</t>
  </si>
  <si>
    <t>Élan Chalon</t>
  </si>
  <si>
    <t>Pallacanestro Cantù</t>
  </si>
  <si>
    <t>Mapooro Cantù</t>
  </si>
  <si>
    <t>KK Cedevita Olimpija</t>
  </si>
  <si>
    <t>KK Olimpija</t>
  </si>
  <si>
    <t>Slovenia</t>
  </si>
  <si>
    <t>Arka Gdynia BC</t>
  </si>
  <si>
    <t>Asseco Prokom Gydnia</t>
  </si>
  <si>
    <t>2011-12</t>
  </si>
  <si>
    <t>Bilbao Basket</t>
  </si>
  <si>
    <t>Galatasaray Medical Park</t>
  </si>
  <si>
    <t>SLUC Nancy Basket</t>
  </si>
  <si>
    <t>Spirou Charleroi</t>
  </si>
  <si>
    <t>Belgium</t>
  </si>
  <si>
    <t>KK Zagreb</t>
  </si>
  <si>
    <t>2010-11</t>
  </si>
  <si>
    <t>Caja Laboral</t>
  </si>
  <si>
    <t>Virtus Roma</t>
  </si>
  <si>
    <t>Cholet Basket</t>
  </si>
  <si>
    <t>KK Cibona</t>
  </si>
  <si>
    <t>2009-10</t>
  </si>
  <si>
    <t>Maroussi BC</t>
  </si>
  <si>
    <t>Maroussi</t>
  </si>
  <si>
    <t>Orléans Loiret Basket</t>
  </si>
  <si>
    <t>Entente Orléanaise Loiret</t>
  </si>
  <si>
    <t>Baskets Oldenburg</t>
  </si>
  <si>
    <t>2008-09</t>
  </si>
  <si>
    <t>TAU Cerámica</t>
  </si>
  <si>
    <t>Asseco Prokom Sopot</t>
  </si>
  <si>
    <t>Joventut Badalona</t>
  </si>
  <si>
    <t>Panionios BC</t>
  </si>
  <si>
    <t>Felice Scandone</t>
  </si>
  <si>
    <t>Air Avellino</t>
  </si>
  <si>
    <t>Le Mans Sarthe Basket</t>
  </si>
  <si>
    <t>2007-08</t>
  </si>
  <si>
    <t>Aris Thessaloniki BC</t>
  </si>
  <si>
    <t>Prokom Trefl Sopot</t>
  </si>
  <si>
    <t>2006-07</t>
  </si>
  <si>
    <t>MBC Dynamo Moscow</t>
  </si>
  <si>
    <t>Dynamo Moscow</t>
  </si>
  <si>
    <t>Benetton Treviso</t>
  </si>
  <si>
    <t>Élan Béarnais</t>
  </si>
  <si>
    <t>Élan Béarnais Pau-Orthez</t>
  </si>
  <si>
    <t>SS Basket Napoli</t>
  </si>
  <si>
    <t>RheinStars Köln</t>
  </si>
  <si>
    <t>RheinEnergie Köln</t>
  </si>
  <si>
    <t>2005-06</t>
  </si>
  <si>
    <t>GHP Bamberg</t>
  </si>
  <si>
    <t>AEK BC</t>
  </si>
  <si>
    <t>2004-05</t>
  </si>
  <si>
    <t>Victoria Libertas</t>
  </si>
  <si>
    <t>Victoria Libertas Pesaro</t>
  </si>
  <si>
    <t>Skyliners Frankfurt</t>
  </si>
  <si>
    <t>Opel Skyliners</t>
  </si>
  <si>
    <t>CB Estudiantes</t>
  </si>
  <si>
    <t>Adecco Estudiantes</t>
  </si>
  <si>
    <t>2003-04</t>
  </si>
  <si>
    <t>Fortitudo Bologna</t>
  </si>
  <si>
    <t>WKS Śląsk Wrocław</t>
  </si>
  <si>
    <t>KK Krka</t>
  </si>
  <si>
    <t>2002-03</t>
  </si>
  <si>
    <t>2001-02</t>
  </si>
  <si>
    <t>Ural Great Perm</t>
  </si>
  <si>
    <t>BC Oostende</t>
  </si>
  <si>
    <t>Peristeri BC</t>
  </si>
  <si>
    <t>KK Zadar</t>
  </si>
  <si>
    <t>London Towers</t>
  </si>
  <si>
    <t>United Kingdom</t>
  </si>
  <si>
    <t>2000-01</t>
  </si>
  <si>
    <t>SuproLeague</t>
  </si>
  <si>
    <t>Efes Pilsen</t>
  </si>
  <si>
    <t>PAOK BC</t>
  </si>
  <si>
    <t>KK Split</t>
  </si>
  <si>
    <t>Ülker</t>
  </si>
  <si>
    <t>Yugoslavia</t>
  </si>
  <si>
    <t>Scaligera Basket Verona</t>
  </si>
  <si>
    <t>Iraklis BC</t>
  </si>
  <si>
    <t>Scavolini Pesaro</t>
  </si>
  <si>
    <t>Bayer 04 Leverkusen BC</t>
  </si>
  <si>
    <t>Hapoel Jerusalem BC</t>
  </si>
  <si>
    <t>Lugano Tigers</t>
  </si>
  <si>
    <t>Switzerland</t>
  </si>
  <si>
    <t>Maccabi Ra'anana BC</t>
  </si>
  <si>
    <t>BC Spartak Saint Petersburg</t>
  </si>
  <si>
    <t>BC Luleå</t>
  </si>
  <si>
    <t>Plannja Basket</t>
  </si>
  <si>
    <t>Sweden</t>
  </si>
  <si>
    <t>Ovarense Basquetebol</t>
  </si>
  <si>
    <t>Portugal</t>
  </si>
  <si>
    <t>1999-00</t>
  </si>
  <si>
    <t>FIBA Euroleague</t>
  </si>
  <si>
    <t>Paf Wennington Bologna</t>
  </si>
  <si>
    <t>Union Olimpija</t>
  </si>
  <si>
    <t>Real Madrid Teka</t>
  </si>
  <si>
    <t>Real Betis Baloncesto</t>
  </si>
  <si>
    <t>Caja San Fernando</t>
  </si>
  <si>
    <t>Tofaş SK</t>
  </si>
  <si>
    <t>Pallacanestro Varese</t>
  </si>
  <si>
    <t>Varese Roosters</t>
  </si>
  <si>
    <t>Pivovarna Laško BC</t>
  </si>
  <si>
    <t>1998-99</t>
  </si>
  <si>
    <t>Kinder Bologna</t>
  </si>
  <si>
    <t>Teamsystem Bologna</t>
  </si>
  <si>
    <t>Bàsquet Manresa</t>
  </si>
  <si>
    <t>TDK Manresa</t>
  </si>
  <si>
    <t>BC Avtodor</t>
  </si>
  <si>
    <t>BC Samara</t>
  </si>
  <si>
    <t>1997-98</t>
  </si>
  <si>
    <t>Partizan Zepter</t>
  </si>
  <si>
    <t>FC Barcelona Banca Catalana</t>
  </si>
  <si>
    <t>Türk Telekom BK</t>
  </si>
  <si>
    <t>Türk Telekom PTT</t>
  </si>
  <si>
    <t>Paris Basket Racing</t>
  </si>
  <si>
    <t>FC Porto BC</t>
  </si>
  <si>
    <t>1996-97</t>
  </si>
  <si>
    <t>Smelt Olimpija</t>
  </si>
  <si>
    <t>Stefanel Milano</t>
  </si>
  <si>
    <t>Estudiantes Argentaria</t>
  </si>
  <si>
    <t>KK Croatia Osiguranje</t>
  </si>
  <si>
    <t>Panionios Ethniki Asfalistiki</t>
  </si>
  <si>
    <t>1995-96</t>
  </si>
  <si>
    <t>FIBA European League</t>
  </si>
  <si>
    <t>BC Dinamo Tirana</t>
  </si>
  <si>
    <t>Albania</t>
  </si>
  <si>
    <t>SKN St. Pölten Basketball</t>
  </si>
  <si>
    <t>Sankt Pölten</t>
  </si>
  <si>
    <t>Austria</t>
  </si>
  <si>
    <t>KK Čelik</t>
  </si>
  <si>
    <t>Bosnia-Herzegovina</t>
  </si>
  <si>
    <t>BC Spartak Pleven</t>
  </si>
  <si>
    <t>Bulgaria</t>
  </si>
  <si>
    <t>KK Zrinjevac</t>
  </si>
  <si>
    <t>APOEL BC</t>
  </si>
  <si>
    <t>Cyprus</t>
  </si>
  <si>
    <t>BC Brno</t>
  </si>
  <si>
    <t>Stavex Brno</t>
  </si>
  <si>
    <t>Czech Republic</t>
  </si>
  <si>
    <t>Sheffield Sharks</t>
  </si>
  <si>
    <t>England</t>
  </si>
  <si>
    <t>BC Kalev</t>
  </si>
  <si>
    <t>Estonia</t>
  </si>
  <si>
    <t>Kouvot</t>
  </si>
  <si>
    <t>Finland</t>
  </si>
  <si>
    <t>Dinamo Tbilisi BC</t>
  </si>
  <si>
    <t>Georgia</t>
  </si>
  <si>
    <t>Budapesti Honvéd SE</t>
  </si>
  <si>
    <t>Danone-Honvéd</t>
  </si>
  <si>
    <t>Hungary</t>
  </si>
  <si>
    <t>Hapoel Galil Elyon BC</t>
  </si>
  <si>
    <t>Résidence Walferdange</t>
  </si>
  <si>
    <t>Luxembourg</t>
  </si>
  <si>
    <t>KK Rabotnički</t>
  </si>
  <si>
    <t>Macedonia</t>
  </si>
  <si>
    <t>BV Den Helder</t>
  </si>
  <si>
    <t>Rene Coltof Den Helder</t>
  </si>
  <si>
    <t>Netherlands</t>
  </si>
  <si>
    <t>Mazowzanka</t>
  </si>
  <si>
    <t>BC CSU Sibiu</t>
  </si>
  <si>
    <t>Forest Sibiu</t>
  </si>
  <si>
    <t>Romania</t>
  </si>
  <si>
    <t>BC Prievidza</t>
  </si>
  <si>
    <t>Baník Cígeľ Prievidza</t>
  </si>
  <si>
    <t>Slovakia</t>
  </si>
  <si>
    <t>Alviks BK</t>
  </si>
  <si>
    <t>Fidefinanz Bellinzona</t>
  </si>
  <si>
    <t>Olympique Antibes</t>
  </si>
  <si>
    <t>Buckler Beer Bologna</t>
  </si>
  <si>
    <t>Iraklis Aspis Pronoia</t>
  </si>
  <si>
    <t>Benfica Basket</t>
  </si>
  <si>
    <t>1994-95</t>
  </si>
  <si>
    <t>BC Adelin Pogradec</t>
  </si>
  <si>
    <t>Traiskirchen Lions</t>
  </si>
  <si>
    <t>Möllersdorf Traiskirchen</t>
  </si>
  <si>
    <t>RC Mechelen</t>
  </si>
  <si>
    <t>Maes Flandria</t>
  </si>
  <si>
    <t>KK Sloboda Tuzla</t>
  </si>
  <si>
    <t>KK Sloboda Dita</t>
  </si>
  <si>
    <t>BC Levski Sofia</t>
  </si>
  <si>
    <t>Pezoporikos Larnaca BC</t>
  </si>
  <si>
    <t>Bioveta COOP Banka Brno</t>
  </si>
  <si>
    <t>Thames Valley Tigers</t>
  </si>
  <si>
    <t>BC Tallinn</t>
  </si>
  <si>
    <t>KTP Basket</t>
  </si>
  <si>
    <t>BC VITA Tbilisi</t>
  </si>
  <si>
    <t>Danone Honvéd</t>
  </si>
  <si>
    <t>ASK Brocēni</t>
  </si>
  <si>
    <t>Latvia</t>
  </si>
  <si>
    <t>BSW Weert</t>
  </si>
  <si>
    <t>Lanèche Weert</t>
  </si>
  <si>
    <t>BC Dinamo București</t>
  </si>
  <si>
    <t>Gothia Basket</t>
  </si>
  <si>
    <t>Kärcher Hisings-Kärra</t>
  </si>
  <si>
    <t>Inpromservis Kyiv</t>
  </si>
  <si>
    <t>7up Joventut</t>
  </si>
  <si>
    <t>1993-94</t>
  </si>
  <si>
    <t>BC Vllaznia</t>
  </si>
  <si>
    <t>SÜBA Sankt Pölten</t>
  </si>
  <si>
    <t>RTI Minsk BC</t>
  </si>
  <si>
    <t>Belarus</t>
  </si>
  <si>
    <t>Achilleas BC</t>
  </si>
  <si>
    <t>USK Praha</t>
  </si>
  <si>
    <t>Tunsgram-Honvéd</t>
  </si>
  <si>
    <t>Keflavik BC</t>
  </si>
  <si>
    <t>Iceland</t>
  </si>
  <si>
    <t>Heroes Den Bosch</t>
  </si>
  <si>
    <t>Canoe Jeans EBBC</t>
  </si>
  <si>
    <t>Universitatea Cluj BC</t>
  </si>
  <si>
    <t>Basketbal Pezinok</t>
  </si>
  <si>
    <t>Maes Pils BC</t>
  </si>
  <si>
    <t>Shampoo Clear Cantù</t>
  </si>
  <si>
    <t>Guildford Kings</t>
  </si>
  <si>
    <t>1992-93</t>
  </si>
  <si>
    <t>BC Partizani Tirana</t>
  </si>
  <si>
    <t>Union SPI</t>
  </si>
  <si>
    <t>Union SPI Basket Flyers</t>
  </si>
  <si>
    <t>BC CSKA Sofia</t>
  </si>
  <si>
    <t>Czechoslovakia</t>
  </si>
  <si>
    <t>NMKY Helsinki</t>
  </si>
  <si>
    <t>ZTE KK</t>
  </si>
  <si>
    <t>ZTE Heraklith</t>
  </si>
  <si>
    <t>Etzella Ettelbruck</t>
  </si>
  <si>
    <t>Commodore Den Helder</t>
  </si>
  <si>
    <t>Scania Södertälje BC</t>
  </si>
  <si>
    <t>Fribourg Olympic</t>
  </si>
  <si>
    <t>Benetton Fribourg</t>
  </si>
  <si>
    <t>Knorr Bologna</t>
  </si>
  <si>
    <t>Marbella Joventut</t>
  </si>
  <si>
    <t>1991-92</t>
  </si>
  <si>
    <t>Montigalà Joventut</t>
  </si>
  <si>
    <t>Philips Milano</t>
  </si>
  <si>
    <t>Estudiantes Caja Postal</t>
  </si>
  <si>
    <t>Kingston BC</t>
  </si>
  <si>
    <t>Szolnoki Olajbányász</t>
  </si>
  <si>
    <t>UMFN</t>
  </si>
  <si>
    <t>Maccabi Rishon LeZion BC</t>
  </si>
  <si>
    <t>Union Sportive Hiefenech</t>
  </si>
  <si>
    <t>BC Steaua București</t>
  </si>
  <si>
    <t>Vevey Riviera Basket</t>
  </si>
  <si>
    <t>Vevey Basket</t>
  </si>
  <si>
    <t>Slobodna Dalmacija</t>
  </si>
  <si>
    <t>Aris BC</t>
  </si>
  <si>
    <t>JuveCaserta Basket</t>
  </si>
  <si>
    <t>Phonola Caserta</t>
  </si>
  <si>
    <t>1990-91</t>
  </si>
  <si>
    <t>FIBA European Champions Cup</t>
  </si>
  <si>
    <t>POP 84</t>
  </si>
  <si>
    <t>Korihait</t>
  </si>
  <si>
    <t>Saab UU</t>
  </si>
  <si>
    <t>Soviet Union</t>
  </si>
  <si>
    <t>Klosterneuburg Dukes</t>
  </si>
  <si>
    <t>Klosterneuburg</t>
  </si>
  <si>
    <t>ENAD BC</t>
  </si>
  <si>
    <t>Zbrojovka Brno</t>
  </si>
  <si>
    <t>AdW Berlin</t>
  </si>
  <si>
    <t>East Germany</t>
  </si>
  <si>
    <t>KR Basket</t>
  </si>
  <si>
    <t>KKS Lech Poznań</t>
  </si>
  <si>
    <t>Pully Lausanne Foxes</t>
  </si>
  <si>
    <t>Ideal Job Pully</t>
  </si>
  <si>
    <t>1989-90</t>
  </si>
  <si>
    <t>Jugoplastika</t>
  </si>
  <si>
    <t>BC Balkan Botevgrad</t>
  </si>
  <si>
    <t>Baník Cigel Prievidza</t>
  </si>
  <si>
    <t>Bracknell Tigers</t>
  </si>
  <si>
    <t>MIM Livingston</t>
  </si>
  <si>
    <t>Scotland</t>
  </si>
  <si>
    <t>Stroitel Kyiv</t>
  </si>
  <si>
    <t>Pully Basket</t>
  </si>
  <si>
    <t>Keravnos BC</t>
  </si>
  <si>
    <t>BBK BMS</t>
  </si>
  <si>
    <t>Denmark</t>
  </si>
  <si>
    <t>Medi Bayreuth</t>
  </si>
  <si>
    <t>Steiner Bayreuth</t>
  </si>
  <si>
    <t>Csepel BC</t>
  </si>
  <si>
    <t>Täby Basket</t>
  </si>
  <si>
    <t>Eczacıbaşı SK</t>
  </si>
  <si>
    <t>1988-89</t>
  </si>
  <si>
    <t>BSC Saturn Köln</t>
  </si>
  <si>
    <t>Södertälje BBK</t>
  </si>
  <si>
    <t>Nashua EBBC</t>
  </si>
  <si>
    <t>AEL Limassol BC</t>
  </si>
  <si>
    <t>AB Contern</t>
  </si>
  <si>
    <t>Asker Aliens BC</t>
  </si>
  <si>
    <t>Norway</t>
  </si>
  <si>
    <t>Champel Genève</t>
  </si>
  <si>
    <t>1987-88</t>
  </si>
  <si>
    <t>Tracer Milano</t>
  </si>
  <si>
    <t>BC Körmend</t>
  </si>
  <si>
    <t>Körmendi Dózsa</t>
  </si>
  <si>
    <t>Élan Béarnais Orthez</t>
  </si>
  <si>
    <t>Portsmouth Basketball</t>
  </si>
  <si>
    <t>Sparta Bertrange</t>
  </si>
  <si>
    <t>1986-87</t>
  </si>
  <si>
    <t>Maccabi Elite Tel Aviv</t>
  </si>
  <si>
    <t>1985-86</t>
  </si>
  <si>
    <t>1984-85</t>
  </si>
  <si>
    <t>Real Madrid</t>
  </si>
  <si>
    <t>1983-84</t>
  </si>
  <si>
    <t>Banco di Roma</t>
  </si>
  <si>
    <t>FC Barcelona</t>
  </si>
  <si>
    <t>1982-83</t>
  </si>
  <si>
    <t>Ford Cantù</t>
  </si>
  <si>
    <t>Billy Milano</t>
  </si>
  <si>
    <t>1981-82</t>
  </si>
  <si>
    <t>Squibb Cantù</t>
  </si>
  <si>
    <t>1980-81</t>
  </si>
  <si>
    <t>Sinudyne Bologna</t>
  </si>
  <si>
    <t>1979-80</t>
  </si>
  <si>
    <t>KK Bosna</t>
  </si>
  <si>
    <t>1978-79</t>
  </si>
  <si>
    <t>Emerson Varese</t>
  </si>
  <si>
    <t>1977-78</t>
  </si>
  <si>
    <t>Mobilgirgi Varese</t>
  </si>
  <si>
    <t>1976-77</t>
  </si>
  <si>
    <t>1975-76</t>
  </si>
  <si>
    <t>1974-75</t>
  </si>
  <si>
    <t>Ignis Varese</t>
  </si>
  <si>
    <t>1973-74</t>
  </si>
  <si>
    <t>1972-73</t>
  </si>
  <si>
    <t>1971-72</t>
  </si>
  <si>
    <t>1970-71</t>
  </si>
  <si>
    <t>1969-70</t>
  </si>
  <si>
    <t>1968-69</t>
  </si>
  <si>
    <t>1967-68</t>
  </si>
  <si>
    <t>Basket Brno</t>
  </si>
  <si>
    <t>Spartak ZJŠ Brno</t>
  </si>
  <si>
    <t>1966-67</t>
  </si>
  <si>
    <t>Simmenthal Milano</t>
  </si>
  <si>
    <t>1965-66</t>
  </si>
  <si>
    <t>Slavia VŠ Praha</t>
  </si>
  <si>
    <t>1964-65</t>
  </si>
  <si>
    <t>1963-64</t>
  </si>
  <si>
    <t>1962-63</t>
  </si>
  <si>
    <t>BC Dinamo Tbilisi</t>
  </si>
  <si>
    <t>1961-62</t>
  </si>
  <si>
    <t>Dinamo Tbilisi</t>
  </si>
  <si>
    <t>1960-61</t>
  </si>
  <si>
    <t>Rīgas ASK</t>
  </si>
  <si>
    <t>1959-60</t>
  </si>
  <si>
    <t>1958-59</t>
  </si>
  <si>
    <t>PBC Academic</t>
  </si>
  <si>
    <t>Academic</t>
  </si>
  <si>
    <t>1957-58</t>
  </si>
  <si>
    <t>FC Barcelona Basquet</t>
  </si>
  <si>
    <t>Bamberg Baskets</t>
  </si>
  <si>
    <t>KK Cedevita</t>
  </si>
  <si>
    <t>Mens Sana Basketball Siena</t>
  </si>
  <si>
    <t>Doncaster Belles</t>
  </si>
  <si>
    <t>Red Star Southampton</t>
  </si>
  <si>
    <t>Arsenal</t>
  </si>
  <si>
    <t>Liverpool</t>
  </si>
  <si>
    <t>Fulham</t>
  </si>
  <si>
    <t>Bristol Academy</t>
  </si>
  <si>
    <t>Híspalis</t>
  </si>
  <si>
    <t>Score</t>
  </si>
  <si>
    <t>1. FFC Frankfurt</t>
  </si>
  <si>
    <t>2–0</t>
  </si>
  <si>
    <t>4–1 / 3–0</t>
  </si>
  <si>
    <t>Fortuna Hjørring</t>
  </si>
  <si>
    <t>3–0 / 5–0</t>
  </si>
  <si>
    <t>Turbine Potsdam</t>
  </si>
  <si>
    <t>2–0 / 3–1</t>
  </si>
  <si>
    <t>Djurgården/Älvsjö</t>
  </si>
  <si>
    <t>4–0 / 3–2</t>
  </si>
  <si>
    <t>1–0 / 0–0</t>
  </si>
  <si>
    <t>1–1 / 3–2</t>
  </si>
  <si>
    <t>FCR Duisburg</t>
  </si>
  <si>
    <t>6–0 / 1–1</t>
  </si>
  <si>
    <t>Zvezda Perm</t>
  </si>
  <si>
    <t>0–0 (pens)</t>
  </si>
  <si>
    <t>1–0</t>
  </si>
  <si>
    <t>4–3</t>
  </si>
  <si>
    <t>2–1</t>
  </si>
  <si>
    <t>1–1 (pens)</t>
  </si>
  <si>
    <t>4–1</t>
  </si>
  <si>
    <t>3–1</t>
  </si>
  <si>
    <t>4–0</t>
  </si>
  <si>
    <t>3–2</t>
  </si>
  <si>
    <t>3–1 (a.e.t.)</t>
  </si>
  <si>
    <t>3–0</t>
  </si>
  <si>
    <t>3–2 (a.e.t.)</t>
  </si>
  <si>
    <t>Portland Thorns FC</t>
  </si>
  <si>
    <t>Western New York Flash</t>
  </si>
  <si>
    <t>FC Kansas City</t>
  </si>
  <si>
    <t>Seattle Reign FC</t>
  </si>
  <si>
    <t>North Carolina Courage</t>
  </si>
  <si>
    <t>Washington Spirit</t>
  </si>
  <si>
    <t>NJ/NY Gotham FC</t>
  </si>
  <si>
    <t>San Diego Wave FC</t>
  </si>
  <si>
    <t>Orlando Pride</t>
  </si>
  <si>
    <t>Kansas City Current</t>
  </si>
  <si>
    <t>Southampton</t>
  </si>
  <si>
    <t>Stewarton Thistle</t>
  </si>
  <si>
    <t>Lee's Ladies</t>
  </si>
  <si>
    <t>Westthorn United</t>
  </si>
  <si>
    <t>Fodens</t>
  </si>
  <si>
    <t>4–2</t>
  </si>
  <si>
    <t>Warminster</t>
  </si>
  <si>
    <t>2–1 (a.e.t.)</t>
  </si>
  <si>
    <t>8–2</t>
  </si>
  <si>
    <t>Lowestoft Ladies</t>
  </si>
  <si>
    <t>St Helens</t>
  </si>
  <si>
    <t>Preston North End</t>
  </si>
  <si>
    <t>Cleveland Spartans</t>
  </si>
  <si>
    <t>Howbury Grange</t>
  </si>
  <si>
    <t>Friends of Fulham</t>
  </si>
  <si>
    <t>Leasowe Pacific</t>
  </si>
  <si>
    <t>Millwall Lionesses</t>
  </si>
  <si>
    <t>Knowsley United</t>
  </si>
  <si>
    <t>1–1 (3–2 p)</t>
  </si>
  <si>
    <t>Southampton Saints</t>
  </si>
  <si>
    <t>5–0</t>
  </si>
  <si>
    <t>2–2 (3–2 p)</t>
  </si>
  <si>
    <t>Portland Thorns</t>
  </si>
  <si>
    <t>OL Reign</t>
  </si>
  <si>
    <t>Gotham FC</t>
  </si>
  <si>
    <t>Country</t>
  </si>
  <si>
    <t>Winner / Champion</t>
  </si>
  <si>
    <t>Runner-up / Finalist</t>
  </si>
  <si>
    <t>UEFA Women's Champions League</t>
  </si>
  <si>
    <t>Europe</t>
  </si>
  <si>
    <t>Women's FA Cup</t>
  </si>
  <si>
    <t>United States</t>
  </si>
  <si>
    <t>Levante UD Femenino</t>
  </si>
  <si>
    <t>Athletic Bilbao Femenino</t>
  </si>
  <si>
    <t>RCD Espanyol Femeni</t>
  </si>
  <si>
    <t>FC Barcelona Femeni</t>
  </si>
  <si>
    <t>Atlético de Madrid Femenino</t>
  </si>
  <si>
    <t>Eintracht Frankfurt (women)</t>
  </si>
  <si>
    <t>Arsenal Women</t>
  </si>
  <si>
    <t>Olympique Lyonnais Féminin</t>
  </si>
  <si>
    <t>VfL Wolfsburg (women)</t>
  </si>
  <si>
    <t>Everton Women</t>
  </si>
  <si>
    <t>Liverpool Women</t>
  </si>
  <si>
    <t>Chelsea Women</t>
  </si>
  <si>
    <t>Manchester City Women</t>
  </si>
  <si>
    <t>Southampton Women</t>
  </si>
  <si>
    <t>Charlton Athletic Women</t>
  </si>
  <si>
    <t>Birmingham City Women</t>
  </si>
  <si>
    <t>Manchester United Women</t>
  </si>
  <si>
    <t>Puebla (women)</t>
  </si>
  <si>
    <t>Real Madrid Femenino</t>
  </si>
  <si>
    <t>Real Sociedad Femenino</t>
  </si>
  <si>
    <t>Djurgårdens IF (women)</t>
  </si>
  <si>
    <t>Paris Saint-Germain Féminines</t>
  </si>
  <si>
    <t>Sunderland Women</t>
  </si>
  <si>
    <t>West Ham United Women</t>
  </si>
  <si>
    <t>Tottenham Hotspur Women</t>
  </si>
  <si>
    <t>Brighton &amp; Hove Albion Women</t>
  </si>
  <si>
    <t>Umeå IK</t>
  </si>
  <si>
    <t>Tyresö FF</t>
  </si>
  <si>
    <t>Winner (Canonical)</t>
  </si>
  <si>
    <t>Runner-up (Canonical)</t>
  </si>
  <si>
    <t>Rayo Vallecano Femenino</t>
  </si>
  <si>
    <t>CE Sabadell (women)</t>
  </si>
  <si>
    <t>Sevilla FC Femenino</t>
  </si>
  <si>
    <t>Croydon LFC</t>
  </si>
  <si>
    <t>Fulham Women</t>
  </si>
  <si>
    <t>Leeds United Women</t>
  </si>
  <si>
    <t>Notts County Women</t>
  </si>
  <si>
    <t>London Bees</t>
  </si>
  <si>
    <t>Wembley Ladies</t>
  </si>
  <si>
    <t>Queen's Park Rangers Women</t>
  </si>
  <si>
    <t>Norwich City Women</t>
  </si>
  <si>
    <t>WSL / Premier League</t>
  </si>
  <si>
    <t>Primera División / Liga F</t>
  </si>
  <si>
    <t>NWSL Shield</t>
  </si>
  <si>
    <t>NWSL Championship</t>
  </si>
  <si>
    <t>Canonical Name</t>
  </si>
  <si>
    <t>FIFA Women's Champions Cup</t>
  </si>
  <si>
    <t>Corinthians (women)</t>
  </si>
  <si>
    <t>Las Vegas Aces</t>
  </si>
  <si>
    <t>Phoenix Mercury</t>
  </si>
  <si>
    <t>New York Liberty</t>
  </si>
  <si>
    <t>Minnesota Lynx</t>
  </si>
  <si>
    <t>Connecticut Sun</t>
  </si>
  <si>
    <t>Chicago Sky</t>
  </si>
  <si>
    <t>Seattle Storm</t>
  </si>
  <si>
    <t>Washington Mystics</t>
  </si>
  <si>
    <t>Los Angeles Sparks</t>
  </si>
  <si>
    <t>Indiana Fever</t>
  </si>
  <si>
    <t>Atlanta Dream</t>
  </si>
  <si>
    <t>Detroit Shock</t>
  </si>
  <si>
    <t>San Antonio Silver Stars</t>
  </si>
  <si>
    <t>Sacramento Monarchs</t>
  </si>
  <si>
    <t>Charlotte Sting</t>
  </si>
  <si>
    <t>Houston Comets</t>
  </si>
  <si>
    <t>Conference</t>
  </si>
  <si>
    <t>W/L%</t>
  </si>
  <si>
    <t>GB</t>
  </si>
  <si>
    <t>PS/G</t>
  </si>
  <si>
    <t>East</t>
  </si>
  <si>
    <t>West</t>
  </si>
  <si>
    <t>Golden State Valkyries</t>
  </si>
  <si>
    <t>Dallas Wings</t>
  </si>
  <si>
    <t>San Antonio Stars</t>
  </si>
  <si>
    <t>Tulsa Shock</t>
  </si>
  <si>
    <t>Cleveland Rockers</t>
  </si>
  <si>
    <t>Orlando Miracle</t>
  </si>
  <si>
    <t>Miami Sol</t>
  </si>
  <si>
    <t>Utah Starzz</t>
  </si>
  <si>
    <t>Portland Fire</t>
  </si>
  <si>
    <t>PF/G</t>
  </si>
  <si>
    <t>Champ</t>
  </si>
  <si>
    <t>SF App</t>
  </si>
  <si>
    <t>P. Wins</t>
  </si>
  <si>
    <t>P. Losses</t>
  </si>
  <si>
    <t>Champ App</t>
  </si>
  <si>
    <t>Div Title</t>
  </si>
  <si>
    <t>Best Rec</t>
  </si>
  <si>
    <t>Toronto Tempo</t>
  </si>
  <si>
    <t>Current Teams</t>
  </si>
  <si>
    <t>Defunct Teams</t>
  </si>
  <si>
    <t>San Diego FC</t>
  </si>
  <si>
    <t>St. Louis City SC</t>
  </si>
  <si>
    <t>Charlotte FC</t>
  </si>
  <si>
    <t>Austin FC</t>
  </si>
  <si>
    <t>Nashville SC</t>
  </si>
  <si>
    <t>Inter Miami CF</t>
  </si>
  <si>
    <t>FC Cincinnati</t>
  </si>
  <si>
    <t>Los Angeles FC</t>
  </si>
  <si>
    <t>Minnesota United</t>
  </si>
  <si>
    <t>Atlanta United</t>
  </si>
  <si>
    <t>New York City FC</t>
  </si>
  <si>
    <t>Portland Timbers</t>
  </si>
  <si>
    <t>Philadelphia Union</t>
  </si>
  <si>
    <t>Seattle Sounders FC</t>
  </si>
  <si>
    <t>Toronto FC</t>
  </si>
  <si>
    <t>Houston Dynamo</t>
  </si>
  <si>
    <t>Chicago Fire</t>
  </si>
  <si>
    <t>San Jose Earthquakes</t>
  </si>
  <si>
    <t>Columbus Crew</t>
  </si>
  <si>
    <t>New York Red Bulls</t>
  </si>
  <si>
    <t>Sporting Kansas City</t>
  </si>
  <si>
    <t>DC United</t>
  </si>
  <si>
    <t>Los Angeles Galaxy</t>
  </si>
  <si>
    <t>Mexico</t>
  </si>
  <si>
    <t>Monterrey</t>
  </si>
  <si>
    <t>CF América</t>
  </si>
  <si>
    <t>Chivas Guadalajara</t>
  </si>
  <si>
    <t>Atlético de Madrid</t>
  </si>
  <si>
    <t>Sevilla FC</t>
  </si>
  <si>
    <t>FC Porto</t>
  </si>
  <si>
    <t>Benfica</t>
  </si>
  <si>
    <t>Juventus</t>
  </si>
  <si>
    <t>Internazionale</t>
  </si>
  <si>
    <t>Atalanta</t>
  </si>
  <si>
    <t>Sportico, World's 50 Most Valuable Soccer Teams 2026 (Apr 22, 2026)</t>
  </si>
  <si>
    <t>Lazio</t>
  </si>
  <si>
    <t>AC Milan</t>
  </si>
  <si>
    <t>AS Roma</t>
  </si>
  <si>
    <t>RB Leipzig</t>
  </si>
  <si>
    <t>Olympique Lyonnais</t>
  </si>
  <si>
    <t>SSC Napoli</t>
  </si>
  <si>
    <t>AFC Bournemouth</t>
  </si>
  <si>
    <t>Sunderland</t>
  </si>
  <si>
    <t>Leeds United</t>
  </si>
  <si>
    <t>Brentford</t>
  </si>
  <si>
    <t>Borussia Dortmund</t>
  </si>
  <si>
    <t>Eintracht Frankfurt</t>
  </si>
  <si>
    <t>Crystal Palace</t>
  </si>
  <si>
    <t>Ajax</t>
  </si>
  <si>
    <t>Bayern Munich</t>
  </si>
  <si>
    <t>Paris Saint-Germain</t>
  </si>
  <si>
    <t>Brighton &amp; Hove Albion</t>
  </si>
  <si>
    <t>West Ham United</t>
  </si>
  <si>
    <t>Everton</t>
  </si>
  <si>
    <t>Newcastle United</t>
  </si>
  <si>
    <t>Aston Villa</t>
  </si>
  <si>
    <t>Forbes (1998-2025), via fanancialsports.com</t>
  </si>
  <si>
    <t>MLB</t>
  </si>
  <si>
    <t>Miami Marlins</t>
  </si>
  <si>
    <t>Tampa Bay Rays</t>
  </si>
  <si>
    <t>NHL</t>
  </si>
  <si>
    <t>Columbus Blue Jackets</t>
  </si>
  <si>
    <t>Tottenham Hotspur</t>
  </si>
  <si>
    <t>Kansas City Royals</t>
  </si>
  <si>
    <t>Buffalo Sabres</t>
  </si>
  <si>
    <t>Chelsea</t>
  </si>
  <si>
    <t>Cincinnati Reds</t>
  </si>
  <si>
    <t>Winnipeg Jets</t>
  </si>
  <si>
    <t>Pittsburgh Pirates</t>
  </si>
  <si>
    <t>Ottawa Senators</t>
  </si>
  <si>
    <t>Manchester United</t>
  </si>
  <si>
    <t>Anaheim Ducks</t>
  </si>
  <si>
    <t>Manchester City</t>
  </si>
  <si>
    <t>Cleveland Guardians</t>
  </si>
  <si>
    <t>Utah Mammoth</t>
  </si>
  <si>
    <t>Colorado Rockies</t>
  </si>
  <si>
    <t>San Jose Sharks</t>
  </si>
  <si>
    <t>Minnesota Twins</t>
  </si>
  <si>
    <t>Vegas Golden Knights</t>
  </si>
  <si>
    <t>St. Louis Blues</t>
  </si>
  <si>
    <t>Seattle Kraken</t>
  </si>
  <si>
    <t>Detroit Tigers</t>
  </si>
  <si>
    <t>Nashville Predators</t>
  </si>
  <si>
    <t>Los Angeles Kings</t>
  </si>
  <si>
    <t>Arizona Diamondbacks</t>
  </si>
  <si>
    <t>Florida Panthers</t>
  </si>
  <si>
    <t>Milwaukee Brewers</t>
  </si>
  <si>
    <t>Minnesota Wild</t>
  </si>
  <si>
    <t>Pittsburgh Penguins</t>
  </si>
  <si>
    <t>Dallas Stars</t>
  </si>
  <si>
    <t>Colorado Avalanche</t>
  </si>
  <si>
    <t>Athletics</t>
  </si>
  <si>
    <t>Chicago Blackhawks</t>
  </si>
  <si>
    <t>Vancouver Canucks</t>
  </si>
  <si>
    <t>Edmonton Oilers</t>
  </si>
  <si>
    <t>Calgary Flames</t>
  </si>
  <si>
    <t>Baltimore Orioles</t>
  </si>
  <si>
    <t>Washington Capitals</t>
  </si>
  <si>
    <t>San Diego Padres</t>
  </si>
  <si>
    <t>Carolina Hurricanes</t>
  </si>
  <si>
    <t>Philadelphia Flyers</t>
  </si>
  <si>
    <t>Chicago White Sox</t>
  </si>
  <si>
    <t>New York Rangers</t>
  </si>
  <si>
    <t>Tampa Bay Lightning</t>
  </si>
  <si>
    <t>New York Islanders</t>
  </si>
  <si>
    <t>New Jersey Devils</t>
  </si>
  <si>
    <t>Washington Nationals</t>
  </si>
  <si>
    <t>Toronto Blue Jays</t>
  </si>
  <si>
    <t>Detroit Red Wings</t>
  </si>
  <si>
    <t>Seattle Mariners</t>
  </si>
  <si>
    <t>Boston Bruins</t>
  </si>
  <si>
    <t>Toronto Maple Leafs</t>
  </si>
  <si>
    <t>Texas Rangers</t>
  </si>
  <si>
    <t>Montreal Canadiens</t>
  </si>
  <si>
    <t>NBA</t>
  </si>
  <si>
    <t>San Antonio Spurs</t>
  </si>
  <si>
    <t>New Orleans Pelicans</t>
  </si>
  <si>
    <t>St. Louis Cardinals</t>
  </si>
  <si>
    <t>Memphis Grizzlies</t>
  </si>
  <si>
    <t>Houston Rockets</t>
  </si>
  <si>
    <t>Los Angeles Angels</t>
  </si>
  <si>
    <t>Dallas Mavericks</t>
  </si>
  <si>
    <t>Sacramento Kings</t>
  </si>
  <si>
    <t>Houston Astros</t>
  </si>
  <si>
    <t>Phoenix Suns</t>
  </si>
  <si>
    <t>Los Angeles Lakers</t>
  </si>
  <si>
    <t>Atlanta Braves</t>
  </si>
  <si>
    <t>Los Angeles Clippers</t>
  </si>
  <si>
    <t>Golden State Warriors</t>
  </si>
  <si>
    <t>Philadelphia Phillies</t>
  </si>
  <si>
    <t>Utah Jazz</t>
  </si>
  <si>
    <t>Portland Trail Blazers</t>
  </si>
  <si>
    <t>New York Mets</t>
  </si>
  <si>
    <t>Oklahoma City Thunder</t>
  </si>
  <si>
    <t>Minnesota Timberwolves</t>
  </si>
  <si>
    <t>Denver Nuggets</t>
  </si>
  <si>
    <t>Washington Wizards</t>
  </si>
  <si>
    <t>Orlando Magic</t>
  </si>
  <si>
    <t>Miami Heat</t>
  </si>
  <si>
    <t>Detroit Pistons</t>
  </si>
  <si>
    <t>Charlotte Hornets</t>
  </si>
  <si>
    <t>Atlanta Hawks</t>
  </si>
  <si>
    <t>Milwaukee Bucks</t>
  </si>
  <si>
    <t>Indiana Pacers</t>
  </si>
  <si>
    <t>San Francisco Giants</t>
  </si>
  <si>
    <t>Cleveland Cavaliers</t>
  </si>
  <si>
    <t>Chicago Bulls</t>
  </si>
  <si>
    <t>Philadelphia 76ers</t>
  </si>
  <si>
    <t>New York Knicks</t>
  </si>
  <si>
    <t>Brooklyn Nets</t>
  </si>
  <si>
    <t>Boston Celtics</t>
  </si>
  <si>
    <t>Toronto Raptors</t>
  </si>
  <si>
    <t>Los Angeles Dodgers</t>
  </si>
  <si>
    <t>Chicago Cubs</t>
  </si>
  <si>
    <t>Boston Red Sox</t>
  </si>
  <si>
    <t>NFL</t>
  </si>
  <si>
    <t>Cincinnati Bengals</t>
  </si>
  <si>
    <t>New Orleans Saints</t>
  </si>
  <si>
    <t>Detroit Lions</t>
  </si>
  <si>
    <t>Arizona Cardinals</t>
  </si>
  <si>
    <t>Jacksonville Jaguars</t>
  </si>
  <si>
    <t>Carolina Panthers</t>
  </si>
  <si>
    <t>New York Yankees</t>
  </si>
  <si>
    <t>Indianapolis Colts</t>
  </si>
  <si>
    <t>Buffalo Bills</t>
  </si>
  <si>
    <t>Los Angeles Chargers</t>
  </si>
  <si>
    <t>Baltimore Ravens</t>
  </si>
  <si>
    <t>Seattle Seahawks</t>
  </si>
  <si>
    <t>Kansas City Chiefs</t>
  </si>
  <si>
    <t>San Francisco 49ers</t>
  </si>
  <si>
    <t>Minnesota Vikings</t>
  </si>
  <si>
    <t>Los Angeles Rams</t>
  </si>
  <si>
    <t>Tennessee Titans</t>
  </si>
  <si>
    <t>Atlanta Falcons</t>
  </si>
  <si>
    <t>Tampa Bay Buccaneers</t>
  </si>
  <si>
    <t>Cleveland Browns</t>
  </si>
  <si>
    <t>Pittsburgh Steelers</t>
  </si>
  <si>
    <t>Green Bay Packers</t>
  </si>
  <si>
    <t>Chicago Bears</t>
  </si>
  <si>
    <t>Washington Commanders</t>
  </si>
  <si>
    <t>Denver Broncos</t>
  </si>
  <si>
    <t>Philadelphia Eagles</t>
  </si>
  <si>
    <t>New York Giants</t>
  </si>
  <si>
    <t>Houston Texans</t>
  </si>
  <si>
    <t>Dallas Cowboys</t>
  </si>
  <si>
    <t>Miami Dolphins</t>
  </si>
  <si>
    <t>Las Vegas Raiders</t>
  </si>
  <si>
    <t>New York Jets</t>
  </si>
  <si>
    <t>New England Patriots</t>
  </si>
  <si>
    <t>Source</t>
  </si>
  <si>
    <t>Value ($M)</t>
  </si>
  <si>
    <t>Year</t>
  </si>
  <si>
    <t>Month</t>
  </si>
  <si>
    <t>Day</t>
  </si>
  <si>
    <t>Cont.</t>
  </si>
  <si>
    <t>Leag/Comp.</t>
  </si>
  <si>
    <t>Wk#/Matchday</t>
  </si>
  <si>
    <t>Comp. Rnd</t>
  </si>
  <si>
    <t>Comp Leg</t>
  </si>
  <si>
    <t>Date</t>
  </si>
  <si>
    <t>W/D/L</t>
  </si>
  <si>
    <t>Opp Team</t>
  </si>
  <si>
    <t>For</t>
  </si>
  <si>
    <t>Ag</t>
  </si>
  <si>
    <t>Stadium</t>
  </si>
  <si>
    <t>Stad. Metro Area</t>
  </si>
  <si>
    <t>Stad. Country</t>
  </si>
  <si>
    <t>Tiebreaker</t>
  </si>
  <si>
    <t>Penatly Kicks</t>
  </si>
  <si>
    <t>PK2</t>
  </si>
  <si>
    <t>Last Game</t>
  </si>
  <si>
    <t>Points</t>
  </si>
  <si>
    <t>GS</t>
  </si>
  <si>
    <t>GA</t>
  </si>
  <si>
    <t>Diff</t>
  </si>
  <si>
    <t>H/A</t>
  </si>
  <si>
    <t>W Bin</t>
  </si>
  <si>
    <t>D Bin</t>
  </si>
  <si>
    <t>L Bin</t>
  </si>
  <si>
    <t>County</t>
  </si>
  <si>
    <t>Continent</t>
  </si>
  <si>
    <t>Opp Metro Area</t>
  </si>
  <si>
    <t>Opp County</t>
  </si>
  <si>
    <t>Opp. Country</t>
  </si>
  <si>
    <t>Opp. Continent</t>
  </si>
  <si>
    <t>Advance/Chmp</t>
  </si>
  <si>
    <t>Rnd#</t>
  </si>
  <si>
    <t>KO</t>
  </si>
  <si>
    <t>Derby</t>
  </si>
  <si>
    <t>Lg. Games</t>
  </si>
  <si>
    <t>Cup Games</t>
  </si>
  <si>
    <t>Eur. Comp/World Comp.</t>
  </si>
  <si>
    <t>Cup (Major Domestic)</t>
  </si>
  <si>
    <t>Cup (Minor Domestic)</t>
  </si>
  <si>
    <t>Super Cup</t>
  </si>
  <si>
    <t>Trophy Won</t>
  </si>
  <si>
    <t>Cup Final</t>
  </si>
  <si>
    <t>Prom/Reg</t>
  </si>
  <si>
    <t>Eur. Qual (next season)</t>
  </si>
  <si>
    <t>bin</t>
  </si>
  <si>
    <t>Level</t>
  </si>
  <si>
    <t>Opp. Level</t>
  </si>
  <si>
    <t>Cur. Name</t>
  </si>
  <si>
    <t>Opp. Name</t>
  </si>
  <si>
    <t>Seas</t>
  </si>
  <si>
    <t>Lookup</t>
  </si>
  <si>
    <t>Home Stadium</t>
  </si>
  <si>
    <t>Int. Game</t>
  </si>
  <si>
    <t>World Cup</t>
  </si>
  <si>
    <t>WC Qual.</t>
  </si>
  <si>
    <t>Con. Champ</t>
  </si>
  <si>
    <t>Con. Qual.</t>
  </si>
  <si>
    <t>Intercont. Champ</t>
  </si>
  <si>
    <t>Other Tourna</t>
  </si>
  <si>
    <t>Friendly</t>
  </si>
  <si>
    <t>Cur. Country</t>
  </si>
  <si>
    <t>Cur. Opp. Country</t>
  </si>
  <si>
    <t>Exclude</t>
  </si>
  <si>
    <t>1871-72</t>
  </si>
  <si>
    <t>FA Cup</t>
  </si>
  <si>
    <t>Semifinals</t>
  </si>
  <si>
    <t>2/17/1872</t>
  </si>
  <si>
    <t>Royal Engineers</t>
  </si>
  <si>
    <t>T</t>
  </si>
  <si>
    <t>Crystal Palace (Old)</t>
  </si>
  <si>
    <t>Kennington Oval</t>
  </si>
  <si>
    <t>London</t>
  </si>
  <si>
    <t>Greater London</t>
  </si>
  <si>
    <t>3/5/1872</t>
  </si>
  <si>
    <t>Wanderers</t>
  </si>
  <si>
    <t>Queen's Park</t>
  </si>
  <si>
    <t>Glasgow</t>
  </si>
  <si>
    <t>Replay</t>
  </si>
  <si>
    <t>3/9/1872</t>
  </si>
  <si>
    <t xml:space="preserve">Final </t>
  </si>
  <si>
    <t>3/16/1872</t>
  </si>
  <si>
    <t>1872-73</t>
  </si>
  <si>
    <t>2/3/1873</t>
  </si>
  <si>
    <t>Oxford University</t>
  </si>
  <si>
    <t>Maidenhead United</t>
  </si>
  <si>
    <t>Iffley Road Stadium</t>
  </si>
  <si>
    <t>Oxford</t>
  </si>
  <si>
    <t>Home</t>
  </si>
  <si>
    <t>Oxfordshire</t>
  </si>
  <si>
    <t>Maidenhead</t>
  </si>
  <si>
    <t>Berkshire</t>
  </si>
  <si>
    <t>Away</t>
  </si>
  <si>
    <t>3/23/1873</t>
  </si>
  <si>
    <t>Lillie Bridge Grounds</t>
  </si>
  <si>
    <t>1873-74</t>
  </si>
  <si>
    <t>1/28/1874</t>
  </si>
  <si>
    <t>Swifts</t>
  </si>
  <si>
    <t>2/28/1874</t>
  </si>
  <si>
    <t>Clapham Rovers</t>
  </si>
  <si>
    <t>3/14/1874</t>
  </si>
  <si>
    <t>1874-75</t>
  </si>
  <si>
    <t>2/27/1875</t>
  </si>
  <si>
    <t>Old Etonians</t>
  </si>
  <si>
    <t>Shropshire Wanderers</t>
  </si>
  <si>
    <t>Eton</t>
  </si>
  <si>
    <t>Shropshire</t>
  </si>
  <si>
    <t>3/5/1875</t>
  </si>
  <si>
    <t>3/11/1875</t>
  </si>
  <si>
    <t>3/16/1875</t>
  </si>
  <si>
    <t>1875-76</t>
  </si>
  <si>
    <t>2/19/1876</t>
  </si>
  <si>
    <t>2/26/1876</t>
  </si>
  <si>
    <t>3/11/1876</t>
  </si>
  <si>
    <t>3/18/1876</t>
  </si>
  <si>
    <t>1876-77</t>
  </si>
  <si>
    <t>3/20/1877</t>
  </si>
  <si>
    <t>Cambridge University</t>
  </si>
  <si>
    <t>Cambridge</t>
  </si>
  <si>
    <t>Cambridgeshire</t>
  </si>
  <si>
    <t>3/24/1877</t>
  </si>
  <si>
    <t>1877-78</t>
  </si>
  <si>
    <t>3/16/1878</t>
  </si>
  <si>
    <t>Old Harrovians</t>
  </si>
  <si>
    <t>3/23/1878</t>
  </si>
  <si>
    <t>1878-79</t>
  </si>
  <si>
    <t>3/22/1879</t>
  </si>
  <si>
    <t>Nottingham Forest</t>
  </si>
  <si>
    <t>Nottingham</t>
  </si>
  <si>
    <t>Nottinghamshire</t>
  </si>
  <si>
    <t>3/29/1879</t>
  </si>
  <si>
    <t>1879-80</t>
  </si>
  <si>
    <t>3/27/1880</t>
  </si>
  <si>
    <t>4/10/1880</t>
  </si>
  <si>
    <t>1880-81</t>
  </si>
  <si>
    <t>3/26/1881</t>
  </si>
  <si>
    <t>Old Carthusians</t>
  </si>
  <si>
    <t>Darwen</t>
  </si>
  <si>
    <t>Godalming</t>
  </si>
  <si>
    <t>Surrey</t>
  </si>
  <si>
    <t>Blackburn</t>
  </si>
  <si>
    <t>Lancashire</t>
  </si>
  <si>
    <t>4/9/1881</t>
  </si>
  <si>
    <t>1881-82</t>
  </si>
  <si>
    <t>3/4/1882</t>
  </si>
  <si>
    <t>Marlow</t>
  </si>
  <si>
    <t>Buckinghamshire</t>
  </si>
  <si>
    <t>3/6/1882</t>
  </si>
  <si>
    <t>Sheffield Wednesday</t>
  </si>
  <si>
    <t>Blackburn Rovers</t>
  </si>
  <si>
    <t>Fartown Ground</t>
  </si>
  <si>
    <t>Kirklees</t>
  </si>
  <si>
    <t>Sheffield</t>
  </si>
  <si>
    <t>South Yorkshire</t>
  </si>
  <si>
    <t>3/15/1882</t>
  </si>
  <si>
    <t>Whalley Range</t>
  </si>
  <si>
    <t>Manchester</t>
  </si>
  <si>
    <t>3/25/1882</t>
  </si>
  <si>
    <t>1882-83</t>
  </si>
  <si>
    <t>3/17/1883</t>
  </si>
  <si>
    <t>Notts County</t>
  </si>
  <si>
    <t>Blackburn Olympic</t>
  </si>
  <si>
    <t>3/31/1883</t>
  </si>
  <si>
    <t>1883-84</t>
  </si>
  <si>
    <t>3/1/1884</t>
  </si>
  <si>
    <t>Aston Lower Grounds</t>
  </si>
  <si>
    <t>Birmingham</t>
  </si>
  <si>
    <t>Trent Bridge</t>
  </si>
  <si>
    <t>3/29/1884</t>
  </si>
  <si>
    <t>1884-85</t>
  </si>
  <si>
    <t>3/7/1885</t>
  </si>
  <si>
    <t>3/14/1885</t>
  </si>
  <si>
    <t>Derby County Ground</t>
  </si>
  <si>
    <t>3/28/1885</t>
  </si>
  <si>
    <t>Merchiston Castle School</t>
  </si>
  <si>
    <t>Edinburgh</t>
  </si>
  <si>
    <t>4/4/1885</t>
  </si>
  <si>
    <t>1885-86</t>
  </si>
  <si>
    <t>3/6/1886</t>
  </si>
  <si>
    <t>West Bromwich Albion</t>
  </si>
  <si>
    <t>Birmingham City</t>
  </si>
  <si>
    <t>West Midlands</t>
  </si>
  <si>
    <t>3/13/1886</t>
  </si>
  <si>
    <t>4/3/1886</t>
  </si>
  <si>
    <t>4/10/1886</t>
  </si>
  <si>
    <t>1886-87</t>
  </si>
  <si>
    <t>3/5/1887</t>
  </si>
  <si>
    <t>Rangers</t>
  </si>
  <si>
    <t>Gresty Road</t>
  </si>
  <si>
    <t>Crewe</t>
  </si>
  <si>
    <t>City Ground</t>
  </si>
  <si>
    <t>Preston</t>
  </si>
  <si>
    <t>4/2/1887</t>
  </si>
  <si>
    <t>1887-88</t>
  </si>
  <si>
    <t>2/18/1888</t>
  </si>
  <si>
    <t>Crewe Alexandra</t>
  </si>
  <si>
    <t>Anfield</t>
  </si>
  <si>
    <t>Cheshire</t>
  </si>
  <si>
    <t>Derby Junction</t>
  </si>
  <si>
    <t>Victoria Ground</t>
  </si>
  <si>
    <t>Stoke-on-Trent</t>
  </si>
  <si>
    <t>Derbyshire</t>
  </si>
  <si>
    <t>3/24/1888</t>
  </si>
  <si>
    <t>1888-89</t>
  </si>
  <si>
    <t>3/16/1889</t>
  </si>
  <si>
    <t>Deepdale</t>
  </si>
  <si>
    <t>Wolverhampton Wanderers</t>
  </si>
  <si>
    <t>Molineux Stadium</t>
  </si>
  <si>
    <t>3/23/1889</t>
  </si>
  <si>
    <t>3/30/1889</t>
  </si>
  <si>
    <t>1889-90</t>
  </si>
  <si>
    <t>3/8/1890</t>
  </si>
  <si>
    <t>Bolton Wanderers</t>
  </si>
  <si>
    <t>Perry Barr</t>
  </si>
  <si>
    <t>Greater Manchester</t>
  </si>
  <si>
    <t>3/29/1890</t>
  </si>
  <si>
    <t>1890-91</t>
  </si>
  <si>
    <t>2/28/1891</t>
  </si>
  <si>
    <t>Bramall Lane</t>
  </si>
  <si>
    <t>Tyne and Wear</t>
  </si>
  <si>
    <t>3/11/1891</t>
  </si>
  <si>
    <t>3/21/1891</t>
  </si>
  <si>
    <t>1891-92</t>
  </si>
  <si>
    <t>2/27/1892</t>
  </si>
  <si>
    <t>3/5/1892</t>
  </si>
  <si>
    <t>Replay (2)</t>
  </si>
  <si>
    <t>3/9/1892</t>
  </si>
  <si>
    <t>3/19/1892</t>
  </si>
  <si>
    <t>1892-93</t>
  </si>
  <si>
    <t>3/4/1893</t>
  </si>
  <si>
    <t>Merseyside</t>
  </si>
  <si>
    <t>3/16/1893</t>
  </si>
  <si>
    <t>3/20/1893</t>
  </si>
  <si>
    <t>Ewood Park</t>
  </si>
  <si>
    <t>3/25/1893</t>
  </si>
  <si>
    <t>Fallowfield Stadium</t>
  </si>
  <si>
    <t>1893-94</t>
  </si>
  <si>
    <t>3/10/1894</t>
  </si>
  <si>
    <t>3/31/1894</t>
  </si>
  <si>
    <t>Goodison Park</t>
  </si>
  <si>
    <t>1894-95</t>
  </si>
  <si>
    <t>3/16/1895</t>
  </si>
  <si>
    <t>4/20/1895</t>
  </si>
  <si>
    <t>Crystal Palace Stadium</t>
  </si>
  <si>
    <t>1895-96</t>
  </si>
  <si>
    <t>3/21/1896</t>
  </si>
  <si>
    <t>Derby County</t>
  </si>
  <si>
    <t>3/28/1896</t>
  </si>
  <si>
    <t>4/18/1896</t>
  </si>
  <si>
    <t>1896-97</t>
  </si>
  <si>
    <t>3/20/1897</t>
  </si>
  <si>
    <t>4/10/1897</t>
  </si>
  <si>
    <t>1897-98</t>
  </si>
  <si>
    <t>3/19/1898</t>
  </si>
  <si>
    <t>Hampshire</t>
  </si>
  <si>
    <t>3/23/1898</t>
  </si>
  <si>
    <t>4/16/1898</t>
  </si>
  <si>
    <t>East Midlands Derby</t>
  </si>
  <si>
    <t>1898-99</t>
  </si>
  <si>
    <t>3/18/1899</t>
  </si>
  <si>
    <t>Stoke City</t>
  </si>
  <si>
    <t>Staffordshire</t>
  </si>
  <si>
    <t>Sheffield United</t>
  </si>
  <si>
    <t>3/23/1899</t>
  </si>
  <si>
    <t>Burnden Park</t>
  </si>
  <si>
    <t>3/30/1899</t>
  </si>
  <si>
    <t>The Baseball Ground</t>
  </si>
  <si>
    <t>4/15/1899</t>
  </si>
  <si>
    <t>1899-00</t>
  </si>
  <si>
    <t>Millwall</t>
  </si>
  <si>
    <t>Bury</t>
  </si>
  <si>
    <t>Elm Park</t>
  </si>
  <si>
    <t>Reading</t>
  </si>
  <si>
    <t>1900-01</t>
  </si>
  <si>
    <t>Villa Park</t>
  </si>
  <si>
    <t>1901-02</t>
  </si>
  <si>
    <t>The Hawthorns</t>
  </si>
  <si>
    <t>White Hart Lane</t>
  </si>
  <si>
    <t>1902-03</t>
  </si>
  <si>
    <t>1903-04</t>
  </si>
  <si>
    <t>1904-05</t>
  </si>
  <si>
    <t>Maine Road</t>
  </si>
  <si>
    <t>Newcastle</t>
  </si>
  <si>
    <t>1905-06</t>
  </si>
  <si>
    <t>Merseyside Derby</t>
  </si>
  <si>
    <t>Woolwich Arsenal</t>
  </si>
  <si>
    <t>1906-07</t>
  </si>
  <si>
    <t>St. Andrews Stadium</t>
  </si>
  <si>
    <t>1907-08</t>
  </si>
  <si>
    <t>Stamford Bridge</t>
  </si>
  <si>
    <t>1908-09</t>
  </si>
  <si>
    <t>Bristol City</t>
  </si>
  <si>
    <t>Bristol</t>
  </si>
  <si>
    <t>1909-10</t>
  </si>
  <si>
    <t>Barnsley</t>
  </si>
  <si>
    <t>Elland Road</t>
  </si>
  <si>
    <t>Leeds</t>
  </si>
  <si>
    <t>Yorkshire</t>
  </si>
  <si>
    <t>Swindon Town</t>
  </si>
  <si>
    <t>Swindon</t>
  </si>
  <si>
    <t>Wiltshire</t>
  </si>
  <si>
    <t>Old Trafford</t>
  </si>
  <si>
    <t>1910-11</t>
  </si>
  <si>
    <t>Bradford City</t>
  </si>
  <si>
    <t>Bradford</t>
  </si>
  <si>
    <t>1911-12</t>
  </si>
  <si>
    <t>Meadow Lane</t>
  </si>
  <si>
    <t>Hillsborough Stadium</t>
  </si>
  <si>
    <t>1912-13</t>
  </si>
  <si>
    <t>Oldham Athletic</t>
  </si>
  <si>
    <t>Burnley</t>
  </si>
  <si>
    <t>1913-14</t>
  </si>
  <si>
    <t>1914-15</t>
  </si>
  <si>
    <t>1919-20</t>
  </si>
  <si>
    <t>Huddersfield Town</t>
  </si>
  <si>
    <t>West Yorkshire</t>
  </si>
  <si>
    <t>1920-21</t>
  </si>
  <si>
    <t>Cardiff City</t>
  </si>
  <si>
    <t>Cardiff</t>
  </si>
  <si>
    <t>Wales</t>
  </si>
  <si>
    <t>1921-22</t>
  </si>
  <si>
    <t>Turf Moor</t>
  </si>
  <si>
    <t>1922-23</t>
  </si>
  <si>
    <t>Wembley Stadium</t>
  </si>
  <si>
    <t>1923-24</t>
  </si>
  <si>
    <t>1924-25</t>
  </si>
  <si>
    <t>1925-26</t>
  </si>
  <si>
    <t>Manchester Derby</t>
  </si>
  <si>
    <t>Swansea City</t>
  </si>
  <si>
    <t>Swansea</t>
  </si>
  <si>
    <t>1926-27</t>
  </si>
  <si>
    <t>1927-28</t>
  </si>
  <si>
    <t>Filbert Street</t>
  </si>
  <si>
    <t>Leicester</t>
  </si>
  <si>
    <t>1928-29</t>
  </si>
  <si>
    <t>Portsmouth</t>
  </si>
  <si>
    <t>Highbury</t>
  </si>
  <si>
    <t>1929-30</t>
  </si>
  <si>
    <t>Hull City</t>
  </si>
  <si>
    <t>Hull</t>
  </si>
  <si>
    <t>East Riding of Yorkshire</t>
  </si>
  <si>
    <t>1930-31</t>
  </si>
  <si>
    <t>1931-32</t>
  </si>
  <si>
    <t>Leeds Road</t>
  </si>
  <si>
    <t>1932-33</t>
  </si>
  <si>
    <t>1933-34</t>
  </si>
  <si>
    <t>Leicester City</t>
  </si>
  <si>
    <t>Leicestershire</t>
  </si>
  <si>
    <t>1934-35</t>
  </si>
  <si>
    <t>1935-36</t>
  </si>
  <si>
    <t>Grimsby Town</t>
  </si>
  <si>
    <t>Grimsby</t>
  </si>
  <si>
    <t>Lincolnshire</t>
  </si>
  <si>
    <t>1936-37</t>
  </si>
  <si>
    <t>1937-38</t>
  </si>
  <si>
    <t>1938-39</t>
  </si>
  <si>
    <t>1945-46</t>
  </si>
  <si>
    <t>Charlton Athletic</t>
  </si>
  <si>
    <t>1946-47</t>
  </si>
  <si>
    <t>1947-48</t>
  </si>
  <si>
    <t>Blackpool</t>
  </si>
  <si>
    <t>1948-49</t>
  </si>
  <si>
    <t>1949-50</t>
  </si>
  <si>
    <t>London Derby</t>
  </si>
  <si>
    <t>1950-51</t>
  </si>
  <si>
    <t>1951-52</t>
  </si>
  <si>
    <t>1952-53</t>
  </si>
  <si>
    <t>1953-54</t>
  </si>
  <si>
    <t>Port Vale</t>
  </si>
  <si>
    <t>1954-55</t>
  </si>
  <si>
    <t>York City</t>
  </si>
  <si>
    <t>York</t>
  </si>
  <si>
    <t>North Yorkshire</t>
  </si>
  <si>
    <t>Roker Park</t>
  </si>
  <si>
    <t>1955-56</t>
  </si>
  <si>
    <t>1956-57</t>
  </si>
  <si>
    <t>Norwich City</t>
  </si>
  <si>
    <t>Luton Town</t>
  </si>
  <si>
    <t>Norwich</t>
  </si>
  <si>
    <t>Norfolk</t>
  </si>
  <si>
    <t>Luton</t>
  </si>
  <si>
    <t>Bedfordshire</t>
  </si>
  <si>
    <t>League Cup</t>
  </si>
  <si>
    <t>Rotherham United</t>
  </si>
  <si>
    <t>Shrewsbury Town</t>
  </si>
  <si>
    <t>Millmoor</t>
  </si>
  <si>
    <t>Rotherham</t>
  </si>
  <si>
    <t>Gay Meadow</t>
  </si>
  <si>
    <t>Shrewsbury</t>
  </si>
  <si>
    <t>Finals</t>
  </si>
  <si>
    <t>Rochdale</t>
  </si>
  <si>
    <t>Spotland Stadium</t>
  </si>
  <si>
    <t>Carrow Road</t>
  </si>
  <si>
    <t>Bloomfield Road</t>
  </si>
  <si>
    <t>Gigg Lane</t>
  </si>
  <si>
    <t>Birmingham Derby</t>
  </si>
  <si>
    <t>Upton Park</t>
  </si>
  <si>
    <t>Plymouth Argyle</t>
  </si>
  <si>
    <t>Home Park</t>
  </si>
  <si>
    <t>Plymouth</t>
  </si>
  <si>
    <t>Peterborough United</t>
  </si>
  <si>
    <t>London Road</t>
  </si>
  <si>
    <t>Peterborough</t>
  </si>
  <si>
    <t>Ninian Park</t>
  </si>
  <si>
    <t>Queens Park Rangers</t>
  </si>
  <si>
    <t>Loftus Road</t>
  </si>
  <si>
    <t>North London Derby</t>
  </si>
  <si>
    <t>The County Ground</t>
  </si>
  <si>
    <t>Carlisle United</t>
  </si>
  <si>
    <t>Brunton Park</t>
  </si>
  <si>
    <t>Carlisle</t>
  </si>
  <si>
    <t>Cumbria</t>
  </si>
  <si>
    <t>Watford</t>
  </si>
  <si>
    <t>Ashton Gate</t>
  </si>
  <si>
    <t>Devon</t>
  </si>
  <si>
    <t>Chester City</t>
  </si>
  <si>
    <t>Sealand Road</t>
  </si>
  <si>
    <t>Chester</t>
  </si>
  <si>
    <t>Ipswich Town</t>
  </si>
  <si>
    <t>Ipswich</t>
  </si>
  <si>
    <t>Suffolk</t>
  </si>
  <si>
    <t>Middlesbrough</t>
  </si>
  <si>
    <t>Ayresome Park</t>
  </si>
  <si>
    <t>St. James' Park</t>
  </si>
  <si>
    <t>North West Derby</t>
  </si>
  <si>
    <t>Leyton Orient</t>
  </si>
  <si>
    <t>Hertfordshire</t>
  </si>
  <si>
    <t>The Dell</t>
  </si>
  <si>
    <t>Vicarage Road</t>
  </si>
  <si>
    <t>Replay (3)</t>
  </si>
  <si>
    <t>Highfield Road</t>
  </si>
  <si>
    <t>Coventry</t>
  </si>
  <si>
    <t>Coventry City</t>
  </si>
  <si>
    <t>Portman Road</t>
  </si>
  <si>
    <t>Brighton &amp; Hove</t>
  </si>
  <si>
    <t>East Sussex</t>
  </si>
  <si>
    <t>Walsall</t>
  </si>
  <si>
    <t>Fellows Park</t>
  </si>
  <si>
    <t>East Anglia Derby</t>
  </si>
  <si>
    <t>Oxford United</t>
  </si>
  <si>
    <t>Manor Ground</t>
  </si>
  <si>
    <t>Kenilworth Road</t>
  </si>
  <si>
    <t>Wimbledon</t>
  </si>
  <si>
    <t>Milton Keynes Dons</t>
  </si>
  <si>
    <t>Boundary Park</t>
  </si>
  <si>
    <t>Penalty Kicks</t>
  </si>
  <si>
    <t>Selhurst Park</t>
  </si>
  <si>
    <t>Steel City Derby</t>
  </si>
  <si>
    <t>Cup</t>
  </si>
  <si>
    <t>UC - Pass</t>
  </si>
  <si>
    <t>Extra Time/Replay</t>
  </si>
  <si>
    <t>Extra Time</t>
  </si>
  <si>
    <t>CWC</t>
  </si>
  <si>
    <t>Tranmere Rovers</t>
  </si>
  <si>
    <t>Prenton Park</t>
  </si>
  <si>
    <t>UC</t>
  </si>
  <si>
    <t>Stockport County</t>
  </si>
  <si>
    <t>Edgeley Park</t>
  </si>
  <si>
    <t>Riverside Stadium</t>
  </si>
  <si>
    <t>Chesterfield</t>
  </si>
  <si>
    <t>Stadium of Light</t>
  </si>
  <si>
    <t>Reebok Stadium</t>
  </si>
  <si>
    <t>Millennium Stadium</t>
  </si>
  <si>
    <t>Wycombe Wanderers</t>
  </si>
  <si>
    <t>High Wycombe</t>
  </si>
  <si>
    <t>West London Derby</t>
  </si>
  <si>
    <t>Wigan Athletic</t>
  </si>
  <si>
    <t>JJB Stadium</t>
  </si>
  <si>
    <t>Adams Park</t>
  </si>
  <si>
    <t>Emirates Stadium</t>
  </si>
  <si>
    <t>New Wembley Stadium</t>
  </si>
  <si>
    <t>Pride Park Stadium</t>
  </si>
  <si>
    <t>EL - Pass</t>
  </si>
  <si>
    <t>City of Manchester Stadium</t>
  </si>
  <si>
    <t>EL</t>
  </si>
  <si>
    <t>Etihad Stadium</t>
  </si>
  <si>
    <t>Cardiff City Stadium</t>
  </si>
  <si>
    <t>Valley Parade</t>
  </si>
  <si>
    <t>Liberty Stadium</t>
  </si>
  <si>
    <t>Britannia Stadium</t>
  </si>
  <si>
    <t>St. Mary's Stadium</t>
  </si>
  <si>
    <t>KCOM Stadium</t>
  </si>
  <si>
    <t>Burton Albion</t>
  </si>
  <si>
    <t>Burton</t>
  </si>
  <si>
    <t>Pirelli Stadium</t>
  </si>
  <si>
    <t>Tottenham Hotspur Stadium</t>
  </si>
  <si>
    <t>Craven Cottage</t>
  </si>
  <si>
    <t>King Power Stadium</t>
  </si>
  <si>
    <t>YYYYMMDD</t>
  </si>
  <si>
    <t>o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</si>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</sst>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"/>
    <numFmt numFmtId="165" formatCode="0.0"/>
    <numFmt numFmtId="166" formatCode="0.0;\-0.0;&quot;-&quot;"/>
    <numFmt numFmtId="167" formatCode="0;\-0;&quot;&quot;"/>
    <numFmt numFmtId="168" formatCode="&quot;$&quot;#,##0"/>
    <numFmt numFmtId="169" formatCode="m/d/yyyy;@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color theme="1"/>
      <name val="Arial"/>
      <family val="2"/>
    </font>
    <font>
      <b/>
      <sz val="8"/>
      <name val="Arial"/>
      <family val="2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FFFF"/>
      <name val="Arial"/>
      <family val="2"/>
    </font>
    <font>
      <b/>
      <u/>
      <sz val="9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00"/>
      <name val="Arial"/>
      <family val="2"/>
    </font>
    <font>
      <u/>
      <sz val="10"/>
      <color theme="1"/>
      <name val="Arial"/>
      <family val="2"/>
    </font>
    <font>
      <b/>
      <sz val="10"/>
      <name val="Arial"/>
      <family val="2"/>
    </font>
    <font>
      <u/>
      <sz val="10"/>
      <name val="Arial"/>
      <family val="2"/>
    </font>
    <font>
      <b/>
      <sz val="10"/>
      <color rgb="FF000000"/>
      <name val="Arial"/>
      <family val="2"/>
    </font>
    <font>
      <u/>
      <sz val="10"/>
      <color rgb="FF000000"/>
      <name val="Arial"/>
      <family val="2"/>
    </font>
    <font>
      <b/>
      <sz val="9"/>
      <color rgb="FF000000"/>
      <name val="Arial"/>
    </font>
    <font>
      <sz val="10"/>
      <name val="Arial"/>
    </font>
  </fonts>
  <fills count="9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1F3864"/>
      </patternFill>
    </fill>
    <fill>
      <patternFill patternType="solid">
        <fgColor rgb="FFFFC000"/>
        <bgColor rgb="FF000000"/>
      </patternFill>
    </fill>
    <fill>
      <patternFill patternType="solid">
        <fgColor rgb="FFFCD5B4"/>
        <bgColor rgb="FF0000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5">
    <xf numFmtId="0" fontId="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0" fillId="0" borderId="0"/>
  </cellStyleXfs>
  <cellXfs count="94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0" fontId="4" fillId="0" borderId="0" xfId="1" applyFont="1"/>
    <xf numFmtId="0" fontId="6" fillId="0" borderId="0" xfId="2" applyFont="1"/>
    <xf numFmtId="0" fontId="7" fillId="0" borderId="0" xfId="3" applyFont="1"/>
    <xf numFmtId="1" fontId="6" fillId="0" borderId="0" xfId="2" applyNumberFormat="1" applyFont="1"/>
    <xf numFmtId="0" fontId="1" fillId="0" borderId="0" xfId="3"/>
    <xf numFmtId="164" fontId="1" fillId="0" borderId="0" xfId="3" applyNumberFormat="1"/>
    <xf numFmtId="0" fontId="8" fillId="0" borderId="0" xfId="2" applyFont="1"/>
    <xf numFmtId="1" fontId="8" fillId="0" borderId="0" xfId="2" applyNumberFormat="1" applyFont="1"/>
    <xf numFmtId="164" fontId="3" fillId="0" borderId="0" xfId="3" applyNumberFormat="1" applyFont="1"/>
    <xf numFmtId="0" fontId="5" fillId="0" borderId="0" xfId="3" applyFont="1"/>
    <xf numFmtId="164" fontId="2" fillId="0" borderId="0" xfId="3" applyNumberFormat="1" applyFont="1"/>
    <xf numFmtId="0" fontId="1" fillId="0" borderId="0" xfId="4"/>
    <xf numFmtId="0" fontId="1" fillId="0" borderId="0" xfId="5"/>
    <xf numFmtId="0" fontId="3" fillId="0" borderId="0" xfId="3" applyFont="1"/>
    <xf numFmtId="0" fontId="3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9" fillId="2" borderId="0" xfId="0" applyFont="1" applyFill="1"/>
    <xf numFmtId="0" fontId="9" fillId="3" borderId="0" xfId="0" applyFont="1" applyFill="1"/>
    <xf numFmtId="0" fontId="10" fillId="0" borderId="0" xfId="0" applyFont="1"/>
    <xf numFmtId="0" fontId="10" fillId="0" borderId="0" xfId="0" applyFont="1" applyAlignment="1">
      <alignment horizontal="center"/>
    </xf>
    <xf numFmtId="0" fontId="11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0" fontId="9" fillId="4" borderId="0" xfId="0" applyFont="1" applyFill="1"/>
    <xf numFmtId="0" fontId="0" fillId="0" borderId="0" xfId="0" applyAlignment="1">
      <alignment horizontal="left"/>
    </xf>
    <xf numFmtId="0" fontId="9" fillId="4" borderId="0" xfId="0" applyFont="1" applyFill="1" applyAlignment="1">
      <alignment horizontal="left"/>
    </xf>
    <xf numFmtId="0" fontId="0" fillId="0" borderId="0" xfId="0" applyAlignment="1">
      <alignment horizontal="right"/>
    </xf>
    <xf numFmtId="0" fontId="9" fillId="4" borderId="0" xfId="0" applyFont="1" applyFill="1" applyAlignment="1">
      <alignment horizontal="right"/>
    </xf>
    <xf numFmtId="167" fontId="0" fillId="0" borderId="0" xfId="0" applyNumberFormat="1" applyAlignment="1">
      <alignment horizontal="right"/>
    </xf>
    <xf numFmtId="168" fontId="0" fillId="0" borderId="0" xfId="0" applyNumberFormat="1"/>
    <xf numFmtId="0" fontId="5" fillId="0" borderId="0" xfId="0" applyFont="1"/>
    <xf numFmtId="168" fontId="5" fillId="0" borderId="0" xfId="0" applyNumberFormat="1" applyFont="1"/>
    <xf numFmtId="1" fontId="5" fillId="0" borderId="0" xfId="0" applyNumberFormat="1" applyFont="1"/>
    <xf numFmtId="0" fontId="12" fillId="5" borderId="0" xfId="0" applyFont="1" applyFill="1" applyAlignment="1">
      <alignment horizontal="center" vertical="center"/>
    </xf>
    <xf numFmtId="168" fontId="12" fillId="5" borderId="0" xfId="0" applyNumberFormat="1" applyFont="1" applyFill="1" applyAlignment="1">
      <alignment horizontal="center" vertical="center"/>
    </xf>
    <xf numFmtId="0" fontId="6" fillId="0" borderId="0" xfId="6" applyFont="1"/>
    <xf numFmtId="0" fontId="6" fillId="0" borderId="0" xfId="0" applyFont="1"/>
    <xf numFmtId="14" fontId="6" fillId="0" borderId="0" xfId="6" applyNumberFormat="1" applyFont="1"/>
    <xf numFmtId="0" fontId="13" fillId="0" borderId="0" xfId="6" applyFont="1"/>
    <xf numFmtId="0" fontId="6" fillId="0" borderId="0" xfId="7" applyFont="1"/>
    <xf numFmtId="0" fontId="13" fillId="0" borderId="0" xfId="7" applyFont="1"/>
    <xf numFmtId="0" fontId="14" fillId="0" borderId="0" xfId="0" applyFont="1"/>
    <xf numFmtId="0" fontId="14" fillId="0" borderId="0" xfId="8" applyFont="1"/>
    <xf numFmtId="14" fontId="14" fillId="0" borderId="0" xfId="8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5" fillId="0" borderId="0" xfId="7"/>
    <xf numFmtId="0" fontId="5" fillId="0" borderId="0" xfId="6"/>
    <xf numFmtId="0" fontId="14" fillId="0" borderId="0" xfId="9" applyFont="1"/>
    <xf numFmtId="14" fontId="14" fillId="0" borderId="0" xfId="9" applyNumberFormat="1" applyFont="1"/>
    <xf numFmtId="14" fontId="5" fillId="0" borderId="0" xfId="7" applyNumberFormat="1"/>
    <xf numFmtId="0" fontId="18" fillId="0" borderId="0" xfId="7" applyFont="1"/>
    <xf numFmtId="0" fontId="5" fillId="6" borderId="0" xfId="7" applyFill="1"/>
    <xf numFmtId="0" fontId="5" fillId="7" borderId="0" xfId="7" applyFill="1"/>
    <xf numFmtId="0" fontId="19" fillId="0" borderId="0" xfId="7" applyFont="1"/>
    <xf numFmtId="0" fontId="16" fillId="0" borderId="0" xfId="10" applyFont="1"/>
    <xf numFmtId="0" fontId="16" fillId="0" borderId="0" xfId="7" applyFont="1"/>
    <xf numFmtId="2" fontId="5" fillId="0" borderId="0" xfId="7" applyNumberFormat="1"/>
    <xf numFmtId="14" fontId="14" fillId="0" borderId="0" xfId="0" applyNumberFormat="1" applyFont="1"/>
    <xf numFmtId="14" fontId="16" fillId="0" borderId="0" xfId="11" applyNumberFormat="1" applyFont="1"/>
    <xf numFmtId="0" fontId="16" fillId="0" borderId="0" xfId="11" applyFont="1"/>
    <xf numFmtId="0" fontId="16" fillId="0" borderId="0" xfId="12" applyFont="1"/>
    <xf numFmtId="0" fontId="1" fillId="0" borderId="0" xfId="1"/>
    <xf numFmtId="14" fontId="16" fillId="0" borderId="0" xfId="12" applyNumberFormat="1" applyFont="1"/>
    <xf numFmtId="0" fontId="16" fillId="0" borderId="0" xfId="9" applyFont="1"/>
    <xf numFmtId="14" fontId="16" fillId="0" borderId="0" xfId="9" applyNumberFormat="1" applyFont="1"/>
    <xf numFmtId="0" fontId="20" fillId="0" borderId="0" xfId="9" applyFont="1"/>
    <xf numFmtId="0" fontId="5" fillId="6" borderId="0" xfId="0" applyFont="1" applyFill="1"/>
    <xf numFmtId="0" fontId="5" fillId="7" borderId="0" xfId="0" applyFont="1" applyFill="1"/>
    <xf numFmtId="0" fontId="19" fillId="0" borderId="0" xfId="0" applyFont="1"/>
    <xf numFmtId="0" fontId="18" fillId="0" borderId="0" xfId="0" applyFont="1"/>
    <xf numFmtId="0" fontId="16" fillId="6" borderId="0" xfId="0" applyFont="1" applyFill="1"/>
    <xf numFmtId="0" fontId="16" fillId="7" borderId="0" xfId="0" applyFont="1" applyFill="1"/>
    <xf numFmtId="169" fontId="14" fillId="0" borderId="0" xfId="0" applyNumberFormat="1" applyFont="1"/>
    <xf numFmtId="0" fontId="16" fillId="0" borderId="0" xfId="13" applyFont="1"/>
    <xf numFmtId="169" fontId="16" fillId="0" borderId="0" xfId="13" applyNumberFormat="1" applyFont="1"/>
    <xf numFmtId="0" fontId="20" fillId="0" borderId="0" xfId="13" applyFont="1"/>
    <xf numFmtId="0" fontId="21" fillId="0" borderId="0" xfId="0" applyFont="1"/>
    <xf numFmtId="0" fontId="20" fillId="0" borderId="0" xfId="0" applyFont="1"/>
    <xf numFmtId="14" fontId="16" fillId="0" borderId="0" xfId="13" applyNumberFormat="1" applyFont="1"/>
    <xf numFmtId="0" fontId="14" fillId="8" borderId="0" xfId="0" applyFont="1" applyFill="1"/>
    <xf numFmtId="0" fontId="16" fillId="0" borderId="0" xfId="14" applyFont="1"/>
    <xf numFmtId="0" fontId="20" fillId="0" borderId="0" xfId="14" applyFont="1"/>
    <xf numFmtId="14" fontId="16" fillId="0" borderId="0" xfId="14" applyNumberFormat="1" applyFont="1"/>
    <xf numFmtId="0" fontId="16" fillId="0" borderId="0" xfId="13" applyFont="1" applyFill="1"/>
    <xf numFmtId="0" fontId="14" fillId="0" borderId="0" xfId="0" applyFont="1" applyFill="1"/>
    <xf numFmtId="0" fontId="22" fillId="0" borderId="0" xfId="0" applyFont="1"/>
    <xf numFmtId="0" fontId="23" fillId="0" borderId="0" xfId="7" applyNumberFormat="1" applyFont="1" applyAlignment="1">
      <alignment horizontal="left"/>
    </xf>
  </cellXfs>
  <cellStyles count="15">
    <cellStyle name="Normal" xfId="0" builtinId="0"/>
    <cellStyle name="Normal 10" xfId="7" xr:uid="{ED4FD5A6-5CDD-4F75-BF42-057AE7500018}"/>
    <cellStyle name="Normal 2" xfId="1" xr:uid="{B560BFAF-D18F-4306-BDA0-92C1F250FE30}"/>
    <cellStyle name="Normal 28" xfId="14" xr:uid="{EDBCA4BA-7A73-4AB4-8F19-5762AB66782D}"/>
    <cellStyle name="Normal 28 2" xfId="12" xr:uid="{3014D7B0-3EE6-4304-924D-15185041D510}"/>
    <cellStyle name="Normal 29 2" xfId="6" xr:uid="{55B249EA-00E2-4331-946A-C4276C5521D7}"/>
    <cellStyle name="Normal 3" xfId="2" xr:uid="{311BC824-B14B-47AD-9CDB-F83E0229D4E8}"/>
    <cellStyle name="Normal 33 2" xfId="13" xr:uid="{3E356263-356F-4607-A3D8-B8F17EFCE178}"/>
    <cellStyle name="Normal 4" xfId="3" xr:uid="{7E7D8877-39C6-44EE-BD6F-C861A9DB004A}"/>
    <cellStyle name="Normal 4 2 2" xfId="4" xr:uid="{BD70F4BD-1041-4F5E-8D4E-8460FB829C1B}"/>
    <cellStyle name="Normal 5" xfId="8" xr:uid="{EC659D1C-C0A0-4C8C-A829-C85BFAAA41BE}"/>
    <cellStyle name="Normal 5 17" xfId="10" xr:uid="{1CEBACF8-FF24-47C3-ABC9-62344A8735E6}"/>
    <cellStyle name="Normal 5 2" xfId="5" xr:uid="{A1C6D3C4-89AA-452B-BBF7-0BCAC747E87C}"/>
    <cellStyle name="Normal 6" xfId="9" xr:uid="{2D8DB5A8-677C-44B1-82E6-9E8C64894DFB}"/>
    <cellStyle name="Normal 6 11 2" xfId="11" xr:uid="{3262B46D-94B6-4EF0-A525-C24B4776223F}"/>
  </cellStyles>
  <dxfs count="22">
    <dxf>
      <numFmt numFmtId="0" formatCode="General"/>
      <alignment horizontal="lef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numFmt numFmtId="167" formatCode="0;\-0;&quot;&quot;"/>
      <alignment horizontal="right" vertical="bottom" textRotation="0" wrapText="0" justifyLastLine="0" shrinkToFit="0" readingOrder="0"/>
    </dxf>
    <dxf>
      <numFmt numFmtId="167" formatCode="0;\-0;&quot;&quot;"/>
      <alignment horizontal="righ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numFmt numFmtId="165" formatCode="0.0"/>
    </dxf>
    <dxf>
      <numFmt numFmtId="165" formatCode="0.0"/>
    </dxf>
    <dxf>
      <numFmt numFmtId="166" formatCode="0.0;\-0.0;&quot;-&quot;"/>
    </dxf>
    <dxf>
      <numFmt numFmtId="164" formatCode="0.000"/>
    </dxf>
    <dxf>
      <numFmt numFmtId="1" formatCode="0"/>
    </dxf>
    <dxf>
      <numFmt numFmtId="1" formatCode="0"/>
    </dxf>
    <dxf>
      <numFmt numFmtId="1" formatCode="0"/>
    </dxf>
    <dxf>
      <font>
        <b/>
        <color rgb="FFFFFFFF"/>
      </font>
      <fill>
        <patternFill patternType="solid">
          <fgColor indexed="64"/>
          <bgColor rgb="FF4472C4"/>
        </patternFill>
      </fill>
    </dxf>
    <dxf>
      <font>
        <color rgb="FF000000"/>
      </font>
      <fill>
        <patternFill patternType="none"/>
      </fill>
    </dxf>
    <dxf>
      <font>
        <color rgb="FF000000"/>
      </font>
      <fill>
        <patternFill patternType="none"/>
      </fill>
      <alignment horizontal="center"/>
    </dxf>
    <dxf>
      <font>
        <color rgb="FF000000"/>
      </font>
      <fill>
        <patternFill patternType="none"/>
      </fill>
    </dxf>
    <dxf>
      <numFmt numFmtId="1" formatCode="0"/>
      <alignment horizontal="center"/>
    </dxf>
    <dxf>
      <font>
        <b/>
      </font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6F482DF-97AA-454E-BAD1-75677C085102}" name="IPL_Playoffs" displayName="IPL_Playoffs" ref="A1:E75" totalsRowShown="0">
  <autoFilter ref="A1:E75" xr:uid="{86F482DF-97AA-454E-BAD1-75677C085102}"/>
  <tableColumns count="5">
    <tableColumn id="1" xr3:uid="{C58EE559-71C9-4821-A034-6D478E0661A7}" name="Season" dataDxfId="21"/>
    <tableColumn id="2" xr3:uid="{27EB0664-B444-49A9-8C92-5B74A31AA528}" name="Round"/>
    <tableColumn id="3" xr3:uid="{6A64AD9A-4F0B-4A5E-8495-7DEDBF8A14AF}" name="Team 1"/>
    <tableColumn id="4" xr3:uid="{0DDE7C6C-F2C4-4FE5-8433-92A2F4CB8C0F}" name="Team 2"/>
    <tableColumn id="5" xr3:uid="{009AE626-D1DD-4174-B556-87A61966ED22}" name="Resul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CBB4B5-A9AD-46F5-9D09-F391F046D486}" name="AllTitles" displayName="AllTitles" ref="A1:H169" totalsRowShown="0" headerRowDxfId="20">
  <sortState xmlns:xlrd2="http://schemas.microsoft.com/office/spreadsheetml/2017/richdata2" ref="A2:H166">
    <sortCondition ref="C2:C166"/>
    <sortCondition ref="B2:B166"/>
    <sortCondition ref="A2:A166"/>
  </sortState>
  <tableColumns count="8">
    <tableColumn id="1" xr3:uid="{339866B9-032B-4661-B14F-055D894E522C}" name="Competition"/>
    <tableColumn id="2" xr3:uid="{9D39483E-45AE-46A4-B27D-5D5E65D0253B}" name="Country"/>
    <tableColumn id="3" xr3:uid="{30ED349E-9467-4D73-A0CD-EDBE2080EFE9}" name="Season" dataDxfId="19"/>
    <tableColumn id="4" xr3:uid="{2F787727-9AB9-41FB-B6E0-772F54465350}" name="Winner / Champion" dataDxfId="18"/>
    <tableColumn id="5" xr3:uid="{5A0F5CCC-342B-4483-8FE1-960660A1D518}" name="Score" dataDxfId="17"/>
    <tableColumn id="6" xr3:uid="{0B694225-CA4F-4915-881A-6562899C281C}" name="Runner-up / Finalist" dataDxfId="16"/>
    <tableColumn id="7" xr3:uid="{F69B9C71-0672-4F47-92B3-565F391DC14E}" name="Winner (Canonical)"/>
    <tableColumn id="8" xr3:uid="{AE1A442D-954A-41DC-8C46-EE31079720D6}" name="Runner-up (Canonical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0F887C-1037-4B75-9623-19C8B7A4A31A}" name="WNBA_TeamSeasons" displayName="WNBA_TeamSeasons" ref="A3:R368" totalsRowShown="0" headerRowDxfId="15">
  <tableColumns count="18">
    <tableColumn id="1" xr3:uid="{F28C7DEA-C9E7-4F35-B004-C420296098DC}" name="Season" dataDxfId="14"/>
    <tableColumn id="2" xr3:uid="{7BC02741-807F-46F7-8F03-7AD21312BE0C}" name="Team"/>
    <tableColumn id="3" xr3:uid="{D04DB577-F9D9-43D7-8A6F-8DFAA53E2231}" name="Conference"/>
    <tableColumn id="4" xr3:uid="{0CF9A82C-D049-44FB-87BD-D5A7B2FCC3FA}" name="W" dataDxfId="13"/>
    <tableColumn id="5" xr3:uid="{192601A3-0258-4A57-967E-B26704E3800D}" name="L" dataDxfId="12"/>
    <tableColumn id="6" xr3:uid="{42876D25-BDE6-446D-A86B-97A8EC5F62E1}" name="W/L%" dataDxfId="11"/>
    <tableColumn id="7" xr3:uid="{6C4502A8-62B6-4922-84A6-8804C8628977}" name="GB" dataDxfId="10"/>
    <tableColumn id="8" xr3:uid="{9F348C01-B74D-467C-9650-E8A34C44154F}" name="PS/G" dataDxfId="9"/>
    <tableColumn id="9" xr3:uid="{5F99CAA0-CD98-4F68-9971-E4F1B7E51E5B}" name="PF/G" dataDxfId="8"/>
    <tableColumn id="10" xr3:uid="{39564B27-888A-4DE5-B0FB-B3C123946E2E}" name="Playoffs"/>
    <tableColumn id="17" xr3:uid="{F4F2DC32-5D46-49C8-8ADC-7ECFFDECCFB1}" name="Div Title" dataDxfId="7"/>
    <tableColumn id="11" xr3:uid="{6B96C401-B195-4825-B92C-D593763BDB65}" name="Best Rec" dataDxfId="6"/>
    <tableColumn id="12" xr3:uid="{25A91960-15F0-41C9-8618-BE34C59D1BD4}" name="P. Wins" dataDxfId="5"/>
    <tableColumn id="13" xr3:uid="{38421A24-860B-4744-80F7-9DF745F003A7}" name="P. Losses" dataDxfId="4"/>
    <tableColumn id="14" xr3:uid="{EA68CD07-B947-41F9-ABDE-1621D4E277DE}" name="SF App" dataDxfId="3"/>
    <tableColumn id="15" xr3:uid="{2F15E4CF-4270-4A3A-B576-CC802B38B5AB}" name="Champ App" dataDxfId="2"/>
    <tableColumn id="16" xr3:uid="{916355EE-5DDD-4372-A860-7D8EE39B8305}" name="Champ" dataDxfId="1"/>
    <tableColumn id="18" xr3:uid="{A79BA288-5143-4646-95FC-E5F9C9CA4260}" name="Canonical Name" dataDxfId="0">
      <calculatedColumnFormula>VLOOKUP(WNBA_TeamSeasons[[#This Row],[Team]],$Y$3:$Y$17,1,FALSE)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CC958FE-6AB4-49E4-AFB4-C85B20F90C1B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074ec2f-9c0c-4bf1-b5db-eddb1a9ad770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4DBB7-8127-4C77-BBB1-3D632F66E723}">
  <dimension ref="A1:X167"/>
  <sheetViews>
    <sheetView workbookViewId="0">
      <selection activeCell="R6" sqref="R6"/>
    </sheetView>
  </sheetViews>
  <sheetFormatPr defaultRowHeight="15" x14ac:dyDescent="0.25"/>
  <cols>
    <col min="1" max="1" width="7.42578125" bestFit="1" customWidth="1"/>
    <col min="2" max="2" width="4.28515625" bestFit="1" customWidth="1"/>
    <col min="3" max="3" width="26.7109375" bestFit="1" customWidth="1"/>
    <col min="4" max="6" width="3" bestFit="1" customWidth="1"/>
    <col min="7" max="7" width="3.5703125" bestFit="1" customWidth="1"/>
    <col min="8" max="8" width="3.7109375" bestFit="1" customWidth="1"/>
    <col min="9" max="9" width="6.7109375" bestFit="1" customWidth="1"/>
    <col min="10" max="10" width="8" bestFit="1" customWidth="1"/>
    <col min="12" max="12" width="11.140625" style="1" bestFit="1" customWidth="1"/>
    <col min="13" max="13" width="26.7109375" bestFit="1" customWidth="1"/>
    <col min="14" max="14" width="7.42578125" bestFit="1" customWidth="1"/>
    <col min="15" max="15" width="11.7109375" bestFit="1" customWidth="1"/>
    <col min="16" max="16" width="23.5703125" bestFit="1" customWidth="1"/>
    <col min="21" max="21" width="30.5703125" bestFit="1" customWidth="1"/>
    <col min="22" max="22" width="13.7109375" bestFit="1" customWidth="1"/>
    <col min="23" max="23" width="26.42578125" bestFit="1" customWidth="1"/>
  </cols>
  <sheetData>
    <row r="1" spans="1:24" x14ac:dyDescent="0.25">
      <c r="A1" t="s">
        <v>27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40</v>
      </c>
      <c r="L1" s="1" t="s">
        <v>107</v>
      </c>
      <c r="M1" t="s">
        <v>28</v>
      </c>
      <c r="N1" t="s">
        <v>29</v>
      </c>
      <c r="O1" t="s">
        <v>128</v>
      </c>
      <c r="P1" t="s">
        <v>129</v>
      </c>
    </row>
    <row r="2" spans="1:24" ht="15.75" x14ac:dyDescent="0.25">
      <c r="A2">
        <v>2008</v>
      </c>
      <c r="B2">
        <v>1</v>
      </c>
      <c r="C2" t="s">
        <v>9</v>
      </c>
      <c r="D2">
        <v>14</v>
      </c>
      <c r="E2">
        <v>11</v>
      </c>
      <c r="F2">
        <v>3</v>
      </c>
      <c r="G2">
        <v>0</v>
      </c>
      <c r="H2">
        <v>22</v>
      </c>
      <c r="I2">
        <v>0.63200000000000001</v>
      </c>
      <c r="J2" t="s">
        <v>30</v>
      </c>
      <c r="K2" t="s">
        <v>30</v>
      </c>
      <c r="L2" s="1" t="s">
        <v>30</v>
      </c>
      <c r="M2" t="s">
        <v>9</v>
      </c>
      <c r="N2" t="s">
        <v>30</v>
      </c>
      <c r="O2" t="s">
        <v>122</v>
      </c>
      <c r="P2" t="s">
        <v>123</v>
      </c>
      <c r="U2" s="3"/>
      <c r="V2" s="3"/>
      <c r="W2" s="3"/>
      <c r="X2" s="3"/>
    </row>
    <row r="3" spans="1:24" ht="15.75" x14ac:dyDescent="0.25">
      <c r="A3">
        <v>2008</v>
      </c>
      <c r="B3">
        <v>2</v>
      </c>
      <c r="C3" t="s">
        <v>10</v>
      </c>
      <c r="D3">
        <v>14</v>
      </c>
      <c r="E3">
        <v>10</v>
      </c>
      <c r="F3">
        <v>4</v>
      </c>
      <c r="G3">
        <v>0</v>
      </c>
      <c r="H3">
        <v>20</v>
      </c>
      <c r="I3">
        <v>0.50900000000000001</v>
      </c>
      <c r="J3" t="s">
        <v>30</v>
      </c>
      <c r="K3" t="s">
        <v>108</v>
      </c>
      <c r="L3" s="1" t="s">
        <v>108</v>
      </c>
      <c r="M3" t="s">
        <v>23</v>
      </c>
      <c r="N3" t="s">
        <v>30</v>
      </c>
      <c r="O3" t="s">
        <v>121</v>
      </c>
      <c r="P3" t="s">
        <v>121</v>
      </c>
      <c r="U3" s="3"/>
      <c r="V3" s="3"/>
      <c r="W3" s="3"/>
      <c r="X3" s="3"/>
    </row>
    <row r="4" spans="1:24" ht="15.75" x14ac:dyDescent="0.25">
      <c r="A4">
        <v>2008</v>
      </c>
      <c r="B4">
        <v>3</v>
      </c>
      <c r="C4" t="s">
        <v>11</v>
      </c>
      <c r="D4">
        <v>14</v>
      </c>
      <c r="E4">
        <v>8</v>
      </c>
      <c r="F4">
        <v>6</v>
      </c>
      <c r="G4">
        <v>0</v>
      </c>
      <c r="H4">
        <v>16</v>
      </c>
      <c r="I4">
        <v>-0.192</v>
      </c>
      <c r="J4" t="s">
        <v>30</v>
      </c>
      <c r="K4" t="s">
        <v>30</v>
      </c>
      <c r="L4" s="1" t="s">
        <v>108</v>
      </c>
      <c r="M4" t="s">
        <v>11</v>
      </c>
      <c r="N4" t="s">
        <v>30</v>
      </c>
      <c r="O4" t="s">
        <v>109</v>
      </c>
      <c r="P4" t="s">
        <v>110</v>
      </c>
      <c r="U4" s="3"/>
      <c r="V4" s="3"/>
      <c r="W4" s="3"/>
      <c r="X4" s="3"/>
    </row>
    <row r="5" spans="1:24" ht="15.75" x14ac:dyDescent="0.25">
      <c r="A5">
        <v>2008</v>
      </c>
      <c r="B5">
        <v>4</v>
      </c>
      <c r="C5" t="s">
        <v>12</v>
      </c>
      <c r="D5">
        <v>14</v>
      </c>
      <c r="E5">
        <v>7</v>
      </c>
      <c r="F5">
        <v>6</v>
      </c>
      <c r="G5">
        <v>1</v>
      </c>
      <c r="H5">
        <v>15</v>
      </c>
      <c r="I5">
        <v>0.34200000000000003</v>
      </c>
      <c r="J5" t="s">
        <v>30</v>
      </c>
      <c r="K5" t="s">
        <v>108</v>
      </c>
      <c r="L5" s="1" t="s">
        <v>108</v>
      </c>
      <c r="M5" t="s">
        <v>22</v>
      </c>
      <c r="N5" t="s">
        <v>30</v>
      </c>
      <c r="O5" t="s">
        <v>111</v>
      </c>
      <c r="P5" t="s">
        <v>112</v>
      </c>
      <c r="U5" s="3"/>
      <c r="V5" s="3"/>
      <c r="W5" s="3"/>
      <c r="X5" s="3"/>
    </row>
    <row r="6" spans="1:24" ht="15.75" x14ac:dyDescent="0.25">
      <c r="A6">
        <v>2008</v>
      </c>
      <c r="B6">
        <v>5</v>
      </c>
      <c r="C6" t="s">
        <v>13</v>
      </c>
      <c r="D6">
        <v>14</v>
      </c>
      <c r="E6">
        <v>7</v>
      </c>
      <c r="F6">
        <v>7</v>
      </c>
      <c r="G6">
        <v>0</v>
      </c>
      <c r="H6">
        <v>14</v>
      </c>
      <c r="I6">
        <v>0.56999999999999995</v>
      </c>
      <c r="K6" t="s">
        <v>108</v>
      </c>
      <c r="L6" s="1" t="s">
        <v>108</v>
      </c>
      <c r="M6" t="s">
        <v>13</v>
      </c>
      <c r="N6" t="s">
        <v>30</v>
      </c>
      <c r="O6" t="s">
        <v>119</v>
      </c>
      <c r="P6" t="s">
        <v>120</v>
      </c>
      <c r="U6" s="3"/>
      <c r="V6" s="3"/>
      <c r="W6" s="3"/>
      <c r="X6" s="3"/>
    </row>
    <row r="7" spans="1:24" ht="15.75" x14ac:dyDescent="0.25">
      <c r="A7">
        <v>2008</v>
      </c>
      <c r="B7">
        <v>6</v>
      </c>
      <c r="C7" t="s">
        <v>14</v>
      </c>
      <c r="D7">
        <v>14</v>
      </c>
      <c r="E7">
        <v>6</v>
      </c>
      <c r="F7">
        <v>7</v>
      </c>
      <c r="G7">
        <v>1</v>
      </c>
      <c r="H7">
        <v>13</v>
      </c>
      <c r="I7">
        <v>-0.14699999999999999</v>
      </c>
      <c r="K7" t="s">
        <v>108</v>
      </c>
      <c r="L7" s="1" t="s">
        <v>108</v>
      </c>
      <c r="M7" t="s">
        <v>14</v>
      </c>
      <c r="N7" t="s">
        <v>30</v>
      </c>
      <c r="O7" t="s">
        <v>115</v>
      </c>
      <c r="P7" t="s">
        <v>116</v>
      </c>
      <c r="U7" s="3"/>
      <c r="V7" s="3"/>
      <c r="W7" s="3"/>
      <c r="X7" s="3"/>
    </row>
    <row r="8" spans="1:24" ht="15.75" x14ac:dyDescent="0.25">
      <c r="A8">
        <v>2008</v>
      </c>
      <c r="B8">
        <v>7</v>
      </c>
      <c r="C8" t="s">
        <v>15</v>
      </c>
      <c r="D8">
        <v>14</v>
      </c>
      <c r="E8">
        <v>4</v>
      </c>
      <c r="F8">
        <v>10</v>
      </c>
      <c r="G8">
        <v>0</v>
      </c>
      <c r="H8">
        <v>8</v>
      </c>
      <c r="I8">
        <v>-1.1599999999999999</v>
      </c>
      <c r="K8" t="s">
        <v>108</v>
      </c>
      <c r="L8" s="1" t="s">
        <v>108</v>
      </c>
      <c r="M8" t="s">
        <v>26</v>
      </c>
      <c r="N8" t="s">
        <v>30</v>
      </c>
      <c r="O8" t="s">
        <v>124</v>
      </c>
      <c r="P8" t="s">
        <v>125</v>
      </c>
      <c r="U8" s="3"/>
      <c r="V8" s="3"/>
      <c r="W8" s="3"/>
      <c r="X8" s="3"/>
    </row>
    <row r="9" spans="1:24" ht="15.75" x14ac:dyDescent="0.25">
      <c r="A9">
        <v>2008</v>
      </c>
      <c r="B9">
        <v>8</v>
      </c>
      <c r="C9" t="s">
        <v>16</v>
      </c>
      <c r="D9">
        <v>14</v>
      </c>
      <c r="E9">
        <v>2</v>
      </c>
      <c r="F9">
        <v>12</v>
      </c>
      <c r="G9">
        <v>0</v>
      </c>
      <c r="H9">
        <v>4</v>
      </c>
      <c r="I9">
        <v>-0.46700000000000003</v>
      </c>
      <c r="K9" t="s">
        <v>108</v>
      </c>
      <c r="L9" s="1" t="s">
        <v>108</v>
      </c>
      <c r="M9" t="s">
        <v>16</v>
      </c>
      <c r="N9" t="s">
        <v>31</v>
      </c>
      <c r="O9" t="s">
        <v>126</v>
      </c>
      <c r="P9" t="s">
        <v>127</v>
      </c>
      <c r="U9" s="3"/>
      <c r="V9" s="3"/>
      <c r="W9" s="3"/>
      <c r="X9" s="3"/>
    </row>
    <row r="10" spans="1:24" ht="15.75" x14ac:dyDescent="0.25">
      <c r="A10">
        <v>2009</v>
      </c>
      <c r="B10">
        <v>1</v>
      </c>
      <c r="C10" t="s">
        <v>12</v>
      </c>
      <c r="D10">
        <v>14</v>
      </c>
      <c r="E10">
        <v>10</v>
      </c>
      <c r="F10">
        <v>4</v>
      </c>
      <c r="G10">
        <v>0</v>
      </c>
      <c r="H10">
        <v>20</v>
      </c>
      <c r="I10">
        <v>0.311</v>
      </c>
      <c r="J10" t="s">
        <v>30</v>
      </c>
      <c r="K10" t="s">
        <v>108</v>
      </c>
      <c r="L10" s="1" t="s">
        <v>108</v>
      </c>
      <c r="M10" t="s">
        <v>22</v>
      </c>
      <c r="N10" t="s">
        <v>30</v>
      </c>
      <c r="O10" t="s">
        <v>111</v>
      </c>
      <c r="P10" t="s">
        <v>112</v>
      </c>
      <c r="U10" s="3"/>
      <c r="V10" s="3"/>
      <c r="W10" s="3"/>
      <c r="X10" s="3"/>
    </row>
    <row r="11" spans="1:24" ht="15.75" x14ac:dyDescent="0.25">
      <c r="A11">
        <v>2009</v>
      </c>
      <c r="B11">
        <v>2</v>
      </c>
      <c r="C11" t="s">
        <v>11</v>
      </c>
      <c r="D11">
        <v>14</v>
      </c>
      <c r="E11">
        <v>8</v>
      </c>
      <c r="F11">
        <v>5</v>
      </c>
      <c r="G11">
        <v>1</v>
      </c>
      <c r="H11">
        <v>17</v>
      </c>
      <c r="I11">
        <v>0.95099999999999996</v>
      </c>
      <c r="J11" t="s">
        <v>30</v>
      </c>
      <c r="K11" t="s">
        <v>108</v>
      </c>
      <c r="L11" s="1" t="s">
        <v>108</v>
      </c>
      <c r="M11" t="s">
        <v>11</v>
      </c>
      <c r="N11" t="s">
        <v>30</v>
      </c>
      <c r="O11" t="s">
        <v>109</v>
      </c>
      <c r="P11" t="s">
        <v>110</v>
      </c>
      <c r="U11" s="3"/>
      <c r="V11" s="3"/>
      <c r="W11" s="3"/>
      <c r="X11" s="3"/>
    </row>
    <row r="12" spans="1:24" ht="15.75" x14ac:dyDescent="0.25">
      <c r="A12">
        <v>2009</v>
      </c>
      <c r="B12">
        <v>3</v>
      </c>
      <c r="C12" t="s">
        <v>15</v>
      </c>
      <c r="D12">
        <v>14</v>
      </c>
      <c r="E12">
        <v>8</v>
      </c>
      <c r="F12">
        <v>6</v>
      </c>
      <c r="G12">
        <v>0</v>
      </c>
      <c r="H12">
        <v>16</v>
      </c>
      <c r="I12">
        <v>-0.191</v>
      </c>
      <c r="J12" t="s">
        <v>30</v>
      </c>
      <c r="K12" t="s">
        <v>30</v>
      </c>
      <c r="L12" s="1" t="s">
        <v>108</v>
      </c>
      <c r="M12" t="s">
        <v>26</v>
      </c>
      <c r="N12" t="s">
        <v>30</v>
      </c>
      <c r="O12" t="s">
        <v>124</v>
      </c>
      <c r="P12" t="s">
        <v>125</v>
      </c>
      <c r="V12" s="3"/>
      <c r="W12" s="3"/>
      <c r="X12" s="3"/>
    </row>
    <row r="13" spans="1:24" ht="15.75" x14ac:dyDescent="0.25">
      <c r="A13">
        <v>2009</v>
      </c>
      <c r="B13">
        <v>4</v>
      </c>
      <c r="C13" t="s">
        <v>16</v>
      </c>
      <c r="D13">
        <v>14</v>
      </c>
      <c r="E13">
        <v>7</v>
      </c>
      <c r="F13">
        <v>7</v>
      </c>
      <c r="G13">
        <v>0</v>
      </c>
      <c r="H13">
        <v>14</v>
      </c>
      <c r="I13">
        <v>0.20300000000000001</v>
      </c>
      <c r="J13" t="s">
        <v>30</v>
      </c>
      <c r="K13" t="s">
        <v>30</v>
      </c>
      <c r="L13" s="1" t="s">
        <v>30</v>
      </c>
      <c r="M13" t="s">
        <v>16</v>
      </c>
      <c r="N13" t="s">
        <v>31</v>
      </c>
      <c r="O13" t="s">
        <v>126</v>
      </c>
      <c r="P13" t="s">
        <v>127</v>
      </c>
      <c r="V13" s="3"/>
      <c r="W13" s="3"/>
      <c r="X13" s="3"/>
    </row>
    <row r="14" spans="1:24" ht="15.75" x14ac:dyDescent="0.25">
      <c r="A14">
        <v>2009</v>
      </c>
      <c r="B14">
        <v>5</v>
      </c>
      <c r="C14" t="s">
        <v>10</v>
      </c>
      <c r="D14">
        <v>14</v>
      </c>
      <c r="E14">
        <v>7</v>
      </c>
      <c r="F14">
        <v>7</v>
      </c>
      <c r="G14">
        <v>0</v>
      </c>
      <c r="H14">
        <v>14</v>
      </c>
      <c r="I14">
        <v>-0.48299999999999998</v>
      </c>
      <c r="K14" t="s">
        <v>108</v>
      </c>
      <c r="L14" s="1" t="s">
        <v>108</v>
      </c>
      <c r="M14" t="s">
        <v>23</v>
      </c>
      <c r="N14" t="s">
        <v>30</v>
      </c>
      <c r="O14" t="s">
        <v>121</v>
      </c>
      <c r="P14" t="s">
        <v>121</v>
      </c>
      <c r="V14" s="3"/>
      <c r="W14" s="3"/>
      <c r="X14" s="3"/>
    </row>
    <row r="15" spans="1:24" ht="15.75" x14ac:dyDescent="0.25">
      <c r="A15">
        <v>2009</v>
      </c>
      <c r="B15">
        <v>6</v>
      </c>
      <c r="C15" t="s">
        <v>9</v>
      </c>
      <c r="D15">
        <v>14</v>
      </c>
      <c r="E15">
        <v>6</v>
      </c>
      <c r="F15">
        <v>7</v>
      </c>
      <c r="G15">
        <v>1</v>
      </c>
      <c r="H15">
        <v>13</v>
      </c>
      <c r="I15">
        <v>-0.35199999999999998</v>
      </c>
      <c r="K15" t="s">
        <v>108</v>
      </c>
      <c r="L15" s="1" t="s">
        <v>108</v>
      </c>
      <c r="M15" t="s">
        <v>9</v>
      </c>
      <c r="N15" t="s">
        <v>30</v>
      </c>
      <c r="O15" t="s">
        <v>122</v>
      </c>
      <c r="P15" t="s">
        <v>123</v>
      </c>
      <c r="V15" s="3"/>
      <c r="W15" s="3"/>
      <c r="X15" s="3"/>
    </row>
    <row r="16" spans="1:24" ht="15.75" x14ac:dyDescent="0.25">
      <c r="A16">
        <v>2009</v>
      </c>
      <c r="B16">
        <v>7</v>
      </c>
      <c r="C16" t="s">
        <v>13</v>
      </c>
      <c r="D16">
        <v>14</v>
      </c>
      <c r="E16">
        <v>5</v>
      </c>
      <c r="F16">
        <v>8</v>
      </c>
      <c r="G16">
        <v>1</v>
      </c>
      <c r="H16">
        <v>11</v>
      </c>
      <c r="I16">
        <v>0.29699999999999999</v>
      </c>
      <c r="K16" t="s">
        <v>108</v>
      </c>
      <c r="L16" s="1" t="s">
        <v>108</v>
      </c>
      <c r="M16" t="s">
        <v>13</v>
      </c>
      <c r="N16" t="s">
        <v>30</v>
      </c>
      <c r="O16" t="s">
        <v>119</v>
      </c>
      <c r="P16" t="s">
        <v>120</v>
      </c>
      <c r="V16" s="3"/>
      <c r="W16" s="3"/>
      <c r="X16" s="3"/>
    </row>
    <row r="17" spans="1:16" x14ac:dyDescent="0.25">
      <c r="A17">
        <v>2009</v>
      </c>
      <c r="B17">
        <v>8</v>
      </c>
      <c r="C17" t="s">
        <v>14</v>
      </c>
      <c r="D17">
        <v>14</v>
      </c>
      <c r="E17">
        <v>3</v>
      </c>
      <c r="F17">
        <v>10</v>
      </c>
      <c r="G17">
        <v>1</v>
      </c>
      <c r="H17">
        <v>7</v>
      </c>
      <c r="I17">
        <v>-0.78900000000000003</v>
      </c>
      <c r="K17" t="s">
        <v>108</v>
      </c>
      <c r="L17" s="1" t="s">
        <v>108</v>
      </c>
      <c r="M17" t="s">
        <v>14</v>
      </c>
      <c r="N17" t="s">
        <v>30</v>
      </c>
      <c r="O17" t="s">
        <v>115</v>
      </c>
      <c r="P17" t="s">
        <v>116</v>
      </c>
    </row>
    <row r="18" spans="1:16" x14ac:dyDescent="0.25">
      <c r="A18">
        <v>2010</v>
      </c>
      <c r="B18">
        <v>1</v>
      </c>
      <c r="C18" t="s">
        <v>13</v>
      </c>
      <c r="D18">
        <v>14</v>
      </c>
      <c r="E18">
        <v>10</v>
      </c>
      <c r="F18">
        <v>4</v>
      </c>
      <c r="G18">
        <v>0</v>
      </c>
      <c r="H18">
        <v>20</v>
      </c>
      <c r="I18">
        <v>1.0840000000000001</v>
      </c>
      <c r="J18" t="s">
        <v>30</v>
      </c>
      <c r="K18" t="s">
        <v>30</v>
      </c>
      <c r="L18" s="1" t="s">
        <v>108</v>
      </c>
      <c r="M18" t="s">
        <v>13</v>
      </c>
      <c r="N18" t="s">
        <v>30</v>
      </c>
      <c r="O18" t="s">
        <v>119</v>
      </c>
      <c r="P18" t="s">
        <v>120</v>
      </c>
    </row>
    <row r="19" spans="1:16" x14ac:dyDescent="0.25">
      <c r="A19">
        <v>2010</v>
      </c>
      <c r="B19">
        <v>2</v>
      </c>
      <c r="C19" t="s">
        <v>16</v>
      </c>
      <c r="D19">
        <v>14</v>
      </c>
      <c r="E19">
        <v>8</v>
      </c>
      <c r="F19">
        <v>6</v>
      </c>
      <c r="G19">
        <v>0</v>
      </c>
      <c r="H19">
        <v>16</v>
      </c>
      <c r="I19">
        <v>-0.29699999999999999</v>
      </c>
      <c r="J19" t="s">
        <v>30</v>
      </c>
      <c r="K19" t="s">
        <v>108</v>
      </c>
      <c r="L19" s="1" t="s">
        <v>108</v>
      </c>
      <c r="M19" t="s">
        <v>16</v>
      </c>
      <c r="N19" t="s">
        <v>31</v>
      </c>
      <c r="O19" t="s">
        <v>126</v>
      </c>
      <c r="P19" t="s">
        <v>127</v>
      </c>
    </row>
    <row r="20" spans="1:16" x14ac:dyDescent="0.25">
      <c r="A20">
        <v>2010</v>
      </c>
      <c r="B20">
        <v>3</v>
      </c>
      <c r="C20" t="s">
        <v>11</v>
      </c>
      <c r="D20">
        <v>14</v>
      </c>
      <c r="E20">
        <v>7</v>
      </c>
      <c r="F20">
        <v>7</v>
      </c>
      <c r="G20">
        <v>0</v>
      </c>
      <c r="H20">
        <v>14</v>
      </c>
      <c r="I20">
        <v>0.27400000000000002</v>
      </c>
      <c r="J20" t="s">
        <v>30</v>
      </c>
      <c r="K20" t="s">
        <v>30</v>
      </c>
      <c r="L20" s="1" t="s">
        <v>30</v>
      </c>
      <c r="M20" t="s">
        <v>11</v>
      </c>
      <c r="N20" t="s">
        <v>30</v>
      </c>
      <c r="O20" t="s">
        <v>109</v>
      </c>
      <c r="P20" t="s">
        <v>110</v>
      </c>
    </row>
    <row r="21" spans="1:16" x14ac:dyDescent="0.25">
      <c r="A21">
        <v>2010</v>
      </c>
      <c r="B21">
        <v>4</v>
      </c>
      <c r="C21" t="s">
        <v>15</v>
      </c>
      <c r="D21">
        <v>14</v>
      </c>
      <c r="E21">
        <v>7</v>
      </c>
      <c r="F21">
        <v>7</v>
      </c>
      <c r="G21">
        <v>0</v>
      </c>
      <c r="H21">
        <v>14</v>
      </c>
      <c r="I21">
        <v>0.219</v>
      </c>
      <c r="J21" t="s">
        <v>30</v>
      </c>
      <c r="K21" t="s">
        <v>108</v>
      </c>
      <c r="L21" s="1" t="s">
        <v>108</v>
      </c>
      <c r="M21" t="s">
        <v>26</v>
      </c>
      <c r="N21" t="s">
        <v>30</v>
      </c>
      <c r="O21" t="s">
        <v>124</v>
      </c>
      <c r="P21" t="s">
        <v>125</v>
      </c>
    </row>
    <row r="22" spans="1:16" x14ac:dyDescent="0.25">
      <c r="A22">
        <v>2010</v>
      </c>
      <c r="B22">
        <v>5</v>
      </c>
      <c r="C22" t="s">
        <v>12</v>
      </c>
      <c r="D22">
        <v>14</v>
      </c>
      <c r="E22">
        <v>7</v>
      </c>
      <c r="F22">
        <v>7</v>
      </c>
      <c r="G22">
        <v>0</v>
      </c>
      <c r="H22">
        <v>14</v>
      </c>
      <c r="I22">
        <v>2.1000000000000001E-2</v>
      </c>
      <c r="K22" t="s">
        <v>108</v>
      </c>
      <c r="L22" s="1" t="s">
        <v>108</v>
      </c>
      <c r="M22" t="s">
        <v>22</v>
      </c>
      <c r="N22" t="s">
        <v>30</v>
      </c>
      <c r="O22" t="s">
        <v>111</v>
      </c>
      <c r="P22" t="s">
        <v>112</v>
      </c>
    </row>
    <row r="23" spans="1:16" x14ac:dyDescent="0.25">
      <c r="A23">
        <v>2010</v>
      </c>
      <c r="B23">
        <v>6</v>
      </c>
      <c r="C23" t="s">
        <v>14</v>
      </c>
      <c r="D23">
        <v>14</v>
      </c>
      <c r="E23">
        <v>7</v>
      </c>
      <c r="F23">
        <v>7</v>
      </c>
      <c r="G23">
        <v>0</v>
      </c>
      <c r="H23">
        <v>14</v>
      </c>
      <c r="I23">
        <v>-0.34100000000000003</v>
      </c>
      <c r="K23" t="s">
        <v>108</v>
      </c>
      <c r="L23" s="1" t="s">
        <v>108</v>
      </c>
      <c r="M23" t="s">
        <v>14</v>
      </c>
      <c r="N23" t="s">
        <v>30</v>
      </c>
      <c r="O23" t="s">
        <v>115</v>
      </c>
      <c r="P23" t="s">
        <v>116</v>
      </c>
    </row>
    <row r="24" spans="1:16" x14ac:dyDescent="0.25">
      <c r="A24">
        <v>2010</v>
      </c>
      <c r="B24">
        <v>7</v>
      </c>
      <c r="C24" t="s">
        <v>9</v>
      </c>
      <c r="D24">
        <v>14</v>
      </c>
      <c r="E24">
        <v>6</v>
      </c>
      <c r="F24">
        <v>8</v>
      </c>
      <c r="G24">
        <v>0</v>
      </c>
      <c r="H24">
        <v>12</v>
      </c>
      <c r="I24">
        <v>-0.51400000000000001</v>
      </c>
      <c r="K24" t="s">
        <v>108</v>
      </c>
      <c r="L24" s="1" t="s">
        <v>108</v>
      </c>
      <c r="M24" t="s">
        <v>9</v>
      </c>
      <c r="N24" t="s">
        <v>30</v>
      </c>
      <c r="O24" t="s">
        <v>122</v>
      </c>
      <c r="P24" t="s">
        <v>123</v>
      </c>
    </row>
    <row r="25" spans="1:16" x14ac:dyDescent="0.25">
      <c r="A25">
        <v>2010</v>
      </c>
      <c r="B25">
        <v>8</v>
      </c>
      <c r="C25" t="s">
        <v>10</v>
      </c>
      <c r="D25">
        <v>14</v>
      </c>
      <c r="E25">
        <v>4</v>
      </c>
      <c r="F25">
        <v>10</v>
      </c>
      <c r="G25">
        <v>0</v>
      </c>
      <c r="H25">
        <v>8</v>
      </c>
      <c r="I25">
        <v>-0.47799999999999998</v>
      </c>
      <c r="K25" t="s">
        <v>108</v>
      </c>
      <c r="L25" s="1" t="s">
        <v>108</v>
      </c>
      <c r="M25" t="s">
        <v>23</v>
      </c>
      <c r="N25" t="s">
        <v>30</v>
      </c>
      <c r="O25" t="s">
        <v>121</v>
      </c>
      <c r="P25" t="s">
        <v>121</v>
      </c>
    </row>
    <row r="26" spans="1:16" x14ac:dyDescent="0.25">
      <c r="A26">
        <v>2011</v>
      </c>
      <c r="B26">
        <v>1</v>
      </c>
      <c r="C26" t="s">
        <v>15</v>
      </c>
      <c r="D26">
        <v>14</v>
      </c>
      <c r="E26">
        <v>9</v>
      </c>
      <c r="F26">
        <v>4</v>
      </c>
      <c r="G26">
        <v>1</v>
      </c>
      <c r="H26">
        <v>19</v>
      </c>
      <c r="I26">
        <v>0.32600000000000001</v>
      </c>
      <c r="J26" t="s">
        <v>30</v>
      </c>
      <c r="K26" t="s">
        <v>30</v>
      </c>
      <c r="L26" s="1" t="s">
        <v>108</v>
      </c>
      <c r="M26" t="s">
        <v>26</v>
      </c>
      <c r="N26" t="s">
        <v>30</v>
      </c>
      <c r="O26" t="s">
        <v>124</v>
      </c>
      <c r="P26" t="s">
        <v>125</v>
      </c>
    </row>
    <row r="27" spans="1:16" x14ac:dyDescent="0.25">
      <c r="A27">
        <v>2011</v>
      </c>
      <c r="B27">
        <v>2</v>
      </c>
      <c r="C27" t="s">
        <v>11</v>
      </c>
      <c r="D27">
        <v>14</v>
      </c>
      <c r="E27">
        <v>9</v>
      </c>
      <c r="F27">
        <v>5</v>
      </c>
      <c r="G27">
        <v>0</v>
      </c>
      <c r="H27">
        <v>18</v>
      </c>
      <c r="I27">
        <v>0.443</v>
      </c>
      <c r="J27" t="s">
        <v>30</v>
      </c>
      <c r="K27" t="s">
        <v>30</v>
      </c>
      <c r="L27" s="1" t="s">
        <v>30</v>
      </c>
      <c r="M27" t="s">
        <v>11</v>
      </c>
      <c r="N27" t="s">
        <v>30</v>
      </c>
      <c r="O27" t="s">
        <v>109</v>
      </c>
      <c r="P27" t="s">
        <v>110</v>
      </c>
    </row>
    <row r="28" spans="1:16" x14ac:dyDescent="0.25">
      <c r="A28">
        <v>2011</v>
      </c>
      <c r="B28">
        <v>3</v>
      </c>
      <c r="C28" t="s">
        <v>13</v>
      </c>
      <c r="D28">
        <v>14</v>
      </c>
      <c r="E28">
        <v>9</v>
      </c>
      <c r="F28">
        <v>5</v>
      </c>
      <c r="G28">
        <v>0</v>
      </c>
      <c r="H28">
        <v>18</v>
      </c>
      <c r="I28">
        <v>0.04</v>
      </c>
      <c r="J28" t="s">
        <v>30</v>
      </c>
      <c r="K28" t="s">
        <v>108</v>
      </c>
      <c r="L28" s="1" t="s">
        <v>108</v>
      </c>
      <c r="M28" t="s">
        <v>13</v>
      </c>
      <c r="N28" t="s">
        <v>30</v>
      </c>
      <c r="O28" t="s">
        <v>119</v>
      </c>
      <c r="P28" t="s">
        <v>120</v>
      </c>
    </row>
    <row r="29" spans="1:16" x14ac:dyDescent="0.25">
      <c r="A29">
        <v>2011</v>
      </c>
      <c r="B29">
        <v>4</v>
      </c>
      <c r="C29" t="s">
        <v>14</v>
      </c>
      <c r="D29">
        <v>14</v>
      </c>
      <c r="E29">
        <v>8</v>
      </c>
      <c r="F29">
        <v>6</v>
      </c>
      <c r="G29">
        <v>0</v>
      </c>
      <c r="H29">
        <v>16</v>
      </c>
      <c r="I29">
        <v>0.433</v>
      </c>
      <c r="J29" t="s">
        <v>30</v>
      </c>
      <c r="K29" t="s">
        <v>108</v>
      </c>
      <c r="L29" s="1" t="s">
        <v>108</v>
      </c>
      <c r="M29" t="s">
        <v>14</v>
      </c>
      <c r="N29" t="s">
        <v>30</v>
      </c>
      <c r="O29" t="s">
        <v>115</v>
      </c>
      <c r="P29" t="s">
        <v>116</v>
      </c>
    </row>
    <row r="30" spans="1:16" x14ac:dyDescent="0.25">
      <c r="A30">
        <v>2011</v>
      </c>
      <c r="B30">
        <v>5</v>
      </c>
      <c r="C30" t="s">
        <v>10</v>
      </c>
      <c r="D30">
        <v>14</v>
      </c>
      <c r="E30">
        <v>7</v>
      </c>
      <c r="F30">
        <v>7</v>
      </c>
      <c r="G30">
        <v>0</v>
      </c>
      <c r="H30">
        <v>14</v>
      </c>
      <c r="I30">
        <v>-5.0999999999999997E-2</v>
      </c>
      <c r="K30" t="s">
        <v>108</v>
      </c>
      <c r="L30" s="1" t="s">
        <v>108</v>
      </c>
      <c r="M30" t="s">
        <v>23</v>
      </c>
      <c r="N30" t="s">
        <v>30</v>
      </c>
      <c r="O30" t="s">
        <v>121</v>
      </c>
      <c r="P30" t="s">
        <v>121</v>
      </c>
    </row>
    <row r="31" spans="1:16" x14ac:dyDescent="0.25">
      <c r="A31">
        <v>2011</v>
      </c>
      <c r="B31">
        <v>6</v>
      </c>
      <c r="C31" t="s">
        <v>9</v>
      </c>
      <c r="D31">
        <v>14</v>
      </c>
      <c r="E31">
        <v>6</v>
      </c>
      <c r="F31">
        <v>7</v>
      </c>
      <c r="G31">
        <v>1</v>
      </c>
      <c r="H31">
        <v>13</v>
      </c>
      <c r="I31">
        <v>-0.69099999999999995</v>
      </c>
      <c r="K31" t="s">
        <v>108</v>
      </c>
      <c r="L31" s="1" t="s">
        <v>108</v>
      </c>
      <c r="M31" t="s">
        <v>9</v>
      </c>
      <c r="N31" t="s">
        <v>30</v>
      </c>
      <c r="O31" t="s">
        <v>122</v>
      </c>
      <c r="P31" t="s">
        <v>123</v>
      </c>
    </row>
    <row r="32" spans="1:16" x14ac:dyDescent="0.25">
      <c r="A32">
        <v>2011</v>
      </c>
      <c r="B32">
        <v>7</v>
      </c>
      <c r="C32" t="s">
        <v>16</v>
      </c>
      <c r="D32">
        <v>14</v>
      </c>
      <c r="E32">
        <v>6</v>
      </c>
      <c r="F32">
        <v>8</v>
      </c>
      <c r="G32">
        <v>0</v>
      </c>
      <c r="H32">
        <v>12</v>
      </c>
      <c r="I32">
        <v>0.222</v>
      </c>
      <c r="K32" t="s">
        <v>108</v>
      </c>
      <c r="L32" s="1" t="s">
        <v>108</v>
      </c>
      <c r="M32" t="s">
        <v>16</v>
      </c>
      <c r="N32" t="s">
        <v>31</v>
      </c>
      <c r="O32" t="s">
        <v>126</v>
      </c>
      <c r="P32" t="s">
        <v>127</v>
      </c>
    </row>
    <row r="33" spans="1:16" x14ac:dyDescent="0.25">
      <c r="A33">
        <v>2011</v>
      </c>
      <c r="B33">
        <v>8</v>
      </c>
      <c r="C33" t="s">
        <v>17</v>
      </c>
      <c r="D33">
        <v>14</v>
      </c>
      <c r="E33">
        <v>6</v>
      </c>
      <c r="F33">
        <v>8</v>
      </c>
      <c r="G33">
        <v>0</v>
      </c>
      <c r="H33">
        <v>12</v>
      </c>
      <c r="I33">
        <v>-0.214</v>
      </c>
      <c r="K33" t="s">
        <v>108</v>
      </c>
      <c r="L33" s="1" t="s">
        <v>108</v>
      </c>
      <c r="M33" t="s">
        <v>17</v>
      </c>
      <c r="N33" t="s">
        <v>31</v>
      </c>
      <c r="O33" t="s">
        <v>130</v>
      </c>
      <c r="P33" t="s">
        <v>131</v>
      </c>
    </row>
    <row r="34" spans="1:16" x14ac:dyDescent="0.25">
      <c r="A34">
        <v>2011</v>
      </c>
      <c r="B34">
        <v>9</v>
      </c>
      <c r="C34" t="s">
        <v>18</v>
      </c>
      <c r="D34">
        <v>14</v>
      </c>
      <c r="E34">
        <v>4</v>
      </c>
      <c r="F34">
        <v>9</v>
      </c>
      <c r="G34">
        <v>1</v>
      </c>
      <c r="H34">
        <v>9</v>
      </c>
      <c r="I34">
        <v>-0.13400000000000001</v>
      </c>
      <c r="K34" t="s">
        <v>108</v>
      </c>
      <c r="L34" s="1" t="s">
        <v>108</v>
      </c>
      <c r="M34" t="s">
        <v>18</v>
      </c>
      <c r="N34" t="s">
        <v>31</v>
      </c>
      <c r="O34" t="s">
        <v>132</v>
      </c>
      <c r="P34" t="s">
        <v>120</v>
      </c>
    </row>
    <row r="35" spans="1:16" x14ac:dyDescent="0.25">
      <c r="A35">
        <v>2011</v>
      </c>
      <c r="B35">
        <v>10</v>
      </c>
      <c r="C35" t="s">
        <v>12</v>
      </c>
      <c r="D35">
        <v>14</v>
      </c>
      <c r="E35">
        <v>4</v>
      </c>
      <c r="F35">
        <v>9</v>
      </c>
      <c r="G35">
        <v>1</v>
      </c>
      <c r="H35">
        <v>9</v>
      </c>
      <c r="I35">
        <v>-0.44800000000000001</v>
      </c>
      <c r="K35" t="s">
        <v>108</v>
      </c>
      <c r="L35" s="1" t="s">
        <v>108</v>
      </c>
      <c r="M35" t="s">
        <v>22</v>
      </c>
      <c r="N35" t="s">
        <v>30</v>
      </c>
      <c r="O35" t="s">
        <v>111</v>
      </c>
      <c r="P35" t="s">
        <v>112</v>
      </c>
    </row>
    <row r="36" spans="1:16" x14ac:dyDescent="0.25">
      <c r="A36">
        <v>2012</v>
      </c>
      <c r="B36">
        <v>1</v>
      </c>
      <c r="C36" t="s">
        <v>12</v>
      </c>
      <c r="D36">
        <v>16</v>
      </c>
      <c r="E36">
        <v>11</v>
      </c>
      <c r="F36">
        <v>5</v>
      </c>
      <c r="G36">
        <v>0</v>
      </c>
      <c r="H36">
        <v>22</v>
      </c>
      <c r="I36">
        <v>0.61699999999999999</v>
      </c>
      <c r="J36" t="s">
        <v>30</v>
      </c>
      <c r="K36" t="s">
        <v>108</v>
      </c>
      <c r="L36" s="1" t="s">
        <v>108</v>
      </c>
      <c r="M36" t="s">
        <v>22</v>
      </c>
      <c r="N36" t="s">
        <v>30</v>
      </c>
      <c r="O36" t="s">
        <v>111</v>
      </c>
      <c r="P36" t="s">
        <v>112</v>
      </c>
    </row>
    <row r="37" spans="1:16" x14ac:dyDescent="0.25">
      <c r="A37">
        <v>2012</v>
      </c>
      <c r="B37">
        <v>2</v>
      </c>
      <c r="C37" t="s">
        <v>14</v>
      </c>
      <c r="D37">
        <v>16</v>
      </c>
      <c r="E37">
        <v>10</v>
      </c>
      <c r="F37">
        <v>5</v>
      </c>
      <c r="G37">
        <v>1</v>
      </c>
      <c r="H37">
        <v>21</v>
      </c>
      <c r="I37">
        <v>0.56100000000000005</v>
      </c>
      <c r="J37" t="s">
        <v>30</v>
      </c>
      <c r="K37" t="s">
        <v>30</v>
      </c>
      <c r="L37" s="1" t="s">
        <v>30</v>
      </c>
      <c r="M37" t="s">
        <v>14</v>
      </c>
      <c r="N37" t="s">
        <v>30</v>
      </c>
      <c r="O37" t="s">
        <v>115</v>
      </c>
      <c r="P37" t="s">
        <v>116</v>
      </c>
    </row>
    <row r="38" spans="1:16" x14ac:dyDescent="0.25">
      <c r="A38">
        <v>2012</v>
      </c>
      <c r="B38">
        <v>3</v>
      </c>
      <c r="C38" t="s">
        <v>13</v>
      </c>
      <c r="D38">
        <v>16</v>
      </c>
      <c r="E38">
        <v>10</v>
      </c>
      <c r="F38">
        <v>6</v>
      </c>
      <c r="G38">
        <v>0</v>
      </c>
      <c r="H38">
        <v>20</v>
      </c>
      <c r="I38">
        <v>-0.1</v>
      </c>
      <c r="J38" t="s">
        <v>30</v>
      </c>
      <c r="K38" t="s">
        <v>108</v>
      </c>
      <c r="L38" s="1" t="s">
        <v>108</v>
      </c>
      <c r="M38" t="s">
        <v>13</v>
      </c>
      <c r="N38" t="s">
        <v>30</v>
      </c>
      <c r="O38" t="s">
        <v>119</v>
      </c>
      <c r="P38" t="s">
        <v>120</v>
      </c>
    </row>
    <row r="39" spans="1:16" x14ac:dyDescent="0.25">
      <c r="A39">
        <v>2012</v>
      </c>
      <c r="B39">
        <v>4</v>
      </c>
      <c r="C39" t="s">
        <v>11</v>
      </c>
      <c r="D39">
        <v>16</v>
      </c>
      <c r="E39">
        <v>8</v>
      </c>
      <c r="F39">
        <v>7</v>
      </c>
      <c r="G39">
        <v>1</v>
      </c>
      <c r="H39">
        <v>17</v>
      </c>
      <c r="I39">
        <v>0.1</v>
      </c>
      <c r="J39" t="s">
        <v>30</v>
      </c>
      <c r="K39" t="s">
        <v>30</v>
      </c>
      <c r="L39" s="1" t="s">
        <v>108</v>
      </c>
      <c r="M39" t="s">
        <v>11</v>
      </c>
      <c r="N39" t="s">
        <v>30</v>
      </c>
      <c r="O39" t="s">
        <v>109</v>
      </c>
      <c r="P39" t="s">
        <v>110</v>
      </c>
    </row>
    <row r="40" spans="1:16" x14ac:dyDescent="0.25">
      <c r="A40">
        <v>2012</v>
      </c>
      <c r="B40">
        <v>5</v>
      </c>
      <c r="C40" t="s">
        <v>15</v>
      </c>
      <c r="D40">
        <v>16</v>
      </c>
      <c r="E40">
        <v>8</v>
      </c>
      <c r="F40">
        <v>7</v>
      </c>
      <c r="G40">
        <v>1</v>
      </c>
      <c r="H40">
        <v>17</v>
      </c>
      <c r="I40">
        <v>-2.1999999999999999E-2</v>
      </c>
      <c r="K40" t="s">
        <v>108</v>
      </c>
      <c r="L40" s="1" t="s">
        <v>108</v>
      </c>
      <c r="M40" t="s">
        <v>26</v>
      </c>
      <c r="N40" t="s">
        <v>30</v>
      </c>
      <c r="O40" t="s">
        <v>124</v>
      </c>
      <c r="P40" t="s">
        <v>125</v>
      </c>
    </row>
    <row r="41" spans="1:16" x14ac:dyDescent="0.25">
      <c r="A41">
        <v>2012</v>
      </c>
      <c r="B41">
        <v>6</v>
      </c>
      <c r="C41" t="s">
        <v>10</v>
      </c>
      <c r="D41">
        <v>16</v>
      </c>
      <c r="E41">
        <v>8</v>
      </c>
      <c r="F41">
        <v>8</v>
      </c>
      <c r="G41">
        <v>0</v>
      </c>
      <c r="H41">
        <v>16</v>
      </c>
      <c r="I41">
        <v>-0.216</v>
      </c>
      <c r="K41" t="s">
        <v>108</v>
      </c>
      <c r="L41" s="1" t="s">
        <v>108</v>
      </c>
      <c r="M41" t="s">
        <v>23</v>
      </c>
      <c r="N41" t="s">
        <v>30</v>
      </c>
      <c r="O41" t="s">
        <v>121</v>
      </c>
      <c r="P41" t="s">
        <v>121</v>
      </c>
    </row>
    <row r="42" spans="1:16" x14ac:dyDescent="0.25">
      <c r="A42">
        <v>2012</v>
      </c>
      <c r="B42">
        <v>7</v>
      </c>
      <c r="C42" t="s">
        <v>9</v>
      </c>
      <c r="D42">
        <v>16</v>
      </c>
      <c r="E42">
        <v>7</v>
      </c>
      <c r="F42">
        <v>9</v>
      </c>
      <c r="G42">
        <v>0</v>
      </c>
      <c r="H42">
        <v>14</v>
      </c>
      <c r="I42">
        <v>0.20100000000000001</v>
      </c>
      <c r="K42" t="s">
        <v>108</v>
      </c>
      <c r="L42" s="1" t="s">
        <v>108</v>
      </c>
      <c r="M42" t="s">
        <v>9</v>
      </c>
      <c r="N42" t="s">
        <v>30</v>
      </c>
      <c r="O42" t="s">
        <v>122</v>
      </c>
      <c r="P42" t="s">
        <v>123</v>
      </c>
    </row>
    <row r="43" spans="1:16" x14ac:dyDescent="0.25">
      <c r="A43">
        <v>2012</v>
      </c>
      <c r="B43">
        <v>8</v>
      </c>
      <c r="C43" t="s">
        <v>16</v>
      </c>
      <c r="D43">
        <v>16</v>
      </c>
      <c r="E43">
        <v>4</v>
      </c>
      <c r="F43">
        <v>11</v>
      </c>
      <c r="G43">
        <v>1</v>
      </c>
      <c r="H43">
        <v>9</v>
      </c>
      <c r="I43">
        <v>-0.50900000000000001</v>
      </c>
      <c r="K43" t="s">
        <v>108</v>
      </c>
      <c r="L43" s="1" t="s">
        <v>108</v>
      </c>
      <c r="M43" t="s">
        <v>16</v>
      </c>
      <c r="N43" t="s">
        <v>31</v>
      </c>
      <c r="O43" t="s">
        <v>126</v>
      </c>
      <c r="P43" t="s">
        <v>127</v>
      </c>
    </row>
    <row r="44" spans="1:16" x14ac:dyDescent="0.25">
      <c r="A44">
        <v>2012</v>
      </c>
      <c r="B44">
        <v>9</v>
      </c>
      <c r="C44" t="s">
        <v>18</v>
      </c>
      <c r="D44">
        <v>16</v>
      </c>
      <c r="E44">
        <v>4</v>
      </c>
      <c r="F44">
        <v>12</v>
      </c>
      <c r="G44">
        <v>0</v>
      </c>
      <c r="H44">
        <v>8</v>
      </c>
      <c r="I44">
        <v>-0.55100000000000005</v>
      </c>
      <c r="K44" t="s">
        <v>108</v>
      </c>
      <c r="L44" s="1" t="s">
        <v>108</v>
      </c>
      <c r="M44" t="s">
        <v>18</v>
      </c>
      <c r="N44" t="s">
        <v>31</v>
      </c>
      <c r="O44" t="s">
        <v>132</v>
      </c>
      <c r="P44" t="s">
        <v>120</v>
      </c>
    </row>
    <row r="45" spans="1:16" x14ac:dyDescent="0.25">
      <c r="A45">
        <v>2013</v>
      </c>
      <c r="B45">
        <v>1</v>
      </c>
      <c r="C45" t="s">
        <v>11</v>
      </c>
      <c r="D45">
        <v>16</v>
      </c>
      <c r="E45">
        <v>11</v>
      </c>
      <c r="F45">
        <v>5</v>
      </c>
      <c r="G45">
        <v>0</v>
      </c>
      <c r="H45">
        <v>22</v>
      </c>
      <c r="I45">
        <v>0.53</v>
      </c>
      <c r="J45" t="s">
        <v>30</v>
      </c>
      <c r="K45" t="s">
        <v>30</v>
      </c>
      <c r="L45" s="1" t="s">
        <v>108</v>
      </c>
      <c r="M45" t="s">
        <v>11</v>
      </c>
      <c r="N45" t="s">
        <v>30</v>
      </c>
      <c r="O45" t="s">
        <v>109</v>
      </c>
      <c r="P45" t="s">
        <v>110</v>
      </c>
    </row>
    <row r="46" spans="1:16" x14ac:dyDescent="0.25">
      <c r="A46">
        <v>2013</v>
      </c>
      <c r="B46">
        <v>2</v>
      </c>
      <c r="C46" t="s">
        <v>13</v>
      </c>
      <c r="D46">
        <v>16</v>
      </c>
      <c r="E46">
        <v>11</v>
      </c>
      <c r="F46">
        <v>5</v>
      </c>
      <c r="G46">
        <v>0</v>
      </c>
      <c r="H46">
        <v>22</v>
      </c>
      <c r="I46">
        <v>0.441</v>
      </c>
      <c r="J46" t="s">
        <v>30</v>
      </c>
      <c r="K46" t="s">
        <v>30</v>
      </c>
      <c r="L46" s="1" t="s">
        <v>30</v>
      </c>
      <c r="M46" t="s">
        <v>13</v>
      </c>
      <c r="N46" t="s">
        <v>30</v>
      </c>
      <c r="O46" t="s">
        <v>119</v>
      </c>
      <c r="P46" t="s">
        <v>120</v>
      </c>
    </row>
    <row r="47" spans="1:16" x14ac:dyDescent="0.25">
      <c r="A47">
        <v>2013</v>
      </c>
      <c r="B47">
        <v>3</v>
      </c>
      <c r="C47" t="s">
        <v>9</v>
      </c>
      <c r="D47">
        <v>16</v>
      </c>
      <c r="E47">
        <v>10</v>
      </c>
      <c r="F47">
        <v>6</v>
      </c>
      <c r="G47">
        <v>0</v>
      </c>
      <c r="H47">
        <v>20</v>
      </c>
      <c r="I47">
        <v>0.32200000000000001</v>
      </c>
      <c r="J47" t="s">
        <v>30</v>
      </c>
      <c r="K47" t="s">
        <v>108</v>
      </c>
      <c r="L47" s="1" t="s">
        <v>108</v>
      </c>
      <c r="M47" t="s">
        <v>9</v>
      </c>
      <c r="N47" t="s">
        <v>30</v>
      </c>
      <c r="O47" t="s">
        <v>122</v>
      </c>
      <c r="P47" t="s">
        <v>123</v>
      </c>
    </row>
    <row r="48" spans="1:16" x14ac:dyDescent="0.25">
      <c r="A48">
        <v>2013</v>
      </c>
      <c r="B48">
        <v>4</v>
      </c>
      <c r="C48" t="s">
        <v>19</v>
      </c>
      <c r="D48">
        <v>16</v>
      </c>
      <c r="E48">
        <v>10</v>
      </c>
      <c r="F48">
        <v>6</v>
      </c>
      <c r="G48">
        <v>0</v>
      </c>
      <c r="H48">
        <v>20</v>
      </c>
      <c r="I48">
        <v>3.0000000000000001E-3</v>
      </c>
      <c r="J48" t="s">
        <v>30</v>
      </c>
      <c r="K48" t="s">
        <v>108</v>
      </c>
      <c r="L48" s="1" t="s">
        <v>108</v>
      </c>
      <c r="M48" t="s">
        <v>19</v>
      </c>
      <c r="N48" t="s">
        <v>30</v>
      </c>
      <c r="O48" t="s">
        <v>126</v>
      </c>
      <c r="P48" t="s">
        <v>127</v>
      </c>
    </row>
    <row r="49" spans="1:16" x14ac:dyDescent="0.25">
      <c r="A49">
        <v>2013</v>
      </c>
      <c r="B49">
        <v>5</v>
      </c>
      <c r="C49" t="s">
        <v>15</v>
      </c>
      <c r="D49">
        <v>16</v>
      </c>
      <c r="E49">
        <v>9</v>
      </c>
      <c r="F49">
        <v>7</v>
      </c>
      <c r="G49">
        <v>0</v>
      </c>
      <c r="H49">
        <v>18</v>
      </c>
      <c r="I49">
        <v>0.45700000000000002</v>
      </c>
      <c r="K49" t="s">
        <v>108</v>
      </c>
      <c r="L49" s="1" t="s">
        <v>108</v>
      </c>
      <c r="M49" t="s">
        <v>26</v>
      </c>
      <c r="N49" t="s">
        <v>30</v>
      </c>
      <c r="O49" t="s">
        <v>124</v>
      </c>
      <c r="P49" t="s">
        <v>125</v>
      </c>
    </row>
    <row r="50" spans="1:16" x14ac:dyDescent="0.25">
      <c r="A50">
        <v>2013</v>
      </c>
      <c r="B50">
        <v>6</v>
      </c>
      <c r="C50" t="s">
        <v>10</v>
      </c>
      <c r="D50">
        <v>16</v>
      </c>
      <c r="E50">
        <v>8</v>
      </c>
      <c r="F50">
        <v>8</v>
      </c>
      <c r="G50">
        <v>0</v>
      </c>
      <c r="H50">
        <v>16</v>
      </c>
      <c r="I50">
        <v>0.22600000000000001</v>
      </c>
      <c r="K50" t="s">
        <v>108</v>
      </c>
      <c r="L50" s="1" t="s">
        <v>108</v>
      </c>
      <c r="M50" t="s">
        <v>23</v>
      </c>
      <c r="N50" t="s">
        <v>30</v>
      </c>
      <c r="O50" t="s">
        <v>121</v>
      </c>
      <c r="P50" t="s">
        <v>121</v>
      </c>
    </row>
    <row r="51" spans="1:16" x14ac:dyDescent="0.25">
      <c r="A51">
        <v>2013</v>
      </c>
      <c r="B51">
        <v>7</v>
      </c>
      <c r="C51" t="s">
        <v>14</v>
      </c>
      <c r="D51">
        <v>16</v>
      </c>
      <c r="E51">
        <v>6</v>
      </c>
      <c r="F51">
        <v>10</v>
      </c>
      <c r="G51">
        <v>0</v>
      </c>
      <c r="H51">
        <v>12</v>
      </c>
      <c r="I51">
        <v>-9.5000000000000001E-2</v>
      </c>
      <c r="K51" t="s">
        <v>108</v>
      </c>
      <c r="L51" s="1" t="s">
        <v>108</v>
      </c>
      <c r="M51" t="s">
        <v>14</v>
      </c>
      <c r="N51" t="s">
        <v>30</v>
      </c>
      <c r="O51" t="s">
        <v>115</v>
      </c>
      <c r="P51" t="s">
        <v>116</v>
      </c>
    </row>
    <row r="52" spans="1:16" x14ac:dyDescent="0.25">
      <c r="A52">
        <v>2013</v>
      </c>
      <c r="B52">
        <v>8</v>
      </c>
      <c r="C52" t="s">
        <v>18</v>
      </c>
      <c r="D52">
        <v>16</v>
      </c>
      <c r="E52">
        <v>4</v>
      </c>
      <c r="F52">
        <v>12</v>
      </c>
      <c r="G52">
        <v>0</v>
      </c>
      <c r="H52">
        <v>8</v>
      </c>
      <c r="I52">
        <v>-1.006</v>
      </c>
      <c r="K52" t="s">
        <v>108</v>
      </c>
      <c r="L52" s="1" t="s">
        <v>108</v>
      </c>
      <c r="M52" t="s">
        <v>18</v>
      </c>
      <c r="N52" t="s">
        <v>31</v>
      </c>
      <c r="O52" t="s">
        <v>132</v>
      </c>
      <c r="P52" t="s">
        <v>120</v>
      </c>
    </row>
    <row r="53" spans="1:16" x14ac:dyDescent="0.25">
      <c r="A53">
        <v>2013</v>
      </c>
      <c r="B53">
        <v>9</v>
      </c>
      <c r="C53" t="s">
        <v>12</v>
      </c>
      <c r="D53">
        <v>16</v>
      </c>
      <c r="E53">
        <v>3</v>
      </c>
      <c r="F53">
        <v>13</v>
      </c>
      <c r="G53">
        <v>0</v>
      </c>
      <c r="H53">
        <v>6</v>
      </c>
      <c r="I53">
        <v>-0.84799999999999998</v>
      </c>
      <c r="K53" t="s">
        <v>108</v>
      </c>
      <c r="L53" s="1" t="s">
        <v>108</v>
      </c>
      <c r="M53" t="s">
        <v>22</v>
      </c>
      <c r="N53" t="s">
        <v>30</v>
      </c>
      <c r="O53" t="s">
        <v>111</v>
      </c>
      <c r="P53" t="s">
        <v>112</v>
      </c>
    </row>
    <row r="54" spans="1:16" x14ac:dyDescent="0.25">
      <c r="A54">
        <v>2014</v>
      </c>
      <c r="B54">
        <v>1</v>
      </c>
      <c r="C54" t="s">
        <v>10</v>
      </c>
      <c r="D54">
        <v>14</v>
      </c>
      <c r="E54">
        <v>11</v>
      </c>
      <c r="F54">
        <v>3</v>
      </c>
      <c r="G54">
        <v>0</v>
      </c>
      <c r="H54">
        <v>22</v>
      </c>
      <c r="I54">
        <v>0.96799999999999997</v>
      </c>
      <c r="J54" t="s">
        <v>30</v>
      </c>
      <c r="K54" t="s">
        <v>30</v>
      </c>
      <c r="L54" s="1" t="s">
        <v>108</v>
      </c>
      <c r="M54" t="s">
        <v>23</v>
      </c>
      <c r="N54" t="s">
        <v>30</v>
      </c>
      <c r="O54" t="s">
        <v>121</v>
      </c>
      <c r="P54" t="s">
        <v>121</v>
      </c>
    </row>
    <row r="55" spans="1:16" x14ac:dyDescent="0.25">
      <c r="A55">
        <v>2014</v>
      </c>
      <c r="B55">
        <v>2</v>
      </c>
      <c r="C55" t="s">
        <v>14</v>
      </c>
      <c r="D55">
        <v>14</v>
      </c>
      <c r="E55">
        <v>9</v>
      </c>
      <c r="F55">
        <v>5</v>
      </c>
      <c r="G55">
        <v>0</v>
      </c>
      <c r="H55">
        <v>18</v>
      </c>
      <c r="I55">
        <v>0.41799999999999998</v>
      </c>
      <c r="J55" t="s">
        <v>30</v>
      </c>
      <c r="K55" t="s">
        <v>30</v>
      </c>
      <c r="L55" s="1" t="s">
        <v>30</v>
      </c>
      <c r="M55" t="s">
        <v>14</v>
      </c>
      <c r="N55" t="s">
        <v>30</v>
      </c>
      <c r="O55" t="s">
        <v>115</v>
      </c>
      <c r="P55" t="s">
        <v>116</v>
      </c>
    </row>
    <row r="56" spans="1:16" x14ac:dyDescent="0.25">
      <c r="A56">
        <v>2014</v>
      </c>
      <c r="B56">
        <v>3</v>
      </c>
      <c r="C56" t="s">
        <v>11</v>
      </c>
      <c r="D56">
        <v>14</v>
      </c>
      <c r="E56">
        <v>9</v>
      </c>
      <c r="F56">
        <v>5</v>
      </c>
      <c r="G56">
        <v>0</v>
      </c>
      <c r="H56">
        <v>18</v>
      </c>
      <c r="I56">
        <v>0.38500000000000001</v>
      </c>
      <c r="J56" t="s">
        <v>30</v>
      </c>
      <c r="K56" t="s">
        <v>108</v>
      </c>
      <c r="L56" s="1" t="s">
        <v>108</v>
      </c>
      <c r="M56" t="s">
        <v>11</v>
      </c>
      <c r="N56" t="s">
        <v>30</v>
      </c>
      <c r="O56" t="s">
        <v>109</v>
      </c>
      <c r="P56" t="s">
        <v>110</v>
      </c>
    </row>
    <row r="57" spans="1:16" x14ac:dyDescent="0.25">
      <c r="A57">
        <v>2014</v>
      </c>
      <c r="B57">
        <v>4</v>
      </c>
      <c r="C57" t="s">
        <v>13</v>
      </c>
      <c r="D57">
        <v>14</v>
      </c>
      <c r="E57">
        <v>7</v>
      </c>
      <c r="F57">
        <v>7</v>
      </c>
      <c r="G57">
        <v>0</v>
      </c>
      <c r="H57">
        <v>14</v>
      </c>
      <c r="I57">
        <v>9.5000000000000001E-2</v>
      </c>
      <c r="J57" t="s">
        <v>30</v>
      </c>
      <c r="K57" t="s">
        <v>108</v>
      </c>
      <c r="L57" s="1" t="s">
        <v>108</v>
      </c>
      <c r="M57" t="s">
        <v>13</v>
      </c>
      <c r="N57" t="s">
        <v>30</v>
      </c>
      <c r="O57" t="s">
        <v>119</v>
      </c>
      <c r="P57" t="s">
        <v>120</v>
      </c>
    </row>
    <row r="58" spans="1:16" x14ac:dyDescent="0.25">
      <c r="A58">
        <v>2014</v>
      </c>
      <c r="B58">
        <v>5</v>
      </c>
      <c r="C58" t="s">
        <v>9</v>
      </c>
      <c r="D58">
        <v>14</v>
      </c>
      <c r="E58">
        <v>7</v>
      </c>
      <c r="F58">
        <v>7</v>
      </c>
      <c r="G58">
        <v>0</v>
      </c>
      <c r="H58">
        <v>14</v>
      </c>
      <c r="I58">
        <v>0.06</v>
      </c>
      <c r="K58" t="s">
        <v>108</v>
      </c>
      <c r="L58" s="1" t="s">
        <v>108</v>
      </c>
      <c r="M58" t="s">
        <v>9</v>
      </c>
      <c r="N58" t="s">
        <v>30</v>
      </c>
      <c r="O58" t="s">
        <v>122</v>
      </c>
      <c r="P58" t="s">
        <v>123</v>
      </c>
    </row>
    <row r="59" spans="1:16" x14ac:dyDescent="0.25">
      <c r="A59">
        <v>2014</v>
      </c>
      <c r="B59">
        <v>6</v>
      </c>
      <c r="C59" t="s">
        <v>19</v>
      </c>
      <c r="D59">
        <v>14</v>
      </c>
      <c r="E59">
        <v>6</v>
      </c>
      <c r="F59">
        <v>8</v>
      </c>
      <c r="G59">
        <v>0</v>
      </c>
      <c r="H59">
        <v>12</v>
      </c>
      <c r="I59">
        <v>-0.39900000000000002</v>
      </c>
      <c r="K59" t="s">
        <v>108</v>
      </c>
      <c r="L59" s="1" t="s">
        <v>108</v>
      </c>
      <c r="M59" t="s">
        <v>19</v>
      </c>
      <c r="N59" t="s">
        <v>30</v>
      </c>
      <c r="O59" t="s">
        <v>126</v>
      </c>
      <c r="P59" t="s">
        <v>127</v>
      </c>
    </row>
    <row r="60" spans="1:16" x14ac:dyDescent="0.25">
      <c r="A60">
        <v>2014</v>
      </c>
      <c r="B60">
        <v>7</v>
      </c>
      <c r="C60" t="s">
        <v>15</v>
      </c>
      <c r="D60">
        <v>14</v>
      </c>
      <c r="E60">
        <v>5</v>
      </c>
      <c r="F60">
        <v>9</v>
      </c>
      <c r="G60">
        <v>0</v>
      </c>
      <c r="H60">
        <v>10</v>
      </c>
      <c r="I60">
        <v>-0.42799999999999999</v>
      </c>
      <c r="K60" t="s">
        <v>108</v>
      </c>
      <c r="L60" s="1" t="s">
        <v>108</v>
      </c>
      <c r="M60" t="s">
        <v>26</v>
      </c>
      <c r="N60" t="s">
        <v>30</v>
      </c>
      <c r="O60" t="s">
        <v>124</v>
      </c>
      <c r="P60" t="s">
        <v>125</v>
      </c>
    </row>
    <row r="61" spans="1:16" x14ac:dyDescent="0.25">
      <c r="A61">
        <v>2014</v>
      </c>
      <c r="B61">
        <v>8</v>
      </c>
      <c r="C61" t="s">
        <v>12</v>
      </c>
      <c r="D61">
        <v>14</v>
      </c>
      <c r="E61">
        <v>2</v>
      </c>
      <c r="F61">
        <v>12</v>
      </c>
      <c r="G61">
        <v>0</v>
      </c>
      <c r="H61">
        <v>4</v>
      </c>
      <c r="I61">
        <v>-1.1819999999999999</v>
      </c>
      <c r="K61" t="s">
        <v>108</v>
      </c>
      <c r="L61" s="1" t="s">
        <v>108</v>
      </c>
      <c r="M61" t="s">
        <v>22</v>
      </c>
      <c r="N61" t="s">
        <v>30</v>
      </c>
      <c r="O61" t="s">
        <v>111</v>
      </c>
      <c r="P61" t="s">
        <v>112</v>
      </c>
    </row>
    <row r="62" spans="1:16" x14ac:dyDescent="0.25">
      <c r="A62">
        <v>2015</v>
      </c>
      <c r="B62">
        <v>1</v>
      </c>
      <c r="C62" t="s">
        <v>11</v>
      </c>
      <c r="D62">
        <v>14</v>
      </c>
      <c r="E62">
        <v>9</v>
      </c>
      <c r="F62">
        <v>5</v>
      </c>
      <c r="G62">
        <v>0</v>
      </c>
      <c r="H62">
        <v>18</v>
      </c>
      <c r="I62">
        <v>0.70899999999999996</v>
      </c>
      <c r="J62" t="s">
        <v>30</v>
      </c>
      <c r="K62" t="s">
        <v>30</v>
      </c>
      <c r="L62" s="1" t="s">
        <v>108</v>
      </c>
      <c r="M62" t="s">
        <v>11</v>
      </c>
      <c r="N62" t="s">
        <v>30</v>
      </c>
      <c r="O62" t="s">
        <v>109</v>
      </c>
      <c r="P62" t="s">
        <v>110</v>
      </c>
    </row>
    <row r="63" spans="1:16" x14ac:dyDescent="0.25">
      <c r="A63">
        <v>2015</v>
      </c>
      <c r="B63">
        <v>2</v>
      </c>
      <c r="C63" t="s">
        <v>13</v>
      </c>
      <c r="D63">
        <v>14</v>
      </c>
      <c r="E63">
        <v>8</v>
      </c>
      <c r="F63">
        <v>6</v>
      </c>
      <c r="G63">
        <v>0</v>
      </c>
      <c r="H63">
        <v>16</v>
      </c>
      <c r="I63">
        <v>-4.2999999999999997E-2</v>
      </c>
      <c r="J63" t="s">
        <v>30</v>
      </c>
      <c r="K63" t="s">
        <v>30</v>
      </c>
      <c r="L63" s="1" t="s">
        <v>30</v>
      </c>
      <c r="M63" t="s">
        <v>13</v>
      </c>
      <c r="N63" t="s">
        <v>30</v>
      </c>
      <c r="O63" t="s">
        <v>119</v>
      </c>
      <c r="P63" t="s">
        <v>120</v>
      </c>
    </row>
    <row r="64" spans="1:16" x14ac:dyDescent="0.25">
      <c r="A64">
        <v>2015</v>
      </c>
      <c r="B64">
        <v>3</v>
      </c>
      <c r="C64" t="s">
        <v>15</v>
      </c>
      <c r="D64">
        <v>14</v>
      </c>
      <c r="E64">
        <v>7</v>
      </c>
      <c r="F64">
        <v>5</v>
      </c>
      <c r="G64">
        <v>2</v>
      </c>
      <c r="H64">
        <v>16</v>
      </c>
      <c r="I64">
        <v>1.0369999999999999</v>
      </c>
      <c r="J64" t="s">
        <v>30</v>
      </c>
      <c r="K64" t="s">
        <v>108</v>
      </c>
      <c r="L64" s="1" t="s">
        <v>108</v>
      </c>
      <c r="M64" t="s">
        <v>26</v>
      </c>
      <c r="N64" t="s">
        <v>30</v>
      </c>
      <c r="O64" t="s">
        <v>124</v>
      </c>
      <c r="P64" t="s">
        <v>125</v>
      </c>
    </row>
    <row r="65" spans="1:16" x14ac:dyDescent="0.25">
      <c r="A65">
        <v>2015</v>
      </c>
      <c r="B65">
        <v>4</v>
      </c>
      <c r="C65" t="s">
        <v>9</v>
      </c>
      <c r="D65">
        <v>14</v>
      </c>
      <c r="E65">
        <v>7</v>
      </c>
      <c r="F65">
        <v>5</v>
      </c>
      <c r="G65">
        <v>2</v>
      </c>
      <c r="H65">
        <v>16</v>
      </c>
      <c r="I65">
        <v>6.2E-2</v>
      </c>
      <c r="J65" t="s">
        <v>30</v>
      </c>
      <c r="K65" t="s">
        <v>108</v>
      </c>
      <c r="L65" s="1" t="s">
        <v>108</v>
      </c>
      <c r="M65" t="s">
        <v>9</v>
      </c>
      <c r="N65" t="s">
        <v>30</v>
      </c>
      <c r="O65" t="s">
        <v>122</v>
      </c>
      <c r="P65" t="s">
        <v>123</v>
      </c>
    </row>
    <row r="66" spans="1:16" x14ac:dyDescent="0.25">
      <c r="A66">
        <v>2015</v>
      </c>
      <c r="B66">
        <v>5</v>
      </c>
      <c r="C66" t="s">
        <v>14</v>
      </c>
      <c r="D66">
        <v>14</v>
      </c>
      <c r="E66">
        <v>7</v>
      </c>
      <c r="F66">
        <v>6</v>
      </c>
      <c r="G66">
        <v>1</v>
      </c>
      <c r="H66">
        <v>15</v>
      </c>
      <c r="I66">
        <v>0.253</v>
      </c>
      <c r="K66" t="s">
        <v>108</v>
      </c>
      <c r="L66" s="1" t="s">
        <v>108</v>
      </c>
      <c r="M66" t="s">
        <v>14</v>
      </c>
      <c r="N66" t="s">
        <v>30</v>
      </c>
      <c r="O66" t="s">
        <v>115</v>
      </c>
      <c r="P66" t="s">
        <v>116</v>
      </c>
    </row>
    <row r="67" spans="1:16" x14ac:dyDescent="0.25">
      <c r="A67">
        <v>2015</v>
      </c>
      <c r="B67">
        <v>6</v>
      </c>
      <c r="C67" t="s">
        <v>19</v>
      </c>
      <c r="D67">
        <v>14</v>
      </c>
      <c r="E67">
        <v>7</v>
      </c>
      <c r="F67">
        <v>7</v>
      </c>
      <c r="G67">
        <v>0</v>
      </c>
      <c r="H67">
        <v>14</v>
      </c>
      <c r="I67">
        <v>-0.23899999999999999</v>
      </c>
      <c r="K67" t="s">
        <v>108</v>
      </c>
      <c r="L67" s="1" t="s">
        <v>108</v>
      </c>
      <c r="M67" t="s">
        <v>19</v>
      </c>
      <c r="N67" t="s">
        <v>30</v>
      </c>
      <c r="O67" t="s">
        <v>126</v>
      </c>
      <c r="P67" t="s">
        <v>127</v>
      </c>
    </row>
    <row r="68" spans="1:16" x14ac:dyDescent="0.25">
      <c r="A68">
        <v>2015</v>
      </c>
      <c r="B68">
        <v>7</v>
      </c>
      <c r="C68" t="s">
        <v>12</v>
      </c>
      <c r="D68">
        <v>14</v>
      </c>
      <c r="E68">
        <v>5</v>
      </c>
      <c r="F68">
        <v>8</v>
      </c>
      <c r="G68">
        <v>1</v>
      </c>
      <c r="H68">
        <v>11</v>
      </c>
      <c r="I68">
        <v>-4.9000000000000002E-2</v>
      </c>
      <c r="K68" t="s">
        <v>108</v>
      </c>
      <c r="L68" s="1" t="s">
        <v>108</v>
      </c>
      <c r="M68" t="s">
        <v>22</v>
      </c>
      <c r="N68" t="s">
        <v>30</v>
      </c>
      <c r="O68" t="s">
        <v>111</v>
      </c>
      <c r="P68" t="s">
        <v>112</v>
      </c>
    </row>
    <row r="69" spans="1:16" x14ac:dyDescent="0.25">
      <c r="A69">
        <v>2015</v>
      </c>
      <c r="B69">
        <v>8</v>
      </c>
      <c r="C69" t="s">
        <v>10</v>
      </c>
      <c r="D69">
        <v>14</v>
      </c>
      <c r="E69">
        <v>3</v>
      </c>
      <c r="F69">
        <v>11</v>
      </c>
      <c r="G69">
        <v>0</v>
      </c>
      <c r="H69">
        <v>6</v>
      </c>
      <c r="I69">
        <v>-1.4359999999999999</v>
      </c>
      <c r="K69" t="s">
        <v>108</v>
      </c>
      <c r="L69" s="1" t="s">
        <v>108</v>
      </c>
      <c r="M69" t="s">
        <v>23</v>
      </c>
      <c r="N69" t="s">
        <v>30</v>
      </c>
      <c r="O69" t="s">
        <v>121</v>
      </c>
      <c r="P69" t="s">
        <v>121</v>
      </c>
    </row>
    <row r="70" spans="1:16" x14ac:dyDescent="0.25">
      <c r="A70">
        <v>2016</v>
      </c>
      <c r="B70">
        <v>1</v>
      </c>
      <c r="C70" t="s">
        <v>20</v>
      </c>
      <c r="D70">
        <v>14</v>
      </c>
      <c r="E70">
        <v>9</v>
      </c>
      <c r="F70">
        <v>5</v>
      </c>
      <c r="G70">
        <v>0</v>
      </c>
      <c r="H70">
        <v>18</v>
      </c>
      <c r="I70">
        <v>-0.374</v>
      </c>
      <c r="J70" t="s">
        <v>30</v>
      </c>
      <c r="K70" t="s">
        <v>108</v>
      </c>
      <c r="L70" s="1" t="s">
        <v>108</v>
      </c>
      <c r="M70" t="s">
        <v>20</v>
      </c>
      <c r="N70" t="s">
        <v>31</v>
      </c>
      <c r="O70" t="s">
        <v>133</v>
      </c>
      <c r="P70" t="s">
        <v>114</v>
      </c>
    </row>
    <row r="71" spans="1:16" x14ac:dyDescent="0.25">
      <c r="A71">
        <v>2016</v>
      </c>
      <c r="B71">
        <v>2</v>
      </c>
      <c r="C71" t="s">
        <v>15</v>
      </c>
      <c r="D71">
        <v>14</v>
      </c>
      <c r="E71">
        <v>8</v>
      </c>
      <c r="F71">
        <v>6</v>
      </c>
      <c r="G71">
        <v>0</v>
      </c>
      <c r="H71">
        <v>16</v>
      </c>
      <c r="I71">
        <v>0.93200000000000005</v>
      </c>
      <c r="J71" t="s">
        <v>30</v>
      </c>
      <c r="K71" t="s">
        <v>30</v>
      </c>
      <c r="L71" s="1" t="s">
        <v>108</v>
      </c>
      <c r="M71" t="s">
        <v>26</v>
      </c>
      <c r="N71" t="s">
        <v>30</v>
      </c>
      <c r="O71" t="s">
        <v>124</v>
      </c>
      <c r="P71" t="s">
        <v>125</v>
      </c>
    </row>
    <row r="72" spans="1:16" x14ac:dyDescent="0.25">
      <c r="A72">
        <v>2016</v>
      </c>
      <c r="B72">
        <v>3</v>
      </c>
      <c r="C72" t="s">
        <v>19</v>
      </c>
      <c r="D72">
        <v>14</v>
      </c>
      <c r="E72">
        <v>8</v>
      </c>
      <c r="F72">
        <v>6</v>
      </c>
      <c r="G72">
        <v>0</v>
      </c>
      <c r="H72">
        <v>16</v>
      </c>
      <c r="I72">
        <v>0.245</v>
      </c>
      <c r="J72" t="s">
        <v>30</v>
      </c>
      <c r="K72" t="s">
        <v>30</v>
      </c>
      <c r="L72" s="1" t="s">
        <v>30</v>
      </c>
      <c r="M72" t="s">
        <v>19</v>
      </c>
      <c r="N72" t="s">
        <v>30</v>
      </c>
      <c r="O72" t="s">
        <v>126</v>
      </c>
      <c r="P72" t="s">
        <v>127</v>
      </c>
    </row>
    <row r="73" spans="1:16" x14ac:dyDescent="0.25">
      <c r="A73">
        <v>2016</v>
      </c>
      <c r="B73">
        <v>4</v>
      </c>
      <c r="C73" t="s">
        <v>14</v>
      </c>
      <c r="D73">
        <v>14</v>
      </c>
      <c r="E73">
        <v>8</v>
      </c>
      <c r="F73">
        <v>6</v>
      </c>
      <c r="G73">
        <v>0</v>
      </c>
      <c r="H73">
        <v>16</v>
      </c>
      <c r="I73">
        <v>0.106</v>
      </c>
      <c r="J73" t="s">
        <v>30</v>
      </c>
      <c r="K73" t="s">
        <v>108</v>
      </c>
      <c r="L73" s="1" t="s">
        <v>108</v>
      </c>
      <c r="M73" t="s">
        <v>14</v>
      </c>
      <c r="N73" t="s">
        <v>30</v>
      </c>
      <c r="O73" t="s">
        <v>115</v>
      </c>
      <c r="P73" t="s">
        <v>116</v>
      </c>
    </row>
    <row r="74" spans="1:16" x14ac:dyDescent="0.25">
      <c r="A74">
        <v>2016</v>
      </c>
      <c r="B74">
        <v>5</v>
      </c>
      <c r="C74" t="s">
        <v>13</v>
      </c>
      <c r="D74">
        <v>14</v>
      </c>
      <c r="E74">
        <v>7</v>
      </c>
      <c r="F74">
        <v>7</v>
      </c>
      <c r="G74">
        <v>0</v>
      </c>
      <c r="H74">
        <v>14</v>
      </c>
      <c r="I74">
        <v>-0.14599999999999999</v>
      </c>
      <c r="K74" t="s">
        <v>108</v>
      </c>
      <c r="L74" s="1" t="s">
        <v>108</v>
      </c>
      <c r="M74" t="s">
        <v>13</v>
      </c>
      <c r="N74" t="s">
        <v>30</v>
      </c>
      <c r="O74" t="s">
        <v>119</v>
      </c>
      <c r="P74" t="s">
        <v>120</v>
      </c>
    </row>
    <row r="75" spans="1:16" x14ac:dyDescent="0.25">
      <c r="A75">
        <v>2016</v>
      </c>
      <c r="B75">
        <v>6</v>
      </c>
      <c r="C75" t="s">
        <v>12</v>
      </c>
      <c r="D75">
        <v>14</v>
      </c>
      <c r="E75">
        <v>7</v>
      </c>
      <c r="F75">
        <v>7</v>
      </c>
      <c r="G75">
        <v>0</v>
      </c>
      <c r="H75">
        <v>14</v>
      </c>
      <c r="I75">
        <v>-0.155</v>
      </c>
      <c r="K75" t="s">
        <v>108</v>
      </c>
      <c r="L75" s="1" t="s">
        <v>108</v>
      </c>
      <c r="M75" t="s">
        <v>22</v>
      </c>
      <c r="N75" t="s">
        <v>30</v>
      </c>
      <c r="O75" t="s">
        <v>111</v>
      </c>
      <c r="P75" t="s">
        <v>112</v>
      </c>
    </row>
    <row r="76" spans="1:16" x14ac:dyDescent="0.25">
      <c r="A76">
        <v>2016</v>
      </c>
      <c r="B76">
        <v>7</v>
      </c>
      <c r="C76" t="s">
        <v>21</v>
      </c>
      <c r="D76">
        <v>14</v>
      </c>
      <c r="E76">
        <v>5</v>
      </c>
      <c r="F76">
        <v>9</v>
      </c>
      <c r="G76">
        <v>0</v>
      </c>
      <c r="H76">
        <v>10</v>
      </c>
      <c r="I76">
        <v>1.4999999999999999E-2</v>
      </c>
      <c r="K76" t="s">
        <v>108</v>
      </c>
      <c r="L76" s="1" t="s">
        <v>108</v>
      </c>
      <c r="M76" t="s">
        <v>21</v>
      </c>
      <c r="N76" t="s">
        <v>31</v>
      </c>
      <c r="O76" t="s">
        <v>132</v>
      </c>
      <c r="P76" t="s">
        <v>120</v>
      </c>
    </row>
    <row r="77" spans="1:16" x14ac:dyDescent="0.25">
      <c r="A77">
        <v>2016</v>
      </c>
      <c r="B77">
        <v>8</v>
      </c>
      <c r="C77" t="s">
        <v>10</v>
      </c>
      <c r="D77">
        <v>14</v>
      </c>
      <c r="E77">
        <v>4</v>
      </c>
      <c r="F77">
        <v>10</v>
      </c>
      <c r="G77">
        <v>0</v>
      </c>
      <c r="H77">
        <v>8</v>
      </c>
      <c r="I77">
        <v>-0.64600000000000002</v>
      </c>
      <c r="K77" t="s">
        <v>108</v>
      </c>
      <c r="L77" s="1" t="s">
        <v>108</v>
      </c>
      <c r="M77" t="s">
        <v>23</v>
      </c>
      <c r="N77" t="s">
        <v>30</v>
      </c>
      <c r="O77" t="s">
        <v>121</v>
      </c>
      <c r="P77" t="s">
        <v>121</v>
      </c>
    </row>
    <row r="78" spans="1:16" x14ac:dyDescent="0.25">
      <c r="A78">
        <v>2017</v>
      </c>
      <c r="B78">
        <v>1</v>
      </c>
      <c r="C78" t="s">
        <v>13</v>
      </c>
      <c r="D78">
        <v>14</v>
      </c>
      <c r="E78">
        <v>10</v>
      </c>
      <c r="F78">
        <v>4</v>
      </c>
      <c r="G78">
        <v>0</v>
      </c>
      <c r="H78">
        <v>20</v>
      </c>
      <c r="I78">
        <v>0.78400000000000003</v>
      </c>
      <c r="J78" t="s">
        <v>30</v>
      </c>
      <c r="K78" t="s">
        <v>30</v>
      </c>
      <c r="L78" s="1" t="s">
        <v>30</v>
      </c>
      <c r="M78" t="s">
        <v>13</v>
      </c>
      <c r="N78" t="s">
        <v>30</v>
      </c>
      <c r="O78" t="s">
        <v>119</v>
      </c>
      <c r="P78" t="s">
        <v>120</v>
      </c>
    </row>
    <row r="79" spans="1:16" x14ac:dyDescent="0.25">
      <c r="A79">
        <v>2017</v>
      </c>
      <c r="B79">
        <v>2</v>
      </c>
      <c r="C79" t="s">
        <v>21</v>
      </c>
      <c r="D79">
        <v>14</v>
      </c>
      <c r="E79">
        <v>9</v>
      </c>
      <c r="F79">
        <v>5</v>
      </c>
      <c r="G79">
        <v>0</v>
      </c>
      <c r="H79">
        <v>18</v>
      </c>
      <c r="I79">
        <v>0.17599999999999999</v>
      </c>
      <c r="J79" t="s">
        <v>30</v>
      </c>
      <c r="K79" t="s">
        <v>30</v>
      </c>
      <c r="L79" s="1" t="s">
        <v>108</v>
      </c>
      <c r="M79" t="s">
        <v>21</v>
      </c>
      <c r="N79" t="s">
        <v>31</v>
      </c>
      <c r="O79" t="s">
        <v>132</v>
      </c>
      <c r="P79" t="s">
        <v>120</v>
      </c>
    </row>
    <row r="80" spans="1:16" x14ac:dyDescent="0.25">
      <c r="A80">
        <v>2017</v>
      </c>
      <c r="B80">
        <v>3</v>
      </c>
      <c r="C80" t="s">
        <v>19</v>
      </c>
      <c r="D80">
        <v>14</v>
      </c>
      <c r="E80">
        <v>8</v>
      </c>
      <c r="F80">
        <v>5</v>
      </c>
      <c r="G80">
        <v>1</v>
      </c>
      <c r="H80">
        <v>17</v>
      </c>
      <c r="I80">
        <v>0.59899999999999998</v>
      </c>
      <c r="J80" t="s">
        <v>30</v>
      </c>
      <c r="K80" t="s">
        <v>108</v>
      </c>
      <c r="L80" s="1" t="s">
        <v>108</v>
      </c>
      <c r="M80" t="s">
        <v>19</v>
      </c>
      <c r="N80" t="s">
        <v>30</v>
      </c>
      <c r="O80" t="s">
        <v>126</v>
      </c>
      <c r="P80" t="s">
        <v>127</v>
      </c>
    </row>
    <row r="81" spans="1:16" x14ac:dyDescent="0.25">
      <c r="A81">
        <v>2017</v>
      </c>
      <c r="B81">
        <v>4</v>
      </c>
      <c r="C81" t="s">
        <v>14</v>
      </c>
      <c r="D81">
        <v>14</v>
      </c>
      <c r="E81">
        <v>8</v>
      </c>
      <c r="F81">
        <v>6</v>
      </c>
      <c r="G81">
        <v>0</v>
      </c>
      <c r="H81">
        <v>16</v>
      </c>
      <c r="I81">
        <v>0.64100000000000001</v>
      </c>
      <c r="J81" t="s">
        <v>30</v>
      </c>
      <c r="K81" t="s">
        <v>108</v>
      </c>
      <c r="L81" s="1" t="s">
        <v>108</v>
      </c>
      <c r="M81" t="s">
        <v>14</v>
      </c>
      <c r="N81" t="s">
        <v>30</v>
      </c>
      <c r="O81" t="s">
        <v>115</v>
      </c>
      <c r="P81" t="s">
        <v>116</v>
      </c>
    </row>
    <row r="82" spans="1:16" x14ac:dyDescent="0.25">
      <c r="A82">
        <v>2017</v>
      </c>
      <c r="B82">
        <v>5</v>
      </c>
      <c r="C82" t="s">
        <v>10</v>
      </c>
      <c r="D82">
        <v>14</v>
      </c>
      <c r="E82">
        <v>7</v>
      </c>
      <c r="F82">
        <v>7</v>
      </c>
      <c r="G82">
        <v>0</v>
      </c>
      <c r="H82">
        <v>14</v>
      </c>
      <c r="I82">
        <v>-8.9999999999999993E-3</v>
      </c>
      <c r="K82" t="s">
        <v>108</v>
      </c>
      <c r="L82" s="1" t="s">
        <v>108</v>
      </c>
      <c r="M82" t="s">
        <v>23</v>
      </c>
      <c r="N82" t="s">
        <v>30</v>
      </c>
      <c r="O82" t="s">
        <v>121</v>
      </c>
      <c r="P82" t="s">
        <v>121</v>
      </c>
    </row>
    <row r="83" spans="1:16" x14ac:dyDescent="0.25">
      <c r="A83">
        <v>2017</v>
      </c>
      <c r="B83">
        <v>6</v>
      </c>
      <c r="C83" t="s">
        <v>12</v>
      </c>
      <c r="D83">
        <v>14</v>
      </c>
      <c r="E83">
        <v>6</v>
      </c>
      <c r="F83">
        <v>8</v>
      </c>
      <c r="G83">
        <v>0</v>
      </c>
      <c r="H83">
        <v>12</v>
      </c>
      <c r="I83">
        <v>-0.51200000000000001</v>
      </c>
      <c r="K83" t="s">
        <v>108</v>
      </c>
      <c r="L83" s="1" t="s">
        <v>108</v>
      </c>
      <c r="M83" t="s">
        <v>22</v>
      </c>
      <c r="N83" t="s">
        <v>30</v>
      </c>
      <c r="O83" t="s">
        <v>111</v>
      </c>
      <c r="P83" t="s">
        <v>112</v>
      </c>
    </row>
    <row r="84" spans="1:16" x14ac:dyDescent="0.25">
      <c r="A84">
        <v>2017</v>
      </c>
      <c r="B84">
        <v>7</v>
      </c>
      <c r="C84" t="s">
        <v>20</v>
      </c>
      <c r="D84">
        <v>14</v>
      </c>
      <c r="E84">
        <v>4</v>
      </c>
      <c r="F84">
        <v>10</v>
      </c>
      <c r="G84">
        <v>0</v>
      </c>
      <c r="H84">
        <v>8</v>
      </c>
      <c r="I84">
        <v>-0.41199999999999998</v>
      </c>
      <c r="K84" t="s">
        <v>108</v>
      </c>
      <c r="L84" s="1" t="s">
        <v>108</v>
      </c>
      <c r="M84" t="s">
        <v>20</v>
      </c>
      <c r="N84" t="s">
        <v>31</v>
      </c>
      <c r="O84" t="s">
        <v>133</v>
      </c>
      <c r="P84" t="s">
        <v>114</v>
      </c>
    </row>
    <row r="85" spans="1:16" x14ac:dyDescent="0.25">
      <c r="A85">
        <v>2017</v>
      </c>
      <c r="B85">
        <v>8</v>
      </c>
      <c r="C85" t="s">
        <v>15</v>
      </c>
      <c r="D85">
        <v>14</v>
      </c>
      <c r="E85">
        <v>3</v>
      </c>
      <c r="F85">
        <v>10</v>
      </c>
      <c r="G85">
        <v>1</v>
      </c>
      <c r="H85">
        <v>7</v>
      </c>
      <c r="I85">
        <v>-1.2989999999999999</v>
      </c>
      <c r="K85" t="s">
        <v>108</v>
      </c>
      <c r="L85" s="1" t="s">
        <v>108</v>
      </c>
      <c r="M85" t="s">
        <v>26</v>
      </c>
      <c r="N85" t="s">
        <v>30</v>
      </c>
      <c r="O85" t="s">
        <v>124</v>
      </c>
      <c r="P85" t="s">
        <v>125</v>
      </c>
    </row>
    <row r="86" spans="1:16" x14ac:dyDescent="0.25">
      <c r="A86">
        <v>2018</v>
      </c>
      <c r="B86">
        <v>1</v>
      </c>
      <c r="C86" t="s">
        <v>19</v>
      </c>
      <c r="D86">
        <v>14</v>
      </c>
      <c r="E86">
        <v>9</v>
      </c>
      <c r="F86">
        <v>5</v>
      </c>
      <c r="G86">
        <v>0</v>
      </c>
      <c r="H86">
        <v>18</v>
      </c>
      <c r="I86">
        <v>0.28399999999999997</v>
      </c>
      <c r="J86" t="s">
        <v>30</v>
      </c>
      <c r="K86" t="s">
        <v>30</v>
      </c>
      <c r="L86" s="1" t="s">
        <v>108</v>
      </c>
      <c r="M86" t="s">
        <v>19</v>
      </c>
      <c r="N86" t="s">
        <v>30</v>
      </c>
      <c r="O86" t="s">
        <v>126</v>
      </c>
      <c r="P86" t="s">
        <v>127</v>
      </c>
    </row>
    <row r="87" spans="1:16" x14ac:dyDescent="0.25">
      <c r="A87">
        <v>2018</v>
      </c>
      <c r="B87">
        <v>2</v>
      </c>
      <c r="C87" t="s">
        <v>11</v>
      </c>
      <c r="D87">
        <v>14</v>
      </c>
      <c r="E87">
        <v>9</v>
      </c>
      <c r="F87">
        <v>5</v>
      </c>
      <c r="G87">
        <v>0</v>
      </c>
      <c r="H87">
        <v>18</v>
      </c>
      <c r="I87">
        <v>0.253</v>
      </c>
      <c r="J87" t="s">
        <v>30</v>
      </c>
      <c r="K87" t="s">
        <v>30</v>
      </c>
      <c r="L87" s="1" t="s">
        <v>30</v>
      </c>
      <c r="M87" t="s">
        <v>11</v>
      </c>
      <c r="N87" t="s">
        <v>30</v>
      </c>
      <c r="O87" t="s">
        <v>109</v>
      </c>
      <c r="P87" t="s">
        <v>110</v>
      </c>
    </row>
    <row r="88" spans="1:16" x14ac:dyDescent="0.25">
      <c r="A88">
        <v>2018</v>
      </c>
      <c r="B88">
        <v>3</v>
      </c>
      <c r="C88" t="s">
        <v>14</v>
      </c>
      <c r="D88">
        <v>14</v>
      </c>
      <c r="E88">
        <v>8</v>
      </c>
      <c r="F88">
        <v>6</v>
      </c>
      <c r="G88">
        <v>0</v>
      </c>
      <c r="H88">
        <v>16</v>
      </c>
      <c r="I88">
        <v>-7.0000000000000007E-2</v>
      </c>
      <c r="J88" t="s">
        <v>30</v>
      </c>
      <c r="K88" t="s">
        <v>108</v>
      </c>
      <c r="L88" s="1" t="s">
        <v>108</v>
      </c>
      <c r="M88" t="s">
        <v>14</v>
      </c>
      <c r="N88" t="s">
        <v>30</v>
      </c>
      <c r="O88" t="s">
        <v>115</v>
      </c>
      <c r="P88" t="s">
        <v>116</v>
      </c>
    </row>
    <row r="89" spans="1:16" x14ac:dyDescent="0.25">
      <c r="A89">
        <v>2018</v>
      </c>
      <c r="B89">
        <v>4</v>
      </c>
      <c r="C89" t="s">
        <v>9</v>
      </c>
      <c r="D89">
        <v>14</v>
      </c>
      <c r="E89">
        <v>7</v>
      </c>
      <c r="F89">
        <v>7</v>
      </c>
      <c r="G89">
        <v>0</v>
      </c>
      <c r="H89">
        <v>14</v>
      </c>
      <c r="I89">
        <v>-0.25</v>
      </c>
      <c r="J89" t="s">
        <v>30</v>
      </c>
      <c r="K89" t="s">
        <v>108</v>
      </c>
      <c r="L89" s="1" t="s">
        <v>108</v>
      </c>
      <c r="M89" t="s">
        <v>9</v>
      </c>
      <c r="N89" t="s">
        <v>30</v>
      </c>
      <c r="O89" t="s">
        <v>122</v>
      </c>
      <c r="P89" t="s">
        <v>123</v>
      </c>
    </row>
    <row r="90" spans="1:16" x14ac:dyDescent="0.25">
      <c r="A90">
        <v>2018</v>
      </c>
      <c r="B90">
        <v>5</v>
      </c>
      <c r="C90" t="s">
        <v>13</v>
      </c>
      <c r="D90">
        <v>14</v>
      </c>
      <c r="E90">
        <v>6</v>
      </c>
      <c r="F90">
        <v>8</v>
      </c>
      <c r="G90">
        <v>0</v>
      </c>
      <c r="H90">
        <v>12</v>
      </c>
      <c r="I90">
        <v>0.317</v>
      </c>
      <c r="K90" t="s">
        <v>108</v>
      </c>
      <c r="L90" s="1" t="s">
        <v>108</v>
      </c>
      <c r="M90" t="s">
        <v>13</v>
      </c>
      <c r="N90" t="s">
        <v>30</v>
      </c>
      <c r="O90" t="s">
        <v>119</v>
      </c>
      <c r="P90" t="s">
        <v>120</v>
      </c>
    </row>
    <row r="91" spans="1:16" x14ac:dyDescent="0.25">
      <c r="A91">
        <v>2018</v>
      </c>
      <c r="B91">
        <v>6</v>
      </c>
      <c r="C91" t="s">
        <v>15</v>
      </c>
      <c r="D91">
        <v>14</v>
      </c>
      <c r="E91">
        <v>6</v>
      </c>
      <c r="F91">
        <v>8</v>
      </c>
      <c r="G91">
        <v>0</v>
      </c>
      <c r="H91">
        <v>12</v>
      </c>
      <c r="I91">
        <v>0.129</v>
      </c>
      <c r="K91" t="s">
        <v>108</v>
      </c>
      <c r="L91" s="1" t="s">
        <v>108</v>
      </c>
      <c r="M91" t="s">
        <v>26</v>
      </c>
      <c r="N91" t="s">
        <v>30</v>
      </c>
      <c r="O91" t="s">
        <v>124</v>
      </c>
      <c r="P91" t="s">
        <v>125</v>
      </c>
    </row>
    <row r="92" spans="1:16" x14ac:dyDescent="0.25">
      <c r="A92">
        <v>2018</v>
      </c>
      <c r="B92">
        <v>7</v>
      </c>
      <c r="C92" t="s">
        <v>10</v>
      </c>
      <c r="D92">
        <v>14</v>
      </c>
      <c r="E92">
        <v>6</v>
      </c>
      <c r="F92">
        <v>8</v>
      </c>
      <c r="G92">
        <v>0</v>
      </c>
      <c r="H92">
        <v>12</v>
      </c>
      <c r="I92">
        <v>-0.502</v>
      </c>
      <c r="K92" t="s">
        <v>108</v>
      </c>
      <c r="L92" s="1" t="s">
        <v>108</v>
      </c>
      <c r="M92" t="s">
        <v>23</v>
      </c>
      <c r="N92" t="s">
        <v>30</v>
      </c>
      <c r="O92" t="s">
        <v>121</v>
      </c>
      <c r="P92" t="s">
        <v>121</v>
      </c>
    </row>
    <row r="93" spans="1:16" x14ac:dyDescent="0.25">
      <c r="A93">
        <v>2018</v>
      </c>
      <c r="B93">
        <v>8</v>
      </c>
      <c r="C93" t="s">
        <v>12</v>
      </c>
      <c r="D93">
        <v>14</v>
      </c>
      <c r="E93">
        <v>5</v>
      </c>
      <c r="F93">
        <v>9</v>
      </c>
      <c r="G93">
        <v>0</v>
      </c>
      <c r="H93">
        <v>10</v>
      </c>
      <c r="I93">
        <v>-0.222</v>
      </c>
      <c r="K93" t="s">
        <v>108</v>
      </c>
      <c r="L93" s="1" t="s">
        <v>108</v>
      </c>
      <c r="M93" t="s">
        <v>22</v>
      </c>
      <c r="N93" t="s">
        <v>30</v>
      </c>
      <c r="O93" t="s">
        <v>111</v>
      </c>
      <c r="P93" t="s">
        <v>112</v>
      </c>
    </row>
    <row r="94" spans="1:16" x14ac:dyDescent="0.25">
      <c r="A94">
        <v>2019</v>
      </c>
      <c r="B94">
        <v>1</v>
      </c>
      <c r="C94" t="s">
        <v>13</v>
      </c>
      <c r="D94">
        <v>14</v>
      </c>
      <c r="E94">
        <v>9</v>
      </c>
      <c r="F94">
        <v>5</v>
      </c>
      <c r="G94">
        <v>0</v>
      </c>
      <c r="H94">
        <v>18</v>
      </c>
      <c r="I94">
        <v>0.42099999999999999</v>
      </c>
      <c r="J94" t="s">
        <v>30</v>
      </c>
      <c r="K94" t="s">
        <v>30</v>
      </c>
      <c r="L94" s="1" t="s">
        <v>30</v>
      </c>
      <c r="M94" t="s">
        <v>13</v>
      </c>
      <c r="N94" t="s">
        <v>30</v>
      </c>
      <c r="O94" t="s">
        <v>119</v>
      </c>
      <c r="P94" t="s">
        <v>120</v>
      </c>
    </row>
    <row r="95" spans="1:16" x14ac:dyDescent="0.25">
      <c r="A95">
        <v>2019</v>
      </c>
      <c r="B95">
        <v>2</v>
      </c>
      <c r="C95" t="s">
        <v>11</v>
      </c>
      <c r="D95">
        <v>14</v>
      </c>
      <c r="E95">
        <v>9</v>
      </c>
      <c r="F95">
        <v>5</v>
      </c>
      <c r="G95">
        <v>0</v>
      </c>
      <c r="H95">
        <v>18</v>
      </c>
      <c r="I95">
        <v>0.13100000000000001</v>
      </c>
      <c r="J95" t="s">
        <v>30</v>
      </c>
      <c r="K95" t="s">
        <v>30</v>
      </c>
      <c r="L95" s="1" t="s">
        <v>108</v>
      </c>
      <c r="M95" t="s">
        <v>11</v>
      </c>
      <c r="N95" t="s">
        <v>30</v>
      </c>
      <c r="O95" t="s">
        <v>109</v>
      </c>
      <c r="P95" t="s">
        <v>110</v>
      </c>
    </row>
    <row r="96" spans="1:16" x14ac:dyDescent="0.25">
      <c r="A96">
        <v>2019</v>
      </c>
      <c r="B96">
        <v>3</v>
      </c>
      <c r="C96" t="s">
        <v>22</v>
      </c>
      <c r="D96">
        <v>14</v>
      </c>
      <c r="E96">
        <v>9</v>
      </c>
      <c r="F96">
        <v>5</v>
      </c>
      <c r="G96">
        <v>0</v>
      </c>
      <c r="H96">
        <v>18</v>
      </c>
      <c r="I96">
        <v>4.3999999999999997E-2</v>
      </c>
      <c r="J96" t="s">
        <v>30</v>
      </c>
      <c r="K96" t="s">
        <v>108</v>
      </c>
      <c r="L96" s="1" t="s">
        <v>108</v>
      </c>
      <c r="M96" t="s">
        <v>22</v>
      </c>
      <c r="N96" t="s">
        <v>30</v>
      </c>
      <c r="O96" t="s">
        <v>111</v>
      </c>
      <c r="P96" t="s">
        <v>112</v>
      </c>
    </row>
    <row r="97" spans="1:16" x14ac:dyDescent="0.25">
      <c r="A97">
        <v>2019</v>
      </c>
      <c r="B97">
        <v>4</v>
      </c>
      <c r="C97" t="s">
        <v>19</v>
      </c>
      <c r="D97">
        <v>14</v>
      </c>
      <c r="E97">
        <v>6</v>
      </c>
      <c r="F97">
        <v>8</v>
      </c>
      <c r="G97">
        <v>0</v>
      </c>
      <c r="H97">
        <v>12</v>
      </c>
      <c r="I97">
        <v>0.57699999999999996</v>
      </c>
      <c r="J97" t="s">
        <v>30</v>
      </c>
      <c r="K97" t="s">
        <v>108</v>
      </c>
      <c r="L97" s="1" t="s">
        <v>108</v>
      </c>
      <c r="M97" t="s">
        <v>19</v>
      </c>
      <c r="N97" t="s">
        <v>30</v>
      </c>
      <c r="O97" t="s">
        <v>126</v>
      </c>
      <c r="P97" t="s">
        <v>127</v>
      </c>
    </row>
    <row r="98" spans="1:16" x14ac:dyDescent="0.25">
      <c r="A98">
        <v>2019</v>
      </c>
      <c r="B98">
        <v>5</v>
      </c>
      <c r="C98" t="s">
        <v>14</v>
      </c>
      <c r="D98">
        <v>14</v>
      </c>
      <c r="E98">
        <v>6</v>
      </c>
      <c r="F98">
        <v>8</v>
      </c>
      <c r="G98">
        <v>0</v>
      </c>
      <c r="H98">
        <v>12</v>
      </c>
      <c r="I98">
        <v>2.8000000000000001E-2</v>
      </c>
      <c r="K98" t="s">
        <v>108</v>
      </c>
      <c r="L98" s="1" t="s">
        <v>108</v>
      </c>
      <c r="M98" t="s">
        <v>14</v>
      </c>
      <c r="N98" t="s">
        <v>30</v>
      </c>
      <c r="O98" t="s">
        <v>115</v>
      </c>
      <c r="P98" t="s">
        <v>116</v>
      </c>
    </row>
    <row r="99" spans="1:16" x14ac:dyDescent="0.25">
      <c r="A99">
        <v>2019</v>
      </c>
      <c r="B99">
        <v>6</v>
      </c>
      <c r="C99" t="s">
        <v>10</v>
      </c>
      <c r="D99">
        <v>14</v>
      </c>
      <c r="E99">
        <v>6</v>
      </c>
      <c r="F99">
        <v>8</v>
      </c>
      <c r="G99">
        <v>0</v>
      </c>
      <c r="H99">
        <v>12</v>
      </c>
      <c r="I99">
        <v>-0.251</v>
      </c>
      <c r="K99" t="s">
        <v>108</v>
      </c>
      <c r="L99" s="1" t="s">
        <v>108</v>
      </c>
      <c r="M99" t="s">
        <v>23</v>
      </c>
      <c r="N99" t="s">
        <v>30</v>
      </c>
      <c r="O99" t="s">
        <v>121</v>
      </c>
      <c r="P99" t="s">
        <v>121</v>
      </c>
    </row>
    <row r="100" spans="1:16" x14ac:dyDescent="0.25">
      <c r="A100">
        <v>2019</v>
      </c>
      <c r="B100">
        <v>7</v>
      </c>
      <c r="C100" t="s">
        <v>9</v>
      </c>
      <c r="D100">
        <v>14</v>
      </c>
      <c r="E100">
        <v>5</v>
      </c>
      <c r="F100">
        <v>8</v>
      </c>
      <c r="G100">
        <v>1</v>
      </c>
      <c r="H100">
        <v>11</v>
      </c>
      <c r="I100">
        <v>-0.44900000000000001</v>
      </c>
      <c r="K100" t="s">
        <v>108</v>
      </c>
      <c r="L100" s="1" t="s">
        <v>108</v>
      </c>
      <c r="M100" t="s">
        <v>9</v>
      </c>
      <c r="N100" t="s">
        <v>30</v>
      </c>
      <c r="O100" t="s">
        <v>122</v>
      </c>
      <c r="P100" t="s">
        <v>123</v>
      </c>
    </row>
    <row r="101" spans="1:16" x14ac:dyDescent="0.25">
      <c r="A101">
        <v>2019</v>
      </c>
      <c r="B101">
        <v>8</v>
      </c>
      <c r="C101" t="s">
        <v>15</v>
      </c>
      <c r="D101">
        <v>14</v>
      </c>
      <c r="E101">
        <v>5</v>
      </c>
      <c r="F101">
        <v>8</v>
      </c>
      <c r="G101">
        <v>1</v>
      </c>
      <c r="H101">
        <v>11</v>
      </c>
      <c r="I101">
        <v>-0.60699999999999998</v>
      </c>
      <c r="K101" t="s">
        <v>108</v>
      </c>
      <c r="L101" s="1" t="s">
        <v>108</v>
      </c>
      <c r="M101" t="s">
        <v>26</v>
      </c>
      <c r="N101" t="s">
        <v>30</v>
      </c>
      <c r="O101" t="s">
        <v>124</v>
      </c>
      <c r="P101" t="s">
        <v>125</v>
      </c>
    </row>
    <row r="102" spans="1:16" x14ac:dyDescent="0.25">
      <c r="A102">
        <v>2020</v>
      </c>
      <c r="B102">
        <v>1</v>
      </c>
      <c r="C102" t="s">
        <v>13</v>
      </c>
      <c r="D102">
        <v>14</v>
      </c>
      <c r="E102">
        <v>9</v>
      </c>
      <c r="F102">
        <v>5</v>
      </c>
      <c r="G102">
        <v>0</v>
      </c>
      <c r="H102">
        <v>18</v>
      </c>
      <c r="I102">
        <v>1.107</v>
      </c>
      <c r="J102" t="s">
        <v>30</v>
      </c>
      <c r="K102" t="s">
        <v>30</v>
      </c>
      <c r="L102" s="1" t="s">
        <v>30</v>
      </c>
      <c r="M102" t="s">
        <v>13</v>
      </c>
      <c r="N102" t="s">
        <v>30</v>
      </c>
      <c r="O102" t="s">
        <v>119</v>
      </c>
      <c r="P102" t="s">
        <v>120</v>
      </c>
    </row>
    <row r="103" spans="1:16" x14ac:dyDescent="0.25">
      <c r="A103">
        <v>2020</v>
      </c>
      <c r="B103">
        <v>2</v>
      </c>
      <c r="C103" t="s">
        <v>22</v>
      </c>
      <c r="D103">
        <v>14</v>
      </c>
      <c r="E103">
        <v>8</v>
      </c>
      <c r="F103">
        <v>6</v>
      </c>
      <c r="G103">
        <v>0</v>
      </c>
      <c r="H103">
        <v>16</v>
      </c>
      <c r="I103">
        <v>-0.109</v>
      </c>
      <c r="J103" t="s">
        <v>30</v>
      </c>
      <c r="K103" t="s">
        <v>30</v>
      </c>
      <c r="L103" s="1" t="s">
        <v>108</v>
      </c>
      <c r="M103" t="s">
        <v>22</v>
      </c>
      <c r="N103" t="s">
        <v>30</v>
      </c>
      <c r="O103" t="s">
        <v>111</v>
      </c>
      <c r="P103" t="s">
        <v>112</v>
      </c>
    </row>
    <row r="104" spans="1:16" x14ac:dyDescent="0.25">
      <c r="A104">
        <v>2020</v>
      </c>
      <c r="B104">
        <v>3</v>
      </c>
      <c r="C104" t="s">
        <v>19</v>
      </c>
      <c r="D104">
        <v>14</v>
      </c>
      <c r="E104">
        <v>7</v>
      </c>
      <c r="F104">
        <v>7</v>
      </c>
      <c r="G104">
        <v>0</v>
      </c>
      <c r="H104">
        <v>14</v>
      </c>
      <c r="I104">
        <v>0.60799999999999998</v>
      </c>
      <c r="J104" t="s">
        <v>30</v>
      </c>
      <c r="K104" t="s">
        <v>108</v>
      </c>
      <c r="L104" s="1" t="s">
        <v>108</v>
      </c>
      <c r="M104" t="s">
        <v>19</v>
      </c>
      <c r="N104" t="s">
        <v>30</v>
      </c>
      <c r="O104" t="s">
        <v>126</v>
      </c>
      <c r="P104" t="s">
        <v>127</v>
      </c>
    </row>
    <row r="105" spans="1:16" x14ac:dyDescent="0.25">
      <c r="A105">
        <v>2020</v>
      </c>
      <c r="B105">
        <v>4</v>
      </c>
      <c r="C105" t="s">
        <v>15</v>
      </c>
      <c r="D105">
        <v>14</v>
      </c>
      <c r="E105">
        <v>7</v>
      </c>
      <c r="F105">
        <v>7</v>
      </c>
      <c r="G105">
        <v>0</v>
      </c>
      <c r="H105">
        <v>14</v>
      </c>
      <c r="I105">
        <v>-0.17199999999999999</v>
      </c>
      <c r="J105" t="s">
        <v>30</v>
      </c>
      <c r="K105" t="s">
        <v>108</v>
      </c>
      <c r="L105" s="1" t="s">
        <v>108</v>
      </c>
      <c r="M105" t="s">
        <v>26</v>
      </c>
      <c r="N105" t="s">
        <v>30</v>
      </c>
      <c r="O105" t="s">
        <v>124</v>
      </c>
      <c r="P105" t="s">
        <v>125</v>
      </c>
    </row>
    <row r="106" spans="1:16" x14ac:dyDescent="0.25">
      <c r="A106">
        <v>2020</v>
      </c>
      <c r="B106">
        <v>5</v>
      </c>
      <c r="C106" t="s">
        <v>14</v>
      </c>
      <c r="D106">
        <v>14</v>
      </c>
      <c r="E106">
        <v>7</v>
      </c>
      <c r="F106">
        <v>7</v>
      </c>
      <c r="G106">
        <v>0</v>
      </c>
      <c r="H106">
        <v>14</v>
      </c>
      <c r="I106">
        <v>-0.214</v>
      </c>
      <c r="K106" t="s">
        <v>108</v>
      </c>
      <c r="L106" s="1" t="s">
        <v>108</v>
      </c>
      <c r="M106" t="s">
        <v>14</v>
      </c>
      <c r="N106" t="s">
        <v>30</v>
      </c>
      <c r="O106" t="s">
        <v>115</v>
      </c>
      <c r="P106" t="s">
        <v>116</v>
      </c>
    </row>
    <row r="107" spans="1:16" x14ac:dyDescent="0.25">
      <c r="A107">
        <v>2020</v>
      </c>
      <c r="B107">
        <v>6</v>
      </c>
      <c r="C107" t="s">
        <v>10</v>
      </c>
      <c r="D107">
        <v>14</v>
      </c>
      <c r="E107">
        <v>6</v>
      </c>
      <c r="F107">
        <v>8</v>
      </c>
      <c r="G107">
        <v>0</v>
      </c>
      <c r="H107">
        <v>12</v>
      </c>
      <c r="I107">
        <v>-0.16200000000000001</v>
      </c>
      <c r="K107" t="s">
        <v>108</v>
      </c>
      <c r="L107" s="1" t="s">
        <v>108</v>
      </c>
      <c r="M107" t="s">
        <v>23</v>
      </c>
      <c r="N107" t="s">
        <v>30</v>
      </c>
      <c r="O107" t="s">
        <v>121</v>
      </c>
      <c r="P107" t="s">
        <v>121</v>
      </c>
    </row>
    <row r="108" spans="1:16" x14ac:dyDescent="0.25">
      <c r="A108">
        <v>2020</v>
      </c>
      <c r="B108">
        <v>7</v>
      </c>
      <c r="C108" t="s">
        <v>11</v>
      </c>
      <c r="D108">
        <v>14</v>
      </c>
      <c r="E108">
        <v>6</v>
      </c>
      <c r="F108">
        <v>8</v>
      </c>
      <c r="G108">
        <v>0</v>
      </c>
      <c r="H108">
        <v>12</v>
      </c>
      <c r="I108">
        <v>-0.45500000000000002</v>
      </c>
      <c r="K108" t="s">
        <v>108</v>
      </c>
      <c r="L108" s="1" t="s">
        <v>108</v>
      </c>
      <c r="M108" t="s">
        <v>11</v>
      </c>
      <c r="N108" t="s">
        <v>30</v>
      </c>
      <c r="O108" t="s">
        <v>109</v>
      </c>
      <c r="P108" t="s">
        <v>110</v>
      </c>
    </row>
    <row r="109" spans="1:16" x14ac:dyDescent="0.25">
      <c r="A109">
        <v>2020</v>
      </c>
      <c r="B109">
        <v>8</v>
      </c>
      <c r="C109" t="s">
        <v>9</v>
      </c>
      <c r="D109">
        <v>14</v>
      </c>
      <c r="E109">
        <v>6</v>
      </c>
      <c r="F109">
        <v>8</v>
      </c>
      <c r="G109">
        <v>0</v>
      </c>
      <c r="H109">
        <v>12</v>
      </c>
      <c r="I109">
        <v>-0.56899999999999995</v>
      </c>
      <c r="K109" t="s">
        <v>108</v>
      </c>
      <c r="L109" s="1" t="s">
        <v>108</v>
      </c>
      <c r="M109" t="s">
        <v>9</v>
      </c>
      <c r="N109" t="s">
        <v>30</v>
      </c>
      <c r="O109" t="s">
        <v>122</v>
      </c>
      <c r="P109" t="s">
        <v>123</v>
      </c>
    </row>
    <row r="110" spans="1:16" x14ac:dyDescent="0.25">
      <c r="A110">
        <v>2021</v>
      </c>
      <c r="B110">
        <v>1</v>
      </c>
      <c r="C110" t="s">
        <v>22</v>
      </c>
      <c r="D110">
        <v>14</v>
      </c>
      <c r="E110">
        <v>10</v>
      </c>
      <c r="F110">
        <v>4</v>
      </c>
      <c r="G110">
        <v>0</v>
      </c>
      <c r="H110">
        <v>20</v>
      </c>
      <c r="I110">
        <v>0.48099999999999998</v>
      </c>
      <c r="J110" t="s">
        <v>30</v>
      </c>
      <c r="K110" t="s">
        <v>108</v>
      </c>
      <c r="L110" s="1" t="s">
        <v>108</v>
      </c>
      <c r="M110" t="s">
        <v>22</v>
      </c>
      <c r="N110" t="s">
        <v>30</v>
      </c>
      <c r="O110" t="s">
        <v>111</v>
      </c>
      <c r="P110" t="s">
        <v>112</v>
      </c>
    </row>
    <row r="111" spans="1:16" x14ac:dyDescent="0.25">
      <c r="A111">
        <v>2021</v>
      </c>
      <c r="B111">
        <v>2</v>
      </c>
      <c r="C111" t="s">
        <v>11</v>
      </c>
      <c r="D111">
        <v>14</v>
      </c>
      <c r="E111">
        <v>9</v>
      </c>
      <c r="F111">
        <v>5</v>
      </c>
      <c r="G111">
        <v>0</v>
      </c>
      <c r="H111">
        <v>18</v>
      </c>
      <c r="I111">
        <v>0.45500000000000002</v>
      </c>
      <c r="J111" t="s">
        <v>30</v>
      </c>
      <c r="K111" t="s">
        <v>30</v>
      </c>
      <c r="L111" s="1" t="s">
        <v>30</v>
      </c>
      <c r="M111" t="s">
        <v>11</v>
      </c>
      <c r="N111" t="s">
        <v>30</v>
      </c>
      <c r="O111" t="s">
        <v>109</v>
      </c>
      <c r="P111" t="s">
        <v>110</v>
      </c>
    </row>
    <row r="112" spans="1:16" x14ac:dyDescent="0.25">
      <c r="A112">
        <v>2021</v>
      </c>
      <c r="B112">
        <v>3</v>
      </c>
      <c r="C112" t="s">
        <v>15</v>
      </c>
      <c r="D112">
        <v>14</v>
      </c>
      <c r="E112">
        <v>9</v>
      </c>
      <c r="F112">
        <v>5</v>
      </c>
      <c r="G112">
        <v>0</v>
      </c>
      <c r="H112">
        <v>18</v>
      </c>
      <c r="I112">
        <v>-0.14000000000000001</v>
      </c>
      <c r="J112" t="s">
        <v>30</v>
      </c>
      <c r="K112" t="s">
        <v>108</v>
      </c>
      <c r="L112" s="1" t="s">
        <v>108</v>
      </c>
      <c r="M112" t="s">
        <v>26</v>
      </c>
      <c r="N112" t="s">
        <v>30</v>
      </c>
      <c r="O112" t="s">
        <v>124</v>
      </c>
      <c r="P112" t="s">
        <v>125</v>
      </c>
    </row>
    <row r="113" spans="1:16" x14ac:dyDescent="0.25">
      <c r="A113">
        <v>2021</v>
      </c>
      <c r="B113">
        <v>4</v>
      </c>
      <c r="C113" t="s">
        <v>14</v>
      </c>
      <c r="D113">
        <v>14</v>
      </c>
      <c r="E113">
        <v>7</v>
      </c>
      <c r="F113">
        <v>7</v>
      </c>
      <c r="G113">
        <v>0</v>
      </c>
      <c r="H113">
        <v>14</v>
      </c>
      <c r="I113">
        <v>0.58699999999999997</v>
      </c>
      <c r="J113" t="s">
        <v>30</v>
      </c>
      <c r="K113" t="s">
        <v>30</v>
      </c>
      <c r="L113" s="1" t="s">
        <v>108</v>
      </c>
      <c r="M113" t="s">
        <v>14</v>
      </c>
      <c r="N113" t="s">
        <v>30</v>
      </c>
      <c r="O113" t="s">
        <v>115</v>
      </c>
      <c r="P113" t="s">
        <v>116</v>
      </c>
    </row>
    <row r="114" spans="1:16" x14ac:dyDescent="0.25">
      <c r="A114">
        <v>2021</v>
      </c>
      <c r="B114">
        <v>5</v>
      </c>
      <c r="C114" t="s">
        <v>13</v>
      </c>
      <c r="D114">
        <v>14</v>
      </c>
      <c r="E114">
        <v>7</v>
      </c>
      <c r="F114">
        <v>7</v>
      </c>
      <c r="G114">
        <v>0</v>
      </c>
      <c r="H114">
        <v>14</v>
      </c>
      <c r="I114">
        <v>0.11600000000000001</v>
      </c>
      <c r="K114" t="s">
        <v>108</v>
      </c>
      <c r="L114" s="1" t="s">
        <v>108</v>
      </c>
      <c r="M114" t="s">
        <v>13</v>
      </c>
      <c r="N114" t="s">
        <v>30</v>
      </c>
      <c r="O114" t="s">
        <v>119</v>
      </c>
      <c r="P114" t="s">
        <v>120</v>
      </c>
    </row>
    <row r="115" spans="1:16" x14ac:dyDescent="0.25">
      <c r="A115">
        <v>2021</v>
      </c>
      <c r="B115">
        <v>6</v>
      </c>
      <c r="C115" t="s">
        <v>23</v>
      </c>
      <c r="D115">
        <v>14</v>
      </c>
      <c r="E115">
        <v>6</v>
      </c>
      <c r="F115">
        <v>8</v>
      </c>
      <c r="G115">
        <v>0</v>
      </c>
      <c r="H115">
        <v>12</v>
      </c>
      <c r="I115">
        <v>-1E-3</v>
      </c>
      <c r="K115" t="s">
        <v>108</v>
      </c>
      <c r="L115" s="1" t="s">
        <v>108</v>
      </c>
      <c r="M115" t="s">
        <v>23</v>
      </c>
      <c r="N115" t="s">
        <v>30</v>
      </c>
      <c r="O115" t="s">
        <v>121</v>
      </c>
      <c r="P115" t="s">
        <v>121</v>
      </c>
    </row>
    <row r="116" spans="1:16" x14ac:dyDescent="0.25">
      <c r="A116">
        <v>2021</v>
      </c>
      <c r="B116">
        <v>7</v>
      </c>
      <c r="C116" t="s">
        <v>9</v>
      </c>
      <c r="D116">
        <v>14</v>
      </c>
      <c r="E116">
        <v>5</v>
      </c>
      <c r="F116">
        <v>9</v>
      </c>
      <c r="G116">
        <v>0</v>
      </c>
      <c r="H116">
        <v>10</v>
      </c>
      <c r="I116">
        <v>-0.99299999999999999</v>
      </c>
      <c r="K116" t="s">
        <v>108</v>
      </c>
      <c r="L116" s="1" t="s">
        <v>108</v>
      </c>
      <c r="M116" t="s">
        <v>9</v>
      </c>
      <c r="N116" t="s">
        <v>30</v>
      </c>
      <c r="O116" t="s">
        <v>122</v>
      </c>
      <c r="P116" t="s">
        <v>123</v>
      </c>
    </row>
    <row r="117" spans="1:16" x14ac:dyDescent="0.25">
      <c r="A117">
        <v>2021</v>
      </c>
      <c r="B117">
        <v>8</v>
      </c>
      <c r="C117" t="s">
        <v>19</v>
      </c>
      <c r="D117">
        <v>14</v>
      </c>
      <c r="E117">
        <v>3</v>
      </c>
      <c r="F117">
        <v>11</v>
      </c>
      <c r="G117">
        <v>0</v>
      </c>
      <c r="H117">
        <v>6</v>
      </c>
      <c r="I117">
        <v>-0.54500000000000004</v>
      </c>
      <c r="K117" t="s">
        <v>108</v>
      </c>
      <c r="L117" s="1" t="s">
        <v>108</v>
      </c>
      <c r="M117" t="s">
        <v>19</v>
      </c>
      <c r="N117" t="s">
        <v>30</v>
      </c>
      <c r="O117" t="s">
        <v>126</v>
      </c>
      <c r="P117" t="s">
        <v>127</v>
      </c>
    </row>
    <row r="118" spans="1:16" x14ac:dyDescent="0.25">
      <c r="A118">
        <v>2022</v>
      </c>
      <c r="B118">
        <v>1</v>
      </c>
      <c r="C118" t="s">
        <v>24</v>
      </c>
      <c r="D118">
        <v>14</v>
      </c>
      <c r="E118">
        <v>10</v>
      </c>
      <c r="F118">
        <v>4</v>
      </c>
      <c r="G118">
        <v>0</v>
      </c>
      <c r="H118">
        <v>20</v>
      </c>
      <c r="I118">
        <v>0.316</v>
      </c>
      <c r="J118" t="s">
        <v>30</v>
      </c>
      <c r="K118" t="s">
        <v>30</v>
      </c>
      <c r="L118" s="1" t="s">
        <v>30</v>
      </c>
      <c r="M118" t="s">
        <v>24</v>
      </c>
      <c r="N118" t="s">
        <v>30</v>
      </c>
      <c r="O118" t="s">
        <v>113</v>
      </c>
      <c r="P118" t="s">
        <v>114</v>
      </c>
    </row>
    <row r="119" spans="1:16" x14ac:dyDescent="0.25">
      <c r="A119">
        <v>2022</v>
      </c>
      <c r="B119">
        <v>2</v>
      </c>
      <c r="C119" t="s">
        <v>9</v>
      </c>
      <c r="D119">
        <v>14</v>
      </c>
      <c r="E119">
        <v>9</v>
      </c>
      <c r="F119">
        <v>5</v>
      </c>
      <c r="G119">
        <v>0</v>
      </c>
      <c r="H119">
        <v>18</v>
      </c>
      <c r="I119">
        <v>0.29799999999999999</v>
      </c>
      <c r="J119" t="s">
        <v>30</v>
      </c>
      <c r="K119" t="s">
        <v>30</v>
      </c>
      <c r="L119" s="1" t="s">
        <v>108</v>
      </c>
      <c r="M119" t="s">
        <v>9</v>
      </c>
      <c r="N119" t="s">
        <v>30</v>
      </c>
      <c r="O119" t="s">
        <v>122</v>
      </c>
      <c r="P119" t="s">
        <v>123</v>
      </c>
    </row>
    <row r="120" spans="1:16" x14ac:dyDescent="0.25">
      <c r="A120">
        <v>2022</v>
      </c>
      <c r="B120">
        <v>3</v>
      </c>
      <c r="C120" t="s">
        <v>25</v>
      </c>
      <c r="D120">
        <v>14</v>
      </c>
      <c r="E120">
        <v>9</v>
      </c>
      <c r="F120">
        <v>5</v>
      </c>
      <c r="G120">
        <v>0</v>
      </c>
      <c r="H120">
        <v>18</v>
      </c>
      <c r="I120">
        <v>0.251</v>
      </c>
      <c r="J120" t="s">
        <v>30</v>
      </c>
      <c r="K120" t="s">
        <v>108</v>
      </c>
      <c r="L120" s="1" t="s">
        <v>108</v>
      </c>
      <c r="M120" t="s">
        <v>25</v>
      </c>
      <c r="N120" t="s">
        <v>30</v>
      </c>
      <c r="O120" t="s">
        <v>117</v>
      </c>
      <c r="P120" t="s">
        <v>118</v>
      </c>
    </row>
    <row r="121" spans="1:16" x14ac:dyDescent="0.25">
      <c r="A121">
        <v>2022</v>
      </c>
      <c r="B121">
        <v>4</v>
      </c>
      <c r="C121" t="s">
        <v>15</v>
      </c>
      <c r="D121">
        <v>14</v>
      </c>
      <c r="E121">
        <v>8</v>
      </c>
      <c r="F121">
        <v>6</v>
      </c>
      <c r="G121">
        <v>0</v>
      </c>
      <c r="H121">
        <v>16</v>
      </c>
      <c r="I121">
        <v>-0.253</v>
      </c>
      <c r="J121" t="s">
        <v>30</v>
      </c>
      <c r="K121" t="s">
        <v>108</v>
      </c>
      <c r="L121" s="1" t="s">
        <v>108</v>
      </c>
      <c r="M121" t="s">
        <v>26</v>
      </c>
      <c r="N121" t="s">
        <v>30</v>
      </c>
      <c r="O121" t="s">
        <v>124</v>
      </c>
      <c r="P121" t="s">
        <v>125</v>
      </c>
    </row>
    <row r="122" spans="1:16" x14ac:dyDescent="0.25">
      <c r="A122">
        <v>2022</v>
      </c>
      <c r="B122">
        <v>5</v>
      </c>
      <c r="C122" t="s">
        <v>22</v>
      </c>
      <c r="D122">
        <v>14</v>
      </c>
      <c r="E122">
        <v>7</v>
      </c>
      <c r="F122">
        <v>7</v>
      </c>
      <c r="G122">
        <v>0</v>
      </c>
      <c r="H122">
        <v>14</v>
      </c>
      <c r="I122">
        <v>0.20399999999999999</v>
      </c>
      <c r="K122" t="s">
        <v>108</v>
      </c>
      <c r="L122" s="1" t="s">
        <v>108</v>
      </c>
      <c r="M122" t="s">
        <v>22</v>
      </c>
      <c r="N122" t="s">
        <v>30</v>
      </c>
      <c r="O122" t="s">
        <v>111</v>
      </c>
      <c r="P122" t="s">
        <v>112</v>
      </c>
    </row>
    <row r="123" spans="1:16" x14ac:dyDescent="0.25">
      <c r="A123">
        <v>2022</v>
      </c>
      <c r="B123">
        <v>6</v>
      </c>
      <c r="C123" t="s">
        <v>23</v>
      </c>
      <c r="D123">
        <v>14</v>
      </c>
      <c r="E123">
        <v>7</v>
      </c>
      <c r="F123">
        <v>7</v>
      </c>
      <c r="G123">
        <v>0</v>
      </c>
      <c r="H123">
        <v>14</v>
      </c>
      <c r="I123">
        <v>0.126</v>
      </c>
      <c r="K123" t="s">
        <v>108</v>
      </c>
      <c r="L123" s="1" t="s">
        <v>108</v>
      </c>
      <c r="M123" t="s">
        <v>23</v>
      </c>
      <c r="N123" t="s">
        <v>30</v>
      </c>
      <c r="O123" t="s">
        <v>121</v>
      </c>
      <c r="P123" t="s">
        <v>121</v>
      </c>
    </row>
    <row r="124" spans="1:16" x14ac:dyDescent="0.25">
      <c r="A124">
        <v>2022</v>
      </c>
      <c r="B124">
        <v>7</v>
      </c>
      <c r="C124" t="s">
        <v>14</v>
      </c>
      <c r="D124">
        <v>14</v>
      </c>
      <c r="E124">
        <v>6</v>
      </c>
      <c r="F124">
        <v>8</v>
      </c>
      <c r="G124">
        <v>0</v>
      </c>
      <c r="H124">
        <v>12</v>
      </c>
      <c r="I124">
        <v>0.14599999999999999</v>
      </c>
      <c r="K124" t="s">
        <v>108</v>
      </c>
      <c r="L124" s="1" t="s">
        <v>108</v>
      </c>
      <c r="M124" t="s">
        <v>14</v>
      </c>
      <c r="N124" t="s">
        <v>30</v>
      </c>
      <c r="O124" t="s">
        <v>115</v>
      </c>
      <c r="P124" t="s">
        <v>116</v>
      </c>
    </row>
    <row r="125" spans="1:16" x14ac:dyDescent="0.25">
      <c r="A125">
        <v>2022</v>
      </c>
      <c r="B125">
        <v>8</v>
      </c>
      <c r="C125" t="s">
        <v>19</v>
      </c>
      <c r="D125">
        <v>14</v>
      </c>
      <c r="E125">
        <v>6</v>
      </c>
      <c r="F125">
        <v>8</v>
      </c>
      <c r="G125">
        <v>0</v>
      </c>
      <c r="H125">
        <v>12</v>
      </c>
      <c r="I125">
        <v>-0.379</v>
      </c>
      <c r="K125" t="s">
        <v>108</v>
      </c>
      <c r="L125" s="1" t="s">
        <v>108</v>
      </c>
      <c r="M125" t="s">
        <v>19</v>
      </c>
      <c r="N125" t="s">
        <v>30</v>
      </c>
      <c r="O125" t="s">
        <v>126</v>
      </c>
      <c r="P125" t="s">
        <v>127</v>
      </c>
    </row>
    <row r="126" spans="1:16" x14ac:dyDescent="0.25">
      <c r="A126">
        <v>2022</v>
      </c>
      <c r="B126">
        <v>9</v>
      </c>
      <c r="C126" t="s">
        <v>11</v>
      </c>
      <c r="D126">
        <v>14</v>
      </c>
      <c r="E126">
        <v>4</v>
      </c>
      <c r="F126">
        <v>10</v>
      </c>
      <c r="G126">
        <v>0</v>
      </c>
      <c r="H126">
        <v>8</v>
      </c>
      <c r="I126">
        <v>-0.20300000000000001</v>
      </c>
      <c r="K126" t="s">
        <v>108</v>
      </c>
      <c r="L126" s="1" t="s">
        <v>108</v>
      </c>
      <c r="M126" t="s">
        <v>11</v>
      </c>
      <c r="N126" t="s">
        <v>30</v>
      </c>
      <c r="O126" t="s">
        <v>109</v>
      </c>
      <c r="P126" t="s">
        <v>110</v>
      </c>
    </row>
    <row r="127" spans="1:16" x14ac:dyDescent="0.25">
      <c r="A127">
        <v>2022</v>
      </c>
      <c r="B127">
        <v>10</v>
      </c>
      <c r="C127" t="s">
        <v>13</v>
      </c>
      <c r="D127">
        <v>14</v>
      </c>
      <c r="E127">
        <v>4</v>
      </c>
      <c r="F127">
        <v>10</v>
      </c>
      <c r="G127">
        <v>0</v>
      </c>
      <c r="H127">
        <v>8</v>
      </c>
      <c r="I127">
        <v>-0.50600000000000001</v>
      </c>
      <c r="K127" t="s">
        <v>108</v>
      </c>
      <c r="L127" s="1" t="s">
        <v>108</v>
      </c>
      <c r="M127" t="s">
        <v>13</v>
      </c>
      <c r="N127" t="s">
        <v>30</v>
      </c>
      <c r="O127" t="s">
        <v>119</v>
      </c>
      <c r="P127" t="s">
        <v>120</v>
      </c>
    </row>
    <row r="128" spans="1:16" x14ac:dyDescent="0.25">
      <c r="A128">
        <v>2023</v>
      </c>
      <c r="B128">
        <v>1</v>
      </c>
      <c r="C128" t="s">
        <v>24</v>
      </c>
      <c r="D128">
        <v>14</v>
      </c>
      <c r="E128">
        <v>10</v>
      </c>
      <c r="F128">
        <v>4</v>
      </c>
      <c r="G128">
        <v>0</v>
      </c>
      <c r="H128">
        <v>20</v>
      </c>
      <c r="I128">
        <v>0.80900000000000005</v>
      </c>
      <c r="J128" t="s">
        <v>30</v>
      </c>
      <c r="K128" t="s">
        <v>30</v>
      </c>
      <c r="L128" s="1" t="s">
        <v>108</v>
      </c>
      <c r="M128" t="s">
        <v>24</v>
      </c>
      <c r="N128" t="s">
        <v>30</v>
      </c>
      <c r="O128" t="s">
        <v>113</v>
      </c>
      <c r="P128" t="s">
        <v>114</v>
      </c>
    </row>
    <row r="129" spans="1:16" x14ac:dyDescent="0.25">
      <c r="A129">
        <v>2023</v>
      </c>
      <c r="B129">
        <v>2</v>
      </c>
      <c r="C129" t="s">
        <v>11</v>
      </c>
      <c r="D129">
        <v>14</v>
      </c>
      <c r="E129">
        <v>8</v>
      </c>
      <c r="F129">
        <v>5</v>
      </c>
      <c r="G129">
        <v>1</v>
      </c>
      <c r="H129">
        <v>17</v>
      </c>
      <c r="I129">
        <v>0.65200000000000002</v>
      </c>
      <c r="J129" t="s">
        <v>30</v>
      </c>
      <c r="K129" t="s">
        <v>30</v>
      </c>
      <c r="L129" s="1" t="s">
        <v>30</v>
      </c>
      <c r="M129" t="s">
        <v>11</v>
      </c>
      <c r="N129" t="s">
        <v>30</v>
      </c>
      <c r="O129" t="s">
        <v>109</v>
      </c>
      <c r="P129" t="s">
        <v>110</v>
      </c>
    </row>
    <row r="130" spans="1:16" x14ac:dyDescent="0.25">
      <c r="A130">
        <v>2023</v>
      </c>
      <c r="B130">
        <v>3</v>
      </c>
      <c r="C130" t="s">
        <v>25</v>
      </c>
      <c r="D130">
        <v>14</v>
      </c>
      <c r="E130">
        <v>8</v>
      </c>
      <c r="F130">
        <v>5</v>
      </c>
      <c r="G130">
        <v>1</v>
      </c>
      <c r="H130">
        <v>17</v>
      </c>
      <c r="I130">
        <v>0.28399999999999997</v>
      </c>
      <c r="J130" t="s">
        <v>30</v>
      </c>
      <c r="K130" t="s">
        <v>108</v>
      </c>
      <c r="L130" s="1" t="s">
        <v>108</v>
      </c>
      <c r="M130" t="s">
        <v>25</v>
      </c>
      <c r="N130" t="s">
        <v>30</v>
      </c>
      <c r="O130" t="s">
        <v>117</v>
      </c>
      <c r="P130" t="s">
        <v>118</v>
      </c>
    </row>
    <row r="131" spans="1:16" x14ac:dyDescent="0.25">
      <c r="A131">
        <v>2023</v>
      </c>
      <c r="B131">
        <v>4</v>
      </c>
      <c r="C131" t="s">
        <v>13</v>
      </c>
      <c r="D131">
        <v>14</v>
      </c>
      <c r="E131">
        <v>8</v>
      </c>
      <c r="F131">
        <v>6</v>
      </c>
      <c r="G131">
        <v>0</v>
      </c>
      <c r="H131">
        <v>16</v>
      </c>
      <c r="I131">
        <v>-4.3999999999999997E-2</v>
      </c>
      <c r="J131" t="s">
        <v>30</v>
      </c>
      <c r="K131" t="s">
        <v>108</v>
      </c>
      <c r="L131" s="1" t="s">
        <v>108</v>
      </c>
      <c r="M131" t="s">
        <v>13</v>
      </c>
      <c r="N131" t="s">
        <v>30</v>
      </c>
      <c r="O131" t="s">
        <v>119</v>
      </c>
      <c r="P131" t="s">
        <v>120</v>
      </c>
    </row>
    <row r="132" spans="1:16" x14ac:dyDescent="0.25">
      <c r="A132">
        <v>2023</v>
      </c>
      <c r="B132">
        <v>5</v>
      </c>
      <c r="C132" t="s">
        <v>9</v>
      </c>
      <c r="D132">
        <v>14</v>
      </c>
      <c r="E132">
        <v>7</v>
      </c>
      <c r="F132">
        <v>7</v>
      </c>
      <c r="G132">
        <v>0</v>
      </c>
      <c r="H132">
        <v>14</v>
      </c>
      <c r="I132">
        <v>0.14799999999999999</v>
      </c>
      <c r="K132" t="s">
        <v>108</v>
      </c>
      <c r="L132" s="1" t="s">
        <v>108</v>
      </c>
      <c r="M132" t="s">
        <v>9</v>
      </c>
      <c r="N132" t="s">
        <v>30</v>
      </c>
      <c r="O132" t="s">
        <v>122</v>
      </c>
      <c r="P132" t="s">
        <v>123</v>
      </c>
    </row>
    <row r="133" spans="1:16" x14ac:dyDescent="0.25">
      <c r="A133">
        <v>2023</v>
      </c>
      <c r="B133">
        <v>6</v>
      </c>
      <c r="C133" t="s">
        <v>15</v>
      </c>
      <c r="D133">
        <v>14</v>
      </c>
      <c r="E133">
        <v>7</v>
      </c>
      <c r="F133">
        <v>7</v>
      </c>
      <c r="G133">
        <v>0</v>
      </c>
      <c r="H133">
        <v>14</v>
      </c>
      <c r="I133">
        <v>0.13500000000000001</v>
      </c>
      <c r="K133" t="s">
        <v>108</v>
      </c>
      <c r="L133" s="1" t="s">
        <v>108</v>
      </c>
      <c r="M133" t="s">
        <v>26</v>
      </c>
      <c r="N133" t="s">
        <v>30</v>
      </c>
      <c r="O133" t="s">
        <v>124</v>
      </c>
      <c r="P133" t="s">
        <v>125</v>
      </c>
    </row>
    <row r="134" spans="1:16" x14ac:dyDescent="0.25">
      <c r="A134">
        <v>2023</v>
      </c>
      <c r="B134">
        <v>7</v>
      </c>
      <c r="C134" t="s">
        <v>14</v>
      </c>
      <c r="D134">
        <v>14</v>
      </c>
      <c r="E134">
        <v>6</v>
      </c>
      <c r="F134">
        <v>8</v>
      </c>
      <c r="G134">
        <v>0</v>
      </c>
      <c r="H134">
        <v>12</v>
      </c>
      <c r="I134">
        <v>-0.23899999999999999</v>
      </c>
      <c r="K134" t="s">
        <v>108</v>
      </c>
      <c r="L134" s="1" t="s">
        <v>108</v>
      </c>
      <c r="M134" t="s">
        <v>14</v>
      </c>
      <c r="N134" t="s">
        <v>30</v>
      </c>
      <c r="O134" t="s">
        <v>115</v>
      </c>
      <c r="P134" t="s">
        <v>116</v>
      </c>
    </row>
    <row r="135" spans="1:16" x14ac:dyDescent="0.25">
      <c r="A135">
        <v>2023</v>
      </c>
      <c r="B135">
        <v>8</v>
      </c>
      <c r="C135" t="s">
        <v>23</v>
      </c>
      <c r="D135">
        <v>14</v>
      </c>
      <c r="E135">
        <v>6</v>
      </c>
      <c r="F135">
        <v>8</v>
      </c>
      <c r="G135">
        <v>0</v>
      </c>
      <c r="H135">
        <v>12</v>
      </c>
      <c r="I135">
        <v>-0.30399999999999999</v>
      </c>
      <c r="K135" t="s">
        <v>108</v>
      </c>
      <c r="L135" s="1" t="s">
        <v>108</v>
      </c>
      <c r="M135" t="s">
        <v>23</v>
      </c>
      <c r="N135" t="s">
        <v>30</v>
      </c>
      <c r="O135" t="s">
        <v>121</v>
      </c>
      <c r="P135" t="s">
        <v>121</v>
      </c>
    </row>
    <row r="136" spans="1:16" x14ac:dyDescent="0.25">
      <c r="A136">
        <v>2023</v>
      </c>
      <c r="B136">
        <v>9</v>
      </c>
      <c r="C136" t="s">
        <v>22</v>
      </c>
      <c r="D136">
        <v>14</v>
      </c>
      <c r="E136">
        <v>5</v>
      </c>
      <c r="F136">
        <v>9</v>
      </c>
      <c r="G136">
        <v>0</v>
      </c>
      <c r="H136">
        <v>10</v>
      </c>
      <c r="I136">
        <v>-0.80800000000000005</v>
      </c>
      <c r="K136" t="s">
        <v>108</v>
      </c>
      <c r="L136" s="1" t="s">
        <v>108</v>
      </c>
      <c r="M136" t="s">
        <v>22</v>
      </c>
      <c r="N136" t="s">
        <v>30</v>
      </c>
      <c r="O136" t="s">
        <v>111</v>
      </c>
      <c r="P136" t="s">
        <v>112</v>
      </c>
    </row>
    <row r="137" spans="1:16" x14ac:dyDescent="0.25">
      <c r="A137">
        <v>2023</v>
      </c>
      <c r="B137">
        <v>10</v>
      </c>
      <c r="C137" t="s">
        <v>19</v>
      </c>
      <c r="D137">
        <v>14</v>
      </c>
      <c r="E137">
        <v>4</v>
      </c>
      <c r="F137">
        <v>10</v>
      </c>
      <c r="G137">
        <v>0</v>
      </c>
      <c r="H137">
        <v>8</v>
      </c>
      <c r="I137">
        <v>-0.59</v>
      </c>
      <c r="K137" t="s">
        <v>108</v>
      </c>
      <c r="L137" s="1" t="s">
        <v>108</v>
      </c>
      <c r="M137" t="s">
        <v>19</v>
      </c>
      <c r="N137" t="s">
        <v>30</v>
      </c>
      <c r="O137" t="s">
        <v>126</v>
      </c>
      <c r="P137" t="s">
        <v>127</v>
      </c>
    </row>
    <row r="138" spans="1:16" x14ac:dyDescent="0.25">
      <c r="A138">
        <v>2024</v>
      </c>
      <c r="B138">
        <v>1</v>
      </c>
      <c r="C138" t="s">
        <v>14</v>
      </c>
      <c r="D138">
        <v>14</v>
      </c>
      <c r="E138">
        <v>9</v>
      </c>
      <c r="F138">
        <v>3</v>
      </c>
      <c r="G138">
        <v>2</v>
      </c>
      <c r="H138">
        <v>20</v>
      </c>
      <c r="I138">
        <v>1.4279999999999999</v>
      </c>
      <c r="J138" t="s">
        <v>30</v>
      </c>
      <c r="K138" t="s">
        <v>30</v>
      </c>
      <c r="L138" s="1" t="s">
        <v>30</v>
      </c>
      <c r="M138" t="s">
        <v>14</v>
      </c>
      <c r="N138" t="s">
        <v>30</v>
      </c>
      <c r="O138" t="s">
        <v>115</v>
      </c>
      <c r="P138" t="s">
        <v>116</v>
      </c>
    </row>
    <row r="139" spans="1:16" x14ac:dyDescent="0.25">
      <c r="A139">
        <v>2024</v>
      </c>
      <c r="B139">
        <v>2</v>
      </c>
      <c r="C139" t="s">
        <v>19</v>
      </c>
      <c r="D139">
        <v>14</v>
      </c>
      <c r="E139">
        <v>8</v>
      </c>
      <c r="F139">
        <v>5</v>
      </c>
      <c r="G139">
        <v>1</v>
      </c>
      <c r="H139">
        <v>17</v>
      </c>
      <c r="I139">
        <v>0.41399999999999998</v>
      </c>
      <c r="J139" t="s">
        <v>30</v>
      </c>
      <c r="K139" t="s">
        <v>30</v>
      </c>
      <c r="L139" s="1" t="s">
        <v>108</v>
      </c>
      <c r="M139" t="s">
        <v>19</v>
      </c>
      <c r="N139" t="s">
        <v>30</v>
      </c>
      <c r="O139" t="s">
        <v>126</v>
      </c>
      <c r="P139" t="s">
        <v>127</v>
      </c>
    </row>
    <row r="140" spans="1:16" x14ac:dyDescent="0.25">
      <c r="A140">
        <v>2024</v>
      </c>
      <c r="B140">
        <v>3</v>
      </c>
      <c r="C140" t="s">
        <v>9</v>
      </c>
      <c r="D140">
        <v>14</v>
      </c>
      <c r="E140">
        <v>8</v>
      </c>
      <c r="F140">
        <v>5</v>
      </c>
      <c r="G140">
        <v>1</v>
      </c>
      <c r="H140">
        <v>17</v>
      </c>
      <c r="I140">
        <v>0.27300000000000002</v>
      </c>
      <c r="J140" t="s">
        <v>30</v>
      </c>
      <c r="K140" t="s">
        <v>108</v>
      </c>
      <c r="L140" s="1" t="s">
        <v>108</v>
      </c>
      <c r="M140" t="s">
        <v>9</v>
      </c>
      <c r="N140" t="s">
        <v>30</v>
      </c>
      <c r="O140" t="s">
        <v>122</v>
      </c>
      <c r="P140" t="s">
        <v>123</v>
      </c>
    </row>
    <row r="141" spans="1:16" x14ac:dyDescent="0.25">
      <c r="A141">
        <v>2024</v>
      </c>
      <c r="B141">
        <v>4</v>
      </c>
      <c r="C141" t="s">
        <v>26</v>
      </c>
      <c r="D141">
        <v>14</v>
      </c>
      <c r="E141">
        <v>7</v>
      </c>
      <c r="F141">
        <v>7</v>
      </c>
      <c r="G141">
        <v>0</v>
      </c>
      <c r="H141">
        <v>14</v>
      </c>
      <c r="I141">
        <v>0.45900000000000002</v>
      </c>
      <c r="J141" t="s">
        <v>30</v>
      </c>
      <c r="K141" t="s">
        <v>108</v>
      </c>
      <c r="L141" s="1" t="s">
        <v>108</v>
      </c>
      <c r="M141" t="s">
        <v>26</v>
      </c>
      <c r="N141" t="s">
        <v>30</v>
      </c>
      <c r="O141" t="s">
        <v>124</v>
      </c>
      <c r="P141" t="s">
        <v>125</v>
      </c>
    </row>
    <row r="142" spans="1:16" x14ac:dyDescent="0.25">
      <c r="A142">
        <v>2024</v>
      </c>
      <c r="B142">
        <v>5</v>
      </c>
      <c r="C142" t="s">
        <v>11</v>
      </c>
      <c r="D142">
        <v>14</v>
      </c>
      <c r="E142">
        <v>7</v>
      </c>
      <c r="F142">
        <v>7</v>
      </c>
      <c r="G142">
        <v>0</v>
      </c>
      <c r="H142">
        <v>14</v>
      </c>
      <c r="I142">
        <v>0.39200000000000002</v>
      </c>
      <c r="K142" t="s">
        <v>108</v>
      </c>
      <c r="L142" s="1" t="s">
        <v>108</v>
      </c>
      <c r="M142" t="s">
        <v>11</v>
      </c>
      <c r="N142" t="s">
        <v>30</v>
      </c>
      <c r="O142" t="s">
        <v>109</v>
      </c>
      <c r="P142" t="s">
        <v>110</v>
      </c>
    </row>
    <row r="143" spans="1:16" x14ac:dyDescent="0.25">
      <c r="A143">
        <v>2024</v>
      </c>
      <c r="B143">
        <v>6</v>
      </c>
      <c r="C143" t="s">
        <v>22</v>
      </c>
      <c r="D143">
        <v>14</v>
      </c>
      <c r="E143">
        <v>7</v>
      </c>
      <c r="F143">
        <v>7</v>
      </c>
      <c r="G143">
        <v>0</v>
      </c>
      <c r="H143">
        <v>14</v>
      </c>
      <c r="I143">
        <v>-0.377</v>
      </c>
      <c r="K143" t="s">
        <v>108</v>
      </c>
      <c r="L143" s="1" t="s">
        <v>108</v>
      </c>
      <c r="M143" t="s">
        <v>22</v>
      </c>
      <c r="N143" t="s">
        <v>30</v>
      </c>
      <c r="O143" t="s">
        <v>111</v>
      </c>
      <c r="P143" t="s">
        <v>112</v>
      </c>
    </row>
    <row r="144" spans="1:16" x14ac:dyDescent="0.25">
      <c r="A144">
        <v>2024</v>
      </c>
      <c r="B144">
        <v>7</v>
      </c>
      <c r="C144" t="s">
        <v>25</v>
      </c>
      <c r="D144">
        <v>14</v>
      </c>
      <c r="E144">
        <v>7</v>
      </c>
      <c r="F144">
        <v>7</v>
      </c>
      <c r="G144">
        <v>0</v>
      </c>
      <c r="H144">
        <v>14</v>
      </c>
      <c r="I144">
        <v>-0.66700000000000004</v>
      </c>
      <c r="K144" t="s">
        <v>108</v>
      </c>
      <c r="L144" s="1" t="s">
        <v>108</v>
      </c>
      <c r="M144" t="s">
        <v>25</v>
      </c>
      <c r="N144" t="s">
        <v>30</v>
      </c>
      <c r="O144" t="s">
        <v>117</v>
      </c>
      <c r="P144" t="s">
        <v>118</v>
      </c>
    </row>
    <row r="145" spans="1:16" x14ac:dyDescent="0.25">
      <c r="A145">
        <v>2024</v>
      </c>
      <c r="B145">
        <v>8</v>
      </c>
      <c r="C145" t="s">
        <v>24</v>
      </c>
      <c r="D145">
        <v>14</v>
      </c>
      <c r="E145">
        <v>5</v>
      </c>
      <c r="F145">
        <v>7</v>
      </c>
      <c r="G145">
        <v>2</v>
      </c>
      <c r="H145">
        <v>12</v>
      </c>
      <c r="I145">
        <v>-1.0629999999999999</v>
      </c>
      <c r="K145" t="s">
        <v>108</v>
      </c>
      <c r="L145" s="1" t="s">
        <v>108</v>
      </c>
      <c r="M145" t="s">
        <v>24</v>
      </c>
      <c r="N145" t="s">
        <v>30</v>
      </c>
      <c r="O145" t="s">
        <v>113</v>
      </c>
      <c r="P145" t="s">
        <v>114</v>
      </c>
    </row>
    <row r="146" spans="1:16" x14ac:dyDescent="0.25">
      <c r="A146">
        <v>2024</v>
      </c>
      <c r="B146">
        <v>9</v>
      </c>
      <c r="C146" t="s">
        <v>23</v>
      </c>
      <c r="D146">
        <v>14</v>
      </c>
      <c r="E146">
        <v>5</v>
      </c>
      <c r="F146">
        <v>9</v>
      </c>
      <c r="G146">
        <v>0</v>
      </c>
      <c r="H146">
        <v>10</v>
      </c>
      <c r="I146">
        <v>-0.35299999999999998</v>
      </c>
      <c r="K146" t="s">
        <v>108</v>
      </c>
      <c r="L146" s="1" t="s">
        <v>108</v>
      </c>
      <c r="M146" t="s">
        <v>23</v>
      </c>
      <c r="N146" t="s">
        <v>30</v>
      </c>
      <c r="O146" t="s">
        <v>121</v>
      </c>
      <c r="P146" t="s">
        <v>121</v>
      </c>
    </row>
    <row r="147" spans="1:16" x14ac:dyDescent="0.25">
      <c r="A147">
        <v>2024</v>
      </c>
      <c r="B147">
        <v>10</v>
      </c>
      <c r="C147" t="s">
        <v>13</v>
      </c>
      <c r="D147">
        <v>14</v>
      </c>
      <c r="E147">
        <v>4</v>
      </c>
      <c r="F147">
        <v>10</v>
      </c>
      <c r="G147">
        <v>0</v>
      </c>
      <c r="H147">
        <v>8</v>
      </c>
      <c r="I147">
        <v>-0.318</v>
      </c>
      <c r="K147" t="s">
        <v>108</v>
      </c>
      <c r="L147" s="1" t="s">
        <v>108</v>
      </c>
      <c r="M147" t="s">
        <v>13</v>
      </c>
      <c r="N147" t="s">
        <v>30</v>
      </c>
      <c r="O147" t="s">
        <v>119</v>
      </c>
      <c r="P147" t="s">
        <v>120</v>
      </c>
    </row>
    <row r="148" spans="1:16" x14ac:dyDescent="0.25">
      <c r="A148">
        <v>2025</v>
      </c>
      <c r="B148">
        <v>1</v>
      </c>
      <c r="C148" t="s">
        <v>23</v>
      </c>
      <c r="D148">
        <v>14</v>
      </c>
      <c r="E148">
        <v>9</v>
      </c>
      <c r="F148">
        <v>4</v>
      </c>
      <c r="G148">
        <v>1</v>
      </c>
      <c r="H148">
        <v>19</v>
      </c>
      <c r="I148">
        <v>0.372</v>
      </c>
      <c r="J148" t="s">
        <v>30</v>
      </c>
      <c r="K148" t="s">
        <v>30</v>
      </c>
      <c r="L148" s="1" t="s">
        <v>108</v>
      </c>
      <c r="M148" t="s">
        <v>23</v>
      </c>
      <c r="N148" t="s">
        <v>30</v>
      </c>
      <c r="O148" t="s">
        <v>121</v>
      </c>
      <c r="P148" t="s">
        <v>121</v>
      </c>
    </row>
    <row r="149" spans="1:16" x14ac:dyDescent="0.25">
      <c r="A149">
        <v>2025</v>
      </c>
      <c r="B149">
        <v>2</v>
      </c>
      <c r="C149" t="s">
        <v>26</v>
      </c>
      <c r="D149">
        <v>14</v>
      </c>
      <c r="E149">
        <v>9</v>
      </c>
      <c r="F149">
        <v>4</v>
      </c>
      <c r="G149">
        <v>1</v>
      </c>
      <c r="H149">
        <v>19</v>
      </c>
      <c r="I149">
        <v>0.30099999999999999</v>
      </c>
      <c r="J149" t="s">
        <v>30</v>
      </c>
      <c r="K149" t="s">
        <v>30</v>
      </c>
      <c r="L149" s="1" t="s">
        <v>30</v>
      </c>
      <c r="M149" t="s">
        <v>26</v>
      </c>
      <c r="N149" t="s">
        <v>30</v>
      </c>
      <c r="O149" t="s">
        <v>124</v>
      </c>
      <c r="P149" t="s">
        <v>125</v>
      </c>
    </row>
    <row r="150" spans="1:16" x14ac:dyDescent="0.25">
      <c r="A150">
        <v>2025</v>
      </c>
      <c r="B150">
        <v>3</v>
      </c>
      <c r="C150" t="s">
        <v>24</v>
      </c>
      <c r="D150">
        <v>14</v>
      </c>
      <c r="E150">
        <v>9</v>
      </c>
      <c r="F150">
        <v>5</v>
      </c>
      <c r="G150">
        <v>0</v>
      </c>
      <c r="H150">
        <v>18</v>
      </c>
      <c r="I150">
        <v>0.254</v>
      </c>
      <c r="J150" t="s">
        <v>30</v>
      </c>
      <c r="K150" t="s">
        <v>108</v>
      </c>
      <c r="L150" s="1" t="s">
        <v>108</v>
      </c>
      <c r="M150" t="s">
        <v>24</v>
      </c>
      <c r="N150" t="s">
        <v>30</v>
      </c>
      <c r="O150" t="s">
        <v>113</v>
      </c>
      <c r="P150" t="s">
        <v>114</v>
      </c>
    </row>
    <row r="151" spans="1:16" x14ac:dyDescent="0.25">
      <c r="A151">
        <v>2025</v>
      </c>
      <c r="B151">
        <v>4</v>
      </c>
      <c r="C151" t="s">
        <v>13</v>
      </c>
      <c r="D151">
        <v>14</v>
      </c>
      <c r="E151">
        <v>8</v>
      </c>
      <c r="F151">
        <v>6</v>
      </c>
      <c r="G151">
        <v>0</v>
      </c>
      <c r="H151">
        <v>16</v>
      </c>
      <c r="I151">
        <v>1.1419999999999999</v>
      </c>
      <c r="J151" t="s">
        <v>30</v>
      </c>
      <c r="K151" t="s">
        <v>108</v>
      </c>
      <c r="L151" s="1" t="s">
        <v>108</v>
      </c>
      <c r="M151" t="s">
        <v>13</v>
      </c>
      <c r="N151" t="s">
        <v>30</v>
      </c>
      <c r="O151" t="s">
        <v>119</v>
      </c>
      <c r="P151" t="s">
        <v>120</v>
      </c>
    </row>
    <row r="152" spans="1:16" x14ac:dyDescent="0.25">
      <c r="A152">
        <v>2025</v>
      </c>
      <c r="B152">
        <v>5</v>
      </c>
      <c r="C152" t="s">
        <v>22</v>
      </c>
      <c r="D152">
        <v>14</v>
      </c>
      <c r="E152">
        <v>7</v>
      </c>
      <c r="F152">
        <v>6</v>
      </c>
      <c r="G152">
        <v>1</v>
      </c>
      <c r="H152">
        <v>15</v>
      </c>
      <c r="I152">
        <v>1.0999999999999999E-2</v>
      </c>
      <c r="K152" t="s">
        <v>108</v>
      </c>
      <c r="L152" s="1" t="s">
        <v>108</v>
      </c>
      <c r="M152" t="s">
        <v>22</v>
      </c>
      <c r="N152" t="s">
        <v>30</v>
      </c>
      <c r="O152" t="s">
        <v>111</v>
      </c>
      <c r="P152" t="s">
        <v>112</v>
      </c>
    </row>
    <row r="153" spans="1:16" x14ac:dyDescent="0.25">
      <c r="A153">
        <v>2025</v>
      </c>
      <c r="B153">
        <v>6</v>
      </c>
      <c r="C153" t="s">
        <v>19</v>
      </c>
      <c r="D153">
        <v>14</v>
      </c>
      <c r="E153">
        <v>6</v>
      </c>
      <c r="F153">
        <v>7</v>
      </c>
      <c r="G153">
        <v>1</v>
      </c>
      <c r="H153">
        <v>13</v>
      </c>
      <c r="I153">
        <v>-0.24099999999999999</v>
      </c>
      <c r="K153" t="s">
        <v>108</v>
      </c>
      <c r="L153" s="1" t="s">
        <v>108</v>
      </c>
      <c r="M153" t="s">
        <v>19</v>
      </c>
      <c r="N153" t="s">
        <v>30</v>
      </c>
      <c r="O153" t="s">
        <v>126</v>
      </c>
      <c r="P153" t="s">
        <v>127</v>
      </c>
    </row>
    <row r="154" spans="1:16" x14ac:dyDescent="0.25">
      <c r="A154">
        <v>2025</v>
      </c>
      <c r="B154">
        <v>7</v>
      </c>
      <c r="C154" t="s">
        <v>25</v>
      </c>
      <c r="D154">
        <v>14</v>
      </c>
      <c r="E154">
        <v>6</v>
      </c>
      <c r="F154">
        <v>8</v>
      </c>
      <c r="G154">
        <v>0</v>
      </c>
      <c r="H154">
        <v>12</v>
      </c>
      <c r="I154">
        <v>-0.376</v>
      </c>
      <c r="K154" t="s">
        <v>108</v>
      </c>
      <c r="L154" s="1" t="s">
        <v>108</v>
      </c>
      <c r="M154" t="s">
        <v>25</v>
      </c>
      <c r="N154" t="s">
        <v>30</v>
      </c>
      <c r="O154" t="s">
        <v>117</v>
      </c>
      <c r="P154" t="s">
        <v>118</v>
      </c>
    </row>
    <row r="155" spans="1:16" x14ac:dyDescent="0.25">
      <c r="A155">
        <v>2025</v>
      </c>
      <c r="B155">
        <v>8</v>
      </c>
      <c r="C155" t="s">
        <v>14</v>
      </c>
      <c r="D155">
        <v>14</v>
      </c>
      <c r="E155">
        <v>5</v>
      </c>
      <c r="F155">
        <v>7</v>
      </c>
      <c r="G155">
        <v>2</v>
      </c>
      <c r="H155">
        <v>12</v>
      </c>
      <c r="I155">
        <v>-0.30499999999999999</v>
      </c>
      <c r="K155" t="s">
        <v>108</v>
      </c>
      <c r="L155" s="1" t="s">
        <v>108</v>
      </c>
      <c r="M155" t="s">
        <v>14</v>
      </c>
      <c r="N155" t="s">
        <v>30</v>
      </c>
      <c r="O155" t="s">
        <v>115</v>
      </c>
      <c r="P155" t="s">
        <v>116</v>
      </c>
    </row>
    <row r="156" spans="1:16" x14ac:dyDescent="0.25">
      <c r="A156">
        <v>2025</v>
      </c>
      <c r="B156">
        <v>9</v>
      </c>
      <c r="C156" t="s">
        <v>9</v>
      </c>
      <c r="D156">
        <v>14</v>
      </c>
      <c r="E156">
        <v>4</v>
      </c>
      <c r="F156">
        <v>10</v>
      </c>
      <c r="G156">
        <v>0</v>
      </c>
      <c r="H156">
        <v>8</v>
      </c>
      <c r="I156">
        <v>-0.54900000000000004</v>
      </c>
      <c r="K156" t="s">
        <v>108</v>
      </c>
      <c r="L156" s="1" t="s">
        <v>108</v>
      </c>
      <c r="M156" t="s">
        <v>9</v>
      </c>
      <c r="N156" t="s">
        <v>30</v>
      </c>
      <c r="O156" t="s">
        <v>122</v>
      </c>
      <c r="P156" t="s">
        <v>123</v>
      </c>
    </row>
    <row r="157" spans="1:16" x14ac:dyDescent="0.25">
      <c r="A157">
        <v>2025</v>
      </c>
      <c r="B157">
        <v>10</v>
      </c>
      <c r="C157" t="s">
        <v>11</v>
      </c>
      <c r="D157">
        <v>14</v>
      </c>
      <c r="E157">
        <v>4</v>
      </c>
      <c r="F157">
        <v>10</v>
      </c>
      <c r="G157">
        <v>0</v>
      </c>
      <c r="H157">
        <v>8</v>
      </c>
      <c r="I157">
        <v>-0.64700000000000002</v>
      </c>
      <c r="K157" t="s">
        <v>108</v>
      </c>
      <c r="L157" s="1" t="s">
        <v>108</v>
      </c>
      <c r="M157" t="s">
        <v>11</v>
      </c>
      <c r="N157" t="s">
        <v>30</v>
      </c>
      <c r="O157" t="s">
        <v>109</v>
      </c>
      <c r="P157" t="s">
        <v>110</v>
      </c>
    </row>
    <row r="158" spans="1:16" x14ac:dyDescent="0.25">
      <c r="A158">
        <v>2026</v>
      </c>
      <c r="B158">
        <v>1</v>
      </c>
      <c r="C158" t="s">
        <v>26</v>
      </c>
      <c r="D158">
        <v>14</v>
      </c>
      <c r="E158">
        <v>9</v>
      </c>
      <c r="F158">
        <v>5</v>
      </c>
      <c r="G158">
        <v>0</v>
      </c>
      <c r="H158">
        <v>18</v>
      </c>
      <c r="I158">
        <v>0.78300000000000003</v>
      </c>
      <c r="J158" t="s">
        <v>30</v>
      </c>
      <c r="K158" t="s">
        <v>30</v>
      </c>
      <c r="L158" s="1" t="s">
        <v>30</v>
      </c>
      <c r="M158" t="s">
        <v>26</v>
      </c>
      <c r="N158" t="s">
        <v>30</v>
      </c>
      <c r="O158" t="s">
        <v>124</v>
      </c>
      <c r="P158" t="s">
        <v>125</v>
      </c>
    </row>
    <row r="159" spans="1:16" x14ac:dyDescent="0.25">
      <c r="A159">
        <v>2026</v>
      </c>
      <c r="B159">
        <v>2</v>
      </c>
      <c r="C159" t="s">
        <v>24</v>
      </c>
      <c r="D159">
        <v>14</v>
      </c>
      <c r="E159">
        <v>9</v>
      </c>
      <c r="F159">
        <v>5</v>
      </c>
      <c r="G159">
        <v>0</v>
      </c>
      <c r="H159">
        <v>18</v>
      </c>
      <c r="I159">
        <v>0.69499999999999995</v>
      </c>
      <c r="J159" t="s">
        <v>30</v>
      </c>
      <c r="K159" t="s">
        <v>30</v>
      </c>
      <c r="L159" s="1" t="s">
        <v>108</v>
      </c>
      <c r="M159" t="s">
        <v>24</v>
      </c>
      <c r="N159" t="s">
        <v>30</v>
      </c>
      <c r="O159" t="s">
        <v>113</v>
      </c>
      <c r="P159" t="s">
        <v>114</v>
      </c>
    </row>
    <row r="160" spans="1:16" x14ac:dyDescent="0.25">
      <c r="A160">
        <v>2026</v>
      </c>
      <c r="B160">
        <v>3</v>
      </c>
      <c r="C160" t="s">
        <v>19</v>
      </c>
      <c r="D160">
        <v>14</v>
      </c>
      <c r="E160">
        <v>9</v>
      </c>
      <c r="F160">
        <v>5</v>
      </c>
      <c r="G160">
        <v>0</v>
      </c>
      <c r="H160">
        <v>18</v>
      </c>
      <c r="I160">
        <v>0.52400000000000002</v>
      </c>
      <c r="J160" t="s">
        <v>30</v>
      </c>
      <c r="K160" t="s">
        <v>108</v>
      </c>
      <c r="L160" s="1" t="s">
        <v>108</v>
      </c>
      <c r="M160" t="s">
        <v>19</v>
      </c>
      <c r="N160" t="s">
        <v>30</v>
      </c>
      <c r="O160" t="s">
        <v>126</v>
      </c>
      <c r="P160" t="s">
        <v>127</v>
      </c>
    </row>
    <row r="161" spans="1:16" x14ac:dyDescent="0.25">
      <c r="A161">
        <v>2026</v>
      </c>
      <c r="B161">
        <v>4</v>
      </c>
      <c r="C161" t="s">
        <v>9</v>
      </c>
      <c r="D161">
        <v>14</v>
      </c>
      <c r="E161">
        <v>8</v>
      </c>
      <c r="F161">
        <v>6</v>
      </c>
      <c r="G161">
        <v>0</v>
      </c>
      <c r="H161">
        <v>16</v>
      </c>
      <c r="I161">
        <v>0.189</v>
      </c>
      <c r="J161" t="s">
        <v>30</v>
      </c>
      <c r="K161" t="s">
        <v>108</v>
      </c>
      <c r="L161" s="1" t="s">
        <v>108</v>
      </c>
      <c r="M161" t="s">
        <v>9</v>
      </c>
      <c r="N161" t="s">
        <v>30</v>
      </c>
      <c r="O161" t="s">
        <v>122</v>
      </c>
      <c r="P161" t="s">
        <v>123</v>
      </c>
    </row>
    <row r="162" spans="1:16" x14ac:dyDescent="0.25">
      <c r="A162">
        <v>2026</v>
      </c>
      <c r="B162">
        <v>5</v>
      </c>
      <c r="C162" t="s">
        <v>23</v>
      </c>
      <c r="D162">
        <v>14</v>
      </c>
      <c r="E162">
        <v>7</v>
      </c>
      <c r="F162">
        <v>6</v>
      </c>
      <c r="G162">
        <v>1</v>
      </c>
      <c r="H162">
        <v>15</v>
      </c>
      <c r="I162">
        <v>0.309</v>
      </c>
      <c r="K162" t="s">
        <v>108</v>
      </c>
      <c r="L162" s="1" t="s">
        <v>108</v>
      </c>
      <c r="M162" t="s">
        <v>23</v>
      </c>
      <c r="N162" t="s">
        <v>30</v>
      </c>
      <c r="O162" t="s">
        <v>121</v>
      </c>
      <c r="P162" t="s">
        <v>121</v>
      </c>
    </row>
    <row r="163" spans="1:16" x14ac:dyDescent="0.25">
      <c r="A163">
        <v>2026</v>
      </c>
      <c r="B163">
        <v>6</v>
      </c>
      <c r="C163" t="s">
        <v>22</v>
      </c>
      <c r="D163">
        <v>14</v>
      </c>
      <c r="E163">
        <v>7</v>
      </c>
      <c r="F163">
        <v>7</v>
      </c>
      <c r="G163">
        <v>0</v>
      </c>
      <c r="H163">
        <v>14</v>
      </c>
      <c r="I163">
        <v>-0.65100000000000002</v>
      </c>
      <c r="K163" t="s">
        <v>108</v>
      </c>
      <c r="L163" s="1" t="s">
        <v>108</v>
      </c>
      <c r="M163" t="s">
        <v>22</v>
      </c>
      <c r="N163" t="s">
        <v>30</v>
      </c>
      <c r="O163" t="s">
        <v>111</v>
      </c>
      <c r="P163" t="s">
        <v>112</v>
      </c>
    </row>
    <row r="164" spans="1:16" x14ac:dyDescent="0.25">
      <c r="A164">
        <v>2026</v>
      </c>
      <c r="B164">
        <v>7</v>
      </c>
      <c r="C164" t="s">
        <v>14</v>
      </c>
      <c r="D164">
        <v>14</v>
      </c>
      <c r="E164">
        <v>6</v>
      </c>
      <c r="F164">
        <v>7</v>
      </c>
      <c r="G164">
        <v>1</v>
      </c>
      <c r="H164">
        <v>13</v>
      </c>
      <c r="I164">
        <v>-0.14699999999999999</v>
      </c>
      <c r="K164" t="s">
        <v>108</v>
      </c>
      <c r="L164" s="1" t="s">
        <v>108</v>
      </c>
      <c r="M164" t="s">
        <v>14</v>
      </c>
      <c r="N164" t="s">
        <v>30</v>
      </c>
      <c r="O164" t="s">
        <v>115</v>
      </c>
      <c r="P164" t="s">
        <v>116</v>
      </c>
    </row>
    <row r="165" spans="1:16" x14ac:dyDescent="0.25">
      <c r="A165">
        <v>2026</v>
      </c>
      <c r="B165">
        <v>8</v>
      </c>
      <c r="C165" t="s">
        <v>11</v>
      </c>
      <c r="D165">
        <v>14</v>
      </c>
      <c r="E165">
        <v>6</v>
      </c>
      <c r="F165">
        <v>8</v>
      </c>
      <c r="G165">
        <v>0</v>
      </c>
      <c r="H165">
        <v>12</v>
      </c>
      <c r="I165">
        <v>-0.34499999999999997</v>
      </c>
      <c r="K165" t="s">
        <v>108</v>
      </c>
      <c r="L165" s="1" t="s">
        <v>108</v>
      </c>
      <c r="M165" t="s">
        <v>11</v>
      </c>
      <c r="N165" t="s">
        <v>30</v>
      </c>
      <c r="O165" t="s">
        <v>109</v>
      </c>
      <c r="P165" t="s">
        <v>110</v>
      </c>
    </row>
    <row r="166" spans="1:16" x14ac:dyDescent="0.25">
      <c r="A166">
        <v>2026</v>
      </c>
      <c r="B166">
        <v>9</v>
      </c>
      <c r="C166" t="s">
        <v>13</v>
      </c>
      <c r="D166">
        <v>14</v>
      </c>
      <c r="E166">
        <v>4</v>
      </c>
      <c r="F166">
        <v>10</v>
      </c>
      <c r="G166">
        <v>0</v>
      </c>
      <c r="H166">
        <v>8</v>
      </c>
      <c r="I166">
        <v>-0.58399999999999996</v>
      </c>
      <c r="K166" t="s">
        <v>108</v>
      </c>
      <c r="L166" s="1" t="s">
        <v>108</v>
      </c>
      <c r="M166" t="s">
        <v>13</v>
      </c>
      <c r="N166" t="s">
        <v>30</v>
      </c>
      <c r="O166" t="s">
        <v>119</v>
      </c>
      <c r="P166" t="s">
        <v>120</v>
      </c>
    </row>
    <row r="167" spans="1:16" x14ac:dyDescent="0.25">
      <c r="A167">
        <v>2026</v>
      </c>
      <c r="B167">
        <v>10</v>
      </c>
      <c r="C167" t="s">
        <v>25</v>
      </c>
      <c r="D167">
        <v>14</v>
      </c>
      <c r="E167">
        <v>4</v>
      </c>
      <c r="F167">
        <v>10</v>
      </c>
      <c r="G167">
        <v>0</v>
      </c>
      <c r="H167">
        <v>8</v>
      </c>
      <c r="I167">
        <v>-0.74</v>
      </c>
      <c r="K167" t="s">
        <v>108</v>
      </c>
      <c r="L167" s="1" t="s">
        <v>108</v>
      </c>
      <c r="M167" t="s">
        <v>25</v>
      </c>
      <c r="N167" t="s">
        <v>30</v>
      </c>
      <c r="O167" t="s">
        <v>117</v>
      </c>
      <c r="P167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E69F-AF00-448C-BD83-AD50DEF9B7CF}">
  <dimension ref="A1:E75"/>
  <sheetViews>
    <sheetView topLeftCell="A40" workbookViewId="0">
      <selection activeCell="E73" sqref="E73"/>
    </sheetView>
  </sheetViews>
  <sheetFormatPr defaultRowHeight="15" x14ac:dyDescent="0.25"/>
  <cols>
    <col min="1" max="1" width="9.5703125" style="2" customWidth="1"/>
    <col min="2" max="2" width="22.85546875" customWidth="1"/>
    <col min="3" max="4" width="33.28515625" customWidth="1"/>
    <col min="5" max="5" width="30.42578125" customWidth="1"/>
  </cols>
  <sheetData>
    <row r="1" spans="1:5" x14ac:dyDescent="0.25">
      <c r="A1" s="2" t="s">
        <v>27</v>
      </c>
      <c r="B1" t="s">
        <v>32</v>
      </c>
      <c r="C1" t="s">
        <v>33</v>
      </c>
      <c r="D1" t="s">
        <v>34</v>
      </c>
      <c r="E1" t="s">
        <v>35</v>
      </c>
    </row>
    <row r="2" spans="1:5" x14ac:dyDescent="0.25">
      <c r="A2" s="2">
        <v>2008</v>
      </c>
      <c r="B2" t="s">
        <v>36</v>
      </c>
      <c r="C2" t="s">
        <v>9</v>
      </c>
      <c r="D2" t="s">
        <v>12</v>
      </c>
      <c r="E2" t="s">
        <v>37</v>
      </c>
    </row>
    <row r="3" spans="1:5" x14ac:dyDescent="0.25">
      <c r="A3" s="2">
        <v>2008</v>
      </c>
      <c r="B3" t="s">
        <v>38</v>
      </c>
      <c r="C3" t="s">
        <v>11</v>
      </c>
      <c r="D3" t="s">
        <v>10</v>
      </c>
      <c r="E3" t="s">
        <v>39</v>
      </c>
    </row>
    <row r="4" spans="1:5" x14ac:dyDescent="0.25">
      <c r="A4" s="2">
        <v>2008</v>
      </c>
      <c r="B4" t="s">
        <v>40</v>
      </c>
      <c r="C4" t="s">
        <v>11</v>
      </c>
      <c r="D4" t="s">
        <v>9</v>
      </c>
      <c r="E4" t="s">
        <v>41</v>
      </c>
    </row>
    <row r="5" spans="1:5" x14ac:dyDescent="0.25">
      <c r="A5" s="2">
        <v>2009</v>
      </c>
      <c r="B5" t="s">
        <v>36</v>
      </c>
      <c r="C5" t="s">
        <v>16</v>
      </c>
      <c r="D5" t="s">
        <v>12</v>
      </c>
      <c r="E5" t="s">
        <v>42</v>
      </c>
    </row>
    <row r="6" spans="1:5" x14ac:dyDescent="0.25">
      <c r="A6" s="2">
        <v>2009</v>
      </c>
      <c r="B6" t="s">
        <v>38</v>
      </c>
      <c r="C6" t="s">
        <v>11</v>
      </c>
      <c r="D6" t="s">
        <v>15</v>
      </c>
      <c r="E6" t="s">
        <v>43</v>
      </c>
    </row>
    <row r="7" spans="1:5" x14ac:dyDescent="0.25">
      <c r="A7" s="2">
        <v>2009</v>
      </c>
      <c r="B7" t="s">
        <v>40</v>
      </c>
      <c r="C7" t="s">
        <v>16</v>
      </c>
      <c r="D7" t="s">
        <v>15</v>
      </c>
      <c r="E7" t="s">
        <v>44</v>
      </c>
    </row>
    <row r="8" spans="1:5" x14ac:dyDescent="0.25">
      <c r="A8" s="2">
        <v>2010</v>
      </c>
      <c r="B8" t="s">
        <v>36</v>
      </c>
      <c r="C8" t="s">
        <v>13</v>
      </c>
      <c r="D8" t="s">
        <v>15</v>
      </c>
      <c r="E8" t="s">
        <v>45</v>
      </c>
    </row>
    <row r="9" spans="1:5" x14ac:dyDescent="0.25">
      <c r="A9" s="2">
        <v>2010</v>
      </c>
      <c r="B9" t="s">
        <v>38</v>
      </c>
      <c r="C9" t="s">
        <v>11</v>
      </c>
      <c r="D9" t="s">
        <v>16</v>
      </c>
      <c r="E9" t="s">
        <v>46</v>
      </c>
    </row>
    <row r="10" spans="1:5" x14ac:dyDescent="0.25">
      <c r="A10" s="2">
        <v>2010</v>
      </c>
      <c r="B10" t="s">
        <v>47</v>
      </c>
      <c r="C10" t="s">
        <v>16</v>
      </c>
      <c r="D10" t="s">
        <v>15</v>
      </c>
      <c r="E10" t="s">
        <v>48</v>
      </c>
    </row>
    <row r="11" spans="1:5" x14ac:dyDescent="0.25">
      <c r="A11" s="2">
        <v>2010</v>
      </c>
      <c r="B11" t="s">
        <v>40</v>
      </c>
      <c r="C11" t="s">
        <v>11</v>
      </c>
      <c r="D11" t="s">
        <v>13</v>
      </c>
      <c r="E11" t="s">
        <v>49</v>
      </c>
    </row>
    <row r="12" spans="1:5" x14ac:dyDescent="0.25">
      <c r="A12" s="2">
        <v>2011</v>
      </c>
      <c r="B12" t="s">
        <v>50</v>
      </c>
      <c r="C12" t="s">
        <v>15</v>
      </c>
      <c r="D12" t="s">
        <v>11</v>
      </c>
      <c r="E12" t="s">
        <v>51</v>
      </c>
    </row>
    <row r="13" spans="1:5" x14ac:dyDescent="0.25">
      <c r="A13" s="2">
        <v>2011</v>
      </c>
      <c r="B13" t="s">
        <v>52</v>
      </c>
      <c r="C13" t="s">
        <v>13</v>
      </c>
      <c r="D13" t="s">
        <v>14</v>
      </c>
      <c r="E13" t="s">
        <v>53</v>
      </c>
    </row>
    <row r="14" spans="1:5" x14ac:dyDescent="0.25">
      <c r="A14" s="2">
        <v>2011</v>
      </c>
      <c r="B14" t="s">
        <v>54</v>
      </c>
      <c r="C14" t="s">
        <v>13</v>
      </c>
      <c r="D14" t="s">
        <v>15</v>
      </c>
      <c r="E14" t="s">
        <v>55</v>
      </c>
    </row>
    <row r="15" spans="1:5" x14ac:dyDescent="0.25">
      <c r="A15" s="2">
        <v>2011</v>
      </c>
      <c r="B15" t="s">
        <v>40</v>
      </c>
      <c r="C15" t="s">
        <v>11</v>
      </c>
      <c r="D15" t="s">
        <v>15</v>
      </c>
      <c r="E15" t="s">
        <v>56</v>
      </c>
    </row>
    <row r="16" spans="1:5" x14ac:dyDescent="0.25">
      <c r="A16" s="2">
        <v>2012</v>
      </c>
      <c r="B16" t="s">
        <v>50</v>
      </c>
      <c r="C16" t="s">
        <v>12</v>
      </c>
      <c r="D16" t="s">
        <v>14</v>
      </c>
      <c r="E16" t="s">
        <v>57</v>
      </c>
    </row>
    <row r="17" spans="1:5" x14ac:dyDescent="0.25">
      <c r="A17" s="2">
        <v>2012</v>
      </c>
      <c r="B17" t="s">
        <v>52</v>
      </c>
      <c r="C17" t="s">
        <v>13</v>
      </c>
      <c r="D17" t="s">
        <v>11</v>
      </c>
      <c r="E17" t="s">
        <v>46</v>
      </c>
    </row>
    <row r="18" spans="1:5" x14ac:dyDescent="0.25">
      <c r="A18" s="2">
        <v>2012</v>
      </c>
      <c r="B18" t="s">
        <v>54</v>
      </c>
      <c r="C18" t="s">
        <v>11</v>
      </c>
      <c r="D18" t="s">
        <v>12</v>
      </c>
      <c r="E18" t="s">
        <v>58</v>
      </c>
    </row>
    <row r="19" spans="1:5" x14ac:dyDescent="0.25">
      <c r="A19" s="2">
        <v>2012</v>
      </c>
      <c r="B19" t="s">
        <v>40</v>
      </c>
      <c r="C19" t="s">
        <v>11</v>
      </c>
      <c r="D19" t="s">
        <v>14</v>
      </c>
      <c r="E19" t="s">
        <v>59</v>
      </c>
    </row>
    <row r="20" spans="1:5" x14ac:dyDescent="0.25">
      <c r="A20" s="2">
        <v>2013</v>
      </c>
      <c r="B20" t="s">
        <v>50</v>
      </c>
      <c r="C20" t="s">
        <v>11</v>
      </c>
      <c r="D20" t="s">
        <v>13</v>
      </c>
      <c r="E20" t="s">
        <v>60</v>
      </c>
    </row>
    <row r="21" spans="1:5" x14ac:dyDescent="0.25">
      <c r="A21" s="2">
        <v>2013</v>
      </c>
      <c r="B21" t="s">
        <v>52</v>
      </c>
      <c r="C21" t="s">
        <v>9</v>
      </c>
      <c r="D21" t="s">
        <v>19</v>
      </c>
      <c r="E21" t="s">
        <v>61</v>
      </c>
    </row>
    <row r="22" spans="1:5" x14ac:dyDescent="0.25">
      <c r="A22" s="2">
        <v>2013</v>
      </c>
      <c r="B22" t="s">
        <v>54</v>
      </c>
      <c r="C22" t="s">
        <v>13</v>
      </c>
      <c r="D22" t="s">
        <v>9</v>
      </c>
      <c r="E22" t="s">
        <v>53</v>
      </c>
    </row>
    <row r="23" spans="1:5" x14ac:dyDescent="0.25">
      <c r="A23" s="2">
        <v>2013</v>
      </c>
      <c r="B23" t="s">
        <v>40</v>
      </c>
      <c r="C23" t="s">
        <v>11</v>
      </c>
      <c r="D23" t="s">
        <v>13</v>
      </c>
      <c r="E23" t="s">
        <v>62</v>
      </c>
    </row>
    <row r="24" spans="1:5" x14ac:dyDescent="0.25">
      <c r="A24" s="2">
        <v>2014</v>
      </c>
      <c r="B24" t="s">
        <v>50</v>
      </c>
      <c r="C24" t="s">
        <v>10</v>
      </c>
      <c r="D24" t="s">
        <v>14</v>
      </c>
      <c r="E24" t="s">
        <v>63</v>
      </c>
    </row>
    <row r="25" spans="1:5" x14ac:dyDescent="0.25">
      <c r="A25" s="2">
        <v>2014</v>
      </c>
      <c r="B25" t="s">
        <v>52</v>
      </c>
      <c r="C25" t="s">
        <v>11</v>
      </c>
      <c r="D25" t="s">
        <v>13</v>
      </c>
      <c r="E25" t="s">
        <v>64</v>
      </c>
    </row>
    <row r="26" spans="1:5" x14ac:dyDescent="0.25">
      <c r="A26" s="2">
        <v>2014</v>
      </c>
      <c r="B26" t="s">
        <v>54</v>
      </c>
      <c r="C26" t="s">
        <v>10</v>
      </c>
      <c r="D26" t="s">
        <v>11</v>
      </c>
      <c r="E26" t="s">
        <v>65</v>
      </c>
    </row>
    <row r="27" spans="1:5" x14ac:dyDescent="0.25">
      <c r="A27" s="2">
        <v>2014</v>
      </c>
      <c r="B27" t="s">
        <v>40</v>
      </c>
      <c r="C27" t="s">
        <v>14</v>
      </c>
      <c r="D27" t="s">
        <v>10</v>
      </c>
      <c r="E27" t="s">
        <v>66</v>
      </c>
    </row>
    <row r="28" spans="1:5" x14ac:dyDescent="0.25">
      <c r="A28" s="2">
        <v>2015</v>
      </c>
      <c r="B28" t="s">
        <v>50</v>
      </c>
      <c r="C28" t="s">
        <v>11</v>
      </c>
      <c r="D28" t="s">
        <v>13</v>
      </c>
      <c r="E28" t="s">
        <v>67</v>
      </c>
    </row>
    <row r="29" spans="1:5" x14ac:dyDescent="0.25">
      <c r="A29" s="2">
        <v>2015</v>
      </c>
      <c r="B29" t="s">
        <v>52</v>
      </c>
      <c r="C29" t="s">
        <v>15</v>
      </c>
      <c r="D29" t="s">
        <v>9</v>
      </c>
      <c r="E29" t="s">
        <v>68</v>
      </c>
    </row>
    <row r="30" spans="1:5" x14ac:dyDescent="0.25">
      <c r="A30" s="2">
        <v>2015</v>
      </c>
      <c r="B30" t="s">
        <v>54</v>
      </c>
      <c r="C30" t="s">
        <v>11</v>
      </c>
      <c r="D30" t="s">
        <v>15</v>
      </c>
      <c r="E30" t="s">
        <v>69</v>
      </c>
    </row>
    <row r="31" spans="1:5" x14ac:dyDescent="0.25">
      <c r="A31" s="2">
        <v>2015</v>
      </c>
      <c r="B31" t="s">
        <v>40</v>
      </c>
      <c r="C31" t="s">
        <v>13</v>
      </c>
      <c r="D31" t="s">
        <v>11</v>
      </c>
      <c r="E31" t="s">
        <v>70</v>
      </c>
    </row>
    <row r="32" spans="1:5" x14ac:dyDescent="0.25">
      <c r="A32" s="2">
        <v>2016</v>
      </c>
      <c r="B32" t="s">
        <v>50</v>
      </c>
      <c r="C32" t="s">
        <v>20</v>
      </c>
      <c r="D32" t="s">
        <v>15</v>
      </c>
      <c r="E32" t="s">
        <v>71</v>
      </c>
    </row>
    <row r="33" spans="1:5" x14ac:dyDescent="0.25">
      <c r="A33" s="2">
        <v>2016</v>
      </c>
      <c r="B33" t="s">
        <v>52</v>
      </c>
      <c r="C33" t="s">
        <v>19</v>
      </c>
      <c r="D33" t="s">
        <v>14</v>
      </c>
      <c r="E33" t="s">
        <v>72</v>
      </c>
    </row>
    <row r="34" spans="1:5" x14ac:dyDescent="0.25">
      <c r="A34" s="2">
        <v>2016</v>
      </c>
      <c r="B34" t="s">
        <v>54</v>
      </c>
      <c r="C34" t="s">
        <v>20</v>
      </c>
      <c r="D34" t="s">
        <v>19</v>
      </c>
      <c r="E34" t="s">
        <v>73</v>
      </c>
    </row>
    <row r="35" spans="1:5" x14ac:dyDescent="0.25">
      <c r="A35" s="2">
        <v>2016</v>
      </c>
      <c r="B35" t="s">
        <v>40</v>
      </c>
      <c r="C35" t="s">
        <v>15</v>
      </c>
      <c r="D35" t="s">
        <v>19</v>
      </c>
      <c r="E35" t="s">
        <v>74</v>
      </c>
    </row>
    <row r="36" spans="1:5" x14ac:dyDescent="0.25">
      <c r="A36" s="2">
        <v>2017</v>
      </c>
      <c r="B36" t="s">
        <v>50</v>
      </c>
      <c r="C36" t="s">
        <v>13</v>
      </c>
      <c r="D36" t="s">
        <v>21</v>
      </c>
      <c r="E36" t="s">
        <v>75</v>
      </c>
    </row>
    <row r="37" spans="1:5" x14ac:dyDescent="0.25">
      <c r="A37" s="2">
        <v>2017</v>
      </c>
      <c r="B37" t="s">
        <v>52</v>
      </c>
      <c r="C37" t="s">
        <v>19</v>
      </c>
      <c r="D37" t="s">
        <v>14</v>
      </c>
      <c r="E37" t="s">
        <v>76</v>
      </c>
    </row>
    <row r="38" spans="1:5" x14ac:dyDescent="0.25">
      <c r="A38" s="2">
        <v>2017</v>
      </c>
      <c r="B38" t="s">
        <v>54</v>
      </c>
      <c r="C38" t="s">
        <v>13</v>
      </c>
      <c r="D38" t="s">
        <v>14</v>
      </c>
      <c r="E38" t="s">
        <v>77</v>
      </c>
    </row>
    <row r="39" spans="1:5" x14ac:dyDescent="0.25">
      <c r="A39" s="2">
        <v>2017</v>
      </c>
      <c r="B39" t="s">
        <v>40</v>
      </c>
      <c r="C39" t="s">
        <v>21</v>
      </c>
      <c r="D39" t="s">
        <v>13</v>
      </c>
      <c r="E39" t="s">
        <v>78</v>
      </c>
    </row>
    <row r="40" spans="1:5" x14ac:dyDescent="0.25">
      <c r="A40" s="2">
        <v>2018</v>
      </c>
      <c r="B40" t="s">
        <v>50</v>
      </c>
      <c r="C40" t="s">
        <v>19</v>
      </c>
      <c r="D40" t="s">
        <v>11</v>
      </c>
      <c r="E40" t="s">
        <v>79</v>
      </c>
    </row>
    <row r="41" spans="1:5" x14ac:dyDescent="0.25">
      <c r="A41" s="2">
        <v>2018</v>
      </c>
      <c r="B41" t="s">
        <v>52</v>
      </c>
      <c r="C41" t="s">
        <v>14</v>
      </c>
      <c r="D41" t="s">
        <v>9</v>
      </c>
      <c r="E41" t="s">
        <v>80</v>
      </c>
    </row>
    <row r="42" spans="1:5" x14ac:dyDescent="0.25">
      <c r="A42" s="2">
        <v>2018</v>
      </c>
      <c r="B42" t="s">
        <v>54</v>
      </c>
      <c r="C42" t="s">
        <v>19</v>
      </c>
      <c r="D42" t="s">
        <v>14</v>
      </c>
      <c r="E42" t="s">
        <v>81</v>
      </c>
    </row>
    <row r="43" spans="1:5" x14ac:dyDescent="0.25">
      <c r="A43" s="2">
        <v>2018</v>
      </c>
      <c r="B43" t="s">
        <v>40</v>
      </c>
      <c r="C43" t="s">
        <v>11</v>
      </c>
      <c r="D43" t="s">
        <v>19</v>
      </c>
      <c r="E43" t="s">
        <v>82</v>
      </c>
    </row>
    <row r="44" spans="1:5" x14ac:dyDescent="0.25">
      <c r="A44" s="2">
        <v>2019</v>
      </c>
      <c r="B44" t="s">
        <v>50</v>
      </c>
      <c r="C44" t="s">
        <v>13</v>
      </c>
      <c r="D44" t="s">
        <v>11</v>
      </c>
      <c r="E44" t="s">
        <v>77</v>
      </c>
    </row>
    <row r="45" spans="1:5" x14ac:dyDescent="0.25">
      <c r="A45" s="2">
        <v>2019</v>
      </c>
      <c r="B45" t="s">
        <v>52</v>
      </c>
      <c r="C45" t="s">
        <v>22</v>
      </c>
      <c r="D45" t="s">
        <v>19</v>
      </c>
      <c r="E45" t="s">
        <v>83</v>
      </c>
    </row>
    <row r="46" spans="1:5" x14ac:dyDescent="0.25">
      <c r="A46" s="2">
        <v>2019</v>
      </c>
      <c r="B46" t="s">
        <v>54</v>
      </c>
      <c r="C46" t="s">
        <v>11</v>
      </c>
      <c r="D46" t="s">
        <v>22</v>
      </c>
      <c r="E46" t="s">
        <v>51</v>
      </c>
    </row>
    <row r="47" spans="1:5" x14ac:dyDescent="0.25">
      <c r="A47" s="2">
        <v>2019</v>
      </c>
      <c r="B47" t="s">
        <v>40</v>
      </c>
      <c r="C47" t="s">
        <v>13</v>
      </c>
      <c r="D47" t="s">
        <v>11</v>
      </c>
      <c r="E47" t="s">
        <v>78</v>
      </c>
    </row>
    <row r="48" spans="1:5" x14ac:dyDescent="0.25">
      <c r="A48" s="2">
        <v>2020</v>
      </c>
      <c r="B48" t="s">
        <v>50</v>
      </c>
      <c r="C48" t="s">
        <v>13</v>
      </c>
      <c r="D48" t="s">
        <v>22</v>
      </c>
      <c r="E48" t="s">
        <v>84</v>
      </c>
    </row>
    <row r="49" spans="1:5" x14ac:dyDescent="0.25">
      <c r="A49" s="2">
        <v>2020</v>
      </c>
      <c r="B49" t="s">
        <v>52</v>
      </c>
      <c r="C49" t="s">
        <v>19</v>
      </c>
      <c r="D49" t="s">
        <v>15</v>
      </c>
      <c r="E49" t="s">
        <v>85</v>
      </c>
    </row>
    <row r="50" spans="1:5" x14ac:dyDescent="0.25">
      <c r="A50" s="2">
        <v>2020</v>
      </c>
      <c r="B50" t="s">
        <v>54</v>
      </c>
      <c r="C50" t="s">
        <v>22</v>
      </c>
      <c r="D50" t="s">
        <v>19</v>
      </c>
      <c r="E50" t="s">
        <v>86</v>
      </c>
    </row>
    <row r="51" spans="1:5" x14ac:dyDescent="0.25">
      <c r="A51" s="2">
        <v>2020</v>
      </c>
      <c r="B51" t="s">
        <v>40</v>
      </c>
      <c r="C51" t="s">
        <v>13</v>
      </c>
      <c r="D51" t="s">
        <v>22</v>
      </c>
      <c r="E51" t="s">
        <v>87</v>
      </c>
    </row>
    <row r="52" spans="1:5" x14ac:dyDescent="0.25">
      <c r="A52" s="2">
        <v>2021</v>
      </c>
      <c r="B52" t="s">
        <v>50</v>
      </c>
      <c r="C52" t="s">
        <v>22</v>
      </c>
      <c r="D52" t="s">
        <v>11</v>
      </c>
      <c r="E52" t="s">
        <v>88</v>
      </c>
    </row>
    <row r="53" spans="1:5" x14ac:dyDescent="0.25">
      <c r="A53" s="2">
        <v>2021</v>
      </c>
      <c r="B53" t="s">
        <v>52</v>
      </c>
      <c r="C53" t="s">
        <v>15</v>
      </c>
      <c r="D53" t="s">
        <v>14</v>
      </c>
      <c r="E53" t="s">
        <v>89</v>
      </c>
    </row>
    <row r="54" spans="1:5" x14ac:dyDescent="0.25">
      <c r="A54" s="2">
        <v>2021</v>
      </c>
      <c r="B54" t="s">
        <v>54</v>
      </c>
      <c r="C54" t="s">
        <v>22</v>
      </c>
      <c r="D54" t="s">
        <v>14</v>
      </c>
      <c r="E54" t="s">
        <v>66</v>
      </c>
    </row>
    <row r="55" spans="1:5" x14ac:dyDescent="0.25">
      <c r="A55" s="2">
        <v>2021</v>
      </c>
      <c r="B55" t="s">
        <v>40</v>
      </c>
      <c r="C55" t="s">
        <v>11</v>
      </c>
      <c r="D55" t="s">
        <v>14</v>
      </c>
      <c r="E55" t="s">
        <v>90</v>
      </c>
    </row>
    <row r="56" spans="1:5" x14ac:dyDescent="0.25">
      <c r="A56" s="2">
        <v>2022</v>
      </c>
      <c r="B56" t="s">
        <v>50</v>
      </c>
      <c r="C56" t="s">
        <v>24</v>
      </c>
      <c r="D56" t="s">
        <v>9</v>
      </c>
      <c r="E56" t="s">
        <v>91</v>
      </c>
    </row>
    <row r="57" spans="1:5" x14ac:dyDescent="0.25">
      <c r="A57" s="2">
        <v>2022</v>
      </c>
      <c r="B57" t="s">
        <v>52</v>
      </c>
      <c r="C57" t="s">
        <v>25</v>
      </c>
      <c r="D57" t="s">
        <v>15</v>
      </c>
      <c r="E57" t="s">
        <v>92</v>
      </c>
    </row>
    <row r="58" spans="1:5" x14ac:dyDescent="0.25">
      <c r="A58" s="2">
        <v>2022</v>
      </c>
      <c r="B58" t="s">
        <v>54</v>
      </c>
      <c r="C58" t="s">
        <v>9</v>
      </c>
      <c r="D58" t="s">
        <v>15</v>
      </c>
      <c r="E58" t="s">
        <v>93</v>
      </c>
    </row>
    <row r="59" spans="1:5" x14ac:dyDescent="0.25">
      <c r="A59" s="2">
        <v>2022</v>
      </c>
      <c r="B59" t="s">
        <v>40</v>
      </c>
      <c r="C59" t="s">
        <v>24</v>
      </c>
      <c r="D59" t="s">
        <v>9</v>
      </c>
      <c r="E59" t="s">
        <v>91</v>
      </c>
    </row>
    <row r="60" spans="1:5" x14ac:dyDescent="0.25">
      <c r="A60" s="2">
        <v>2023</v>
      </c>
      <c r="B60" t="s">
        <v>50</v>
      </c>
      <c r="C60" t="s">
        <v>24</v>
      </c>
      <c r="D60" t="s">
        <v>11</v>
      </c>
      <c r="E60" t="s">
        <v>94</v>
      </c>
    </row>
    <row r="61" spans="1:5" x14ac:dyDescent="0.25">
      <c r="A61" s="2">
        <v>2023</v>
      </c>
      <c r="B61" t="s">
        <v>52</v>
      </c>
      <c r="C61" t="s">
        <v>25</v>
      </c>
      <c r="D61" t="s">
        <v>13</v>
      </c>
      <c r="E61" t="s">
        <v>95</v>
      </c>
    </row>
    <row r="62" spans="1:5" x14ac:dyDescent="0.25">
      <c r="A62" s="2">
        <v>2023</v>
      </c>
      <c r="B62" t="s">
        <v>54</v>
      </c>
      <c r="C62" t="s">
        <v>13</v>
      </c>
      <c r="D62" t="s">
        <v>24</v>
      </c>
      <c r="E62" t="s">
        <v>96</v>
      </c>
    </row>
    <row r="63" spans="1:5" x14ac:dyDescent="0.25">
      <c r="A63" s="2">
        <v>2023</v>
      </c>
      <c r="B63" t="s">
        <v>40</v>
      </c>
      <c r="C63" t="s">
        <v>11</v>
      </c>
      <c r="D63" t="s">
        <v>24</v>
      </c>
      <c r="E63" t="s">
        <v>97</v>
      </c>
    </row>
    <row r="64" spans="1:5" x14ac:dyDescent="0.25">
      <c r="A64" s="2">
        <v>2024</v>
      </c>
      <c r="B64" t="s">
        <v>50</v>
      </c>
      <c r="C64" t="s">
        <v>19</v>
      </c>
      <c r="D64" t="s">
        <v>9</v>
      </c>
      <c r="E64" t="s">
        <v>98</v>
      </c>
    </row>
    <row r="65" spans="1:5" x14ac:dyDescent="0.25">
      <c r="A65" s="2">
        <v>2024</v>
      </c>
      <c r="B65" t="s">
        <v>52</v>
      </c>
      <c r="C65" t="s">
        <v>26</v>
      </c>
      <c r="D65" t="s">
        <v>9</v>
      </c>
      <c r="E65" t="s">
        <v>61</v>
      </c>
    </row>
    <row r="66" spans="1:5" x14ac:dyDescent="0.25">
      <c r="A66" s="2">
        <v>2024</v>
      </c>
      <c r="B66" t="s">
        <v>54</v>
      </c>
      <c r="C66" t="s">
        <v>9</v>
      </c>
      <c r="D66" t="s">
        <v>14</v>
      </c>
      <c r="E66" t="s">
        <v>99</v>
      </c>
    </row>
    <row r="67" spans="1:5" x14ac:dyDescent="0.25">
      <c r="A67" s="2">
        <v>2024</v>
      </c>
      <c r="B67" t="s">
        <v>40</v>
      </c>
      <c r="C67" t="s">
        <v>19</v>
      </c>
      <c r="D67" t="s">
        <v>14</v>
      </c>
      <c r="E67" t="s">
        <v>99</v>
      </c>
    </row>
    <row r="68" spans="1:5" x14ac:dyDescent="0.25">
      <c r="A68" s="2">
        <v>2025</v>
      </c>
      <c r="B68" t="s">
        <v>50</v>
      </c>
      <c r="C68" t="s">
        <v>23</v>
      </c>
      <c r="D68" t="s">
        <v>26</v>
      </c>
      <c r="E68" t="s">
        <v>100</v>
      </c>
    </row>
    <row r="69" spans="1:5" x14ac:dyDescent="0.25">
      <c r="A69" s="2">
        <v>2025</v>
      </c>
      <c r="B69" t="s">
        <v>52</v>
      </c>
      <c r="C69" t="s">
        <v>13</v>
      </c>
      <c r="D69" t="s">
        <v>24</v>
      </c>
      <c r="E69" t="s">
        <v>101</v>
      </c>
    </row>
    <row r="70" spans="1:5" x14ac:dyDescent="0.25">
      <c r="A70" s="2">
        <v>2025</v>
      </c>
      <c r="B70" t="s">
        <v>54</v>
      </c>
      <c r="C70" t="s">
        <v>13</v>
      </c>
      <c r="D70" t="s">
        <v>23</v>
      </c>
      <c r="E70" t="s">
        <v>102</v>
      </c>
    </row>
    <row r="71" spans="1:5" x14ac:dyDescent="0.25">
      <c r="A71" s="2">
        <v>2025</v>
      </c>
      <c r="B71" t="s">
        <v>40</v>
      </c>
      <c r="C71" t="s">
        <v>26</v>
      </c>
      <c r="D71" t="s">
        <v>23</v>
      </c>
      <c r="E71" t="s">
        <v>103</v>
      </c>
    </row>
    <row r="72" spans="1:5" x14ac:dyDescent="0.25">
      <c r="A72" s="2">
        <v>2026</v>
      </c>
      <c r="B72" t="s">
        <v>50</v>
      </c>
      <c r="C72" t="s">
        <v>26</v>
      </c>
      <c r="D72" t="s">
        <v>24</v>
      </c>
      <c r="E72" t="s">
        <v>104</v>
      </c>
    </row>
    <row r="73" spans="1:5" x14ac:dyDescent="0.25">
      <c r="A73" s="2">
        <v>2026</v>
      </c>
      <c r="B73" t="s">
        <v>52</v>
      </c>
      <c r="C73" t="s">
        <v>19</v>
      </c>
      <c r="D73" t="s">
        <v>9</v>
      </c>
      <c r="E73" t="s">
        <v>106</v>
      </c>
    </row>
    <row r="74" spans="1:5" x14ac:dyDescent="0.25">
      <c r="A74" s="2">
        <v>2026</v>
      </c>
      <c r="B74" t="s">
        <v>54</v>
      </c>
      <c r="C74" t="s">
        <v>24</v>
      </c>
      <c r="D74" t="s">
        <v>9</v>
      </c>
      <c r="E74" t="s">
        <v>91</v>
      </c>
    </row>
    <row r="75" spans="1:5" x14ac:dyDescent="0.25">
      <c r="A75" s="2">
        <v>2026</v>
      </c>
      <c r="B75" t="s">
        <v>40</v>
      </c>
      <c r="C75" t="s">
        <v>26</v>
      </c>
      <c r="D75" t="s">
        <v>24</v>
      </c>
      <c r="E75" t="s">
        <v>105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620DA-7EAC-40AA-B56F-72E112147298}">
  <dimension ref="A1:T1048"/>
  <sheetViews>
    <sheetView workbookViewId="0">
      <pane ySplit="1" topLeftCell="A2" activePane="bottomLeft" state="frozen"/>
      <selection pane="bottomLeft" activeCell="T2" sqref="T2"/>
    </sheetView>
  </sheetViews>
  <sheetFormatPr defaultColWidth="9.140625" defaultRowHeight="15" x14ac:dyDescent="0.25"/>
  <cols>
    <col min="1" max="1" width="15.42578125" style="7" bestFit="1" customWidth="1"/>
    <col min="2" max="3" width="28.42578125" style="7" bestFit="1" customWidth="1"/>
    <col min="4" max="4" width="20" style="7" bestFit="1" customWidth="1"/>
    <col min="5" max="5" width="6.42578125" style="7" bestFit="1" customWidth="1"/>
    <col min="6" max="6" width="9.140625" style="7" bestFit="1" customWidth="1"/>
    <col min="7" max="7" width="9.5703125" style="7" bestFit="1" customWidth="1"/>
    <col min="8" max="8" width="7.42578125" style="7" customWidth="1"/>
    <col min="9" max="9" width="8.42578125" style="7" customWidth="1"/>
    <col min="10" max="14" width="9.140625" style="7"/>
    <col min="15" max="15" width="9.140625" style="16"/>
    <col min="16" max="19" width="9.140625" style="7"/>
    <col min="20" max="20" width="28.42578125" style="7" bestFit="1" customWidth="1"/>
    <col min="21" max="16384" width="9.140625" style="7"/>
  </cols>
  <sheetData>
    <row r="1" spans="1:20" s="5" customFormat="1" ht="12" x14ac:dyDescent="0.2">
      <c r="A1" s="5" t="s">
        <v>27</v>
      </c>
      <c r="B1" s="5" t="s">
        <v>134</v>
      </c>
      <c r="C1" s="4" t="s">
        <v>1</v>
      </c>
      <c r="D1" s="5" t="s">
        <v>135</v>
      </c>
      <c r="E1" s="5" t="s">
        <v>136</v>
      </c>
      <c r="F1" s="5" t="s">
        <v>137</v>
      </c>
      <c r="G1" s="5" t="s">
        <v>138</v>
      </c>
      <c r="H1" s="5" t="s">
        <v>3</v>
      </c>
      <c r="I1" s="5" t="s">
        <v>4</v>
      </c>
      <c r="J1" s="5" t="s">
        <v>139</v>
      </c>
      <c r="K1" s="6" t="s">
        <v>140</v>
      </c>
      <c r="L1" s="4" t="s">
        <v>141</v>
      </c>
      <c r="M1" s="4" t="s">
        <v>142</v>
      </c>
      <c r="N1" s="4" t="s">
        <v>143</v>
      </c>
      <c r="O1" s="4" t="s">
        <v>144</v>
      </c>
      <c r="P1" s="5" t="s">
        <v>145</v>
      </c>
      <c r="Q1" s="5" t="s">
        <v>146</v>
      </c>
      <c r="R1" s="5" t="s">
        <v>147</v>
      </c>
      <c r="S1" s="5" t="s">
        <v>148</v>
      </c>
      <c r="T1" s="4" t="s">
        <v>706</v>
      </c>
    </row>
    <row r="2" spans="1:20" x14ac:dyDescent="0.25">
      <c r="A2" s="7" t="s">
        <v>150</v>
      </c>
      <c r="B2" s="7" t="s">
        <v>151</v>
      </c>
      <c r="C2" s="7" t="s">
        <v>149</v>
      </c>
      <c r="D2" s="7" t="s">
        <v>152</v>
      </c>
      <c r="H2" s="7">
        <v>26</v>
      </c>
      <c r="I2" s="7">
        <v>12</v>
      </c>
      <c r="J2" s="8">
        <f t="shared" ref="J2:J65" si="0">H2/SUM(H2:I2)</f>
        <v>0.68421052631578949</v>
      </c>
      <c r="K2" s="8" t="s">
        <v>30</v>
      </c>
      <c r="L2" s="8" t="s">
        <v>30</v>
      </c>
      <c r="M2" s="8" t="s">
        <v>30</v>
      </c>
      <c r="N2" s="9" t="s">
        <v>30</v>
      </c>
      <c r="O2" s="9" t="s">
        <v>30</v>
      </c>
      <c r="P2" s="7">
        <v>3</v>
      </c>
      <c r="Q2" s="7">
        <v>0</v>
      </c>
      <c r="R2" s="7">
        <v>2</v>
      </c>
      <c r="S2" s="7">
        <v>0</v>
      </c>
      <c r="T2" s="7" t="s">
        <v>149</v>
      </c>
    </row>
    <row r="3" spans="1:20" x14ac:dyDescent="0.25">
      <c r="A3" s="7" t="s">
        <v>150</v>
      </c>
      <c r="B3" s="7" t="s">
        <v>151</v>
      </c>
      <c r="C3" s="7" t="s">
        <v>153</v>
      </c>
      <c r="D3" s="7" t="s">
        <v>154</v>
      </c>
      <c r="H3" s="7">
        <v>25</v>
      </c>
      <c r="I3" s="7">
        <v>13</v>
      </c>
      <c r="J3" s="8">
        <f t="shared" si="0"/>
        <v>0.65789473684210531</v>
      </c>
      <c r="K3" s="8" t="s">
        <v>30</v>
      </c>
      <c r="L3" s="8" t="s">
        <v>30</v>
      </c>
      <c r="M3" s="8" t="s">
        <v>30</v>
      </c>
      <c r="N3" s="9"/>
      <c r="O3" s="9"/>
      <c r="P3" s="7">
        <v>3</v>
      </c>
      <c r="Q3" s="7">
        <v>2</v>
      </c>
      <c r="R3" s="7">
        <v>0</v>
      </c>
      <c r="S3" s="7">
        <v>1</v>
      </c>
      <c r="T3" s="7" t="s">
        <v>153</v>
      </c>
    </row>
    <row r="4" spans="1:20" x14ac:dyDescent="0.25">
      <c r="A4" s="7" t="s">
        <v>150</v>
      </c>
      <c r="B4" s="7" t="s">
        <v>151</v>
      </c>
      <c r="C4" s="7" t="s">
        <v>155</v>
      </c>
      <c r="D4" s="7" t="s">
        <v>154</v>
      </c>
      <c r="H4" s="7">
        <v>24</v>
      </c>
      <c r="I4" s="7">
        <v>14</v>
      </c>
      <c r="J4" s="8">
        <f t="shared" si="0"/>
        <v>0.63157894736842102</v>
      </c>
      <c r="K4" s="8" t="s">
        <v>30</v>
      </c>
      <c r="L4" s="8" t="s">
        <v>30</v>
      </c>
      <c r="M4" s="8" t="s">
        <v>30</v>
      </c>
      <c r="N4" s="9" t="s">
        <v>30</v>
      </c>
      <c r="O4" s="9"/>
      <c r="P4" s="7">
        <v>3</v>
      </c>
      <c r="Q4" s="7">
        <v>1</v>
      </c>
      <c r="R4" s="7">
        <v>1</v>
      </c>
      <c r="S4" s="7">
        <v>1</v>
      </c>
      <c r="T4" s="7" t="s">
        <v>155</v>
      </c>
    </row>
    <row r="5" spans="1:20" x14ac:dyDescent="0.25">
      <c r="A5" s="7" t="s">
        <v>150</v>
      </c>
      <c r="B5" s="7" t="s">
        <v>151</v>
      </c>
      <c r="C5" s="7" t="s">
        <v>156</v>
      </c>
      <c r="D5" s="7" t="s">
        <v>157</v>
      </c>
      <c r="H5" s="7">
        <v>24</v>
      </c>
      <c r="I5" s="7">
        <v>14</v>
      </c>
      <c r="J5" s="8">
        <f t="shared" si="0"/>
        <v>0.63157894736842102</v>
      </c>
      <c r="K5" s="8" t="s">
        <v>30</v>
      </c>
      <c r="L5" s="8" t="s">
        <v>30</v>
      </c>
      <c r="M5" s="8" t="s">
        <v>30</v>
      </c>
      <c r="N5" s="9"/>
      <c r="O5" s="9"/>
      <c r="P5" s="7">
        <v>3</v>
      </c>
      <c r="Q5" s="7">
        <v>1</v>
      </c>
      <c r="R5" s="7">
        <v>0</v>
      </c>
      <c r="S5" s="7">
        <v>1</v>
      </c>
      <c r="T5" s="7" t="s">
        <v>156</v>
      </c>
    </row>
    <row r="6" spans="1:20" x14ac:dyDescent="0.25">
      <c r="A6" s="7" t="s">
        <v>150</v>
      </c>
      <c r="B6" s="7" t="s">
        <v>151</v>
      </c>
      <c r="C6" s="7" t="s">
        <v>158</v>
      </c>
      <c r="D6" s="7" t="s">
        <v>159</v>
      </c>
      <c r="H6" s="7">
        <v>23</v>
      </c>
      <c r="I6" s="7">
        <v>15</v>
      </c>
      <c r="J6" s="8">
        <f t="shared" si="0"/>
        <v>0.60526315789473684</v>
      </c>
      <c r="K6" s="8" t="s">
        <v>30</v>
      </c>
      <c r="L6" s="8" t="s">
        <v>30</v>
      </c>
      <c r="M6" s="9"/>
      <c r="N6" s="9"/>
      <c r="O6" s="9"/>
      <c r="P6" s="7">
        <v>1</v>
      </c>
      <c r="Q6" s="7">
        <v>3</v>
      </c>
      <c r="T6" s="7" t="s">
        <v>158</v>
      </c>
    </row>
    <row r="7" spans="1:20" x14ac:dyDescent="0.25">
      <c r="A7" s="7" t="s">
        <v>150</v>
      </c>
      <c r="B7" s="7" t="s">
        <v>151</v>
      </c>
      <c r="C7" s="7" t="s">
        <v>160</v>
      </c>
      <c r="D7" s="7" t="s">
        <v>161</v>
      </c>
      <c r="H7" s="7">
        <v>23</v>
      </c>
      <c r="I7" s="7">
        <v>15</v>
      </c>
      <c r="J7" s="8">
        <f t="shared" si="0"/>
        <v>0.60526315789473684</v>
      </c>
      <c r="K7" s="8" t="s">
        <v>30</v>
      </c>
      <c r="L7" s="8" t="s">
        <v>30</v>
      </c>
      <c r="M7" s="9"/>
      <c r="N7" s="9"/>
      <c r="O7" s="9"/>
      <c r="P7" s="7">
        <v>1</v>
      </c>
      <c r="Q7" s="7">
        <v>3</v>
      </c>
      <c r="T7" s="7" t="s">
        <v>160</v>
      </c>
    </row>
    <row r="8" spans="1:20" x14ac:dyDescent="0.25">
      <c r="A8" s="7" t="s">
        <v>150</v>
      </c>
      <c r="B8" s="7" t="s">
        <v>151</v>
      </c>
      <c r="C8" s="7" t="s">
        <v>162</v>
      </c>
      <c r="D8" s="7" t="s">
        <v>152</v>
      </c>
      <c r="H8" s="7">
        <v>22</v>
      </c>
      <c r="I8" s="7">
        <v>16</v>
      </c>
      <c r="J8" s="8">
        <f t="shared" si="0"/>
        <v>0.57894736842105265</v>
      </c>
      <c r="K8" s="8" t="s">
        <v>30</v>
      </c>
      <c r="L8" s="8" t="s">
        <v>30</v>
      </c>
      <c r="M8" s="9"/>
      <c r="N8" s="9"/>
      <c r="O8" s="9"/>
      <c r="P8" s="7">
        <v>2</v>
      </c>
      <c r="Q8" s="7">
        <v>3</v>
      </c>
      <c r="T8" s="7" t="s">
        <v>162</v>
      </c>
    </row>
    <row r="9" spans="1:20" x14ac:dyDescent="0.25">
      <c r="A9" s="7" t="s">
        <v>150</v>
      </c>
      <c r="B9" s="7" t="s">
        <v>151</v>
      </c>
      <c r="C9" s="7" t="s">
        <v>163</v>
      </c>
      <c r="D9" s="7" t="s">
        <v>164</v>
      </c>
      <c r="H9" s="7">
        <v>22</v>
      </c>
      <c r="I9" s="7">
        <v>16</v>
      </c>
      <c r="J9" s="8">
        <f t="shared" si="0"/>
        <v>0.57894736842105265</v>
      </c>
      <c r="K9" s="8" t="s">
        <v>30</v>
      </c>
      <c r="L9" s="8" t="s">
        <v>30</v>
      </c>
      <c r="M9" s="9"/>
      <c r="N9" s="9"/>
      <c r="O9" s="9"/>
      <c r="P9" s="7">
        <v>0</v>
      </c>
      <c r="Q9" s="7">
        <v>3</v>
      </c>
      <c r="T9" s="7" t="s">
        <v>163</v>
      </c>
    </row>
    <row r="10" spans="1:20" x14ac:dyDescent="0.25">
      <c r="A10" s="7" t="s">
        <v>150</v>
      </c>
      <c r="B10" s="7" t="s">
        <v>151</v>
      </c>
      <c r="C10" s="7" t="s">
        <v>581</v>
      </c>
      <c r="D10" s="7" t="s">
        <v>154</v>
      </c>
      <c r="H10" s="7">
        <v>21</v>
      </c>
      <c r="I10" s="7">
        <v>17</v>
      </c>
      <c r="J10" s="8">
        <f t="shared" si="0"/>
        <v>0.55263157894736847</v>
      </c>
      <c r="K10" s="8" t="s">
        <v>30</v>
      </c>
      <c r="L10" s="9"/>
      <c r="M10" s="9"/>
      <c r="N10" s="9"/>
      <c r="O10" s="9"/>
      <c r="T10" s="7" t="s">
        <v>581</v>
      </c>
    </row>
    <row r="11" spans="1:20" x14ac:dyDescent="0.25">
      <c r="A11" s="7" t="s">
        <v>150</v>
      </c>
      <c r="B11" s="7" t="s">
        <v>151</v>
      </c>
      <c r="C11" s="7" t="s">
        <v>165</v>
      </c>
      <c r="D11" s="7" t="s">
        <v>166</v>
      </c>
      <c r="H11" s="7">
        <v>21</v>
      </c>
      <c r="I11" s="7">
        <v>17</v>
      </c>
      <c r="J11" s="8">
        <f t="shared" si="0"/>
        <v>0.55263157894736847</v>
      </c>
      <c r="K11" s="8" t="s">
        <v>30</v>
      </c>
      <c r="L11" s="9"/>
      <c r="M11" s="9"/>
      <c r="N11" s="9"/>
      <c r="O11" s="9"/>
      <c r="T11" s="7" t="s">
        <v>165</v>
      </c>
    </row>
    <row r="12" spans="1:20" x14ac:dyDescent="0.25">
      <c r="A12" s="7" t="s">
        <v>150</v>
      </c>
      <c r="B12" s="7" t="s">
        <v>151</v>
      </c>
      <c r="C12" s="7" t="s">
        <v>167</v>
      </c>
      <c r="D12" s="7" t="s">
        <v>168</v>
      </c>
      <c r="H12" s="7">
        <v>19</v>
      </c>
      <c r="I12" s="7">
        <v>19</v>
      </c>
      <c r="J12" s="8">
        <f t="shared" si="0"/>
        <v>0.5</v>
      </c>
      <c r="K12" s="10"/>
      <c r="L12" s="9"/>
      <c r="M12" s="9"/>
      <c r="N12" s="9"/>
      <c r="O12" s="9"/>
      <c r="T12" s="7" t="s">
        <v>167</v>
      </c>
    </row>
    <row r="13" spans="1:20" x14ac:dyDescent="0.25">
      <c r="A13" s="7" t="s">
        <v>150</v>
      </c>
      <c r="B13" s="7" t="s">
        <v>151</v>
      </c>
      <c r="C13" s="7" t="s">
        <v>169</v>
      </c>
      <c r="D13" s="7" t="s">
        <v>161</v>
      </c>
      <c r="H13" s="7">
        <v>18</v>
      </c>
      <c r="I13" s="7">
        <v>20</v>
      </c>
      <c r="J13" s="8">
        <f t="shared" si="0"/>
        <v>0.47368421052631576</v>
      </c>
      <c r="K13" s="8"/>
      <c r="L13" s="8"/>
      <c r="M13" s="9"/>
      <c r="N13" s="9"/>
      <c r="O13" s="9"/>
      <c r="T13" s="7" t="s">
        <v>169</v>
      </c>
    </row>
    <row r="14" spans="1:20" x14ac:dyDescent="0.25">
      <c r="A14" s="7" t="s">
        <v>150</v>
      </c>
      <c r="B14" s="7" t="s">
        <v>151</v>
      </c>
      <c r="C14" s="7" t="s">
        <v>170</v>
      </c>
      <c r="D14" s="7" t="s">
        <v>171</v>
      </c>
      <c r="H14" s="7">
        <v>17</v>
      </c>
      <c r="I14" s="7">
        <v>21</v>
      </c>
      <c r="J14" s="8">
        <f t="shared" si="0"/>
        <v>0.44736842105263158</v>
      </c>
      <c r="K14" s="10"/>
      <c r="L14" s="9"/>
      <c r="M14" s="9"/>
      <c r="N14" s="9"/>
      <c r="O14" s="9"/>
      <c r="T14" s="7" t="s">
        <v>170</v>
      </c>
    </row>
    <row r="15" spans="1:20" x14ac:dyDescent="0.25">
      <c r="A15" s="7" t="s">
        <v>150</v>
      </c>
      <c r="B15" s="7" t="s">
        <v>151</v>
      </c>
      <c r="C15" s="7" t="s">
        <v>172</v>
      </c>
      <c r="D15" s="7" t="s">
        <v>173</v>
      </c>
      <c r="H15" s="7">
        <v>17</v>
      </c>
      <c r="I15" s="7">
        <v>21</v>
      </c>
      <c r="J15" s="8">
        <f t="shared" si="0"/>
        <v>0.44736842105263158</v>
      </c>
      <c r="K15" s="10"/>
      <c r="L15" s="9"/>
      <c r="M15" s="9"/>
      <c r="N15" s="9"/>
      <c r="O15" s="9"/>
      <c r="T15" s="7" t="s">
        <v>172</v>
      </c>
    </row>
    <row r="16" spans="1:20" x14ac:dyDescent="0.25">
      <c r="A16" s="7" t="s">
        <v>150</v>
      </c>
      <c r="B16" s="7" t="s">
        <v>151</v>
      </c>
      <c r="C16" s="7" t="s">
        <v>174</v>
      </c>
      <c r="D16" s="7" t="s">
        <v>166</v>
      </c>
      <c r="H16" s="7">
        <v>16</v>
      </c>
      <c r="I16" s="7">
        <v>22</v>
      </c>
      <c r="J16" s="8">
        <f t="shared" si="0"/>
        <v>0.42105263157894735</v>
      </c>
      <c r="K16" s="10"/>
      <c r="L16" s="9"/>
      <c r="M16" s="9"/>
      <c r="N16" s="9"/>
      <c r="O16" s="9"/>
      <c r="T16" s="7" t="s">
        <v>174</v>
      </c>
    </row>
    <row r="17" spans="1:20" x14ac:dyDescent="0.25">
      <c r="A17" s="7" t="s">
        <v>150</v>
      </c>
      <c r="B17" s="7" t="s">
        <v>151</v>
      </c>
      <c r="C17" s="7" t="s">
        <v>175</v>
      </c>
      <c r="D17" s="7" t="s">
        <v>164</v>
      </c>
      <c r="H17" s="7">
        <v>15</v>
      </c>
      <c r="I17" s="7">
        <v>23</v>
      </c>
      <c r="J17" s="8">
        <f t="shared" si="0"/>
        <v>0.39473684210526316</v>
      </c>
      <c r="K17" s="10"/>
      <c r="L17" s="9"/>
      <c r="M17" s="9"/>
      <c r="N17" s="9"/>
      <c r="O17" s="9"/>
      <c r="T17" s="7" t="s">
        <v>175</v>
      </c>
    </row>
    <row r="18" spans="1:20" x14ac:dyDescent="0.25">
      <c r="A18" s="7" t="s">
        <v>150</v>
      </c>
      <c r="B18" s="7" t="s">
        <v>151</v>
      </c>
      <c r="C18" s="7" t="s">
        <v>176</v>
      </c>
      <c r="D18" s="7" t="s">
        <v>171</v>
      </c>
      <c r="H18" s="7">
        <v>14</v>
      </c>
      <c r="I18" s="7">
        <v>24</v>
      </c>
      <c r="J18" s="8">
        <f t="shared" si="0"/>
        <v>0.36842105263157893</v>
      </c>
      <c r="K18" s="8"/>
      <c r="L18" s="9"/>
      <c r="M18" s="9"/>
      <c r="N18" s="9"/>
      <c r="O18" s="9"/>
      <c r="T18" s="7" t="s">
        <v>176</v>
      </c>
    </row>
    <row r="19" spans="1:20" x14ac:dyDescent="0.25">
      <c r="A19" s="7" t="s">
        <v>150</v>
      </c>
      <c r="B19" s="7" t="s">
        <v>151</v>
      </c>
      <c r="C19" s="7" t="s">
        <v>177</v>
      </c>
      <c r="D19" s="7" t="s">
        <v>154</v>
      </c>
      <c r="H19" s="7">
        <v>13</v>
      </c>
      <c r="I19" s="7">
        <v>25</v>
      </c>
      <c r="J19" s="8">
        <f t="shared" si="0"/>
        <v>0.34210526315789475</v>
      </c>
      <c r="K19" s="8"/>
      <c r="L19" s="8"/>
      <c r="M19" s="9"/>
      <c r="N19" s="9"/>
      <c r="O19" s="9"/>
      <c r="T19" s="7" t="s">
        <v>177</v>
      </c>
    </row>
    <row r="20" spans="1:20" x14ac:dyDescent="0.25">
      <c r="A20" s="7" t="s">
        <v>150</v>
      </c>
      <c r="B20" s="7" t="s">
        <v>151</v>
      </c>
      <c r="C20" s="7" t="s">
        <v>178</v>
      </c>
      <c r="D20" s="7" t="s">
        <v>157</v>
      </c>
      <c r="H20" s="7">
        <v>12</v>
      </c>
      <c r="I20" s="7">
        <v>26</v>
      </c>
      <c r="J20" s="8">
        <f t="shared" si="0"/>
        <v>0.31578947368421051</v>
      </c>
      <c r="K20" s="8"/>
      <c r="L20" s="9"/>
      <c r="M20" s="9"/>
      <c r="N20" s="9"/>
      <c r="O20" s="9"/>
      <c r="T20" s="7" t="s">
        <v>178</v>
      </c>
    </row>
    <row r="21" spans="1:20" x14ac:dyDescent="0.25">
      <c r="A21" s="7" t="s">
        <v>150</v>
      </c>
      <c r="B21" s="7" t="s">
        <v>151</v>
      </c>
      <c r="C21" s="7" t="s">
        <v>179</v>
      </c>
      <c r="D21" s="7" t="s">
        <v>164</v>
      </c>
      <c r="H21" s="7">
        <v>8</v>
      </c>
      <c r="I21" s="7">
        <v>30</v>
      </c>
      <c r="J21" s="8">
        <f t="shared" si="0"/>
        <v>0.21052631578947367</v>
      </c>
      <c r="K21" s="10"/>
      <c r="L21" s="9"/>
      <c r="M21" s="9"/>
      <c r="N21" s="9"/>
      <c r="O21" s="9"/>
      <c r="T21" s="7" t="s">
        <v>179</v>
      </c>
    </row>
    <row r="22" spans="1:20" x14ac:dyDescent="0.25">
      <c r="A22" s="7" t="s">
        <v>180</v>
      </c>
      <c r="B22" s="7" t="s">
        <v>151</v>
      </c>
      <c r="C22" s="7" t="s">
        <v>149</v>
      </c>
      <c r="D22" s="7" t="s">
        <v>152</v>
      </c>
      <c r="H22" s="7">
        <v>24</v>
      </c>
      <c r="I22" s="7">
        <v>10</v>
      </c>
      <c r="J22" s="8">
        <f t="shared" si="0"/>
        <v>0.70588235294117652</v>
      </c>
      <c r="K22" s="8" t="s">
        <v>30</v>
      </c>
      <c r="L22" s="8" t="s">
        <v>30</v>
      </c>
      <c r="M22" s="8" t="s">
        <v>30</v>
      </c>
      <c r="N22" s="9"/>
      <c r="O22" s="9"/>
      <c r="P22" s="7">
        <v>3</v>
      </c>
      <c r="Q22" s="7">
        <v>1</v>
      </c>
      <c r="R22" s="7">
        <v>1</v>
      </c>
      <c r="S22" s="7">
        <v>1</v>
      </c>
      <c r="T22" s="7" t="s">
        <v>149</v>
      </c>
    </row>
    <row r="23" spans="1:20" x14ac:dyDescent="0.25">
      <c r="A23" s="7" t="s">
        <v>180</v>
      </c>
      <c r="B23" s="7" t="s">
        <v>151</v>
      </c>
      <c r="C23" s="7" t="s">
        <v>156</v>
      </c>
      <c r="D23" s="7" t="s">
        <v>157</v>
      </c>
      <c r="H23" s="7">
        <v>23</v>
      </c>
      <c r="I23" s="7">
        <v>11</v>
      </c>
      <c r="J23" s="8">
        <f t="shared" si="0"/>
        <v>0.67647058823529416</v>
      </c>
      <c r="K23" s="8" t="s">
        <v>30</v>
      </c>
      <c r="L23" s="8" t="s">
        <v>30</v>
      </c>
      <c r="M23" s="8" t="s">
        <v>30</v>
      </c>
      <c r="N23" s="8" t="s">
        <v>30</v>
      </c>
      <c r="O23" s="9" t="s">
        <v>30</v>
      </c>
      <c r="P23" s="7">
        <v>3</v>
      </c>
      <c r="Q23" s="7">
        <v>0</v>
      </c>
      <c r="R23" s="7">
        <v>2</v>
      </c>
      <c r="S23" s="7">
        <v>0</v>
      </c>
      <c r="T23" s="7" t="s">
        <v>156</v>
      </c>
    </row>
    <row r="24" spans="1:20" x14ac:dyDescent="0.25">
      <c r="A24" s="7" t="s">
        <v>180</v>
      </c>
      <c r="B24" s="7" t="s">
        <v>151</v>
      </c>
      <c r="C24" s="7" t="s">
        <v>162</v>
      </c>
      <c r="D24" s="7" t="s">
        <v>152</v>
      </c>
      <c r="H24" s="7">
        <v>22</v>
      </c>
      <c r="I24" s="7">
        <v>12</v>
      </c>
      <c r="J24" s="8">
        <f t="shared" si="0"/>
        <v>0.6470588235294118</v>
      </c>
      <c r="K24" s="8" t="s">
        <v>30</v>
      </c>
      <c r="L24" s="8" t="s">
        <v>30</v>
      </c>
      <c r="M24" s="8" t="s">
        <v>30</v>
      </c>
      <c r="N24" s="9"/>
      <c r="O24" s="9"/>
      <c r="P24" s="7">
        <v>3</v>
      </c>
      <c r="Q24" s="7">
        <v>2</v>
      </c>
      <c r="R24" s="7">
        <v>0</v>
      </c>
      <c r="S24" s="7">
        <v>2</v>
      </c>
      <c r="T24" s="7" t="s">
        <v>162</v>
      </c>
    </row>
    <row r="25" spans="1:20" x14ac:dyDescent="0.25">
      <c r="A25" s="7" t="s">
        <v>180</v>
      </c>
      <c r="B25" s="7" t="s">
        <v>151</v>
      </c>
      <c r="C25" s="7" t="s">
        <v>163</v>
      </c>
      <c r="D25" s="7" t="s">
        <v>164</v>
      </c>
      <c r="H25" s="7">
        <v>21</v>
      </c>
      <c r="I25" s="7">
        <v>13</v>
      </c>
      <c r="J25" s="8">
        <f t="shared" si="0"/>
        <v>0.61764705882352944</v>
      </c>
      <c r="K25" s="8" t="s">
        <v>30</v>
      </c>
      <c r="L25" s="8" t="s">
        <v>30</v>
      </c>
      <c r="M25" s="8" t="s">
        <v>30</v>
      </c>
      <c r="N25" s="8" t="s">
        <v>30</v>
      </c>
      <c r="O25" s="9"/>
      <c r="P25" s="7">
        <v>3</v>
      </c>
      <c r="Q25" s="7">
        <v>2</v>
      </c>
      <c r="R25" s="7">
        <v>1</v>
      </c>
      <c r="S25" s="7">
        <v>1</v>
      </c>
      <c r="T25" s="7" t="s">
        <v>163</v>
      </c>
    </row>
    <row r="26" spans="1:20" x14ac:dyDescent="0.25">
      <c r="A26" s="7" t="s">
        <v>180</v>
      </c>
      <c r="B26" s="7" t="s">
        <v>151</v>
      </c>
      <c r="C26" s="7" t="s">
        <v>581</v>
      </c>
      <c r="D26" s="7" t="s">
        <v>154</v>
      </c>
      <c r="H26" s="7">
        <v>20</v>
      </c>
      <c r="I26" s="7">
        <v>14</v>
      </c>
      <c r="J26" s="8">
        <f t="shared" si="0"/>
        <v>0.58823529411764708</v>
      </c>
      <c r="K26" s="8" t="s">
        <v>30</v>
      </c>
      <c r="L26" s="8" t="s">
        <v>30</v>
      </c>
      <c r="M26" s="9"/>
      <c r="N26" s="9"/>
      <c r="O26" s="9"/>
      <c r="P26" s="7">
        <v>2</v>
      </c>
      <c r="Q26" s="7">
        <v>3</v>
      </c>
      <c r="T26" s="7" t="s">
        <v>581</v>
      </c>
    </row>
    <row r="27" spans="1:20" x14ac:dyDescent="0.25">
      <c r="A27" s="7" t="s">
        <v>180</v>
      </c>
      <c r="B27" s="7" t="s">
        <v>151</v>
      </c>
      <c r="C27" s="7" t="s">
        <v>178</v>
      </c>
      <c r="D27" s="7" t="s">
        <v>157</v>
      </c>
      <c r="H27" s="7">
        <v>20</v>
      </c>
      <c r="I27" s="7">
        <v>14</v>
      </c>
      <c r="J27" s="8">
        <f t="shared" si="0"/>
        <v>0.58823529411764708</v>
      </c>
      <c r="K27" s="8" t="s">
        <v>30</v>
      </c>
      <c r="L27" s="8" t="s">
        <v>30</v>
      </c>
      <c r="M27" s="9"/>
      <c r="N27" s="9"/>
      <c r="O27" s="9"/>
      <c r="P27" s="7">
        <v>2</v>
      </c>
      <c r="Q27" s="7">
        <v>3</v>
      </c>
      <c r="T27" s="7" t="s">
        <v>178</v>
      </c>
    </row>
    <row r="28" spans="1:20" x14ac:dyDescent="0.25">
      <c r="A28" s="7" t="s">
        <v>180</v>
      </c>
      <c r="B28" s="7" t="s">
        <v>151</v>
      </c>
      <c r="C28" s="7" t="s">
        <v>155</v>
      </c>
      <c r="D28" s="7" t="s">
        <v>154</v>
      </c>
      <c r="H28" s="7">
        <v>20</v>
      </c>
      <c r="I28" s="7">
        <v>14</v>
      </c>
      <c r="J28" s="8">
        <f t="shared" si="0"/>
        <v>0.58823529411764708</v>
      </c>
      <c r="K28" s="8" t="s">
        <v>30</v>
      </c>
      <c r="L28" s="8" t="s">
        <v>30</v>
      </c>
      <c r="M28" s="9"/>
      <c r="N28" s="9"/>
      <c r="O28" s="9"/>
      <c r="P28" s="7">
        <v>1</v>
      </c>
      <c r="Q28" s="7">
        <v>3</v>
      </c>
      <c r="T28" s="7" t="s">
        <v>155</v>
      </c>
    </row>
    <row r="29" spans="1:20" x14ac:dyDescent="0.25">
      <c r="A29" s="7" t="s">
        <v>180</v>
      </c>
      <c r="B29" s="7" t="s">
        <v>151</v>
      </c>
      <c r="C29" s="7" t="s">
        <v>175</v>
      </c>
      <c r="D29" s="7" t="s">
        <v>164</v>
      </c>
      <c r="H29" s="7">
        <v>19</v>
      </c>
      <c r="I29" s="7">
        <v>15</v>
      </c>
      <c r="J29" s="8">
        <f t="shared" si="0"/>
        <v>0.55882352941176472</v>
      </c>
      <c r="K29" s="8" t="s">
        <v>30</v>
      </c>
      <c r="L29" s="9" t="s">
        <v>30</v>
      </c>
      <c r="M29" s="9"/>
      <c r="N29" s="9"/>
      <c r="O29" s="9"/>
      <c r="P29" s="7">
        <v>0</v>
      </c>
      <c r="Q29" s="7">
        <v>3</v>
      </c>
      <c r="T29" s="7" t="s">
        <v>175</v>
      </c>
    </row>
    <row r="30" spans="1:20" x14ac:dyDescent="0.25">
      <c r="A30" s="7" t="s">
        <v>180</v>
      </c>
      <c r="B30" s="7" t="s">
        <v>151</v>
      </c>
      <c r="C30" s="7" t="s">
        <v>172</v>
      </c>
      <c r="D30" s="7" t="s">
        <v>173</v>
      </c>
      <c r="H30" s="7">
        <v>19</v>
      </c>
      <c r="I30" s="7">
        <v>15</v>
      </c>
      <c r="J30" s="8">
        <f t="shared" si="0"/>
        <v>0.55882352941176472</v>
      </c>
      <c r="K30" s="8" t="s">
        <v>30</v>
      </c>
      <c r="L30" s="9"/>
      <c r="M30" s="9"/>
      <c r="N30" s="9"/>
      <c r="O30" s="9"/>
      <c r="T30" s="7" t="s">
        <v>172</v>
      </c>
    </row>
    <row r="31" spans="1:20" x14ac:dyDescent="0.25">
      <c r="A31" s="7" t="s">
        <v>180</v>
      </c>
      <c r="B31" s="7" t="s">
        <v>151</v>
      </c>
      <c r="C31" s="7" t="s">
        <v>165</v>
      </c>
      <c r="D31" s="7" t="s">
        <v>166</v>
      </c>
      <c r="H31" s="7">
        <v>18</v>
      </c>
      <c r="I31" s="7">
        <v>16</v>
      </c>
      <c r="J31" s="8">
        <f t="shared" si="0"/>
        <v>0.52941176470588236</v>
      </c>
      <c r="K31" s="8" t="s">
        <v>30</v>
      </c>
      <c r="L31" s="9"/>
      <c r="M31" s="9"/>
      <c r="N31" s="9"/>
      <c r="O31" s="9"/>
      <c r="T31" s="7" t="s">
        <v>165</v>
      </c>
    </row>
    <row r="32" spans="1:20" x14ac:dyDescent="0.25">
      <c r="A32" s="7" t="s">
        <v>180</v>
      </c>
      <c r="B32" s="7" t="s">
        <v>151</v>
      </c>
      <c r="C32" s="7" t="s">
        <v>170</v>
      </c>
      <c r="D32" s="7" t="s">
        <v>171</v>
      </c>
      <c r="H32" s="7">
        <v>17</v>
      </c>
      <c r="I32" s="7">
        <v>17</v>
      </c>
      <c r="J32" s="8">
        <f t="shared" si="0"/>
        <v>0.5</v>
      </c>
      <c r="K32" s="10"/>
      <c r="L32" s="9"/>
      <c r="M32" s="9"/>
      <c r="N32" s="9"/>
      <c r="O32" s="9"/>
      <c r="T32" s="7" t="s">
        <v>170</v>
      </c>
    </row>
    <row r="33" spans="1:20" x14ac:dyDescent="0.25">
      <c r="A33" s="7" t="s">
        <v>180</v>
      </c>
      <c r="B33" s="7" t="s">
        <v>151</v>
      </c>
      <c r="C33" s="7" t="s">
        <v>174</v>
      </c>
      <c r="D33" s="7" t="s">
        <v>166</v>
      </c>
      <c r="H33" s="7">
        <v>16</v>
      </c>
      <c r="I33" s="7">
        <v>18</v>
      </c>
      <c r="J33" s="8">
        <f t="shared" si="0"/>
        <v>0.47058823529411764</v>
      </c>
      <c r="K33" s="10"/>
      <c r="L33" s="9"/>
      <c r="M33" s="9"/>
      <c r="N33" s="9"/>
      <c r="O33" s="9"/>
      <c r="T33" s="7" t="s">
        <v>174</v>
      </c>
    </row>
    <row r="34" spans="1:20" x14ac:dyDescent="0.25">
      <c r="A34" s="7" t="s">
        <v>180</v>
      </c>
      <c r="B34" s="7" t="s">
        <v>151</v>
      </c>
      <c r="C34" s="7" t="s">
        <v>158</v>
      </c>
      <c r="D34" s="7" t="s">
        <v>159</v>
      </c>
      <c r="H34" s="7">
        <v>15</v>
      </c>
      <c r="I34" s="7">
        <v>19</v>
      </c>
      <c r="J34" s="8">
        <f t="shared" si="0"/>
        <v>0.44117647058823528</v>
      </c>
      <c r="K34" s="10"/>
      <c r="L34" s="9"/>
      <c r="M34" s="9"/>
      <c r="N34" s="9"/>
      <c r="O34" s="9"/>
      <c r="T34" s="7" t="s">
        <v>158</v>
      </c>
    </row>
    <row r="35" spans="1:20" x14ac:dyDescent="0.25">
      <c r="A35" s="7" t="s">
        <v>180</v>
      </c>
      <c r="B35" s="7" t="s">
        <v>151</v>
      </c>
      <c r="C35" s="7" t="s">
        <v>177</v>
      </c>
      <c r="D35" s="7" t="s">
        <v>154</v>
      </c>
      <c r="H35" s="7">
        <v>14</v>
      </c>
      <c r="I35" s="7">
        <v>20</v>
      </c>
      <c r="J35" s="8">
        <f t="shared" si="0"/>
        <v>0.41176470588235292</v>
      </c>
      <c r="K35" s="8"/>
      <c r="L35" s="8"/>
      <c r="M35" s="9"/>
      <c r="N35" s="9"/>
      <c r="O35" s="9"/>
      <c r="T35" s="7" t="s">
        <v>177</v>
      </c>
    </row>
    <row r="36" spans="1:20" x14ac:dyDescent="0.25">
      <c r="A36" s="7" t="s">
        <v>180</v>
      </c>
      <c r="B36" s="7" t="s">
        <v>151</v>
      </c>
      <c r="C36" s="7" t="s">
        <v>179</v>
      </c>
      <c r="D36" s="7" t="s">
        <v>164</v>
      </c>
      <c r="H36" s="7">
        <v>13</v>
      </c>
      <c r="I36" s="7">
        <v>21</v>
      </c>
      <c r="J36" s="8">
        <f t="shared" si="0"/>
        <v>0.38235294117647056</v>
      </c>
      <c r="K36" s="10"/>
      <c r="L36" s="9"/>
      <c r="M36" s="9"/>
      <c r="N36" s="9"/>
      <c r="O36" s="9"/>
      <c r="T36" s="7" t="s">
        <v>179</v>
      </c>
    </row>
    <row r="37" spans="1:20" x14ac:dyDescent="0.25">
      <c r="A37" s="7" t="s">
        <v>180</v>
      </c>
      <c r="B37" s="7" t="s">
        <v>151</v>
      </c>
      <c r="C37" s="7" t="s">
        <v>169</v>
      </c>
      <c r="D37" s="7" t="s">
        <v>161</v>
      </c>
      <c r="H37" s="7">
        <v>11</v>
      </c>
      <c r="I37" s="7">
        <v>23</v>
      </c>
      <c r="J37" s="8">
        <f t="shared" si="0"/>
        <v>0.3235294117647059</v>
      </c>
      <c r="K37" s="8"/>
      <c r="L37" s="8"/>
      <c r="M37" s="9"/>
      <c r="N37" s="9"/>
      <c r="O37" s="9"/>
      <c r="T37" s="7" t="s">
        <v>169</v>
      </c>
    </row>
    <row r="38" spans="1:20" x14ac:dyDescent="0.25">
      <c r="A38" s="7" t="s">
        <v>180</v>
      </c>
      <c r="B38" s="7" t="s">
        <v>151</v>
      </c>
      <c r="C38" s="7" t="s">
        <v>176</v>
      </c>
      <c r="D38" s="7" t="s">
        <v>171</v>
      </c>
      <c r="H38" s="7">
        <v>9</v>
      </c>
      <c r="I38" s="7">
        <v>25</v>
      </c>
      <c r="J38" s="8">
        <f t="shared" si="0"/>
        <v>0.26470588235294118</v>
      </c>
      <c r="K38" s="8"/>
      <c r="L38" s="9"/>
      <c r="M38" s="9"/>
      <c r="N38" s="9"/>
      <c r="O38" s="9"/>
      <c r="T38" s="7" t="s">
        <v>176</v>
      </c>
    </row>
    <row r="39" spans="1:20" x14ac:dyDescent="0.25">
      <c r="A39" s="7" t="s">
        <v>180</v>
      </c>
      <c r="B39" s="7" t="s">
        <v>151</v>
      </c>
      <c r="C39" s="7" t="s">
        <v>181</v>
      </c>
      <c r="D39" s="7" t="s">
        <v>173</v>
      </c>
      <c r="H39" s="7">
        <v>5</v>
      </c>
      <c r="I39" s="7">
        <v>29</v>
      </c>
      <c r="J39" s="8">
        <f t="shared" si="0"/>
        <v>0.14705882352941177</v>
      </c>
      <c r="K39" s="10"/>
      <c r="L39" s="9"/>
      <c r="M39" s="9"/>
      <c r="N39" s="9"/>
      <c r="O39" s="9"/>
      <c r="T39" s="7" t="s">
        <v>181</v>
      </c>
    </row>
    <row r="40" spans="1:20" x14ac:dyDescent="0.25">
      <c r="A40" s="7" t="s">
        <v>182</v>
      </c>
      <c r="B40" s="7" t="s">
        <v>151</v>
      </c>
      <c r="C40" s="7" t="s">
        <v>155</v>
      </c>
      <c r="D40" s="7" t="s">
        <v>154</v>
      </c>
      <c r="H40" s="7">
        <v>27</v>
      </c>
      <c r="I40" s="7">
        <v>7</v>
      </c>
      <c r="J40" s="8">
        <f t="shared" si="0"/>
        <v>0.79411764705882348</v>
      </c>
      <c r="K40" s="8" t="s">
        <v>30</v>
      </c>
      <c r="L40" s="8" t="s">
        <v>30</v>
      </c>
      <c r="M40" s="8" t="s">
        <v>30</v>
      </c>
      <c r="N40" s="8" t="s">
        <v>30</v>
      </c>
      <c r="O40" s="9"/>
      <c r="P40" s="7">
        <v>3</v>
      </c>
      <c r="Q40" s="7">
        <v>0</v>
      </c>
      <c r="R40" s="7">
        <v>1</v>
      </c>
      <c r="S40" s="7">
        <v>1</v>
      </c>
      <c r="T40" s="7" t="s">
        <v>155</v>
      </c>
    </row>
    <row r="41" spans="1:20" x14ac:dyDescent="0.25">
      <c r="A41" s="7" t="s">
        <v>182</v>
      </c>
      <c r="B41" s="7" t="s">
        <v>151</v>
      </c>
      <c r="C41" s="7" t="s">
        <v>162</v>
      </c>
      <c r="D41" s="7" t="s">
        <v>152</v>
      </c>
      <c r="H41" s="7">
        <v>23</v>
      </c>
      <c r="I41" s="7">
        <v>11</v>
      </c>
      <c r="J41" s="8">
        <f t="shared" si="0"/>
        <v>0.67647058823529416</v>
      </c>
      <c r="K41" s="8" t="s">
        <v>30</v>
      </c>
      <c r="L41" s="8" t="s">
        <v>30</v>
      </c>
      <c r="M41" s="8" t="s">
        <v>30</v>
      </c>
      <c r="N41" s="8" t="s">
        <v>30</v>
      </c>
      <c r="O41" s="9" t="s">
        <v>30</v>
      </c>
      <c r="P41" s="7">
        <v>3</v>
      </c>
      <c r="Q41" s="7">
        <v>2</v>
      </c>
      <c r="R41" s="7">
        <v>2</v>
      </c>
      <c r="S41" s="7">
        <v>0</v>
      </c>
      <c r="T41" s="7" t="s">
        <v>162</v>
      </c>
    </row>
    <row r="42" spans="1:20" x14ac:dyDescent="0.25">
      <c r="A42" s="7" t="s">
        <v>182</v>
      </c>
      <c r="B42" s="7" t="s">
        <v>151</v>
      </c>
      <c r="C42" s="7" t="s">
        <v>149</v>
      </c>
      <c r="D42" s="7" t="s">
        <v>152</v>
      </c>
      <c r="H42" s="7">
        <v>22</v>
      </c>
      <c r="I42" s="7">
        <v>12</v>
      </c>
      <c r="J42" s="8">
        <f t="shared" si="0"/>
        <v>0.6470588235294118</v>
      </c>
      <c r="K42" s="8" t="s">
        <v>30</v>
      </c>
      <c r="L42" s="8" t="s">
        <v>30</v>
      </c>
      <c r="M42" s="8" t="s">
        <v>30</v>
      </c>
      <c r="N42" s="9"/>
      <c r="O42" s="9"/>
      <c r="P42" s="7">
        <v>3</v>
      </c>
      <c r="Q42" s="7">
        <v>2</v>
      </c>
      <c r="R42" s="7">
        <v>1</v>
      </c>
      <c r="S42" s="7">
        <v>1</v>
      </c>
      <c r="T42" s="7" t="s">
        <v>149</v>
      </c>
    </row>
    <row r="43" spans="1:20" x14ac:dyDescent="0.25">
      <c r="A43" s="7" t="s">
        <v>182</v>
      </c>
      <c r="B43" s="7" t="s">
        <v>151</v>
      </c>
      <c r="C43" s="7" t="s">
        <v>156</v>
      </c>
      <c r="D43" s="7" t="s">
        <v>157</v>
      </c>
      <c r="H43" s="7">
        <v>20</v>
      </c>
      <c r="I43" s="7">
        <v>14</v>
      </c>
      <c r="J43" s="8">
        <f t="shared" si="0"/>
        <v>0.58823529411764708</v>
      </c>
      <c r="K43" s="8" t="s">
        <v>30</v>
      </c>
      <c r="L43" s="8" t="s">
        <v>30</v>
      </c>
      <c r="M43" s="8" t="s">
        <v>30</v>
      </c>
      <c r="N43" s="9"/>
      <c r="O43" s="9"/>
      <c r="P43" s="7">
        <v>3</v>
      </c>
      <c r="Q43" s="7">
        <v>2</v>
      </c>
      <c r="R43" s="7">
        <v>0</v>
      </c>
      <c r="S43" s="7">
        <v>2</v>
      </c>
      <c r="T43" s="7" t="s">
        <v>156</v>
      </c>
    </row>
    <row r="44" spans="1:20" x14ac:dyDescent="0.25">
      <c r="A44" s="7" t="s">
        <v>182</v>
      </c>
      <c r="B44" s="7" t="s">
        <v>151</v>
      </c>
      <c r="C44" s="7" t="s">
        <v>163</v>
      </c>
      <c r="D44" s="7" t="s">
        <v>164</v>
      </c>
      <c r="H44" s="7">
        <v>23</v>
      </c>
      <c r="I44" s="7">
        <v>11</v>
      </c>
      <c r="J44" s="8">
        <f t="shared" si="0"/>
        <v>0.67647058823529416</v>
      </c>
      <c r="K44" s="8" t="s">
        <v>30</v>
      </c>
      <c r="L44" s="8" t="s">
        <v>30</v>
      </c>
      <c r="M44" s="9"/>
      <c r="N44" s="9"/>
      <c r="O44" s="9"/>
      <c r="P44" s="7">
        <v>2</v>
      </c>
      <c r="Q44" s="7">
        <v>3</v>
      </c>
      <c r="T44" s="7" t="s">
        <v>163</v>
      </c>
    </row>
    <row r="45" spans="1:20" x14ac:dyDescent="0.25">
      <c r="A45" s="7" t="s">
        <v>182</v>
      </c>
      <c r="B45" s="7" t="s">
        <v>151</v>
      </c>
      <c r="C45" s="7" t="s">
        <v>581</v>
      </c>
      <c r="D45" s="7" t="s">
        <v>154</v>
      </c>
      <c r="H45" s="7">
        <v>22</v>
      </c>
      <c r="I45" s="7">
        <v>12</v>
      </c>
      <c r="J45" s="8">
        <f t="shared" si="0"/>
        <v>0.6470588235294118</v>
      </c>
      <c r="K45" s="8" t="s">
        <v>30</v>
      </c>
      <c r="L45" s="8" t="s">
        <v>30</v>
      </c>
      <c r="M45" s="9"/>
      <c r="N45" s="9"/>
      <c r="O45" s="9"/>
      <c r="P45" s="7">
        <v>2</v>
      </c>
      <c r="Q45" s="7">
        <v>3</v>
      </c>
      <c r="T45" s="7" t="s">
        <v>581</v>
      </c>
    </row>
    <row r="46" spans="1:20" x14ac:dyDescent="0.25">
      <c r="A46" s="7" t="s">
        <v>182</v>
      </c>
      <c r="B46" s="7" t="s">
        <v>151</v>
      </c>
      <c r="C46" s="7" t="s">
        <v>169</v>
      </c>
      <c r="D46" s="7" t="s">
        <v>161</v>
      </c>
      <c r="H46" s="7">
        <v>20</v>
      </c>
      <c r="I46" s="7">
        <v>14</v>
      </c>
      <c r="J46" s="8">
        <f t="shared" si="0"/>
        <v>0.58823529411764708</v>
      </c>
      <c r="K46" s="8" t="s">
        <v>30</v>
      </c>
      <c r="L46" s="8" t="s">
        <v>30</v>
      </c>
      <c r="M46" s="9"/>
      <c r="N46" s="9"/>
      <c r="O46" s="9"/>
      <c r="P46" s="7">
        <v>2</v>
      </c>
      <c r="Q46" s="7">
        <v>3</v>
      </c>
      <c r="T46" s="7" t="s">
        <v>169</v>
      </c>
    </row>
    <row r="47" spans="1:20" x14ac:dyDescent="0.25">
      <c r="A47" s="7" t="s">
        <v>182</v>
      </c>
      <c r="B47" s="7" t="s">
        <v>151</v>
      </c>
      <c r="C47" s="7" t="s">
        <v>177</v>
      </c>
      <c r="D47" s="7" t="s">
        <v>154</v>
      </c>
      <c r="H47" s="7">
        <v>18</v>
      </c>
      <c r="I47" s="7">
        <v>16</v>
      </c>
      <c r="J47" s="8">
        <f t="shared" si="0"/>
        <v>0.52941176470588236</v>
      </c>
      <c r="K47" s="8" t="s">
        <v>30</v>
      </c>
      <c r="L47" s="8" t="s">
        <v>30</v>
      </c>
      <c r="M47" s="9"/>
      <c r="N47" s="9"/>
      <c r="O47" s="9"/>
      <c r="P47" s="7">
        <v>0</v>
      </c>
      <c r="Q47" s="7">
        <v>3</v>
      </c>
      <c r="T47" s="7" t="s">
        <v>177</v>
      </c>
    </row>
    <row r="48" spans="1:20" x14ac:dyDescent="0.25">
      <c r="A48" s="7" t="s">
        <v>182</v>
      </c>
      <c r="B48" s="7" t="s">
        <v>151</v>
      </c>
      <c r="C48" s="7" t="s">
        <v>178</v>
      </c>
      <c r="D48" s="7" t="s">
        <v>157</v>
      </c>
      <c r="H48" s="7">
        <v>17</v>
      </c>
      <c r="I48" s="7">
        <v>17</v>
      </c>
      <c r="J48" s="8">
        <f t="shared" si="0"/>
        <v>0.5</v>
      </c>
      <c r="K48" s="8" t="s">
        <v>30</v>
      </c>
      <c r="L48" s="9"/>
      <c r="M48" s="9"/>
      <c r="N48" s="9"/>
      <c r="O48" s="9"/>
      <c r="T48" s="7" t="s">
        <v>178</v>
      </c>
    </row>
    <row r="49" spans="1:20" x14ac:dyDescent="0.25">
      <c r="A49" s="7" t="s">
        <v>182</v>
      </c>
      <c r="B49" s="7" t="s">
        <v>151</v>
      </c>
      <c r="C49" s="7" t="s">
        <v>176</v>
      </c>
      <c r="D49" s="7" t="s">
        <v>171</v>
      </c>
      <c r="H49" s="7">
        <v>17</v>
      </c>
      <c r="I49" s="7">
        <v>17</v>
      </c>
      <c r="J49" s="8">
        <f t="shared" si="0"/>
        <v>0.5</v>
      </c>
      <c r="K49" s="8" t="s">
        <v>30</v>
      </c>
      <c r="L49" s="9"/>
      <c r="M49" s="9"/>
      <c r="N49" s="9"/>
      <c r="O49" s="9"/>
      <c r="T49" s="7" t="s">
        <v>176</v>
      </c>
    </row>
    <row r="50" spans="1:20" x14ac:dyDescent="0.25">
      <c r="A50" s="7" t="s">
        <v>182</v>
      </c>
      <c r="B50" s="7" t="s">
        <v>151</v>
      </c>
      <c r="C50" s="7" t="s">
        <v>174</v>
      </c>
      <c r="D50" s="7" t="s">
        <v>166</v>
      </c>
      <c r="H50" s="7">
        <v>16</v>
      </c>
      <c r="I50" s="7">
        <v>18</v>
      </c>
      <c r="J50" s="8">
        <f t="shared" si="0"/>
        <v>0.47058823529411764</v>
      </c>
      <c r="K50" s="10"/>
      <c r="L50" s="9"/>
      <c r="M50" s="9"/>
      <c r="N50" s="9"/>
      <c r="O50" s="9"/>
      <c r="T50" s="7" t="s">
        <v>174</v>
      </c>
    </row>
    <row r="51" spans="1:20" x14ac:dyDescent="0.25">
      <c r="A51" s="7" t="s">
        <v>182</v>
      </c>
      <c r="B51" s="7" t="s">
        <v>151</v>
      </c>
      <c r="C51" s="7" t="s">
        <v>170</v>
      </c>
      <c r="D51" s="7" t="s">
        <v>171</v>
      </c>
      <c r="H51" s="7">
        <v>15</v>
      </c>
      <c r="I51" s="7">
        <v>19</v>
      </c>
      <c r="J51" s="8">
        <f t="shared" si="0"/>
        <v>0.44117647058823528</v>
      </c>
      <c r="K51" s="10"/>
      <c r="L51" s="9"/>
      <c r="M51" s="9"/>
      <c r="N51" s="9"/>
      <c r="O51" s="9"/>
      <c r="T51" s="7" t="s">
        <v>170</v>
      </c>
    </row>
    <row r="52" spans="1:20" x14ac:dyDescent="0.25">
      <c r="A52" s="7" t="s">
        <v>182</v>
      </c>
      <c r="B52" s="7" t="s">
        <v>151</v>
      </c>
      <c r="C52" s="7" t="s">
        <v>158</v>
      </c>
      <c r="D52" s="7" t="s">
        <v>159</v>
      </c>
      <c r="H52" s="7">
        <v>14</v>
      </c>
      <c r="I52" s="7">
        <v>20</v>
      </c>
      <c r="J52" s="8">
        <f t="shared" si="0"/>
        <v>0.41176470588235292</v>
      </c>
      <c r="K52" s="10"/>
      <c r="L52" s="9"/>
      <c r="M52" s="9"/>
      <c r="N52" s="9"/>
      <c r="O52" s="9"/>
      <c r="T52" s="7" t="s">
        <v>158</v>
      </c>
    </row>
    <row r="53" spans="1:20" x14ac:dyDescent="0.25">
      <c r="A53" s="7" t="s">
        <v>182</v>
      </c>
      <c r="B53" s="7" t="s">
        <v>151</v>
      </c>
      <c r="C53" s="7" t="s">
        <v>153</v>
      </c>
      <c r="D53" s="7" t="s">
        <v>154</v>
      </c>
      <c r="H53" s="7">
        <v>14</v>
      </c>
      <c r="I53" s="7">
        <v>20</v>
      </c>
      <c r="J53" s="8">
        <f t="shared" si="0"/>
        <v>0.41176470588235292</v>
      </c>
      <c r="K53" s="10"/>
      <c r="L53" s="9"/>
      <c r="M53" s="9"/>
      <c r="N53" s="9"/>
      <c r="O53" s="9"/>
      <c r="T53" s="7" t="s">
        <v>153</v>
      </c>
    </row>
    <row r="54" spans="1:20" x14ac:dyDescent="0.25">
      <c r="A54" s="7" t="s">
        <v>182</v>
      </c>
      <c r="B54" s="7" t="s">
        <v>151</v>
      </c>
      <c r="C54" s="7" t="s">
        <v>172</v>
      </c>
      <c r="D54" s="7" t="s">
        <v>173</v>
      </c>
      <c r="H54" s="7">
        <v>13</v>
      </c>
      <c r="I54" s="7">
        <v>21</v>
      </c>
      <c r="J54" s="8">
        <f t="shared" si="0"/>
        <v>0.38235294117647056</v>
      </c>
      <c r="K54" s="10"/>
      <c r="L54" s="9"/>
      <c r="M54" s="9"/>
      <c r="N54" s="9"/>
      <c r="O54" s="9"/>
      <c r="T54" s="7" t="s">
        <v>172</v>
      </c>
    </row>
    <row r="55" spans="1:20" x14ac:dyDescent="0.25">
      <c r="A55" s="7" t="s">
        <v>182</v>
      </c>
      <c r="B55" s="7" t="s">
        <v>151</v>
      </c>
      <c r="C55" s="7" t="s">
        <v>165</v>
      </c>
      <c r="D55" s="7" t="s">
        <v>166</v>
      </c>
      <c r="H55" s="7">
        <v>11</v>
      </c>
      <c r="I55" s="7">
        <v>23</v>
      </c>
      <c r="J55" s="8">
        <f t="shared" si="0"/>
        <v>0.3235294117647059</v>
      </c>
      <c r="K55" s="10"/>
      <c r="L55" s="9"/>
      <c r="M55" s="9"/>
      <c r="N55" s="9"/>
      <c r="O55" s="9"/>
      <c r="T55" s="7" t="s">
        <v>165</v>
      </c>
    </row>
    <row r="56" spans="1:20" x14ac:dyDescent="0.25">
      <c r="A56" s="7" t="s">
        <v>182</v>
      </c>
      <c r="B56" s="7" t="s">
        <v>151</v>
      </c>
      <c r="C56" s="7" t="s">
        <v>179</v>
      </c>
      <c r="D56" s="7" t="s">
        <v>164</v>
      </c>
      <c r="H56" s="7">
        <v>9</v>
      </c>
      <c r="I56" s="7">
        <v>25</v>
      </c>
      <c r="J56" s="8">
        <f t="shared" si="0"/>
        <v>0.26470588235294118</v>
      </c>
      <c r="K56" s="10"/>
      <c r="L56" s="9"/>
      <c r="M56" s="9"/>
      <c r="N56" s="9"/>
      <c r="O56" s="9"/>
      <c r="T56" s="7" t="s">
        <v>179</v>
      </c>
    </row>
    <row r="57" spans="1:20" x14ac:dyDescent="0.25">
      <c r="A57" s="7" t="s">
        <v>182</v>
      </c>
      <c r="B57" s="7" t="s">
        <v>151</v>
      </c>
      <c r="C57" s="7" t="s">
        <v>181</v>
      </c>
      <c r="D57" s="7" t="s">
        <v>173</v>
      </c>
      <c r="H57" s="7">
        <v>5</v>
      </c>
      <c r="I57" s="7">
        <v>29</v>
      </c>
      <c r="J57" s="8">
        <f t="shared" si="0"/>
        <v>0.14705882352941177</v>
      </c>
      <c r="K57" s="10"/>
      <c r="L57" s="9"/>
      <c r="M57" s="9"/>
      <c r="N57" s="9"/>
      <c r="O57" s="9"/>
      <c r="T57" s="7" t="s">
        <v>181</v>
      </c>
    </row>
    <row r="58" spans="1:20" x14ac:dyDescent="0.25">
      <c r="A58" s="7" t="s">
        <v>183</v>
      </c>
      <c r="B58" s="7" t="s">
        <v>151</v>
      </c>
      <c r="C58" s="7" t="s">
        <v>149</v>
      </c>
      <c r="D58" s="7" t="s">
        <v>152</v>
      </c>
      <c r="H58" s="7">
        <v>24</v>
      </c>
      <c r="I58" s="7">
        <v>10</v>
      </c>
      <c r="J58" s="8">
        <f t="shared" si="0"/>
        <v>0.70588235294117652</v>
      </c>
      <c r="K58" s="8" t="s">
        <v>30</v>
      </c>
      <c r="L58" s="8" t="s">
        <v>30</v>
      </c>
      <c r="M58" s="8" t="s">
        <v>30</v>
      </c>
      <c r="N58" s="8" t="s">
        <v>30</v>
      </c>
      <c r="O58" s="11"/>
      <c r="P58" s="7">
        <v>3</v>
      </c>
      <c r="Q58" s="7">
        <v>2</v>
      </c>
      <c r="R58" s="7">
        <v>1</v>
      </c>
      <c r="S58" s="7">
        <v>1</v>
      </c>
      <c r="T58" s="7" t="s">
        <v>149</v>
      </c>
    </row>
    <row r="59" spans="1:20" x14ac:dyDescent="0.25">
      <c r="A59" s="7" t="s">
        <v>183</v>
      </c>
      <c r="B59" s="7" t="s">
        <v>151</v>
      </c>
      <c r="C59" s="7" t="s">
        <v>155</v>
      </c>
      <c r="D59" s="7" t="s">
        <v>154</v>
      </c>
      <c r="H59" s="7">
        <v>23</v>
      </c>
      <c r="I59" s="7">
        <v>11</v>
      </c>
      <c r="J59" s="8">
        <f t="shared" si="0"/>
        <v>0.67647058823529416</v>
      </c>
      <c r="K59" s="8" t="s">
        <v>30</v>
      </c>
      <c r="L59" s="8" t="s">
        <v>30</v>
      </c>
      <c r="M59" s="8" t="s">
        <v>30</v>
      </c>
      <c r="N59" s="8" t="s">
        <v>30</v>
      </c>
      <c r="O59" s="11" t="s">
        <v>30</v>
      </c>
      <c r="P59" s="7">
        <v>3</v>
      </c>
      <c r="Q59" s="7">
        <v>2</v>
      </c>
      <c r="R59" s="7">
        <v>2</v>
      </c>
      <c r="S59" s="7">
        <v>0</v>
      </c>
      <c r="T59" s="7" t="s">
        <v>155</v>
      </c>
    </row>
    <row r="60" spans="1:20" x14ac:dyDescent="0.25">
      <c r="A60" s="7" t="s">
        <v>183</v>
      </c>
      <c r="B60" s="7" t="s">
        <v>151</v>
      </c>
      <c r="C60" s="7" t="s">
        <v>581</v>
      </c>
      <c r="D60" s="7" t="s">
        <v>154</v>
      </c>
      <c r="H60" s="7">
        <v>23</v>
      </c>
      <c r="I60" s="7">
        <v>11</v>
      </c>
      <c r="J60" s="8">
        <f t="shared" si="0"/>
        <v>0.67647058823529416</v>
      </c>
      <c r="K60" s="8" t="s">
        <v>30</v>
      </c>
      <c r="L60" s="8" t="s">
        <v>30</v>
      </c>
      <c r="M60" s="8" t="s">
        <v>30</v>
      </c>
      <c r="N60" s="8"/>
      <c r="O60" s="11"/>
      <c r="P60" s="7">
        <v>3</v>
      </c>
      <c r="Q60" s="7">
        <v>0</v>
      </c>
      <c r="R60" s="7">
        <v>0</v>
      </c>
      <c r="S60" s="7">
        <v>2</v>
      </c>
      <c r="T60" s="7" t="s">
        <v>581</v>
      </c>
    </row>
    <row r="61" spans="1:20" x14ac:dyDescent="0.25">
      <c r="A61" s="7" t="s">
        <v>183</v>
      </c>
      <c r="B61" s="7" t="s">
        <v>151</v>
      </c>
      <c r="C61" s="7" t="s">
        <v>163</v>
      </c>
      <c r="D61" s="7" t="s">
        <v>164</v>
      </c>
      <c r="H61" s="7">
        <v>21</v>
      </c>
      <c r="I61" s="7">
        <v>13</v>
      </c>
      <c r="J61" s="8">
        <f t="shared" si="0"/>
        <v>0.61764705882352944</v>
      </c>
      <c r="K61" s="8" t="s">
        <v>30</v>
      </c>
      <c r="L61" s="8" t="s">
        <v>30</v>
      </c>
      <c r="M61" s="8" t="s">
        <v>30</v>
      </c>
      <c r="N61" s="8"/>
      <c r="O61" s="11"/>
      <c r="P61" s="7">
        <v>3</v>
      </c>
      <c r="Q61" s="7">
        <v>2</v>
      </c>
      <c r="R61" s="7">
        <v>1</v>
      </c>
      <c r="S61" s="7">
        <v>1</v>
      </c>
      <c r="T61" s="7" t="s">
        <v>163</v>
      </c>
    </row>
    <row r="62" spans="1:20" x14ac:dyDescent="0.25">
      <c r="A62" s="7" t="s">
        <v>183</v>
      </c>
      <c r="B62" s="7" t="s">
        <v>151</v>
      </c>
      <c r="C62" s="7" t="s">
        <v>169</v>
      </c>
      <c r="D62" s="7" t="s">
        <v>161</v>
      </c>
      <c r="H62" s="7">
        <v>20</v>
      </c>
      <c r="I62" s="7">
        <v>14</v>
      </c>
      <c r="J62" s="8">
        <f t="shared" si="0"/>
        <v>0.58823529411764708</v>
      </c>
      <c r="K62" s="8" t="s">
        <v>30</v>
      </c>
      <c r="L62" s="8" t="s">
        <v>30</v>
      </c>
      <c r="M62" s="8"/>
      <c r="N62" s="8"/>
      <c r="O62" s="11"/>
      <c r="P62" s="7">
        <v>2</v>
      </c>
      <c r="Q62" s="7">
        <v>3</v>
      </c>
      <c r="T62" s="7" t="s">
        <v>169</v>
      </c>
    </row>
    <row r="63" spans="1:20" x14ac:dyDescent="0.25">
      <c r="A63" s="7" t="s">
        <v>183</v>
      </c>
      <c r="B63" s="7" t="s">
        <v>151</v>
      </c>
      <c r="C63" s="7" t="s">
        <v>174</v>
      </c>
      <c r="D63" s="7" t="s">
        <v>166</v>
      </c>
      <c r="H63" s="7">
        <v>20</v>
      </c>
      <c r="I63" s="7">
        <v>14</v>
      </c>
      <c r="J63" s="8">
        <f t="shared" si="0"/>
        <v>0.58823529411764708</v>
      </c>
      <c r="K63" s="8" t="s">
        <v>30</v>
      </c>
      <c r="L63" s="8" t="s">
        <v>30</v>
      </c>
      <c r="M63" s="8"/>
      <c r="N63" s="8"/>
      <c r="O63" s="11"/>
      <c r="P63" s="7">
        <v>2</v>
      </c>
      <c r="Q63" s="7">
        <v>3</v>
      </c>
      <c r="T63" s="7" t="s">
        <v>174</v>
      </c>
    </row>
    <row r="64" spans="1:20" x14ac:dyDescent="0.25">
      <c r="A64" s="7" t="s">
        <v>183</v>
      </c>
      <c r="B64" s="7" t="s">
        <v>151</v>
      </c>
      <c r="C64" s="7" t="s">
        <v>156</v>
      </c>
      <c r="D64" s="7" t="s">
        <v>157</v>
      </c>
      <c r="H64" s="7">
        <v>19</v>
      </c>
      <c r="I64" s="7">
        <v>15</v>
      </c>
      <c r="J64" s="8">
        <f t="shared" si="0"/>
        <v>0.55882352941176472</v>
      </c>
      <c r="K64" s="8" t="s">
        <v>30</v>
      </c>
      <c r="L64" s="8" t="s">
        <v>30</v>
      </c>
      <c r="M64" s="8"/>
      <c r="N64" s="8"/>
      <c r="O64" s="11"/>
      <c r="P64" s="7">
        <v>2</v>
      </c>
      <c r="Q64" s="7">
        <v>3</v>
      </c>
      <c r="T64" s="7" t="s">
        <v>156</v>
      </c>
    </row>
    <row r="65" spans="1:20" x14ac:dyDescent="0.25">
      <c r="A65" s="7" t="s">
        <v>183</v>
      </c>
      <c r="B65" s="7" t="s">
        <v>151</v>
      </c>
      <c r="C65" s="7" t="s">
        <v>158</v>
      </c>
      <c r="D65" s="7" t="s">
        <v>159</v>
      </c>
      <c r="H65" s="7">
        <v>19</v>
      </c>
      <c r="I65" s="7">
        <v>15</v>
      </c>
      <c r="J65" s="8">
        <f t="shared" si="0"/>
        <v>0.55882352941176472</v>
      </c>
      <c r="K65" s="8" t="s">
        <v>30</v>
      </c>
      <c r="L65" s="8" t="s">
        <v>30</v>
      </c>
      <c r="M65" s="8"/>
      <c r="N65" s="8"/>
      <c r="O65" s="11"/>
      <c r="P65" s="7">
        <v>0</v>
      </c>
      <c r="Q65" s="7">
        <v>3</v>
      </c>
      <c r="T65" s="7" t="s">
        <v>158</v>
      </c>
    </row>
    <row r="66" spans="1:20" x14ac:dyDescent="0.25">
      <c r="A66" s="7" t="s">
        <v>183</v>
      </c>
      <c r="B66" s="7" t="s">
        <v>151</v>
      </c>
      <c r="C66" s="7" t="s">
        <v>184</v>
      </c>
      <c r="D66" s="7" t="s">
        <v>154</v>
      </c>
      <c r="H66" s="7">
        <v>18</v>
      </c>
      <c r="I66" s="7">
        <v>16</v>
      </c>
      <c r="J66" s="8">
        <f t="shared" ref="J66:J129" si="1">H66/SUM(H66:I66)</f>
        <v>0.52941176470588236</v>
      </c>
      <c r="K66" s="8"/>
      <c r="L66" s="8"/>
      <c r="M66" s="8"/>
      <c r="N66" s="8"/>
      <c r="O66" s="11"/>
      <c r="T66" s="7" t="s">
        <v>177</v>
      </c>
    </row>
    <row r="67" spans="1:20" x14ac:dyDescent="0.25">
      <c r="A67" s="7" t="s">
        <v>183</v>
      </c>
      <c r="B67" s="7" t="s">
        <v>151</v>
      </c>
      <c r="C67" s="7" t="s">
        <v>178</v>
      </c>
      <c r="D67" s="7" t="s">
        <v>157</v>
      </c>
      <c r="H67" s="7">
        <v>17</v>
      </c>
      <c r="I67" s="7">
        <v>17</v>
      </c>
      <c r="J67" s="8">
        <f t="shared" si="1"/>
        <v>0.5</v>
      </c>
      <c r="K67" s="8"/>
      <c r="L67" s="8"/>
      <c r="M67" s="8"/>
      <c r="N67" s="8"/>
      <c r="O67" s="11"/>
      <c r="T67" s="7" t="s">
        <v>178</v>
      </c>
    </row>
    <row r="68" spans="1:20" x14ac:dyDescent="0.25">
      <c r="A68" s="7" t="s">
        <v>183</v>
      </c>
      <c r="B68" s="7" t="s">
        <v>151</v>
      </c>
      <c r="C68" s="7" t="s">
        <v>165</v>
      </c>
      <c r="D68" s="7" t="s">
        <v>166</v>
      </c>
      <c r="H68" s="7">
        <v>17</v>
      </c>
      <c r="I68" s="7">
        <v>17</v>
      </c>
      <c r="J68" s="8">
        <f t="shared" si="1"/>
        <v>0.5</v>
      </c>
      <c r="K68" s="8"/>
      <c r="L68" s="8"/>
      <c r="M68" s="8"/>
      <c r="N68" s="8"/>
      <c r="O68" s="11"/>
      <c r="T68" s="7" t="s">
        <v>165</v>
      </c>
    </row>
    <row r="69" spans="1:20" x14ac:dyDescent="0.25">
      <c r="A69" s="7" t="s">
        <v>183</v>
      </c>
      <c r="B69" s="7" t="s">
        <v>151</v>
      </c>
      <c r="C69" s="7" t="s">
        <v>170</v>
      </c>
      <c r="D69" s="7" t="s">
        <v>171</v>
      </c>
      <c r="H69" s="7">
        <v>15</v>
      </c>
      <c r="I69" s="7">
        <v>19</v>
      </c>
      <c r="J69" s="8">
        <f t="shared" si="1"/>
        <v>0.44117647058823528</v>
      </c>
      <c r="K69" s="8"/>
      <c r="L69" s="8"/>
      <c r="M69" s="8"/>
      <c r="N69" s="8"/>
      <c r="O69" s="11"/>
      <c r="T69" s="7" t="s">
        <v>170</v>
      </c>
    </row>
    <row r="70" spans="1:20" x14ac:dyDescent="0.25">
      <c r="A70" s="7" t="s">
        <v>183</v>
      </c>
      <c r="B70" s="7" t="s">
        <v>151</v>
      </c>
      <c r="C70" s="7" t="s">
        <v>153</v>
      </c>
      <c r="D70" s="7" t="s">
        <v>154</v>
      </c>
      <c r="H70" s="7">
        <v>15</v>
      </c>
      <c r="I70" s="7">
        <v>19</v>
      </c>
      <c r="J70" s="8">
        <f t="shared" si="1"/>
        <v>0.44117647058823528</v>
      </c>
      <c r="K70" s="8"/>
      <c r="L70" s="8"/>
      <c r="M70" s="8"/>
      <c r="N70" s="8"/>
      <c r="O70" s="11"/>
      <c r="T70" s="7" t="s">
        <v>153</v>
      </c>
    </row>
    <row r="71" spans="1:20" x14ac:dyDescent="0.25">
      <c r="A71" s="7" t="s">
        <v>183</v>
      </c>
      <c r="B71" s="7" t="s">
        <v>151</v>
      </c>
      <c r="C71" s="7" t="s">
        <v>176</v>
      </c>
      <c r="D71" s="7" t="s">
        <v>171</v>
      </c>
      <c r="H71" s="7">
        <v>14</v>
      </c>
      <c r="I71" s="7">
        <v>20</v>
      </c>
      <c r="J71" s="8">
        <f t="shared" si="1"/>
        <v>0.41176470588235292</v>
      </c>
      <c r="K71" s="8"/>
      <c r="L71" s="8"/>
      <c r="M71" s="8"/>
      <c r="N71" s="8"/>
      <c r="O71" s="11"/>
      <c r="T71" s="7" t="s">
        <v>176</v>
      </c>
    </row>
    <row r="72" spans="1:20" x14ac:dyDescent="0.25">
      <c r="A72" s="7" t="s">
        <v>183</v>
      </c>
      <c r="B72" s="7" t="s">
        <v>151</v>
      </c>
      <c r="C72" s="7" t="s">
        <v>172</v>
      </c>
      <c r="D72" s="7" t="s">
        <v>173</v>
      </c>
      <c r="H72" s="7">
        <v>11</v>
      </c>
      <c r="I72" s="7">
        <v>23</v>
      </c>
      <c r="J72" s="8">
        <f t="shared" si="1"/>
        <v>0.3235294117647059</v>
      </c>
      <c r="K72" s="8"/>
      <c r="L72" s="8"/>
      <c r="M72" s="8"/>
      <c r="N72" s="8"/>
      <c r="O72" s="11"/>
      <c r="T72" s="7" t="s">
        <v>172</v>
      </c>
    </row>
    <row r="73" spans="1:20" x14ac:dyDescent="0.25">
      <c r="A73" s="7" t="s">
        <v>183</v>
      </c>
      <c r="B73" s="7" t="s">
        <v>151</v>
      </c>
      <c r="C73" s="7" t="s">
        <v>181</v>
      </c>
      <c r="D73" s="7" t="s">
        <v>173</v>
      </c>
      <c r="H73" s="7">
        <v>11</v>
      </c>
      <c r="I73" s="7">
        <v>23</v>
      </c>
      <c r="J73" s="8">
        <f t="shared" si="1"/>
        <v>0.3235294117647059</v>
      </c>
      <c r="K73" s="8"/>
      <c r="L73" s="8"/>
      <c r="M73" s="8"/>
      <c r="N73" s="8"/>
      <c r="O73" s="11"/>
      <c r="T73" s="7" t="s">
        <v>181</v>
      </c>
    </row>
    <row r="74" spans="1:20" x14ac:dyDescent="0.25">
      <c r="A74" s="7" t="s">
        <v>183</v>
      </c>
      <c r="B74" s="7" t="s">
        <v>151</v>
      </c>
      <c r="C74" s="7" t="s">
        <v>162</v>
      </c>
      <c r="D74" s="7" t="s">
        <v>152</v>
      </c>
      <c r="H74" s="7">
        <v>9</v>
      </c>
      <c r="I74" s="7">
        <v>23</v>
      </c>
      <c r="J74" s="8">
        <f t="shared" si="1"/>
        <v>0.28125</v>
      </c>
      <c r="K74" s="8"/>
      <c r="L74" s="8"/>
      <c r="M74" s="8"/>
      <c r="N74" s="8"/>
      <c r="O74" s="11"/>
      <c r="T74" s="7" t="s">
        <v>162</v>
      </c>
    </row>
    <row r="75" spans="1:20" x14ac:dyDescent="0.25">
      <c r="A75" s="7" t="s">
        <v>183</v>
      </c>
      <c r="B75" s="7" t="s">
        <v>151</v>
      </c>
      <c r="C75" s="7" t="s">
        <v>179</v>
      </c>
      <c r="D75" s="7" t="s">
        <v>164</v>
      </c>
      <c r="H75" s="7">
        <v>8</v>
      </c>
      <c r="I75" s="7">
        <v>26</v>
      </c>
      <c r="J75" s="8">
        <f t="shared" si="1"/>
        <v>0.23529411764705882</v>
      </c>
      <c r="K75" s="8"/>
      <c r="L75" s="8"/>
      <c r="M75" s="8"/>
      <c r="N75" s="8"/>
      <c r="O75" s="11"/>
      <c r="T75" s="7" t="s">
        <v>179</v>
      </c>
    </row>
    <row r="76" spans="1:20" x14ac:dyDescent="0.25">
      <c r="A76" s="7" t="s">
        <v>185</v>
      </c>
      <c r="B76" s="7" t="s">
        <v>151</v>
      </c>
      <c r="C76" s="7" t="s">
        <v>581</v>
      </c>
      <c r="D76" s="7" t="s">
        <v>154</v>
      </c>
      <c r="H76" s="7">
        <v>24</v>
      </c>
      <c r="I76" s="7">
        <v>8</v>
      </c>
      <c r="J76" s="8">
        <f t="shared" si="1"/>
        <v>0.75</v>
      </c>
      <c r="K76" s="8" t="s">
        <v>30</v>
      </c>
      <c r="L76" s="8" t="s">
        <v>30</v>
      </c>
      <c r="M76" s="8" t="s">
        <v>30</v>
      </c>
      <c r="N76" s="8"/>
      <c r="O76" s="11"/>
      <c r="P76" s="7">
        <v>3</v>
      </c>
      <c r="Q76" s="7">
        <v>2</v>
      </c>
      <c r="R76" s="7">
        <v>1</v>
      </c>
      <c r="S76" s="7">
        <v>1</v>
      </c>
      <c r="T76" s="7" t="s">
        <v>581</v>
      </c>
    </row>
    <row r="77" spans="1:20" x14ac:dyDescent="0.25">
      <c r="A77" s="7" t="s">
        <v>185</v>
      </c>
      <c r="B77" s="7" t="s">
        <v>151</v>
      </c>
      <c r="C77" s="7" t="s">
        <v>155</v>
      </c>
      <c r="D77" s="7" t="s">
        <v>154</v>
      </c>
      <c r="H77" s="7">
        <v>22</v>
      </c>
      <c r="I77" s="7">
        <v>11</v>
      </c>
      <c r="J77" s="8">
        <f t="shared" si="1"/>
        <v>0.66666666666666663</v>
      </c>
      <c r="K77" s="8" t="s">
        <v>30</v>
      </c>
      <c r="L77" s="8" t="s">
        <v>30</v>
      </c>
      <c r="M77" s="8" t="s">
        <v>30</v>
      </c>
      <c r="N77" s="8" t="s">
        <v>30</v>
      </c>
      <c r="O77" s="11"/>
      <c r="P77" s="7">
        <v>3</v>
      </c>
      <c r="Q77" s="7">
        <v>0</v>
      </c>
      <c r="R77" s="7">
        <v>1</v>
      </c>
      <c r="S77" s="7">
        <v>1</v>
      </c>
      <c r="T77" s="7" t="s">
        <v>155</v>
      </c>
    </row>
    <row r="78" spans="1:20" x14ac:dyDescent="0.25">
      <c r="A78" s="7" t="s">
        <v>185</v>
      </c>
      <c r="B78" s="7" t="s">
        <v>151</v>
      </c>
      <c r="C78" s="7" t="s">
        <v>149</v>
      </c>
      <c r="D78" s="7" t="s">
        <v>152</v>
      </c>
      <c r="H78" s="7">
        <v>20</v>
      </c>
      <c r="I78" s="7">
        <v>11</v>
      </c>
      <c r="J78" s="8">
        <f t="shared" si="1"/>
        <v>0.64516129032258063</v>
      </c>
      <c r="K78" s="8" t="s">
        <v>30</v>
      </c>
      <c r="L78" s="8" t="s">
        <v>30</v>
      </c>
      <c r="M78" s="8" t="s">
        <v>30</v>
      </c>
      <c r="N78" s="8"/>
      <c r="O78" s="11"/>
      <c r="P78" s="7">
        <v>3</v>
      </c>
      <c r="Q78" s="7">
        <v>2</v>
      </c>
      <c r="R78" s="7">
        <v>0</v>
      </c>
      <c r="S78" s="7">
        <v>2</v>
      </c>
      <c r="T78" s="7" t="s">
        <v>149</v>
      </c>
    </row>
    <row r="79" spans="1:20" x14ac:dyDescent="0.25">
      <c r="A79" s="7" t="s">
        <v>185</v>
      </c>
      <c r="B79" s="7" t="s">
        <v>151</v>
      </c>
      <c r="C79" s="7" t="s">
        <v>178</v>
      </c>
      <c r="D79" s="7" t="s">
        <v>157</v>
      </c>
      <c r="H79" s="7">
        <v>18</v>
      </c>
      <c r="I79" s="7">
        <v>16</v>
      </c>
      <c r="J79" s="8">
        <f t="shared" si="1"/>
        <v>0.52941176470588236</v>
      </c>
      <c r="K79" s="8" t="s">
        <v>30</v>
      </c>
      <c r="L79" s="8" t="s">
        <v>30</v>
      </c>
      <c r="M79" s="8" t="s">
        <v>30</v>
      </c>
      <c r="N79" s="8" t="s">
        <v>30</v>
      </c>
      <c r="O79" s="11" t="s">
        <v>30</v>
      </c>
      <c r="P79" s="7">
        <v>3</v>
      </c>
      <c r="Q79" s="7">
        <v>1</v>
      </c>
      <c r="R79" s="7">
        <v>2</v>
      </c>
      <c r="S79" s="7">
        <v>0</v>
      </c>
      <c r="T79" s="7" t="s">
        <v>178</v>
      </c>
    </row>
    <row r="80" spans="1:20" x14ac:dyDescent="0.25">
      <c r="A80" s="7" t="s">
        <v>185</v>
      </c>
      <c r="B80" s="7" t="s">
        <v>151</v>
      </c>
      <c r="C80" s="7" t="s">
        <v>170</v>
      </c>
      <c r="D80" s="7" t="s">
        <v>171</v>
      </c>
      <c r="H80" s="7">
        <v>21</v>
      </c>
      <c r="I80" s="7">
        <v>11</v>
      </c>
      <c r="J80" s="8">
        <f t="shared" si="1"/>
        <v>0.65625</v>
      </c>
      <c r="K80" s="8" t="s">
        <v>30</v>
      </c>
      <c r="L80" s="8" t="s">
        <v>30</v>
      </c>
      <c r="M80" s="8"/>
      <c r="N80" s="8"/>
      <c r="O80" s="11"/>
      <c r="P80" s="7">
        <v>1</v>
      </c>
      <c r="Q80" s="7">
        <v>3</v>
      </c>
      <c r="T80" s="7" t="s">
        <v>170</v>
      </c>
    </row>
    <row r="81" spans="1:20" x14ac:dyDescent="0.25">
      <c r="A81" s="7" t="s">
        <v>185</v>
      </c>
      <c r="B81" s="7" t="s">
        <v>151</v>
      </c>
      <c r="C81" s="7" t="s">
        <v>163</v>
      </c>
      <c r="D81" s="7" t="s">
        <v>164</v>
      </c>
      <c r="H81" s="7">
        <v>19</v>
      </c>
      <c r="I81" s="7">
        <v>14</v>
      </c>
      <c r="J81" s="8">
        <f t="shared" si="1"/>
        <v>0.5757575757575758</v>
      </c>
      <c r="K81" s="8" t="s">
        <v>30</v>
      </c>
      <c r="L81" s="8" t="s">
        <v>30</v>
      </c>
      <c r="M81" s="8"/>
      <c r="N81" s="8"/>
      <c r="O81" s="11"/>
      <c r="P81" s="7">
        <v>2</v>
      </c>
      <c r="Q81" s="7">
        <v>3</v>
      </c>
      <c r="T81" s="7" t="s">
        <v>163</v>
      </c>
    </row>
    <row r="82" spans="1:20" x14ac:dyDescent="0.25">
      <c r="A82" s="7" t="s">
        <v>185</v>
      </c>
      <c r="B82" s="7" t="s">
        <v>151</v>
      </c>
      <c r="C82" s="7" t="s">
        <v>169</v>
      </c>
      <c r="D82" s="7" t="s">
        <v>161</v>
      </c>
      <c r="H82" s="7">
        <v>18</v>
      </c>
      <c r="I82" s="7">
        <v>14</v>
      </c>
      <c r="J82" s="8">
        <f t="shared" si="1"/>
        <v>0.5625</v>
      </c>
      <c r="K82" s="8" t="s">
        <v>30</v>
      </c>
      <c r="L82" s="8" t="s">
        <v>30</v>
      </c>
      <c r="M82" s="8"/>
      <c r="N82" s="8"/>
      <c r="O82" s="11"/>
      <c r="P82" s="7">
        <v>0</v>
      </c>
      <c r="Q82" s="7">
        <v>3</v>
      </c>
      <c r="T82" s="7" t="s">
        <v>169</v>
      </c>
    </row>
    <row r="83" spans="1:20" x14ac:dyDescent="0.25">
      <c r="A83" s="7" t="s">
        <v>185</v>
      </c>
      <c r="B83" s="7" t="s">
        <v>151</v>
      </c>
      <c r="C83" s="7" t="s">
        <v>172</v>
      </c>
      <c r="D83" s="7" t="s">
        <v>173</v>
      </c>
      <c r="H83" s="7">
        <v>14</v>
      </c>
      <c r="I83" s="7">
        <v>17</v>
      </c>
      <c r="J83" s="8">
        <f t="shared" si="1"/>
        <v>0.45161290322580644</v>
      </c>
      <c r="K83" s="8" t="s">
        <v>30</v>
      </c>
      <c r="L83" s="8" t="s">
        <v>30</v>
      </c>
      <c r="M83" s="8"/>
      <c r="N83" s="8"/>
      <c r="O83" s="11"/>
      <c r="P83" s="7">
        <v>2</v>
      </c>
      <c r="Q83" s="7">
        <v>3</v>
      </c>
      <c r="T83" s="7" t="s">
        <v>172</v>
      </c>
    </row>
    <row r="84" spans="1:20" x14ac:dyDescent="0.25">
      <c r="A84" s="7" t="s">
        <v>185</v>
      </c>
      <c r="B84" s="7" t="s">
        <v>151</v>
      </c>
      <c r="C84" s="7" t="s">
        <v>186</v>
      </c>
      <c r="D84" s="7" t="s">
        <v>187</v>
      </c>
      <c r="H84" s="7">
        <v>14</v>
      </c>
      <c r="I84" s="7">
        <v>9</v>
      </c>
      <c r="J84" s="8">
        <f t="shared" si="1"/>
        <v>0.60869565217391308</v>
      </c>
      <c r="K84" s="8"/>
      <c r="L84" s="8"/>
      <c r="M84" s="8"/>
      <c r="N84" s="8"/>
      <c r="O84" s="11"/>
      <c r="T84" s="7" t="s">
        <v>186</v>
      </c>
    </row>
    <row r="85" spans="1:20" x14ac:dyDescent="0.25">
      <c r="A85" s="7" t="s">
        <v>185</v>
      </c>
      <c r="B85" s="7" t="s">
        <v>151</v>
      </c>
      <c r="C85" s="7" t="s">
        <v>188</v>
      </c>
      <c r="D85" s="7" t="s">
        <v>187</v>
      </c>
      <c r="H85" s="7">
        <v>14</v>
      </c>
      <c r="I85" s="7">
        <v>10</v>
      </c>
      <c r="J85" s="8">
        <f t="shared" si="1"/>
        <v>0.58333333333333337</v>
      </c>
      <c r="K85" s="8"/>
      <c r="L85" s="8"/>
      <c r="M85" s="8"/>
      <c r="N85" s="8"/>
      <c r="O85" s="11"/>
      <c r="T85" s="7" t="s">
        <v>188</v>
      </c>
    </row>
    <row r="86" spans="1:20" x14ac:dyDescent="0.25">
      <c r="A86" s="7" t="s">
        <v>185</v>
      </c>
      <c r="B86" s="7" t="s">
        <v>151</v>
      </c>
      <c r="C86" s="7" t="s">
        <v>189</v>
      </c>
      <c r="D86" s="7" t="s">
        <v>187</v>
      </c>
      <c r="H86" s="7">
        <v>13</v>
      </c>
      <c r="I86" s="7">
        <v>12</v>
      </c>
      <c r="J86" s="8">
        <f t="shared" si="1"/>
        <v>0.52</v>
      </c>
      <c r="K86" s="8"/>
      <c r="L86" s="8"/>
      <c r="M86" s="8"/>
      <c r="N86" s="8"/>
      <c r="O86" s="11"/>
      <c r="T86" s="7" t="s">
        <v>189</v>
      </c>
    </row>
    <row r="87" spans="1:20" x14ac:dyDescent="0.25">
      <c r="A87" s="7" t="s">
        <v>185</v>
      </c>
      <c r="B87" s="7" t="s">
        <v>151</v>
      </c>
      <c r="C87" s="7" t="s">
        <v>165</v>
      </c>
      <c r="D87" s="7" t="s">
        <v>166</v>
      </c>
      <c r="H87" s="7">
        <v>14</v>
      </c>
      <c r="I87" s="7">
        <v>19</v>
      </c>
      <c r="J87" s="8">
        <f t="shared" si="1"/>
        <v>0.42424242424242425</v>
      </c>
      <c r="K87" s="8"/>
      <c r="L87" s="8"/>
      <c r="M87" s="8"/>
      <c r="N87" s="8"/>
      <c r="O87" s="11"/>
      <c r="T87" s="7" t="s">
        <v>165</v>
      </c>
    </row>
    <row r="88" spans="1:20" x14ac:dyDescent="0.25">
      <c r="A88" s="7" t="s">
        <v>185</v>
      </c>
      <c r="B88" s="7" t="s">
        <v>151</v>
      </c>
      <c r="C88" s="7" t="s">
        <v>156</v>
      </c>
      <c r="D88" s="7" t="s">
        <v>157</v>
      </c>
      <c r="H88" s="7">
        <v>13</v>
      </c>
      <c r="I88" s="7">
        <v>18</v>
      </c>
      <c r="J88" s="8">
        <f t="shared" si="1"/>
        <v>0.41935483870967744</v>
      </c>
      <c r="K88" s="8"/>
      <c r="L88" s="8"/>
      <c r="M88" s="8"/>
      <c r="N88" s="8"/>
      <c r="O88" s="11"/>
      <c r="T88" s="7" t="s">
        <v>156</v>
      </c>
    </row>
    <row r="89" spans="1:20" x14ac:dyDescent="0.25">
      <c r="A89" s="7" t="s">
        <v>185</v>
      </c>
      <c r="B89" s="7" t="s">
        <v>151</v>
      </c>
      <c r="C89" s="7" t="s">
        <v>181</v>
      </c>
      <c r="D89" s="7" t="s">
        <v>173</v>
      </c>
      <c r="H89" s="7">
        <v>14</v>
      </c>
      <c r="I89" s="7">
        <v>20</v>
      </c>
      <c r="J89" s="8">
        <f t="shared" si="1"/>
        <v>0.41176470588235292</v>
      </c>
      <c r="K89" s="8"/>
      <c r="L89" s="8"/>
      <c r="M89" s="8"/>
      <c r="N89" s="8"/>
      <c r="O89" s="11"/>
      <c r="T89" s="7" t="s">
        <v>181</v>
      </c>
    </row>
    <row r="90" spans="1:20" x14ac:dyDescent="0.25">
      <c r="A90" s="7" t="s">
        <v>185</v>
      </c>
      <c r="B90" s="7" t="s">
        <v>151</v>
      </c>
      <c r="C90" s="7" t="s">
        <v>184</v>
      </c>
      <c r="D90" s="7" t="s">
        <v>154</v>
      </c>
      <c r="H90" s="7">
        <v>12</v>
      </c>
      <c r="I90" s="7">
        <v>20</v>
      </c>
      <c r="J90" s="8">
        <f t="shared" si="1"/>
        <v>0.375</v>
      </c>
      <c r="K90" s="8"/>
      <c r="L90" s="8"/>
      <c r="M90" s="8"/>
      <c r="N90" s="8"/>
      <c r="O90" s="11"/>
      <c r="T90" s="7" t="s">
        <v>177</v>
      </c>
    </row>
    <row r="91" spans="1:20" x14ac:dyDescent="0.25">
      <c r="A91" s="7" t="s">
        <v>185</v>
      </c>
      <c r="B91" s="7" t="s">
        <v>151</v>
      </c>
      <c r="C91" s="7" t="s">
        <v>179</v>
      </c>
      <c r="D91" s="7" t="s">
        <v>164</v>
      </c>
      <c r="H91" s="7">
        <v>10</v>
      </c>
      <c r="I91" s="7">
        <v>22</v>
      </c>
      <c r="J91" s="8">
        <f t="shared" si="1"/>
        <v>0.3125</v>
      </c>
      <c r="K91" s="8"/>
      <c r="L91" s="8"/>
      <c r="M91" s="8"/>
      <c r="N91" s="8"/>
      <c r="O91" s="11"/>
      <c r="T91" s="7" t="s">
        <v>179</v>
      </c>
    </row>
    <row r="92" spans="1:20" x14ac:dyDescent="0.25">
      <c r="A92" s="7" t="s">
        <v>185</v>
      </c>
      <c r="B92" s="7" t="s">
        <v>151</v>
      </c>
      <c r="C92" s="7" t="s">
        <v>162</v>
      </c>
      <c r="D92" s="7" t="s">
        <v>152</v>
      </c>
      <c r="H92" s="7">
        <v>10</v>
      </c>
      <c r="I92" s="7">
        <v>22</v>
      </c>
      <c r="J92" s="8">
        <f t="shared" si="1"/>
        <v>0.3125</v>
      </c>
      <c r="K92" s="8"/>
      <c r="L92" s="8"/>
      <c r="M92" s="8"/>
      <c r="N92" s="8"/>
      <c r="O92" s="11"/>
      <c r="T92" s="7" t="s">
        <v>162</v>
      </c>
    </row>
    <row r="93" spans="1:20" x14ac:dyDescent="0.25">
      <c r="A93" s="7" t="s">
        <v>185</v>
      </c>
      <c r="B93" s="7" t="s">
        <v>151</v>
      </c>
      <c r="C93" s="7" t="s">
        <v>158</v>
      </c>
      <c r="D93" s="7" t="s">
        <v>159</v>
      </c>
      <c r="H93" s="7">
        <v>8</v>
      </c>
      <c r="I93" s="7">
        <v>24</v>
      </c>
      <c r="J93" s="8">
        <f t="shared" si="1"/>
        <v>0.25</v>
      </c>
      <c r="K93" s="8"/>
      <c r="L93" s="8"/>
      <c r="M93" s="8"/>
      <c r="N93" s="8"/>
      <c r="O93" s="11"/>
      <c r="T93" s="7" t="s">
        <v>158</v>
      </c>
    </row>
    <row r="94" spans="1:20" x14ac:dyDescent="0.25">
      <c r="A94" s="7" t="s">
        <v>190</v>
      </c>
      <c r="B94" s="7" t="s">
        <v>151</v>
      </c>
      <c r="C94" s="7" t="s">
        <v>581</v>
      </c>
      <c r="D94" s="7" t="s">
        <v>154</v>
      </c>
      <c r="H94" s="7">
        <v>24</v>
      </c>
      <c r="I94" s="7">
        <v>10</v>
      </c>
      <c r="J94" s="8">
        <f t="shared" si="1"/>
        <v>0.70588235294117652</v>
      </c>
      <c r="K94" s="8" t="s">
        <v>30</v>
      </c>
      <c r="L94" s="8" t="s">
        <v>30</v>
      </c>
      <c r="M94" s="8" t="s">
        <v>30</v>
      </c>
      <c r="N94" s="8" t="s">
        <v>30</v>
      </c>
      <c r="O94" s="11"/>
      <c r="P94" s="7">
        <v>3</v>
      </c>
      <c r="Q94" s="7">
        <v>2</v>
      </c>
      <c r="R94" s="7">
        <v>1</v>
      </c>
      <c r="S94" s="7">
        <v>1</v>
      </c>
      <c r="T94" s="7" t="s">
        <v>581</v>
      </c>
    </row>
    <row r="95" spans="1:20" x14ac:dyDescent="0.25">
      <c r="A95" s="7" t="s">
        <v>190</v>
      </c>
      <c r="B95" s="7" t="s">
        <v>151</v>
      </c>
      <c r="C95" s="7" t="s">
        <v>188</v>
      </c>
      <c r="D95" s="7" t="s">
        <v>187</v>
      </c>
      <c r="H95" s="7">
        <v>24</v>
      </c>
      <c r="I95" s="7">
        <v>10</v>
      </c>
      <c r="J95" s="8">
        <f t="shared" si="1"/>
        <v>0.70588235294117652</v>
      </c>
      <c r="K95" s="8" t="s">
        <v>30</v>
      </c>
      <c r="L95" s="8" t="s">
        <v>30</v>
      </c>
      <c r="M95" s="8" t="s">
        <v>30</v>
      </c>
      <c r="N95" s="8"/>
      <c r="O95" s="11"/>
      <c r="P95" s="7">
        <v>3</v>
      </c>
      <c r="Q95" s="7">
        <v>0</v>
      </c>
      <c r="R95" s="7">
        <v>0</v>
      </c>
      <c r="S95" s="7">
        <v>2</v>
      </c>
      <c r="T95" s="7" t="s">
        <v>188</v>
      </c>
    </row>
    <row r="96" spans="1:20" x14ac:dyDescent="0.25">
      <c r="A96" s="7" t="s">
        <v>190</v>
      </c>
      <c r="B96" s="7" t="s">
        <v>151</v>
      </c>
      <c r="C96" s="7" t="s">
        <v>178</v>
      </c>
      <c r="D96" s="7" t="s">
        <v>157</v>
      </c>
      <c r="H96" s="7">
        <v>22</v>
      </c>
      <c r="I96" s="7">
        <v>12</v>
      </c>
      <c r="J96" s="8">
        <f t="shared" si="1"/>
        <v>0.6470588235294118</v>
      </c>
      <c r="K96" s="8" t="s">
        <v>30</v>
      </c>
      <c r="L96" s="8" t="s">
        <v>30</v>
      </c>
      <c r="M96" s="8" t="s">
        <v>30</v>
      </c>
      <c r="N96" s="8" t="s">
        <v>30</v>
      </c>
      <c r="O96" s="11" t="s">
        <v>30</v>
      </c>
      <c r="P96" s="7">
        <v>3</v>
      </c>
      <c r="Q96" s="7">
        <v>2</v>
      </c>
      <c r="R96" s="7">
        <v>2</v>
      </c>
      <c r="S96" s="7">
        <v>0</v>
      </c>
      <c r="T96" s="7" t="s">
        <v>178</v>
      </c>
    </row>
    <row r="97" spans="1:20" x14ac:dyDescent="0.25">
      <c r="A97" s="7" t="s">
        <v>190</v>
      </c>
      <c r="B97" s="7" t="s">
        <v>151</v>
      </c>
      <c r="C97" s="7" t="s">
        <v>170</v>
      </c>
      <c r="D97" s="7" t="s">
        <v>171</v>
      </c>
      <c r="H97" s="7">
        <v>21</v>
      </c>
      <c r="I97" s="7">
        <v>13</v>
      </c>
      <c r="J97" s="8">
        <f t="shared" si="1"/>
        <v>0.61764705882352944</v>
      </c>
      <c r="K97" s="8" t="s">
        <v>30</v>
      </c>
      <c r="L97" s="8" t="s">
        <v>30</v>
      </c>
      <c r="M97" s="8" t="s">
        <v>30</v>
      </c>
      <c r="N97" s="8"/>
      <c r="O97" s="11"/>
      <c r="P97" s="7">
        <v>3</v>
      </c>
      <c r="Q97" s="7">
        <v>2</v>
      </c>
      <c r="R97" s="7">
        <v>1</v>
      </c>
      <c r="S97" s="7">
        <v>1</v>
      </c>
      <c r="T97" s="7" t="s">
        <v>170</v>
      </c>
    </row>
    <row r="98" spans="1:20" x14ac:dyDescent="0.25">
      <c r="A98" s="7" t="s">
        <v>190</v>
      </c>
      <c r="B98" s="7" t="s">
        <v>151</v>
      </c>
      <c r="C98" s="7" t="s">
        <v>172</v>
      </c>
      <c r="D98" s="7" t="s">
        <v>173</v>
      </c>
      <c r="H98" s="7">
        <v>21</v>
      </c>
      <c r="I98" s="7">
        <v>13</v>
      </c>
      <c r="J98" s="8">
        <f t="shared" si="1"/>
        <v>0.61764705882352944</v>
      </c>
      <c r="K98" s="8" t="s">
        <v>30</v>
      </c>
      <c r="L98" s="8" t="s">
        <v>30</v>
      </c>
      <c r="M98" s="8"/>
      <c r="N98" s="8"/>
      <c r="O98" s="11"/>
      <c r="P98" s="7">
        <v>2</v>
      </c>
      <c r="Q98" s="7">
        <v>3</v>
      </c>
      <c r="T98" s="7" t="s">
        <v>172</v>
      </c>
    </row>
    <row r="99" spans="1:20" x14ac:dyDescent="0.25">
      <c r="A99" s="7" t="s">
        <v>190</v>
      </c>
      <c r="B99" s="7" t="s">
        <v>151</v>
      </c>
      <c r="C99" s="7" t="s">
        <v>155</v>
      </c>
      <c r="D99" s="7" t="s">
        <v>154</v>
      </c>
      <c r="H99" s="7">
        <v>20</v>
      </c>
      <c r="I99" s="7">
        <v>13</v>
      </c>
      <c r="J99" s="8">
        <f t="shared" si="1"/>
        <v>0.60606060606060608</v>
      </c>
      <c r="K99" s="8" t="s">
        <v>30</v>
      </c>
      <c r="L99" s="8" t="s">
        <v>30</v>
      </c>
      <c r="M99" s="8"/>
      <c r="N99" s="8"/>
      <c r="O99" s="11"/>
      <c r="P99" s="7">
        <v>2</v>
      </c>
      <c r="Q99" s="7">
        <v>3</v>
      </c>
      <c r="T99" s="7" t="s">
        <v>155</v>
      </c>
    </row>
    <row r="100" spans="1:20" x14ac:dyDescent="0.25">
      <c r="A100" s="7" t="s">
        <v>190</v>
      </c>
      <c r="B100" s="7" t="s">
        <v>151</v>
      </c>
      <c r="C100" s="7" t="s">
        <v>186</v>
      </c>
      <c r="D100" s="7" t="s">
        <v>187</v>
      </c>
      <c r="H100" s="7">
        <v>20</v>
      </c>
      <c r="I100" s="7">
        <v>14</v>
      </c>
      <c r="J100" s="8">
        <f t="shared" si="1"/>
        <v>0.58823529411764708</v>
      </c>
      <c r="K100" s="8" t="s">
        <v>30</v>
      </c>
      <c r="L100" s="8" t="s">
        <v>30</v>
      </c>
      <c r="M100" s="8"/>
      <c r="N100" s="8"/>
      <c r="O100" s="11"/>
      <c r="P100" s="7">
        <v>2</v>
      </c>
      <c r="Q100" s="7">
        <v>3</v>
      </c>
      <c r="T100" s="7" t="s">
        <v>186</v>
      </c>
    </row>
    <row r="101" spans="1:20" x14ac:dyDescent="0.25">
      <c r="A101" s="7" t="s">
        <v>190</v>
      </c>
      <c r="B101" s="7" t="s">
        <v>151</v>
      </c>
      <c r="C101" s="7" t="s">
        <v>156</v>
      </c>
      <c r="D101" s="7" t="s">
        <v>157</v>
      </c>
      <c r="H101" s="7">
        <v>20</v>
      </c>
      <c r="I101" s="7">
        <v>14</v>
      </c>
      <c r="J101" s="8">
        <f t="shared" si="1"/>
        <v>0.58823529411764708</v>
      </c>
      <c r="K101" s="8" t="s">
        <v>30</v>
      </c>
      <c r="L101" s="8" t="s">
        <v>30</v>
      </c>
      <c r="M101" s="8"/>
      <c r="N101" s="8"/>
      <c r="O101" s="11"/>
      <c r="P101" s="7">
        <v>0</v>
      </c>
      <c r="Q101" s="7">
        <v>3</v>
      </c>
      <c r="T101" s="7" t="s">
        <v>156</v>
      </c>
    </row>
    <row r="102" spans="1:20" x14ac:dyDescent="0.25">
      <c r="A102" s="7" t="s">
        <v>190</v>
      </c>
      <c r="B102" s="7" t="s">
        <v>151</v>
      </c>
      <c r="C102" s="7" t="s">
        <v>153</v>
      </c>
      <c r="D102" s="7" t="s">
        <v>154</v>
      </c>
      <c r="H102" s="7">
        <v>19</v>
      </c>
      <c r="I102" s="7">
        <v>15</v>
      </c>
      <c r="J102" s="8">
        <f t="shared" si="1"/>
        <v>0.55882352941176472</v>
      </c>
      <c r="K102" s="8"/>
      <c r="L102" s="8"/>
      <c r="M102" s="8"/>
      <c r="N102" s="8"/>
      <c r="O102" s="11"/>
      <c r="T102" s="7" t="s">
        <v>153</v>
      </c>
    </row>
    <row r="103" spans="1:20" x14ac:dyDescent="0.25">
      <c r="A103" s="7" t="s">
        <v>190</v>
      </c>
      <c r="B103" s="7" t="s">
        <v>151</v>
      </c>
      <c r="C103" s="7" t="s">
        <v>191</v>
      </c>
      <c r="D103" s="7" t="s">
        <v>154</v>
      </c>
      <c r="H103" s="7">
        <v>17</v>
      </c>
      <c r="I103" s="7">
        <v>16</v>
      </c>
      <c r="J103" s="8">
        <f t="shared" si="1"/>
        <v>0.51515151515151514</v>
      </c>
      <c r="K103" s="8"/>
      <c r="L103" s="8"/>
      <c r="M103" s="8"/>
      <c r="N103" s="8"/>
      <c r="O103" s="11"/>
      <c r="T103" s="7" t="s">
        <v>177</v>
      </c>
    </row>
    <row r="104" spans="1:20" x14ac:dyDescent="0.25">
      <c r="A104" s="7" t="s">
        <v>190</v>
      </c>
      <c r="B104" s="7" t="s">
        <v>151</v>
      </c>
      <c r="C104" s="7" t="s">
        <v>158</v>
      </c>
      <c r="D104" s="7" t="s">
        <v>159</v>
      </c>
      <c r="H104" s="7">
        <v>17</v>
      </c>
      <c r="I104" s="7">
        <v>17</v>
      </c>
      <c r="J104" s="8">
        <f t="shared" si="1"/>
        <v>0.5</v>
      </c>
      <c r="K104" s="8"/>
      <c r="L104" s="8"/>
      <c r="M104" s="8"/>
      <c r="N104" s="8"/>
      <c r="O104" s="11"/>
      <c r="T104" s="7" t="s">
        <v>158</v>
      </c>
    </row>
    <row r="105" spans="1:20" x14ac:dyDescent="0.25">
      <c r="A105" s="7" t="s">
        <v>190</v>
      </c>
      <c r="B105" s="7" t="s">
        <v>151</v>
      </c>
      <c r="C105" s="7" t="s">
        <v>149</v>
      </c>
      <c r="D105" s="7" t="s">
        <v>152</v>
      </c>
      <c r="H105" s="7">
        <v>16</v>
      </c>
      <c r="I105" s="7">
        <v>18</v>
      </c>
      <c r="J105" s="8">
        <f t="shared" si="1"/>
        <v>0.47058823529411764</v>
      </c>
      <c r="K105" s="8"/>
      <c r="L105" s="8"/>
      <c r="M105" s="8"/>
      <c r="N105" s="8"/>
      <c r="O105" s="11"/>
      <c r="T105" s="7" t="s">
        <v>149</v>
      </c>
    </row>
    <row r="106" spans="1:20" x14ac:dyDescent="0.25">
      <c r="A106" s="7" t="s">
        <v>190</v>
      </c>
      <c r="B106" s="7" t="s">
        <v>151</v>
      </c>
      <c r="C106" s="7" t="s">
        <v>169</v>
      </c>
      <c r="D106" s="7" t="s">
        <v>161</v>
      </c>
      <c r="H106" s="7">
        <v>14</v>
      </c>
      <c r="I106" s="7">
        <v>20</v>
      </c>
      <c r="J106" s="8">
        <f t="shared" si="1"/>
        <v>0.41176470588235292</v>
      </c>
      <c r="K106" s="8"/>
      <c r="L106" s="8"/>
      <c r="M106" s="8"/>
      <c r="N106" s="8"/>
      <c r="O106" s="11"/>
      <c r="T106" s="7" t="s">
        <v>169</v>
      </c>
    </row>
    <row r="107" spans="1:20" x14ac:dyDescent="0.25">
      <c r="A107" s="7" t="s">
        <v>190</v>
      </c>
      <c r="B107" s="7" t="s">
        <v>151</v>
      </c>
      <c r="C107" s="7" t="s">
        <v>179</v>
      </c>
      <c r="D107" s="7" t="s">
        <v>164</v>
      </c>
      <c r="H107" s="7">
        <v>13</v>
      </c>
      <c r="I107" s="7">
        <v>21</v>
      </c>
      <c r="J107" s="8">
        <f t="shared" si="1"/>
        <v>0.38235294117647056</v>
      </c>
      <c r="K107" s="8"/>
      <c r="L107" s="8"/>
      <c r="M107" s="8"/>
      <c r="N107" s="8"/>
      <c r="O107" s="11"/>
      <c r="T107" s="7" t="s">
        <v>179</v>
      </c>
    </row>
    <row r="108" spans="1:20" x14ac:dyDescent="0.25">
      <c r="A108" s="7" t="s">
        <v>190</v>
      </c>
      <c r="B108" s="7" t="s">
        <v>151</v>
      </c>
      <c r="C108" s="7" t="s">
        <v>181</v>
      </c>
      <c r="D108" s="7" t="s">
        <v>173</v>
      </c>
      <c r="H108" s="7">
        <v>12</v>
      </c>
      <c r="I108" s="7">
        <v>22</v>
      </c>
      <c r="J108" s="8">
        <f t="shared" si="1"/>
        <v>0.35294117647058826</v>
      </c>
      <c r="K108" s="8"/>
      <c r="L108" s="8"/>
      <c r="M108" s="8"/>
      <c r="N108" s="8"/>
      <c r="O108" s="11"/>
      <c r="T108" s="7" t="s">
        <v>181</v>
      </c>
    </row>
    <row r="109" spans="1:20" x14ac:dyDescent="0.25">
      <c r="A109" s="7" t="s">
        <v>190</v>
      </c>
      <c r="B109" s="7" t="s">
        <v>151</v>
      </c>
      <c r="C109" s="7" t="s">
        <v>162</v>
      </c>
      <c r="D109" s="7" t="s">
        <v>152</v>
      </c>
      <c r="H109" s="7">
        <v>11</v>
      </c>
      <c r="I109" s="7">
        <v>23</v>
      </c>
      <c r="J109" s="8">
        <f t="shared" si="1"/>
        <v>0.3235294117647059</v>
      </c>
      <c r="K109" s="8"/>
      <c r="L109" s="8"/>
      <c r="M109" s="8"/>
      <c r="N109" s="8"/>
      <c r="O109" s="11"/>
      <c r="T109" s="7" t="s">
        <v>162</v>
      </c>
    </row>
    <row r="110" spans="1:20" x14ac:dyDescent="0.25">
      <c r="A110" s="7" t="s">
        <v>190</v>
      </c>
      <c r="B110" s="7" t="s">
        <v>151</v>
      </c>
      <c r="C110" s="7" t="s">
        <v>165</v>
      </c>
      <c r="D110" s="7" t="s">
        <v>166</v>
      </c>
      <c r="H110" s="7">
        <v>10</v>
      </c>
      <c r="I110" s="7">
        <v>24</v>
      </c>
      <c r="J110" s="8">
        <f t="shared" si="1"/>
        <v>0.29411764705882354</v>
      </c>
      <c r="K110" s="8"/>
      <c r="L110" s="8"/>
      <c r="M110" s="8"/>
      <c r="N110" s="8"/>
      <c r="O110" s="11"/>
      <c r="T110" s="7" t="s">
        <v>165</v>
      </c>
    </row>
    <row r="111" spans="1:20" x14ac:dyDescent="0.25">
      <c r="A111" s="7" t="s">
        <v>190</v>
      </c>
      <c r="B111" s="7" t="s">
        <v>151</v>
      </c>
      <c r="C111" s="7" t="s">
        <v>192</v>
      </c>
      <c r="D111" s="7" t="s">
        <v>187</v>
      </c>
      <c r="H111" s="7">
        <v>4</v>
      </c>
      <c r="I111" s="7">
        <v>30</v>
      </c>
      <c r="J111" s="8">
        <f t="shared" si="1"/>
        <v>0.11764705882352941</v>
      </c>
      <c r="K111" s="8"/>
      <c r="L111" s="8"/>
      <c r="M111" s="8"/>
      <c r="N111" s="8"/>
      <c r="O111" s="11"/>
      <c r="T111" s="7" t="s">
        <v>192</v>
      </c>
    </row>
    <row r="112" spans="1:20" x14ac:dyDescent="0.25">
      <c r="A112" s="7" t="s">
        <v>193</v>
      </c>
      <c r="B112" s="7" t="s">
        <v>151</v>
      </c>
      <c r="C112" s="7" t="s">
        <v>178</v>
      </c>
      <c r="D112" s="7" t="s">
        <v>157</v>
      </c>
      <c r="H112" s="7">
        <v>24</v>
      </c>
      <c r="I112" s="7">
        <v>4</v>
      </c>
      <c r="J112" s="8">
        <f t="shared" si="1"/>
        <v>0.8571428571428571</v>
      </c>
      <c r="K112" s="8"/>
      <c r="L112" s="8"/>
      <c r="M112" s="8"/>
      <c r="N112" s="8"/>
      <c r="O112" s="11"/>
      <c r="T112" s="7" t="s">
        <v>178</v>
      </c>
    </row>
    <row r="113" spans="1:20" x14ac:dyDescent="0.25">
      <c r="A113" s="7" t="s">
        <v>193</v>
      </c>
      <c r="B113" s="7" t="s">
        <v>151</v>
      </c>
      <c r="C113" s="7" t="s">
        <v>581</v>
      </c>
      <c r="D113" s="7" t="s">
        <v>154</v>
      </c>
      <c r="H113" s="7">
        <v>22</v>
      </c>
      <c r="I113" s="7">
        <v>6</v>
      </c>
      <c r="J113" s="8">
        <f t="shared" si="1"/>
        <v>0.7857142857142857</v>
      </c>
      <c r="K113" s="8"/>
      <c r="L113" s="8"/>
      <c r="M113" s="8"/>
      <c r="N113" s="8"/>
      <c r="O113" s="11"/>
      <c r="T113" s="7" t="s">
        <v>581</v>
      </c>
    </row>
    <row r="114" spans="1:20" x14ac:dyDescent="0.25">
      <c r="A114" s="7" t="s">
        <v>193</v>
      </c>
      <c r="B114" s="7" t="s">
        <v>151</v>
      </c>
      <c r="C114" s="7" t="s">
        <v>155</v>
      </c>
      <c r="D114" s="7" t="s">
        <v>154</v>
      </c>
      <c r="H114" s="7">
        <v>22</v>
      </c>
      <c r="I114" s="7">
        <v>6</v>
      </c>
      <c r="J114" s="8">
        <f t="shared" si="1"/>
        <v>0.7857142857142857</v>
      </c>
      <c r="K114" s="8"/>
      <c r="L114" s="8"/>
      <c r="M114" s="8"/>
      <c r="N114" s="8"/>
      <c r="O114" s="11"/>
      <c r="T114" s="7" t="s">
        <v>155</v>
      </c>
    </row>
    <row r="115" spans="1:20" x14ac:dyDescent="0.25">
      <c r="A115" s="7" t="s">
        <v>193</v>
      </c>
      <c r="B115" s="7" t="s">
        <v>151</v>
      </c>
      <c r="C115" s="7" t="s">
        <v>169</v>
      </c>
      <c r="D115" s="7" t="s">
        <v>161</v>
      </c>
      <c r="H115" s="7">
        <v>19</v>
      </c>
      <c r="I115" s="7">
        <v>9</v>
      </c>
      <c r="J115" s="8">
        <f t="shared" si="1"/>
        <v>0.6785714285714286</v>
      </c>
      <c r="K115" s="8"/>
      <c r="L115" s="8"/>
      <c r="M115" s="8"/>
      <c r="N115" s="8"/>
      <c r="O115" s="11"/>
      <c r="T115" s="7" t="s">
        <v>169</v>
      </c>
    </row>
    <row r="116" spans="1:20" x14ac:dyDescent="0.25">
      <c r="A116" s="7" t="s">
        <v>193</v>
      </c>
      <c r="B116" s="7" t="s">
        <v>151</v>
      </c>
      <c r="C116" s="7" t="s">
        <v>188</v>
      </c>
      <c r="D116" s="7" t="s">
        <v>187</v>
      </c>
      <c r="H116" s="7">
        <v>19</v>
      </c>
      <c r="I116" s="7">
        <v>9</v>
      </c>
      <c r="J116" s="8">
        <f t="shared" si="1"/>
        <v>0.6785714285714286</v>
      </c>
      <c r="K116" s="8"/>
      <c r="L116" s="8"/>
      <c r="M116" s="8"/>
      <c r="N116" s="8"/>
      <c r="O116" s="11"/>
      <c r="T116" s="7" t="s">
        <v>188</v>
      </c>
    </row>
    <row r="117" spans="1:20" x14ac:dyDescent="0.25">
      <c r="A117" s="7" t="s">
        <v>193</v>
      </c>
      <c r="B117" s="7" t="s">
        <v>151</v>
      </c>
      <c r="C117" s="7" t="s">
        <v>162</v>
      </c>
      <c r="D117" s="7" t="s">
        <v>152</v>
      </c>
      <c r="H117" s="7">
        <v>14</v>
      </c>
      <c r="I117" s="7">
        <v>14</v>
      </c>
      <c r="J117" s="8">
        <f t="shared" si="1"/>
        <v>0.5</v>
      </c>
      <c r="K117" s="8"/>
      <c r="L117" s="8"/>
      <c r="M117" s="8"/>
      <c r="N117" s="8"/>
      <c r="O117" s="11"/>
      <c r="T117" s="7" t="s">
        <v>162</v>
      </c>
    </row>
    <row r="118" spans="1:20" x14ac:dyDescent="0.25">
      <c r="A118" s="7" t="s">
        <v>193</v>
      </c>
      <c r="B118" s="7" t="s">
        <v>151</v>
      </c>
      <c r="C118" s="7" t="s">
        <v>192</v>
      </c>
      <c r="D118" s="7" t="s">
        <v>187</v>
      </c>
      <c r="H118" s="7">
        <v>13</v>
      </c>
      <c r="I118" s="7">
        <v>15</v>
      </c>
      <c r="J118" s="8">
        <f t="shared" si="1"/>
        <v>0.4642857142857143</v>
      </c>
      <c r="K118" s="8"/>
      <c r="L118" s="8"/>
      <c r="M118" s="8"/>
      <c r="N118" s="8"/>
      <c r="O118" s="11"/>
      <c r="T118" s="7" t="s">
        <v>192</v>
      </c>
    </row>
    <row r="119" spans="1:20" x14ac:dyDescent="0.25">
      <c r="A119" s="7" t="s">
        <v>193</v>
      </c>
      <c r="B119" s="7" t="s">
        <v>151</v>
      </c>
      <c r="C119" s="7" t="s">
        <v>156</v>
      </c>
      <c r="D119" s="7" t="s">
        <v>157</v>
      </c>
      <c r="H119" s="7">
        <v>13</v>
      </c>
      <c r="I119" s="7">
        <v>15</v>
      </c>
      <c r="J119" s="8">
        <f t="shared" si="1"/>
        <v>0.4642857142857143</v>
      </c>
      <c r="K119" s="8"/>
      <c r="L119" s="8"/>
      <c r="M119" s="8"/>
      <c r="N119" s="8"/>
      <c r="O119" s="11"/>
      <c r="T119" s="7" t="s">
        <v>156</v>
      </c>
    </row>
    <row r="120" spans="1:20" x14ac:dyDescent="0.25">
      <c r="A120" s="7" t="s">
        <v>193</v>
      </c>
      <c r="B120" s="7" t="s">
        <v>151</v>
      </c>
      <c r="C120" s="7" t="s">
        <v>149</v>
      </c>
      <c r="D120" s="7" t="s">
        <v>152</v>
      </c>
      <c r="H120" s="7">
        <v>12</v>
      </c>
      <c r="I120" s="7">
        <v>16</v>
      </c>
      <c r="J120" s="8">
        <f t="shared" si="1"/>
        <v>0.42857142857142855</v>
      </c>
      <c r="K120" s="8"/>
      <c r="L120" s="8"/>
      <c r="M120" s="8"/>
      <c r="N120" s="8"/>
      <c r="O120" s="11"/>
      <c r="T120" s="7" t="s">
        <v>149</v>
      </c>
    </row>
    <row r="121" spans="1:20" x14ac:dyDescent="0.25">
      <c r="A121" s="7" t="s">
        <v>193</v>
      </c>
      <c r="B121" s="7" t="s">
        <v>151</v>
      </c>
      <c r="C121" s="7" t="s">
        <v>170</v>
      </c>
      <c r="D121" s="7" t="s">
        <v>171</v>
      </c>
      <c r="H121" s="7">
        <v>12</v>
      </c>
      <c r="I121" s="7">
        <v>16</v>
      </c>
      <c r="J121" s="8">
        <f t="shared" si="1"/>
        <v>0.42857142857142855</v>
      </c>
      <c r="K121" s="8"/>
      <c r="L121" s="8"/>
      <c r="M121" s="8"/>
      <c r="N121" s="8"/>
      <c r="O121" s="11"/>
      <c r="T121" s="7" t="s">
        <v>170</v>
      </c>
    </row>
    <row r="122" spans="1:20" x14ac:dyDescent="0.25">
      <c r="A122" s="7" t="s">
        <v>193</v>
      </c>
      <c r="B122" s="7" t="s">
        <v>151</v>
      </c>
      <c r="C122" s="7" t="s">
        <v>158</v>
      </c>
      <c r="D122" s="7" t="s">
        <v>159</v>
      </c>
      <c r="H122" s="7">
        <v>12</v>
      </c>
      <c r="I122" s="7">
        <v>16</v>
      </c>
      <c r="J122" s="8">
        <f t="shared" si="1"/>
        <v>0.42857142857142855</v>
      </c>
      <c r="K122" s="8"/>
      <c r="L122" s="8"/>
      <c r="M122" s="8"/>
      <c r="N122" s="8"/>
      <c r="O122" s="11"/>
      <c r="T122" s="7" t="s">
        <v>158</v>
      </c>
    </row>
    <row r="123" spans="1:20" x14ac:dyDescent="0.25">
      <c r="A123" s="7" t="s">
        <v>193</v>
      </c>
      <c r="B123" s="7" t="s">
        <v>151</v>
      </c>
      <c r="C123" s="7" t="s">
        <v>194</v>
      </c>
      <c r="D123" s="7" t="s">
        <v>154</v>
      </c>
      <c r="H123" s="7">
        <v>12</v>
      </c>
      <c r="I123" s="7">
        <v>16</v>
      </c>
      <c r="J123" s="8">
        <f t="shared" si="1"/>
        <v>0.42857142857142855</v>
      </c>
      <c r="K123" s="8"/>
      <c r="L123" s="8"/>
      <c r="M123" s="8"/>
      <c r="N123" s="8"/>
      <c r="O123" s="11"/>
      <c r="T123" s="7" t="s">
        <v>177</v>
      </c>
    </row>
    <row r="124" spans="1:20" x14ac:dyDescent="0.25">
      <c r="A124" s="7" t="s">
        <v>193</v>
      </c>
      <c r="B124" s="7" t="s">
        <v>151</v>
      </c>
      <c r="C124" s="7" t="s">
        <v>153</v>
      </c>
      <c r="D124" s="7" t="s">
        <v>154</v>
      </c>
      <c r="H124" s="7">
        <v>12</v>
      </c>
      <c r="I124" s="7">
        <v>16</v>
      </c>
      <c r="J124" s="8">
        <f t="shared" si="1"/>
        <v>0.42857142857142855</v>
      </c>
      <c r="K124" s="8"/>
      <c r="L124" s="8"/>
      <c r="M124" s="8"/>
      <c r="N124" s="8"/>
      <c r="O124" s="11"/>
      <c r="T124" s="7" t="s">
        <v>153</v>
      </c>
    </row>
    <row r="125" spans="1:20" x14ac:dyDescent="0.25">
      <c r="A125" s="7" t="s">
        <v>193</v>
      </c>
      <c r="B125" s="7" t="s">
        <v>151</v>
      </c>
      <c r="C125" s="7" t="s">
        <v>165</v>
      </c>
      <c r="D125" s="7" t="s">
        <v>166</v>
      </c>
      <c r="H125" s="7">
        <v>11</v>
      </c>
      <c r="I125" s="7">
        <v>17</v>
      </c>
      <c r="J125" s="8">
        <f t="shared" si="1"/>
        <v>0.39285714285714285</v>
      </c>
      <c r="K125" s="8"/>
      <c r="L125" s="8"/>
      <c r="M125" s="8"/>
      <c r="N125" s="8"/>
      <c r="O125" s="11"/>
      <c r="T125" s="7" t="s">
        <v>165</v>
      </c>
    </row>
    <row r="126" spans="1:20" x14ac:dyDescent="0.25">
      <c r="A126" s="7" t="s">
        <v>193</v>
      </c>
      <c r="B126" s="7" t="s">
        <v>151</v>
      </c>
      <c r="C126" s="7" t="s">
        <v>179</v>
      </c>
      <c r="D126" s="7" t="s">
        <v>164</v>
      </c>
      <c r="H126" s="7">
        <v>10</v>
      </c>
      <c r="I126" s="7">
        <v>18</v>
      </c>
      <c r="J126" s="8">
        <f t="shared" si="1"/>
        <v>0.35714285714285715</v>
      </c>
      <c r="K126" s="8"/>
      <c r="L126" s="8"/>
      <c r="M126" s="8"/>
      <c r="N126" s="8"/>
      <c r="O126" s="11"/>
      <c r="T126" s="7" t="s">
        <v>179</v>
      </c>
    </row>
    <row r="127" spans="1:20" x14ac:dyDescent="0.25">
      <c r="A127" s="7" t="s">
        <v>193</v>
      </c>
      <c r="B127" s="7" t="s">
        <v>151</v>
      </c>
      <c r="C127" s="7" t="s">
        <v>181</v>
      </c>
      <c r="D127" s="7" t="s">
        <v>173</v>
      </c>
      <c r="H127" s="7">
        <v>9</v>
      </c>
      <c r="I127" s="7">
        <v>19</v>
      </c>
      <c r="J127" s="8">
        <f t="shared" si="1"/>
        <v>0.32142857142857145</v>
      </c>
      <c r="K127" s="8"/>
      <c r="L127" s="8"/>
      <c r="M127" s="8"/>
      <c r="N127" s="8"/>
      <c r="O127" s="11"/>
      <c r="T127" s="7" t="s">
        <v>181</v>
      </c>
    </row>
    <row r="128" spans="1:20" x14ac:dyDescent="0.25">
      <c r="A128" s="7" t="s">
        <v>193</v>
      </c>
      <c r="B128" s="7" t="s">
        <v>151</v>
      </c>
      <c r="C128" s="7" t="s">
        <v>172</v>
      </c>
      <c r="D128" s="7" t="s">
        <v>173</v>
      </c>
      <c r="H128" s="7">
        <v>8</v>
      </c>
      <c r="I128" s="7">
        <v>20</v>
      </c>
      <c r="J128" s="8">
        <f t="shared" si="1"/>
        <v>0.2857142857142857</v>
      </c>
      <c r="K128" s="8"/>
      <c r="L128" s="8"/>
      <c r="M128" s="8"/>
      <c r="N128" s="8"/>
      <c r="O128" s="11"/>
      <c r="T128" s="7" t="s">
        <v>172</v>
      </c>
    </row>
    <row r="129" spans="1:20" x14ac:dyDescent="0.25">
      <c r="A129" s="7" t="s">
        <v>193</v>
      </c>
      <c r="B129" s="7" t="s">
        <v>151</v>
      </c>
      <c r="C129" s="7" t="s">
        <v>186</v>
      </c>
      <c r="D129" s="7" t="s">
        <v>187</v>
      </c>
      <c r="H129" s="7">
        <v>8</v>
      </c>
      <c r="I129" s="7">
        <v>20</v>
      </c>
      <c r="J129" s="8">
        <f t="shared" si="1"/>
        <v>0.2857142857142857</v>
      </c>
      <c r="K129" s="8"/>
      <c r="L129" s="8"/>
      <c r="M129" s="8"/>
      <c r="N129" s="8"/>
      <c r="O129" s="11"/>
      <c r="T129" s="7" t="s">
        <v>186</v>
      </c>
    </row>
    <row r="130" spans="1:20" x14ac:dyDescent="0.25">
      <c r="A130" s="7" t="s">
        <v>195</v>
      </c>
      <c r="B130" s="7" t="s">
        <v>151</v>
      </c>
      <c r="C130" s="7" t="s">
        <v>156</v>
      </c>
      <c r="D130" s="7" t="s">
        <v>157</v>
      </c>
      <c r="H130" s="7">
        <v>25</v>
      </c>
      <c r="I130" s="7">
        <v>5</v>
      </c>
      <c r="J130" s="8">
        <f t="shared" ref="J130:J193" si="2">H130/SUM(H130:I130)</f>
        <v>0.83333333333333337</v>
      </c>
      <c r="K130" s="8" t="s">
        <v>30</v>
      </c>
      <c r="L130" s="8" t="s">
        <v>30</v>
      </c>
      <c r="M130" s="8" t="s">
        <v>30</v>
      </c>
      <c r="N130" s="8"/>
      <c r="O130" s="11"/>
      <c r="P130" s="7">
        <v>3</v>
      </c>
      <c r="Q130" s="7">
        <v>1</v>
      </c>
      <c r="R130" s="7">
        <v>0</v>
      </c>
      <c r="S130" s="7">
        <v>2</v>
      </c>
      <c r="T130" s="7" t="s">
        <v>156</v>
      </c>
    </row>
    <row r="131" spans="1:20" x14ac:dyDescent="0.25">
      <c r="A131" s="7" t="s">
        <v>195</v>
      </c>
      <c r="B131" s="7" t="s">
        <v>151</v>
      </c>
      <c r="C131" s="7" t="s">
        <v>188</v>
      </c>
      <c r="D131" s="7" t="s">
        <v>187</v>
      </c>
      <c r="H131" s="7">
        <v>24</v>
      </c>
      <c r="I131" s="7">
        <v>6</v>
      </c>
      <c r="J131" s="8">
        <f t="shared" si="2"/>
        <v>0.8</v>
      </c>
      <c r="K131" s="8" t="s">
        <v>30</v>
      </c>
      <c r="L131" s="8" t="s">
        <v>30</v>
      </c>
      <c r="M131" s="8" t="s">
        <v>30</v>
      </c>
      <c r="N131" s="8" t="s">
        <v>30</v>
      </c>
      <c r="O131" s="11" t="s">
        <v>30</v>
      </c>
      <c r="P131" s="7">
        <v>3</v>
      </c>
      <c r="Q131" s="7">
        <v>1</v>
      </c>
      <c r="R131" s="7">
        <v>2</v>
      </c>
      <c r="S131" s="7">
        <v>0</v>
      </c>
      <c r="T131" s="7" t="s">
        <v>188</v>
      </c>
    </row>
    <row r="132" spans="1:20" x14ac:dyDescent="0.25">
      <c r="A132" s="7" t="s">
        <v>195</v>
      </c>
      <c r="B132" s="7" t="s">
        <v>151</v>
      </c>
      <c r="C132" s="7" t="s">
        <v>155</v>
      </c>
      <c r="D132" s="7" t="s">
        <v>154</v>
      </c>
      <c r="H132" s="7">
        <v>22</v>
      </c>
      <c r="I132" s="7">
        <v>8</v>
      </c>
      <c r="J132" s="8">
        <f t="shared" si="2"/>
        <v>0.73333333333333328</v>
      </c>
      <c r="K132" s="8" t="s">
        <v>30</v>
      </c>
      <c r="L132" s="8" t="s">
        <v>30</v>
      </c>
      <c r="M132" s="8" t="s">
        <v>30</v>
      </c>
      <c r="N132" s="8"/>
      <c r="O132" s="11"/>
      <c r="P132" s="7">
        <v>3</v>
      </c>
      <c r="Q132" s="7">
        <v>0</v>
      </c>
      <c r="R132" s="7">
        <v>1</v>
      </c>
      <c r="S132" s="7">
        <v>1</v>
      </c>
      <c r="T132" s="7" t="s">
        <v>155</v>
      </c>
    </row>
    <row r="133" spans="1:20" x14ac:dyDescent="0.25">
      <c r="A133" s="7" t="s">
        <v>195</v>
      </c>
      <c r="B133" s="7" t="s">
        <v>151</v>
      </c>
      <c r="C133" s="7" t="s">
        <v>178</v>
      </c>
      <c r="D133" s="7" t="s">
        <v>157</v>
      </c>
      <c r="H133" s="7">
        <v>20</v>
      </c>
      <c r="I133" s="7">
        <v>10</v>
      </c>
      <c r="J133" s="8">
        <f t="shared" si="2"/>
        <v>0.66666666666666663</v>
      </c>
      <c r="K133" s="8" t="s">
        <v>30</v>
      </c>
      <c r="L133" s="8" t="s">
        <v>30</v>
      </c>
      <c r="M133" s="8" t="s">
        <v>30</v>
      </c>
      <c r="N133" s="8" t="s">
        <v>30</v>
      </c>
      <c r="O133" s="11"/>
      <c r="P133" s="7">
        <v>3</v>
      </c>
      <c r="Q133" s="7">
        <v>2</v>
      </c>
      <c r="R133" s="7">
        <v>1</v>
      </c>
      <c r="S133" s="7">
        <v>1</v>
      </c>
      <c r="T133" s="7" t="s">
        <v>178</v>
      </c>
    </row>
    <row r="134" spans="1:20" x14ac:dyDescent="0.25">
      <c r="A134" s="7" t="s">
        <v>195</v>
      </c>
      <c r="B134" s="7" t="s">
        <v>151</v>
      </c>
      <c r="C134" s="7" t="s">
        <v>581</v>
      </c>
      <c r="D134" s="7" t="s">
        <v>154</v>
      </c>
      <c r="H134" s="7">
        <v>18</v>
      </c>
      <c r="I134" s="7">
        <v>12</v>
      </c>
      <c r="J134" s="8">
        <f t="shared" si="2"/>
        <v>0.6</v>
      </c>
      <c r="K134" s="8" t="s">
        <v>30</v>
      </c>
      <c r="L134" s="8" t="s">
        <v>30</v>
      </c>
      <c r="M134" s="8"/>
      <c r="N134" s="8"/>
      <c r="O134" s="11"/>
      <c r="P134" s="7">
        <v>2</v>
      </c>
      <c r="Q134" s="7">
        <v>3</v>
      </c>
      <c r="T134" s="7" t="s">
        <v>581</v>
      </c>
    </row>
    <row r="135" spans="1:20" x14ac:dyDescent="0.25">
      <c r="A135" s="7" t="s">
        <v>195</v>
      </c>
      <c r="B135" s="7" t="s">
        <v>151</v>
      </c>
      <c r="C135" s="7" t="s">
        <v>162</v>
      </c>
      <c r="D135" s="7" t="s">
        <v>152</v>
      </c>
      <c r="H135" s="7">
        <v>16</v>
      </c>
      <c r="I135" s="7">
        <v>14</v>
      </c>
      <c r="J135" s="8">
        <f t="shared" si="2"/>
        <v>0.53333333333333333</v>
      </c>
      <c r="K135" s="8" t="s">
        <v>30</v>
      </c>
      <c r="L135" s="8" t="s">
        <v>30</v>
      </c>
      <c r="M135" s="8"/>
      <c r="N135" s="8"/>
      <c r="O135" s="11"/>
      <c r="P135" s="7">
        <v>0</v>
      </c>
      <c r="Q135" s="7">
        <v>3</v>
      </c>
      <c r="T135" s="7" t="s">
        <v>162</v>
      </c>
    </row>
    <row r="136" spans="1:20" x14ac:dyDescent="0.25">
      <c r="A136" s="7" t="s">
        <v>195</v>
      </c>
      <c r="B136" s="7" t="s">
        <v>151</v>
      </c>
      <c r="C136" s="7" t="s">
        <v>158</v>
      </c>
      <c r="D136" s="7" t="s">
        <v>159</v>
      </c>
      <c r="H136" s="7">
        <v>15</v>
      </c>
      <c r="I136" s="7">
        <v>15</v>
      </c>
      <c r="J136" s="8">
        <f t="shared" si="2"/>
        <v>0.5</v>
      </c>
      <c r="K136" s="8" t="s">
        <v>30</v>
      </c>
      <c r="L136" s="8" t="s">
        <v>30</v>
      </c>
      <c r="M136" s="8"/>
      <c r="N136" s="8"/>
      <c r="O136" s="11"/>
      <c r="P136" s="7">
        <v>1</v>
      </c>
      <c r="Q136" s="7">
        <v>3</v>
      </c>
      <c r="T136" s="7" t="s">
        <v>158</v>
      </c>
    </row>
    <row r="137" spans="1:20" x14ac:dyDescent="0.25">
      <c r="A137" s="7" t="s">
        <v>195</v>
      </c>
      <c r="B137" s="7" t="s">
        <v>151</v>
      </c>
      <c r="C137" s="7" t="s">
        <v>194</v>
      </c>
      <c r="D137" s="7" t="s">
        <v>154</v>
      </c>
      <c r="H137" s="7">
        <v>15</v>
      </c>
      <c r="I137" s="7">
        <v>15</v>
      </c>
      <c r="J137" s="8">
        <f t="shared" si="2"/>
        <v>0.5</v>
      </c>
      <c r="K137" s="8" t="s">
        <v>30</v>
      </c>
      <c r="L137" s="8" t="s">
        <v>30</v>
      </c>
      <c r="M137" s="8"/>
      <c r="N137" s="8"/>
      <c r="O137" s="11"/>
      <c r="P137" s="7">
        <v>1</v>
      </c>
      <c r="Q137" s="7">
        <v>3</v>
      </c>
      <c r="T137" s="7" t="s">
        <v>177</v>
      </c>
    </row>
    <row r="138" spans="1:20" x14ac:dyDescent="0.25">
      <c r="A138" s="7" t="s">
        <v>195</v>
      </c>
      <c r="B138" s="7" t="s">
        <v>151</v>
      </c>
      <c r="C138" s="7" t="s">
        <v>149</v>
      </c>
      <c r="D138" s="7" t="s">
        <v>152</v>
      </c>
      <c r="H138" s="7">
        <v>15</v>
      </c>
      <c r="I138" s="7">
        <v>15</v>
      </c>
      <c r="J138" s="8">
        <f t="shared" si="2"/>
        <v>0.5</v>
      </c>
      <c r="K138" s="8"/>
      <c r="L138" s="8"/>
      <c r="M138" s="8"/>
      <c r="N138" s="8"/>
      <c r="O138" s="11"/>
      <c r="T138" s="7" t="s">
        <v>149</v>
      </c>
    </row>
    <row r="139" spans="1:20" x14ac:dyDescent="0.25">
      <c r="A139" s="7" t="s">
        <v>195</v>
      </c>
      <c r="B139" s="7" t="s">
        <v>151</v>
      </c>
      <c r="C139" s="7" t="s">
        <v>172</v>
      </c>
      <c r="D139" s="7" t="s">
        <v>173</v>
      </c>
      <c r="H139" s="7">
        <v>14</v>
      </c>
      <c r="I139" s="7">
        <v>16</v>
      </c>
      <c r="J139" s="8">
        <f t="shared" si="2"/>
        <v>0.46666666666666667</v>
      </c>
      <c r="K139" s="8"/>
      <c r="L139" s="8"/>
      <c r="M139" s="8"/>
      <c r="N139" s="8"/>
      <c r="O139" s="11"/>
      <c r="T139" s="7" t="s">
        <v>172</v>
      </c>
    </row>
    <row r="140" spans="1:20" x14ac:dyDescent="0.25">
      <c r="A140" s="7" t="s">
        <v>195</v>
      </c>
      <c r="B140" s="7" t="s">
        <v>151</v>
      </c>
      <c r="C140" s="7" t="s">
        <v>169</v>
      </c>
      <c r="D140" s="7" t="s">
        <v>161</v>
      </c>
      <c r="H140" s="7">
        <v>14</v>
      </c>
      <c r="I140" s="7">
        <v>16</v>
      </c>
      <c r="J140" s="8">
        <f t="shared" si="2"/>
        <v>0.46666666666666667</v>
      </c>
      <c r="K140" s="8"/>
      <c r="L140" s="8"/>
      <c r="M140" s="8"/>
      <c r="N140" s="8"/>
      <c r="O140" s="11"/>
      <c r="T140" s="7" t="s">
        <v>169</v>
      </c>
    </row>
    <row r="141" spans="1:20" x14ac:dyDescent="0.25">
      <c r="A141" s="7" t="s">
        <v>195</v>
      </c>
      <c r="B141" s="7" t="s">
        <v>151</v>
      </c>
      <c r="C141" s="7" t="s">
        <v>170</v>
      </c>
      <c r="D141" s="7" t="s">
        <v>171</v>
      </c>
      <c r="H141" s="7">
        <v>14</v>
      </c>
      <c r="I141" s="7">
        <v>16</v>
      </c>
      <c r="J141" s="8">
        <f t="shared" si="2"/>
        <v>0.46666666666666667</v>
      </c>
      <c r="K141" s="8"/>
      <c r="L141" s="8"/>
      <c r="M141" s="8"/>
      <c r="N141" s="8"/>
      <c r="O141" s="11"/>
      <c r="T141" s="7" t="s">
        <v>170</v>
      </c>
    </row>
    <row r="142" spans="1:20" x14ac:dyDescent="0.25">
      <c r="A142" s="7" t="s">
        <v>195</v>
      </c>
      <c r="B142" s="7" t="s">
        <v>151</v>
      </c>
      <c r="C142" s="7" t="s">
        <v>192</v>
      </c>
      <c r="D142" s="7" t="s">
        <v>187</v>
      </c>
      <c r="H142" s="7">
        <v>9</v>
      </c>
      <c r="I142" s="7">
        <v>21</v>
      </c>
      <c r="J142" s="8">
        <f t="shared" si="2"/>
        <v>0.3</v>
      </c>
      <c r="K142" s="8"/>
      <c r="L142" s="8"/>
      <c r="M142" s="8"/>
      <c r="N142" s="8"/>
      <c r="O142" s="11"/>
      <c r="T142" s="7" t="s">
        <v>192</v>
      </c>
    </row>
    <row r="143" spans="1:20" x14ac:dyDescent="0.25">
      <c r="A143" s="7" t="s">
        <v>195</v>
      </c>
      <c r="B143" s="7" t="s">
        <v>151</v>
      </c>
      <c r="C143" s="7" t="s">
        <v>196</v>
      </c>
      <c r="D143" s="7" t="s">
        <v>154</v>
      </c>
      <c r="H143" s="7">
        <v>8</v>
      </c>
      <c r="I143" s="7">
        <v>22</v>
      </c>
      <c r="J143" s="8">
        <f t="shared" si="2"/>
        <v>0.26666666666666666</v>
      </c>
      <c r="K143" s="8"/>
      <c r="L143" s="8"/>
      <c r="M143" s="8"/>
      <c r="N143" s="8"/>
      <c r="O143" s="11"/>
      <c r="T143" s="7" t="s">
        <v>196</v>
      </c>
    </row>
    <row r="144" spans="1:20" x14ac:dyDescent="0.25">
      <c r="A144" s="7" t="s">
        <v>195</v>
      </c>
      <c r="B144" s="7" t="s">
        <v>151</v>
      </c>
      <c r="C144" s="7" t="s">
        <v>197</v>
      </c>
      <c r="D144" s="7" t="s">
        <v>198</v>
      </c>
      <c r="H144" s="7">
        <v>6</v>
      </c>
      <c r="I144" s="7">
        <v>24</v>
      </c>
      <c r="J144" s="8">
        <f t="shared" si="2"/>
        <v>0.2</v>
      </c>
      <c r="K144" s="8"/>
      <c r="L144" s="8"/>
      <c r="M144" s="8"/>
      <c r="N144" s="8"/>
      <c r="O144" s="11"/>
      <c r="T144" s="7" t="s">
        <v>197</v>
      </c>
    </row>
    <row r="145" spans="1:20" x14ac:dyDescent="0.25">
      <c r="A145" s="7" t="s">
        <v>195</v>
      </c>
      <c r="B145" s="7" t="s">
        <v>151</v>
      </c>
      <c r="C145" s="7" t="s">
        <v>199</v>
      </c>
      <c r="D145" s="7" t="s">
        <v>157</v>
      </c>
      <c r="H145" s="7">
        <v>5</v>
      </c>
      <c r="I145" s="7">
        <v>25</v>
      </c>
      <c r="J145" s="8">
        <f t="shared" si="2"/>
        <v>0.16666666666666666</v>
      </c>
      <c r="K145" s="8"/>
      <c r="L145" s="8"/>
      <c r="M145" s="8"/>
      <c r="N145" s="8"/>
      <c r="O145" s="11"/>
      <c r="T145" s="7" t="s">
        <v>199</v>
      </c>
    </row>
    <row r="146" spans="1:20" x14ac:dyDescent="0.25">
      <c r="A146" s="7" t="s">
        <v>200</v>
      </c>
      <c r="B146" s="7" t="s">
        <v>151</v>
      </c>
      <c r="C146" s="7" t="s">
        <v>188</v>
      </c>
      <c r="D146" s="7" t="s">
        <v>187</v>
      </c>
      <c r="H146" s="7">
        <v>24</v>
      </c>
      <c r="I146" s="7">
        <v>6</v>
      </c>
      <c r="J146" s="8">
        <f t="shared" si="2"/>
        <v>0.8</v>
      </c>
      <c r="K146" s="8" t="s">
        <v>30</v>
      </c>
      <c r="L146" s="8" t="s">
        <v>30</v>
      </c>
      <c r="M146" s="8" t="s">
        <v>30</v>
      </c>
      <c r="N146" s="8"/>
      <c r="O146" s="11"/>
      <c r="P146" s="7">
        <v>3</v>
      </c>
      <c r="Q146" s="7">
        <v>1</v>
      </c>
      <c r="R146" s="7">
        <v>0</v>
      </c>
      <c r="S146" s="7">
        <v>2</v>
      </c>
      <c r="T146" s="7" t="s">
        <v>188</v>
      </c>
    </row>
    <row r="147" spans="1:20" x14ac:dyDescent="0.25">
      <c r="A147" s="7" t="s">
        <v>200</v>
      </c>
      <c r="B147" s="7" t="s">
        <v>151</v>
      </c>
      <c r="C147" s="7" t="s">
        <v>156</v>
      </c>
      <c r="D147" s="7" t="s">
        <v>157</v>
      </c>
      <c r="H147" s="7">
        <v>21</v>
      </c>
      <c r="I147" s="7">
        <v>9</v>
      </c>
      <c r="J147" s="8">
        <f t="shared" si="2"/>
        <v>0.7</v>
      </c>
      <c r="K147" s="8" t="s">
        <v>30</v>
      </c>
      <c r="L147" s="8" t="s">
        <v>30</v>
      </c>
      <c r="M147" s="8" t="s">
        <v>30</v>
      </c>
      <c r="N147" s="8" t="s">
        <v>30</v>
      </c>
      <c r="O147" s="11"/>
      <c r="P147" s="7">
        <v>3</v>
      </c>
      <c r="Q147" s="7">
        <v>1</v>
      </c>
      <c r="R147" s="7">
        <v>1</v>
      </c>
      <c r="S147" s="7">
        <v>1</v>
      </c>
      <c r="T147" s="7" t="s">
        <v>156</v>
      </c>
    </row>
    <row r="148" spans="1:20" x14ac:dyDescent="0.25">
      <c r="A148" s="7" t="s">
        <v>200</v>
      </c>
      <c r="B148" s="7" t="s">
        <v>151</v>
      </c>
      <c r="C148" s="7" t="s">
        <v>155</v>
      </c>
      <c r="D148" s="7" t="s">
        <v>154</v>
      </c>
      <c r="H148" s="7">
        <v>19</v>
      </c>
      <c r="I148" s="7">
        <v>11</v>
      </c>
      <c r="J148" s="8">
        <f t="shared" si="2"/>
        <v>0.6333333333333333</v>
      </c>
      <c r="K148" s="8" t="s">
        <v>30</v>
      </c>
      <c r="L148" s="8" t="s">
        <v>30</v>
      </c>
      <c r="M148" s="8" t="s">
        <v>30</v>
      </c>
      <c r="N148" s="8" t="s">
        <v>30</v>
      </c>
      <c r="O148" s="11" t="s">
        <v>30</v>
      </c>
      <c r="P148" s="7">
        <v>3</v>
      </c>
      <c r="Q148" s="7">
        <v>1</v>
      </c>
      <c r="R148" s="7">
        <v>2</v>
      </c>
      <c r="S148" s="7">
        <v>0</v>
      </c>
      <c r="T148" s="7" t="s">
        <v>155</v>
      </c>
    </row>
    <row r="149" spans="1:20" x14ac:dyDescent="0.25">
      <c r="A149" s="7" t="s">
        <v>200</v>
      </c>
      <c r="B149" s="7" t="s">
        <v>151</v>
      </c>
      <c r="C149" s="7" t="s">
        <v>158</v>
      </c>
      <c r="D149" s="7" t="s">
        <v>159</v>
      </c>
      <c r="H149" s="7">
        <v>18</v>
      </c>
      <c r="I149" s="7">
        <v>12</v>
      </c>
      <c r="J149" s="8">
        <f t="shared" si="2"/>
        <v>0.6</v>
      </c>
      <c r="K149" s="8" t="s">
        <v>30</v>
      </c>
      <c r="L149" s="8" t="s">
        <v>30</v>
      </c>
      <c r="M149" s="8" t="s">
        <v>30</v>
      </c>
      <c r="N149" s="8"/>
      <c r="O149" s="11"/>
      <c r="P149" s="7">
        <v>3</v>
      </c>
      <c r="Q149" s="7">
        <v>1</v>
      </c>
      <c r="R149" s="7">
        <v>1</v>
      </c>
      <c r="S149" s="7">
        <v>1</v>
      </c>
      <c r="T149" s="7" t="s">
        <v>158</v>
      </c>
    </row>
    <row r="150" spans="1:20" x14ac:dyDescent="0.25">
      <c r="A150" s="7" t="s">
        <v>200</v>
      </c>
      <c r="B150" s="7" t="s">
        <v>151</v>
      </c>
      <c r="C150" s="7" t="s">
        <v>149</v>
      </c>
      <c r="D150" s="7" t="s">
        <v>152</v>
      </c>
      <c r="H150" s="7">
        <v>19</v>
      </c>
      <c r="I150" s="7">
        <v>11</v>
      </c>
      <c r="J150" s="8">
        <f t="shared" si="2"/>
        <v>0.6333333333333333</v>
      </c>
      <c r="K150" s="8" t="s">
        <v>30</v>
      </c>
      <c r="L150" s="8" t="s">
        <v>30</v>
      </c>
      <c r="M150" s="8"/>
      <c r="N150" s="8"/>
      <c r="O150" s="11"/>
      <c r="P150" s="7">
        <v>1</v>
      </c>
      <c r="Q150" s="7">
        <v>3</v>
      </c>
      <c r="T150" s="7" t="s">
        <v>149</v>
      </c>
    </row>
    <row r="151" spans="1:20" x14ac:dyDescent="0.25">
      <c r="A151" s="7" t="s">
        <v>200</v>
      </c>
      <c r="B151" s="7" t="s">
        <v>151</v>
      </c>
      <c r="C151" s="7" t="s">
        <v>162</v>
      </c>
      <c r="D151" s="7" t="s">
        <v>152</v>
      </c>
      <c r="H151" s="7">
        <v>19</v>
      </c>
      <c r="I151" s="7">
        <v>11</v>
      </c>
      <c r="J151" s="8">
        <f t="shared" si="2"/>
        <v>0.6333333333333333</v>
      </c>
      <c r="K151" s="8" t="s">
        <v>30</v>
      </c>
      <c r="L151" s="8" t="s">
        <v>30</v>
      </c>
      <c r="M151" s="8"/>
      <c r="N151" s="8"/>
      <c r="O151" s="11"/>
      <c r="P151" s="7">
        <v>1</v>
      </c>
      <c r="Q151" s="7">
        <v>3</v>
      </c>
      <c r="T151" s="7" t="s">
        <v>162</v>
      </c>
    </row>
    <row r="152" spans="1:20" x14ac:dyDescent="0.25">
      <c r="A152" s="7" t="s">
        <v>200</v>
      </c>
      <c r="B152" s="7" t="s">
        <v>151</v>
      </c>
      <c r="C152" s="7" t="s">
        <v>192</v>
      </c>
      <c r="D152" s="7" t="s">
        <v>187</v>
      </c>
      <c r="H152" s="7">
        <v>16</v>
      </c>
      <c r="I152" s="7">
        <v>14</v>
      </c>
      <c r="J152" s="8">
        <f t="shared" si="2"/>
        <v>0.53333333333333333</v>
      </c>
      <c r="K152" s="8" t="s">
        <v>30</v>
      </c>
      <c r="L152" s="8" t="s">
        <v>30</v>
      </c>
      <c r="M152" s="8"/>
      <c r="N152" s="8"/>
      <c r="O152" s="11"/>
      <c r="P152" s="7">
        <v>1</v>
      </c>
      <c r="Q152" s="7">
        <v>3</v>
      </c>
      <c r="T152" s="7" t="s">
        <v>192</v>
      </c>
    </row>
    <row r="153" spans="1:20" x14ac:dyDescent="0.25">
      <c r="A153" s="7" t="s">
        <v>200</v>
      </c>
      <c r="B153" s="7" t="s">
        <v>151</v>
      </c>
      <c r="C153" s="7" t="s">
        <v>194</v>
      </c>
      <c r="D153" s="7" t="s">
        <v>154</v>
      </c>
      <c r="H153" s="7">
        <v>16</v>
      </c>
      <c r="I153" s="7">
        <v>14</v>
      </c>
      <c r="J153" s="8">
        <f t="shared" si="2"/>
        <v>0.53333333333333333</v>
      </c>
      <c r="K153" s="8" t="s">
        <v>30</v>
      </c>
      <c r="L153" s="8" t="s">
        <v>30</v>
      </c>
      <c r="M153" s="8"/>
      <c r="N153" s="8"/>
      <c r="O153" s="11"/>
      <c r="P153" s="7">
        <v>1</v>
      </c>
      <c r="Q153" s="7">
        <v>3</v>
      </c>
      <c r="T153" s="7" t="s">
        <v>177</v>
      </c>
    </row>
    <row r="154" spans="1:20" x14ac:dyDescent="0.25">
      <c r="A154" s="7" t="s">
        <v>200</v>
      </c>
      <c r="B154" s="7" t="s">
        <v>151</v>
      </c>
      <c r="C154" s="7" t="s">
        <v>169</v>
      </c>
      <c r="D154" s="7" t="s">
        <v>161</v>
      </c>
      <c r="H154" s="7">
        <v>13</v>
      </c>
      <c r="I154" s="7">
        <v>17</v>
      </c>
      <c r="J154" s="8">
        <f t="shared" si="2"/>
        <v>0.43333333333333335</v>
      </c>
      <c r="K154" s="8"/>
      <c r="L154" s="8"/>
      <c r="M154" s="8"/>
      <c r="N154" s="8"/>
      <c r="O154" s="11"/>
      <c r="T154" s="7" t="s">
        <v>169</v>
      </c>
    </row>
    <row r="155" spans="1:20" x14ac:dyDescent="0.25">
      <c r="A155" s="7" t="s">
        <v>200</v>
      </c>
      <c r="B155" s="7" t="s">
        <v>151</v>
      </c>
      <c r="C155" s="7" t="s">
        <v>201</v>
      </c>
      <c r="D155" s="7" t="s">
        <v>154</v>
      </c>
      <c r="H155" s="7">
        <v>13</v>
      </c>
      <c r="I155" s="7">
        <v>17</v>
      </c>
      <c r="J155" s="8">
        <f t="shared" si="2"/>
        <v>0.43333333333333335</v>
      </c>
      <c r="K155" s="8"/>
      <c r="L155" s="8"/>
      <c r="M155" s="8"/>
      <c r="N155" s="8"/>
      <c r="O155" s="11"/>
      <c r="T155" s="7" t="s">
        <v>201</v>
      </c>
    </row>
    <row r="156" spans="1:20" x14ac:dyDescent="0.25">
      <c r="A156" s="7" t="s">
        <v>200</v>
      </c>
      <c r="B156" s="7" t="s">
        <v>151</v>
      </c>
      <c r="C156" s="7" t="s">
        <v>153</v>
      </c>
      <c r="D156" s="7" t="s">
        <v>154</v>
      </c>
      <c r="H156" s="7">
        <v>12</v>
      </c>
      <c r="I156" s="7">
        <v>18</v>
      </c>
      <c r="J156" s="8">
        <f t="shared" si="2"/>
        <v>0.4</v>
      </c>
      <c r="K156" s="8"/>
      <c r="L156" s="8"/>
      <c r="M156" s="8"/>
      <c r="N156" s="8"/>
      <c r="O156" s="11"/>
      <c r="T156" s="7" t="s">
        <v>153</v>
      </c>
    </row>
    <row r="157" spans="1:20" x14ac:dyDescent="0.25">
      <c r="A157" s="7" t="s">
        <v>200</v>
      </c>
      <c r="B157" s="7" t="s">
        <v>151</v>
      </c>
      <c r="C157" s="7" t="s">
        <v>202</v>
      </c>
      <c r="D157" s="7" t="s">
        <v>173</v>
      </c>
      <c r="H157" s="7">
        <v>11</v>
      </c>
      <c r="I157" s="7">
        <v>19</v>
      </c>
      <c r="J157" s="8">
        <f t="shared" si="2"/>
        <v>0.36666666666666664</v>
      </c>
      <c r="K157" s="8"/>
      <c r="L157" s="8"/>
      <c r="M157" s="8"/>
      <c r="N157" s="8"/>
      <c r="O157" s="11"/>
      <c r="T157" s="7" t="s">
        <v>582</v>
      </c>
    </row>
    <row r="158" spans="1:20" x14ac:dyDescent="0.25">
      <c r="A158" s="7" t="s">
        <v>200</v>
      </c>
      <c r="B158" s="7" t="s">
        <v>151</v>
      </c>
      <c r="C158" s="7" t="s">
        <v>165</v>
      </c>
      <c r="D158" s="7" t="s">
        <v>166</v>
      </c>
      <c r="H158" s="7">
        <v>11</v>
      </c>
      <c r="I158" s="7">
        <v>19</v>
      </c>
      <c r="J158" s="8">
        <f t="shared" si="2"/>
        <v>0.36666666666666664</v>
      </c>
      <c r="K158" s="8"/>
      <c r="L158" s="8"/>
      <c r="M158" s="8"/>
      <c r="N158" s="8"/>
      <c r="O158" s="11"/>
      <c r="T158" s="7" t="s">
        <v>165</v>
      </c>
    </row>
    <row r="159" spans="1:20" x14ac:dyDescent="0.25">
      <c r="A159" s="7" t="s">
        <v>200</v>
      </c>
      <c r="B159" s="7" t="s">
        <v>151</v>
      </c>
      <c r="C159" s="7" t="s">
        <v>581</v>
      </c>
      <c r="D159" s="7" t="s">
        <v>154</v>
      </c>
      <c r="H159" s="7">
        <v>11</v>
      </c>
      <c r="I159" s="7">
        <v>19</v>
      </c>
      <c r="J159" s="8">
        <f t="shared" si="2"/>
        <v>0.36666666666666664</v>
      </c>
      <c r="K159" s="8"/>
      <c r="L159" s="8"/>
      <c r="M159" s="8"/>
      <c r="N159" s="8"/>
      <c r="O159" s="11"/>
      <c r="T159" s="7" t="s">
        <v>581</v>
      </c>
    </row>
    <row r="160" spans="1:20" x14ac:dyDescent="0.25">
      <c r="A160" s="7" t="s">
        <v>200</v>
      </c>
      <c r="B160" s="7" t="s">
        <v>151</v>
      </c>
      <c r="C160" s="7" t="s">
        <v>170</v>
      </c>
      <c r="D160" s="7" t="s">
        <v>171</v>
      </c>
      <c r="H160" s="7">
        <v>10</v>
      </c>
      <c r="I160" s="7">
        <v>20</v>
      </c>
      <c r="J160" s="8">
        <f t="shared" si="2"/>
        <v>0.33333333333333331</v>
      </c>
      <c r="K160" s="8"/>
      <c r="L160" s="8"/>
      <c r="M160" s="8"/>
      <c r="N160" s="8"/>
      <c r="O160" s="11"/>
      <c r="T160" s="7" t="s">
        <v>170</v>
      </c>
    </row>
    <row r="161" spans="1:20" x14ac:dyDescent="0.25">
      <c r="A161" s="7" t="s">
        <v>200</v>
      </c>
      <c r="B161" s="7" t="s">
        <v>151</v>
      </c>
      <c r="C161" s="7" t="s">
        <v>178</v>
      </c>
      <c r="D161" s="7" t="s">
        <v>157</v>
      </c>
      <c r="H161" s="7">
        <v>7</v>
      </c>
      <c r="I161" s="7">
        <v>23</v>
      </c>
      <c r="J161" s="8">
        <f t="shared" si="2"/>
        <v>0.23333333333333334</v>
      </c>
      <c r="K161" s="8"/>
      <c r="L161" s="8"/>
      <c r="M161" s="8"/>
      <c r="N161" s="8"/>
      <c r="O161" s="11"/>
      <c r="T161" s="7" t="s">
        <v>178</v>
      </c>
    </row>
    <row r="162" spans="1:20" x14ac:dyDescent="0.25">
      <c r="A162" s="7" t="s">
        <v>203</v>
      </c>
      <c r="B162" s="7" t="s">
        <v>151</v>
      </c>
      <c r="C162" s="7" t="s">
        <v>155</v>
      </c>
      <c r="D162" s="7" t="s">
        <v>154</v>
      </c>
      <c r="H162" s="7">
        <v>23</v>
      </c>
      <c r="I162" s="7">
        <v>7</v>
      </c>
      <c r="J162" s="8">
        <f t="shared" si="2"/>
        <v>0.76666666666666672</v>
      </c>
      <c r="K162" s="8" t="s">
        <v>30</v>
      </c>
      <c r="L162" s="8" t="s">
        <v>30</v>
      </c>
      <c r="M162" s="8" t="s">
        <v>30</v>
      </c>
      <c r="N162" s="8"/>
      <c r="O162" s="11"/>
      <c r="P162" s="7">
        <v>3</v>
      </c>
      <c r="Q162" s="7">
        <v>1</v>
      </c>
      <c r="R162" s="7">
        <v>0</v>
      </c>
      <c r="S162" s="7">
        <v>2</v>
      </c>
      <c r="T162" s="7" t="s">
        <v>155</v>
      </c>
    </row>
    <row r="163" spans="1:20" x14ac:dyDescent="0.25">
      <c r="A163" s="7" t="s">
        <v>203</v>
      </c>
      <c r="B163" s="7" t="s">
        <v>151</v>
      </c>
      <c r="C163" s="7" t="s">
        <v>188</v>
      </c>
      <c r="D163" s="7" t="s">
        <v>187</v>
      </c>
      <c r="H163" s="7">
        <v>22</v>
      </c>
      <c r="I163" s="7">
        <v>8</v>
      </c>
      <c r="J163" s="8">
        <f t="shared" si="2"/>
        <v>0.73333333333333328</v>
      </c>
      <c r="K163" s="8" t="s">
        <v>30</v>
      </c>
      <c r="L163" s="8" t="s">
        <v>30</v>
      </c>
      <c r="M163" s="8" t="s">
        <v>30</v>
      </c>
      <c r="N163" s="8"/>
      <c r="O163" s="11"/>
      <c r="P163" s="7">
        <v>3</v>
      </c>
      <c r="Q163" s="7">
        <v>0</v>
      </c>
      <c r="R163" s="7">
        <v>1</v>
      </c>
      <c r="S163" s="7">
        <v>1</v>
      </c>
      <c r="T163" s="7" t="s">
        <v>188</v>
      </c>
    </row>
    <row r="164" spans="1:20" x14ac:dyDescent="0.25">
      <c r="A164" s="7" t="s">
        <v>203</v>
      </c>
      <c r="B164" s="7" t="s">
        <v>151</v>
      </c>
      <c r="C164" s="7" t="s">
        <v>149</v>
      </c>
      <c r="D164" s="7" t="s">
        <v>152</v>
      </c>
      <c r="H164" s="7">
        <v>19</v>
      </c>
      <c r="I164" s="7">
        <v>11</v>
      </c>
      <c r="J164" s="8">
        <f t="shared" si="2"/>
        <v>0.6333333333333333</v>
      </c>
      <c r="K164" s="8" t="s">
        <v>30</v>
      </c>
      <c r="L164" s="8" t="s">
        <v>30</v>
      </c>
      <c r="M164" s="8" t="s">
        <v>30</v>
      </c>
      <c r="N164" s="8" t="s">
        <v>30</v>
      </c>
      <c r="O164" s="11"/>
      <c r="P164" s="7">
        <v>3</v>
      </c>
      <c r="Q164" s="7">
        <v>2</v>
      </c>
      <c r="R164" s="7">
        <v>1</v>
      </c>
      <c r="S164" s="7">
        <v>1</v>
      </c>
      <c r="T164" s="7" t="s">
        <v>149</v>
      </c>
    </row>
    <row r="165" spans="1:20" x14ac:dyDescent="0.25">
      <c r="A165" s="7" t="s">
        <v>203</v>
      </c>
      <c r="B165" s="7" t="s">
        <v>151</v>
      </c>
      <c r="C165" s="7" t="s">
        <v>156</v>
      </c>
      <c r="D165" s="7" t="s">
        <v>157</v>
      </c>
      <c r="H165" s="7">
        <v>18</v>
      </c>
      <c r="I165" s="7">
        <v>12</v>
      </c>
      <c r="J165" s="8">
        <f t="shared" si="2"/>
        <v>0.6</v>
      </c>
      <c r="K165" s="8" t="s">
        <v>30</v>
      </c>
      <c r="L165" s="8" t="s">
        <v>30</v>
      </c>
      <c r="M165" s="8" t="s">
        <v>30</v>
      </c>
      <c r="N165" s="8" t="s">
        <v>30</v>
      </c>
      <c r="O165" s="11" t="s">
        <v>30</v>
      </c>
      <c r="P165" s="7">
        <v>3</v>
      </c>
      <c r="Q165" s="7">
        <v>0</v>
      </c>
      <c r="R165" s="7">
        <v>2</v>
      </c>
      <c r="S165" s="7">
        <v>0</v>
      </c>
      <c r="T165" s="7" t="s">
        <v>156</v>
      </c>
    </row>
    <row r="166" spans="1:20" x14ac:dyDescent="0.25">
      <c r="A166" s="7" t="s">
        <v>203</v>
      </c>
      <c r="B166" s="7" t="s">
        <v>151</v>
      </c>
      <c r="C166" s="7" t="s">
        <v>162</v>
      </c>
      <c r="D166" s="7" t="s">
        <v>152</v>
      </c>
      <c r="H166" s="7">
        <v>19</v>
      </c>
      <c r="I166" s="7">
        <v>11</v>
      </c>
      <c r="J166" s="8">
        <f t="shared" si="2"/>
        <v>0.6333333333333333</v>
      </c>
      <c r="K166" s="8" t="s">
        <v>30</v>
      </c>
      <c r="L166" s="8" t="s">
        <v>30</v>
      </c>
      <c r="M166" s="8"/>
      <c r="N166" s="8"/>
      <c r="O166" s="11"/>
      <c r="P166" s="7">
        <v>0</v>
      </c>
      <c r="Q166" s="7">
        <v>3</v>
      </c>
      <c r="T166" s="7" t="s">
        <v>162</v>
      </c>
    </row>
    <row r="167" spans="1:20" x14ac:dyDescent="0.25">
      <c r="A167" s="7" t="s">
        <v>203</v>
      </c>
      <c r="B167" s="7" t="s">
        <v>151</v>
      </c>
      <c r="C167" s="7" t="s">
        <v>178</v>
      </c>
      <c r="D167" s="7" t="s">
        <v>157</v>
      </c>
      <c r="H167" s="7">
        <v>17</v>
      </c>
      <c r="I167" s="7">
        <v>13</v>
      </c>
      <c r="J167" s="8">
        <f t="shared" si="2"/>
        <v>0.56666666666666665</v>
      </c>
      <c r="K167" s="8" t="s">
        <v>30</v>
      </c>
      <c r="L167" s="8" t="s">
        <v>30</v>
      </c>
      <c r="M167" s="8"/>
      <c r="N167" s="8"/>
      <c r="O167" s="11"/>
      <c r="P167" s="7">
        <v>2</v>
      </c>
      <c r="Q167" s="7">
        <v>3</v>
      </c>
      <c r="T167" s="7" t="s">
        <v>178</v>
      </c>
    </row>
    <row r="168" spans="1:20" x14ac:dyDescent="0.25">
      <c r="A168" s="7" t="s">
        <v>203</v>
      </c>
      <c r="B168" s="7" t="s">
        <v>151</v>
      </c>
      <c r="C168" s="7" t="s">
        <v>177</v>
      </c>
      <c r="D168" s="7" t="s">
        <v>154</v>
      </c>
      <c r="H168" s="7">
        <v>17</v>
      </c>
      <c r="I168" s="7">
        <v>13</v>
      </c>
      <c r="J168" s="8">
        <f t="shared" si="2"/>
        <v>0.56666666666666665</v>
      </c>
      <c r="K168" s="8" t="s">
        <v>30</v>
      </c>
      <c r="L168" s="8" t="s">
        <v>30</v>
      </c>
      <c r="M168" s="8"/>
      <c r="N168" s="8"/>
      <c r="O168" s="11"/>
      <c r="P168" s="7">
        <v>0</v>
      </c>
      <c r="Q168" s="7">
        <v>3</v>
      </c>
      <c r="T168" s="7" t="s">
        <v>177</v>
      </c>
    </row>
    <row r="169" spans="1:20" x14ac:dyDescent="0.25">
      <c r="A169" s="7" t="s">
        <v>203</v>
      </c>
      <c r="B169" s="7" t="s">
        <v>151</v>
      </c>
      <c r="C169" s="7" t="s">
        <v>199</v>
      </c>
      <c r="D169" s="7" t="s">
        <v>157</v>
      </c>
      <c r="H169" s="7">
        <v>16</v>
      </c>
      <c r="I169" s="7">
        <v>14</v>
      </c>
      <c r="J169" s="8">
        <f t="shared" si="2"/>
        <v>0.53333333333333333</v>
      </c>
      <c r="K169" s="8" t="s">
        <v>30</v>
      </c>
      <c r="L169" s="8" t="s">
        <v>30</v>
      </c>
      <c r="M169" s="8"/>
      <c r="N169" s="8"/>
      <c r="O169" s="11"/>
      <c r="P169" s="7">
        <v>1</v>
      </c>
      <c r="Q169" s="7">
        <v>3</v>
      </c>
      <c r="T169" s="7" t="s">
        <v>199</v>
      </c>
    </row>
    <row r="170" spans="1:20" x14ac:dyDescent="0.25">
      <c r="A170" s="7" t="s">
        <v>203</v>
      </c>
      <c r="B170" s="7" t="s">
        <v>151</v>
      </c>
      <c r="C170" s="7" t="s">
        <v>165</v>
      </c>
      <c r="D170" s="7" t="s">
        <v>166</v>
      </c>
      <c r="H170" s="7">
        <v>16</v>
      </c>
      <c r="I170" s="7">
        <v>14</v>
      </c>
      <c r="J170" s="8">
        <f t="shared" si="2"/>
        <v>0.53333333333333333</v>
      </c>
      <c r="K170" s="8"/>
      <c r="L170" s="8"/>
      <c r="M170" s="8"/>
      <c r="N170" s="8"/>
      <c r="O170" s="11"/>
      <c r="T170" s="7" t="s">
        <v>165</v>
      </c>
    </row>
    <row r="171" spans="1:20" x14ac:dyDescent="0.25">
      <c r="A171" s="7" t="s">
        <v>203</v>
      </c>
      <c r="B171" s="7" t="s">
        <v>151</v>
      </c>
      <c r="C171" s="7" t="s">
        <v>158</v>
      </c>
      <c r="D171" s="7" t="s">
        <v>159</v>
      </c>
      <c r="H171" s="7">
        <v>14</v>
      </c>
      <c r="I171" s="7">
        <v>16</v>
      </c>
      <c r="J171" s="8">
        <f t="shared" si="2"/>
        <v>0.46666666666666667</v>
      </c>
      <c r="K171" s="8"/>
      <c r="L171" s="8"/>
      <c r="M171" s="8"/>
      <c r="N171" s="8"/>
      <c r="O171" s="11"/>
      <c r="T171" s="7" t="s">
        <v>158</v>
      </c>
    </row>
    <row r="172" spans="1:20" x14ac:dyDescent="0.25">
      <c r="A172" s="7" t="s">
        <v>203</v>
      </c>
      <c r="B172" s="7" t="s">
        <v>151</v>
      </c>
      <c r="C172" s="7" t="s">
        <v>581</v>
      </c>
      <c r="D172" s="7" t="s">
        <v>154</v>
      </c>
      <c r="H172" s="7">
        <v>12</v>
      </c>
      <c r="I172" s="7">
        <v>18</v>
      </c>
      <c r="J172" s="8">
        <f t="shared" si="2"/>
        <v>0.4</v>
      </c>
      <c r="K172" s="8"/>
      <c r="L172" s="8"/>
      <c r="M172" s="8"/>
      <c r="N172" s="8"/>
      <c r="O172" s="11"/>
      <c r="T172" s="7" t="s">
        <v>581</v>
      </c>
    </row>
    <row r="173" spans="1:20" x14ac:dyDescent="0.25">
      <c r="A173" s="7" t="s">
        <v>203</v>
      </c>
      <c r="B173" s="7" t="s">
        <v>151</v>
      </c>
      <c r="C173" s="7" t="s">
        <v>205</v>
      </c>
      <c r="D173" s="7" t="s">
        <v>157</v>
      </c>
      <c r="H173" s="7">
        <v>11</v>
      </c>
      <c r="I173" s="7">
        <v>19</v>
      </c>
      <c r="J173" s="8">
        <f t="shared" si="2"/>
        <v>0.36666666666666664</v>
      </c>
      <c r="K173" s="8"/>
      <c r="L173" s="8"/>
      <c r="M173" s="8"/>
      <c r="N173" s="8"/>
      <c r="O173" s="11"/>
      <c r="T173" s="7" t="s">
        <v>204</v>
      </c>
    </row>
    <row r="174" spans="1:20" x14ac:dyDescent="0.25">
      <c r="A174" s="7" t="s">
        <v>203</v>
      </c>
      <c r="B174" s="7" t="s">
        <v>151</v>
      </c>
      <c r="C174" s="7" t="s">
        <v>202</v>
      </c>
      <c r="D174" s="7" t="s">
        <v>173</v>
      </c>
      <c r="H174" s="7">
        <v>10</v>
      </c>
      <c r="I174" s="7">
        <v>20</v>
      </c>
      <c r="J174" s="8">
        <f t="shared" si="2"/>
        <v>0.33333333333333331</v>
      </c>
      <c r="K174" s="8"/>
      <c r="L174" s="8"/>
      <c r="M174" s="8"/>
      <c r="N174" s="8"/>
      <c r="O174" s="11"/>
      <c r="T174" s="7" t="s">
        <v>582</v>
      </c>
    </row>
    <row r="175" spans="1:20" x14ac:dyDescent="0.25">
      <c r="A175" s="7" t="s">
        <v>203</v>
      </c>
      <c r="B175" s="7" t="s">
        <v>151</v>
      </c>
      <c r="C175" s="7" t="s">
        <v>169</v>
      </c>
      <c r="D175" s="7" t="s">
        <v>161</v>
      </c>
      <c r="H175" s="7">
        <v>10</v>
      </c>
      <c r="I175" s="7">
        <v>20</v>
      </c>
      <c r="J175" s="8">
        <f t="shared" si="2"/>
        <v>0.33333333333333331</v>
      </c>
      <c r="K175" s="8"/>
      <c r="L175" s="8"/>
      <c r="M175" s="8"/>
      <c r="N175" s="8"/>
      <c r="O175" s="11"/>
      <c r="T175" s="7" t="s">
        <v>169</v>
      </c>
    </row>
    <row r="176" spans="1:20" x14ac:dyDescent="0.25">
      <c r="A176" s="7" t="s">
        <v>203</v>
      </c>
      <c r="B176" s="7" t="s">
        <v>151</v>
      </c>
      <c r="C176" s="7" t="s">
        <v>170</v>
      </c>
      <c r="D176" s="7" t="s">
        <v>171</v>
      </c>
      <c r="H176" s="7">
        <v>8</v>
      </c>
      <c r="I176" s="7">
        <v>22</v>
      </c>
      <c r="J176" s="8">
        <f t="shared" si="2"/>
        <v>0.26666666666666666</v>
      </c>
      <c r="K176" s="8"/>
      <c r="L176" s="8"/>
      <c r="M176" s="8"/>
      <c r="N176" s="8"/>
      <c r="O176" s="11"/>
      <c r="T176" s="7" t="s">
        <v>170</v>
      </c>
    </row>
    <row r="177" spans="1:20" x14ac:dyDescent="0.25">
      <c r="A177" s="7" t="s">
        <v>203</v>
      </c>
      <c r="B177" s="7" t="s">
        <v>151</v>
      </c>
      <c r="C177" s="7" t="s">
        <v>189</v>
      </c>
      <c r="D177" s="7" t="s">
        <v>187</v>
      </c>
      <c r="H177" s="7">
        <v>8</v>
      </c>
      <c r="I177" s="7">
        <v>22</v>
      </c>
      <c r="J177" s="8">
        <f t="shared" si="2"/>
        <v>0.26666666666666666</v>
      </c>
      <c r="K177" s="8"/>
      <c r="L177" s="8"/>
      <c r="M177" s="8"/>
      <c r="N177" s="8"/>
      <c r="O177" s="11"/>
      <c r="T177" s="7" t="s">
        <v>189</v>
      </c>
    </row>
    <row r="178" spans="1:20" x14ac:dyDescent="0.25">
      <c r="A178" s="7" t="s">
        <v>206</v>
      </c>
      <c r="B178" s="7" t="s">
        <v>151</v>
      </c>
      <c r="C178" s="7" t="s">
        <v>188</v>
      </c>
      <c r="D178" s="7" t="s">
        <v>187</v>
      </c>
      <c r="E178" s="7" t="s">
        <v>207</v>
      </c>
      <c r="H178" s="7">
        <v>9</v>
      </c>
      <c r="I178" s="7">
        <v>1</v>
      </c>
      <c r="J178" s="8">
        <f t="shared" si="2"/>
        <v>0.9</v>
      </c>
      <c r="K178" s="8" t="s">
        <v>30</v>
      </c>
      <c r="L178" s="8" t="s">
        <v>30</v>
      </c>
      <c r="M178" s="8" t="s">
        <v>30</v>
      </c>
      <c r="N178" s="8" t="s">
        <v>30</v>
      </c>
      <c r="O178" s="11" t="s">
        <v>30</v>
      </c>
      <c r="P178" s="7">
        <v>10</v>
      </c>
      <c r="Q178" s="7">
        <v>4</v>
      </c>
      <c r="R178" s="7">
        <v>3</v>
      </c>
      <c r="S178" s="7">
        <v>0</v>
      </c>
      <c r="T178" s="7" t="s">
        <v>188</v>
      </c>
    </row>
    <row r="179" spans="1:20" x14ac:dyDescent="0.25">
      <c r="A179" s="7" t="s">
        <v>206</v>
      </c>
      <c r="B179" s="7" t="s">
        <v>151</v>
      </c>
      <c r="C179" s="7" t="s">
        <v>156</v>
      </c>
      <c r="D179" s="7" t="s">
        <v>157</v>
      </c>
      <c r="E179" s="7" t="s">
        <v>208</v>
      </c>
      <c r="H179" s="7">
        <v>8</v>
      </c>
      <c r="I179" s="7">
        <v>2</v>
      </c>
      <c r="J179" s="8">
        <f t="shared" si="2"/>
        <v>0.8</v>
      </c>
      <c r="K179" s="8" t="s">
        <v>30</v>
      </c>
      <c r="L179" s="8" t="s">
        <v>30</v>
      </c>
      <c r="M179" s="8" t="s">
        <v>30</v>
      </c>
      <c r="N179" s="8" t="s">
        <v>30</v>
      </c>
      <c r="O179" s="11"/>
      <c r="P179" s="7">
        <v>11</v>
      </c>
      <c r="Q179" s="7">
        <v>3</v>
      </c>
      <c r="R179" s="7">
        <v>3</v>
      </c>
      <c r="S179" s="7">
        <v>0</v>
      </c>
      <c r="T179" s="7" t="s">
        <v>156</v>
      </c>
    </row>
    <row r="180" spans="1:20" x14ac:dyDescent="0.25">
      <c r="A180" s="7" t="s">
        <v>206</v>
      </c>
      <c r="B180" s="7" t="s">
        <v>151</v>
      </c>
      <c r="C180" s="7" t="s">
        <v>209</v>
      </c>
      <c r="D180" s="7" t="s">
        <v>187</v>
      </c>
      <c r="E180" s="7" t="s">
        <v>210</v>
      </c>
      <c r="H180" s="7">
        <v>8</v>
      </c>
      <c r="I180" s="7">
        <v>2</v>
      </c>
      <c r="J180" s="8">
        <f t="shared" si="2"/>
        <v>0.8</v>
      </c>
      <c r="K180" s="8" t="s">
        <v>30</v>
      </c>
      <c r="L180" s="8" t="s">
        <v>30</v>
      </c>
      <c r="M180" s="8" t="s">
        <v>30</v>
      </c>
      <c r="N180" s="8"/>
      <c r="O180" s="11"/>
      <c r="P180" s="7">
        <v>9</v>
      </c>
      <c r="Q180" s="7">
        <v>5</v>
      </c>
      <c r="R180" s="7">
        <v>3</v>
      </c>
      <c r="S180" s="7">
        <v>2</v>
      </c>
      <c r="T180" s="7" t="s">
        <v>209</v>
      </c>
    </row>
    <row r="181" spans="1:20" x14ac:dyDescent="0.25">
      <c r="A181" s="7" t="s">
        <v>206</v>
      </c>
      <c r="B181" s="7" t="s">
        <v>151</v>
      </c>
      <c r="C181" s="7" t="s">
        <v>211</v>
      </c>
      <c r="D181" s="7" t="s">
        <v>154</v>
      </c>
      <c r="E181" s="7" t="s">
        <v>212</v>
      </c>
      <c r="H181" s="7">
        <v>6</v>
      </c>
      <c r="I181" s="7">
        <v>4</v>
      </c>
      <c r="J181" s="8">
        <f t="shared" si="2"/>
        <v>0.6</v>
      </c>
      <c r="K181" s="8" t="s">
        <v>30</v>
      </c>
      <c r="L181" s="8" t="s">
        <v>30</v>
      </c>
      <c r="M181" s="8" t="s">
        <v>30</v>
      </c>
      <c r="N181" s="8"/>
      <c r="O181" s="11"/>
      <c r="P181" s="7">
        <v>9</v>
      </c>
      <c r="Q181" s="7">
        <v>5</v>
      </c>
      <c r="R181" s="7">
        <v>3</v>
      </c>
      <c r="S181" s="7">
        <v>0</v>
      </c>
      <c r="T181" s="7" t="s">
        <v>177</v>
      </c>
    </row>
    <row r="182" spans="1:20" x14ac:dyDescent="0.25">
      <c r="A182" s="7" t="s">
        <v>206</v>
      </c>
      <c r="B182" s="7" t="s">
        <v>151</v>
      </c>
      <c r="C182" s="7" t="s">
        <v>149</v>
      </c>
      <c r="D182" s="7" t="s">
        <v>152</v>
      </c>
      <c r="E182" s="7" t="s">
        <v>212</v>
      </c>
      <c r="H182" s="7">
        <v>8</v>
      </c>
      <c r="I182" s="7">
        <v>2</v>
      </c>
      <c r="J182" s="8">
        <f t="shared" si="2"/>
        <v>0.8</v>
      </c>
      <c r="K182" s="8" t="s">
        <v>30</v>
      </c>
      <c r="L182" s="8"/>
      <c r="M182" s="8"/>
      <c r="N182" s="8"/>
      <c r="O182" s="11"/>
      <c r="P182" s="7">
        <v>6</v>
      </c>
      <c r="Q182" s="7">
        <v>8</v>
      </c>
      <c r="T182" s="7" t="s">
        <v>149</v>
      </c>
    </row>
    <row r="183" spans="1:20" x14ac:dyDescent="0.25">
      <c r="A183" s="7" t="s">
        <v>206</v>
      </c>
      <c r="B183" s="7" t="s">
        <v>151</v>
      </c>
      <c r="C183" s="7" t="s">
        <v>201</v>
      </c>
      <c r="D183" s="7" t="s">
        <v>154</v>
      </c>
      <c r="E183" s="7" t="s">
        <v>207</v>
      </c>
      <c r="H183" s="7">
        <v>7</v>
      </c>
      <c r="I183" s="7">
        <v>3</v>
      </c>
      <c r="J183" s="8">
        <f t="shared" si="2"/>
        <v>0.7</v>
      </c>
      <c r="K183" s="8" t="s">
        <v>30</v>
      </c>
      <c r="L183" s="8"/>
      <c r="M183" s="8"/>
      <c r="N183" s="8"/>
      <c r="O183" s="11"/>
      <c r="P183" s="7">
        <v>4</v>
      </c>
      <c r="Q183" s="7">
        <v>10</v>
      </c>
      <c r="T183" s="7" t="s">
        <v>201</v>
      </c>
    </row>
    <row r="184" spans="1:20" x14ac:dyDescent="0.25">
      <c r="A184" s="7" t="s">
        <v>206</v>
      </c>
      <c r="B184" s="7" t="s">
        <v>151</v>
      </c>
      <c r="C184" s="7" t="s">
        <v>162</v>
      </c>
      <c r="D184" s="7" t="s">
        <v>152</v>
      </c>
      <c r="E184" s="7" t="s">
        <v>210</v>
      </c>
      <c r="H184" s="7">
        <v>6</v>
      </c>
      <c r="I184" s="7">
        <v>4</v>
      </c>
      <c r="J184" s="8">
        <f t="shared" si="2"/>
        <v>0.6</v>
      </c>
      <c r="K184" s="8" t="s">
        <v>30</v>
      </c>
      <c r="L184" s="8" t="s">
        <v>30</v>
      </c>
      <c r="M184" s="8"/>
      <c r="N184" s="8"/>
      <c r="O184" s="11"/>
      <c r="P184" s="7">
        <v>9</v>
      </c>
      <c r="Q184" s="7">
        <v>5</v>
      </c>
      <c r="R184" s="7">
        <v>0</v>
      </c>
      <c r="S184" s="7">
        <v>3</v>
      </c>
      <c r="T184" s="7" t="s">
        <v>162</v>
      </c>
    </row>
    <row r="185" spans="1:20" x14ac:dyDescent="0.25">
      <c r="A185" s="7" t="s">
        <v>206</v>
      </c>
      <c r="B185" s="7" t="s">
        <v>151</v>
      </c>
      <c r="C185" s="7" t="s">
        <v>581</v>
      </c>
      <c r="D185" s="7" t="s">
        <v>154</v>
      </c>
      <c r="E185" s="7" t="s">
        <v>210</v>
      </c>
      <c r="H185" s="7">
        <v>6</v>
      </c>
      <c r="I185" s="7">
        <v>4</v>
      </c>
      <c r="J185" s="8">
        <f t="shared" si="2"/>
        <v>0.6</v>
      </c>
      <c r="K185" s="8" t="s">
        <v>30</v>
      </c>
      <c r="L185" s="8" t="s">
        <v>30</v>
      </c>
      <c r="M185" s="8"/>
      <c r="N185" s="8"/>
      <c r="O185" s="11"/>
      <c r="P185" s="7">
        <v>8</v>
      </c>
      <c r="Q185" s="7">
        <v>6</v>
      </c>
      <c r="R185" s="7">
        <v>2</v>
      </c>
      <c r="S185" s="7">
        <v>3</v>
      </c>
      <c r="T185" s="7" t="s">
        <v>581</v>
      </c>
    </row>
    <row r="186" spans="1:20" x14ac:dyDescent="0.25">
      <c r="A186" s="7" t="s">
        <v>206</v>
      </c>
      <c r="B186" s="7" t="s">
        <v>151</v>
      </c>
      <c r="C186" s="7" t="s">
        <v>213</v>
      </c>
      <c r="D186" s="7" t="s">
        <v>173</v>
      </c>
      <c r="E186" s="7" t="s">
        <v>207</v>
      </c>
      <c r="H186" s="7">
        <v>6</v>
      </c>
      <c r="I186" s="7">
        <v>4</v>
      </c>
      <c r="J186" s="8">
        <f t="shared" si="2"/>
        <v>0.6</v>
      </c>
      <c r="K186" s="8" t="s">
        <v>30</v>
      </c>
      <c r="L186" s="8"/>
      <c r="M186" s="8"/>
      <c r="N186" s="8"/>
      <c r="O186" s="11"/>
      <c r="P186" s="7">
        <v>7</v>
      </c>
      <c r="Q186" s="7">
        <v>7</v>
      </c>
      <c r="T186" s="7" t="s">
        <v>582</v>
      </c>
    </row>
    <row r="187" spans="1:20" x14ac:dyDescent="0.25">
      <c r="A187" s="7" t="s">
        <v>206</v>
      </c>
      <c r="B187" s="7" t="s">
        <v>151</v>
      </c>
      <c r="C187" s="7" t="s">
        <v>178</v>
      </c>
      <c r="D187" s="7" t="s">
        <v>157</v>
      </c>
      <c r="E187" s="7" t="s">
        <v>212</v>
      </c>
      <c r="H187" s="7">
        <v>6</v>
      </c>
      <c r="I187" s="7">
        <v>4</v>
      </c>
      <c r="J187" s="8">
        <f t="shared" si="2"/>
        <v>0.6</v>
      </c>
      <c r="K187" s="8" t="s">
        <v>30</v>
      </c>
      <c r="L187" s="8"/>
      <c r="M187" s="8"/>
      <c r="N187" s="8"/>
      <c r="O187" s="11"/>
      <c r="P187" s="7">
        <v>7</v>
      </c>
      <c r="Q187" s="7">
        <v>7</v>
      </c>
      <c r="T187" s="7" t="s">
        <v>178</v>
      </c>
    </row>
    <row r="188" spans="1:20" x14ac:dyDescent="0.25">
      <c r="A188" s="7" t="s">
        <v>206</v>
      </c>
      <c r="B188" s="7" t="s">
        <v>151</v>
      </c>
      <c r="C188" s="7" t="s">
        <v>165</v>
      </c>
      <c r="D188" s="7" t="s">
        <v>166</v>
      </c>
      <c r="E188" s="7" t="s">
        <v>208</v>
      </c>
      <c r="H188" s="7">
        <v>5</v>
      </c>
      <c r="I188" s="7">
        <v>5</v>
      </c>
      <c r="J188" s="8">
        <f t="shared" si="2"/>
        <v>0.5</v>
      </c>
      <c r="K188" s="8" t="s">
        <v>30</v>
      </c>
      <c r="L188" s="8" t="s">
        <v>30</v>
      </c>
      <c r="M188" s="8"/>
      <c r="N188" s="8"/>
      <c r="O188" s="11"/>
      <c r="P188" s="7">
        <v>7</v>
      </c>
      <c r="Q188" s="7">
        <v>7</v>
      </c>
      <c r="R188" s="7">
        <v>0</v>
      </c>
      <c r="S188" s="7">
        <v>3</v>
      </c>
      <c r="T188" s="7" t="s">
        <v>165</v>
      </c>
    </row>
    <row r="189" spans="1:20" x14ac:dyDescent="0.25">
      <c r="A189" s="7" t="s">
        <v>206</v>
      </c>
      <c r="B189" s="7" t="s">
        <v>151</v>
      </c>
      <c r="C189" s="7" t="s">
        <v>155</v>
      </c>
      <c r="D189" s="7" t="s">
        <v>154</v>
      </c>
      <c r="E189" s="7" t="s">
        <v>208</v>
      </c>
      <c r="H189" s="7">
        <v>5</v>
      </c>
      <c r="I189" s="7">
        <v>5</v>
      </c>
      <c r="J189" s="8">
        <f t="shared" si="2"/>
        <v>0.5</v>
      </c>
      <c r="K189" s="8" t="s">
        <v>30</v>
      </c>
      <c r="L189" s="8" t="s">
        <v>30</v>
      </c>
      <c r="M189" s="8"/>
      <c r="N189" s="8"/>
      <c r="O189" s="11"/>
      <c r="P189" s="7">
        <v>7</v>
      </c>
      <c r="Q189" s="7">
        <v>7</v>
      </c>
      <c r="R189" s="7">
        <v>0</v>
      </c>
      <c r="S189" s="7">
        <v>3</v>
      </c>
      <c r="T189" s="7" t="s">
        <v>155</v>
      </c>
    </row>
    <row r="190" spans="1:20" x14ac:dyDescent="0.25">
      <c r="A190" s="7" t="s">
        <v>206</v>
      </c>
      <c r="B190" s="7" t="s">
        <v>151</v>
      </c>
      <c r="C190" s="7" t="s">
        <v>192</v>
      </c>
      <c r="D190" s="7" t="s">
        <v>187</v>
      </c>
      <c r="E190" s="7" t="s">
        <v>208</v>
      </c>
      <c r="H190" s="7">
        <v>5</v>
      </c>
      <c r="I190" s="7">
        <v>5</v>
      </c>
      <c r="J190" s="8">
        <f t="shared" si="2"/>
        <v>0.5</v>
      </c>
      <c r="K190" s="8" t="s">
        <v>30</v>
      </c>
      <c r="L190" s="8"/>
      <c r="M190" s="8"/>
      <c r="N190" s="8"/>
      <c r="O190" s="11"/>
      <c r="P190" s="7">
        <v>7</v>
      </c>
      <c r="Q190" s="7">
        <v>7</v>
      </c>
      <c r="T190" s="7" t="s">
        <v>192</v>
      </c>
    </row>
    <row r="191" spans="1:20" x14ac:dyDescent="0.25">
      <c r="A191" s="7" t="s">
        <v>206</v>
      </c>
      <c r="B191" s="7" t="s">
        <v>151</v>
      </c>
      <c r="C191" s="7" t="s">
        <v>158</v>
      </c>
      <c r="D191" s="7" t="s">
        <v>159</v>
      </c>
      <c r="E191" s="7" t="s">
        <v>210</v>
      </c>
      <c r="H191" s="7">
        <v>5</v>
      </c>
      <c r="I191" s="7">
        <v>5</v>
      </c>
      <c r="J191" s="8">
        <f t="shared" si="2"/>
        <v>0.5</v>
      </c>
      <c r="K191" s="8" t="s">
        <v>30</v>
      </c>
      <c r="L191" s="8"/>
      <c r="M191" s="8"/>
      <c r="N191" s="8"/>
      <c r="O191" s="11"/>
      <c r="P191" s="7">
        <v>2</v>
      </c>
      <c r="Q191" s="7">
        <v>12</v>
      </c>
      <c r="T191" s="7" t="s">
        <v>158</v>
      </c>
    </row>
    <row r="192" spans="1:20" x14ac:dyDescent="0.25">
      <c r="A192" s="7" t="s">
        <v>206</v>
      </c>
      <c r="B192" s="7" t="s">
        <v>151</v>
      </c>
      <c r="C192" s="7" t="s">
        <v>199</v>
      </c>
      <c r="D192" s="7" t="s">
        <v>157</v>
      </c>
      <c r="E192" s="7" t="s">
        <v>207</v>
      </c>
      <c r="H192" s="7">
        <v>4</v>
      </c>
      <c r="I192" s="7">
        <v>6</v>
      </c>
      <c r="J192" s="8">
        <f t="shared" si="2"/>
        <v>0.4</v>
      </c>
      <c r="K192" s="8" t="s">
        <v>30</v>
      </c>
      <c r="L192" s="8"/>
      <c r="M192" s="8"/>
      <c r="N192" s="8"/>
      <c r="O192" s="11"/>
      <c r="P192" s="7">
        <v>5</v>
      </c>
      <c r="Q192" s="7">
        <v>9</v>
      </c>
      <c r="T192" s="7" t="s">
        <v>199</v>
      </c>
    </row>
    <row r="193" spans="1:20" x14ac:dyDescent="0.25">
      <c r="A193" s="7" t="s">
        <v>206</v>
      </c>
      <c r="B193" s="7" t="s">
        <v>151</v>
      </c>
      <c r="C193" s="7" t="s">
        <v>583</v>
      </c>
      <c r="D193" s="7" t="s">
        <v>215</v>
      </c>
      <c r="E193" s="7" t="s">
        <v>212</v>
      </c>
      <c r="H193" s="7">
        <v>4</v>
      </c>
      <c r="I193" s="7">
        <v>6</v>
      </c>
      <c r="J193" s="8">
        <f t="shared" si="2"/>
        <v>0.4</v>
      </c>
      <c r="K193" s="8" t="s">
        <v>30</v>
      </c>
      <c r="L193" s="8"/>
      <c r="M193" s="8"/>
      <c r="N193" s="8"/>
      <c r="O193" s="11"/>
      <c r="P193" s="7">
        <v>4</v>
      </c>
      <c r="Q193" s="7">
        <v>10</v>
      </c>
      <c r="T193" s="7" t="s">
        <v>214</v>
      </c>
    </row>
    <row r="194" spans="1:20" x14ac:dyDescent="0.25">
      <c r="A194" s="7" t="s">
        <v>206</v>
      </c>
      <c r="B194" s="7" t="s">
        <v>151</v>
      </c>
      <c r="C194" s="7" t="s">
        <v>172</v>
      </c>
      <c r="D194" s="7" t="s">
        <v>173</v>
      </c>
      <c r="E194" s="7" t="s">
        <v>208</v>
      </c>
      <c r="H194" s="7">
        <v>4</v>
      </c>
      <c r="I194" s="7">
        <v>6</v>
      </c>
      <c r="J194" s="8">
        <f t="shared" ref="J194:J257" si="3">H194/SUM(H194:I194)</f>
        <v>0.4</v>
      </c>
      <c r="K194" s="8"/>
      <c r="L194" s="8"/>
      <c r="M194" s="8"/>
      <c r="N194" s="8"/>
      <c r="O194" s="11"/>
      <c r="T194" s="7" t="s">
        <v>172</v>
      </c>
    </row>
    <row r="195" spans="1:20" x14ac:dyDescent="0.25">
      <c r="A195" s="7" t="s">
        <v>206</v>
      </c>
      <c r="B195" s="7" t="s">
        <v>151</v>
      </c>
      <c r="C195" s="7" t="s">
        <v>169</v>
      </c>
      <c r="D195" s="7" t="s">
        <v>161</v>
      </c>
      <c r="E195" s="7" t="s">
        <v>207</v>
      </c>
      <c r="H195" s="7">
        <v>4</v>
      </c>
      <c r="I195" s="7">
        <v>6</v>
      </c>
      <c r="J195" s="8">
        <f t="shared" si="3"/>
        <v>0.4</v>
      </c>
      <c r="K195" s="8"/>
      <c r="L195" s="8"/>
      <c r="M195" s="8"/>
      <c r="N195" s="8"/>
      <c r="O195" s="11"/>
      <c r="T195" s="7" t="s">
        <v>169</v>
      </c>
    </row>
    <row r="196" spans="1:20" x14ac:dyDescent="0.25">
      <c r="A196" s="7" t="s">
        <v>206</v>
      </c>
      <c r="B196" s="7" t="s">
        <v>151</v>
      </c>
      <c r="C196" s="7" t="s">
        <v>216</v>
      </c>
      <c r="D196" s="7" t="s">
        <v>164</v>
      </c>
      <c r="E196" s="7" t="s">
        <v>212</v>
      </c>
      <c r="H196" s="7">
        <v>3</v>
      </c>
      <c r="I196" s="7">
        <v>7</v>
      </c>
      <c r="J196" s="8">
        <f t="shared" si="3"/>
        <v>0.3</v>
      </c>
      <c r="K196" s="8"/>
      <c r="L196" s="8"/>
      <c r="M196" s="8"/>
      <c r="N196" s="8"/>
      <c r="O196" s="11"/>
      <c r="T196" s="7" t="s">
        <v>216</v>
      </c>
    </row>
    <row r="197" spans="1:20" x14ac:dyDescent="0.25">
      <c r="A197" s="7" t="s">
        <v>206</v>
      </c>
      <c r="B197" s="7" t="s">
        <v>151</v>
      </c>
      <c r="C197" s="7" t="s">
        <v>217</v>
      </c>
      <c r="D197" s="7" t="s">
        <v>164</v>
      </c>
      <c r="E197" s="7" t="s">
        <v>208</v>
      </c>
      <c r="H197" s="7">
        <v>3</v>
      </c>
      <c r="I197" s="7">
        <v>7</v>
      </c>
      <c r="J197" s="8">
        <f t="shared" si="3"/>
        <v>0.3</v>
      </c>
      <c r="K197" s="8"/>
      <c r="L197" s="8"/>
      <c r="M197" s="8"/>
      <c r="N197" s="8"/>
      <c r="O197" s="11"/>
      <c r="T197" s="7" t="s">
        <v>217</v>
      </c>
    </row>
    <row r="198" spans="1:20" x14ac:dyDescent="0.25">
      <c r="A198" s="7" t="s">
        <v>206</v>
      </c>
      <c r="B198" s="7" t="s">
        <v>151</v>
      </c>
      <c r="C198" s="7" t="s">
        <v>170</v>
      </c>
      <c r="D198" s="7" t="s">
        <v>171</v>
      </c>
      <c r="E198" s="7" t="s">
        <v>212</v>
      </c>
      <c r="H198" s="7">
        <v>3</v>
      </c>
      <c r="I198" s="7">
        <v>7</v>
      </c>
      <c r="J198" s="8">
        <f t="shared" si="3"/>
        <v>0.3</v>
      </c>
      <c r="K198" s="8"/>
      <c r="L198" s="8"/>
      <c r="M198" s="8"/>
      <c r="N198" s="8"/>
      <c r="O198" s="11"/>
      <c r="T198" s="7" t="s">
        <v>170</v>
      </c>
    </row>
    <row r="199" spans="1:20" x14ac:dyDescent="0.25">
      <c r="A199" s="7" t="s">
        <v>206</v>
      </c>
      <c r="B199" s="7" t="s">
        <v>151</v>
      </c>
      <c r="C199" s="7" t="s">
        <v>218</v>
      </c>
      <c r="D199" s="7" t="s">
        <v>157</v>
      </c>
      <c r="E199" s="7" t="s">
        <v>210</v>
      </c>
      <c r="H199" s="7">
        <v>3</v>
      </c>
      <c r="I199" s="7">
        <v>7</v>
      </c>
      <c r="J199" s="8">
        <f t="shared" si="3"/>
        <v>0.3</v>
      </c>
      <c r="K199" s="8"/>
      <c r="L199" s="8"/>
      <c r="M199" s="8"/>
      <c r="N199" s="8"/>
      <c r="O199" s="11"/>
      <c r="T199" s="7" t="s">
        <v>218</v>
      </c>
    </row>
    <row r="200" spans="1:20" x14ac:dyDescent="0.25">
      <c r="A200" s="7" t="s">
        <v>206</v>
      </c>
      <c r="B200" s="7" t="s">
        <v>151</v>
      </c>
      <c r="C200" s="7" t="s">
        <v>219</v>
      </c>
      <c r="D200" s="7" t="s">
        <v>220</v>
      </c>
      <c r="E200" s="7" t="s">
        <v>210</v>
      </c>
      <c r="H200" s="7">
        <v>2</v>
      </c>
      <c r="I200" s="7">
        <v>8</v>
      </c>
      <c r="J200" s="8">
        <f t="shared" si="3"/>
        <v>0.2</v>
      </c>
      <c r="K200" s="8"/>
      <c r="L200" s="8"/>
      <c r="M200" s="8"/>
      <c r="N200" s="8"/>
      <c r="O200" s="11"/>
      <c r="T200" s="7" t="s">
        <v>219</v>
      </c>
    </row>
    <row r="201" spans="1:20" x14ac:dyDescent="0.25">
      <c r="A201" s="7" t="s">
        <v>206</v>
      </c>
      <c r="B201" s="7" t="s">
        <v>151</v>
      </c>
      <c r="C201" s="7" t="s">
        <v>221</v>
      </c>
      <c r="D201" s="7" t="s">
        <v>171</v>
      </c>
      <c r="E201" s="7" t="s">
        <v>207</v>
      </c>
      <c r="H201" s="7">
        <v>0</v>
      </c>
      <c r="I201" s="7">
        <v>10</v>
      </c>
      <c r="J201" s="8">
        <f t="shared" si="3"/>
        <v>0</v>
      </c>
      <c r="K201" s="8"/>
      <c r="L201" s="8"/>
      <c r="M201" s="8"/>
      <c r="N201" s="8"/>
      <c r="O201" s="11"/>
      <c r="T201" s="7" t="s">
        <v>221</v>
      </c>
    </row>
    <row r="202" spans="1:20" x14ac:dyDescent="0.25">
      <c r="A202" s="7" t="s">
        <v>222</v>
      </c>
      <c r="B202" s="7" t="s">
        <v>151</v>
      </c>
      <c r="C202" s="7" t="s">
        <v>188</v>
      </c>
      <c r="D202" s="7" t="s">
        <v>187</v>
      </c>
      <c r="H202" s="7">
        <v>10</v>
      </c>
      <c r="I202" s="7">
        <v>0</v>
      </c>
      <c r="J202" s="8">
        <f t="shared" si="3"/>
        <v>1</v>
      </c>
      <c r="K202" s="8" t="s">
        <v>30</v>
      </c>
      <c r="L202" s="8" t="s">
        <v>30</v>
      </c>
      <c r="M202" s="8" t="s">
        <v>30</v>
      </c>
      <c r="N202" s="8"/>
      <c r="O202" s="11"/>
      <c r="P202" s="7">
        <v>12</v>
      </c>
      <c r="Q202" s="7">
        <v>2</v>
      </c>
      <c r="R202" s="7">
        <v>3</v>
      </c>
      <c r="S202" s="7">
        <v>1</v>
      </c>
      <c r="T202" s="7" t="s">
        <v>188</v>
      </c>
    </row>
    <row r="203" spans="1:20" x14ac:dyDescent="0.25">
      <c r="A203" s="7" t="s">
        <v>222</v>
      </c>
      <c r="B203" s="7" t="s">
        <v>151</v>
      </c>
      <c r="C203" s="7" t="s">
        <v>155</v>
      </c>
      <c r="D203" s="7" t="s">
        <v>154</v>
      </c>
      <c r="H203" s="7">
        <v>8</v>
      </c>
      <c r="I203" s="7">
        <v>2</v>
      </c>
      <c r="J203" s="8">
        <f t="shared" si="3"/>
        <v>0.8</v>
      </c>
      <c r="K203" s="8" t="s">
        <v>30</v>
      </c>
      <c r="L203" s="8" t="s">
        <v>30</v>
      </c>
      <c r="M203" s="8" t="s">
        <v>30</v>
      </c>
      <c r="N203" s="8" t="s">
        <v>30</v>
      </c>
      <c r="O203" s="11" t="s">
        <v>30</v>
      </c>
      <c r="P203" s="7">
        <v>11</v>
      </c>
      <c r="Q203" s="7">
        <v>3</v>
      </c>
      <c r="R203" s="7">
        <v>3</v>
      </c>
      <c r="S203" s="7">
        <v>1</v>
      </c>
      <c r="T203" s="7" t="s">
        <v>155</v>
      </c>
    </row>
    <row r="204" spans="1:20" x14ac:dyDescent="0.25">
      <c r="A204" s="7" t="s">
        <v>222</v>
      </c>
      <c r="B204" s="7" t="s">
        <v>151</v>
      </c>
      <c r="C204" s="7" t="s">
        <v>156</v>
      </c>
      <c r="D204" s="7" t="s">
        <v>157</v>
      </c>
      <c r="H204" s="7">
        <v>8</v>
      </c>
      <c r="I204" s="7">
        <v>2</v>
      </c>
      <c r="J204" s="8">
        <f t="shared" si="3"/>
        <v>0.8</v>
      </c>
      <c r="K204" s="8" t="s">
        <v>30</v>
      </c>
      <c r="L204" s="8" t="s">
        <v>30</v>
      </c>
      <c r="M204" s="8" t="s">
        <v>30</v>
      </c>
      <c r="N204" s="8"/>
      <c r="O204" s="11"/>
      <c r="P204" s="7">
        <v>11</v>
      </c>
      <c r="Q204" s="7">
        <v>3</v>
      </c>
      <c r="R204" s="7">
        <v>3</v>
      </c>
      <c r="S204" s="7">
        <v>0</v>
      </c>
      <c r="T204" s="7" t="s">
        <v>156</v>
      </c>
    </row>
    <row r="205" spans="1:20" x14ac:dyDescent="0.25">
      <c r="A205" s="7" t="s">
        <v>222</v>
      </c>
      <c r="B205" s="7" t="s">
        <v>151</v>
      </c>
      <c r="C205" s="7" t="s">
        <v>149</v>
      </c>
      <c r="D205" s="7" t="s">
        <v>152</v>
      </c>
      <c r="H205" s="7">
        <v>8</v>
      </c>
      <c r="I205" s="7">
        <v>2</v>
      </c>
      <c r="J205" s="8">
        <f t="shared" si="3"/>
        <v>0.8</v>
      </c>
      <c r="K205" s="8" t="s">
        <v>30</v>
      </c>
      <c r="L205" s="8" t="s">
        <v>30</v>
      </c>
      <c r="M205" s="8" t="s">
        <v>30</v>
      </c>
      <c r="N205" s="8" t="s">
        <v>30</v>
      </c>
      <c r="O205" s="11"/>
      <c r="P205" s="7">
        <v>10</v>
      </c>
      <c r="Q205" s="7">
        <v>4</v>
      </c>
      <c r="R205" s="7">
        <v>3</v>
      </c>
      <c r="S205" s="7">
        <v>1</v>
      </c>
      <c r="T205" s="7" t="s">
        <v>149</v>
      </c>
    </row>
    <row r="206" spans="1:20" x14ac:dyDescent="0.25">
      <c r="A206" s="7" t="s">
        <v>222</v>
      </c>
      <c r="B206" s="7" t="s">
        <v>151</v>
      </c>
      <c r="C206" s="7" t="s">
        <v>581</v>
      </c>
      <c r="D206" s="7" t="s">
        <v>154</v>
      </c>
      <c r="H206" s="7">
        <v>9</v>
      </c>
      <c r="I206" s="7">
        <v>1</v>
      </c>
      <c r="J206" s="8">
        <f t="shared" si="3"/>
        <v>0.9</v>
      </c>
      <c r="K206" s="8" t="s">
        <v>30</v>
      </c>
      <c r="L206" s="8" t="s">
        <v>30</v>
      </c>
      <c r="M206" s="8"/>
      <c r="N206" s="8"/>
      <c r="O206" s="11"/>
      <c r="P206" s="7">
        <v>11</v>
      </c>
      <c r="Q206" s="7">
        <v>3</v>
      </c>
      <c r="R206" s="7">
        <v>1</v>
      </c>
      <c r="S206" s="7">
        <v>3</v>
      </c>
      <c r="T206" s="7" t="s">
        <v>581</v>
      </c>
    </row>
    <row r="207" spans="1:20" x14ac:dyDescent="0.25">
      <c r="A207" s="7" t="s">
        <v>222</v>
      </c>
      <c r="B207" s="7" t="s">
        <v>151</v>
      </c>
      <c r="C207" s="7" t="s">
        <v>169</v>
      </c>
      <c r="D207" s="7" t="s">
        <v>161</v>
      </c>
      <c r="H207" s="7">
        <v>7</v>
      </c>
      <c r="I207" s="7">
        <v>3</v>
      </c>
      <c r="J207" s="8">
        <f t="shared" si="3"/>
        <v>0.7</v>
      </c>
      <c r="K207" s="8" t="s">
        <v>30</v>
      </c>
      <c r="L207" s="8" t="s">
        <v>30</v>
      </c>
      <c r="M207" s="8"/>
      <c r="N207" s="8"/>
      <c r="O207" s="11"/>
      <c r="P207" s="7">
        <v>9</v>
      </c>
      <c r="Q207" s="7">
        <v>5</v>
      </c>
      <c r="R207" s="7">
        <v>0</v>
      </c>
      <c r="S207" s="7">
        <v>3</v>
      </c>
      <c r="T207" s="7" t="s">
        <v>169</v>
      </c>
    </row>
    <row r="208" spans="1:20" x14ac:dyDescent="0.25">
      <c r="A208" s="7" t="s">
        <v>222</v>
      </c>
      <c r="B208" s="7" t="s">
        <v>151</v>
      </c>
      <c r="C208" s="7" t="s">
        <v>178</v>
      </c>
      <c r="D208" s="7" t="s">
        <v>157</v>
      </c>
      <c r="H208" s="7">
        <v>6</v>
      </c>
      <c r="I208" s="7">
        <v>4</v>
      </c>
      <c r="J208" s="8">
        <f t="shared" si="3"/>
        <v>0.6</v>
      </c>
      <c r="K208" s="8" t="s">
        <v>30</v>
      </c>
      <c r="L208" s="8" t="s">
        <v>30</v>
      </c>
      <c r="M208" s="8"/>
      <c r="N208" s="8"/>
      <c r="O208" s="11"/>
      <c r="P208" s="7">
        <v>6</v>
      </c>
      <c r="Q208" s="7">
        <v>8</v>
      </c>
      <c r="R208" s="7">
        <v>1</v>
      </c>
      <c r="S208" s="7">
        <v>3</v>
      </c>
      <c r="T208" s="7" t="s">
        <v>178</v>
      </c>
    </row>
    <row r="209" spans="1:20" x14ac:dyDescent="0.25">
      <c r="A209" s="7" t="s">
        <v>222</v>
      </c>
      <c r="B209" s="7" t="s">
        <v>151</v>
      </c>
      <c r="C209" s="7" t="s">
        <v>165</v>
      </c>
      <c r="D209" s="7" t="s">
        <v>166</v>
      </c>
      <c r="H209" s="7">
        <v>6</v>
      </c>
      <c r="I209" s="7">
        <v>4</v>
      </c>
      <c r="J209" s="8">
        <f t="shared" si="3"/>
        <v>0.6</v>
      </c>
      <c r="K209" s="8" t="s">
        <v>30</v>
      </c>
      <c r="L209" s="8"/>
      <c r="M209" s="8"/>
      <c r="N209" s="8"/>
      <c r="O209" s="11"/>
      <c r="P209" s="7">
        <v>4</v>
      </c>
      <c r="Q209" s="7">
        <v>10</v>
      </c>
      <c r="T209" s="7" t="s">
        <v>165</v>
      </c>
    </row>
    <row r="210" spans="1:20" x14ac:dyDescent="0.25">
      <c r="A210" s="7" t="s">
        <v>222</v>
      </c>
      <c r="B210" s="7" t="s">
        <v>151</v>
      </c>
      <c r="C210" s="7" t="s">
        <v>162</v>
      </c>
      <c r="D210" s="7" t="s">
        <v>152</v>
      </c>
      <c r="H210" s="7">
        <v>5</v>
      </c>
      <c r="I210" s="7">
        <v>5</v>
      </c>
      <c r="J210" s="8">
        <f t="shared" si="3"/>
        <v>0.5</v>
      </c>
      <c r="K210" s="8" t="s">
        <v>30</v>
      </c>
      <c r="L210" s="8" t="s">
        <v>30</v>
      </c>
      <c r="M210" s="8"/>
      <c r="N210" s="8"/>
      <c r="O210" s="11"/>
      <c r="P210" s="7">
        <v>7</v>
      </c>
      <c r="Q210" s="7">
        <v>7</v>
      </c>
      <c r="R210" s="7">
        <v>1</v>
      </c>
      <c r="S210" s="7">
        <v>3</v>
      </c>
      <c r="T210" s="7" t="s">
        <v>162</v>
      </c>
    </row>
    <row r="211" spans="1:20" x14ac:dyDescent="0.25">
      <c r="A211" s="7" t="s">
        <v>222</v>
      </c>
      <c r="B211" s="7" t="s">
        <v>151</v>
      </c>
      <c r="C211" s="7" t="s">
        <v>211</v>
      </c>
      <c r="D211" s="7" t="s">
        <v>154</v>
      </c>
      <c r="H211" s="7">
        <v>5</v>
      </c>
      <c r="I211" s="7">
        <v>5</v>
      </c>
      <c r="J211" s="8">
        <f t="shared" si="3"/>
        <v>0.5</v>
      </c>
      <c r="K211" s="8" t="s">
        <v>30</v>
      </c>
      <c r="L211" s="8"/>
      <c r="M211" s="8"/>
      <c r="N211" s="8"/>
      <c r="O211" s="11"/>
      <c r="P211" s="7">
        <v>6</v>
      </c>
      <c r="Q211" s="7">
        <v>8</v>
      </c>
      <c r="T211" s="7" t="s">
        <v>177</v>
      </c>
    </row>
    <row r="212" spans="1:20" x14ac:dyDescent="0.25">
      <c r="A212" s="7" t="s">
        <v>222</v>
      </c>
      <c r="B212" s="7" t="s">
        <v>151</v>
      </c>
      <c r="C212" s="7" t="s">
        <v>158</v>
      </c>
      <c r="D212" s="7" t="s">
        <v>159</v>
      </c>
      <c r="H212" s="7">
        <v>5</v>
      </c>
      <c r="I212" s="7">
        <v>5</v>
      </c>
      <c r="J212" s="8">
        <f t="shared" si="3"/>
        <v>0.5</v>
      </c>
      <c r="K212" s="8" t="s">
        <v>30</v>
      </c>
      <c r="L212" s="8"/>
      <c r="M212" s="8"/>
      <c r="N212" s="8"/>
      <c r="O212" s="11"/>
      <c r="P212" s="7">
        <v>5</v>
      </c>
      <c r="Q212" s="7">
        <v>9</v>
      </c>
      <c r="T212" s="7" t="s">
        <v>158</v>
      </c>
    </row>
    <row r="213" spans="1:20" x14ac:dyDescent="0.25">
      <c r="A213" s="7" t="s">
        <v>222</v>
      </c>
      <c r="B213" s="7" t="s">
        <v>151</v>
      </c>
      <c r="C213" s="7" t="s">
        <v>170</v>
      </c>
      <c r="D213" s="7" t="s">
        <v>171</v>
      </c>
      <c r="H213" s="7">
        <v>5</v>
      </c>
      <c r="I213" s="7">
        <v>5</v>
      </c>
      <c r="J213" s="8">
        <f t="shared" si="3"/>
        <v>0.5</v>
      </c>
      <c r="K213" s="8" t="s">
        <v>30</v>
      </c>
      <c r="L213" s="8"/>
      <c r="M213" s="8"/>
      <c r="N213" s="8"/>
      <c r="O213" s="11"/>
      <c r="P213" s="7">
        <v>4</v>
      </c>
      <c r="Q213" s="7">
        <v>10</v>
      </c>
      <c r="T213" s="7" t="s">
        <v>170</v>
      </c>
    </row>
    <row r="214" spans="1:20" x14ac:dyDescent="0.25">
      <c r="A214" s="7" t="s">
        <v>222</v>
      </c>
      <c r="B214" s="7" t="s">
        <v>151</v>
      </c>
      <c r="C214" s="7" t="s">
        <v>223</v>
      </c>
      <c r="D214" s="7" t="s">
        <v>187</v>
      </c>
      <c r="H214" s="7">
        <v>5</v>
      </c>
      <c r="I214" s="7">
        <v>5</v>
      </c>
      <c r="J214" s="8">
        <f t="shared" si="3"/>
        <v>0.5</v>
      </c>
      <c r="K214" s="8" t="s">
        <v>30</v>
      </c>
      <c r="L214" s="8"/>
      <c r="M214" s="8"/>
      <c r="N214" s="8"/>
      <c r="O214" s="11"/>
      <c r="P214" s="7">
        <v>3</v>
      </c>
      <c r="Q214" s="7">
        <v>11</v>
      </c>
      <c r="T214" s="7" t="s">
        <v>223</v>
      </c>
    </row>
    <row r="215" spans="1:20" x14ac:dyDescent="0.25">
      <c r="A215" s="7" t="s">
        <v>222</v>
      </c>
      <c r="B215" s="7" t="s">
        <v>151</v>
      </c>
      <c r="C215" s="7" t="s">
        <v>181</v>
      </c>
      <c r="D215" s="7" t="s">
        <v>173</v>
      </c>
      <c r="H215" s="7">
        <v>4</v>
      </c>
      <c r="I215" s="7">
        <v>6</v>
      </c>
      <c r="J215" s="8">
        <f t="shared" si="3"/>
        <v>0.4</v>
      </c>
      <c r="K215" s="8" t="s">
        <v>30</v>
      </c>
      <c r="L215" s="8"/>
      <c r="M215" s="8"/>
      <c r="N215" s="8"/>
      <c r="O215" s="11"/>
      <c r="P215" s="7">
        <v>7</v>
      </c>
      <c r="Q215" s="7">
        <v>7</v>
      </c>
      <c r="T215" s="7" t="s">
        <v>181</v>
      </c>
    </row>
    <row r="216" spans="1:20" x14ac:dyDescent="0.25">
      <c r="A216" s="7" t="s">
        <v>222</v>
      </c>
      <c r="B216" s="7" t="s">
        <v>151</v>
      </c>
      <c r="C216" s="7" t="s">
        <v>201</v>
      </c>
      <c r="D216" s="7" t="s">
        <v>154</v>
      </c>
      <c r="H216" s="7">
        <v>4</v>
      </c>
      <c r="I216" s="7">
        <v>6</v>
      </c>
      <c r="J216" s="8">
        <f t="shared" si="3"/>
        <v>0.4</v>
      </c>
      <c r="K216" s="8" t="s">
        <v>30</v>
      </c>
      <c r="L216" s="8"/>
      <c r="M216" s="8"/>
      <c r="N216" s="8"/>
      <c r="O216" s="11"/>
      <c r="P216" s="7">
        <v>4</v>
      </c>
      <c r="Q216" s="7">
        <v>10</v>
      </c>
      <c r="T216" s="7" t="s">
        <v>201</v>
      </c>
    </row>
    <row r="217" spans="1:20" x14ac:dyDescent="0.25">
      <c r="A217" s="7" t="s">
        <v>222</v>
      </c>
      <c r="B217" s="7" t="s">
        <v>151</v>
      </c>
      <c r="C217" s="7" t="s">
        <v>224</v>
      </c>
      <c r="D217" s="7" t="s">
        <v>157</v>
      </c>
      <c r="H217" s="7">
        <v>4</v>
      </c>
      <c r="I217" s="7">
        <v>6</v>
      </c>
      <c r="J217" s="8">
        <f t="shared" si="3"/>
        <v>0.4</v>
      </c>
      <c r="K217" s="8" t="s">
        <v>30</v>
      </c>
      <c r="L217" s="8"/>
      <c r="M217" s="8"/>
      <c r="N217" s="8"/>
      <c r="O217" s="11"/>
      <c r="P217" s="7">
        <v>2</v>
      </c>
      <c r="Q217" s="7">
        <v>12</v>
      </c>
      <c r="T217" s="7" t="s">
        <v>204</v>
      </c>
    </row>
    <row r="218" spans="1:20" x14ac:dyDescent="0.25">
      <c r="A218" s="7" t="s">
        <v>222</v>
      </c>
      <c r="B218" s="7" t="s">
        <v>151</v>
      </c>
      <c r="C218" s="7" t="s">
        <v>189</v>
      </c>
      <c r="D218" s="7" t="s">
        <v>187</v>
      </c>
      <c r="H218" s="7">
        <v>5</v>
      </c>
      <c r="I218" s="7">
        <v>5</v>
      </c>
      <c r="J218" s="8">
        <f t="shared" si="3"/>
        <v>0.5</v>
      </c>
      <c r="K218" s="8"/>
      <c r="L218" s="8"/>
      <c r="M218" s="8"/>
      <c r="N218" s="8"/>
      <c r="O218" s="11"/>
      <c r="T218" s="7" t="s">
        <v>189</v>
      </c>
    </row>
    <row r="219" spans="1:20" x14ac:dyDescent="0.25">
      <c r="A219" s="7" t="s">
        <v>222</v>
      </c>
      <c r="B219" s="7" t="s">
        <v>151</v>
      </c>
      <c r="C219" s="7" t="s">
        <v>225</v>
      </c>
      <c r="D219" s="7" t="s">
        <v>159</v>
      </c>
      <c r="H219" s="7">
        <v>4</v>
      </c>
      <c r="I219" s="7">
        <v>6</v>
      </c>
      <c r="J219" s="8">
        <f t="shared" si="3"/>
        <v>0.4</v>
      </c>
      <c r="K219" s="8"/>
      <c r="L219" s="8"/>
      <c r="M219" s="8"/>
      <c r="N219" s="8"/>
      <c r="O219" s="11"/>
      <c r="T219" s="7" t="s">
        <v>225</v>
      </c>
    </row>
    <row r="220" spans="1:20" x14ac:dyDescent="0.25">
      <c r="A220" s="7" t="s">
        <v>222</v>
      </c>
      <c r="B220" s="7" t="s">
        <v>151</v>
      </c>
      <c r="C220" s="7" t="s">
        <v>583</v>
      </c>
      <c r="D220" s="7" t="s">
        <v>215</v>
      </c>
      <c r="H220" s="7">
        <v>3</v>
      </c>
      <c r="I220" s="7">
        <v>7</v>
      </c>
      <c r="J220" s="8">
        <f t="shared" si="3"/>
        <v>0.3</v>
      </c>
      <c r="K220" s="8"/>
      <c r="L220" s="8"/>
      <c r="M220" s="8"/>
      <c r="N220" s="8"/>
      <c r="O220" s="11"/>
      <c r="T220" s="7" t="s">
        <v>214</v>
      </c>
    </row>
    <row r="221" spans="1:20" x14ac:dyDescent="0.25">
      <c r="A221" s="7" t="s">
        <v>222</v>
      </c>
      <c r="B221" s="7" t="s">
        <v>151</v>
      </c>
      <c r="C221" s="7" t="s">
        <v>153</v>
      </c>
      <c r="D221" s="7" t="s">
        <v>154</v>
      </c>
      <c r="H221" s="7">
        <v>3</v>
      </c>
      <c r="I221" s="7">
        <v>7</v>
      </c>
      <c r="J221" s="8">
        <f t="shared" si="3"/>
        <v>0.3</v>
      </c>
      <c r="K221" s="8"/>
      <c r="L221" s="8"/>
      <c r="M221" s="8"/>
      <c r="N221" s="8"/>
      <c r="O221" s="11"/>
      <c r="T221" s="7" t="s">
        <v>153</v>
      </c>
    </row>
    <row r="222" spans="1:20" x14ac:dyDescent="0.25">
      <c r="A222" s="7" t="s">
        <v>222</v>
      </c>
      <c r="B222" s="7" t="s">
        <v>151</v>
      </c>
      <c r="C222" s="7" t="s">
        <v>216</v>
      </c>
      <c r="D222" s="7" t="s">
        <v>164</v>
      </c>
      <c r="H222" s="7">
        <v>2</v>
      </c>
      <c r="I222" s="7">
        <v>8</v>
      </c>
      <c r="J222" s="8">
        <f t="shared" si="3"/>
        <v>0.2</v>
      </c>
      <c r="K222" s="8"/>
      <c r="L222" s="8"/>
      <c r="M222" s="8"/>
      <c r="N222" s="8"/>
      <c r="O222" s="11"/>
      <c r="T222" s="7" t="s">
        <v>216</v>
      </c>
    </row>
    <row r="223" spans="1:20" x14ac:dyDescent="0.25">
      <c r="A223" s="7" t="s">
        <v>222</v>
      </c>
      <c r="B223" s="7" t="s">
        <v>151</v>
      </c>
      <c r="C223" s="7" t="s">
        <v>172</v>
      </c>
      <c r="D223" s="7" t="s">
        <v>173</v>
      </c>
      <c r="H223" s="7">
        <v>2</v>
      </c>
      <c r="I223" s="7">
        <v>8</v>
      </c>
      <c r="J223" s="8">
        <f t="shared" si="3"/>
        <v>0.2</v>
      </c>
      <c r="K223" s="8"/>
      <c r="L223" s="8"/>
      <c r="M223" s="8"/>
      <c r="N223" s="8"/>
      <c r="O223" s="11"/>
      <c r="T223" s="7" t="s">
        <v>172</v>
      </c>
    </row>
    <row r="224" spans="1:20" x14ac:dyDescent="0.25">
      <c r="A224" s="7" t="s">
        <v>222</v>
      </c>
      <c r="B224" s="7" t="s">
        <v>151</v>
      </c>
      <c r="C224" s="7" t="s">
        <v>221</v>
      </c>
      <c r="D224" s="7" t="s">
        <v>171</v>
      </c>
      <c r="H224" s="7">
        <v>1</v>
      </c>
      <c r="I224" s="7">
        <v>9</v>
      </c>
      <c r="J224" s="8">
        <f t="shared" si="3"/>
        <v>0.1</v>
      </c>
      <c r="K224" s="8"/>
      <c r="L224" s="8"/>
      <c r="M224" s="8"/>
      <c r="N224" s="8"/>
      <c r="O224" s="11"/>
      <c r="T224" s="7" t="s">
        <v>221</v>
      </c>
    </row>
    <row r="225" spans="1:20" x14ac:dyDescent="0.25">
      <c r="A225" s="7" t="s">
        <v>222</v>
      </c>
      <c r="B225" s="7" t="s">
        <v>151</v>
      </c>
      <c r="C225" s="7" t="s">
        <v>226</v>
      </c>
      <c r="D225" s="7" t="s">
        <v>220</v>
      </c>
      <c r="H225" s="7">
        <v>1</v>
      </c>
      <c r="I225" s="7">
        <v>9</v>
      </c>
      <c r="J225" s="8">
        <f t="shared" si="3"/>
        <v>0.1</v>
      </c>
      <c r="K225" s="8"/>
      <c r="L225" s="8"/>
      <c r="M225" s="8"/>
      <c r="N225" s="8"/>
      <c r="O225" s="11"/>
      <c r="T225" s="7" t="s">
        <v>226</v>
      </c>
    </row>
    <row r="226" spans="1:20" x14ac:dyDescent="0.25">
      <c r="A226" s="7" t="s">
        <v>227</v>
      </c>
      <c r="B226" s="7" t="s">
        <v>151</v>
      </c>
      <c r="C226" s="7" t="s">
        <v>155</v>
      </c>
      <c r="D226" s="7" t="s">
        <v>154</v>
      </c>
      <c r="H226" s="7">
        <v>10</v>
      </c>
      <c r="I226" s="7">
        <v>0</v>
      </c>
      <c r="J226" s="8">
        <f t="shared" si="3"/>
        <v>1</v>
      </c>
      <c r="K226" s="8" t="s">
        <v>30</v>
      </c>
      <c r="L226" s="8" t="s">
        <v>30</v>
      </c>
      <c r="M226" s="8" t="s">
        <v>30</v>
      </c>
      <c r="N226" s="8" t="s">
        <v>30</v>
      </c>
      <c r="O226" s="11"/>
      <c r="P226" s="7">
        <v>11</v>
      </c>
      <c r="Q226" s="7">
        <v>3</v>
      </c>
      <c r="R226" s="7">
        <v>3</v>
      </c>
      <c r="S226" s="7">
        <v>2</v>
      </c>
      <c r="T226" s="7" t="s">
        <v>155</v>
      </c>
    </row>
    <row r="227" spans="1:20" x14ac:dyDescent="0.25">
      <c r="A227" s="7" t="s">
        <v>227</v>
      </c>
      <c r="B227" s="7" t="s">
        <v>151</v>
      </c>
      <c r="C227" s="7" t="s">
        <v>169</v>
      </c>
      <c r="D227" s="7" t="s">
        <v>161</v>
      </c>
      <c r="H227" s="7">
        <v>8</v>
      </c>
      <c r="I227" s="7">
        <v>2</v>
      </c>
      <c r="J227" s="8">
        <f t="shared" si="3"/>
        <v>0.8</v>
      </c>
      <c r="K227" s="8" t="s">
        <v>30</v>
      </c>
      <c r="L227" s="8" t="s">
        <v>30</v>
      </c>
      <c r="M227" s="8" t="s">
        <v>30</v>
      </c>
      <c r="N227" s="8" t="s">
        <v>30</v>
      </c>
      <c r="O227" s="11" t="s">
        <v>30</v>
      </c>
      <c r="P227" s="7">
        <v>8</v>
      </c>
      <c r="Q227" s="7">
        <v>6</v>
      </c>
      <c r="R227" s="7">
        <v>3</v>
      </c>
      <c r="S227" s="7">
        <v>1</v>
      </c>
      <c r="T227" s="7" t="s">
        <v>169</v>
      </c>
    </row>
    <row r="228" spans="1:20" x14ac:dyDescent="0.25">
      <c r="A228" s="7" t="s">
        <v>227</v>
      </c>
      <c r="B228" s="7" t="s">
        <v>151</v>
      </c>
      <c r="C228" s="7" t="s">
        <v>188</v>
      </c>
      <c r="D228" s="7" t="s">
        <v>187</v>
      </c>
      <c r="H228" s="7">
        <v>7</v>
      </c>
      <c r="I228" s="7">
        <v>3</v>
      </c>
      <c r="J228" s="8">
        <f t="shared" si="3"/>
        <v>0.7</v>
      </c>
      <c r="K228" s="8" t="s">
        <v>30</v>
      </c>
      <c r="L228" s="8" t="s">
        <v>30</v>
      </c>
      <c r="M228" s="8" t="s">
        <v>30</v>
      </c>
      <c r="N228" s="8"/>
      <c r="O228" s="11"/>
      <c r="P228" s="7">
        <v>12</v>
      </c>
      <c r="Q228" s="7">
        <v>2</v>
      </c>
      <c r="R228" s="7">
        <v>3</v>
      </c>
      <c r="S228" s="7">
        <v>2</v>
      </c>
      <c r="T228" s="7" t="s">
        <v>188</v>
      </c>
    </row>
    <row r="229" spans="1:20" x14ac:dyDescent="0.25">
      <c r="A229" s="7" t="s">
        <v>227</v>
      </c>
      <c r="B229" s="7" t="s">
        <v>151</v>
      </c>
      <c r="C229" s="7" t="s">
        <v>581</v>
      </c>
      <c r="D229" s="7" t="s">
        <v>154</v>
      </c>
      <c r="H229" s="7">
        <v>7</v>
      </c>
      <c r="I229" s="7">
        <v>3</v>
      </c>
      <c r="J229" s="8">
        <f t="shared" si="3"/>
        <v>0.7</v>
      </c>
      <c r="K229" s="8" t="s">
        <v>30</v>
      </c>
      <c r="L229" s="8" t="s">
        <v>30</v>
      </c>
      <c r="M229" s="8" t="s">
        <v>30</v>
      </c>
      <c r="N229" s="8"/>
      <c r="O229" s="11"/>
      <c r="P229" s="7">
        <v>12</v>
      </c>
      <c r="Q229" s="7">
        <v>2</v>
      </c>
      <c r="R229" s="7">
        <v>3</v>
      </c>
      <c r="S229" s="7">
        <v>0</v>
      </c>
      <c r="T229" s="7" t="s">
        <v>581</v>
      </c>
    </row>
    <row r="230" spans="1:20" x14ac:dyDescent="0.25">
      <c r="A230" s="7" t="s">
        <v>227</v>
      </c>
      <c r="B230" s="7" t="s">
        <v>151</v>
      </c>
      <c r="C230" s="7" t="s">
        <v>149</v>
      </c>
      <c r="D230" s="7" t="s">
        <v>152</v>
      </c>
      <c r="H230" s="7">
        <v>10</v>
      </c>
      <c r="I230" s="7">
        <v>0</v>
      </c>
      <c r="J230" s="8">
        <f t="shared" si="3"/>
        <v>1</v>
      </c>
      <c r="K230" s="8" t="s">
        <v>30</v>
      </c>
      <c r="L230" s="8" t="s">
        <v>30</v>
      </c>
      <c r="M230" s="8"/>
      <c r="N230" s="8"/>
      <c r="O230" s="11"/>
      <c r="P230" s="7">
        <v>8</v>
      </c>
      <c r="Q230" s="7">
        <v>6</v>
      </c>
      <c r="R230" s="7">
        <v>2</v>
      </c>
      <c r="S230" s="7">
        <v>3</v>
      </c>
      <c r="T230" s="7" t="s">
        <v>149</v>
      </c>
    </row>
    <row r="231" spans="1:20" x14ac:dyDescent="0.25">
      <c r="A231" s="7" t="s">
        <v>227</v>
      </c>
      <c r="B231" s="7" t="s">
        <v>151</v>
      </c>
      <c r="C231" s="7" t="s">
        <v>156</v>
      </c>
      <c r="D231" s="7" t="s">
        <v>157</v>
      </c>
      <c r="H231" s="7">
        <v>8</v>
      </c>
      <c r="I231" s="7">
        <v>2</v>
      </c>
      <c r="J231" s="8">
        <f t="shared" si="3"/>
        <v>0.8</v>
      </c>
      <c r="K231" s="8" t="s">
        <v>30</v>
      </c>
      <c r="L231" s="8"/>
      <c r="M231" s="8"/>
      <c r="N231" s="8"/>
      <c r="O231" s="11"/>
      <c r="P231" s="7">
        <v>6</v>
      </c>
      <c r="Q231" s="7">
        <v>8</v>
      </c>
      <c r="T231" s="7" t="s">
        <v>156</v>
      </c>
    </row>
    <row r="232" spans="1:20" x14ac:dyDescent="0.25">
      <c r="A232" s="7" t="s">
        <v>227</v>
      </c>
      <c r="B232" s="7" t="s">
        <v>151</v>
      </c>
      <c r="C232" s="7" t="s">
        <v>224</v>
      </c>
      <c r="D232" s="7" t="s">
        <v>157</v>
      </c>
      <c r="H232" s="7">
        <v>6</v>
      </c>
      <c r="I232" s="7">
        <v>4</v>
      </c>
      <c r="J232" s="8">
        <f t="shared" si="3"/>
        <v>0.6</v>
      </c>
      <c r="K232" s="8" t="s">
        <v>30</v>
      </c>
      <c r="L232" s="8" t="s">
        <v>30</v>
      </c>
      <c r="M232" s="8"/>
      <c r="N232" s="8"/>
      <c r="O232" s="11"/>
      <c r="P232" s="7">
        <v>7</v>
      </c>
      <c r="Q232" s="7">
        <v>7</v>
      </c>
      <c r="R232" s="7">
        <v>0</v>
      </c>
      <c r="S232" s="7">
        <v>3</v>
      </c>
      <c r="T232" s="7" t="s">
        <v>204</v>
      </c>
    </row>
    <row r="233" spans="1:20" x14ac:dyDescent="0.25">
      <c r="A233" s="7" t="s">
        <v>227</v>
      </c>
      <c r="B233" s="7" t="s">
        <v>151</v>
      </c>
      <c r="C233" s="7" t="s">
        <v>209</v>
      </c>
      <c r="D233" s="7" t="s">
        <v>187</v>
      </c>
      <c r="H233" s="7">
        <v>6</v>
      </c>
      <c r="I233" s="7">
        <v>4</v>
      </c>
      <c r="J233" s="8">
        <f t="shared" si="3"/>
        <v>0.6</v>
      </c>
      <c r="K233" s="8" t="s">
        <v>30</v>
      </c>
      <c r="L233" s="8"/>
      <c r="M233" s="8"/>
      <c r="N233" s="8"/>
      <c r="O233" s="11"/>
      <c r="P233" s="7">
        <v>7</v>
      </c>
      <c r="Q233" s="7">
        <v>7</v>
      </c>
      <c r="T233" s="7" t="s">
        <v>209</v>
      </c>
    </row>
    <row r="234" spans="1:20" x14ac:dyDescent="0.25">
      <c r="A234" s="7" t="s">
        <v>227</v>
      </c>
      <c r="B234" s="7" t="s">
        <v>151</v>
      </c>
      <c r="C234" s="7" t="s">
        <v>211</v>
      </c>
      <c r="D234" s="7" t="s">
        <v>154</v>
      </c>
      <c r="H234" s="7">
        <v>6</v>
      </c>
      <c r="I234" s="7">
        <v>4</v>
      </c>
      <c r="J234" s="8">
        <f t="shared" si="3"/>
        <v>0.6</v>
      </c>
      <c r="K234" s="8" t="s">
        <v>30</v>
      </c>
      <c r="L234" s="8"/>
      <c r="M234" s="8"/>
      <c r="N234" s="8"/>
      <c r="O234" s="11"/>
      <c r="P234" s="7">
        <v>5</v>
      </c>
      <c r="Q234" s="7">
        <v>9</v>
      </c>
      <c r="T234" s="7" t="s">
        <v>177</v>
      </c>
    </row>
    <row r="235" spans="1:20" x14ac:dyDescent="0.25">
      <c r="A235" s="7" t="s">
        <v>227</v>
      </c>
      <c r="B235" s="7" t="s">
        <v>151</v>
      </c>
      <c r="C235" s="7" t="s">
        <v>170</v>
      </c>
      <c r="D235" s="7" t="s">
        <v>171</v>
      </c>
      <c r="H235" s="7">
        <v>5</v>
      </c>
      <c r="I235" s="7">
        <v>5</v>
      </c>
      <c r="J235" s="8">
        <f t="shared" si="3"/>
        <v>0.5</v>
      </c>
      <c r="K235" s="8" t="s">
        <v>30</v>
      </c>
      <c r="L235" s="8" t="s">
        <v>30</v>
      </c>
      <c r="M235" s="8"/>
      <c r="N235" s="8"/>
      <c r="O235" s="11"/>
      <c r="P235" s="7">
        <v>10</v>
      </c>
      <c r="Q235" s="7">
        <v>4</v>
      </c>
      <c r="R235" s="7">
        <v>1</v>
      </c>
      <c r="S235" s="7">
        <v>3</v>
      </c>
      <c r="T235" s="7" t="s">
        <v>170</v>
      </c>
    </row>
    <row r="236" spans="1:20" x14ac:dyDescent="0.25">
      <c r="A236" s="7" t="s">
        <v>227</v>
      </c>
      <c r="B236" s="7" t="s">
        <v>151</v>
      </c>
      <c r="C236" s="7" t="s">
        <v>162</v>
      </c>
      <c r="D236" s="7" t="s">
        <v>152</v>
      </c>
      <c r="H236" s="7">
        <v>5</v>
      </c>
      <c r="I236" s="7">
        <v>5</v>
      </c>
      <c r="J236" s="8">
        <f t="shared" si="3"/>
        <v>0.5</v>
      </c>
      <c r="K236" s="8" t="s">
        <v>30</v>
      </c>
      <c r="L236" s="8" t="s">
        <v>30</v>
      </c>
      <c r="M236" s="8"/>
      <c r="N236" s="8"/>
      <c r="O236" s="11"/>
      <c r="P236" s="7">
        <v>7</v>
      </c>
      <c r="Q236" s="7">
        <v>7</v>
      </c>
      <c r="R236" s="7">
        <v>2</v>
      </c>
      <c r="S236" s="7">
        <v>3</v>
      </c>
      <c r="T236" s="7" t="s">
        <v>162</v>
      </c>
    </row>
    <row r="237" spans="1:20" x14ac:dyDescent="0.25">
      <c r="A237" s="7" t="s">
        <v>227</v>
      </c>
      <c r="B237" s="7" t="s">
        <v>151</v>
      </c>
      <c r="C237" s="7" t="s">
        <v>201</v>
      </c>
      <c r="D237" s="7" t="s">
        <v>154</v>
      </c>
      <c r="H237" s="7">
        <v>5</v>
      </c>
      <c r="I237" s="7">
        <v>5</v>
      </c>
      <c r="J237" s="8">
        <f t="shared" si="3"/>
        <v>0.5</v>
      </c>
      <c r="K237" s="8" t="s">
        <v>30</v>
      </c>
      <c r="L237" s="8"/>
      <c r="M237" s="8"/>
      <c r="N237" s="8"/>
      <c r="O237" s="11"/>
      <c r="P237" s="7">
        <v>6</v>
      </c>
      <c r="Q237" s="7">
        <v>8</v>
      </c>
      <c r="T237" s="7" t="s">
        <v>201</v>
      </c>
    </row>
    <row r="238" spans="1:20" x14ac:dyDescent="0.25">
      <c r="A238" s="7" t="s">
        <v>227</v>
      </c>
      <c r="B238" s="7" t="s">
        <v>151</v>
      </c>
      <c r="C238" s="7" t="s">
        <v>158</v>
      </c>
      <c r="D238" s="7" t="s">
        <v>159</v>
      </c>
      <c r="H238" s="7">
        <v>5</v>
      </c>
      <c r="I238" s="7">
        <v>5</v>
      </c>
      <c r="J238" s="8">
        <f t="shared" si="3"/>
        <v>0.5</v>
      </c>
      <c r="K238" s="8" t="s">
        <v>30</v>
      </c>
      <c r="L238" s="8"/>
      <c r="M238" s="8"/>
      <c r="N238" s="8"/>
      <c r="O238" s="11"/>
      <c r="P238" s="7">
        <v>2</v>
      </c>
      <c r="Q238" s="7">
        <v>12</v>
      </c>
      <c r="T238" s="7" t="s">
        <v>158</v>
      </c>
    </row>
    <row r="239" spans="1:20" x14ac:dyDescent="0.25">
      <c r="A239" s="7" t="s">
        <v>227</v>
      </c>
      <c r="B239" s="7" t="s">
        <v>151</v>
      </c>
      <c r="C239" s="7" t="s">
        <v>172</v>
      </c>
      <c r="D239" s="7" t="s">
        <v>173</v>
      </c>
      <c r="H239" s="7">
        <v>4</v>
      </c>
      <c r="I239" s="7">
        <v>6</v>
      </c>
      <c r="J239" s="8">
        <f t="shared" si="3"/>
        <v>0.4</v>
      </c>
      <c r="K239" s="8" t="s">
        <v>30</v>
      </c>
      <c r="L239" s="8"/>
      <c r="M239" s="8"/>
      <c r="N239" s="8"/>
      <c r="O239" s="11"/>
      <c r="P239" s="7">
        <v>5</v>
      </c>
      <c r="Q239" s="7">
        <v>9</v>
      </c>
      <c r="T239" s="7" t="s">
        <v>172</v>
      </c>
    </row>
    <row r="240" spans="1:20" x14ac:dyDescent="0.25">
      <c r="A240" s="7" t="s">
        <v>227</v>
      </c>
      <c r="B240" s="7" t="s">
        <v>151</v>
      </c>
      <c r="C240" s="7" t="s">
        <v>178</v>
      </c>
      <c r="D240" s="7" t="s">
        <v>157</v>
      </c>
      <c r="H240" s="7">
        <v>4</v>
      </c>
      <c r="I240" s="7">
        <v>6</v>
      </c>
      <c r="J240" s="8">
        <f t="shared" si="3"/>
        <v>0.4</v>
      </c>
      <c r="K240" s="8" t="s">
        <v>30</v>
      </c>
      <c r="L240" s="8"/>
      <c r="M240" s="8"/>
      <c r="N240" s="8"/>
      <c r="O240" s="11"/>
      <c r="P240" s="7">
        <v>2</v>
      </c>
      <c r="Q240" s="7">
        <v>12</v>
      </c>
      <c r="T240" s="7" t="s">
        <v>178</v>
      </c>
    </row>
    <row r="241" spans="1:20" x14ac:dyDescent="0.25">
      <c r="A241" s="7" t="s">
        <v>227</v>
      </c>
      <c r="B241" s="7" t="s">
        <v>151</v>
      </c>
      <c r="C241" s="7" t="s">
        <v>174</v>
      </c>
      <c r="D241" s="7" t="s">
        <v>166</v>
      </c>
      <c r="H241" s="7">
        <v>3</v>
      </c>
      <c r="I241" s="7">
        <v>7</v>
      </c>
      <c r="J241" s="8">
        <f t="shared" si="3"/>
        <v>0.3</v>
      </c>
      <c r="K241" s="8" t="s">
        <v>30</v>
      </c>
      <c r="L241" s="8"/>
      <c r="M241" s="8"/>
      <c r="N241" s="8"/>
      <c r="O241" s="11"/>
      <c r="P241" s="7">
        <v>4</v>
      </c>
      <c r="Q241" s="7">
        <v>10</v>
      </c>
      <c r="T241" s="7" t="s">
        <v>174</v>
      </c>
    </row>
    <row r="242" spans="1:20" x14ac:dyDescent="0.25">
      <c r="A242" s="7" t="s">
        <v>227</v>
      </c>
      <c r="B242" s="7" t="s">
        <v>151</v>
      </c>
      <c r="C242" s="7" t="s">
        <v>165</v>
      </c>
      <c r="D242" s="7" t="s">
        <v>166</v>
      </c>
      <c r="H242" s="7">
        <v>4</v>
      </c>
      <c r="I242" s="7">
        <v>6</v>
      </c>
      <c r="J242" s="8">
        <f t="shared" si="3"/>
        <v>0.4</v>
      </c>
      <c r="K242" s="8"/>
      <c r="L242" s="8"/>
      <c r="M242" s="8"/>
      <c r="N242" s="8"/>
      <c r="O242" s="11"/>
      <c r="T242" s="7" t="s">
        <v>165</v>
      </c>
    </row>
    <row r="243" spans="1:20" x14ac:dyDescent="0.25">
      <c r="A243" s="7" t="s">
        <v>227</v>
      </c>
      <c r="B243" s="7" t="s">
        <v>151</v>
      </c>
      <c r="C243" s="7" t="s">
        <v>229</v>
      </c>
      <c r="D243" s="7" t="s">
        <v>164</v>
      </c>
      <c r="H243" s="7">
        <v>3</v>
      </c>
      <c r="I243" s="7">
        <v>7</v>
      </c>
      <c r="J243" s="8">
        <f t="shared" si="3"/>
        <v>0.3</v>
      </c>
      <c r="K243" s="8"/>
      <c r="L243" s="8"/>
      <c r="M243" s="8"/>
      <c r="N243" s="8"/>
      <c r="O243" s="11"/>
      <c r="T243" s="7" t="s">
        <v>228</v>
      </c>
    </row>
    <row r="244" spans="1:20" x14ac:dyDescent="0.25">
      <c r="A244" s="7" t="s">
        <v>227</v>
      </c>
      <c r="B244" s="7" t="s">
        <v>151</v>
      </c>
      <c r="C244" s="7" t="s">
        <v>217</v>
      </c>
      <c r="D244" s="7" t="s">
        <v>164</v>
      </c>
      <c r="H244" s="7">
        <v>3</v>
      </c>
      <c r="I244" s="7">
        <v>7</v>
      </c>
      <c r="J244" s="8">
        <f t="shared" si="3"/>
        <v>0.3</v>
      </c>
      <c r="K244" s="8"/>
      <c r="L244" s="8"/>
      <c r="M244" s="8"/>
      <c r="N244" s="8"/>
      <c r="O244" s="11"/>
      <c r="T244" s="7" t="s">
        <v>217</v>
      </c>
    </row>
    <row r="245" spans="1:20" x14ac:dyDescent="0.25">
      <c r="A245" s="7" t="s">
        <v>227</v>
      </c>
      <c r="B245" s="7" t="s">
        <v>151</v>
      </c>
      <c r="C245" s="7" t="s">
        <v>213</v>
      </c>
      <c r="D245" s="7" t="s">
        <v>173</v>
      </c>
      <c r="H245" s="7">
        <v>3</v>
      </c>
      <c r="I245" s="7">
        <v>7</v>
      </c>
      <c r="J245" s="8">
        <f t="shared" si="3"/>
        <v>0.3</v>
      </c>
      <c r="K245" s="8"/>
      <c r="L245" s="8"/>
      <c r="M245" s="8"/>
      <c r="N245" s="8"/>
      <c r="O245" s="11"/>
      <c r="T245" s="7" t="s">
        <v>582</v>
      </c>
    </row>
    <row r="246" spans="1:20" x14ac:dyDescent="0.25">
      <c r="A246" s="7" t="s">
        <v>227</v>
      </c>
      <c r="B246" s="7" t="s">
        <v>151</v>
      </c>
      <c r="C246" s="7" t="s">
        <v>230</v>
      </c>
      <c r="D246" s="7" t="s">
        <v>171</v>
      </c>
      <c r="H246" s="7">
        <v>3</v>
      </c>
      <c r="I246" s="7">
        <v>7</v>
      </c>
      <c r="J246" s="8">
        <f t="shared" si="3"/>
        <v>0.3</v>
      </c>
      <c r="K246" s="8"/>
      <c r="L246" s="8"/>
      <c r="M246" s="8"/>
      <c r="N246" s="8"/>
      <c r="O246" s="11"/>
      <c r="T246" s="7" t="s">
        <v>584</v>
      </c>
    </row>
    <row r="247" spans="1:20" x14ac:dyDescent="0.25">
      <c r="A247" s="7" t="s">
        <v>227</v>
      </c>
      <c r="B247" s="7" t="s">
        <v>151</v>
      </c>
      <c r="C247" s="7" t="s">
        <v>219</v>
      </c>
      <c r="D247" s="7" t="s">
        <v>220</v>
      </c>
      <c r="H247" s="7">
        <v>2</v>
      </c>
      <c r="I247" s="7">
        <v>8</v>
      </c>
      <c r="J247" s="8">
        <f t="shared" si="3"/>
        <v>0.2</v>
      </c>
      <c r="K247" s="8"/>
      <c r="L247" s="8"/>
      <c r="M247" s="8"/>
      <c r="N247" s="8"/>
      <c r="O247" s="11"/>
      <c r="T247" s="7" t="s">
        <v>219</v>
      </c>
    </row>
    <row r="248" spans="1:20" x14ac:dyDescent="0.25">
      <c r="A248" s="7" t="s">
        <v>227</v>
      </c>
      <c r="B248" s="7" t="s">
        <v>151</v>
      </c>
      <c r="C248" s="7" t="s">
        <v>232</v>
      </c>
      <c r="D248" s="7" t="s">
        <v>233</v>
      </c>
      <c r="H248" s="7">
        <v>2</v>
      </c>
      <c r="I248" s="7">
        <v>8</v>
      </c>
      <c r="J248" s="8">
        <f t="shared" si="3"/>
        <v>0.2</v>
      </c>
      <c r="K248" s="8"/>
      <c r="L248" s="8"/>
      <c r="M248" s="8"/>
      <c r="N248" s="8"/>
      <c r="O248" s="11"/>
      <c r="T248" s="7" t="s">
        <v>231</v>
      </c>
    </row>
    <row r="249" spans="1:20" x14ac:dyDescent="0.25">
      <c r="A249" s="7" t="s">
        <v>227</v>
      </c>
      <c r="B249" s="7" t="s">
        <v>151</v>
      </c>
      <c r="C249" s="7" t="s">
        <v>235</v>
      </c>
      <c r="D249" s="7" t="s">
        <v>159</v>
      </c>
      <c r="H249" s="7">
        <v>1</v>
      </c>
      <c r="I249" s="7">
        <v>9</v>
      </c>
      <c r="J249" s="8">
        <f t="shared" si="3"/>
        <v>0.1</v>
      </c>
      <c r="K249" s="8"/>
      <c r="L249" s="8"/>
      <c r="M249" s="8"/>
      <c r="N249" s="8"/>
      <c r="O249" s="11"/>
      <c r="T249" s="7" t="s">
        <v>234</v>
      </c>
    </row>
    <row r="250" spans="1:20" x14ac:dyDescent="0.25">
      <c r="A250" s="7" t="s">
        <v>236</v>
      </c>
      <c r="B250" s="7" t="s">
        <v>151</v>
      </c>
      <c r="C250" s="7" t="s">
        <v>581</v>
      </c>
      <c r="D250" s="7" t="s">
        <v>154</v>
      </c>
      <c r="H250" s="7">
        <v>9</v>
      </c>
      <c r="I250" s="7">
        <v>1</v>
      </c>
      <c r="J250" s="8">
        <f t="shared" si="3"/>
        <v>0.9</v>
      </c>
      <c r="K250" s="8" t="s">
        <v>30</v>
      </c>
      <c r="L250" s="8" t="s">
        <v>30</v>
      </c>
      <c r="M250" s="8" t="s">
        <v>30</v>
      </c>
      <c r="N250" s="8"/>
      <c r="O250" s="11"/>
      <c r="P250" s="7">
        <v>13</v>
      </c>
      <c r="Q250" s="7">
        <v>1</v>
      </c>
      <c r="R250" s="7">
        <v>3</v>
      </c>
      <c r="S250" s="7">
        <v>2</v>
      </c>
      <c r="T250" s="7" t="s">
        <v>581</v>
      </c>
    </row>
    <row r="251" spans="1:20" x14ac:dyDescent="0.25">
      <c r="A251" s="7" t="s">
        <v>236</v>
      </c>
      <c r="B251" s="7" t="s">
        <v>151</v>
      </c>
      <c r="C251" s="7" t="s">
        <v>188</v>
      </c>
      <c r="D251" s="7" t="s">
        <v>187</v>
      </c>
      <c r="H251" s="7">
        <v>9</v>
      </c>
      <c r="I251" s="7">
        <v>1</v>
      </c>
      <c r="J251" s="8">
        <f t="shared" si="3"/>
        <v>0.9</v>
      </c>
      <c r="K251" s="8" t="s">
        <v>30</v>
      </c>
      <c r="L251" s="8" t="s">
        <v>30</v>
      </c>
      <c r="M251" s="8" t="s">
        <v>30</v>
      </c>
      <c r="N251" s="8"/>
      <c r="O251" s="11"/>
      <c r="P251" s="7">
        <v>11</v>
      </c>
      <c r="Q251" s="7">
        <v>3</v>
      </c>
      <c r="R251" s="7">
        <v>3</v>
      </c>
      <c r="S251" s="7">
        <v>1</v>
      </c>
      <c r="T251" s="7" t="s">
        <v>188</v>
      </c>
    </row>
    <row r="252" spans="1:20" x14ac:dyDescent="0.25">
      <c r="A252" s="7" t="s">
        <v>236</v>
      </c>
      <c r="B252" s="7" t="s">
        <v>151</v>
      </c>
      <c r="C252" s="7" t="s">
        <v>149</v>
      </c>
      <c r="D252" s="7" t="s">
        <v>152</v>
      </c>
      <c r="H252" s="7">
        <v>8</v>
      </c>
      <c r="I252" s="7">
        <v>2</v>
      </c>
      <c r="J252" s="8">
        <f t="shared" si="3"/>
        <v>0.8</v>
      </c>
      <c r="K252" s="8" t="s">
        <v>30</v>
      </c>
      <c r="L252" s="8" t="s">
        <v>30</v>
      </c>
      <c r="M252" s="8" t="s">
        <v>30</v>
      </c>
      <c r="N252" s="8" t="s">
        <v>30</v>
      </c>
      <c r="O252" s="11" t="s">
        <v>30</v>
      </c>
      <c r="P252" s="7">
        <v>9</v>
      </c>
      <c r="Q252" s="7">
        <v>5</v>
      </c>
      <c r="R252" s="7">
        <v>3</v>
      </c>
      <c r="S252" s="7">
        <v>2</v>
      </c>
      <c r="T252" s="7" t="s">
        <v>149</v>
      </c>
    </row>
    <row r="253" spans="1:20" x14ac:dyDescent="0.25">
      <c r="A253" s="7" t="s">
        <v>236</v>
      </c>
      <c r="B253" s="7" t="s">
        <v>151</v>
      </c>
      <c r="C253" s="7" t="s">
        <v>155</v>
      </c>
      <c r="D253" s="7" t="s">
        <v>154</v>
      </c>
      <c r="H253" s="7">
        <v>7</v>
      </c>
      <c r="I253" s="7">
        <v>3</v>
      </c>
      <c r="J253" s="8">
        <f t="shared" si="3"/>
        <v>0.7</v>
      </c>
      <c r="K253" s="8" t="s">
        <v>30</v>
      </c>
      <c r="L253" s="8" t="s">
        <v>30</v>
      </c>
      <c r="M253" s="8" t="s">
        <v>30</v>
      </c>
      <c r="N253" s="8" t="s">
        <v>30</v>
      </c>
      <c r="O253" s="11"/>
      <c r="P253" s="7">
        <v>10</v>
      </c>
      <c r="Q253" s="7">
        <v>4</v>
      </c>
      <c r="R253" s="7">
        <v>3</v>
      </c>
      <c r="S253" s="7">
        <v>0</v>
      </c>
      <c r="T253" s="7" t="s">
        <v>155</v>
      </c>
    </row>
    <row r="254" spans="1:20" x14ac:dyDescent="0.25">
      <c r="A254" s="7" t="s">
        <v>236</v>
      </c>
      <c r="B254" s="7" t="s">
        <v>151</v>
      </c>
      <c r="C254" s="7" t="s">
        <v>169</v>
      </c>
      <c r="D254" s="7" t="s">
        <v>161</v>
      </c>
      <c r="H254" s="7">
        <v>8</v>
      </c>
      <c r="I254" s="7">
        <v>2</v>
      </c>
      <c r="J254" s="8">
        <f t="shared" si="3"/>
        <v>0.8</v>
      </c>
      <c r="K254" s="8" t="s">
        <v>30</v>
      </c>
      <c r="L254" s="8" t="s">
        <v>30</v>
      </c>
      <c r="M254" s="8"/>
      <c r="N254" s="8"/>
      <c r="O254" s="11"/>
      <c r="P254" s="7">
        <v>8</v>
      </c>
      <c r="Q254" s="7">
        <v>6</v>
      </c>
      <c r="R254" s="7">
        <v>0</v>
      </c>
      <c r="S254" s="7">
        <v>3</v>
      </c>
      <c r="T254" s="7" t="s">
        <v>169</v>
      </c>
    </row>
    <row r="255" spans="1:20" x14ac:dyDescent="0.25">
      <c r="A255" s="7" t="s">
        <v>236</v>
      </c>
      <c r="B255" s="7" t="s">
        <v>151</v>
      </c>
      <c r="C255" s="7" t="s">
        <v>201</v>
      </c>
      <c r="D255" s="7" t="s">
        <v>154</v>
      </c>
      <c r="H255" s="7">
        <v>8</v>
      </c>
      <c r="I255" s="7">
        <v>2</v>
      </c>
      <c r="J255" s="8">
        <f t="shared" si="3"/>
        <v>0.8</v>
      </c>
      <c r="K255" s="8" t="s">
        <v>30</v>
      </c>
      <c r="L255" s="8"/>
      <c r="M255" s="8"/>
      <c r="N255" s="8"/>
      <c r="O255" s="11"/>
      <c r="P255" s="7">
        <v>7</v>
      </c>
      <c r="Q255" s="7">
        <v>7</v>
      </c>
      <c r="T255" s="7" t="s">
        <v>201</v>
      </c>
    </row>
    <row r="256" spans="1:20" x14ac:dyDescent="0.25">
      <c r="A256" s="7" t="s">
        <v>236</v>
      </c>
      <c r="B256" s="7" t="s">
        <v>151</v>
      </c>
      <c r="C256" s="7" t="s">
        <v>158</v>
      </c>
      <c r="D256" s="7" t="s">
        <v>159</v>
      </c>
      <c r="H256" s="7">
        <v>8</v>
      </c>
      <c r="I256" s="7">
        <v>2</v>
      </c>
      <c r="J256" s="8">
        <f t="shared" si="3"/>
        <v>0.8</v>
      </c>
      <c r="K256" s="8" t="s">
        <v>30</v>
      </c>
      <c r="L256" s="8"/>
      <c r="M256" s="8"/>
      <c r="N256" s="8"/>
      <c r="O256" s="11"/>
      <c r="P256" s="7">
        <v>6</v>
      </c>
      <c r="Q256" s="7">
        <v>8</v>
      </c>
      <c r="T256" s="7" t="s">
        <v>158</v>
      </c>
    </row>
    <row r="257" spans="1:20" x14ac:dyDescent="0.25">
      <c r="A257" s="7" t="s">
        <v>236</v>
      </c>
      <c r="B257" s="7" t="s">
        <v>151</v>
      </c>
      <c r="C257" s="7" t="s">
        <v>162</v>
      </c>
      <c r="D257" s="7" t="s">
        <v>152</v>
      </c>
      <c r="H257" s="7">
        <v>6</v>
      </c>
      <c r="I257" s="7">
        <v>4</v>
      </c>
      <c r="J257" s="8">
        <f t="shared" si="3"/>
        <v>0.6</v>
      </c>
      <c r="K257" s="8" t="s">
        <v>30</v>
      </c>
      <c r="L257" s="8" t="s">
        <v>30</v>
      </c>
      <c r="M257" s="8"/>
      <c r="N257" s="8"/>
      <c r="O257" s="11"/>
      <c r="P257" s="7">
        <v>9</v>
      </c>
      <c r="Q257" s="7">
        <v>5</v>
      </c>
      <c r="R257" s="7">
        <v>2</v>
      </c>
      <c r="S257" s="7">
        <v>3</v>
      </c>
      <c r="T257" s="7" t="s">
        <v>162</v>
      </c>
    </row>
    <row r="258" spans="1:20" x14ac:dyDescent="0.25">
      <c r="A258" s="7" t="s">
        <v>236</v>
      </c>
      <c r="B258" s="7" t="s">
        <v>151</v>
      </c>
      <c r="C258" s="7" t="s">
        <v>192</v>
      </c>
      <c r="D258" s="7" t="s">
        <v>187</v>
      </c>
      <c r="H258" s="7">
        <v>6</v>
      </c>
      <c r="I258" s="7">
        <v>4</v>
      </c>
      <c r="J258" s="8">
        <f t="shared" ref="J258:J321" si="4">H258/SUM(H258:I258)</f>
        <v>0.6</v>
      </c>
      <c r="K258" s="8" t="s">
        <v>30</v>
      </c>
      <c r="L258" s="8"/>
      <c r="M258" s="8"/>
      <c r="N258" s="8"/>
      <c r="O258" s="11"/>
      <c r="P258" s="7">
        <v>7</v>
      </c>
      <c r="Q258" s="7">
        <v>7</v>
      </c>
      <c r="T258" s="7" t="s">
        <v>192</v>
      </c>
    </row>
    <row r="259" spans="1:20" x14ac:dyDescent="0.25">
      <c r="A259" s="7" t="s">
        <v>236</v>
      </c>
      <c r="B259" s="7" t="s">
        <v>151</v>
      </c>
      <c r="C259" s="7" t="s">
        <v>178</v>
      </c>
      <c r="D259" s="7" t="s">
        <v>157</v>
      </c>
      <c r="H259" s="7">
        <v>5</v>
      </c>
      <c r="I259" s="7">
        <v>5</v>
      </c>
      <c r="J259" s="8">
        <f t="shared" si="4"/>
        <v>0.5</v>
      </c>
      <c r="K259" s="8" t="s">
        <v>30</v>
      </c>
      <c r="L259" s="8" t="s">
        <v>30</v>
      </c>
      <c r="M259" s="8"/>
      <c r="N259" s="8"/>
      <c r="O259" s="11"/>
      <c r="P259" s="7">
        <v>9</v>
      </c>
      <c r="Q259" s="7">
        <v>5</v>
      </c>
      <c r="R259" s="7">
        <v>2</v>
      </c>
      <c r="S259" s="7">
        <v>3</v>
      </c>
      <c r="T259" s="7" t="s">
        <v>178</v>
      </c>
    </row>
    <row r="260" spans="1:20" x14ac:dyDescent="0.25">
      <c r="A260" s="7" t="s">
        <v>236</v>
      </c>
      <c r="B260" s="7" t="s">
        <v>151</v>
      </c>
      <c r="C260" s="7" t="s">
        <v>230</v>
      </c>
      <c r="D260" s="7" t="s">
        <v>171</v>
      </c>
      <c r="H260" s="7">
        <v>5</v>
      </c>
      <c r="I260" s="7">
        <v>5</v>
      </c>
      <c r="J260" s="8">
        <f t="shared" si="4"/>
        <v>0.5</v>
      </c>
      <c r="K260" s="8" t="s">
        <v>30</v>
      </c>
      <c r="L260" s="8"/>
      <c r="M260" s="8"/>
      <c r="N260" s="8"/>
      <c r="O260" s="11"/>
      <c r="P260" s="7">
        <v>7</v>
      </c>
      <c r="Q260" s="7">
        <v>7</v>
      </c>
      <c r="T260" s="7" t="s">
        <v>584</v>
      </c>
    </row>
    <row r="261" spans="1:20" x14ac:dyDescent="0.25">
      <c r="A261" s="7" t="s">
        <v>236</v>
      </c>
      <c r="B261" s="7" t="s">
        <v>151</v>
      </c>
      <c r="C261" s="12" t="s">
        <v>237</v>
      </c>
      <c r="D261" s="7" t="s">
        <v>157</v>
      </c>
      <c r="E261" s="12"/>
      <c r="F261" s="12"/>
      <c r="G261" s="12"/>
      <c r="H261" s="7">
        <v>5</v>
      </c>
      <c r="I261" s="7">
        <v>5</v>
      </c>
      <c r="J261" s="8">
        <f t="shared" si="4"/>
        <v>0.5</v>
      </c>
      <c r="K261" s="8" t="s">
        <v>30</v>
      </c>
      <c r="L261" s="8"/>
      <c r="M261" s="8"/>
      <c r="N261" s="8"/>
      <c r="O261" s="11"/>
      <c r="P261" s="7">
        <v>2</v>
      </c>
      <c r="Q261" s="7">
        <v>12</v>
      </c>
      <c r="T261" s="12" t="s">
        <v>237</v>
      </c>
    </row>
    <row r="262" spans="1:20" x14ac:dyDescent="0.25">
      <c r="A262" s="7" t="s">
        <v>236</v>
      </c>
      <c r="B262" s="7" t="s">
        <v>151</v>
      </c>
      <c r="C262" s="7" t="s">
        <v>156</v>
      </c>
      <c r="D262" s="7" t="s">
        <v>157</v>
      </c>
      <c r="H262" s="7">
        <v>5</v>
      </c>
      <c r="I262" s="7">
        <v>5</v>
      </c>
      <c r="J262" s="8">
        <f t="shared" si="4"/>
        <v>0.5</v>
      </c>
      <c r="K262" s="8" t="s">
        <v>30</v>
      </c>
      <c r="L262" s="8"/>
      <c r="M262" s="8"/>
      <c r="N262" s="8"/>
      <c r="O262" s="11"/>
      <c r="P262" s="7">
        <v>2</v>
      </c>
      <c r="Q262" s="7">
        <v>12</v>
      </c>
      <c r="T262" s="7" t="s">
        <v>156</v>
      </c>
    </row>
    <row r="263" spans="1:20" x14ac:dyDescent="0.25">
      <c r="A263" s="7" t="s">
        <v>236</v>
      </c>
      <c r="B263" s="7" t="s">
        <v>151</v>
      </c>
      <c r="C263" s="7" t="s">
        <v>211</v>
      </c>
      <c r="D263" s="7" t="s">
        <v>154</v>
      </c>
      <c r="H263" s="7">
        <v>4</v>
      </c>
      <c r="I263" s="7">
        <v>6</v>
      </c>
      <c r="J263" s="8">
        <f t="shared" si="4"/>
        <v>0.4</v>
      </c>
      <c r="K263" s="8" t="s">
        <v>30</v>
      </c>
      <c r="L263" s="8" t="s">
        <v>30</v>
      </c>
      <c r="M263" s="8"/>
      <c r="N263" s="8"/>
      <c r="O263" s="11"/>
      <c r="P263" s="7">
        <v>8</v>
      </c>
      <c r="Q263" s="7">
        <v>6</v>
      </c>
      <c r="R263" s="7">
        <v>1</v>
      </c>
      <c r="S263" s="7">
        <v>3</v>
      </c>
      <c r="T263" s="7" t="s">
        <v>177</v>
      </c>
    </row>
    <row r="264" spans="1:20" x14ac:dyDescent="0.25">
      <c r="A264" s="7" t="s">
        <v>236</v>
      </c>
      <c r="B264" s="7" t="s">
        <v>151</v>
      </c>
      <c r="C264" s="7" t="s">
        <v>181</v>
      </c>
      <c r="D264" s="7" t="s">
        <v>173</v>
      </c>
      <c r="H264" s="7">
        <v>4</v>
      </c>
      <c r="I264" s="7">
        <v>6</v>
      </c>
      <c r="J264" s="8">
        <f t="shared" si="4"/>
        <v>0.4</v>
      </c>
      <c r="K264" s="8" t="s">
        <v>30</v>
      </c>
      <c r="L264" s="8"/>
      <c r="M264" s="8"/>
      <c r="N264" s="8"/>
      <c r="O264" s="11"/>
      <c r="P264" s="7">
        <v>4</v>
      </c>
      <c r="Q264" s="7">
        <v>10</v>
      </c>
      <c r="T264" s="7" t="s">
        <v>181</v>
      </c>
    </row>
    <row r="265" spans="1:20" x14ac:dyDescent="0.25">
      <c r="A265" s="7" t="s">
        <v>236</v>
      </c>
      <c r="B265" s="7" t="s">
        <v>151</v>
      </c>
      <c r="C265" s="7" t="s">
        <v>213</v>
      </c>
      <c r="D265" s="7" t="s">
        <v>173</v>
      </c>
      <c r="H265" s="7">
        <v>3</v>
      </c>
      <c r="I265" s="7">
        <v>7</v>
      </c>
      <c r="J265" s="8">
        <f t="shared" si="4"/>
        <v>0.3</v>
      </c>
      <c r="K265" s="8" t="s">
        <v>30</v>
      </c>
      <c r="L265" s="8"/>
      <c r="M265" s="8"/>
      <c r="N265" s="8"/>
      <c r="O265" s="11"/>
      <c r="P265" s="7">
        <v>0</v>
      </c>
      <c r="Q265" s="7">
        <v>14</v>
      </c>
      <c r="T265" s="7" t="s">
        <v>582</v>
      </c>
    </row>
    <row r="266" spans="1:20" x14ac:dyDescent="0.25">
      <c r="A266" s="7" t="s">
        <v>236</v>
      </c>
      <c r="B266" s="7" t="s">
        <v>151</v>
      </c>
      <c r="C266" s="7" t="s">
        <v>238</v>
      </c>
      <c r="D266" s="7" t="s">
        <v>164</v>
      </c>
      <c r="H266" s="7">
        <v>3</v>
      </c>
      <c r="I266" s="7">
        <v>7</v>
      </c>
      <c r="J266" s="8">
        <f t="shared" si="4"/>
        <v>0.3</v>
      </c>
      <c r="K266" s="8"/>
      <c r="L266" s="8"/>
      <c r="M266" s="8"/>
      <c r="N266" s="8"/>
      <c r="O266" s="11"/>
      <c r="T266" s="7" t="s">
        <v>238</v>
      </c>
    </row>
    <row r="267" spans="1:20" x14ac:dyDescent="0.25">
      <c r="A267" s="7" t="s">
        <v>236</v>
      </c>
      <c r="B267" s="7" t="s">
        <v>151</v>
      </c>
      <c r="C267" s="7" t="s">
        <v>170</v>
      </c>
      <c r="D267" s="7" t="s">
        <v>171</v>
      </c>
      <c r="H267" s="7">
        <v>3</v>
      </c>
      <c r="I267" s="7">
        <v>7</v>
      </c>
      <c r="J267" s="8">
        <f t="shared" si="4"/>
        <v>0.3</v>
      </c>
      <c r="K267" s="8"/>
      <c r="L267" s="8"/>
      <c r="M267" s="8"/>
      <c r="N267" s="8"/>
      <c r="O267" s="11"/>
      <c r="T267" s="7" t="s">
        <v>170</v>
      </c>
    </row>
    <row r="268" spans="1:20" x14ac:dyDescent="0.25">
      <c r="A268" s="7" t="s">
        <v>236</v>
      </c>
      <c r="B268" s="7" t="s">
        <v>151</v>
      </c>
      <c r="C268" s="7" t="s">
        <v>240</v>
      </c>
      <c r="D268" s="7" t="s">
        <v>171</v>
      </c>
      <c r="H268" s="7">
        <v>3</v>
      </c>
      <c r="I268" s="7">
        <v>7</v>
      </c>
      <c r="J268" s="8">
        <f t="shared" si="4"/>
        <v>0.3</v>
      </c>
      <c r="K268" s="8"/>
      <c r="L268" s="8"/>
      <c r="M268" s="8"/>
      <c r="N268" s="8"/>
      <c r="O268" s="11"/>
      <c r="T268" s="7" t="s">
        <v>239</v>
      </c>
    </row>
    <row r="269" spans="1:20" x14ac:dyDescent="0.25">
      <c r="A269" s="7" t="s">
        <v>236</v>
      </c>
      <c r="B269" s="7" t="s">
        <v>151</v>
      </c>
      <c r="C269" s="7" t="s">
        <v>242</v>
      </c>
      <c r="D269" s="7" t="s">
        <v>243</v>
      </c>
      <c r="H269" s="7">
        <v>3</v>
      </c>
      <c r="I269" s="7">
        <v>7</v>
      </c>
      <c r="J269" s="8">
        <f t="shared" si="4"/>
        <v>0.3</v>
      </c>
      <c r="K269" s="8"/>
      <c r="L269" s="8"/>
      <c r="M269" s="8"/>
      <c r="N269" s="8"/>
      <c r="O269" s="11"/>
      <c r="T269" s="7" t="s">
        <v>241</v>
      </c>
    </row>
    <row r="270" spans="1:20" x14ac:dyDescent="0.25">
      <c r="A270" s="7" t="s">
        <v>236</v>
      </c>
      <c r="B270" s="7" t="s">
        <v>151</v>
      </c>
      <c r="C270" s="7" t="s">
        <v>583</v>
      </c>
      <c r="D270" s="7" t="s">
        <v>215</v>
      </c>
      <c r="H270" s="7">
        <v>2</v>
      </c>
      <c r="I270" s="7">
        <v>8</v>
      </c>
      <c r="J270" s="8">
        <f t="shared" si="4"/>
        <v>0.2</v>
      </c>
      <c r="K270" s="8"/>
      <c r="L270" s="8"/>
      <c r="M270" s="8"/>
      <c r="N270" s="8"/>
      <c r="O270" s="11"/>
      <c r="T270" s="7" t="s">
        <v>214</v>
      </c>
    </row>
    <row r="271" spans="1:20" x14ac:dyDescent="0.25">
      <c r="A271" s="7" t="s">
        <v>236</v>
      </c>
      <c r="B271" s="7" t="s">
        <v>151</v>
      </c>
      <c r="C271" s="7" t="s">
        <v>235</v>
      </c>
      <c r="D271" s="7" t="s">
        <v>159</v>
      </c>
      <c r="H271" s="7">
        <v>2</v>
      </c>
      <c r="I271" s="7">
        <v>8</v>
      </c>
      <c r="J271" s="8">
        <f t="shared" si="4"/>
        <v>0.2</v>
      </c>
      <c r="K271" s="8"/>
      <c r="L271" s="8"/>
      <c r="M271" s="8"/>
      <c r="N271" s="8"/>
      <c r="O271" s="11"/>
      <c r="T271" s="7" t="s">
        <v>234</v>
      </c>
    </row>
    <row r="272" spans="1:20" x14ac:dyDescent="0.25">
      <c r="A272" s="7" t="s">
        <v>236</v>
      </c>
      <c r="B272" s="7" t="s">
        <v>151</v>
      </c>
      <c r="C272" s="7" t="s">
        <v>245</v>
      </c>
      <c r="D272" s="7" t="s">
        <v>220</v>
      </c>
      <c r="H272" s="7">
        <v>2</v>
      </c>
      <c r="I272" s="7">
        <v>8</v>
      </c>
      <c r="J272" s="8">
        <f t="shared" si="4"/>
        <v>0.2</v>
      </c>
      <c r="K272" s="8"/>
      <c r="L272" s="8"/>
      <c r="M272" s="8"/>
      <c r="N272" s="8"/>
      <c r="O272" s="11"/>
      <c r="T272" s="7" t="s">
        <v>244</v>
      </c>
    </row>
    <row r="273" spans="1:20" x14ac:dyDescent="0.25">
      <c r="A273" s="7" t="s">
        <v>236</v>
      </c>
      <c r="B273" s="7" t="s">
        <v>151</v>
      </c>
      <c r="C273" s="7" t="s">
        <v>174</v>
      </c>
      <c r="D273" s="7" t="s">
        <v>166</v>
      </c>
      <c r="H273" s="7">
        <v>2</v>
      </c>
      <c r="I273" s="7">
        <v>8</v>
      </c>
      <c r="J273" s="8">
        <f t="shared" si="4"/>
        <v>0.2</v>
      </c>
      <c r="K273" s="8"/>
      <c r="L273" s="8"/>
      <c r="M273" s="8"/>
      <c r="N273" s="8"/>
      <c r="O273" s="11"/>
      <c r="T273" s="7" t="s">
        <v>174</v>
      </c>
    </row>
    <row r="274" spans="1:20" x14ac:dyDescent="0.25">
      <c r="A274" s="7" t="s">
        <v>246</v>
      </c>
      <c r="B274" s="7" t="s">
        <v>151</v>
      </c>
      <c r="C274" s="7" t="s">
        <v>188</v>
      </c>
      <c r="D274" s="7" t="s">
        <v>187</v>
      </c>
      <c r="H274" s="7">
        <v>10</v>
      </c>
      <c r="I274" s="7">
        <v>0</v>
      </c>
      <c r="J274" s="8">
        <f t="shared" si="4"/>
        <v>1</v>
      </c>
      <c r="K274" s="8" t="s">
        <v>30</v>
      </c>
      <c r="L274" s="8" t="s">
        <v>30</v>
      </c>
      <c r="M274" s="8" t="s">
        <v>30</v>
      </c>
      <c r="N274" s="8" t="s">
        <v>30</v>
      </c>
      <c r="O274" s="11"/>
      <c r="P274" s="7">
        <v>5</v>
      </c>
      <c r="Q274" s="7">
        <v>1</v>
      </c>
      <c r="R274" s="7">
        <v>3</v>
      </c>
      <c r="S274" s="7">
        <v>1</v>
      </c>
      <c r="T274" s="7" t="s">
        <v>188</v>
      </c>
    </row>
    <row r="275" spans="1:20" x14ac:dyDescent="0.25">
      <c r="A275" s="7" t="s">
        <v>246</v>
      </c>
      <c r="B275" s="7" t="s">
        <v>151</v>
      </c>
      <c r="C275" s="7" t="s">
        <v>581</v>
      </c>
      <c r="D275" s="7" t="s">
        <v>154</v>
      </c>
      <c r="H275" s="7">
        <v>9</v>
      </c>
      <c r="I275" s="7">
        <v>1</v>
      </c>
      <c r="J275" s="8">
        <f t="shared" si="4"/>
        <v>0.9</v>
      </c>
      <c r="K275" s="8" t="s">
        <v>30</v>
      </c>
      <c r="L275" s="8" t="s">
        <v>30</v>
      </c>
      <c r="M275" s="8" t="s">
        <v>30</v>
      </c>
      <c r="N275" s="8"/>
      <c r="O275" s="11"/>
      <c r="P275" s="7">
        <v>6</v>
      </c>
      <c r="Q275" s="7">
        <v>0</v>
      </c>
      <c r="R275" s="7">
        <v>3</v>
      </c>
      <c r="S275" s="7">
        <v>0</v>
      </c>
      <c r="T275" s="7" t="s">
        <v>581</v>
      </c>
    </row>
    <row r="276" spans="1:20" x14ac:dyDescent="0.25">
      <c r="A276" s="7" t="s">
        <v>246</v>
      </c>
      <c r="B276" s="7" t="s">
        <v>151</v>
      </c>
      <c r="C276" s="7" t="s">
        <v>162</v>
      </c>
      <c r="D276" s="7" t="s">
        <v>152</v>
      </c>
      <c r="H276" s="7">
        <v>7</v>
      </c>
      <c r="I276" s="7">
        <v>3</v>
      </c>
      <c r="J276" s="8">
        <f t="shared" si="4"/>
        <v>0.7</v>
      </c>
      <c r="K276" s="8" t="s">
        <v>30</v>
      </c>
      <c r="L276" s="8" t="s">
        <v>30</v>
      </c>
      <c r="M276" s="8" t="s">
        <v>30</v>
      </c>
      <c r="N276" s="8"/>
      <c r="O276" s="11"/>
      <c r="P276" s="7">
        <v>4</v>
      </c>
      <c r="Q276" s="7">
        <v>2</v>
      </c>
      <c r="R276" s="7">
        <v>3</v>
      </c>
      <c r="S276" s="7">
        <v>2</v>
      </c>
      <c r="T276" s="7" t="s">
        <v>162</v>
      </c>
    </row>
    <row r="277" spans="1:20" x14ac:dyDescent="0.25">
      <c r="A277" s="7" t="s">
        <v>246</v>
      </c>
      <c r="B277" s="7" t="s">
        <v>151</v>
      </c>
      <c r="C277" s="7" t="s">
        <v>149</v>
      </c>
      <c r="D277" s="7" t="s">
        <v>152</v>
      </c>
      <c r="H277" s="7">
        <v>6</v>
      </c>
      <c r="I277" s="7">
        <v>4</v>
      </c>
      <c r="J277" s="8">
        <f t="shared" si="4"/>
        <v>0.6</v>
      </c>
      <c r="K277" s="8" t="s">
        <v>30</v>
      </c>
      <c r="L277" s="8" t="s">
        <v>30</v>
      </c>
      <c r="M277" s="8" t="s">
        <v>30</v>
      </c>
      <c r="N277" s="8" t="s">
        <v>30</v>
      </c>
      <c r="O277" s="11" t="s">
        <v>30</v>
      </c>
      <c r="P277" s="7">
        <v>3</v>
      </c>
      <c r="Q277" s="7">
        <v>3</v>
      </c>
      <c r="R277" s="7">
        <v>3</v>
      </c>
      <c r="S277" s="7">
        <v>1</v>
      </c>
      <c r="T277" s="7" t="s">
        <v>149</v>
      </c>
    </row>
    <row r="278" spans="1:20" x14ac:dyDescent="0.25">
      <c r="A278" s="7" t="s">
        <v>246</v>
      </c>
      <c r="B278" s="7" t="s">
        <v>151</v>
      </c>
      <c r="C278" s="7" t="s">
        <v>230</v>
      </c>
      <c r="D278" s="7" t="s">
        <v>171</v>
      </c>
      <c r="H278" s="7">
        <v>8</v>
      </c>
      <c r="I278" s="7">
        <v>2</v>
      </c>
      <c r="J278" s="8">
        <f t="shared" si="4"/>
        <v>0.8</v>
      </c>
      <c r="K278" s="8" t="s">
        <v>30</v>
      </c>
      <c r="L278" s="8" t="s">
        <v>30</v>
      </c>
      <c r="M278" s="8"/>
      <c r="N278" s="8"/>
      <c r="O278" s="11"/>
      <c r="P278" s="7">
        <v>4</v>
      </c>
      <c r="Q278" s="7">
        <v>2</v>
      </c>
      <c r="R278" s="7">
        <v>1</v>
      </c>
      <c r="S278" s="7">
        <v>3</v>
      </c>
      <c r="T278" s="7" t="s">
        <v>584</v>
      </c>
    </row>
    <row r="279" spans="1:20" x14ac:dyDescent="0.25">
      <c r="A279" s="7" t="s">
        <v>246</v>
      </c>
      <c r="B279" s="7" t="s">
        <v>151</v>
      </c>
      <c r="C279" s="7" t="s">
        <v>155</v>
      </c>
      <c r="D279" s="7" t="s">
        <v>154</v>
      </c>
      <c r="H279" s="7">
        <v>8</v>
      </c>
      <c r="I279" s="7">
        <v>2</v>
      </c>
      <c r="J279" s="8">
        <f t="shared" si="4"/>
        <v>0.8</v>
      </c>
      <c r="K279" s="8" t="s">
        <v>30</v>
      </c>
      <c r="L279" s="8"/>
      <c r="M279" s="8"/>
      <c r="N279" s="8"/>
      <c r="O279" s="11"/>
      <c r="P279" s="7">
        <v>4</v>
      </c>
      <c r="Q279" s="7">
        <v>2</v>
      </c>
      <c r="T279" s="7" t="s">
        <v>155</v>
      </c>
    </row>
    <row r="280" spans="1:20" x14ac:dyDescent="0.25">
      <c r="A280" s="7" t="s">
        <v>246</v>
      </c>
      <c r="B280" s="7" t="s">
        <v>151</v>
      </c>
      <c r="C280" s="7" t="s">
        <v>169</v>
      </c>
      <c r="D280" s="7" t="s">
        <v>161</v>
      </c>
      <c r="H280" s="7">
        <v>7</v>
      </c>
      <c r="I280" s="7">
        <v>3</v>
      </c>
      <c r="J280" s="8">
        <f t="shared" si="4"/>
        <v>0.7</v>
      </c>
      <c r="K280" s="8" t="s">
        <v>30</v>
      </c>
      <c r="L280" s="8" t="s">
        <v>30</v>
      </c>
      <c r="M280" s="8"/>
      <c r="N280" s="8"/>
      <c r="O280" s="11"/>
      <c r="P280" s="7">
        <v>3</v>
      </c>
      <c r="Q280" s="7">
        <v>3</v>
      </c>
      <c r="R280" s="7">
        <v>2</v>
      </c>
      <c r="S280" s="7">
        <v>3</v>
      </c>
      <c r="T280" s="7" t="s">
        <v>169</v>
      </c>
    </row>
    <row r="281" spans="1:20" x14ac:dyDescent="0.25">
      <c r="A281" s="7" t="s">
        <v>246</v>
      </c>
      <c r="B281" s="7" t="s">
        <v>151</v>
      </c>
      <c r="C281" s="7" t="s">
        <v>189</v>
      </c>
      <c r="D281" s="7" t="s">
        <v>187</v>
      </c>
      <c r="H281" s="7">
        <v>7</v>
      </c>
      <c r="I281" s="7">
        <v>3</v>
      </c>
      <c r="J281" s="8">
        <f t="shared" si="4"/>
        <v>0.7</v>
      </c>
      <c r="K281" s="8" t="s">
        <v>30</v>
      </c>
      <c r="L281" s="8" t="s">
        <v>30</v>
      </c>
      <c r="M281" s="8"/>
      <c r="N281" s="8"/>
      <c r="O281" s="11"/>
      <c r="P281" s="7">
        <v>3</v>
      </c>
      <c r="Q281" s="7">
        <v>3</v>
      </c>
      <c r="R281" s="7">
        <v>0</v>
      </c>
      <c r="S281" s="7">
        <v>3</v>
      </c>
      <c r="T281" s="7" t="s">
        <v>189</v>
      </c>
    </row>
    <row r="282" spans="1:20" x14ac:dyDescent="0.25">
      <c r="A282" s="7" t="s">
        <v>246</v>
      </c>
      <c r="B282" s="7" t="s">
        <v>151</v>
      </c>
      <c r="C282" s="7" t="s">
        <v>156</v>
      </c>
      <c r="D282" s="7" t="s">
        <v>157</v>
      </c>
      <c r="H282" s="7">
        <v>6</v>
      </c>
      <c r="I282" s="7">
        <v>4</v>
      </c>
      <c r="J282" s="8">
        <f t="shared" si="4"/>
        <v>0.6</v>
      </c>
      <c r="K282" s="8" t="s">
        <v>30</v>
      </c>
      <c r="L282" s="8"/>
      <c r="M282" s="8"/>
      <c r="N282" s="8"/>
      <c r="O282" s="11"/>
      <c r="P282" s="7">
        <v>2</v>
      </c>
      <c r="Q282" s="7">
        <v>4</v>
      </c>
      <c r="T282" s="7" t="s">
        <v>156</v>
      </c>
    </row>
    <row r="283" spans="1:20" x14ac:dyDescent="0.25">
      <c r="A283" s="7" t="s">
        <v>246</v>
      </c>
      <c r="B283" s="7" t="s">
        <v>151</v>
      </c>
      <c r="C283" s="7" t="s">
        <v>247</v>
      </c>
      <c r="D283" s="7" t="s">
        <v>154</v>
      </c>
      <c r="H283" s="7">
        <v>5</v>
      </c>
      <c r="I283" s="7">
        <v>5</v>
      </c>
      <c r="J283" s="8">
        <f t="shared" si="4"/>
        <v>0.5</v>
      </c>
      <c r="K283" s="8" t="s">
        <v>30</v>
      </c>
      <c r="L283" s="8" t="s">
        <v>30</v>
      </c>
      <c r="M283" s="8"/>
      <c r="N283" s="8"/>
      <c r="O283" s="11"/>
      <c r="P283" s="7">
        <v>4</v>
      </c>
      <c r="Q283" s="7">
        <v>2</v>
      </c>
      <c r="R283" s="7">
        <v>1</v>
      </c>
      <c r="S283" s="7">
        <v>3</v>
      </c>
      <c r="T283" s="7" t="s">
        <v>247</v>
      </c>
    </row>
    <row r="284" spans="1:20" x14ac:dyDescent="0.25">
      <c r="A284" s="7" t="s">
        <v>246</v>
      </c>
      <c r="B284" s="7" t="s">
        <v>151</v>
      </c>
      <c r="C284" s="7" t="s">
        <v>240</v>
      </c>
      <c r="D284" s="7" t="s">
        <v>171</v>
      </c>
      <c r="H284" s="7">
        <v>5</v>
      </c>
      <c r="I284" s="7">
        <v>5</v>
      </c>
      <c r="J284" s="8">
        <f t="shared" si="4"/>
        <v>0.5</v>
      </c>
      <c r="K284" s="8" t="s">
        <v>30</v>
      </c>
      <c r="L284" s="8"/>
      <c r="M284" s="8"/>
      <c r="N284" s="8"/>
      <c r="O284" s="11"/>
      <c r="P284" s="7">
        <v>3</v>
      </c>
      <c r="Q284" s="7">
        <v>3</v>
      </c>
      <c r="T284" s="7" t="s">
        <v>239</v>
      </c>
    </row>
    <row r="285" spans="1:20" x14ac:dyDescent="0.25">
      <c r="A285" s="7" t="s">
        <v>246</v>
      </c>
      <c r="B285" s="7" t="s">
        <v>151</v>
      </c>
      <c r="C285" s="7" t="s">
        <v>178</v>
      </c>
      <c r="D285" s="7" t="s">
        <v>157</v>
      </c>
      <c r="H285" s="7">
        <v>5</v>
      </c>
      <c r="I285" s="7">
        <v>5</v>
      </c>
      <c r="J285" s="8">
        <f t="shared" si="4"/>
        <v>0.5</v>
      </c>
      <c r="K285" s="8" t="s">
        <v>30</v>
      </c>
      <c r="L285" s="8"/>
      <c r="M285" s="8"/>
      <c r="N285" s="8"/>
      <c r="O285" s="11"/>
      <c r="P285" s="7">
        <v>1</v>
      </c>
      <c r="Q285" s="7">
        <v>5</v>
      </c>
      <c r="T285" s="7" t="s">
        <v>178</v>
      </c>
    </row>
    <row r="286" spans="1:20" x14ac:dyDescent="0.25">
      <c r="A286" s="7" t="s">
        <v>246</v>
      </c>
      <c r="B286" s="7" t="s">
        <v>151</v>
      </c>
      <c r="C286" s="7" t="s">
        <v>170</v>
      </c>
      <c r="D286" s="7" t="s">
        <v>171</v>
      </c>
      <c r="H286" s="7">
        <v>4</v>
      </c>
      <c r="I286" s="7">
        <v>6</v>
      </c>
      <c r="J286" s="8">
        <f t="shared" si="4"/>
        <v>0.4</v>
      </c>
      <c r="K286" s="8" t="s">
        <v>30</v>
      </c>
      <c r="L286" s="8"/>
      <c r="M286" s="8"/>
      <c r="N286" s="8"/>
      <c r="O286" s="11"/>
      <c r="P286" s="7">
        <v>3</v>
      </c>
      <c r="Q286" s="7">
        <v>3</v>
      </c>
      <c r="T286" s="7" t="s">
        <v>170</v>
      </c>
    </row>
    <row r="287" spans="1:20" x14ac:dyDescent="0.25">
      <c r="A287" s="7" t="s">
        <v>246</v>
      </c>
      <c r="B287" s="7" t="s">
        <v>151</v>
      </c>
      <c r="C287" s="7" t="s">
        <v>248</v>
      </c>
      <c r="D287" s="7" t="s">
        <v>157</v>
      </c>
      <c r="H287" s="7">
        <v>4</v>
      </c>
      <c r="I287" s="7">
        <v>6</v>
      </c>
      <c r="J287" s="8">
        <f t="shared" si="4"/>
        <v>0.4</v>
      </c>
      <c r="K287" s="8" t="s">
        <v>30</v>
      </c>
      <c r="L287" s="8"/>
      <c r="M287" s="8"/>
      <c r="N287" s="8"/>
      <c r="O287" s="11"/>
      <c r="P287" s="7">
        <v>3</v>
      </c>
      <c r="Q287" s="7">
        <v>3</v>
      </c>
      <c r="T287" s="7" t="s">
        <v>204</v>
      </c>
    </row>
    <row r="288" spans="1:20" x14ac:dyDescent="0.25">
      <c r="A288" s="7" t="s">
        <v>246</v>
      </c>
      <c r="B288" s="7" t="s">
        <v>151</v>
      </c>
      <c r="C288" s="7" t="s">
        <v>158</v>
      </c>
      <c r="D288" s="7" t="s">
        <v>159</v>
      </c>
      <c r="H288" s="7">
        <v>4</v>
      </c>
      <c r="I288" s="7">
        <v>6</v>
      </c>
      <c r="J288" s="8">
        <f t="shared" si="4"/>
        <v>0.4</v>
      </c>
      <c r="K288" s="8" t="s">
        <v>30</v>
      </c>
      <c r="L288" s="8"/>
      <c r="M288" s="8"/>
      <c r="N288" s="8"/>
      <c r="O288" s="11"/>
      <c r="P288" s="7">
        <v>0</v>
      </c>
      <c r="Q288" s="7">
        <v>6</v>
      </c>
      <c r="T288" s="7" t="s">
        <v>158</v>
      </c>
    </row>
    <row r="289" spans="1:20" x14ac:dyDescent="0.25">
      <c r="A289" s="7" t="s">
        <v>246</v>
      </c>
      <c r="B289" s="7" t="s">
        <v>151</v>
      </c>
      <c r="C289" s="7" t="s">
        <v>201</v>
      </c>
      <c r="D289" s="7" t="s">
        <v>154</v>
      </c>
      <c r="H289" s="7">
        <v>4</v>
      </c>
      <c r="I289" s="7">
        <v>6</v>
      </c>
      <c r="J289" s="8">
        <f t="shared" si="4"/>
        <v>0.4</v>
      </c>
      <c r="K289" s="8" t="s">
        <v>30</v>
      </c>
      <c r="L289" s="8"/>
      <c r="M289" s="8"/>
      <c r="N289" s="8"/>
      <c r="O289" s="11"/>
      <c r="P289" s="7">
        <v>0</v>
      </c>
      <c r="Q289" s="7">
        <v>6</v>
      </c>
      <c r="T289" s="7" t="s">
        <v>201</v>
      </c>
    </row>
    <row r="290" spans="1:20" x14ac:dyDescent="0.25">
      <c r="A290" s="7" t="s">
        <v>246</v>
      </c>
      <c r="B290" s="7" t="s">
        <v>151</v>
      </c>
      <c r="C290" s="7" t="s">
        <v>211</v>
      </c>
      <c r="D290" s="7" t="s">
        <v>154</v>
      </c>
      <c r="H290" s="7">
        <v>5</v>
      </c>
      <c r="I290" s="7">
        <v>5</v>
      </c>
      <c r="J290" s="8">
        <f t="shared" si="4"/>
        <v>0.5</v>
      </c>
      <c r="K290" s="8"/>
      <c r="L290" s="8"/>
      <c r="M290" s="8"/>
      <c r="N290" s="8"/>
      <c r="O290" s="11"/>
      <c r="T290" s="7" t="s">
        <v>177</v>
      </c>
    </row>
    <row r="291" spans="1:20" x14ac:dyDescent="0.25">
      <c r="A291" s="7" t="s">
        <v>246</v>
      </c>
      <c r="B291" s="7" t="s">
        <v>151</v>
      </c>
      <c r="C291" s="7" t="s">
        <v>174</v>
      </c>
      <c r="D291" s="7" t="s">
        <v>166</v>
      </c>
      <c r="H291" s="7">
        <v>4</v>
      </c>
      <c r="I291" s="7">
        <v>6</v>
      </c>
      <c r="J291" s="8">
        <f t="shared" si="4"/>
        <v>0.4</v>
      </c>
      <c r="K291" s="8"/>
      <c r="L291" s="8"/>
      <c r="M291" s="8"/>
      <c r="N291" s="8"/>
      <c r="O291" s="11"/>
      <c r="T291" s="7" t="s">
        <v>174</v>
      </c>
    </row>
    <row r="292" spans="1:20" x14ac:dyDescent="0.25">
      <c r="A292" s="7" t="s">
        <v>246</v>
      </c>
      <c r="B292" s="7" t="s">
        <v>151</v>
      </c>
      <c r="C292" s="7" t="s">
        <v>249</v>
      </c>
      <c r="D292" s="7" t="s">
        <v>164</v>
      </c>
      <c r="H292" s="7">
        <v>3</v>
      </c>
      <c r="I292" s="7">
        <v>7</v>
      </c>
      <c r="J292" s="8">
        <f t="shared" si="4"/>
        <v>0.3</v>
      </c>
      <c r="K292" s="8"/>
      <c r="L292" s="8"/>
      <c r="M292" s="8"/>
      <c r="N292" s="8"/>
      <c r="O292" s="11"/>
      <c r="T292" s="7" t="s">
        <v>249</v>
      </c>
    </row>
    <row r="293" spans="1:20" x14ac:dyDescent="0.25">
      <c r="A293" s="7" t="s">
        <v>246</v>
      </c>
      <c r="B293" s="7" t="s">
        <v>151</v>
      </c>
      <c r="C293" s="7" t="s">
        <v>213</v>
      </c>
      <c r="D293" s="7" t="s">
        <v>173</v>
      </c>
      <c r="H293" s="7">
        <v>3</v>
      </c>
      <c r="I293" s="7">
        <v>7</v>
      </c>
      <c r="J293" s="8">
        <f t="shared" si="4"/>
        <v>0.3</v>
      </c>
      <c r="K293" s="8"/>
      <c r="L293" s="8"/>
      <c r="M293" s="8"/>
      <c r="N293" s="8"/>
      <c r="O293" s="11"/>
      <c r="T293" s="7" t="s">
        <v>582</v>
      </c>
    </row>
    <row r="294" spans="1:20" x14ac:dyDescent="0.25">
      <c r="A294" s="7" t="s">
        <v>246</v>
      </c>
      <c r="B294" s="7" t="s">
        <v>151</v>
      </c>
      <c r="C294" s="7" t="s">
        <v>250</v>
      </c>
      <c r="D294" s="7" t="s">
        <v>251</v>
      </c>
      <c r="H294" s="7">
        <v>2</v>
      </c>
      <c r="I294" s="7">
        <v>8</v>
      </c>
      <c r="J294" s="8">
        <f t="shared" si="4"/>
        <v>0.2</v>
      </c>
      <c r="K294" s="8"/>
      <c r="L294" s="8"/>
      <c r="M294" s="8"/>
      <c r="N294" s="8"/>
      <c r="O294" s="11"/>
      <c r="T294" s="7" t="s">
        <v>250</v>
      </c>
    </row>
    <row r="295" spans="1:20" x14ac:dyDescent="0.25">
      <c r="A295" s="7" t="s">
        <v>246</v>
      </c>
      <c r="B295" s="7" t="s">
        <v>151</v>
      </c>
      <c r="C295" s="7" t="s">
        <v>252</v>
      </c>
      <c r="D295" s="7" t="s">
        <v>215</v>
      </c>
      <c r="H295" s="7">
        <v>2</v>
      </c>
      <c r="I295" s="7">
        <v>8</v>
      </c>
      <c r="J295" s="8">
        <f t="shared" si="4"/>
        <v>0.2</v>
      </c>
      <c r="K295" s="8"/>
      <c r="L295" s="8"/>
      <c r="M295" s="8"/>
      <c r="N295" s="8"/>
      <c r="O295" s="11"/>
      <c r="T295" s="7" t="s">
        <v>252</v>
      </c>
    </row>
    <row r="296" spans="1:20" x14ac:dyDescent="0.25">
      <c r="A296" s="7" t="s">
        <v>246</v>
      </c>
      <c r="B296" s="7" t="s">
        <v>151</v>
      </c>
      <c r="C296" s="7" t="s">
        <v>245</v>
      </c>
      <c r="D296" s="7" t="s">
        <v>220</v>
      </c>
      <c r="H296" s="7">
        <v>1</v>
      </c>
      <c r="I296" s="7">
        <v>9</v>
      </c>
      <c r="J296" s="8">
        <f t="shared" si="4"/>
        <v>0.1</v>
      </c>
      <c r="K296" s="8"/>
      <c r="L296" s="8"/>
      <c r="M296" s="8"/>
      <c r="N296" s="8"/>
      <c r="O296" s="11"/>
      <c r="T296" s="7" t="s">
        <v>244</v>
      </c>
    </row>
    <row r="297" spans="1:20" x14ac:dyDescent="0.25">
      <c r="A297" s="7" t="s">
        <v>246</v>
      </c>
      <c r="B297" s="7" t="s">
        <v>151</v>
      </c>
      <c r="C297" s="7" t="s">
        <v>242</v>
      </c>
      <c r="D297" s="7" t="s">
        <v>243</v>
      </c>
      <c r="H297" s="7">
        <v>1</v>
      </c>
      <c r="I297" s="7">
        <v>9</v>
      </c>
      <c r="J297" s="8">
        <f t="shared" si="4"/>
        <v>0.1</v>
      </c>
      <c r="K297" s="8"/>
      <c r="L297" s="8"/>
      <c r="M297" s="8"/>
      <c r="N297" s="8"/>
      <c r="O297" s="11"/>
      <c r="T297" s="7" t="s">
        <v>241</v>
      </c>
    </row>
    <row r="298" spans="1:20" x14ac:dyDescent="0.25">
      <c r="A298" s="7" t="s">
        <v>253</v>
      </c>
      <c r="B298" s="7" t="s">
        <v>151</v>
      </c>
      <c r="C298" s="7" t="s">
        <v>169</v>
      </c>
      <c r="D298" s="7" t="s">
        <v>161</v>
      </c>
      <c r="H298" s="7">
        <v>9</v>
      </c>
      <c r="I298" s="7">
        <v>1</v>
      </c>
      <c r="J298" s="8">
        <f t="shared" si="4"/>
        <v>0.9</v>
      </c>
      <c r="K298" s="8" t="s">
        <v>30</v>
      </c>
      <c r="L298" s="8" t="s">
        <v>30</v>
      </c>
      <c r="M298" s="8" t="s">
        <v>30</v>
      </c>
      <c r="N298" s="8" t="s">
        <v>30</v>
      </c>
      <c r="O298" s="11"/>
      <c r="P298" s="7">
        <v>3</v>
      </c>
      <c r="Q298" s="7">
        <v>3</v>
      </c>
      <c r="R298" s="7">
        <v>3</v>
      </c>
      <c r="S298" s="7">
        <v>1</v>
      </c>
      <c r="T298" s="7" t="s">
        <v>169</v>
      </c>
    </row>
    <row r="299" spans="1:20" x14ac:dyDescent="0.25">
      <c r="A299" s="7" t="s">
        <v>253</v>
      </c>
      <c r="B299" s="7" t="s">
        <v>151</v>
      </c>
      <c r="C299" s="7" t="s">
        <v>230</v>
      </c>
      <c r="D299" s="7" t="s">
        <v>171</v>
      </c>
      <c r="H299" s="7">
        <v>8</v>
      </c>
      <c r="I299" s="7">
        <v>2</v>
      </c>
      <c r="J299" s="8">
        <f t="shared" si="4"/>
        <v>0.8</v>
      </c>
      <c r="K299" s="8" t="s">
        <v>30</v>
      </c>
      <c r="L299" s="8" t="s">
        <v>30</v>
      </c>
      <c r="M299" s="8" t="s">
        <v>30</v>
      </c>
      <c r="N299" s="8"/>
      <c r="O299" s="11"/>
      <c r="P299" s="7">
        <v>4</v>
      </c>
      <c r="Q299" s="7">
        <v>2</v>
      </c>
      <c r="R299" s="7">
        <v>3</v>
      </c>
      <c r="S299" s="7">
        <v>1</v>
      </c>
      <c r="T299" s="7" t="s">
        <v>584</v>
      </c>
    </row>
    <row r="300" spans="1:20" x14ac:dyDescent="0.25">
      <c r="A300" s="7" t="s">
        <v>253</v>
      </c>
      <c r="B300" s="7" t="s">
        <v>151</v>
      </c>
      <c r="C300" s="7" t="s">
        <v>162</v>
      </c>
      <c r="D300" s="7" t="s">
        <v>152</v>
      </c>
      <c r="H300" s="7">
        <v>7</v>
      </c>
      <c r="I300" s="7">
        <v>3</v>
      </c>
      <c r="J300" s="8">
        <f t="shared" si="4"/>
        <v>0.7</v>
      </c>
      <c r="K300" s="8" t="s">
        <v>30</v>
      </c>
      <c r="L300" s="8" t="s">
        <v>30</v>
      </c>
      <c r="M300" s="8" t="s">
        <v>30</v>
      </c>
      <c r="N300" s="8" t="s">
        <v>30</v>
      </c>
      <c r="O300" s="11" t="s">
        <v>30</v>
      </c>
      <c r="P300" s="7">
        <v>4</v>
      </c>
      <c r="Q300" s="7">
        <v>2</v>
      </c>
      <c r="R300" s="7">
        <v>3</v>
      </c>
      <c r="S300" s="7">
        <v>1</v>
      </c>
      <c r="T300" s="7" t="s">
        <v>162</v>
      </c>
    </row>
    <row r="301" spans="1:20" x14ac:dyDescent="0.25">
      <c r="A301" s="7" t="s">
        <v>253</v>
      </c>
      <c r="B301" s="7" t="s">
        <v>151</v>
      </c>
      <c r="C301" s="7" t="s">
        <v>155</v>
      </c>
      <c r="D301" s="7" t="s">
        <v>154</v>
      </c>
      <c r="H301" s="7">
        <v>6</v>
      </c>
      <c r="I301" s="7">
        <v>4</v>
      </c>
      <c r="J301" s="8">
        <f t="shared" si="4"/>
        <v>0.6</v>
      </c>
      <c r="K301" s="8" t="s">
        <v>30</v>
      </c>
      <c r="L301" s="8" t="s">
        <v>30</v>
      </c>
      <c r="M301" s="8" t="s">
        <v>30</v>
      </c>
      <c r="N301" s="8"/>
      <c r="O301" s="11"/>
      <c r="P301" s="7">
        <v>5</v>
      </c>
      <c r="Q301" s="7">
        <v>1</v>
      </c>
      <c r="R301" s="7">
        <v>3</v>
      </c>
      <c r="S301" s="7">
        <v>2</v>
      </c>
      <c r="T301" s="7" t="s">
        <v>155</v>
      </c>
    </row>
    <row r="302" spans="1:20" x14ac:dyDescent="0.25">
      <c r="A302" s="7" t="s">
        <v>253</v>
      </c>
      <c r="B302" s="7" t="s">
        <v>151</v>
      </c>
      <c r="C302" s="7" t="s">
        <v>581</v>
      </c>
      <c r="D302" s="7" t="s">
        <v>154</v>
      </c>
      <c r="H302" s="7">
        <v>7</v>
      </c>
      <c r="I302" s="7">
        <v>3</v>
      </c>
      <c r="J302" s="8">
        <f t="shared" si="4"/>
        <v>0.7</v>
      </c>
      <c r="K302" s="8" t="s">
        <v>30</v>
      </c>
      <c r="L302" s="8" t="s">
        <v>30</v>
      </c>
      <c r="M302" s="8"/>
      <c r="N302" s="8"/>
      <c r="O302" s="11"/>
      <c r="P302" s="7">
        <v>6</v>
      </c>
      <c r="Q302" s="7">
        <v>0</v>
      </c>
      <c r="R302" s="7">
        <v>1</v>
      </c>
      <c r="S302" s="7">
        <v>3</v>
      </c>
      <c r="T302" s="7" t="s">
        <v>581</v>
      </c>
    </row>
    <row r="303" spans="1:20" x14ac:dyDescent="0.25">
      <c r="A303" s="7" t="s">
        <v>253</v>
      </c>
      <c r="B303" s="7" t="s">
        <v>151</v>
      </c>
      <c r="C303" s="7" t="s">
        <v>149</v>
      </c>
      <c r="D303" s="7" t="s">
        <v>152</v>
      </c>
      <c r="H303" s="7">
        <v>7</v>
      </c>
      <c r="I303" s="7">
        <v>3</v>
      </c>
      <c r="J303" s="8">
        <f t="shared" si="4"/>
        <v>0.7</v>
      </c>
      <c r="K303" s="8" t="s">
        <v>30</v>
      </c>
      <c r="L303" s="8" t="s">
        <v>30</v>
      </c>
      <c r="M303" s="8"/>
      <c r="N303" s="8"/>
      <c r="O303" s="11"/>
      <c r="P303" s="7">
        <v>5</v>
      </c>
      <c r="Q303" s="7">
        <v>1</v>
      </c>
      <c r="R303" s="7">
        <v>1</v>
      </c>
      <c r="S303" s="7">
        <v>3</v>
      </c>
      <c r="T303" s="7" t="s">
        <v>149</v>
      </c>
    </row>
    <row r="304" spans="1:20" x14ac:dyDescent="0.25">
      <c r="A304" s="7" t="s">
        <v>253</v>
      </c>
      <c r="B304" s="7" t="s">
        <v>151</v>
      </c>
      <c r="C304" s="7" t="s">
        <v>156</v>
      </c>
      <c r="D304" s="7" t="s">
        <v>157</v>
      </c>
      <c r="H304" s="7">
        <v>7</v>
      </c>
      <c r="I304" s="7">
        <v>3</v>
      </c>
      <c r="J304" s="8">
        <f t="shared" si="4"/>
        <v>0.7</v>
      </c>
      <c r="K304" s="8" t="s">
        <v>30</v>
      </c>
      <c r="L304" s="8"/>
      <c r="M304" s="8"/>
      <c r="N304" s="8"/>
      <c r="O304" s="11"/>
      <c r="P304" s="7">
        <v>3</v>
      </c>
      <c r="Q304" s="7">
        <v>3</v>
      </c>
      <c r="T304" s="7" t="s">
        <v>156</v>
      </c>
    </row>
    <row r="305" spans="1:20" x14ac:dyDescent="0.25">
      <c r="A305" s="7" t="s">
        <v>253</v>
      </c>
      <c r="B305" s="7" t="s">
        <v>151</v>
      </c>
      <c r="C305" s="7" t="s">
        <v>242</v>
      </c>
      <c r="D305" s="7" t="s">
        <v>243</v>
      </c>
      <c r="H305" s="7">
        <v>6</v>
      </c>
      <c r="I305" s="7">
        <v>4</v>
      </c>
      <c r="J305" s="8">
        <f t="shared" si="4"/>
        <v>0.6</v>
      </c>
      <c r="K305" s="8" t="s">
        <v>30</v>
      </c>
      <c r="L305" s="8"/>
      <c r="M305" s="8"/>
      <c r="N305" s="8"/>
      <c r="O305" s="11"/>
      <c r="P305" s="7">
        <v>1</v>
      </c>
      <c r="Q305" s="7">
        <v>5</v>
      </c>
      <c r="T305" s="7" t="s">
        <v>241</v>
      </c>
    </row>
    <row r="306" spans="1:20" x14ac:dyDescent="0.25">
      <c r="A306" s="7" t="s">
        <v>253</v>
      </c>
      <c r="B306" s="7" t="s">
        <v>151</v>
      </c>
      <c r="C306" s="7" t="s">
        <v>254</v>
      </c>
      <c r="D306" s="7" t="s">
        <v>154</v>
      </c>
      <c r="H306" s="7">
        <v>5</v>
      </c>
      <c r="I306" s="7">
        <v>5</v>
      </c>
      <c r="J306" s="8">
        <f t="shared" si="4"/>
        <v>0.5</v>
      </c>
      <c r="K306" s="8" t="s">
        <v>30</v>
      </c>
      <c r="L306" s="8" t="s">
        <v>30</v>
      </c>
      <c r="M306" s="8"/>
      <c r="N306" s="8"/>
      <c r="O306" s="11"/>
      <c r="P306" s="7">
        <v>4</v>
      </c>
      <c r="Q306" s="7">
        <v>2</v>
      </c>
      <c r="R306" s="7">
        <v>1</v>
      </c>
      <c r="S306" s="7">
        <v>3</v>
      </c>
      <c r="T306" s="7" t="s">
        <v>177</v>
      </c>
    </row>
    <row r="307" spans="1:20" x14ac:dyDescent="0.25">
      <c r="A307" s="7" t="s">
        <v>253</v>
      </c>
      <c r="B307" s="7" t="s">
        <v>151</v>
      </c>
      <c r="C307" s="7" t="s">
        <v>153</v>
      </c>
      <c r="D307" s="7" t="s">
        <v>154</v>
      </c>
      <c r="H307" s="7">
        <v>5</v>
      </c>
      <c r="I307" s="7">
        <v>5</v>
      </c>
      <c r="J307" s="8">
        <f t="shared" si="4"/>
        <v>0.5</v>
      </c>
      <c r="K307" s="8" t="s">
        <v>30</v>
      </c>
      <c r="L307" s="8" t="s">
        <v>30</v>
      </c>
      <c r="M307" s="8"/>
      <c r="N307" s="8"/>
      <c r="O307" s="11"/>
      <c r="P307" s="7">
        <v>3</v>
      </c>
      <c r="Q307" s="7">
        <v>3</v>
      </c>
      <c r="R307" s="7">
        <v>2</v>
      </c>
      <c r="S307" s="7">
        <v>3</v>
      </c>
      <c r="T307" s="7" t="s">
        <v>153</v>
      </c>
    </row>
    <row r="308" spans="1:20" x14ac:dyDescent="0.25">
      <c r="A308" s="7" t="s">
        <v>253</v>
      </c>
      <c r="B308" s="7" t="s">
        <v>151</v>
      </c>
      <c r="C308" s="7" t="s">
        <v>255</v>
      </c>
      <c r="D308" s="7" t="s">
        <v>171</v>
      </c>
      <c r="H308" s="7">
        <v>5</v>
      </c>
      <c r="I308" s="7">
        <v>5</v>
      </c>
      <c r="J308" s="8">
        <f t="shared" si="4"/>
        <v>0.5</v>
      </c>
      <c r="K308" s="8" t="s">
        <v>30</v>
      </c>
      <c r="L308" s="8"/>
      <c r="M308" s="8"/>
      <c r="N308" s="8"/>
      <c r="O308" s="11"/>
      <c r="P308" s="7">
        <v>2</v>
      </c>
      <c r="Q308" s="7">
        <v>4</v>
      </c>
      <c r="T308" s="7" t="s">
        <v>255</v>
      </c>
    </row>
    <row r="309" spans="1:20" x14ac:dyDescent="0.25">
      <c r="A309" s="7" t="s">
        <v>253</v>
      </c>
      <c r="B309" s="7" t="s">
        <v>151</v>
      </c>
      <c r="C309" s="7" t="s">
        <v>178</v>
      </c>
      <c r="D309" s="7" t="s">
        <v>157</v>
      </c>
      <c r="H309" s="7">
        <v>5</v>
      </c>
      <c r="I309" s="7">
        <v>5</v>
      </c>
      <c r="J309" s="8">
        <f t="shared" si="4"/>
        <v>0.5</v>
      </c>
      <c r="K309" s="8" t="s">
        <v>30</v>
      </c>
      <c r="L309" s="8"/>
      <c r="M309" s="8"/>
      <c r="N309" s="8"/>
      <c r="O309" s="11"/>
      <c r="P309" s="7">
        <v>2</v>
      </c>
      <c r="Q309" s="7">
        <v>4</v>
      </c>
      <c r="T309" s="7" t="s">
        <v>178</v>
      </c>
    </row>
    <row r="310" spans="1:20" x14ac:dyDescent="0.25">
      <c r="A310" s="7" t="s">
        <v>253</v>
      </c>
      <c r="B310" s="7" t="s">
        <v>151</v>
      </c>
      <c r="C310" s="7" t="s">
        <v>158</v>
      </c>
      <c r="D310" s="7" t="s">
        <v>159</v>
      </c>
      <c r="H310" s="7">
        <v>5</v>
      </c>
      <c r="I310" s="7">
        <v>5</v>
      </c>
      <c r="J310" s="8">
        <f t="shared" si="4"/>
        <v>0.5</v>
      </c>
      <c r="K310" s="8" t="s">
        <v>30</v>
      </c>
      <c r="L310" s="8"/>
      <c r="M310" s="8"/>
      <c r="N310" s="8"/>
      <c r="O310" s="11"/>
      <c r="P310" s="7">
        <v>1</v>
      </c>
      <c r="Q310" s="7">
        <v>5</v>
      </c>
      <c r="T310" s="7" t="s">
        <v>158</v>
      </c>
    </row>
    <row r="311" spans="1:20" x14ac:dyDescent="0.25">
      <c r="A311" s="7" t="s">
        <v>253</v>
      </c>
      <c r="B311" s="7" t="s">
        <v>151</v>
      </c>
      <c r="C311" s="7" t="s">
        <v>174</v>
      </c>
      <c r="D311" s="7" t="s">
        <v>166</v>
      </c>
      <c r="H311" s="7">
        <v>5</v>
      </c>
      <c r="I311" s="7">
        <v>5</v>
      </c>
      <c r="J311" s="8">
        <f t="shared" si="4"/>
        <v>0.5</v>
      </c>
      <c r="K311" s="8" t="s">
        <v>30</v>
      </c>
      <c r="L311" s="8"/>
      <c r="M311" s="8"/>
      <c r="N311" s="8"/>
      <c r="O311" s="11"/>
      <c r="P311" s="7">
        <v>1</v>
      </c>
      <c r="Q311" s="7">
        <v>5</v>
      </c>
      <c r="T311" s="7" t="s">
        <v>174</v>
      </c>
    </row>
    <row r="312" spans="1:20" x14ac:dyDescent="0.25">
      <c r="A312" s="7" t="s">
        <v>253</v>
      </c>
      <c r="B312" s="7" t="s">
        <v>151</v>
      </c>
      <c r="C312" s="7" t="s">
        <v>201</v>
      </c>
      <c r="D312" s="7" t="s">
        <v>154</v>
      </c>
      <c r="H312" s="7">
        <v>5</v>
      </c>
      <c r="I312" s="7">
        <v>5</v>
      </c>
      <c r="J312" s="8">
        <f t="shared" si="4"/>
        <v>0.5</v>
      </c>
      <c r="K312" s="8" t="s">
        <v>30</v>
      </c>
      <c r="L312" s="8"/>
      <c r="M312" s="8"/>
      <c r="N312" s="8"/>
      <c r="O312" s="11"/>
      <c r="P312" s="7">
        <v>1</v>
      </c>
      <c r="Q312" s="7">
        <v>5</v>
      </c>
      <c r="T312" s="7" t="s">
        <v>201</v>
      </c>
    </row>
    <row r="313" spans="1:20" x14ac:dyDescent="0.25">
      <c r="A313" s="7" t="s">
        <v>253</v>
      </c>
      <c r="B313" s="7" t="s">
        <v>151</v>
      </c>
      <c r="C313" s="7" t="s">
        <v>235</v>
      </c>
      <c r="D313" s="7" t="s">
        <v>159</v>
      </c>
      <c r="H313" s="7">
        <v>4</v>
      </c>
      <c r="I313" s="7">
        <v>6</v>
      </c>
      <c r="J313" s="8">
        <f t="shared" si="4"/>
        <v>0.4</v>
      </c>
      <c r="K313" s="8" t="s">
        <v>30</v>
      </c>
      <c r="L313" s="8"/>
      <c r="M313" s="8"/>
      <c r="N313" s="8"/>
      <c r="O313" s="11"/>
      <c r="P313" s="7">
        <v>3</v>
      </c>
      <c r="Q313" s="7">
        <v>3</v>
      </c>
      <c r="T313" s="7" t="s">
        <v>234</v>
      </c>
    </row>
    <row r="314" spans="1:20" x14ac:dyDescent="0.25">
      <c r="A314" s="7" t="s">
        <v>253</v>
      </c>
      <c r="B314" s="7" t="s">
        <v>151</v>
      </c>
      <c r="C314" s="7" t="s">
        <v>256</v>
      </c>
      <c r="D314" s="7" t="s">
        <v>164</v>
      </c>
      <c r="H314" s="7">
        <v>4</v>
      </c>
      <c r="I314" s="7">
        <v>6</v>
      </c>
      <c r="J314" s="8">
        <f t="shared" si="4"/>
        <v>0.4</v>
      </c>
      <c r="K314" s="8"/>
      <c r="L314" s="8"/>
      <c r="M314" s="8"/>
      <c r="N314" s="8"/>
      <c r="O314" s="11"/>
      <c r="T314" s="7" t="s">
        <v>256</v>
      </c>
    </row>
    <row r="315" spans="1:20" x14ac:dyDescent="0.25">
      <c r="A315" s="7" t="s">
        <v>253</v>
      </c>
      <c r="B315" s="7" t="s">
        <v>151</v>
      </c>
      <c r="C315" s="7" t="s">
        <v>213</v>
      </c>
      <c r="D315" s="7" t="s">
        <v>173</v>
      </c>
      <c r="H315" s="7">
        <v>4</v>
      </c>
      <c r="I315" s="7">
        <v>6</v>
      </c>
      <c r="J315" s="8">
        <f t="shared" si="4"/>
        <v>0.4</v>
      </c>
      <c r="K315" s="8"/>
      <c r="L315" s="8"/>
      <c r="M315" s="8"/>
      <c r="N315" s="8"/>
      <c r="O315" s="11"/>
      <c r="T315" s="7" t="s">
        <v>582</v>
      </c>
    </row>
    <row r="316" spans="1:20" x14ac:dyDescent="0.25">
      <c r="A316" s="7" t="s">
        <v>253</v>
      </c>
      <c r="B316" s="7" t="s">
        <v>151</v>
      </c>
      <c r="C316" s="7" t="s">
        <v>170</v>
      </c>
      <c r="D316" s="7" t="s">
        <v>171</v>
      </c>
      <c r="H316" s="7">
        <v>4</v>
      </c>
      <c r="I316" s="7">
        <v>6</v>
      </c>
      <c r="J316" s="8">
        <f t="shared" si="4"/>
        <v>0.4</v>
      </c>
      <c r="K316" s="8"/>
      <c r="L316" s="8"/>
      <c r="M316" s="8"/>
      <c r="N316" s="8"/>
      <c r="O316" s="11"/>
      <c r="T316" s="7" t="s">
        <v>170</v>
      </c>
    </row>
    <row r="317" spans="1:20" x14ac:dyDescent="0.25">
      <c r="A317" s="7" t="s">
        <v>253</v>
      </c>
      <c r="B317" s="7" t="s">
        <v>151</v>
      </c>
      <c r="C317" s="7" t="s">
        <v>192</v>
      </c>
      <c r="D317" s="7" t="s">
        <v>187</v>
      </c>
      <c r="H317" s="7">
        <v>4</v>
      </c>
      <c r="I317" s="7">
        <v>6</v>
      </c>
      <c r="J317" s="8">
        <f t="shared" si="4"/>
        <v>0.4</v>
      </c>
      <c r="K317" s="8"/>
      <c r="L317" s="8"/>
      <c r="M317" s="8"/>
      <c r="N317" s="8"/>
      <c r="O317" s="11"/>
      <c r="T317" s="7" t="s">
        <v>192</v>
      </c>
    </row>
    <row r="318" spans="1:20" x14ac:dyDescent="0.25">
      <c r="A318" s="7" t="s">
        <v>253</v>
      </c>
      <c r="B318" s="7" t="s">
        <v>151</v>
      </c>
      <c r="C318" s="7" t="s">
        <v>250</v>
      </c>
      <c r="D318" s="7" t="s">
        <v>251</v>
      </c>
      <c r="H318" s="7">
        <v>3</v>
      </c>
      <c r="I318" s="7">
        <v>7</v>
      </c>
      <c r="J318" s="8">
        <f t="shared" si="4"/>
        <v>0.3</v>
      </c>
      <c r="K318" s="8"/>
      <c r="L318" s="8"/>
      <c r="M318" s="8"/>
      <c r="N318" s="8"/>
      <c r="O318" s="11"/>
      <c r="T318" s="7" t="s">
        <v>250</v>
      </c>
    </row>
    <row r="319" spans="1:20" x14ac:dyDescent="0.25">
      <c r="A319" s="7" t="s">
        <v>253</v>
      </c>
      <c r="B319" s="7" t="s">
        <v>151</v>
      </c>
      <c r="C319" s="7" t="s">
        <v>188</v>
      </c>
      <c r="D319" s="7" t="s">
        <v>187</v>
      </c>
      <c r="H319" s="7">
        <v>3</v>
      </c>
      <c r="I319" s="7">
        <v>7</v>
      </c>
      <c r="J319" s="8">
        <f t="shared" si="4"/>
        <v>0.3</v>
      </c>
      <c r="K319" s="8"/>
      <c r="L319" s="8"/>
      <c r="M319" s="8"/>
      <c r="N319" s="8"/>
      <c r="O319" s="11"/>
      <c r="T319" s="7" t="s">
        <v>188</v>
      </c>
    </row>
    <row r="320" spans="1:20" x14ac:dyDescent="0.25">
      <c r="A320" s="7" t="s">
        <v>253</v>
      </c>
      <c r="B320" s="7" t="s">
        <v>151</v>
      </c>
      <c r="C320" s="7" t="s">
        <v>245</v>
      </c>
      <c r="D320" s="7" t="s">
        <v>220</v>
      </c>
      <c r="H320" s="7">
        <v>2</v>
      </c>
      <c r="I320" s="7">
        <v>8</v>
      </c>
      <c r="J320" s="8">
        <f t="shared" si="4"/>
        <v>0.2</v>
      </c>
      <c r="K320" s="8"/>
      <c r="L320" s="8"/>
      <c r="M320" s="8"/>
      <c r="N320" s="8"/>
      <c r="O320" s="11"/>
      <c r="T320" s="7" t="s">
        <v>244</v>
      </c>
    </row>
    <row r="321" spans="1:20" x14ac:dyDescent="0.25">
      <c r="A321" s="7" t="s">
        <v>253</v>
      </c>
      <c r="B321" s="7" t="s">
        <v>151</v>
      </c>
      <c r="C321" s="7" t="s">
        <v>257</v>
      </c>
      <c r="D321" s="7" t="s">
        <v>215</v>
      </c>
      <c r="H321" s="7">
        <v>0</v>
      </c>
      <c r="I321" s="7">
        <v>10</v>
      </c>
      <c r="J321" s="8">
        <f t="shared" si="4"/>
        <v>0</v>
      </c>
      <c r="K321" s="8"/>
      <c r="L321" s="8"/>
      <c r="M321" s="8"/>
      <c r="N321" s="8"/>
      <c r="O321" s="11"/>
      <c r="T321" s="7" t="s">
        <v>257</v>
      </c>
    </row>
    <row r="322" spans="1:20" x14ac:dyDescent="0.25">
      <c r="A322" s="7" t="s">
        <v>258</v>
      </c>
      <c r="B322" s="7" t="s">
        <v>151</v>
      </c>
      <c r="C322" s="7" t="s">
        <v>581</v>
      </c>
      <c r="D322" s="7" t="s">
        <v>154</v>
      </c>
      <c r="H322" s="7">
        <v>10</v>
      </c>
      <c r="I322" s="7">
        <v>0</v>
      </c>
      <c r="J322" s="8">
        <f t="shared" ref="J322:J385" si="5">H322/SUM(H322:I322)</f>
        <v>1</v>
      </c>
      <c r="K322" s="8" t="s">
        <v>30</v>
      </c>
      <c r="L322" s="8" t="s">
        <v>30</v>
      </c>
      <c r="M322" s="8" t="s">
        <v>30</v>
      </c>
      <c r="N322" s="8" t="s">
        <v>30</v>
      </c>
      <c r="O322" s="11" t="s">
        <v>30</v>
      </c>
      <c r="P322" s="7">
        <v>5</v>
      </c>
      <c r="Q322" s="7">
        <v>1</v>
      </c>
      <c r="R322" s="7">
        <v>3</v>
      </c>
      <c r="S322" s="7">
        <v>1</v>
      </c>
      <c r="T322" s="7" t="s">
        <v>581</v>
      </c>
    </row>
    <row r="323" spans="1:20" x14ac:dyDescent="0.25">
      <c r="A323" s="7" t="s">
        <v>258</v>
      </c>
      <c r="B323" s="7" t="s">
        <v>151</v>
      </c>
      <c r="C323" s="7" t="s">
        <v>149</v>
      </c>
      <c r="D323" s="7" t="s">
        <v>152</v>
      </c>
      <c r="H323" s="7">
        <v>8</v>
      </c>
      <c r="I323" s="7">
        <v>2</v>
      </c>
      <c r="J323" s="8">
        <f t="shared" si="5"/>
        <v>0.8</v>
      </c>
      <c r="K323" s="8" t="s">
        <v>30</v>
      </c>
      <c r="L323" s="8" t="s">
        <v>30</v>
      </c>
      <c r="M323" s="8" t="s">
        <v>30</v>
      </c>
      <c r="N323" s="8" t="s">
        <v>30</v>
      </c>
      <c r="O323" s="11"/>
      <c r="P323" s="7">
        <v>5</v>
      </c>
      <c r="Q323" s="7">
        <v>1</v>
      </c>
      <c r="R323" s="7">
        <v>3</v>
      </c>
      <c r="S323" s="7">
        <v>1</v>
      </c>
      <c r="T323" s="7" t="s">
        <v>149</v>
      </c>
    </row>
    <row r="324" spans="1:20" x14ac:dyDescent="0.25">
      <c r="A324" s="7" t="s">
        <v>258</v>
      </c>
      <c r="B324" s="7" t="s">
        <v>151</v>
      </c>
      <c r="C324" s="7" t="s">
        <v>188</v>
      </c>
      <c r="D324" s="7" t="s">
        <v>187</v>
      </c>
      <c r="H324" s="7">
        <v>8</v>
      </c>
      <c r="I324" s="7">
        <v>2</v>
      </c>
      <c r="J324" s="8">
        <f t="shared" si="5"/>
        <v>0.8</v>
      </c>
      <c r="K324" s="8" t="s">
        <v>30</v>
      </c>
      <c r="L324" s="8" t="s">
        <v>30</v>
      </c>
      <c r="M324" s="8" t="s">
        <v>30</v>
      </c>
      <c r="N324" s="8"/>
      <c r="O324" s="11"/>
      <c r="P324" s="7">
        <v>5</v>
      </c>
      <c r="Q324" s="7">
        <v>1</v>
      </c>
      <c r="R324" s="7">
        <v>3</v>
      </c>
      <c r="S324" s="7">
        <v>1</v>
      </c>
      <c r="T324" s="7" t="s">
        <v>188</v>
      </c>
    </row>
    <row r="325" spans="1:20" x14ac:dyDescent="0.25">
      <c r="A325" s="7" t="s">
        <v>258</v>
      </c>
      <c r="B325" s="7" t="s">
        <v>151</v>
      </c>
      <c r="C325" s="7" t="s">
        <v>174</v>
      </c>
      <c r="D325" s="7" t="s">
        <v>166</v>
      </c>
      <c r="H325" s="7">
        <v>5</v>
      </c>
      <c r="I325" s="7">
        <v>5</v>
      </c>
      <c r="J325" s="8">
        <f t="shared" si="5"/>
        <v>0.5</v>
      </c>
      <c r="K325" s="8" t="s">
        <v>30</v>
      </c>
      <c r="L325" s="8" t="s">
        <v>30</v>
      </c>
      <c r="M325" s="8" t="s">
        <v>30</v>
      </c>
      <c r="N325" s="8"/>
      <c r="O325" s="11"/>
      <c r="P325" s="7">
        <v>3</v>
      </c>
      <c r="Q325" s="7">
        <v>3</v>
      </c>
      <c r="R325" s="7">
        <v>3</v>
      </c>
      <c r="S325" s="7">
        <v>1</v>
      </c>
      <c r="T325" s="7" t="s">
        <v>174</v>
      </c>
    </row>
    <row r="326" spans="1:20" x14ac:dyDescent="0.25">
      <c r="A326" s="7" t="s">
        <v>258</v>
      </c>
      <c r="B326" s="7" t="s">
        <v>151</v>
      </c>
      <c r="C326" s="7" t="s">
        <v>155</v>
      </c>
      <c r="D326" s="7" t="s">
        <v>154</v>
      </c>
      <c r="H326" s="7">
        <v>8</v>
      </c>
      <c r="I326" s="7">
        <v>2</v>
      </c>
      <c r="J326" s="8">
        <f t="shared" si="5"/>
        <v>0.8</v>
      </c>
      <c r="K326" s="8" t="s">
        <v>30</v>
      </c>
      <c r="L326" s="8" t="s">
        <v>30</v>
      </c>
      <c r="M326" s="8"/>
      <c r="N326" s="8"/>
      <c r="O326" s="11"/>
      <c r="P326" s="7">
        <v>3</v>
      </c>
      <c r="Q326" s="7">
        <v>3</v>
      </c>
      <c r="R326" s="7">
        <v>1</v>
      </c>
      <c r="S326" s="7">
        <v>3</v>
      </c>
      <c r="T326" s="7" t="s">
        <v>155</v>
      </c>
    </row>
    <row r="327" spans="1:20" x14ac:dyDescent="0.25">
      <c r="A327" s="7" t="s">
        <v>258</v>
      </c>
      <c r="B327" s="7" t="s">
        <v>151</v>
      </c>
      <c r="C327" s="7" t="s">
        <v>230</v>
      </c>
      <c r="D327" s="7" t="s">
        <v>171</v>
      </c>
      <c r="H327" s="7">
        <v>8</v>
      </c>
      <c r="I327" s="7">
        <v>2</v>
      </c>
      <c r="J327" s="8">
        <f t="shared" si="5"/>
        <v>0.8</v>
      </c>
      <c r="K327" s="8" t="s">
        <v>30</v>
      </c>
      <c r="L327" s="8"/>
      <c r="M327" s="8"/>
      <c r="N327" s="8"/>
      <c r="O327" s="11"/>
      <c r="P327" s="7">
        <v>3</v>
      </c>
      <c r="Q327" s="7">
        <v>3</v>
      </c>
      <c r="T327" s="7" t="s">
        <v>584</v>
      </c>
    </row>
    <row r="328" spans="1:20" x14ac:dyDescent="0.25">
      <c r="A328" s="7" t="s">
        <v>258</v>
      </c>
      <c r="B328" s="7" t="s">
        <v>151</v>
      </c>
      <c r="C328" s="7" t="s">
        <v>162</v>
      </c>
      <c r="D328" s="7" t="s">
        <v>152</v>
      </c>
      <c r="H328" s="7">
        <v>8</v>
      </c>
      <c r="I328" s="7">
        <v>2</v>
      </c>
      <c r="J328" s="8">
        <f t="shared" si="5"/>
        <v>0.8</v>
      </c>
      <c r="K328" s="8" t="s">
        <v>30</v>
      </c>
      <c r="L328" s="8"/>
      <c r="M328" s="8"/>
      <c r="N328" s="8"/>
      <c r="O328" s="11"/>
      <c r="P328" s="7">
        <v>2</v>
      </c>
      <c r="Q328" s="7">
        <v>4</v>
      </c>
      <c r="T328" s="7" t="s">
        <v>162</v>
      </c>
    </row>
    <row r="329" spans="1:20" x14ac:dyDescent="0.25">
      <c r="A329" s="7" t="s">
        <v>258</v>
      </c>
      <c r="B329" s="7" t="s">
        <v>151</v>
      </c>
      <c r="C329" s="7" t="s">
        <v>254</v>
      </c>
      <c r="D329" s="7" t="s">
        <v>154</v>
      </c>
      <c r="H329" s="7">
        <v>7</v>
      </c>
      <c r="I329" s="7">
        <v>3</v>
      </c>
      <c r="J329" s="8">
        <f t="shared" si="5"/>
        <v>0.7</v>
      </c>
      <c r="K329" s="8" t="s">
        <v>30</v>
      </c>
      <c r="L329" s="8" t="s">
        <v>30</v>
      </c>
      <c r="M329" s="8"/>
      <c r="N329" s="8"/>
      <c r="O329" s="11"/>
      <c r="P329" s="7">
        <v>3</v>
      </c>
      <c r="Q329" s="7">
        <v>3</v>
      </c>
      <c r="R329" s="7">
        <v>1</v>
      </c>
      <c r="S329" s="7">
        <v>3</v>
      </c>
      <c r="T329" s="7" t="s">
        <v>177</v>
      </c>
    </row>
    <row r="330" spans="1:20" x14ac:dyDescent="0.25">
      <c r="A330" s="7" t="s">
        <v>258</v>
      </c>
      <c r="B330" s="7" t="s">
        <v>151</v>
      </c>
      <c r="C330" s="7" t="s">
        <v>201</v>
      </c>
      <c r="D330" s="7" t="s">
        <v>154</v>
      </c>
      <c r="H330" s="7">
        <v>7</v>
      </c>
      <c r="I330" s="7">
        <v>3</v>
      </c>
      <c r="J330" s="8">
        <f t="shared" si="5"/>
        <v>0.7</v>
      </c>
      <c r="K330" s="8" t="s">
        <v>30</v>
      </c>
      <c r="L330" s="8"/>
      <c r="M330" s="8"/>
      <c r="N330" s="8"/>
      <c r="O330" s="11"/>
      <c r="P330" s="7">
        <v>2</v>
      </c>
      <c r="Q330" s="7">
        <v>4</v>
      </c>
      <c r="T330" s="7" t="s">
        <v>201</v>
      </c>
    </row>
    <row r="331" spans="1:20" x14ac:dyDescent="0.25">
      <c r="A331" s="7" t="s">
        <v>258</v>
      </c>
      <c r="B331" s="7" t="s">
        <v>151</v>
      </c>
      <c r="C331" s="7" t="s">
        <v>169</v>
      </c>
      <c r="D331" s="7" t="s">
        <v>161</v>
      </c>
      <c r="H331" s="7">
        <v>6</v>
      </c>
      <c r="I331" s="7">
        <v>4</v>
      </c>
      <c r="J331" s="8">
        <f t="shared" si="5"/>
        <v>0.6</v>
      </c>
      <c r="K331" s="8" t="s">
        <v>30</v>
      </c>
      <c r="L331" s="8" t="s">
        <v>30</v>
      </c>
      <c r="M331" s="8"/>
      <c r="N331" s="8"/>
      <c r="O331" s="11"/>
      <c r="P331" s="7">
        <v>4</v>
      </c>
      <c r="Q331" s="7">
        <v>2</v>
      </c>
      <c r="R331" s="7">
        <v>1</v>
      </c>
      <c r="S331" s="7">
        <v>3</v>
      </c>
      <c r="T331" s="7" t="s">
        <v>169</v>
      </c>
    </row>
    <row r="332" spans="1:20" x14ac:dyDescent="0.25">
      <c r="A332" s="7" t="s">
        <v>258</v>
      </c>
      <c r="B332" s="7" t="s">
        <v>151</v>
      </c>
      <c r="C332" s="7" t="s">
        <v>192</v>
      </c>
      <c r="D332" s="7" t="s">
        <v>187</v>
      </c>
      <c r="H332" s="7">
        <v>6</v>
      </c>
      <c r="I332" s="7">
        <v>4</v>
      </c>
      <c r="J332" s="8">
        <f t="shared" si="5"/>
        <v>0.6</v>
      </c>
      <c r="K332" s="8" t="s">
        <v>30</v>
      </c>
      <c r="L332" s="8"/>
      <c r="M332" s="8"/>
      <c r="N332" s="8"/>
      <c r="O332" s="11"/>
      <c r="P332" s="7">
        <v>3</v>
      </c>
      <c r="Q332" s="7">
        <v>3</v>
      </c>
      <c r="T332" s="7" t="s">
        <v>192</v>
      </c>
    </row>
    <row r="333" spans="1:20" x14ac:dyDescent="0.25">
      <c r="A333" s="7" t="s">
        <v>258</v>
      </c>
      <c r="B333" s="7" t="s">
        <v>151</v>
      </c>
      <c r="C333" s="7" t="s">
        <v>245</v>
      </c>
      <c r="D333" s="7" t="s">
        <v>220</v>
      </c>
      <c r="H333" s="7">
        <v>4</v>
      </c>
      <c r="I333" s="7">
        <v>6</v>
      </c>
      <c r="J333" s="8">
        <f t="shared" si="5"/>
        <v>0.4</v>
      </c>
      <c r="K333" s="8" t="s">
        <v>30</v>
      </c>
      <c r="L333" s="8" t="s">
        <v>30</v>
      </c>
      <c r="M333" s="8"/>
      <c r="N333" s="8"/>
      <c r="O333" s="11"/>
      <c r="P333" s="7">
        <v>3</v>
      </c>
      <c r="Q333" s="7">
        <v>3</v>
      </c>
      <c r="R333" s="7">
        <v>1</v>
      </c>
      <c r="S333" s="7">
        <v>3</v>
      </c>
      <c r="T333" s="7" t="s">
        <v>244</v>
      </c>
    </row>
    <row r="334" spans="1:20" x14ac:dyDescent="0.25">
      <c r="A334" s="7" t="s">
        <v>258</v>
      </c>
      <c r="B334" s="7" t="s">
        <v>151</v>
      </c>
      <c r="C334" s="7" t="s">
        <v>260</v>
      </c>
      <c r="D334" s="7" t="s">
        <v>152</v>
      </c>
      <c r="H334" s="7">
        <v>4</v>
      </c>
      <c r="I334" s="7">
        <v>6</v>
      </c>
      <c r="J334" s="8">
        <f t="shared" si="5"/>
        <v>0.4</v>
      </c>
      <c r="K334" s="8" t="s">
        <v>30</v>
      </c>
      <c r="L334" s="8"/>
      <c r="M334" s="8"/>
      <c r="N334" s="8"/>
      <c r="O334" s="11"/>
      <c r="P334" s="7">
        <v>2</v>
      </c>
      <c r="Q334" s="7">
        <v>4</v>
      </c>
      <c r="T334" s="7" t="s">
        <v>259</v>
      </c>
    </row>
    <row r="335" spans="1:20" x14ac:dyDescent="0.25">
      <c r="A335" s="7" t="s">
        <v>258</v>
      </c>
      <c r="B335" s="7" t="s">
        <v>151</v>
      </c>
      <c r="C335" s="7" t="s">
        <v>178</v>
      </c>
      <c r="D335" s="7" t="s">
        <v>157</v>
      </c>
      <c r="H335" s="7">
        <v>4</v>
      </c>
      <c r="I335" s="7">
        <v>6</v>
      </c>
      <c r="J335" s="8">
        <f t="shared" si="5"/>
        <v>0.4</v>
      </c>
      <c r="K335" s="8" t="s">
        <v>30</v>
      </c>
      <c r="L335" s="8"/>
      <c r="M335" s="8"/>
      <c r="N335" s="8"/>
      <c r="O335" s="11"/>
      <c r="P335" s="7">
        <v>2</v>
      </c>
      <c r="Q335" s="7">
        <v>4</v>
      </c>
      <c r="T335" s="7" t="s">
        <v>178</v>
      </c>
    </row>
    <row r="336" spans="1:20" x14ac:dyDescent="0.25">
      <c r="A336" s="7" t="s">
        <v>258</v>
      </c>
      <c r="B336" s="7" t="s">
        <v>151</v>
      </c>
      <c r="C336" s="7" t="s">
        <v>158</v>
      </c>
      <c r="D336" s="7" t="s">
        <v>159</v>
      </c>
      <c r="H336" s="7">
        <v>3</v>
      </c>
      <c r="I336" s="7">
        <v>7</v>
      </c>
      <c r="J336" s="8">
        <f t="shared" si="5"/>
        <v>0.3</v>
      </c>
      <c r="K336" s="8" t="s">
        <v>30</v>
      </c>
      <c r="L336" s="8"/>
      <c r="M336" s="8"/>
      <c r="N336" s="8"/>
      <c r="O336" s="11"/>
      <c r="P336" s="7">
        <v>2</v>
      </c>
      <c r="Q336" s="7">
        <v>4</v>
      </c>
      <c r="T336" s="7" t="s">
        <v>158</v>
      </c>
    </row>
    <row r="337" spans="1:20" x14ac:dyDescent="0.25">
      <c r="A337" s="7" t="s">
        <v>258</v>
      </c>
      <c r="B337" s="7" t="s">
        <v>151</v>
      </c>
      <c r="C337" s="7" t="s">
        <v>257</v>
      </c>
      <c r="D337" s="7" t="s">
        <v>215</v>
      </c>
      <c r="H337" s="7">
        <v>3</v>
      </c>
      <c r="I337" s="7">
        <v>7</v>
      </c>
      <c r="J337" s="8">
        <f t="shared" si="5"/>
        <v>0.3</v>
      </c>
      <c r="K337" s="8" t="s">
        <v>30</v>
      </c>
      <c r="L337" s="8"/>
      <c r="M337" s="8"/>
      <c r="N337" s="8"/>
      <c r="O337" s="11"/>
      <c r="P337" s="7">
        <v>1</v>
      </c>
      <c r="Q337" s="7">
        <v>5</v>
      </c>
      <c r="T337" s="7" t="s">
        <v>257</v>
      </c>
    </row>
    <row r="338" spans="1:20" x14ac:dyDescent="0.25">
      <c r="A338" s="7" t="s">
        <v>258</v>
      </c>
      <c r="B338" s="7" t="s">
        <v>151</v>
      </c>
      <c r="C338" s="7" t="s">
        <v>255</v>
      </c>
      <c r="D338" s="7" t="s">
        <v>171</v>
      </c>
      <c r="H338" s="7">
        <v>4</v>
      </c>
      <c r="I338" s="7">
        <v>6</v>
      </c>
      <c r="J338" s="8">
        <f t="shared" si="5"/>
        <v>0.4</v>
      </c>
      <c r="K338" s="8"/>
      <c r="L338" s="8"/>
      <c r="M338" s="8"/>
      <c r="N338" s="8"/>
      <c r="O338" s="11"/>
      <c r="T338" s="7" t="s">
        <v>255</v>
      </c>
    </row>
    <row r="339" spans="1:20" x14ac:dyDescent="0.25">
      <c r="A339" s="7" t="s">
        <v>258</v>
      </c>
      <c r="B339" s="7" t="s">
        <v>151</v>
      </c>
      <c r="C339" s="7" t="s">
        <v>235</v>
      </c>
      <c r="D339" s="7" t="s">
        <v>159</v>
      </c>
      <c r="H339" s="7">
        <v>4</v>
      </c>
      <c r="I339" s="7">
        <v>6</v>
      </c>
      <c r="J339" s="8">
        <f t="shared" si="5"/>
        <v>0.4</v>
      </c>
      <c r="K339" s="8"/>
      <c r="L339" s="8"/>
      <c r="M339" s="8"/>
      <c r="N339" s="8"/>
      <c r="O339" s="11"/>
      <c r="T339" s="7" t="s">
        <v>234</v>
      </c>
    </row>
    <row r="340" spans="1:20" x14ac:dyDescent="0.25">
      <c r="A340" s="7" t="s">
        <v>258</v>
      </c>
      <c r="B340" s="7" t="s">
        <v>151</v>
      </c>
      <c r="C340" s="7" t="s">
        <v>179</v>
      </c>
      <c r="D340" s="7" t="s">
        <v>164</v>
      </c>
      <c r="H340" s="7">
        <v>3</v>
      </c>
      <c r="I340" s="7">
        <v>7</v>
      </c>
      <c r="J340" s="8">
        <f t="shared" si="5"/>
        <v>0.3</v>
      </c>
      <c r="K340" s="8"/>
      <c r="L340" s="8"/>
      <c r="M340" s="8"/>
      <c r="N340" s="8"/>
      <c r="O340" s="11"/>
      <c r="T340" s="7" t="s">
        <v>179</v>
      </c>
    </row>
    <row r="341" spans="1:20" x14ac:dyDescent="0.25">
      <c r="A341" s="7" t="s">
        <v>258</v>
      </c>
      <c r="B341" s="7" t="s">
        <v>151</v>
      </c>
      <c r="C341" s="7" t="s">
        <v>170</v>
      </c>
      <c r="D341" s="7" t="s">
        <v>171</v>
      </c>
      <c r="H341" s="7">
        <v>3</v>
      </c>
      <c r="I341" s="7">
        <v>7</v>
      </c>
      <c r="J341" s="8">
        <f t="shared" si="5"/>
        <v>0.3</v>
      </c>
      <c r="K341" s="8"/>
      <c r="L341" s="8"/>
      <c r="M341" s="8"/>
      <c r="N341" s="8"/>
      <c r="O341" s="11"/>
      <c r="T341" s="7" t="s">
        <v>170</v>
      </c>
    </row>
    <row r="342" spans="1:20" x14ac:dyDescent="0.25">
      <c r="A342" s="7" t="s">
        <v>258</v>
      </c>
      <c r="B342" s="7" t="s">
        <v>151</v>
      </c>
      <c r="C342" s="7" t="s">
        <v>156</v>
      </c>
      <c r="D342" s="7" t="s">
        <v>157</v>
      </c>
      <c r="H342" s="7">
        <v>3</v>
      </c>
      <c r="I342" s="7">
        <v>7</v>
      </c>
      <c r="J342" s="8">
        <f t="shared" si="5"/>
        <v>0.3</v>
      </c>
      <c r="K342" s="8"/>
      <c r="L342" s="8"/>
      <c r="M342" s="8"/>
      <c r="N342" s="8"/>
      <c r="O342" s="11"/>
      <c r="T342" s="7" t="s">
        <v>156</v>
      </c>
    </row>
    <row r="343" spans="1:20" x14ac:dyDescent="0.25">
      <c r="A343" s="7" t="s">
        <v>258</v>
      </c>
      <c r="B343" s="7" t="s">
        <v>151</v>
      </c>
      <c r="C343" s="7" t="s">
        <v>262</v>
      </c>
      <c r="D343" s="7" t="s">
        <v>164</v>
      </c>
      <c r="H343" s="7">
        <v>2</v>
      </c>
      <c r="I343" s="7">
        <v>8</v>
      </c>
      <c r="J343" s="8">
        <f t="shared" si="5"/>
        <v>0.2</v>
      </c>
      <c r="K343" s="8"/>
      <c r="L343" s="8"/>
      <c r="M343" s="8"/>
      <c r="N343" s="8"/>
      <c r="O343" s="11"/>
      <c r="T343" s="7" t="s">
        <v>261</v>
      </c>
    </row>
    <row r="344" spans="1:20" x14ac:dyDescent="0.25">
      <c r="A344" s="7" t="s">
        <v>258</v>
      </c>
      <c r="B344" s="7" t="s">
        <v>151</v>
      </c>
      <c r="C344" s="7" t="s">
        <v>263</v>
      </c>
      <c r="D344" s="7" t="s">
        <v>173</v>
      </c>
      <c r="H344" s="7">
        <v>1</v>
      </c>
      <c r="I344" s="7">
        <v>9</v>
      </c>
      <c r="J344" s="8">
        <f t="shared" si="5"/>
        <v>0.1</v>
      </c>
      <c r="K344" s="8"/>
      <c r="L344" s="8"/>
      <c r="M344" s="8"/>
      <c r="N344" s="8"/>
      <c r="O344" s="11"/>
      <c r="T344" s="7" t="s">
        <v>263</v>
      </c>
    </row>
    <row r="345" spans="1:20" x14ac:dyDescent="0.25">
      <c r="A345" s="7" t="s">
        <v>258</v>
      </c>
      <c r="B345" s="7" t="s">
        <v>151</v>
      </c>
      <c r="C345" s="7" t="s">
        <v>242</v>
      </c>
      <c r="D345" s="7" t="s">
        <v>243</v>
      </c>
      <c r="H345" s="7">
        <v>1</v>
      </c>
      <c r="I345" s="7">
        <v>9</v>
      </c>
      <c r="J345" s="8">
        <f t="shared" si="5"/>
        <v>0.1</v>
      </c>
      <c r="K345" s="8"/>
      <c r="L345" s="8"/>
      <c r="M345" s="8"/>
      <c r="N345" s="8"/>
      <c r="O345" s="11"/>
      <c r="T345" s="7" t="s">
        <v>241</v>
      </c>
    </row>
    <row r="346" spans="1:20" x14ac:dyDescent="0.25">
      <c r="A346" s="7" t="s">
        <v>264</v>
      </c>
      <c r="B346" s="7" t="s">
        <v>151</v>
      </c>
      <c r="C346" s="7" t="s">
        <v>581</v>
      </c>
      <c r="D346" s="7" t="s">
        <v>154</v>
      </c>
      <c r="H346" s="7">
        <v>9</v>
      </c>
      <c r="I346" s="7">
        <v>1</v>
      </c>
      <c r="J346" s="8">
        <f t="shared" si="5"/>
        <v>0.9</v>
      </c>
      <c r="K346" s="8" t="s">
        <v>30</v>
      </c>
      <c r="L346" s="8" t="s">
        <v>30</v>
      </c>
      <c r="M346" s="8" t="s">
        <v>30</v>
      </c>
      <c r="N346" s="8"/>
      <c r="O346" s="11"/>
      <c r="P346" s="7">
        <v>5</v>
      </c>
      <c r="Q346" s="7">
        <v>1</v>
      </c>
      <c r="R346" s="7">
        <v>3</v>
      </c>
      <c r="S346" s="7">
        <v>2</v>
      </c>
      <c r="T346" s="7" t="s">
        <v>581</v>
      </c>
    </row>
    <row r="347" spans="1:20" x14ac:dyDescent="0.25">
      <c r="A347" s="7" t="s">
        <v>264</v>
      </c>
      <c r="B347" s="7" t="s">
        <v>151</v>
      </c>
      <c r="C347" s="7" t="s">
        <v>162</v>
      </c>
      <c r="D347" s="7" t="s">
        <v>152</v>
      </c>
      <c r="H347" s="7">
        <v>7</v>
      </c>
      <c r="I347" s="7">
        <v>3</v>
      </c>
      <c r="J347" s="8">
        <f t="shared" si="5"/>
        <v>0.7</v>
      </c>
      <c r="K347" s="8" t="s">
        <v>30</v>
      </c>
      <c r="L347" s="8" t="s">
        <v>30</v>
      </c>
      <c r="M347" s="8" t="s">
        <v>30</v>
      </c>
      <c r="N347" s="8" t="s">
        <v>30</v>
      </c>
      <c r="O347" s="11" t="s">
        <v>30</v>
      </c>
      <c r="P347" s="7">
        <v>5</v>
      </c>
      <c r="Q347" s="7">
        <v>1</v>
      </c>
      <c r="R347" s="7">
        <v>3</v>
      </c>
      <c r="S347" s="7">
        <v>1</v>
      </c>
      <c r="T347" s="7" t="s">
        <v>162</v>
      </c>
    </row>
    <row r="348" spans="1:20" x14ac:dyDescent="0.25">
      <c r="A348" s="7" t="s">
        <v>264</v>
      </c>
      <c r="B348" s="7" t="s">
        <v>151</v>
      </c>
      <c r="C348" s="7" t="s">
        <v>188</v>
      </c>
      <c r="D348" s="7" t="s">
        <v>187</v>
      </c>
      <c r="H348" s="7">
        <v>7</v>
      </c>
      <c r="I348" s="7">
        <v>3</v>
      </c>
      <c r="J348" s="8">
        <f t="shared" si="5"/>
        <v>0.7</v>
      </c>
      <c r="K348" s="8" t="s">
        <v>30</v>
      </c>
      <c r="L348" s="8" t="s">
        <v>30</v>
      </c>
      <c r="M348" s="8" t="s">
        <v>30</v>
      </c>
      <c r="N348" s="8" t="s">
        <v>30</v>
      </c>
      <c r="O348" s="11"/>
      <c r="P348" s="7">
        <v>5</v>
      </c>
      <c r="Q348" s="7">
        <v>1</v>
      </c>
      <c r="R348" s="7">
        <v>3</v>
      </c>
      <c r="S348" s="7">
        <v>0</v>
      </c>
      <c r="T348" s="7" t="s">
        <v>188</v>
      </c>
    </row>
    <row r="349" spans="1:20" x14ac:dyDescent="0.25">
      <c r="A349" s="7" t="s">
        <v>264</v>
      </c>
      <c r="B349" s="7" t="s">
        <v>151</v>
      </c>
      <c r="C349" s="7" t="s">
        <v>149</v>
      </c>
      <c r="D349" s="7" t="s">
        <v>152</v>
      </c>
      <c r="H349" s="7">
        <v>6</v>
      </c>
      <c r="I349" s="7">
        <v>4</v>
      </c>
      <c r="J349" s="8">
        <f t="shared" si="5"/>
        <v>0.6</v>
      </c>
      <c r="K349" s="8" t="s">
        <v>30</v>
      </c>
      <c r="L349" s="8" t="s">
        <v>30</v>
      </c>
      <c r="M349" s="8" t="s">
        <v>30</v>
      </c>
      <c r="N349" s="8"/>
      <c r="O349" s="11"/>
      <c r="P349" s="7">
        <v>5</v>
      </c>
      <c r="Q349" s="7">
        <v>1</v>
      </c>
      <c r="R349" s="7">
        <v>3</v>
      </c>
      <c r="S349" s="7">
        <v>1</v>
      </c>
      <c r="T349" s="7" t="s">
        <v>149</v>
      </c>
    </row>
    <row r="350" spans="1:20" x14ac:dyDescent="0.25">
      <c r="A350" s="7" t="s">
        <v>264</v>
      </c>
      <c r="B350" s="7" t="s">
        <v>151</v>
      </c>
      <c r="C350" s="7" t="s">
        <v>265</v>
      </c>
      <c r="D350" s="7" t="s">
        <v>154</v>
      </c>
      <c r="H350" s="7">
        <v>8</v>
      </c>
      <c r="I350" s="7">
        <v>2</v>
      </c>
      <c r="J350" s="8">
        <f t="shared" si="5"/>
        <v>0.8</v>
      </c>
      <c r="K350" s="8" t="s">
        <v>30</v>
      </c>
      <c r="L350" s="8" t="s">
        <v>30</v>
      </c>
      <c r="M350" s="8"/>
      <c r="N350" s="8"/>
      <c r="O350" s="11"/>
      <c r="P350" s="7">
        <v>4</v>
      </c>
      <c r="Q350" s="7">
        <v>2</v>
      </c>
      <c r="R350" s="7">
        <v>2</v>
      </c>
      <c r="S350" s="7">
        <v>3</v>
      </c>
      <c r="T350" s="7" t="s">
        <v>177</v>
      </c>
    </row>
    <row r="351" spans="1:20" x14ac:dyDescent="0.25">
      <c r="A351" s="7" t="s">
        <v>264</v>
      </c>
      <c r="B351" s="7" t="s">
        <v>151</v>
      </c>
      <c r="C351" s="7" t="s">
        <v>230</v>
      </c>
      <c r="D351" s="7" t="s">
        <v>171</v>
      </c>
      <c r="H351" s="7">
        <v>8</v>
      </c>
      <c r="I351" s="7">
        <v>2</v>
      </c>
      <c r="J351" s="8">
        <f t="shared" si="5"/>
        <v>0.8</v>
      </c>
      <c r="K351" s="8" t="s">
        <v>30</v>
      </c>
      <c r="L351" s="8" t="s">
        <v>30</v>
      </c>
      <c r="M351" s="8"/>
      <c r="N351" s="8"/>
      <c r="O351" s="11"/>
      <c r="P351" s="7">
        <v>4</v>
      </c>
      <c r="Q351" s="7">
        <v>2</v>
      </c>
      <c r="R351" s="7">
        <v>1</v>
      </c>
      <c r="S351" s="7">
        <v>3</v>
      </c>
      <c r="T351" s="7" t="s">
        <v>584</v>
      </c>
    </row>
    <row r="352" spans="1:20" x14ac:dyDescent="0.25">
      <c r="A352" s="7" t="s">
        <v>264</v>
      </c>
      <c r="B352" s="7" t="s">
        <v>151</v>
      </c>
      <c r="C352" s="7" t="s">
        <v>201</v>
      </c>
      <c r="D352" s="7" t="s">
        <v>154</v>
      </c>
      <c r="H352" s="7">
        <v>8</v>
      </c>
      <c r="I352" s="7">
        <v>2</v>
      </c>
      <c r="J352" s="8">
        <f t="shared" si="5"/>
        <v>0.8</v>
      </c>
      <c r="K352" s="8" t="s">
        <v>30</v>
      </c>
      <c r="L352" s="8"/>
      <c r="M352" s="8"/>
      <c r="N352" s="8"/>
      <c r="O352" s="11"/>
      <c r="P352" s="7">
        <v>2</v>
      </c>
      <c r="Q352" s="7">
        <v>4</v>
      </c>
      <c r="T352" s="7" t="s">
        <v>201</v>
      </c>
    </row>
    <row r="353" spans="1:20" x14ac:dyDescent="0.25">
      <c r="A353" s="7" t="s">
        <v>264</v>
      </c>
      <c r="B353" s="7" t="s">
        <v>151</v>
      </c>
      <c r="C353" s="7" t="s">
        <v>155</v>
      </c>
      <c r="D353" s="7" t="s">
        <v>154</v>
      </c>
      <c r="H353" s="7">
        <v>6</v>
      </c>
      <c r="I353" s="7">
        <v>4</v>
      </c>
      <c r="J353" s="8">
        <f t="shared" si="5"/>
        <v>0.6</v>
      </c>
      <c r="K353" s="8" t="s">
        <v>30</v>
      </c>
      <c r="L353" s="8" t="s">
        <v>30</v>
      </c>
      <c r="M353" s="8"/>
      <c r="N353" s="8"/>
      <c r="O353" s="11"/>
      <c r="P353" s="7">
        <v>5</v>
      </c>
      <c r="Q353" s="7">
        <v>1</v>
      </c>
      <c r="R353" s="7">
        <v>1</v>
      </c>
      <c r="S353" s="7">
        <v>3</v>
      </c>
      <c r="T353" s="7" t="s">
        <v>155</v>
      </c>
    </row>
    <row r="354" spans="1:20" x14ac:dyDescent="0.25">
      <c r="A354" s="7" t="s">
        <v>264</v>
      </c>
      <c r="B354" s="7" t="s">
        <v>151</v>
      </c>
      <c r="C354" s="7" t="s">
        <v>169</v>
      </c>
      <c r="D354" s="7" t="s">
        <v>161</v>
      </c>
      <c r="H354" s="7">
        <v>6</v>
      </c>
      <c r="I354" s="7">
        <v>4</v>
      </c>
      <c r="J354" s="8">
        <f t="shared" si="5"/>
        <v>0.6</v>
      </c>
      <c r="K354" s="8" t="s">
        <v>30</v>
      </c>
      <c r="L354" s="8"/>
      <c r="M354" s="8"/>
      <c r="N354" s="8"/>
      <c r="O354" s="11"/>
      <c r="P354" s="7">
        <v>2</v>
      </c>
      <c r="Q354" s="7">
        <v>4</v>
      </c>
      <c r="T354" s="7" t="s">
        <v>169</v>
      </c>
    </row>
    <row r="355" spans="1:20" x14ac:dyDescent="0.25">
      <c r="A355" s="7" t="s">
        <v>264</v>
      </c>
      <c r="B355" s="7" t="s">
        <v>151</v>
      </c>
      <c r="C355" s="7" t="s">
        <v>255</v>
      </c>
      <c r="D355" s="7" t="s">
        <v>171</v>
      </c>
      <c r="H355" s="7">
        <v>6</v>
      </c>
      <c r="I355" s="7">
        <v>4</v>
      </c>
      <c r="J355" s="8">
        <f t="shared" si="5"/>
        <v>0.6</v>
      </c>
      <c r="K355" s="8" t="s">
        <v>30</v>
      </c>
      <c r="L355" s="8"/>
      <c r="M355" s="8"/>
      <c r="N355" s="8"/>
      <c r="O355" s="11"/>
      <c r="P355" s="7">
        <v>1</v>
      </c>
      <c r="Q355" s="7">
        <v>5</v>
      </c>
      <c r="T355" s="7" t="s">
        <v>255</v>
      </c>
    </row>
    <row r="356" spans="1:20" x14ac:dyDescent="0.25">
      <c r="A356" s="7" t="s">
        <v>264</v>
      </c>
      <c r="B356" s="7" t="s">
        <v>151</v>
      </c>
      <c r="C356" s="7" t="s">
        <v>156</v>
      </c>
      <c r="D356" s="7" t="s">
        <v>157</v>
      </c>
      <c r="H356" s="7">
        <v>6</v>
      </c>
      <c r="I356" s="7">
        <v>4</v>
      </c>
      <c r="J356" s="8">
        <f t="shared" si="5"/>
        <v>0.6</v>
      </c>
      <c r="K356" s="8" t="s">
        <v>30</v>
      </c>
      <c r="L356" s="8"/>
      <c r="M356" s="8"/>
      <c r="N356" s="8"/>
      <c r="O356" s="11"/>
      <c r="P356" s="7">
        <v>1</v>
      </c>
      <c r="Q356" s="7">
        <v>5</v>
      </c>
      <c r="T356" s="7" t="s">
        <v>156</v>
      </c>
    </row>
    <row r="357" spans="1:20" x14ac:dyDescent="0.25">
      <c r="A357" s="7" t="s">
        <v>264</v>
      </c>
      <c r="B357" s="7" t="s">
        <v>151</v>
      </c>
      <c r="C357" s="7" t="s">
        <v>174</v>
      </c>
      <c r="D357" s="7" t="s">
        <v>166</v>
      </c>
      <c r="H357" s="7">
        <v>5</v>
      </c>
      <c r="I357" s="7">
        <v>5</v>
      </c>
      <c r="J357" s="8">
        <f t="shared" si="5"/>
        <v>0.5</v>
      </c>
      <c r="K357" s="8" t="s">
        <v>30</v>
      </c>
      <c r="L357" s="8" t="s">
        <v>30</v>
      </c>
      <c r="M357" s="8"/>
      <c r="N357" s="8"/>
      <c r="O357" s="11"/>
      <c r="P357" s="7">
        <v>4</v>
      </c>
      <c r="Q357" s="7">
        <v>2</v>
      </c>
      <c r="R357" s="7">
        <v>0</v>
      </c>
      <c r="S357" s="7">
        <v>3</v>
      </c>
      <c r="T357" s="7" t="s">
        <v>174</v>
      </c>
    </row>
    <row r="358" spans="1:20" x14ac:dyDescent="0.25">
      <c r="A358" s="7" t="s">
        <v>264</v>
      </c>
      <c r="B358" s="7" t="s">
        <v>151</v>
      </c>
      <c r="C358" s="7" t="s">
        <v>257</v>
      </c>
      <c r="D358" s="7" t="s">
        <v>215</v>
      </c>
      <c r="H358" s="7">
        <v>5</v>
      </c>
      <c r="I358" s="7">
        <v>5</v>
      </c>
      <c r="J358" s="8">
        <f t="shared" si="5"/>
        <v>0.5</v>
      </c>
      <c r="K358" s="8" t="s">
        <v>30</v>
      </c>
      <c r="L358" s="8"/>
      <c r="M358" s="8"/>
      <c r="N358" s="8"/>
      <c r="O358" s="11"/>
      <c r="P358" s="7">
        <v>2</v>
      </c>
      <c r="Q358" s="7">
        <v>4</v>
      </c>
      <c r="T358" s="7" t="s">
        <v>257</v>
      </c>
    </row>
    <row r="359" spans="1:20" x14ac:dyDescent="0.25">
      <c r="A359" s="7" t="s">
        <v>264</v>
      </c>
      <c r="B359" s="7" t="s">
        <v>151</v>
      </c>
      <c r="C359" s="7" t="s">
        <v>170</v>
      </c>
      <c r="D359" s="7" t="s">
        <v>171</v>
      </c>
      <c r="H359" s="7">
        <v>5</v>
      </c>
      <c r="I359" s="7">
        <v>5</v>
      </c>
      <c r="J359" s="8">
        <f t="shared" si="5"/>
        <v>0.5</v>
      </c>
      <c r="K359" s="8" t="s">
        <v>30</v>
      </c>
      <c r="L359" s="8"/>
      <c r="M359" s="8"/>
      <c r="N359" s="8"/>
      <c r="O359" s="11"/>
      <c r="P359" s="7">
        <v>2</v>
      </c>
      <c r="Q359" s="7">
        <v>4</v>
      </c>
      <c r="T359" s="7" t="s">
        <v>170</v>
      </c>
    </row>
    <row r="360" spans="1:20" x14ac:dyDescent="0.25">
      <c r="A360" s="7" t="s">
        <v>264</v>
      </c>
      <c r="B360" s="7" t="s">
        <v>151</v>
      </c>
      <c r="C360" s="7" t="s">
        <v>181</v>
      </c>
      <c r="D360" s="7" t="s">
        <v>173</v>
      </c>
      <c r="H360" s="7">
        <v>4</v>
      </c>
      <c r="I360" s="7">
        <v>6</v>
      </c>
      <c r="J360" s="8">
        <f t="shared" si="5"/>
        <v>0.4</v>
      </c>
      <c r="K360" s="8" t="s">
        <v>30</v>
      </c>
      <c r="L360" s="8"/>
      <c r="M360" s="8"/>
      <c r="N360" s="8"/>
      <c r="O360" s="11"/>
      <c r="P360" s="7">
        <v>0</v>
      </c>
      <c r="Q360" s="7">
        <v>6</v>
      </c>
      <c r="T360" s="7" t="s">
        <v>181</v>
      </c>
    </row>
    <row r="361" spans="1:20" x14ac:dyDescent="0.25">
      <c r="A361" s="7" t="s">
        <v>264</v>
      </c>
      <c r="B361" s="7" t="s">
        <v>151</v>
      </c>
      <c r="C361" s="7" t="s">
        <v>266</v>
      </c>
      <c r="D361" s="7" t="s">
        <v>220</v>
      </c>
      <c r="H361" s="7">
        <v>2</v>
      </c>
      <c r="I361" s="7">
        <v>8</v>
      </c>
      <c r="J361" s="8">
        <f t="shared" si="5"/>
        <v>0.2</v>
      </c>
      <c r="K361" s="8" t="s">
        <v>30</v>
      </c>
      <c r="L361" s="8"/>
      <c r="M361" s="8"/>
      <c r="N361" s="8"/>
      <c r="O361" s="11"/>
      <c r="P361" s="7">
        <v>1</v>
      </c>
      <c r="Q361" s="7">
        <v>5</v>
      </c>
      <c r="T361" s="7" t="s">
        <v>244</v>
      </c>
    </row>
    <row r="362" spans="1:20" x14ac:dyDescent="0.25">
      <c r="A362" s="7" t="s">
        <v>264</v>
      </c>
      <c r="B362" s="7" t="s">
        <v>151</v>
      </c>
      <c r="C362" s="7" t="s">
        <v>267</v>
      </c>
      <c r="D362" s="7" t="s">
        <v>154</v>
      </c>
      <c r="H362" s="7">
        <v>4</v>
      </c>
      <c r="I362" s="7">
        <v>6</v>
      </c>
      <c r="J362" s="8">
        <f t="shared" si="5"/>
        <v>0.4</v>
      </c>
      <c r="K362" s="8"/>
      <c r="L362" s="8"/>
      <c r="M362" s="8"/>
      <c r="N362" s="8"/>
      <c r="O362" s="11"/>
      <c r="T362" s="7" t="s">
        <v>267</v>
      </c>
    </row>
    <row r="363" spans="1:20" x14ac:dyDescent="0.25">
      <c r="A363" s="7" t="s">
        <v>264</v>
      </c>
      <c r="B363" s="7" t="s">
        <v>151</v>
      </c>
      <c r="C363" s="7" t="s">
        <v>178</v>
      </c>
      <c r="D363" s="7" t="s">
        <v>157</v>
      </c>
      <c r="H363" s="7">
        <v>4</v>
      </c>
      <c r="I363" s="7">
        <v>6</v>
      </c>
      <c r="J363" s="8">
        <f t="shared" si="5"/>
        <v>0.4</v>
      </c>
      <c r="K363" s="8"/>
      <c r="L363" s="8"/>
      <c r="M363" s="8"/>
      <c r="N363" s="8"/>
      <c r="O363" s="11"/>
      <c r="T363" s="7" t="s">
        <v>178</v>
      </c>
    </row>
    <row r="364" spans="1:20" x14ac:dyDescent="0.25">
      <c r="A364" s="7" t="s">
        <v>264</v>
      </c>
      <c r="B364" s="7" t="s">
        <v>151</v>
      </c>
      <c r="C364" s="7" t="s">
        <v>268</v>
      </c>
      <c r="D364" s="7" t="s">
        <v>152</v>
      </c>
      <c r="H364" s="7">
        <v>3</v>
      </c>
      <c r="I364" s="7">
        <v>7</v>
      </c>
      <c r="J364" s="8">
        <f t="shared" si="5"/>
        <v>0.3</v>
      </c>
      <c r="K364" s="8"/>
      <c r="L364" s="8"/>
      <c r="M364" s="8"/>
      <c r="N364" s="8"/>
      <c r="O364" s="11"/>
      <c r="T364" s="7" t="s">
        <v>268</v>
      </c>
    </row>
    <row r="365" spans="1:20" x14ac:dyDescent="0.25">
      <c r="A365" s="7" t="s">
        <v>264</v>
      </c>
      <c r="B365" s="7" t="s">
        <v>151</v>
      </c>
      <c r="C365" s="7" t="s">
        <v>270</v>
      </c>
      <c r="D365" s="7" t="s">
        <v>171</v>
      </c>
      <c r="H365" s="7">
        <v>3</v>
      </c>
      <c r="I365" s="7">
        <v>7</v>
      </c>
      <c r="J365" s="8">
        <f t="shared" si="5"/>
        <v>0.3</v>
      </c>
      <c r="K365" s="8"/>
      <c r="L365" s="8"/>
      <c r="M365" s="8"/>
      <c r="N365" s="8"/>
      <c r="O365" s="11"/>
      <c r="T365" s="7" t="s">
        <v>269</v>
      </c>
    </row>
    <row r="366" spans="1:20" x14ac:dyDescent="0.25">
      <c r="A366" s="7" t="s">
        <v>264</v>
      </c>
      <c r="B366" s="7" t="s">
        <v>151</v>
      </c>
      <c r="C366" s="7" t="s">
        <v>271</v>
      </c>
      <c r="D366" s="7" t="s">
        <v>164</v>
      </c>
      <c r="H366" s="7">
        <v>2</v>
      </c>
      <c r="I366" s="7">
        <v>8</v>
      </c>
      <c r="J366" s="8">
        <f t="shared" si="5"/>
        <v>0.2</v>
      </c>
      <c r="K366" s="8"/>
      <c r="L366" s="8"/>
      <c r="M366" s="8"/>
      <c r="N366" s="8"/>
      <c r="O366" s="11"/>
      <c r="T366" s="7" t="s">
        <v>271</v>
      </c>
    </row>
    <row r="367" spans="1:20" x14ac:dyDescent="0.25">
      <c r="A367" s="7" t="s">
        <v>264</v>
      </c>
      <c r="B367" s="7" t="s">
        <v>151</v>
      </c>
      <c r="C367" s="7" t="s">
        <v>249</v>
      </c>
      <c r="D367" s="7" t="s">
        <v>164</v>
      </c>
      <c r="H367" s="7">
        <v>2</v>
      </c>
      <c r="I367" s="7">
        <v>8</v>
      </c>
      <c r="J367" s="8">
        <f t="shared" si="5"/>
        <v>0.2</v>
      </c>
      <c r="K367" s="8"/>
      <c r="L367" s="8"/>
      <c r="M367" s="8"/>
      <c r="N367" s="8"/>
      <c r="O367" s="11"/>
      <c r="T367" s="7" t="s">
        <v>249</v>
      </c>
    </row>
    <row r="368" spans="1:20" x14ac:dyDescent="0.25">
      <c r="A368" s="7" t="s">
        <v>264</v>
      </c>
      <c r="B368" s="7" t="s">
        <v>151</v>
      </c>
      <c r="C368" s="7" t="s">
        <v>158</v>
      </c>
      <c r="D368" s="7" t="s">
        <v>159</v>
      </c>
      <c r="H368" s="7">
        <v>2</v>
      </c>
      <c r="I368" s="7">
        <v>8</v>
      </c>
      <c r="J368" s="8">
        <f t="shared" si="5"/>
        <v>0.2</v>
      </c>
      <c r="K368" s="8"/>
      <c r="L368" s="8"/>
      <c r="M368" s="8"/>
      <c r="N368" s="8"/>
      <c r="O368" s="11"/>
      <c r="T368" s="7" t="s">
        <v>158</v>
      </c>
    </row>
    <row r="369" spans="1:20" x14ac:dyDescent="0.25">
      <c r="A369" s="7" t="s">
        <v>264</v>
      </c>
      <c r="B369" s="7" t="s">
        <v>151</v>
      </c>
      <c r="C369" s="7" t="s">
        <v>242</v>
      </c>
      <c r="D369" s="7" t="s">
        <v>243</v>
      </c>
      <c r="H369" s="7">
        <v>2</v>
      </c>
      <c r="I369" s="7">
        <v>8</v>
      </c>
      <c r="J369" s="8">
        <f t="shared" si="5"/>
        <v>0.2</v>
      </c>
      <c r="K369" s="8"/>
      <c r="L369" s="8"/>
      <c r="M369" s="8"/>
      <c r="N369" s="8"/>
      <c r="O369" s="11"/>
      <c r="T369" s="7" t="s">
        <v>241</v>
      </c>
    </row>
    <row r="370" spans="1:20" x14ac:dyDescent="0.25">
      <c r="A370" s="7" t="s">
        <v>272</v>
      </c>
      <c r="B370" s="7" t="s">
        <v>151</v>
      </c>
      <c r="C370" s="7" t="s">
        <v>188</v>
      </c>
      <c r="D370" s="7" t="s">
        <v>187</v>
      </c>
      <c r="H370" s="7">
        <v>12</v>
      </c>
      <c r="I370" s="7">
        <v>2</v>
      </c>
      <c r="J370" s="8">
        <f t="shared" si="5"/>
        <v>0.8571428571428571</v>
      </c>
      <c r="K370" s="8" t="s">
        <v>30</v>
      </c>
      <c r="L370" s="8" t="s">
        <v>30</v>
      </c>
      <c r="M370" s="8" t="s">
        <v>30</v>
      </c>
      <c r="N370" s="8" t="s">
        <v>30</v>
      </c>
      <c r="O370" s="11" t="s">
        <v>30</v>
      </c>
      <c r="P370" s="7">
        <v>4</v>
      </c>
      <c r="Q370" s="7">
        <v>2</v>
      </c>
      <c r="R370" s="7">
        <v>2</v>
      </c>
      <c r="S370" s="7">
        <v>1</v>
      </c>
      <c r="T370" s="7" t="s">
        <v>188</v>
      </c>
    </row>
    <row r="371" spans="1:20" x14ac:dyDescent="0.25">
      <c r="A371" s="7" t="s">
        <v>272</v>
      </c>
      <c r="B371" s="7" t="s">
        <v>151</v>
      </c>
      <c r="C371" s="7" t="s">
        <v>169</v>
      </c>
      <c r="D371" s="7" t="s">
        <v>161</v>
      </c>
      <c r="H371" s="7">
        <v>11</v>
      </c>
      <c r="I371" s="7">
        <v>3</v>
      </c>
      <c r="J371" s="8">
        <f t="shared" si="5"/>
        <v>0.7857142857142857</v>
      </c>
      <c r="K371" s="8" t="s">
        <v>30</v>
      </c>
      <c r="L371" s="8" t="s">
        <v>30</v>
      </c>
      <c r="M371" s="8" t="s">
        <v>30</v>
      </c>
      <c r="N371" s="8" t="s">
        <v>30</v>
      </c>
      <c r="O371" s="11"/>
      <c r="P371" s="7">
        <v>4</v>
      </c>
      <c r="Q371" s="7">
        <v>2</v>
      </c>
      <c r="R371" s="7">
        <v>2</v>
      </c>
      <c r="S371" s="7">
        <v>1</v>
      </c>
      <c r="T371" s="7" t="s">
        <v>169</v>
      </c>
    </row>
    <row r="372" spans="1:20" x14ac:dyDescent="0.25">
      <c r="A372" s="7" t="s">
        <v>272</v>
      </c>
      <c r="B372" s="7" t="s">
        <v>151</v>
      </c>
      <c r="C372" s="7" t="s">
        <v>230</v>
      </c>
      <c r="D372" s="7" t="s">
        <v>171</v>
      </c>
      <c r="H372" s="7">
        <v>10</v>
      </c>
      <c r="I372" s="7">
        <v>4</v>
      </c>
      <c r="J372" s="8">
        <f t="shared" si="5"/>
        <v>0.7142857142857143</v>
      </c>
      <c r="K372" s="8" t="s">
        <v>30</v>
      </c>
      <c r="L372" s="8" t="s">
        <v>30</v>
      </c>
      <c r="M372" s="8" t="s">
        <v>30</v>
      </c>
      <c r="N372" s="8"/>
      <c r="O372" s="11"/>
      <c r="P372" s="7">
        <v>4</v>
      </c>
      <c r="Q372" s="7">
        <v>2</v>
      </c>
      <c r="R372" s="7">
        <v>2</v>
      </c>
      <c r="S372" s="7">
        <v>0</v>
      </c>
      <c r="T372" s="7" t="s">
        <v>584</v>
      </c>
    </row>
    <row r="373" spans="1:20" x14ac:dyDescent="0.25">
      <c r="A373" s="7" t="s">
        <v>272</v>
      </c>
      <c r="B373" s="7" t="s">
        <v>151</v>
      </c>
      <c r="C373" s="7" t="s">
        <v>265</v>
      </c>
      <c r="D373" s="7" t="s">
        <v>154</v>
      </c>
      <c r="H373" s="7">
        <v>9</v>
      </c>
      <c r="I373" s="7">
        <v>5</v>
      </c>
      <c r="J373" s="8">
        <f t="shared" si="5"/>
        <v>0.6428571428571429</v>
      </c>
      <c r="K373" s="8" t="s">
        <v>30</v>
      </c>
      <c r="L373" s="8" t="s">
        <v>30</v>
      </c>
      <c r="M373" s="8" t="s">
        <v>30</v>
      </c>
      <c r="N373" s="8"/>
      <c r="O373" s="11"/>
      <c r="P373" s="7">
        <v>5</v>
      </c>
      <c r="Q373" s="7">
        <v>1</v>
      </c>
      <c r="R373" s="7">
        <v>2</v>
      </c>
      <c r="S373" s="7">
        <v>1</v>
      </c>
      <c r="T373" s="7" t="s">
        <v>177</v>
      </c>
    </row>
    <row r="374" spans="1:20" x14ac:dyDescent="0.25">
      <c r="A374" s="7" t="s">
        <v>272</v>
      </c>
      <c r="B374" s="7" t="s">
        <v>151</v>
      </c>
      <c r="C374" s="7" t="s">
        <v>162</v>
      </c>
      <c r="D374" s="7" t="s">
        <v>152</v>
      </c>
      <c r="H374" s="7">
        <v>12</v>
      </c>
      <c r="I374" s="7">
        <v>2</v>
      </c>
      <c r="J374" s="8">
        <f t="shared" si="5"/>
        <v>0.8571428571428571</v>
      </c>
      <c r="K374" s="8" t="s">
        <v>30</v>
      </c>
      <c r="L374" s="8"/>
      <c r="M374" s="8"/>
      <c r="N374" s="8"/>
      <c r="O374" s="11"/>
      <c r="P374" s="7">
        <v>3</v>
      </c>
      <c r="Q374" s="7">
        <v>3</v>
      </c>
      <c r="T374" s="7" t="s">
        <v>162</v>
      </c>
    </row>
    <row r="375" spans="1:20" x14ac:dyDescent="0.25">
      <c r="A375" s="7" t="s">
        <v>272</v>
      </c>
      <c r="B375" s="7" t="s">
        <v>151</v>
      </c>
      <c r="C375" s="7" t="s">
        <v>155</v>
      </c>
      <c r="D375" s="7" t="s">
        <v>154</v>
      </c>
      <c r="H375" s="7">
        <v>11</v>
      </c>
      <c r="I375" s="7">
        <v>3</v>
      </c>
      <c r="J375" s="8">
        <f t="shared" si="5"/>
        <v>0.7857142857142857</v>
      </c>
      <c r="K375" s="8" t="s">
        <v>30</v>
      </c>
      <c r="L375" s="8"/>
      <c r="M375" s="8"/>
      <c r="N375" s="8"/>
      <c r="O375" s="11"/>
      <c r="P375" s="7">
        <v>3</v>
      </c>
      <c r="Q375" s="7">
        <v>3</v>
      </c>
      <c r="T375" s="7" t="s">
        <v>155</v>
      </c>
    </row>
    <row r="376" spans="1:20" x14ac:dyDescent="0.25">
      <c r="A376" s="7" t="s">
        <v>272</v>
      </c>
      <c r="B376" s="7" t="s">
        <v>151</v>
      </c>
      <c r="C376" s="7" t="s">
        <v>235</v>
      </c>
      <c r="D376" s="7" t="s">
        <v>159</v>
      </c>
      <c r="H376" s="7">
        <v>11</v>
      </c>
      <c r="I376" s="7">
        <v>3</v>
      </c>
      <c r="J376" s="8">
        <f t="shared" si="5"/>
        <v>0.7857142857142857</v>
      </c>
      <c r="K376" s="8" t="s">
        <v>30</v>
      </c>
      <c r="L376" s="8"/>
      <c r="M376" s="8"/>
      <c r="N376" s="8"/>
      <c r="O376" s="11"/>
      <c r="P376" s="7">
        <v>2</v>
      </c>
      <c r="Q376" s="7">
        <v>4</v>
      </c>
      <c r="T376" s="7" t="s">
        <v>234</v>
      </c>
    </row>
    <row r="377" spans="1:20" x14ac:dyDescent="0.25">
      <c r="A377" s="7" t="s">
        <v>272</v>
      </c>
      <c r="B377" s="7" t="s">
        <v>151</v>
      </c>
      <c r="C377" s="7" t="s">
        <v>201</v>
      </c>
      <c r="D377" s="7" t="s">
        <v>154</v>
      </c>
      <c r="H377" s="7">
        <v>10</v>
      </c>
      <c r="I377" s="7">
        <v>4</v>
      </c>
      <c r="J377" s="8">
        <f t="shared" si="5"/>
        <v>0.7142857142857143</v>
      </c>
      <c r="K377" s="8" t="s">
        <v>30</v>
      </c>
      <c r="L377" s="8"/>
      <c r="M377" s="8"/>
      <c r="N377" s="8"/>
      <c r="O377" s="11"/>
      <c r="P377" s="7">
        <v>3</v>
      </c>
      <c r="Q377" s="7">
        <v>3</v>
      </c>
      <c r="T377" s="7" t="s">
        <v>201</v>
      </c>
    </row>
    <row r="378" spans="1:20" x14ac:dyDescent="0.25">
      <c r="A378" s="7" t="s">
        <v>272</v>
      </c>
      <c r="B378" s="7" t="s">
        <v>151</v>
      </c>
      <c r="C378" s="7" t="s">
        <v>581</v>
      </c>
      <c r="D378" s="7" t="s">
        <v>154</v>
      </c>
      <c r="H378" s="7">
        <v>9</v>
      </c>
      <c r="I378" s="7">
        <v>5</v>
      </c>
      <c r="J378" s="8">
        <f t="shared" si="5"/>
        <v>0.6428571428571429</v>
      </c>
      <c r="K378" s="8" t="s">
        <v>30</v>
      </c>
      <c r="L378" s="8" t="s">
        <v>30</v>
      </c>
      <c r="M378" s="8"/>
      <c r="N378" s="8"/>
      <c r="O378" s="11"/>
      <c r="P378" s="7">
        <v>3</v>
      </c>
      <c r="Q378" s="7">
        <v>3</v>
      </c>
      <c r="R378" s="7">
        <v>1</v>
      </c>
      <c r="S378" s="7">
        <v>2</v>
      </c>
      <c r="T378" s="7" t="s">
        <v>581</v>
      </c>
    </row>
    <row r="379" spans="1:20" x14ac:dyDescent="0.25">
      <c r="A379" s="7" t="s">
        <v>272</v>
      </c>
      <c r="B379" s="7" t="s">
        <v>151</v>
      </c>
      <c r="C379" s="7" t="s">
        <v>158</v>
      </c>
      <c r="D379" s="7" t="s">
        <v>159</v>
      </c>
      <c r="H379" s="7">
        <v>8</v>
      </c>
      <c r="I379" s="7">
        <v>6</v>
      </c>
      <c r="J379" s="8">
        <f t="shared" si="5"/>
        <v>0.5714285714285714</v>
      </c>
      <c r="K379" s="8" t="s">
        <v>30</v>
      </c>
      <c r="L379" s="8"/>
      <c r="M379" s="8"/>
      <c r="N379" s="8"/>
      <c r="O379" s="11"/>
      <c r="P379" s="7">
        <v>1</v>
      </c>
      <c r="Q379" s="7">
        <v>5</v>
      </c>
      <c r="T379" s="7" t="s">
        <v>158</v>
      </c>
    </row>
    <row r="380" spans="1:20" x14ac:dyDescent="0.25">
      <c r="A380" s="7" t="s">
        <v>272</v>
      </c>
      <c r="B380" s="7" t="s">
        <v>151</v>
      </c>
      <c r="C380" s="7" t="s">
        <v>178</v>
      </c>
      <c r="D380" s="7" t="s">
        <v>157</v>
      </c>
      <c r="H380" s="7">
        <v>8</v>
      </c>
      <c r="I380" s="7">
        <v>6</v>
      </c>
      <c r="J380" s="8">
        <f t="shared" si="5"/>
        <v>0.5714285714285714</v>
      </c>
      <c r="K380" s="8" t="s">
        <v>30</v>
      </c>
      <c r="L380" s="8"/>
      <c r="M380" s="8"/>
      <c r="N380" s="8"/>
      <c r="O380" s="11"/>
      <c r="P380" s="7">
        <v>1</v>
      </c>
      <c r="Q380" s="7">
        <v>5</v>
      </c>
      <c r="T380" s="7" t="s">
        <v>178</v>
      </c>
    </row>
    <row r="381" spans="1:20" x14ac:dyDescent="0.25">
      <c r="A381" s="7" t="s">
        <v>272</v>
      </c>
      <c r="B381" s="7" t="s">
        <v>151</v>
      </c>
      <c r="C381" s="7" t="s">
        <v>149</v>
      </c>
      <c r="D381" s="7" t="s">
        <v>152</v>
      </c>
      <c r="H381" s="7">
        <v>7</v>
      </c>
      <c r="I381" s="7">
        <v>7</v>
      </c>
      <c r="J381" s="8">
        <f t="shared" si="5"/>
        <v>0.5</v>
      </c>
      <c r="K381" s="8" t="s">
        <v>30</v>
      </c>
      <c r="L381" s="8" t="s">
        <v>30</v>
      </c>
      <c r="M381" s="8"/>
      <c r="N381" s="8"/>
      <c r="O381" s="11"/>
      <c r="P381" s="7">
        <v>4</v>
      </c>
      <c r="Q381" s="7">
        <v>2</v>
      </c>
      <c r="R381" s="7">
        <v>1</v>
      </c>
      <c r="S381" s="7">
        <v>2</v>
      </c>
      <c r="T381" s="7" t="s">
        <v>149</v>
      </c>
    </row>
    <row r="382" spans="1:20" x14ac:dyDescent="0.25">
      <c r="A382" s="7" t="s">
        <v>272</v>
      </c>
      <c r="B382" s="7" t="s">
        <v>151</v>
      </c>
      <c r="C382" s="7" t="s">
        <v>273</v>
      </c>
      <c r="D382" s="7" t="s">
        <v>152</v>
      </c>
      <c r="H382" s="7">
        <v>7</v>
      </c>
      <c r="I382" s="7">
        <v>7</v>
      </c>
      <c r="J382" s="8">
        <f t="shared" si="5"/>
        <v>0.5</v>
      </c>
      <c r="K382" s="8" t="s">
        <v>30</v>
      </c>
      <c r="L382" s="8"/>
      <c r="M382" s="8"/>
      <c r="N382" s="8"/>
      <c r="O382" s="11"/>
      <c r="P382" s="7">
        <v>2</v>
      </c>
      <c r="Q382" s="7">
        <v>4</v>
      </c>
      <c r="T382" s="7" t="s">
        <v>273</v>
      </c>
    </row>
    <row r="383" spans="1:20" x14ac:dyDescent="0.25">
      <c r="A383" s="7" t="s">
        <v>272</v>
      </c>
      <c r="B383" s="7" t="s">
        <v>151</v>
      </c>
      <c r="C383" s="7" t="s">
        <v>174</v>
      </c>
      <c r="D383" s="7" t="s">
        <v>166</v>
      </c>
      <c r="H383" s="7">
        <v>6</v>
      </c>
      <c r="I383" s="7">
        <v>8</v>
      </c>
      <c r="J383" s="8">
        <f t="shared" si="5"/>
        <v>0.42857142857142855</v>
      </c>
      <c r="K383" s="8" t="s">
        <v>30</v>
      </c>
      <c r="L383" s="8" t="s">
        <v>30</v>
      </c>
      <c r="M383" s="8"/>
      <c r="N383" s="8"/>
      <c r="O383" s="11"/>
      <c r="P383" s="7">
        <v>4</v>
      </c>
      <c r="Q383" s="7">
        <v>2</v>
      </c>
      <c r="R383" s="7">
        <v>1</v>
      </c>
      <c r="S383" s="7">
        <v>2</v>
      </c>
      <c r="T383" s="7" t="s">
        <v>174</v>
      </c>
    </row>
    <row r="384" spans="1:20" x14ac:dyDescent="0.25">
      <c r="A384" s="7" t="s">
        <v>272</v>
      </c>
      <c r="B384" s="7" t="s">
        <v>151</v>
      </c>
      <c r="C384" s="7" t="s">
        <v>156</v>
      </c>
      <c r="D384" s="7" t="s">
        <v>157</v>
      </c>
      <c r="H384" s="7">
        <v>6</v>
      </c>
      <c r="I384" s="7">
        <v>8</v>
      </c>
      <c r="J384" s="8">
        <f t="shared" si="5"/>
        <v>0.42857142857142855</v>
      </c>
      <c r="K384" s="8" t="s">
        <v>30</v>
      </c>
      <c r="L384" s="8" t="s">
        <v>30</v>
      </c>
      <c r="M384" s="8"/>
      <c r="N384" s="8"/>
      <c r="O384" s="11"/>
      <c r="P384" s="7">
        <v>3</v>
      </c>
      <c r="Q384" s="7">
        <v>3</v>
      </c>
      <c r="R384" s="7">
        <v>0</v>
      </c>
      <c r="S384" s="7">
        <v>2</v>
      </c>
      <c r="T384" s="7" t="s">
        <v>156</v>
      </c>
    </row>
    <row r="385" spans="1:20" x14ac:dyDescent="0.25">
      <c r="A385" s="7" t="s">
        <v>272</v>
      </c>
      <c r="B385" s="7" t="s">
        <v>151</v>
      </c>
      <c r="C385" s="7" t="s">
        <v>255</v>
      </c>
      <c r="D385" s="7" t="s">
        <v>171</v>
      </c>
      <c r="H385" s="7">
        <v>6</v>
      </c>
      <c r="I385" s="7">
        <v>8</v>
      </c>
      <c r="J385" s="8">
        <f t="shared" si="5"/>
        <v>0.42857142857142855</v>
      </c>
      <c r="K385" s="8" t="s">
        <v>30</v>
      </c>
      <c r="L385" s="8"/>
      <c r="M385" s="8"/>
      <c r="N385" s="8"/>
      <c r="O385" s="11"/>
      <c r="P385" s="7">
        <v>2</v>
      </c>
      <c r="Q385" s="7">
        <v>4</v>
      </c>
      <c r="T385" s="7" t="s">
        <v>255</v>
      </c>
    </row>
    <row r="386" spans="1:20" x14ac:dyDescent="0.25">
      <c r="A386" s="7" t="s">
        <v>272</v>
      </c>
      <c r="B386" s="7" t="s">
        <v>151</v>
      </c>
      <c r="C386" s="7" t="s">
        <v>257</v>
      </c>
      <c r="D386" s="7" t="s">
        <v>215</v>
      </c>
      <c r="H386" s="7">
        <v>4</v>
      </c>
      <c r="I386" s="7">
        <v>10</v>
      </c>
      <c r="J386" s="8">
        <f t="shared" ref="J386:J449" si="6">H386/SUM(H386:I386)</f>
        <v>0.2857142857142857</v>
      </c>
      <c r="K386" s="8"/>
      <c r="L386" s="8"/>
      <c r="M386" s="8"/>
      <c r="N386" s="8"/>
      <c r="O386" s="11"/>
      <c r="T386" s="7" t="s">
        <v>257</v>
      </c>
    </row>
    <row r="387" spans="1:20" x14ac:dyDescent="0.25">
      <c r="A387" s="7" t="s">
        <v>272</v>
      </c>
      <c r="B387" s="7" t="s">
        <v>151</v>
      </c>
      <c r="C387" s="7" t="s">
        <v>256</v>
      </c>
      <c r="D387" s="7" t="s">
        <v>164</v>
      </c>
      <c r="H387" s="7">
        <v>4</v>
      </c>
      <c r="I387" s="7">
        <v>10</v>
      </c>
      <c r="J387" s="8">
        <f t="shared" si="6"/>
        <v>0.2857142857142857</v>
      </c>
      <c r="K387" s="8"/>
      <c r="L387" s="8"/>
      <c r="M387" s="8"/>
      <c r="N387" s="8"/>
      <c r="O387" s="11"/>
      <c r="T387" s="7" t="s">
        <v>256</v>
      </c>
    </row>
    <row r="388" spans="1:20" x14ac:dyDescent="0.25">
      <c r="A388" s="7" t="s">
        <v>272</v>
      </c>
      <c r="B388" s="7" t="s">
        <v>151</v>
      </c>
      <c r="C388" s="7" t="s">
        <v>274</v>
      </c>
      <c r="D388" s="7" t="s">
        <v>220</v>
      </c>
      <c r="H388" s="7">
        <v>4</v>
      </c>
      <c r="I388" s="7">
        <v>10</v>
      </c>
      <c r="J388" s="8">
        <f t="shared" si="6"/>
        <v>0.2857142857142857</v>
      </c>
      <c r="K388" s="8"/>
      <c r="L388" s="8"/>
      <c r="M388" s="8"/>
      <c r="N388" s="8"/>
      <c r="O388" s="11"/>
      <c r="T388" s="7" t="s">
        <v>244</v>
      </c>
    </row>
    <row r="389" spans="1:20" x14ac:dyDescent="0.25">
      <c r="A389" s="7" t="s">
        <v>272</v>
      </c>
      <c r="B389" s="7" t="s">
        <v>151</v>
      </c>
      <c r="C389" s="7" t="s">
        <v>242</v>
      </c>
      <c r="D389" s="7" t="s">
        <v>243</v>
      </c>
      <c r="H389" s="7">
        <v>4</v>
      </c>
      <c r="I389" s="7">
        <v>10</v>
      </c>
      <c r="J389" s="8">
        <f t="shared" si="6"/>
        <v>0.2857142857142857</v>
      </c>
      <c r="K389" s="8"/>
      <c r="L389" s="8"/>
      <c r="M389" s="8"/>
      <c r="N389" s="8"/>
      <c r="O389" s="11"/>
      <c r="T389" s="7" t="s">
        <v>241</v>
      </c>
    </row>
    <row r="390" spans="1:20" x14ac:dyDescent="0.25">
      <c r="A390" s="7" t="s">
        <v>272</v>
      </c>
      <c r="B390" s="7" t="s">
        <v>151</v>
      </c>
      <c r="C390" s="7" t="s">
        <v>170</v>
      </c>
      <c r="D390" s="7" t="s">
        <v>171</v>
      </c>
      <c r="H390" s="7">
        <v>3</v>
      </c>
      <c r="I390" s="7">
        <v>11</v>
      </c>
      <c r="J390" s="8">
        <f t="shared" si="6"/>
        <v>0.21428571428571427</v>
      </c>
      <c r="K390" s="8"/>
      <c r="L390" s="8"/>
      <c r="M390" s="8"/>
      <c r="N390" s="8"/>
      <c r="O390" s="11"/>
      <c r="T390" s="7" t="s">
        <v>170</v>
      </c>
    </row>
    <row r="391" spans="1:20" x14ac:dyDescent="0.25">
      <c r="A391" s="7" t="s">
        <v>272</v>
      </c>
      <c r="B391" s="7" t="s">
        <v>151</v>
      </c>
      <c r="C391" s="7" t="s">
        <v>271</v>
      </c>
      <c r="D391" s="7" t="s">
        <v>164</v>
      </c>
      <c r="H391" s="7">
        <v>2</v>
      </c>
      <c r="I391" s="7">
        <v>12</v>
      </c>
      <c r="J391" s="8">
        <f t="shared" si="6"/>
        <v>0.14285714285714285</v>
      </c>
      <c r="K391" s="8"/>
      <c r="L391" s="8"/>
      <c r="M391" s="8"/>
      <c r="N391" s="8"/>
      <c r="O391" s="11"/>
      <c r="T391" s="7" t="s">
        <v>271</v>
      </c>
    </row>
    <row r="392" spans="1:20" x14ac:dyDescent="0.25">
      <c r="A392" s="7" t="s">
        <v>272</v>
      </c>
      <c r="B392" s="7" t="s">
        <v>151</v>
      </c>
      <c r="C392" s="7" t="s">
        <v>213</v>
      </c>
      <c r="D392" s="7" t="s">
        <v>173</v>
      </c>
      <c r="H392" s="7">
        <v>2</v>
      </c>
      <c r="I392" s="7">
        <v>12</v>
      </c>
      <c r="J392" s="8">
        <f t="shared" si="6"/>
        <v>0.14285714285714285</v>
      </c>
      <c r="K392" s="8"/>
      <c r="L392" s="8"/>
      <c r="M392" s="8"/>
      <c r="N392" s="8"/>
      <c r="O392" s="11"/>
      <c r="T392" s="7" t="s">
        <v>582</v>
      </c>
    </row>
    <row r="393" spans="1:20" x14ac:dyDescent="0.25">
      <c r="A393" s="7" t="s">
        <v>272</v>
      </c>
      <c r="B393" s="7" t="s">
        <v>151</v>
      </c>
      <c r="C393" s="7" t="s">
        <v>176</v>
      </c>
      <c r="D393" s="7" t="s">
        <v>171</v>
      </c>
      <c r="H393" s="7">
        <v>2</v>
      </c>
      <c r="I393" s="7">
        <v>12</v>
      </c>
      <c r="J393" s="8">
        <f t="shared" si="6"/>
        <v>0.14285714285714285</v>
      </c>
      <c r="K393" s="8"/>
      <c r="L393" s="8"/>
      <c r="M393" s="8"/>
      <c r="N393" s="8"/>
      <c r="O393" s="11"/>
      <c r="T393" s="7" t="s">
        <v>176</v>
      </c>
    </row>
    <row r="394" spans="1:20" x14ac:dyDescent="0.25">
      <c r="A394" s="7" t="s">
        <v>275</v>
      </c>
      <c r="B394" s="7" t="s">
        <v>151</v>
      </c>
      <c r="C394" s="7" t="s">
        <v>188</v>
      </c>
      <c r="D394" s="7" t="s">
        <v>187</v>
      </c>
      <c r="H394" s="7">
        <v>13</v>
      </c>
      <c r="I394" s="7">
        <v>1</v>
      </c>
      <c r="J394" s="8">
        <f t="shared" si="6"/>
        <v>0.9285714285714286</v>
      </c>
      <c r="K394" s="8" t="s">
        <v>30</v>
      </c>
      <c r="L394" s="8" t="s">
        <v>30</v>
      </c>
      <c r="M394" s="8" t="s">
        <v>30</v>
      </c>
      <c r="N394" s="8" t="s">
        <v>30</v>
      </c>
      <c r="O394" s="11"/>
      <c r="P394" s="7">
        <v>6</v>
      </c>
      <c r="Q394" s="7">
        <v>0</v>
      </c>
      <c r="R394" s="7">
        <v>2</v>
      </c>
      <c r="S394" s="7">
        <v>1</v>
      </c>
      <c r="T394" s="7" t="s">
        <v>188</v>
      </c>
    </row>
    <row r="395" spans="1:20" x14ac:dyDescent="0.25">
      <c r="A395" s="7" t="s">
        <v>275</v>
      </c>
      <c r="B395" s="7" t="s">
        <v>151</v>
      </c>
      <c r="C395" s="7" t="s">
        <v>265</v>
      </c>
      <c r="D395" s="7" t="s">
        <v>154</v>
      </c>
      <c r="H395" s="7">
        <v>12</v>
      </c>
      <c r="I395" s="7">
        <v>2</v>
      </c>
      <c r="J395" s="8">
        <f t="shared" si="6"/>
        <v>0.8571428571428571</v>
      </c>
      <c r="K395" s="8" t="s">
        <v>30</v>
      </c>
      <c r="L395" s="8" t="s">
        <v>30</v>
      </c>
      <c r="M395" s="8" t="s">
        <v>30</v>
      </c>
      <c r="N395" s="8"/>
      <c r="O395" s="11"/>
      <c r="P395" s="7">
        <v>6</v>
      </c>
      <c r="Q395" s="7">
        <v>0</v>
      </c>
      <c r="R395" s="7">
        <v>2</v>
      </c>
      <c r="S395" s="7">
        <v>0</v>
      </c>
      <c r="T395" s="7" t="s">
        <v>177</v>
      </c>
    </row>
    <row r="396" spans="1:20" x14ac:dyDescent="0.25">
      <c r="A396" s="7" t="s">
        <v>275</v>
      </c>
      <c r="B396" s="7" t="s">
        <v>151</v>
      </c>
      <c r="C396" s="7" t="s">
        <v>162</v>
      </c>
      <c r="D396" s="7" t="s">
        <v>152</v>
      </c>
      <c r="H396" s="7">
        <v>11</v>
      </c>
      <c r="I396" s="7">
        <v>3</v>
      </c>
      <c r="J396" s="8">
        <f t="shared" si="6"/>
        <v>0.7857142857142857</v>
      </c>
      <c r="K396" s="8" t="s">
        <v>30</v>
      </c>
      <c r="L396" s="8" t="s">
        <v>30</v>
      </c>
      <c r="M396" s="8" t="s">
        <v>30</v>
      </c>
      <c r="N396" s="8" t="s">
        <v>30</v>
      </c>
      <c r="O396" s="11" t="s">
        <v>30</v>
      </c>
      <c r="P396" s="7">
        <v>5</v>
      </c>
      <c r="Q396" s="7">
        <v>1</v>
      </c>
      <c r="R396" s="7">
        <v>2</v>
      </c>
      <c r="S396" s="7">
        <v>0</v>
      </c>
      <c r="T396" s="7" t="s">
        <v>162</v>
      </c>
    </row>
    <row r="397" spans="1:20" x14ac:dyDescent="0.25">
      <c r="A397" s="7" t="s">
        <v>275</v>
      </c>
      <c r="B397" s="7" t="s">
        <v>151</v>
      </c>
      <c r="C397" s="7" t="s">
        <v>201</v>
      </c>
      <c r="D397" s="7" t="s">
        <v>154</v>
      </c>
      <c r="H397" s="7">
        <v>7</v>
      </c>
      <c r="I397" s="7">
        <v>7</v>
      </c>
      <c r="J397" s="8">
        <f t="shared" si="6"/>
        <v>0.5</v>
      </c>
      <c r="K397" s="8" t="s">
        <v>30</v>
      </c>
      <c r="L397" s="8" t="s">
        <v>30</v>
      </c>
      <c r="M397" s="8" t="s">
        <v>30</v>
      </c>
      <c r="N397" s="8"/>
      <c r="O397" s="11"/>
      <c r="P397" s="7">
        <v>4</v>
      </c>
      <c r="Q397" s="7">
        <v>2</v>
      </c>
      <c r="R397" s="7">
        <v>2</v>
      </c>
      <c r="S397" s="7">
        <v>1</v>
      </c>
      <c r="T397" s="7" t="s">
        <v>201</v>
      </c>
    </row>
    <row r="398" spans="1:20" x14ac:dyDescent="0.25">
      <c r="A398" s="7" t="s">
        <v>275</v>
      </c>
      <c r="B398" s="7" t="s">
        <v>151</v>
      </c>
      <c r="C398" s="7" t="s">
        <v>277</v>
      </c>
      <c r="D398" s="7" t="s">
        <v>187</v>
      </c>
      <c r="H398" s="7">
        <v>10</v>
      </c>
      <c r="I398" s="7">
        <v>4</v>
      </c>
      <c r="J398" s="8">
        <f t="shared" si="6"/>
        <v>0.7142857142857143</v>
      </c>
      <c r="K398" s="8" t="s">
        <v>30</v>
      </c>
      <c r="L398" s="8" t="s">
        <v>30</v>
      </c>
      <c r="M398" s="8"/>
      <c r="N398" s="8"/>
      <c r="O398" s="11"/>
      <c r="P398" s="7">
        <v>4</v>
      </c>
      <c r="Q398" s="7">
        <v>2</v>
      </c>
      <c r="R398" s="7">
        <v>0</v>
      </c>
      <c r="S398" s="7">
        <v>2</v>
      </c>
      <c r="T398" s="7" t="s">
        <v>276</v>
      </c>
    </row>
    <row r="399" spans="1:20" x14ac:dyDescent="0.25">
      <c r="A399" s="7" t="s">
        <v>275</v>
      </c>
      <c r="B399" s="7" t="s">
        <v>151</v>
      </c>
      <c r="C399" s="7" t="s">
        <v>149</v>
      </c>
      <c r="D399" s="7" t="s">
        <v>152</v>
      </c>
      <c r="H399" s="7">
        <v>10</v>
      </c>
      <c r="I399" s="7">
        <v>4</v>
      </c>
      <c r="J399" s="8">
        <f t="shared" si="6"/>
        <v>0.7142857142857143</v>
      </c>
      <c r="K399" s="8" t="s">
        <v>30</v>
      </c>
      <c r="L399" s="8" t="s">
        <v>30</v>
      </c>
      <c r="M399" s="8"/>
      <c r="N399" s="8"/>
      <c r="O399" s="11"/>
      <c r="P399" s="7">
        <v>3</v>
      </c>
      <c r="Q399" s="7">
        <v>3</v>
      </c>
      <c r="R399" s="7">
        <v>0</v>
      </c>
      <c r="S399" s="7">
        <v>2</v>
      </c>
      <c r="T399" s="7" t="s">
        <v>149</v>
      </c>
    </row>
    <row r="400" spans="1:20" x14ac:dyDescent="0.25">
      <c r="A400" s="7" t="s">
        <v>275</v>
      </c>
      <c r="B400" s="7" t="s">
        <v>151</v>
      </c>
      <c r="C400" s="7" t="s">
        <v>581</v>
      </c>
      <c r="D400" s="7" t="s">
        <v>154</v>
      </c>
      <c r="H400" s="7">
        <v>9</v>
      </c>
      <c r="I400" s="7">
        <v>5</v>
      </c>
      <c r="J400" s="8">
        <f t="shared" si="6"/>
        <v>0.6428571428571429</v>
      </c>
      <c r="K400" s="8" t="s">
        <v>30</v>
      </c>
      <c r="L400" s="8" t="s">
        <v>30</v>
      </c>
      <c r="M400" s="8"/>
      <c r="N400" s="8"/>
      <c r="O400" s="11"/>
      <c r="P400" s="7">
        <v>4</v>
      </c>
      <c r="Q400" s="7">
        <v>2</v>
      </c>
      <c r="R400" s="7">
        <v>1</v>
      </c>
      <c r="S400" s="7">
        <v>2</v>
      </c>
      <c r="T400" s="7" t="s">
        <v>581</v>
      </c>
    </row>
    <row r="401" spans="1:20" x14ac:dyDescent="0.25">
      <c r="A401" s="7" t="s">
        <v>275</v>
      </c>
      <c r="B401" s="7" t="s">
        <v>151</v>
      </c>
      <c r="C401" s="7" t="s">
        <v>169</v>
      </c>
      <c r="D401" s="7" t="s">
        <v>161</v>
      </c>
      <c r="H401" s="7">
        <v>8</v>
      </c>
      <c r="I401" s="7">
        <v>6</v>
      </c>
      <c r="J401" s="8">
        <f t="shared" si="6"/>
        <v>0.5714285714285714</v>
      </c>
      <c r="K401" s="8" t="s">
        <v>30</v>
      </c>
      <c r="L401" s="8" t="s">
        <v>30</v>
      </c>
      <c r="M401" s="8"/>
      <c r="N401" s="8"/>
      <c r="O401" s="11"/>
      <c r="P401" s="7">
        <v>4</v>
      </c>
      <c r="Q401" s="7">
        <v>2</v>
      </c>
      <c r="R401" s="7">
        <v>1</v>
      </c>
      <c r="S401" s="7">
        <v>2</v>
      </c>
      <c r="T401" s="7" t="s">
        <v>169</v>
      </c>
    </row>
    <row r="402" spans="1:20" x14ac:dyDescent="0.25">
      <c r="A402" s="7" t="s">
        <v>275</v>
      </c>
      <c r="B402" s="7" t="s">
        <v>151</v>
      </c>
      <c r="C402" s="7" t="s">
        <v>278</v>
      </c>
      <c r="D402" s="7" t="s">
        <v>171</v>
      </c>
      <c r="H402" s="7">
        <v>8</v>
      </c>
      <c r="I402" s="7">
        <v>6</v>
      </c>
      <c r="J402" s="8">
        <f t="shared" si="6"/>
        <v>0.5714285714285714</v>
      </c>
      <c r="K402" s="8" t="s">
        <v>30</v>
      </c>
      <c r="L402" s="8"/>
      <c r="M402" s="8"/>
      <c r="N402" s="8"/>
      <c r="O402" s="11"/>
      <c r="P402" s="7">
        <v>3</v>
      </c>
      <c r="Q402" s="7">
        <v>3</v>
      </c>
      <c r="T402" s="7" t="s">
        <v>278</v>
      </c>
    </row>
    <row r="403" spans="1:20" x14ac:dyDescent="0.25">
      <c r="A403" s="7" t="s">
        <v>275</v>
      </c>
      <c r="B403" s="7" t="s">
        <v>151</v>
      </c>
      <c r="C403" s="7" t="s">
        <v>178</v>
      </c>
      <c r="D403" s="7" t="s">
        <v>157</v>
      </c>
      <c r="H403" s="7">
        <v>8</v>
      </c>
      <c r="I403" s="7">
        <v>6</v>
      </c>
      <c r="J403" s="8">
        <f t="shared" si="6"/>
        <v>0.5714285714285714</v>
      </c>
      <c r="K403" s="8" t="s">
        <v>30</v>
      </c>
      <c r="L403" s="8"/>
      <c r="M403" s="8"/>
      <c r="N403" s="8"/>
      <c r="O403" s="11"/>
      <c r="P403" s="7">
        <v>2</v>
      </c>
      <c r="Q403" s="7">
        <v>4</v>
      </c>
      <c r="T403" s="7" t="s">
        <v>178</v>
      </c>
    </row>
    <row r="404" spans="1:20" x14ac:dyDescent="0.25">
      <c r="A404" s="7" t="s">
        <v>275</v>
      </c>
      <c r="B404" s="7" t="s">
        <v>151</v>
      </c>
      <c r="C404" s="7" t="s">
        <v>280</v>
      </c>
      <c r="D404" s="7" t="s">
        <v>164</v>
      </c>
      <c r="H404" s="7">
        <v>7</v>
      </c>
      <c r="I404" s="7">
        <v>7</v>
      </c>
      <c r="J404" s="8">
        <f t="shared" si="6"/>
        <v>0.5</v>
      </c>
      <c r="K404" s="8" t="s">
        <v>30</v>
      </c>
      <c r="L404" s="8"/>
      <c r="M404" s="8"/>
      <c r="N404" s="8"/>
      <c r="O404" s="11"/>
      <c r="P404" s="7">
        <v>1</v>
      </c>
      <c r="Q404" s="7">
        <v>5</v>
      </c>
      <c r="T404" s="7" t="s">
        <v>279</v>
      </c>
    </row>
    <row r="405" spans="1:20" x14ac:dyDescent="0.25">
      <c r="A405" s="7" t="s">
        <v>275</v>
      </c>
      <c r="B405" s="7" t="s">
        <v>151</v>
      </c>
      <c r="C405" s="7" t="s">
        <v>267</v>
      </c>
      <c r="D405" s="7" t="s">
        <v>154</v>
      </c>
      <c r="H405" s="7">
        <v>7</v>
      </c>
      <c r="I405" s="7">
        <v>7</v>
      </c>
      <c r="J405" s="8">
        <f t="shared" si="6"/>
        <v>0.5</v>
      </c>
      <c r="K405" s="8" t="s">
        <v>30</v>
      </c>
      <c r="L405" s="8"/>
      <c r="M405" s="8"/>
      <c r="N405" s="8"/>
      <c r="O405" s="11"/>
      <c r="P405" s="7">
        <v>1</v>
      </c>
      <c r="Q405" s="7">
        <v>5</v>
      </c>
      <c r="T405" s="7" t="s">
        <v>267</v>
      </c>
    </row>
    <row r="406" spans="1:20" x14ac:dyDescent="0.25">
      <c r="A406" s="7" t="s">
        <v>275</v>
      </c>
      <c r="B406" s="7" t="s">
        <v>151</v>
      </c>
      <c r="C406" s="7" t="s">
        <v>174</v>
      </c>
      <c r="D406" s="7" t="s">
        <v>166</v>
      </c>
      <c r="H406" s="7">
        <v>6</v>
      </c>
      <c r="I406" s="7">
        <v>8</v>
      </c>
      <c r="J406" s="8">
        <f t="shared" si="6"/>
        <v>0.42857142857142855</v>
      </c>
      <c r="K406" s="8" t="s">
        <v>30</v>
      </c>
      <c r="L406" s="8"/>
      <c r="M406" s="8"/>
      <c r="N406" s="8"/>
      <c r="O406" s="11"/>
      <c r="P406" s="7">
        <v>2</v>
      </c>
      <c r="Q406" s="7">
        <v>4</v>
      </c>
      <c r="T406" s="7" t="s">
        <v>174</v>
      </c>
    </row>
    <row r="407" spans="1:20" x14ac:dyDescent="0.25">
      <c r="A407" s="7" t="s">
        <v>275</v>
      </c>
      <c r="B407" s="7" t="s">
        <v>151</v>
      </c>
      <c r="C407" s="7" t="s">
        <v>273</v>
      </c>
      <c r="D407" s="7" t="s">
        <v>152</v>
      </c>
      <c r="H407" s="7">
        <v>6</v>
      </c>
      <c r="I407" s="7">
        <v>8</v>
      </c>
      <c r="J407" s="8">
        <f t="shared" si="6"/>
        <v>0.42857142857142855</v>
      </c>
      <c r="K407" s="8" t="s">
        <v>30</v>
      </c>
      <c r="L407" s="8"/>
      <c r="M407" s="8"/>
      <c r="N407" s="8"/>
      <c r="O407" s="11"/>
      <c r="P407" s="7">
        <v>1</v>
      </c>
      <c r="Q407" s="7">
        <v>5</v>
      </c>
      <c r="T407" s="7" t="s">
        <v>273</v>
      </c>
    </row>
    <row r="408" spans="1:20" x14ac:dyDescent="0.25">
      <c r="A408" s="7" t="s">
        <v>275</v>
      </c>
      <c r="B408" s="7" t="s">
        <v>151</v>
      </c>
      <c r="C408" s="7" t="s">
        <v>255</v>
      </c>
      <c r="D408" s="7" t="s">
        <v>171</v>
      </c>
      <c r="H408" s="7">
        <v>6</v>
      </c>
      <c r="I408" s="7">
        <v>8</v>
      </c>
      <c r="J408" s="8">
        <f t="shared" si="6"/>
        <v>0.42857142857142855</v>
      </c>
      <c r="K408" s="8" t="s">
        <v>30</v>
      </c>
      <c r="L408" s="8"/>
      <c r="M408" s="8"/>
      <c r="N408" s="8"/>
      <c r="O408" s="11"/>
      <c r="P408" s="7">
        <v>1</v>
      </c>
      <c r="Q408" s="7">
        <v>5</v>
      </c>
      <c r="T408" s="7" t="s">
        <v>255</v>
      </c>
    </row>
    <row r="409" spans="1:20" x14ac:dyDescent="0.25">
      <c r="A409" s="7" t="s">
        <v>275</v>
      </c>
      <c r="B409" s="7" t="s">
        <v>151</v>
      </c>
      <c r="C409" s="7" t="s">
        <v>274</v>
      </c>
      <c r="D409" s="7" t="s">
        <v>220</v>
      </c>
      <c r="H409" s="7">
        <v>5</v>
      </c>
      <c r="I409" s="7">
        <v>9</v>
      </c>
      <c r="J409" s="8">
        <f t="shared" si="6"/>
        <v>0.35714285714285715</v>
      </c>
      <c r="K409" s="8" t="s">
        <v>30</v>
      </c>
      <c r="L409" s="8"/>
      <c r="M409" s="8"/>
      <c r="N409" s="8"/>
      <c r="O409" s="11"/>
      <c r="P409" s="7">
        <v>1</v>
      </c>
      <c r="Q409" s="7">
        <v>5</v>
      </c>
      <c r="T409" s="7" t="s">
        <v>244</v>
      </c>
    </row>
    <row r="410" spans="1:20" x14ac:dyDescent="0.25">
      <c r="A410" s="7" t="s">
        <v>275</v>
      </c>
      <c r="B410" s="7" t="s">
        <v>151</v>
      </c>
      <c r="C410" s="7" t="s">
        <v>257</v>
      </c>
      <c r="D410" s="7" t="s">
        <v>215</v>
      </c>
      <c r="H410" s="7">
        <v>6</v>
      </c>
      <c r="I410" s="7">
        <v>8</v>
      </c>
      <c r="J410" s="8">
        <f t="shared" si="6"/>
        <v>0.42857142857142855</v>
      </c>
      <c r="K410" s="8"/>
      <c r="L410" s="8"/>
      <c r="M410" s="8"/>
      <c r="N410" s="8"/>
      <c r="O410" s="11"/>
      <c r="T410" s="7" t="s">
        <v>257</v>
      </c>
    </row>
    <row r="411" spans="1:20" x14ac:dyDescent="0.25">
      <c r="A411" s="7" t="s">
        <v>275</v>
      </c>
      <c r="B411" s="7" t="s">
        <v>151</v>
      </c>
      <c r="C411" s="7" t="s">
        <v>281</v>
      </c>
      <c r="D411" s="7" t="s">
        <v>171</v>
      </c>
      <c r="H411" s="7">
        <v>6</v>
      </c>
      <c r="I411" s="7">
        <v>8</v>
      </c>
      <c r="J411" s="8">
        <f t="shared" si="6"/>
        <v>0.42857142857142855</v>
      </c>
      <c r="K411" s="8"/>
      <c r="L411" s="8"/>
      <c r="M411" s="8"/>
      <c r="N411" s="8"/>
      <c r="O411" s="11"/>
      <c r="T411" s="7" t="s">
        <v>281</v>
      </c>
    </row>
    <row r="412" spans="1:20" x14ac:dyDescent="0.25">
      <c r="A412" s="7" t="s">
        <v>275</v>
      </c>
      <c r="B412" s="7" t="s">
        <v>151</v>
      </c>
      <c r="C412" s="7" t="s">
        <v>176</v>
      </c>
      <c r="D412" s="7" t="s">
        <v>171</v>
      </c>
      <c r="H412" s="7">
        <v>5</v>
      </c>
      <c r="I412" s="7">
        <v>9</v>
      </c>
      <c r="J412" s="8">
        <f t="shared" si="6"/>
        <v>0.35714285714285715</v>
      </c>
      <c r="K412" s="8"/>
      <c r="L412" s="8"/>
      <c r="M412" s="8"/>
      <c r="N412" s="8"/>
      <c r="O412" s="11"/>
      <c r="T412" s="7" t="s">
        <v>176</v>
      </c>
    </row>
    <row r="413" spans="1:20" x14ac:dyDescent="0.25">
      <c r="A413" s="7" t="s">
        <v>275</v>
      </c>
      <c r="B413" s="7" t="s">
        <v>151</v>
      </c>
      <c r="C413" s="7" t="s">
        <v>242</v>
      </c>
      <c r="D413" s="7" t="s">
        <v>243</v>
      </c>
      <c r="H413" s="7">
        <v>5</v>
      </c>
      <c r="I413" s="7">
        <v>9</v>
      </c>
      <c r="J413" s="8">
        <f t="shared" si="6"/>
        <v>0.35714285714285715</v>
      </c>
      <c r="K413" s="8"/>
      <c r="L413" s="8"/>
      <c r="M413" s="8"/>
      <c r="N413" s="8"/>
      <c r="O413" s="11"/>
      <c r="T413" s="7" t="s">
        <v>241</v>
      </c>
    </row>
    <row r="414" spans="1:20" x14ac:dyDescent="0.25">
      <c r="A414" s="7" t="s">
        <v>275</v>
      </c>
      <c r="B414" s="7" t="s">
        <v>151</v>
      </c>
      <c r="C414" s="7" t="s">
        <v>156</v>
      </c>
      <c r="D414" s="7" t="s">
        <v>157</v>
      </c>
      <c r="H414" s="7">
        <v>5</v>
      </c>
      <c r="I414" s="7">
        <v>9</v>
      </c>
      <c r="J414" s="8">
        <f t="shared" si="6"/>
        <v>0.35714285714285715</v>
      </c>
      <c r="K414" s="8"/>
      <c r="L414" s="8"/>
      <c r="M414" s="8"/>
      <c r="N414" s="8"/>
      <c r="O414" s="11"/>
      <c r="T414" s="7" t="s">
        <v>156</v>
      </c>
    </row>
    <row r="415" spans="1:20" x14ac:dyDescent="0.25">
      <c r="A415" s="7" t="s">
        <v>275</v>
      </c>
      <c r="B415" s="7" t="s">
        <v>151</v>
      </c>
      <c r="C415" s="7" t="s">
        <v>271</v>
      </c>
      <c r="D415" s="7" t="s">
        <v>164</v>
      </c>
      <c r="H415" s="7">
        <v>4</v>
      </c>
      <c r="I415" s="7">
        <v>10</v>
      </c>
      <c r="J415" s="8">
        <f t="shared" si="6"/>
        <v>0.2857142857142857</v>
      </c>
      <c r="K415" s="8"/>
      <c r="L415" s="8"/>
      <c r="M415" s="8"/>
      <c r="N415" s="8"/>
      <c r="O415" s="11"/>
      <c r="T415" s="7" t="s">
        <v>271</v>
      </c>
    </row>
    <row r="416" spans="1:20" x14ac:dyDescent="0.25">
      <c r="A416" s="7" t="s">
        <v>275</v>
      </c>
      <c r="B416" s="7" t="s">
        <v>151</v>
      </c>
      <c r="C416" s="7" t="s">
        <v>283</v>
      </c>
      <c r="D416" s="7" t="s">
        <v>173</v>
      </c>
      <c r="H416" s="7">
        <v>2</v>
      </c>
      <c r="I416" s="7">
        <v>12</v>
      </c>
      <c r="J416" s="8">
        <f t="shared" si="6"/>
        <v>0.14285714285714285</v>
      </c>
      <c r="K416" s="8"/>
      <c r="L416" s="8"/>
      <c r="M416" s="8"/>
      <c r="N416" s="8"/>
      <c r="O416" s="11"/>
      <c r="T416" s="7" t="s">
        <v>282</v>
      </c>
    </row>
    <row r="417" spans="1:20" x14ac:dyDescent="0.25">
      <c r="A417" s="7" t="s">
        <v>275</v>
      </c>
      <c r="B417" s="7" t="s">
        <v>151</v>
      </c>
      <c r="C417" s="7" t="s">
        <v>158</v>
      </c>
      <c r="D417" s="7" t="s">
        <v>159</v>
      </c>
      <c r="H417" s="7">
        <v>2</v>
      </c>
      <c r="I417" s="7">
        <v>12</v>
      </c>
      <c r="J417" s="8">
        <f t="shared" si="6"/>
        <v>0.14285714285714285</v>
      </c>
      <c r="K417" s="8"/>
      <c r="L417" s="8"/>
      <c r="M417" s="8"/>
      <c r="N417" s="8"/>
      <c r="O417" s="11"/>
      <c r="T417" s="7" t="s">
        <v>158</v>
      </c>
    </row>
    <row r="418" spans="1:20" x14ac:dyDescent="0.25">
      <c r="A418" s="7" t="s">
        <v>284</v>
      </c>
      <c r="B418" s="7" t="s">
        <v>151</v>
      </c>
      <c r="C418" s="7" t="s">
        <v>265</v>
      </c>
      <c r="D418" s="7" t="s">
        <v>154</v>
      </c>
      <c r="H418" s="7">
        <v>11</v>
      </c>
      <c r="I418" s="7">
        <v>3</v>
      </c>
      <c r="J418" s="8">
        <f t="shared" si="6"/>
        <v>0.7857142857142857</v>
      </c>
      <c r="K418" s="8" t="s">
        <v>30</v>
      </c>
      <c r="L418" s="8" t="s">
        <v>30</v>
      </c>
      <c r="M418" s="8" t="s">
        <v>30</v>
      </c>
      <c r="N418" s="8"/>
      <c r="O418" s="11"/>
      <c r="P418" s="7">
        <v>4</v>
      </c>
      <c r="Q418" s="7">
        <v>2</v>
      </c>
      <c r="R418" s="7">
        <v>2</v>
      </c>
      <c r="S418" s="7">
        <v>1</v>
      </c>
      <c r="T418" s="7" t="s">
        <v>177</v>
      </c>
    </row>
    <row r="419" spans="1:20" x14ac:dyDescent="0.25">
      <c r="A419" s="7" t="s">
        <v>284</v>
      </c>
      <c r="B419" s="7" t="s">
        <v>151</v>
      </c>
      <c r="C419" s="7" t="s">
        <v>188</v>
      </c>
      <c r="D419" s="7" t="s">
        <v>187</v>
      </c>
      <c r="H419" s="7">
        <v>10</v>
      </c>
      <c r="I419" s="7">
        <v>4</v>
      </c>
      <c r="J419" s="8">
        <f t="shared" si="6"/>
        <v>0.7142857142857143</v>
      </c>
      <c r="K419" s="8" t="s">
        <v>30</v>
      </c>
      <c r="L419" s="8" t="s">
        <v>30</v>
      </c>
      <c r="M419" s="8" t="s">
        <v>30</v>
      </c>
      <c r="N419" s="8" t="s">
        <v>30</v>
      </c>
      <c r="O419" s="11" t="s">
        <v>30</v>
      </c>
      <c r="P419" s="7">
        <v>5</v>
      </c>
      <c r="Q419" s="7">
        <v>1</v>
      </c>
      <c r="R419" s="7">
        <v>2</v>
      </c>
      <c r="S419" s="7">
        <v>0</v>
      </c>
      <c r="T419" s="7" t="s">
        <v>188</v>
      </c>
    </row>
    <row r="420" spans="1:20" x14ac:dyDescent="0.25">
      <c r="A420" s="7" t="s">
        <v>284</v>
      </c>
      <c r="B420" s="7" t="s">
        <v>151</v>
      </c>
      <c r="C420" s="7" t="s">
        <v>169</v>
      </c>
      <c r="D420" s="7" t="s">
        <v>161</v>
      </c>
      <c r="H420" s="7">
        <v>9</v>
      </c>
      <c r="I420" s="7">
        <v>5</v>
      </c>
      <c r="J420" s="8">
        <f t="shared" si="6"/>
        <v>0.6428571428571429</v>
      </c>
      <c r="K420" s="8" t="s">
        <v>30</v>
      </c>
      <c r="L420" s="8" t="s">
        <v>30</v>
      </c>
      <c r="M420" s="8" t="s">
        <v>30</v>
      </c>
      <c r="N420" s="8" t="s">
        <v>30</v>
      </c>
      <c r="O420" s="11"/>
      <c r="P420" s="7">
        <v>5</v>
      </c>
      <c r="Q420" s="7">
        <v>1</v>
      </c>
      <c r="R420" s="7">
        <v>2</v>
      </c>
      <c r="S420" s="7">
        <v>1</v>
      </c>
      <c r="T420" s="7" t="s">
        <v>169</v>
      </c>
    </row>
    <row r="421" spans="1:20" x14ac:dyDescent="0.25">
      <c r="A421" s="7" t="s">
        <v>284</v>
      </c>
      <c r="B421" s="7" t="s">
        <v>151</v>
      </c>
      <c r="C421" s="7" t="s">
        <v>581</v>
      </c>
      <c r="D421" s="7" t="s">
        <v>154</v>
      </c>
      <c r="H421" s="7">
        <v>7</v>
      </c>
      <c r="I421" s="7">
        <v>7</v>
      </c>
      <c r="J421" s="8">
        <f t="shared" si="6"/>
        <v>0.5</v>
      </c>
      <c r="K421" s="8" t="s">
        <v>30</v>
      </c>
      <c r="L421" s="8" t="s">
        <v>30</v>
      </c>
      <c r="M421" s="8" t="s">
        <v>30</v>
      </c>
      <c r="N421" s="8"/>
      <c r="O421" s="11"/>
      <c r="P421" s="7">
        <v>5</v>
      </c>
      <c r="Q421" s="7">
        <v>1</v>
      </c>
      <c r="R421" s="7">
        <v>2</v>
      </c>
      <c r="S421" s="7">
        <v>1</v>
      </c>
      <c r="T421" s="7" t="s">
        <v>581</v>
      </c>
    </row>
    <row r="422" spans="1:20" x14ac:dyDescent="0.25">
      <c r="A422" s="7" t="s">
        <v>284</v>
      </c>
      <c r="B422" s="7" t="s">
        <v>151</v>
      </c>
      <c r="C422" s="7" t="s">
        <v>162</v>
      </c>
      <c r="D422" s="7" t="s">
        <v>152</v>
      </c>
      <c r="H422" s="7">
        <v>12</v>
      </c>
      <c r="I422" s="7">
        <v>2</v>
      </c>
      <c r="J422" s="8">
        <f t="shared" si="6"/>
        <v>0.8571428571428571</v>
      </c>
      <c r="K422" s="8" t="s">
        <v>30</v>
      </c>
      <c r="L422" s="8" t="s">
        <v>30</v>
      </c>
      <c r="M422" s="8"/>
      <c r="N422" s="8"/>
      <c r="O422" s="11"/>
      <c r="P422" s="7">
        <v>3</v>
      </c>
      <c r="Q422" s="7">
        <v>3</v>
      </c>
      <c r="R422" s="7">
        <v>1</v>
      </c>
      <c r="S422" s="7">
        <v>2</v>
      </c>
      <c r="T422" s="7" t="s">
        <v>162</v>
      </c>
    </row>
    <row r="423" spans="1:20" x14ac:dyDescent="0.25">
      <c r="A423" s="7" t="s">
        <v>284</v>
      </c>
      <c r="B423" s="7" t="s">
        <v>151</v>
      </c>
      <c r="C423" s="7" t="s">
        <v>201</v>
      </c>
      <c r="D423" s="7" t="s">
        <v>154</v>
      </c>
      <c r="H423" s="7">
        <v>12</v>
      </c>
      <c r="I423" s="7">
        <v>2</v>
      </c>
      <c r="J423" s="8">
        <f t="shared" si="6"/>
        <v>0.8571428571428571</v>
      </c>
      <c r="K423" s="8" t="s">
        <v>30</v>
      </c>
      <c r="L423" s="8"/>
      <c r="M423" s="8"/>
      <c r="N423" s="8"/>
      <c r="O423" s="11"/>
      <c r="P423" s="7">
        <v>3</v>
      </c>
      <c r="Q423" s="7">
        <v>3</v>
      </c>
      <c r="T423" s="7" t="s">
        <v>201</v>
      </c>
    </row>
    <row r="424" spans="1:20" x14ac:dyDescent="0.25">
      <c r="A424" s="7" t="s">
        <v>284</v>
      </c>
      <c r="B424" s="7" t="s">
        <v>151</v>
      </c>
      <c r="C424" s="7" t="s">
        <v>176</v>
      </c>
      <c r="D424" s="7" t="s">
        <v>171</v>
      </c>
      <c r="H424" s="7">
        <v>10</v>
      </c>
      <c r="I424" s="7">
        <v>4</v>
      </c>
      <c r="J424" s="8">
        <f t="shared" si="6"/>
        <v>0.7142857142857143</v>
      </c>
      <c r="K424" s="8" t="s">
        <v>30</v>
      </c>
      <c r="L424" s="8"/>
      <c r="M424" s="8"/>
      <c r="N424" s="8"/>
      <c r="O424" s="11"/>
      <c r="P424" s="7">
        <v>2</v>
      </c>
      <c r="Q424" s="7">
        <v>4</v>
      </c>
      <c r="T424" s="7" t="s">
        <v>176</v>
      </c>
    </row>
    <row r="425" spans="1:20" x14ac:dyDescent="0.25">
      <c r="A425" s="7" t="s">
        <v>284</v>
      </c>
      <c r="B425" s="7" t="s">
        <v>151</v>
      </c>
      <c r="C425" s="7" t="s">
        <v>178</v>
      </c>
      <c r="D425" s="7" t="s">
        <v>157</v>
      </c>
      <c r="H425" s="7">
        <v>9</v>
      </c>
      <c r="I425" s="7">
        <v>5</v>
      </c>
      <c r="J425" s="8">
        <f t="shared" si="6"/>
        <v>0.6428571428571429</v>
      </c>
      <c r="K425" s="8" t="s">
        <v>30</v>
      </c>
      <c r="L425" s="8" t="s">
        <v>30</v>
      </c>
      <c r="M425" s="8"/>
      <c r="N425" s="8"/>
      <c r="O425" s="11"/>
      <c r="P425" s="7">
        <v>3</v>
      </c>
      <c r="Q425" s="7">
        <v>3</v>
      </c>
      <c r="R425" s="7">
        <v>0</v>
      </c>
      <c r="S425" s="7">
        <v>2</v>
      </c>
      <c r="T425" s="7" t="s">
        <v>178</v>
      </c>
    </row>
    <row r="426" spans="1:20" x14ac:dyDescent="0.25">
      <c r="A426" s="7" t="s">
        <v>284</v>
      </c>
      <c r="B426" s="7" t="s">
        <v>151</v>
      </c>
      <c r="C426" s="7" t="s">
        <v>158</v>
      </c>
      <c r="D426" s="7" t="s">
        <v>159</v>
      </c>
      <c r="H426" s="7">
        <v>9</v>
      </c>
      <c r="I426" s="7">
        <v>5</v>
      </c>
      <c r="J426" s="8">
        <f t="shared" si="6"/>
        <v>0.6428571428571429</v>
      </c>
      <c r="K426" s="8" t="s">
        <v>30</v>
      </c>
      <c r="L426" s="8"/>
      <c r="M426" s="8"/>
      <c r="N426" s="8"/>
      <c r="O426" s="11"/>
      <c r="P426" s="7">
        <v>0</v>
      </c>
      <c r="Q426" s="7">
        <v>6</v>
      </c>
      <c r="T426" s="7" t="s">
        <v>158</v>
      </c>
    </row>
    <row r="427" spans="1:20" x14ac:dyDescent="0.25">
      <c r="A427" s="7" t="s">
        <v>284</v>
      </c>
      <c r="B427" s="7" t="s">
        <v>151</v>
      </c>
      <c r="C427" s="7" t="s">
        <v>278</v>
      </c>
      <c r="D427" s="7" t="s">
        <v>171</v>
      </c>
      <c r="H427" s="7">
        <v>8</v>
      </c>
      <c r="I427" s="7">
        <v>6</v>
      </c>
      <c r="J427" s="8">
        <f t="shared" si="6"/>
        <v>0.5714285714285714</v>
      </c>
      <c r="K427" s="8" t="s">
        <v>30</v>
      </c>
      <c r="L427" s="8"/>
      <c r="M427" s="8"/>
      <c r="N427" s="8"/>
      <c r="O427" s="11"/>
      <c r="P427" s="7">
        <v>3</v>
      </c>
      <c r="Q427" s="7">
        <v>3</v>
      </c>
      <c r="T427" s="7" t="s">
        <v>278</v>
      </c>
    </row>
    <row r="428" spans="1:20" x14ac:dyDescent="0.25">
      <c r="A428" s="7" t="s">
        <v>284</v>
      </c>
      <c r="B428" s="7" t="s">
        <v>151</v>
      </c>
      <c r="C428" s="7" t="s">
        <v>235</v>
      </c>
      <c r="D428" s="7" t="s">
        <v>159</v>
      </c>
      <c r="H428" s="7">
        <v>8</v>
      </c>
      <c r="I428" s="7">
        <v>6</v>
      </c>
      <c r="J428" s="8">
        <f t="shared" si="6"/>
        <v>0.5714285714285714</v>
      </c>
      <c r="K428" s="8" t="s">
        <v>30</v>
      </c>
      <c r="L428" s="8"/>
      <c r="M428" s="8"/>
      <c r="N428" s="8"/>
      <c r="O428" s="11"/>
      <c r="P428" s="7">
        <v>3</v>
      </c>
      <c r="Q428" s="7">
        <v>3</v>
      </c>
      <c r="T428" s="7" t="s">
        <v>234</v>
      </c>
    </row>
    <row r="429" spans="1:20" x14ac:dyDescent="0.25">
      <c r="A429" s="7" t="s">
        <v>284</v>
      </c>
      <c r="B429" s="7" t="s">
        <v>151</v>
      </c>
      <c r="C429" s="7" t="s">
        <v>149</v>
      </c>
      <c r="D429" s="7" t="s">
        <v>152</v>
      </c>
      <c r="H429" s="7">
        <v>7</v>
      </c>
      <c r="I429" s="7">
        <v>7</v>
      </c>
      <c r="J429" s="8">
        <f t="shared" si="6"/>
        <v>0.5</v>
      </c>
      <c r="K429" s="8" t="s">
        <v>30</v>
      </c>
      <c r="L429" s="8" t="s">
        <v>30</v>
      </c>
      <c r="M429" s="8"/>
      <c r="N429" s="8"/>
      <c r="O429" s="11"/>
      <c r="P429" s="7">
        <v>4</v>
      </c>
      <c r="Q429" s="7">
        <v>2</v>
      </c>
      <c r="R429" s="7">
        <v>1</v>
      </c>
      <c r="S429" s="7">
        <v>2</v>
      </c>
      <c r="T429" s="7" t="s">
        <v>149</v>
      </c>
    </row>
    <row r="430" spans="1:20" x14ac:dyDescent="0.25">
      <c r="A430" s="7" t="s">
        <v>284</v>
      </c>
      <c r="B430" s="7" t="s">
        <v>151</v>
      </c>
      <c r="C430" s="7" t="s">
        <v>155</v>
      </c>
      <c r="D430" s="7" t="s">
        <v>154</v>
      </c>
      <c r="H430" s="7">
        <v>7</v>
      </c>
      <c r="I430" s="7">
        <v>7</v>
      </c>
      <c r="J430" s="8">
        <f t="shared" si="6"/>
        <v>0.5</v>
      </c>
      <c r="K430" s="8" t="s">
        <v>30</v>
      </c>
      <c r="L430" s="8" t="s">
        <v>30</v>
      </c>
      <c r="M430" s="8"/>
      <c r="N430" s="8"/>
      <c r="O430" s="11"/>
      <c r="P430" s="7">
        <v>4</v>
      </c>
      <c r="Q430" s="7">
        <v>2</v>
      </c>
      <c r="R430" s="7">
        <v>1</v>
      </c>
      <c r="S430" s="7">
        <v>2</v>
      </c>
      <c r="T430" s="7" t="s">
        <v>155</v>
      </c>
    </row>
    <row r="431" spans="1:20" x14ac:dyDescent="0.25">
      <c r="A431" s="7" t="s">
        <v>284</v>
      </c>
      <c r="B431" s="7" t="s">
        <v>151</v>
      </c>
      <c r="C431" s="7" t="s">
        <v>285</v>
      </c>
      <c r="D431" s="7" t="s">
        <v>173</v>
      </c>
      <c r="H431" s="7">
        <v>7</v>
      </c>
      <c r="I431" s="7">
        <v>7</v>
      </c>
      <c r="J431" s="8">
        <f t="shared" si="6"/>
        <v>0.5</v>
      </c>
      <c r="K431" s="8" t="s">
        <v>30</v>
      </c>
      <c r="L431" s="8"/>
      <c r="M431" s="8"/>
      <c r="N431" s="8"/>
      <c r="O431" s="11"/>
      <c r="P431" s="7">
        <v>0</v>
      </c>
      <c r="Q431" s="7">
        <v>6</v>
      </c>
      <c r="T431" s="7" t="s">
        <v>582</v>
      </c>
    </row>
    <row r="432" spans="1:20" x14ac:dyDescent="0.25">
      <c r="A432" s="7" t="s">
        <v>284</v>
      </c>
      <c r="B432" s="7" t="s">
        <v>151</v>
      </c>
      <c r="C432" s="7" t="s">
        <v>257</v>
      </c>
      <c r="D432" s="7" t="s">
        <v>215</v>
      </c>
      <c r="H432" s="7">
        <v>6</v>
      </c>
      <c r="I432" s="7">
        <v>8</v>
      </c>
      <c r="J432" s="8">
        <f t="shared" si="6"/>
        <v>0.42857142857142855</v>
      </c>
      <c r="K432" s="8" t="s">
        <v>30</v>
      </c>
      <c r="L432" s="8"/>
      <c r="M432" s="8"/>
      <c r="N432" s="8"/>
      <c r="O432" s="11"/>
      <c r="P432" s="7">
        <v>3</v>
      </c>
      <c r="Q432" s="7">
        <v>3</v>
      </c>
      <c r="T432" s="7" t="s">
        <v>257</v>
      </c>
    </row>
    <row r="433" spans="1:20" x14ac:dyDescent="0.25">
      <c r="A433" s="7" t="s">
        <v>284</v>
      </c>
      <c r="B433" s="7" t="s">
        <v>151</v>
      </c>
      <c r="C433" s="7" t="s">
        <v>156</v>
      </c>
      <c r="D433" s="7" t="s">
        <v>157</v>
      </c>
      <c r="H433" s="7">
        <v>5</v>
      </c>
      <c r="I433" s="7">
        <v>9</v>
      </c>
      <c r="J433" s="8">
        <f t="shared" si="6"/>
        <v>0.35714285714285715</v>
      </c>
      <c r="K433" s="8" t="s">
        <v>30</v>
      </c>
      <c r="L433" s="8"/>
      <c r="M433" s="8"/>
      <c r="N433" s="8"/>
      <c r="O433" s="11"/>
      <c r="P433" s="7">
        <v>1</v>
      </c>
      <c r="Q433" s="7">
        <v>5</v>
      </c>
      <c r="T433" s="7" t="s">
        <v>156</v>
      </c>
    </row>
    <row r="434" spans="1:20" x14ac:dyDescent="0.25">
      <c r="A434" s="7" t="s">
        <v>284</v>
      </c>
      <c r="B434" s="7" t="s">
        <v>151</v>
      </c>
      <c r="C434" s="7" t="s">
        <v>170</v>
      </c>
      <c r="D434" s="7" t="s">
        <v>171</v>
      </c>
      <c r="H434" s="7">
        <v>5</v>
      </c>
      <c r="I434" s="7">
        <v>9</v>
      </c>
      <c r="J434" s="8">
        <f t="shared" si="6"/>
        <v>0.35714285714285715</v>
      </c>
      <c r="K434" s="8"/>
      <c r="L434" s="8"/>
      <c r="M434" s="8"/>
      <c r="N434" s="8"/>
      <c r="O434" s="11"/>
      <c r="T434" s="7" t="s">
        <v>170</v>
      </c>
    </row>
    <row r="435" spans="1:20" x14ac:dyDescent="0.25">
      <c r="A435" s="7" t="s">
        <v>284</v>
      </c>
      <c r="B435" s="7" t="s">
        <v>151</v>
      </c>
      <c r="C435" s="7" t="s">
        <v>274</v>
      </c>
      <c r="D435" s="7" t="s">
        <v>220</v>
      </c>
      <c r="H435" s="7">
        <v>5</v>
      </c>
      <c r="I435" s="7">
        <v>9</v>
      </c>
      <c r="J435" s="8">
        <f t="shared" si="6"/>
        <v>0.35714285714285715</v>
      </c>
      <c r="K435" s="8"/>
      <c r="L435" s="8"/>
      <c r="M435" s="8"/>
      <c r="N435" s="8"/>
      <c r="O435" s="11"/>
      <c r="T435" s="7" t="s">
        <v>244</v>
      </c>
    </row>
    <row r="436" spans="1:20" x14ac:dyDescent="0.25">
      <c r="A436" s="7" t="s">
        <v>284</v>
      </c>
      <c r="B436" s="7" t="s">
        <v>151</v>
      </c>
      <c r="C436" s="7" t="s">
        <v>242</v>
      </c>
      <c r="D436" s="7" t="s">
        <v>243</v>
      </c>
      <c r="H436" s="7">
        <v>5</v>
      </c>
      <c r="I436" s="7">
        <v>9</v>
      </c>
      <c r="J436" s="8">
        <f t="shared" si="6"/>
        <v>0.35714285714285715</v>
      </c>
      <c r="K436" s="8"/>
      <c r="L436" s="8"/>
      <c r="M436" s="8"/>
      <c r="N436" s="8"/>
      <c r="O436" s="11"/>
      <c r="T436" s="7" t="s">
        <v>241</v>
      </c>
    </row>
    <row r="437" spans="1:20" x14ac:dyDescent="0.25">
      <c r="A437" s="7" t="s">
        <v>284</v>
      </c>
      <c r="B437" s="7" t="s">
        <v>151</v>
      </c>
      <c r="C437" s="7" t="s">
        <v>280</v>
      </c>
      <c r="D437" s="7" t="s">
        <v>164</v>
      </c>
      <c r="H437" s="7">
        <v>4</v>
      </c>
      <c r="I437" s="7">
        <v>10</v>
      </c>
      <c r="J437" s="8">
        <f t="shared" si="6"/>
        <v>0.2857142857142857</v>
      </c>
      <c r="K437" s="8"/>
      <c r="L437" s="8"/>
      <c r="M437" s="8"/>
      <c r="N437" s="8"/>
      <c r="O437" s="11"/>
      <c r="T437" s="7" t="s">
        <v>279</v>
      </c>
    </row>
    <row r="438" spans="1:20" x14ac:dyDescent="0.25">
      <c r="A438" s="7" t="s">
        <v>284</v>
      </c>
      <c r="B438" s="7" t="s">
        <v>151</v>
      </c>
      <c r="C438" s="7" t="s">
        <v>230</v>
      </c>
      <c r="D438" s="7" t="s">
        <v>171</v>
      </c>
      <c r="H438" s="7">
        <v>4</v>
      </c>
      <c r="I438" s="7">
        <v>10</v>
      </c>
      <c r="J438" s="8">
        <f t="shared" si="6"/>
        <v>0.2857142857142857</v>
      </c>
      <c r="K438" s="8"/>
      <c r="L438" s="8"/>
      <c r="M438" s="8"/>
      <c r="N438" s="8"/>
      <c r="O438" s="11"/>
      <c r="T438" s="7" t="s">
        <v>584</v>
      </c>
    </row>
    <row r="439" spans="1:20" x14ac:dyDescent="0.25">
      <c r="A439" s="7" t="s">
        <v>284</v>
      </c>
      <c r="B439" s="7" t="s">
        <v>151</v>
      </c>
      <c r="C439" s="7" t="s">
        <v>217</v>
      </c>
      <c r="D439" s="7" t="s">
        <v>164</v>
      </c>
      <c r="H439" s="7">
        <v>3</v>
      </c>
      <c r="I439" s="7">
        <v>11</v>
      </c>
      <c r="J439" s="8">
        <f t="shared" si="6"/>
        <v>0.21428571428571427</v>
      </c>
      <c r="K439" s="8"/>
      <c r="L439" s="8"/>
      <c r="M439" s="8"/>
      <c r="N439" s="8"/>
      <c r="O439" s="11"/>
      <c r="T439" s="7" t="s">
        <v>217</v>
      </c>
    </row>
    <row r="440" spans="1:20" x14ac:dyDescent="0.25">
      <c r="A440" s="7" t="s">
        <v>284</v>
      </c>
      <c r="B440" s="7" t="s">
        <v>151</v>
      </c>
      <c r="C440" s="7" t="s">
        <v>286</v>
      </c>
      <c r="D440" s="7" t="s">
        <v>152</v>
      </c>
      <c r="H440" s="7">
        <v>3</v>
      </c>
      <c r="I440" s="7">
        <v>11</v>
      </c>
      <c r="J440" s="8">
        <f t="shared" si="6"/>
        <v>0.21428571428571427</v>
      </c>
      <c r="K440" s="8"/>
      <c r="L440" s="8"/>
      <c r="M440" s="8"/>
      <c r="N440" s="8"/>
      <c r="O440" s="11"/>
      <c r="T440" s="7" t="s">
        <v>286</v>
      </c>
    </row>
    <row r="441" spans="1:20" x14ac:dyDescent="0.25">
      <c r="A441" s="7" t="s">
        <v>284</v>
      </c>
      <c r="B441" s="7" t="s">
        <v>151</v>
      </c>
      <c r="C441" s="7" t="s">
        <v>174</v>
      </c>
      <c r="D441" s="7" t="s">
        <v>166</v>
      </c>
      <c r="H441" s="7">
        <v>2</v>
      </c>
      <c r="I441" s="7">
        <v>12</v>
      </c>
      <c r="J441" s="8">
        <f t="shared" si="6"/>
        <v>0.14285714285714285</v>
      </c>
      <c r="K441" s="8"/>
      <c r="L441" s="8"/>
      <c r="M441" s="8"/>
      <c r="N441" s="8"/>
      <c r="O441" s="11"/>
      <c r="T441" s="7" t="s">
        <v>174</v>
      </c>
    </row>
    <row r="442" spans="1:20" x14ac:dyDescent="0.25">
      <c r="A442" s="7" t="s">
        <v>287</v>
      </c>
      <c r="B442" s="7" t="s">
        <v>151</v>
      </c>
      <c r="C442" s="7" t="s">
        <v>188</v>
      </c>
      <c r="D442" s="7" t="s">
        <v>187</v>
      </c>
      <c r="H442" s="7">
        <v>14</v>
      </c>
      <c r="I442" s="7">
        <v>0</v>
      </c>
      <c r="J442" s="8">
        <f t="shared" si="6"/>
        <v>1</v>
      </c>
      <c r="K442" s="8" t="s">
        <v>30</v>
      </c>
      <c r="L442" s="8" t="s">
        <v>30</v>
      </c>
      <c r="M442" s="8" t="s">
        <v>30</v>
      </c>
      <c r="N442" s="8"/>
      <c r="O442" s="11"/>
      <c r="P442" s="7">
        <v>5</v>
      </c>
      <c r="Q442" s="7">
        <v>1</v>
      </c>
      <c r="R442" s="7">
        <v>2</v>
      </c>
      <c r="S442" s="7">
        <v>0</v>
      </c>
      <c r="T442" s="7" t="s">
        <v>188</v>
      </c>
    </row>
    <row r="443" spans="1:20" x14ac:dyDescent="0.25">
      <c r="A443" s="7" t="s">
        <v>287</v>
      </c>
      <c r="B443" s="7" t="s">
        <v>151</v>
      </c>
      <c r="C443" s="7" t="s">
        <v>169</v>
      </c>
      <c r="D443" s="7" t="s">
        <v>161</v>
      </c>
      <c r="H443" s="7">
        <v>10</v>
      </c>
      <c r="I443" s="7">
        <v>4</v>
      </c>
      <c r="J443" s="8">
        <f t="shared" si="6"/>
        <v>0.7142857142857143</v>
      </c>
      <c r="K443" s="8" t="s">
        <v>30</v>
      </c>
      <c r="L443" s="8" t="s">
        <v>30</v>
      </c>
      <c r="M443" s="8" t="s">
        <v>30</v>
      </c>
      <c r="N443" s="8" t="s">
        <v>30</v>
      </c>
      <c r="O443" s="11" t="s">
        <v>30</v>
      </c>
      <c r="P443" s="7">
        <v>6</v>
      </c>
      <c r="Q443" s="7">
        <v>0</v>
      </c>
      <c r="R443" s="7">
        <v>2</v>
      </c>
      <c r="S443" s="7">
        <v>0</v>
      </c>
      <c r="T443" s="7" t="s">
        <v>169</v>
      </c>
    </row>
    <row r="444" spans="1:20" x14ac:dyDescent="0.25">
      <c r="A444" s="7" t="s">
        <v>287</v>
      </c>
      <c r="B444" s="7" t="s">
        <v>151</v>
      </c>
      <c r="C444" s="7" t="s">
        <v>162</v>
      </c>
      <c r="D444" s="7" t="s">
        <v>152</v>
      </c>
      <c r="H444" s="7">
        <v>8</v>
      </c>
      <c r="I444" s="7">
        <v>6</v>
      </c>
      <c r="J444" s="8">
        <f t="shared" si="6"/>
        <v>0.5714285714285714</v>
      </c>
      <c r="K444" s="8" t="s">
        <v>30</v>
      </c>
      <c r="L444" s="8" t="s">
        <v>30</v>
      </c>
      <c r="M444" s="8" t="s">
        <v>30</v>
      </c>
      <c r="N444" s="8"/>
      <c r="O444" s="11"/>
      <c r="P444" s="7">
        <v>4</v>
      </c>
      <c r="Q444" s="7">
        <v>2</v>
      </c>
      <c r="R444" s="7">
        <v>2</v>
      </c>
      <c r="S444" s="7">
        <v>1</v>
      </c>
      <c r="T444" s="7" t="s">
        <v>162</v>
      </c>
    </row>
    <row r="445" spans="1:20" x14ac:dyDescent="0.25">
      <c r="A445" s="7" t="s">
        <v>287</v>
      </c>
      <c r="B445" s="7" t="s">
        <v>151</v>
      </c>
      <c r="C445" s="7" t="s">
        <v>265</v>
      </c>
      <c r="D445" s="7" t="s">
        <v>154</v>
      </c>
      <c r="H445" s="7">
        <v>6</v>
      </c>
      <c r="I445" s="7">
        <v>8</v>
      </c>
      <c r="J445" s="8">
        <f t="shared" si="6"/>
        <v>0.42857142857142855</v>
      </c>
      <c r="K445" s="8" t="s">
        <v>30</v>
      </c>
      <c r="L445" s="8" t="s">
        <v>30</v>
      </c>
      <c r="M445" s="8" t="s">
        <v>30</v>
      </c>
      <c r="N445" s="8" t="s">
        <v>30</v>
      </c>
      <c r="O445" s="11"/>
      <c r="P445" s="7">
        <v>4</v>
      </c>
      <c r="Q445" s="7">
        <v>2</v>
      </c>
      <c r="R445" s="7">
        <v>2</v>
      </c>
      <c r="S445" s="7">
        <v>0</v>
      </c>
      <c r="T445" s="7" t="s">
        <v>177</v>
      </c>
    </row>
    <row r="446" spans="1:20" x14ac:dyDescent="0.25">
      <c r="A446" s="7" t="s">
        <v>287</v>
      </c>
      <c r="B446" s="7" t="s">
        <v>151</v>
      </c>
      <c r="C446" s="7" t="s">
        <v>178</v>
      </c>
      <c r="D446" s="7" t="s">
        <v>157</v>
      </c>
      <c r="H446" s="7">
        <v>12</v>
      </c>
      <c r="I446" s="7">
        <v>2</v>
      </c>
      <c r="J446" s="8">
        <f t="shared" si="6"/>
        <v>0.8571428571428571</v>
      </c>
      <c r="K446" s="8" t="s">
        <v>30</v>
      </c>
      <c r="L446" s="8" t="s">
        <v>30</v>
      </c>
      <c r="M446" s="8"/>
      <c r="N446" s="8"/>
      <c r="O446" s="11"/>
      <c r="P446" s="7">
        <v>4</v>
      </c>
      <c r="Q446" s="7">
        <v>2</v>
      </c>
      <c r="R446" s="7">
        <v>1</v>
      </c>
      <c r="S446" s="7">
        <v>2</v>
      </c>
      <c r="T446" s="7" t="s">
        <v>178</v>
      </c>
    </row>
    <row r="447" spans="1:20" x14ac:dyDescent="0.25">
      <c r="A447" s="7" t="s">
        <v>287</v>
      </c>
      <c r="B447" s="7" t="s">
        <v>151</v>
      </c>
      <c r="C447" s="7" t="s">
        <v>176</v>
      </c>
      <c r="D447" s="7" t="s">
        <v>171</v>
      </c>
      <c r="H447" s="7">
        <v>12</v>
      </c>
      <c r="I447" s="7">
        <v>2</v>
      </c>
      <c r="J447" s="8">
        <f t="shared" si="6"/>
        <v>0.8571428571428571</v>
      </c>
      <c r="K447" s="8" t="s">
        <v>30</v>
      </c>
      <c r="L447" s="8"/>
      <c r="M447" s="8"/>
      <c r="N447" s="8"/>
      <c r="O447" s="11"/>
      <c r="P447" s="7">
        <v>4</v>
      </c>
      <c r="Q447" s="7">
        <v>2</v>
      </c>
      <c r="T447" s="7" t="s">
        <v>176</v>
      </c>
    </row>
    <row r="448" spans="1:20" x14ac:dyDescent="0.25">
      <c r="A448" s="7" t="s">
        <v>287</v>
      </c>
      <c r="B448" s="7" t="s">
        <v>151</v>
      </c>
      <c r="C448" s="7" t="s">
        <v>581</v>
      </c>
      <c r="D448" s="7" t="s">
        <v>154</v>
      </c>
      <c r="H448" s="7">
        <v>9</v>
      </c>
      <c r="I448" s="7">
        <v>5</v>
      </c>
      <c r="J448" s="8">
        <f t="shared" si="6"/>
        <v>0.6428571428571429</v>
      </c>
      <c r="K448" s="8" t="s">
        <v>30</v>
      </c>
      <c r="L448" s="8"/>
      <c r="M448" s="8"/>
      <c r="N448" s="8"/>
      <c r="O448" s="11"/>
      <c r="P448" s="7">
        <v>2</v>
      </c>
      <c r="Q448" s="7">
        <v>4</v>
      </c>
      <c r="T448" s="7" t="s">
        <v>581</v>
      </c>
    </row>
    <row r="449" spans="1:20" x14ac:dyDescent="0.25">
      <c r="A449" s="7" t="s">
        <v>287</v>
      </c>
      <c r="B449" s="7" t="s">
        <v>151</v>
      </c>
      <c r="C449" s="7" t="s">
        <v>278</v>
      </c>
      <c r="D449" s="7" t="s">
        <v>171</v>
      </c>
      <c r="H449" s="7">
        <v>8</v>
      </c>
      <c r="I449" s="7">
        <v>6</v>
      </c>
      <c r="J449" s="8">
        <f t="shared" si="6"/>
        <v>0.5714285714285714</v>
      </c>
      <c r="K449" s="8" t="s">
        <v>30</v>
      </c>
      <c r="L449" s="8" t="s">
        <v>30</v>
      </c>
      <c r="M449" s="8"/>
      <c r="N449" s="8"/>
      <c r="O449" s="11"/>
      <c r="P449" s="7">
        <v>4</v>
      </c>
      <c r="Q449" s="7">
        <v>2</v>
      </c>
      <c r="R449" s="7">
        <v>0</v>
      </c>
      <c r="S449" s="7">
        <v>2</v>
      </c>
      <c r="T449" s="7" t="s">
        <v>278</v>
      </c>
    </row>
    <row r="450" spans="1:20" x14ac:dyDescent="0.25">
      <c r="A450" s="7" t="s">
        <v>287</v>
      </c>
      <c r="B450" s="7" t="s">
        <v>151</v>
      </c>
      <c r="C450" s="7" t="s">
        <v>257</v>
      </c>
      <c r="D450" s="7" t="s">
        <v>215</v>
      </c>
      <c r="H450" s="7">
        <v>8</v>
      </c>
      <c r="I450" s="7">
        <v>6</v>
      </c>
      <c r="J450" s="8">
        <f t="shared" ref="J450:J513" si="7">H450/SUM(H450:I450)</f>
        <v>0.5714285714285714</v>
      </c>
      <c r="K450" s="8" t="s">
        <v>30</v>
      </c>
      <c r="L450" s="8"/>
      <c r="M450" s="8"/>
      <c r="N450" s="8"/>
      <c r="O450" s="11"/>
      <c r="P450" s="7">
        <v>1</v>
      </c>
      <c r="Q450" s="7">
        <v>5</v>
      </c>
      <c r="T450" s="7" t="s">
        <v>257</v>
      </c>
    </row>
    <row r="451" spans="1:20" x14ac:dyDescent="0.25">
      <c r="A451" s="7" t="s">
        <v>287</v>
      </c>
      <c r="B451" s="7" t="s">
        <v>151</v>
      </c>
      <c r="C451" s="7" t="s">
        <v>158</v>
      </c>
      <c r="D451" s="7" t="s">
        <v>159</v>
      </c>
      <c r="H451" s="7">
        <v>8</v>
      </c>
      <c r="I451" s="7">
        <v>6</v>
      </c>
      <c r="J451" s="8">
        <f t="shared" si="7"/>
        <v>0.5714285714285714</v>
      </c>
      <c r="K451" s="8" t="s">
        <v>30</v>
      </c>
      <c r="L451" s="8"/>
      <c r="M451" s="8"/>
      <c r="N451" s="8"/>
      <c r="O451" s="11"/>
      <c r="P451" s="7">
        <v>0</v>
      </c>
      <c r="Q451" s="7">
        <v>6</v>
      </c>
      <c r="T451" s="7" t="s">
        <v>158</v>
      </c>
    </row>
    <row r="452" spans="1:20" x14ac:dyDescent="0.25">
      <c r="A452" s="7" t="s">
        <v>287</v>
      </c>
      <c r="B452" s="7" t="s">
        <v>151</v>
      </c>
      <c r="C452" s="7" t="s">
        <v>286</v>
      </c>
      <c r="D452" s="7" t="s">
        <v>152</v>
      </c>
      <c r="H452" s="7">
        <v>7</v>
      </c>
      <c r="I452" s="7">
        <v>7</v>
      </c>
      <c r="J452" s="8">
        <f t="shared" si="7"/>
        <v>0.5</v>
      </c>
      <c r="K452" s="8" t="s">
        <v>30</v>
      </c>
      <c r="L452" s="8"/>
      <c r="M452" s="8"/>
      <c r="N452" s="8"/>
      <c r="O452" s="11"/>
      <c r="P452" s="7">
        <v>4</v>
      </c>
      <c r="Q452" s="7">
        <v>2</v>
      </c>
      <c r="T452" s="7" t="s">
        <v>286</v>
      </c>
    </row>
    <row r="453" spans="1:20" x14ac:dyDescent="0.25">
      <c r="A453" s="7" t="s">
        <v>287</v>
      </c>
      <c r="B453" s="7" t="s">
        <v>151</v>
      </c>
      <c r="C453" s="7" t="s">
        <v>289</v>
      </c>
      <c r="D453" s="7" t="s">
        <v>171</v>
      </c>
      <c r="H453" s="7">
        <v>7</v>
      </c>
      <c r="I453" s="7">
        <v>7</v>
      </c>
      <c r="J453" s="8">
        <f t="shared" si="7"/>
        <v>0.5</v>
      </c>
      <c r="K453" s="8" t="s">
        <v>30</v>
      </c>
      <c r="L453" s="8" t="s">
        <v>30</v>
      </c>
      <c r="M453" s="8"/>
      <c r="N453" s="8"/>
      <c r="O453" s="11"/>
      <c r="P453" s="7">
        <v>3</v>
      </c>
      <c r="Q453" s="7">
        <v>3</v>
      </c>
      <c r="R453" s="7">
        <v>0</v>
      </c>
      <c r="S453" s="7">
        <v>2</v>
      </c>
      <c r="T453" s="7" t="s">
        <v>288</v>
      </c>
    </row>
    <row r="454" spans="1:20" x14ac:dyDescent="0.25">
      <c r="A454" s="7" t="s">
        <v>287</v>
      </c>
      <c r="B454" s="7" t="s">
        <v>151</v>
      </c>
      <c r="C454" s="7" t="s">
        <v>156</v>
      </c>
      <c r="D454" s="7" t="s">
        <v>157</v>
      </c>
      <c r="H454" s="7">
        <v>7</v>
      </c>
      <c r="I454" s="7">
        <v>7</v>
      </c>
      <c r="J454" s="8">
        <f t="shared" si="7"/>
        <v>0.5</v>
      </c>
      <c r="K454" s="8" t="s">
        <v>30</v>
      </c>
      <c r="L454" s="8" t="s">
        <v>30</v>
      </c>
      <c r="M454" s="8"/>
      <c r="N454" s="8"/>
      <c r="O454" s="11"/>
      <c r="P454" s="7">
        <v>3</v>
      </c>
      <c r="Q454" s="7">
        <v>3</v>
      </c>
      <c r="R454" s="7">
        <v>0</v>
      </c>
      <c r="S454" s="7">
        <v>2</v>
      </c>
      <c r="T454" s="7" t="s">
        <v>156</v>
      </c>
    </row>
    <row r="455" spans="1:20" x14ac:dyDescent="0.25">
      <c r="A455" s="7" t="s">
        <v>287</v>
      </c>
      <c r="B455" s="7" t="s">
        <v>151</v>
      </c>
      <c r="C455" s="7" t="s">
        <v>230</v>
      </c>
      <c r="D455" s="7" t="s">
        <v>171</v>
      </c>
      <c r="H455" s="7">
        <v>7</v>
      </c>
      <c r="I455" s="7">
        <v>7</v>
      </c>
      <c r="J455" s="8">
        <f t="shared" si="7"/>
        <v>0.5</v>
      </c>
      <c r="K455" s="8" t="s">
        <v>30</v>
      </c>
      <c r="L455" s="8"/>
      <c r="M455" s="8"/>
      <c r="N455" s="8"/>
      <c r="O455" s="11"/>
      <c r="P455" s="7">
        <v>2</v>
      </c>
      <c r="Q455" s="7">
        <v>4</v>
      </c>
      <c r="T455" s="7" t="s">
        <v>584</v>
      </c>
    </row>
    <row r="456" spans="1:20" x14ac:dyDescent="0.25">
      <c r="A456" s="7" t="s">
        <v>287</v>
      </c>
      <c r="B456" s="7" t="s">
        <v>151</v>
      </c>
      <c r="C456" s="7" t="s">
        <v>155</v>
      </c>
      <c r="D456" s="7" t="s">
        <v>154</v>
      </c>
      <c r="H456" s="7">
        <v>7</v>
      </c>
      <c r="I456" s="7">
        <v>7</v>
      </c>
      <c r="J456" s="8">
        <f t="shared" si="7"/>
        <v>0.5</v>
      </c>
      <c r="K456" s="8" t="s">
        <v>30</v>
      </c>
      <c r="L456" s="8"/>
      <c r="M456" s="8"/>
      <c r="N456" s="8"/>
      <c r="O456" s="11"/>
      <c r="P456" s="7">
        <v>2</v>
      </c>
      <c r="Q456" s="7">
        <v>4</v>
      </c>
      <c r="T456" s="7" t="s">
        <v>155</v>
      </c>
    </row>
    <row r="457" spans="1:20" x14ac:dyDescent="0.25">
      <c r="A457" s="7" t="s">
        <v>287</v>
      </c>
      <c r="B457" s="7" t="s">
        <v>151</v>
      </c>
      <c r="C457" s="7" t="s">
        <v>274</v>
      </c>
      <c r="D457" s="7" t="s">
        <v>220</v>
      </c>
      <c r="H457" s="7">
        <v>7</v>
      </c>
      <c r="I457" s="7">
        <v>7</v>
      </c>
      <c r="J457" s="8">
        <f t="shared" si="7"/>
        <v>0.5</v>
      </c>
      <c r="K457" s="8" t="s">
        <v>30</v>
      </c>
      <c r="L457" s="8"/>
      <c r="M457" s="8"/>
      <c r="N457" s="8"/>
      <c r="O457" s="11"/>
      <c r="P457" s="7">
        <v>0</v>
      </c>
      <c r="Q457" s="7">
        <v>6</v>
      </c>
      <c r="T457" s="7" t="s">
        <v>244</v>
      </c>
    </row>
    <row r="458" spans="1:20" x14ac:dyDescent="0.25">
      <c r="A458" s="7" t="s">
        <v>287</v>
      </c>
      <c r="B458" s="7" t="s">
        <v>151</v>
      </c>
      <c r="C458" s="7" t="s">
        <v>242</v>
      </c>
      <c r="D458" s="7" t="s">
        <v>243</v>
      </c>
      <c r="H458" s="7">
        <v>6</v>
      </c>
      <c r="I458" s="7">
        <v>8</v>
      </c>
      <c r="J458" s="8">
        <f t="shared" si="7"/>
        <v>0.42857142857142855</v>
      </c>
      <c r="K458" s="8"/>
      <c r="L458" s="8"/>
      <c r="M458" s="8"/>
      <c r="N458" s="8"/>
      <c r="O458" s="11"/>
      <c r="T458" s="7" t="s">
        <v>241</v>
      </c>
    </row>
    <row r="459" spans="1:20" x14ac:dyDescent="0.25">
      <c r="A459" s="7" t="s">
        <v>287</v>
      </c>
      <c r="B459" s="7" t="s">
        <v>151</v>
      </c>
      <c r="C459" s="7" t="s">
        <v>201</v>
      </c>
      <c r="D459" s="7" t="s">
        <v>154</v>
      </c>
      <c r="H459" s="7">
        <v>6</v>
      </c>
      <c r="I459" s="7">
        <v>8</v>
      </c>
      <c r="J459" s="8">
        <f t="shared" si="7"/>
        <v>0.42857142857142855</v>
      </c>
      <c r="K459" s="8"/>
      <c r="L459" s="8"/>
      <c r="M459" s="8"/>
      <c r="N459" s="8"/>
      <c r="O459" s="11"/>
      <c r="T459" s="7" t="s">
        <v>201</v>
      </c>
    </row>
    <row r="460" spans="1:20" x14ac:dyDescent="0.25">
      <c r="A460" s="7" t="s">
        <v>287</v>
      </c>
      <c r="B460" s="7" t="s">
        <v>151</v>
      </c>
      <c r="C460" s="7" t="s">
        <v>291</v>
      </c>
      <c r="D460" s="7" t="s">
        <v>173</v>
      </c>
      <c r="H460" s="7">
        <v>4</v>
      </c>
      <c r="I460" s="7">
        <v>10</v>
      </c>
      <c r="J460" s="8">
        <f t="shared" si="7"/>
        <v>0.2857142857142857</v>
      </c>
      <c r="K460" s="8"/>
      <c r="L460" s="8"/>
      <c r="M460" s="8"/>
      <c r="N460" s="8"/>
      <c r="O460" s="11"/>
      <c r="T460" s="7" t="s">
        <v>290</v>
      </c>
    </row>
    <row r="461" spans="1:20" x14ac:dyDescent="0.25">
      <c r="A461" s="7" t="s">
        <v>287</v>
      </c>
      <c r="B461" s="7" t="s">
        <v>151</v>
      </c>
      <c r="C461" s="7" t="s">
        <v>149</v>
      </c>
      <c r="D461" s="7" t="s">
        <v>152</v>
      </c>
      <c r="H461" s="7">
        <v>4</v>
      </c>
      <c r="I461" s="7">
        <v>10</v>
      </c>
      <c r="J461" s="8">
        <f t="shared" si="7"/>
        <v>0.2857142857142857</v>
      </c>
      <c r="K461" s="8"/>
      <c r="L461" s="8"/>
      <c r="M461" s="8"/>
      <c r="N461" s="8"/>
      <c r="O461" s="11"/>
      <c r="T461" s="7" t="s">
        <v>149</v>
      </c>
    </row>
    <row r="462" spans="1:20" x14ac:dyDescent="0.25">
      <c r="A462" s="7" t="s">
        <v>287</v>
      </c>
      <c r="B462" s="7" t="s">
        <v>151</v>
      </c>
      <c r="C462" s="7" t="s">
        <v>293</v>
      </c>
      <c r="D462" s="7" t="s">
        <v>154</v>
      </c>
      <c r="H462" s="7">
        <v>4</v>
      </c>
      <c r="I462" s="7">
        <v>10</v>
      </c>
      <c r="J462" s="8">
        <f t="shared" si="7"/>
        <v>0.2857142857142857</v>
      </c>
      <c r="K462" s="8"/>
      <c r="L462" s="8"/>
      <c r="M462" s="8"/>
      <c r="N462" s="8"/>
      <c r="O462" s="11"/>
      <c r="T462" s="7" t="s">
        <v>292</v>
      </c>
    </row>
    <row r="463" spans="1:20" x14ac:dyDescent="0.25">
      <c r="A463" s="7" t="s">
        <v>287</v>
      </c>
      <c r="B463" s="7" t="s">
        <v>151</v>
      </c>
      <c r="C463" s="7" t="s">
        <v>280</v>
      </c>
      <c r="D463" s="7" t="s">
        <v>164</v>
      </c>
      <c r="H463" s="7">
        <v>3</v>
      </c>
      <c r="I463" s="7">
        <v>11</v>
      </c>
      <c r="J463" s="8">
        <f t="shared" si="7"/>
        <v>0.21428571428571427</v>
      </c>
      <c r="K463" s="8"/>
      <c r="L463" s="8"/>
      <c r="M463" s="8"/>
      <c r="N463" s="8"/>
      <c r="O463" s="11"/>
      <c r="T463" s="7" t="s">
        <v>279</v>
      </c>
    </row>
    <row r="464" spans="1:20" x14ac:dyDescent="0.25">
      <c r="A464" s="7" t="s">
        <v>287</v>
      </c>
      <c r="B464" s="7" t="s">
        <v>151</v>
      </c>
      <c r="C464" s="7" t="s">
        <v>179</v>
      </c>
      <c r="D464" s="7" t="s">
        <v>164</v>
      </c>
      <c r="H464" s="7">
        <v>2</v>
      </c>
      <c r="I464" s="7">
        <v>12</v>
      </c>
      <c r="J464" s="8">
        <f t="shared" si="7"/>
        <v>0.14285714285714285</v>
      </c>
      <c r="K464" s="8"/>
      <c r="L464" s="8"/>
      <c r="M464" s="8"/>
      <c r="N464" s="8"/>
      <c r="O464" s="11"/>
      <c r="T464" s="7" t="s">
        <v>179</v>
      </c>
    </row>
    <row r="465" spans="1:20" x14ac:dyDescent="0.25">
      <c r="A465" s="7" t="s">
        <v>287</v>
      </c>
      <c r="B465" s="7" t="s">
        <v>151</v>
      </c>
      <c r="C465" s="7" t="s">
        <v>174</v>
      </c>
      <c r="D465" s="7" t="s">
        <v>166</v>
      </c>
      <c r="H465" s="7">
        <v>2</v>
      </c>
      <c r="I465" s="7">
        <v>12</v>
      </c>
      <c r="J465" s="8">
        <f t="shared" si="7"/>
        <v>0.14285714285714285</v>
      </c>
      <c r="K465" s="8"/>
      <c r="L465" s="8"/>
      <c r="M465" s="8"/>
      <c r="N465" s="8"/>
      <c r="O465" s="11"/>
      <c r="T465" s="7" t="s">
        <v>174</v>
      </c>
    </row>
    <row r="466" spans="1:20" x14ac:dyDescent="0.25">
      <c r="A466" s="7" t="s">
        <v>294</v>
      </c>
      <c r="B466" s="7" t="s">
        <v>151</v>
      </c>
      <c r="C466" s="7" t="s">
        <v>188</v>
      </c>
      <c r="D466" s="7" t="s">
        <v>187</v>
      </c>
      <c r="H466" s="7">
        <v>11</v>
      </c>
      <c r="I466" s="7">
        <v>3</v>
      </c>
      <c r="J466" s="8">
        <f t="shared" si="7"/>
        <v>0.7857142857142857</v>
      </c>
      <c r="K466" s="8" t="s">
        <v>30</v>
      </c>
      <c r="L466" s="13" t="s">
        <v>30</v>
      </c>
      <c r="M466" s="8" t="s">
        <v>30</v>
      </c>
      <c r="N466" s="8"/>
      <c r="O466" s="11"/>
      <c r="P466" s="7">
        <v>5</v>
      </c>
      <c r="Q466" s="7">
        <v>1</v>
      </c>
      <c r="R466" s="7">
        <v>1</v>
      </c>
      <c r="S466" s="7">
        <v>1</v>
      </c>
      <c r="T466" s="7" t="s">
        <v>188</v>
      </c>
    </row>
    <row r="467" spans="1:20" x14ac:dyDescent="0.25">
      <c r="A467" s="7" t="s">
        <v>294</v>
      </c>
      <c r="B467" s="7" t="s">
        <v>151</v>
      </c>
      <c r="C467" s="7" t="s">
        <v>169</v>
      </c>
      <c r="D467" s="7" t="s">
        <v>161</v>
      </c>
      <c r="H467" s="7">
        <v>11</v>
      </c>
      <c r="I467" s="7">
        <v>3</v>
      </c>
      <c r="J467" s="8">
        <f t="shared" si="7"/>
        <v>0.7857142857142857</v>
      </c>
      <c r="K467" s="8" t="s">
        <v>30</v>
      </c>
      <c r="L467" s="13" t="s">
        <v>30</v>
      </c>
      <c r="M467" s="8" t="s">
        <v>30</v>
      </c>
      <c r="N467" s="8" t="s">
        <v>30</v>
      </c>
      <c r="O467" s="11" t="s">
        <v>30</v>
      </c>
      <c r="P467" s="7">
        <v>4</v>
      </c>
      <c r="Q467" s="7">
        <v>2</v>
      </c>
      <c r="R467" s="7">
        <v>2</v>
      </c>
      <c r="S467" s="7">
        <v>0</v>
      </c>
      <c r="T467" s="7" t="s">
        <v>169</v>
      </c>
    </row>
    <row r="468" spans="1:20" x14ac:dyDescent="0.25">
      <c r="A468" s="7" t="s">
        <v>294</v>
      </c>
      <c r="B468" s="7" t="s">
        <v>151</v>
      </c>
      <c r="C468" s="7" t="s">
        <v>295</v>
      </c>
      <c r="D468" s="7" t="s">
        <v>171</v>
      </c>
      <c r="H468" s="7">
        <v>8</v>
      </c>
      <c r="I468" s="7">
        <v>6</v>
      </c>
      <c r="J468" s="8">
        <f t="shared" si="7"/>
        <v>0.5714285714285714</v>
      </c>
      <c r="K468" s="8" t="s">
        <v>30</v>
      </c>
      <c r="L468" s="13" t="s">
        <v>30</v>
      </c>
      <c r="M468" s="8" t="s">
        <v>30</v>
      </c>
      <c r="N468" s="8" t="s">
        <v>30</v>
      </c>
      <c r="O468" s="11"/>
      <c r="P468" s="7">
        <v>5</v>
      </c>
      <c r="Q468" s="7">
        <v>1</v>
      </c>
      <c r="R468" s="7">
        <v>1</v>
      </c>
      <c r="S468" s="7">
        <v>1</v>
      </c>
      <c r="T468" s="7" t="s">
        <v>295</v>
      </c>
    </row>
    <row r="469" spans="1:20" x14ac:dyDescent="0.25">
      <c r="A469" s="7" t="s">
        <v>294</v>
      </c>
      <c r="B469" s="7" t="s">
        <v>151</v>
      </c>
      <c r="C469" s="7" t="s">
        <v>230</v>
      </c>
      <c r="D469" s="7" t="s">
        <v>171</v>
      </c>
      <c r="H469" s="7">
        <v>7</v>
      </c>
      <c r="I469" s="7">
        <v>7</v>
      </c>
      <c r="J469" s="8">
        <f t="shared" si="7"/>
        <v>0.5</v>
      </c>
      <c r="K469" s="8" t="s">
        <v>30</v>
      </c>
      <c r="L469" s="13" t="s">
        <v>30</v>
      </c>
      <c r="M469" s="8" t="s">
        <v>30</v>
      </c>
      <c r="N469" s="8"/>
      <c r="O469" s="11"/>
      <c r="P469" s="7">
        <v>4</v>
      </c>
      <c r="Q469" s="7">
        <v>2</v>
      </c>
      <c r="R469" s="7">
        <v>0</v>
      </c>
      <c r="S469" s="7">
        <v>2</v>
      </c>
      <c r="T469" s="7" t="s">
        <v>584</v>
      </c>
    </row>
    <row r="470" spans="1:20" x14ac:dyDescent="0.25">
      <c r="A470" s="7" t="s">
        <v>294</v>
      </c>
      <c r="B470" s="7" t="s">
        <v>151</v>
      </c>
      <c r="C470" s="7" t="s">
        <v>581</v>
      </c>
      <c r="D470" s="7" t="s">
        <v>154</v>
      </c>
      <c r="H470" s="7">
        <v>12</v>
      </c>
      <c r="I470" s="7">
        <v>2</v>
      </c>
      <c r="J470" s="8">
        <f t="shared" si="7"/>
        <v>0.8571428571428571</v>
      </c>
      <c r="K470" s="8" t="s">
        <v>30</v>
      </c>
      <c r="L470" s="8"/>
      <c r="M470" s="8"/>
      <c r="N470" s="8"/>
      <c r="O470" s="11"/>
      <c r="P470" s="7">
        <v>2</v>
      </c>
      <c r="Q470" s="7">
        <v>4</v>
      </c>
      <c r="T470" s="7" t="s">
        <v>581</v>
      </c>
    </row>
    <row r="471" spans="1:20" x14ac:dyDescent="0.25">
      <c r="A471" s="7" t="s">
        <v>294</v>
      </c>
      <c r="B471" s="7" t="s">
        <v>151</v>
      </c>
      <c r="C471" s="7" t="s">
        <v>278</v>
      </c>
      <c r="D471" s="7" t="s">
        <v>171</v>
      </c>
      <c r="H471" s="7">
        <v>10</v>
      </c>
      <c r="I471" s="7">
        <v>4</v>
      </c>
      <c r="J471" s="8">
        <f t="shared" si="7"/>
        <v>0.7142857142857143</v>
      </c>
      <c r="K471" s="8" t="s">
        <v>30</v>
      </c>
      <c r="L471" s="13" t="s">
        <v>30</v>
      </c>
      <c r="M471" s="8"/>
      <c r="N471" s="8"/>
      <c r="O471" s="11"/>
      <c r="P471" s="7">
        <v>4</v>
      </c>
      <c r="Q471" s="7">
        <v>2</v>
      </c>
      <c r="T471" s="7" t="s">
        <v>278</v>
      </c>
    </row>
    <row r="472" spans="1:20" x14ac:dyDescent="0.25">
      <c r="A472" s="7" t="s">
        <v>294</v>
      </c>
      <c r="B472" s="7" t="s">
        <v>151</v>
      </c>
      <c r="C472" s="7" t="s">
        <v>178</v>
      </c>
      <c r="D472" s="7" t="s">
        <v>157</v>
      </c>
      <c r="H472" s="7">
        <v>10</v>
      </c>
      <c r="I472" s="7">
        <v>4</v>
      </c>
      <c r="J472" s="8">
        <f t="shared" si="7"/>
        <v>0.7142857142857143</v>
      </c>
      <c r="K472" s="8" t="s">
        <v>30</v>
      </c>
      <c r="L472" s="13" t="s">
        <v>30</v>
      </c>
      <c r="M472" s="8"/>
      <c r="N472" s="8"/>
      <c r="O472" s="11"/>
      <c r="P472" s="7">
        <v>4</v>
      </c>
      <c r="Q472" s="7">
        <v>2</v>
      </c>
      <c r="T472" s="7" t="s">
        <v>178</v>
      </c>
    </row>
    <row r="473" spans="1:20" x14ac:dyDescent="0.25">
      <c r="A473" s="7" t="s">
        <v>294</v>
      </c>
      <c r="B473" s="7" t="s">
        <v>151</v>
      </c>
      <c r="C473" s="7" t="s">
        <v>265</v>
      </c>
      <c r="D473" s="7" t="s">
        <v>154</v>
      </c>
      <c r="H473" s="7">
        <v>9</v>
      </c>
      <c r="I473" s="7">
        <v>5</v>
      </c>
      <c r="J473" s="8">
        <f t="shared" si="7"/>
        <v>0.6428571428571429</v>
      </c>
      <c r="K473" s="8" t="s">
        <v>30</v>
      </c>
      <c r="L473" s="13" t="s">
        <v>30</v>
      </c>
      <c r="M473" s="8"/>
      <c r="N473" s="8"/>
      <c r="O473" s="11"/>
      <c r="P473" s="7">
        <v>4</v>
      </c>
      <c r="Q473" s="7">
        <v>2</v>
      </c>
      <c r="T473" s="7" t="s">
        <v>177</v>
      </c>
    </row>
    <row r="474" spans="1:20" x14ac:dyDescent="0.25">
      <c r="A474" s="7" t="s">
        <v>294</v>
      </c>
      <c r="B474" s="7" t="s">
        <v>151</v>
      </c>
      <c r="C474" s="7" t="s">
        <v>153</v>
      </c>
      <c r="D474" s="7" t="s">
        <v>154</v>
      </c>
      <c r="H474" s="7">
        <v>9</v>
      </c>
      <c r="I474" s="7">
        <v>5</v>
      </c>
      <c r="J474" s="8">
        <f t="shared" si="7"/>
        <v>0.6428571428571429</v>
      </c>
      <c r="K474" s="8" t="s">
        <v>30</v>
      </c>
      <c r="L474" s="13" t="s">
        <v>30</v>
      </c>
      <c r="M474" s="8"/>
      <c r="N474" s="8"/>
      <c r="O474" s="11"/>
      <c r="P474" s="7">
        <v>4</v>
      </c>
      <c r="Q474" s="7">
        <v>2</v>
      </c>
      <c r="T474" s="7" t="s">
        <v>153</v>
      </c>
    </row>
    <row r="475" spans="1:20" x14ac:dyDescent="0.25">
      <c r="A475" s="7" t="s">
        <v>294</v>
      </c>
      <c r="B475" s="7" t="s">
        <v>151</v>
      </c>
      <c r="C475" s="7" t="s">
        <v>257</v>
      </c>
      <c r="D475" s="7" t="s">
        <v>215</v>
      </c>
      <c r="H475" s="7">
        <v>8</v>
      </c>
      <c r="I475" s="7">
        <v>6</v>
      </c>
      <c r="J475" s="8">
        <f t="shared" si="7"/>
        <v>0.5714285714285714</v>
      </c>
      <c r="K475" s="8" t="s">
        <v>30</v>
      </c>
      <c r="L475" s="8"/>
      <c r="M475" s="8"/>
      <c r="N475" s="8"/>
      <c r="O475" s="11"/>
      <c r="P475" s="7">
        <v>2</v>
      </c>
      <c r="Q475" s="7">
        <v>4</v>
      </c>
      <c r="T475" s="7" t="s">
        <v>257</v>
      </c>
    </row>
    <row r="476" spans="1:20" x14ac:dyDescent="0.25">
      <c r="A476" s="7" t="s">
        <v>294</v>
      </c>
      <c r="B476" s="7" t="s">
        <v>151</v>
      </c>
      <c r="C476" s="7" t="s">
        <v>156</v>
      </c>
      <c r="D476" s="7" t="s">
        <v>157</v>
      </c>
      <c r="H476" s="7">
        <v>8</v>
      </c>
      <c r="I476" s="7">
        <v>6</v>
      </c>
      <c r="J476" s="8">
        <f t="shared" si="7"/>
        <v>0.5714285714285714</v>
      </c>
      <c r="K476" s="8" t="s">
        <v>30</v>
      </c>
      <c r="L476" s="8"/>
      <c r="M476" s="8"/>
      <c r="N476" s="8"/>
      <c r="O476" s="11"/>
      <c r="P476" s="7">
        <v>1</v>
      </c>
      <c r="Q476" s="7">
        <v>5</v>
      </c>
      <c r="T476" s="7" t="s">
        <v>156</v>
      </c>
    </row>
    <row r="477" spans="1:20" x14ac:dyDescent="0.25">
      <c r="A477" s="7" t="s">
        <v>294</v>
      </c>
      <c r="B477" s="7" t="s">
        <v>151</v>
      </c>
      <c r="C477" s="7" t="s">
        <v>162</v>
      </c>
      <c r="D477" s="7" t="s">
        <v>152</v>
      </c>
      <c r="H477" s="7">
        <v>7</v>
      </c>
      <c r="I477" s="7">
        <v>7</v>
      </c>
      <c r="J477" s="8">
        <f t="shared" si="7"/>
        <v>0.5</v>
      </c>
      <c r="K477" s="8" t="s">
        <v>30</v>
      </c>
      <c r="L477" s="8"/>
      <c r="M477" s="8"/>
      <c r="N477" s="8"/>
      <c r="O477" s="11"/>
      <c r="P477" s="7">
        <v>2</v>
      </c>
      <c r="Q477" s="7">
        <v>4</v>
      </c>
      <c r="T477" s="7" t="s">
        <v>162</v>
      </c>
    </row>
    <row r="478" spans="1:20" x14ac:dyDescent="0.25">
      <c r="A478" s="7" t="s">
        <v>294</v>
      </c>
      <c r="B478" s="7" t="s">
        <v>151</v>
      </c>
      <c r="C478" s="7" t="s">
        <v>149</v>
      </c>
      <c r="D478" s="7" t="s">
        <v>152</v>
      </c>
      <c r="H478" s="7">
        <v>7</v>
      </c>
      <c r="I478" s="7">
        <v>7</v>
      </c>
      <c r="J478" s="8">
        <f t="shared" si="7"/>
        <v>0.5</v>
      </c>
      <c r="K478" s="8" t="s">
        <v>30</v>
      </c>
      <c r="L478" s="8"/>
      <c r="M478" s="8"/>
      <c r="N478" s="8"/>
      <c r="O478" s="11"/>
      <c r="P478" s="7">
        <v>1</v>
      </c>
      <c r="Q478" s="7">
        <v>5</v>
      </c>
      <c r="T478" s="7" t="s">
        <v>149</v>
      </c>
    </row>
    <row r="479" spans="1:20" x14ac:dyDescent="0.25">
      <c r="A479" s="7" t="s">
        <v>294</v>
      </c>
      <c r="B479" s="7" t="s">
        <v>151</v>
      </c>
      <c r="C479" s="7" t="s">
        <v>158</v>
      </c>
      <c r="D479" s="7" t="s">
        <v>159</v>
      </c>
      <c r="H479" s="7">
        <v>6</v>
      </c>
      <c r="I479" s="7">
        <v>8</v>
      </c>
      <c r="J479" s="8">
        <f t="shared" si="7"/>
        <v>0.42857142857142855</v>
      </c>
      <c r="K479" s="8" t="s">
        <v>30</v>
      </c>
      <c r="L479" s="8"/>
      <c r="M479" s="8"/>
      <c r="N479" s="8"/>
      <c r="O479" s="11"/>
      <c r="P479" s="7">
        <v>3</v>
      </c>
      <c r="Q479" s="7">
        <v>3</v>
      </c>
      <c r="T479" s="7" t="s">
        <v>158</v>
      </c>
    </row>
    <row r="480" spans="1:20" x14ac:dyDescent="0.25">
      <c r="A480" s="7" t="s">
        <v>294</v>
      </c>
      <c r="B480" s="7" t="s">
        <v>151</v>
      </c>
      <c r="C480" s="7" t="s">
        <v>280</v>
      </c>
      <c r="D480" s="7" t="s">
        <v>164</v>
      </c>
      <c r="H480" s="7">
        <v>6</v>
      </c>
      <c r="I480" s="7">
        <v>8</v>
      </c>
      <c r="J480" s="8">
        <f t="shared" si="7"/>
        <v>0.42857142857142855</v>
      </c>
      <c r="K480" s="8" t="s">
        <v>30</v>
      </c>
      <c r="L480" s="8"/>
      <c r="M480" s="8"/>
      <c r="N480" s="8"/>
      <c r="O480" s="11"/>
      <c r="P480" s="7">
        <v>2</v>
      </c>
      <c r="Q480" s="7">
        <v>4</v>
      </c>
      <c r="T480" s="7" t="s">
        <v>279</v>
      </c>
    </row>
    <row r="481" spans="1:20" x14ac:dyDescent="0.25">
      <c r="A481" s="7" t="s">
        <v>294</v>
      </c>
      <c r="B481" s="7" t="s">
        <v>151</v>
      </c>
      <c r="C481" s="7" t="s">
        <v>242</v>
      </c>
      <c r="D481" s="7" t="s">
        <v>243</v>
      </c>
      <c r="H481" s="7">
        <v>6</v>
      </c>
      <c r="I481" s="7">
        <v>8</v>
      </c>
      <c r="J481" s="8">
        <f t="shared" si="7"/>
        <v>0.42857142857142855</v>
      </c>
      <c r="K481" s="8" t="s">
        <v>30</v>
      </c>
      <c r="L481" s="8"/>
      <c r="M481" s="8"/>
      <c r="N481" s="8"/>
      <c r="O481" s="11"/>
      <c r="P481" s="7">
        <v>1</v>
      </c>
      <c r="Q481" s="7">
        <v>5</v>
      </c>
      <c r="T481" s="7" t="s">
        <v>241</v>
      </c>
    </row>
    <row r="482" spans="1:20" x14ac:dyDescent="0.25">
      <c r="A482" s="7" t="s">
        <v>294</v>
      </c>
      <c r="B482" s="7" t="s">
        <v>151</v>
      </c>
      <c r="C482" s="7" t="s">
        <v>286</v>
      </c>
      <c r="D482" s="7" t="s">
        <v>152</v>
      </c>
      <c r="H482" s="7">
        <v>6</v>
      </c>
      <c r="I482" s="7">
        <v>8</v>
      </c>
      <c r="J482" s="8">
        <f t="shared" si="7"/>
        <v>0.42857142857142855</v>
      </c>
      <c r="K482" s="8"/>
      <c r="L482" s="8"/>
      <c r="M482" s="8"/>
      <c r="N482" s="8"/>
      <c r="O482" s="11"/>
      <c r="T482" s="7" t="s">
        <v>286</v>
      </c>
    </row>
    <row r="483" spans="1:20" x14ac:dyDescent="0.25">
      <c r="A483" s="7" t="s">
        <v>294</v>
      </c>
      <c r="B483" s="7" t="s">
        <v>151</v>
      </c>
      <c r="C483" s="7" t="s">
        <v>296</v>
      </c>
      <c r="D483" s="7" t="s">
        <v>220</v>
      </c>
      <c r="H483" s="7">
        <v>6</v>
      </c>
      <c r="I483" s="7">
        <v>8</v>
      </c>
      <c r="J483" s="8">
        <f t="shared" si="7"/>
        <v>0.42857142857142855</v>
      </c>
      <c r="K483" s="8"/>
      <c r="L483" s="8"/>
      <c r="M483" s="8"/>
      <c r="N483" s="8"/>
      <c r="O483" s="11"/>
      <c r="T483" s="7" t="s">
        <v>296</v>
      </c>
    </row>
    <row r="484" spans="1:20" x14ac:dyDescent="0.25">
      <c r="A484" s="7" t="s">
        <v>294</v>
      </c>
      <c r="B484" s="7" t="s">
        <v>151</v>
      </c>
      <c r="C484" s="7" t="s">
        <v>174</v>
      </c>
      <c r="D484" s="7" t="s">
        <v>166</v>
      </c>
      <c r="H484" s="7">
        <v>6</v>
      </c>
      <c r="I484" s="7">
        <v>8</v>
      </c>
      <c r="J484" s="8">
        <f t="shared" si="7"/>
        <v>0.42857142857142855</v>
      </c>
      <c r="K484" s="8"/>
      <c r="L484" s="8"/>
      <c r="M484" s="8"/>
      <c r="N484" s="8"/>
      <c r="O484" s="11"/>
      <c r="T484" s="7" t="s">
        <v>174</v>
      </c>
    </row>
    <row r="485" spans="1:20" x14ac:dyDescent="0.25">
      <c r="A485" s="7" t="s">
        <v>294</v>
      </c>
      <c r="B485" s="7" t="s">
        <v>151</v>
      </c>
      <c r="C485" s="7" t="s">
        <v>255</v>
      </c>
      <c r="D485" s="7" t="s">
        <v>171</v>
      </c>
      <c r="H485" s="7">
        <v>4</v>
      </c>
      <c r="I485" s="7">
        <v>10</v>
      </c>
      <c r="J485" s="8">
        <f t="shared" si="7"/>
        <v>0.2857142857142857</v>
      </c>
      <c r="K485" s="8"/>
      <c r="L485" s="8"/>
      <c r="M485" s="8"/>
      <c r="N485" s="8"/>
      <c r="O485" s="11"/>
      <c r="T485" s="7" t="s">
        <v>255</v>
      </c>
    </row>
    <row r="486" spans="1:20" x14ac:dyDescent="0.25">
      <c r="A486" s="7" t="s">
        <v>294</v>
      </c>
      <c r="B486" s="7" t="s">
        <v>151</v>
      </c>
      <c r="C486" s="7" t="s">
        <v>201</v>
      </c>
      <c r="D486" s="7" t="s">
        <v>154</v>
      </c>
      <c r="H486" s="7">
        <v>4</v>
      </c>
      <c r="I486" s="7">
        <v>10</v>
      </c>
      <c r="J486" s="8">
        <f t="shared" si="7"/>
        <v>0.2857142857142857</v>
      </c>
      <c r="K486" s="8"/>
      <c r="L486" s="8"/>
      <c r="M486" s="8"/>
      <c r="N486" s="8"/>
      <c r="O486" s="11"/>
      <c r="T486" s="7" t="s">
        <v>201</v>
      </c>
    </row>
    <row r="487" spans="1:20" x14ac:dyDescent="0.25">
      <c r="A487" s="7" t="s">
        <v>294</v>
      </c>
      <c r="B487" s="7" t="s">
        <v>151</v>
      </c>
      <c r="C487" s="7" t="s">
        <v>181</v>
      </c>
      <c r="D487" s="7" t="s">
        <v>173</v>
      </c>
      <c r="H487" s="7">
        <v>3</v>
      </c>
      <c r="I487" s="7">
        <v>11</v>
      </c>
      <c r="J487" s="8">
        <f t="shared" si="7"/>
        <v>0.21428571428571427</v>
      </c>
      <c r="K487" s="8"/>
      <c r="L487" s="8"/>
      <c r="M487" s="8"/>
      <c r="N487" s="8"/>
      <c r="O487" s="11"/>
      <c r="T487" s="7" t="s">
        <v>181</v>
      </c>
    </row>
    <row r="488" spans="1:20" x14ac:dyDescent="0.25">
      <c r="A488" s="7" t="s">
        <v>294</v>
      </c>
      <c r="B488" s="7" t="s">
        <v>151</v>
      </c>
      <c r="C488" s="7" t="s">
        <v>179</v>
      </c>
      <c r="D488" s="7" t="s">
        <v>164</v>
      </c>
      <c r="H488" s="7">
        <v>2</v>
      </c>
      <c r="I488" s="7">
        <v>12</v>
      </c>
      <c r="J488" s="8">
        <f t="shared" si="7"/>
        <v>0.14285714285714285</v>
      </c>
      <c r="K488" s="8"/>
      <c r="L488" s="8"/>
      <c r="M488" s="8"/>
      <c r="N488" s="8"/>
      <c r="O488" s="11"/>
      <c r="T488" s="7" t="s">
        <v>179</v>
      </c>
    </row>
    <row r="489" spans="1:20" x14ac:dyDescent="0.25">
      <c r="A489" s="7" t="s">
        <v>294</v>
      </c>
      <c r="B489" s="7" t="s">
        <v>151</v>
      </c>
      <c r="C489" s="7" t="s">
        <v>297</v>
      </c>
      <c r="D489" s="7" t="s">
        <v>243</v>
      </c>
      <c r="H489" s="7">
        <v>2</v>
      </c>
      <c r="I489" s="7">
        <v>12</v>
      </c>
      <c r="J489" s="8">
        <f t="shared" si="7"/>
        <v>0.14285714285714285</v>
      </c>
      <c r="K489" s="8"/>
      <c r="L489" s="8"/>
      <c r="M489" s="8"/>
      <c r="N489" s="8"/>
      <c r="O489" s="11"/>
      <c r="T489" s="7" t="s">
        <v>297</v>
      </c>
    </row>
    <row r="490" spans="1:20" x14ac:dyDescent="0.25">
      <c r="A490" s="7" t="s">
        <v>298</v>
      </c>
      <c r="B490" s="7" t="s">
        <v>151</v>
      </c>
      <c r="C490" s="7" t="s">
        <v>188</v>
      </c>
      <c r="D490" s="7" t="s">
        <v>187</v>
      </c>
      <c r="H490" s="7">
        <v>12</v>
      </c>
      <c r="I490" s="7">
        <v>2</v>
      </c>
      <c r="J490" s="8">
        <f t="shared" si="7"/>
        <v>0.8571428571428571</v>
      </c>
      <c r="K490" s="8" t="s">
        <v>30</v>
      </c>
      <c r="L490" s="13" t="s">
        <v>30</v>
      </c>
      <c r="M490" s="8" t="s">
        <v>30</v>
      </c>
      <c r="N490" s="8"/>
      <c r="O490" s="11"/>
      <c r="P490" s="7">
        <v>5</v>
      </c>
      <c r="Q490" s="7">
        <v>1</v>
      </c>
      <c r="R490" s="7">
        <v>0</v>
      </c>
      <c r="S490" s="7">
        <v>2</v>
      </c>
      <c r="T490" s="7" t="s">
        <v>188</v>
      </c>
    </row>
    <row r="491" spans="1:20" x14ac:dyDescent="0.25">
      <c r="A491" s="7" t="s">
        <v>298</v>
      </c>
      <c r="B491" s="7" t="s">
        <v>151</v>
      </c>
      <c r="C491" s="7" t="s">
        <v>278</v>
      </c>
      <c r="D491" s="7" t="s">
        <v>171</v>
      </c>
      <c r="H491" s="7">
        <v>11</v>
      </c>
      <c r="I491" s="7">
        <v>3</v>
      </c>
      <c r="J491" s="8">
        <f t="shared" si="7"/>
        <v>0.7857142857142857</v>
      </c>
      <c r="K491" s="8" t="s">
        <v>30</v>
      </c>
      <c r="L491" s="13" t="s">
        <v>30</v>
      </c>
      <c r="M491" s="8" t="s">
        <v>30</v>
      </c>
      <c r="N491" s="8" t="s">
        <v>30</v>
      </c>
      <c r="O491" s="11"/>
      <c r="P491" s="7">
        <v>6</v>
      </c>
      <c r="Q491" s="7">
        <v>0</v>
      </c>
      <c r="R491" s="7">
        <v>1</v>
      </c>
      <c r="S491" s="7">
        <v>1</v>
      </c>
      <c r="T491" s="7" t="s">
        <v>278</v>
      </c>
    </row>
    <row r="492" spans="1:20" x14ac:dyDescent="0.25">
      <c r="A492" s="7" t="s">
        <v>298</v>
      </c>
      <c r="B492" s="7" t="s">
        <v>151</v>
      </c>
      <c r="C492" s="7" t="s">
        <v>581</v>
      </c>
      <c r="D492" s="7" t="s">
        <v>154</v>
      </c>
      <c r="H492" s="7">
        <v>11</v>
      </c>
      <c r="I492" s="7">
        <v>3</v>
      </c>
      <c r="J492" s="8">
        <f t="shared" si="7"/>
        <v>0.7857142857142857</v>
      </c>
      <c r="K492" s="8" t="s">
        <v>30</v>
      </c>
      <c r="L492" s="13" t="s">
        <v>30</v>
      </c>
      <c r="M492" s="8" t="s">
        <v>30</v>
      </c>
      <c r="N492" s="8" t="s">
        <v>30</v>
      </c>
      <c r="O492" s="11" t="s">
        <v>30</v>
      </c>
      <c r="P492" s="7">
        <v>5</v>
      </c>
      <c r="Q492" s="7">
        <v>1</v>
      </c>
      <c r="R492" s="7">
        <v>2</v>
      </c>
      <c r="S492" s="7">
        <v>0</v>
      </c>
      <c r="T492" s="7" t="s">
        <v>581</v>
      </c>
    </row>
    <row r="493" spans="1:20" x14ac:dyDescent="0.25">
      <c r="A493" s="7" t="s">
        <v>298</v>
      </c>
      <c r="B493" s="7" t="s">
        <v>151</v>
      </c>
      <c r="C493" s="7" t="s">
        <v>230</v>
      </c>
      <c r="D493" s="7" t="s">
        <v>171</v>
      </c>
      <c r="H493" s="7">
        <v>6</v>
      </c>
      <c r="I493" s="7">
        <v>8</v>
      </c>
      <c r="J493" s="8">
        <f t="shared" si="7"/>
        <v>0.42857142857142855</v>
      </c>
      <c r="K493" s="8" t="s">
        <v>30</v>
      </c>
      <c r="L493" s="13" t="s">
        <v>30</v>
      </c>
      <c r="M493" s="8" t="s">
        <v>30</v>
      </c>
      <c r="N493" s="8"/>
      <c r="O493" s="11"/>
      <c r="P493" s="7">
        <v>4</v>
      </c>
      <c r="Q493" s="7">
        <v>2</v>
      </c>
      <c r="R493" s="7">
        <v>1</v>
      </c>
      <c r="S493" s="7">
        <v>1</v>
      </c>
      <c r="T493" s="7" t="s">
        <v>584</v>
      </c>
    </row>
    <row r="494" spans="1:20" x14ac:dyDescent="0.25">
      <c r="A494" s="7" t="s">
        <v>298</v>
      </c>
      <c r="B494" s="7" t="s">
        <v>151</v>
      </c>
      <c r="C494" s="7" t="s">
        <v>162</v>
      </c>
      <c r="D494" s="7" t="s">
        <v>152</v>
      </c>
      <c r="H494" s="7">
        <v>11</v>
      </c>
      <c r="I494" s="7">
        <v>3</v>
      </c>
      <c r="J494" s="8">
        <f t="shared" si="7"/>
        <v>0.7857142857142857</v>
      </c>
      <c r="K494" s="8" t="s">
        <v>30</v>
      </c>
      <c r="L494" s="8"/>
      <c r="M494" s="8"/>
      <c r="N494" s="8"/>
      <c r="O494" s="11"/>
      <c r="P494" s="7">
        <v>3</v>
      </c>
      <c r="Q494" s="7">
        <v>3</v>
      </c>
      <c r="T494" s="7" t="s">
        <v>162</v>
      </c>
    </row>
    <row r="495" spans="1:20" x14ac:dyDescent="0.25">
      <c r="A495" s="7" t="s">
        <v>298</v>
      </c>
      <c r="B495" s="7" t="s">
        <v>151</v>
      </c>
      <c r="C495" s="7" t="s">
        <v>156</v>
      </c>
      <c r="D495" s="7" t="s">
        <v>157</v>
      </c>
      <c r="H495" s="7">
        <v>10</v>
      </c>
      <c r="I495" s="7">
        <v>4</v>
      </c>
      <c r="J495" s="8">
        <f t="shared" si="7"/>
        <v>0.7142857142857143</v>
      </c>
      <c r="K495" s="8" t="s">
        <v>30</v>
      </c>
      <c r="L495" s="8"/>
      <c r="M495" s="8"/>
      <c r="N495" s="8"/>
      <c r="O495" s="11"/>
      <c r="P495" s="7">
        <v>2</v>
      </c>
      <c r="Q495" s="7">
        <v>4</v>
      </c>
      <c r="T495" s="7" t="s">
        <v>156</v>
      </c>
    </row>
    <row r="496" spans="1:20" x14ac:dyDescent="0.25">
      <c r="A496" s="7" t="s">
        <v>298</v>
      </c>
      <c r="B496" s="7" t="s">
        <v>151</v>
      </c>
      <c r="C496" s="7" t="s">
        <v>242</v>
      </c>
      <c r="D496" s="7" t="s">
        <v>243</v>
      </c>
      <c r="H496" s="7">
        <v>9</v>
      </c>
      <c r="I496" s="7">
        <v>5</v>
      </c>
      <c r="J496" s="8">
        <f t="shared" si="7"/>
        <v>0.6428571428571429</v>
      </c>
      <c r="K496" s="8" t="s">
        <v>30</v>
      </c>
      <c r="L496" s="8"/>
      <c r="M496" s="8"/>
      <c r="N496" s="8"/>
      <c r="O496" s="11"/>
      <c r="P496" s="7">
        <v>3</v>
      </c>
      <c r="Q496" s="7">
        <v>3</v>
      </c>
      <c r="T496" s="7" t="s">
        <v>241</v>
      </c>
    </row>
    <row r="497" spans="1:20" x14ac:dyDescent="0.25">
      <c r="A497" s="7" t="s">
        <v>298</v>
      </c>
      <c r="B497" s="7" t="s">
        <v>151</v>
      </c>
      <c r="C497" s="7" t="s">
        <v>265</v>
      </c>
      <c r="D497" s="7" t="s">
        <v>154</v>
      </c>
      <c r="H497" s="7">
        <v>9</v>
      </c>
      <c r="I497" s="7">
        <v>5</v>
      </c>
      <c r="J497" s="8">
        <f t="shared" si="7"/>
        <v>0.6428571428571429</v>
      </c>
      <c r="K497" s="8" t="s">
        <v>30</v>
      </c>
      <c r="L497" s="8"/>
      <c r="M497" s="8"/>
      <c r="N497" s="8"/>
      <c r="O497" s="11"/>
      <c r="P497" s="7">
        <v>2</v>
      </c>
      <c r="Q497" s="7">
        <v>4</v>
      </c>
      <c r="T497" s="7" t="s">
        <v>177</v>
      </c>
    </row>
    <row r="498" spans="1:20" x14ac:dyDescent="0.25">
      <c r="A498" s="7" t="s">
        <v>298</v>
      </c>
      <c r="B498" s="7" t="s">
        <v>151</v>
      </c>
      <c r="C498" s="7" t="s">
        <v>178</v>
      </c>
      <c r="D498" s="7" t="s">
        <v>157</v>
      </c>
      <c r="H498" s="7">
        <v>8</v>
      </c>
      <c r="I498" s="7">
        <v>6</v>
      </c>
      <c r="J498" s="8">
        <f t="shared" si="7"/>
        <v>0.5714285714285714</v>
      </c>
      <c r="K498" s="8" t="s">
        <v>30</v>
      </c>
      <c r="L498" s="13" t="s">
        <v>30</v>
      </c>
      <c r="M498" s="8"/>
      <c r="N498" s="8"/>
      <c r="O498" s="11"/>
      <c r="P498" s="7">
        <v>4</v>
      </c>
      <c r="Q498" s="7">
        <v>2</v>
      </c>
      <c r="T498" s="7" t="s">
        <v>178</v>
      </c>
    </row>
    <row r="499" spans="1:20" x14ac:dyDescent="0.25">
      <c r="A499" s="7" t="s">
        <v>298</v>
      </c>
      <c r="B499" s="7" t="s">
        <v>151</v>
      </c>
      <c r="C499" s="7" t="s">
        <v>295</v>
      </c>
      <c r="D499" s="7" t="s">
        <v>171</v>
      </c>
      <c r="H499" s="7">
        <v>8</v>
      </c>
      <c r="I499" s="7">
        <v>6</v>
      </c>
      <c r="J499" s="8">
        <f t="shared" si="7"/>
        <v>0.5714285714285714</v>
      </c>
      <c r="K499" s="8" t="s">
        <v>30</v>
      </c>
      <c r="L499" s="13" t="s">
        <v>30</v>
      </c>
      <c r="M499" s="8"/>
      <c r="N499" s="8"/>
      <c r="O499" s="11"/>
      <c r="P499" s="7">
        <v>3</v>
      </c>
      <c r="Q499" s="7">
        <v>3</v>
      </c>
      <c r="T499" s="7" t="s">
        <v>295</v>
      </c>
    </row>
    <row r="500" spans="1:20" x14ac:dyDescent="0.25">
      <c r="A500" s="7" t="s">
        <v>298</v>
      </c>
      <c r="B500" s="7" t="s">
        <v>151</v>
      </c>
      <c r="C500" s="7" t="s">
        <v>169</v>
      </c>
      <c r="D500" s="7" t="s">
        <v>161</v>
      </c>
      <c r="H500" s="7">
        <v>7</v>
      </c>
      <c r="I500" s="7">
        <v>7</v>
      </c>
      <c r="J500" s="8">
        <f t="shared" si="7"/>
        <v>0.5</v>
      </c>
      <c r="K500" s="8" t="s">
        <v>30</v>
      </c>
      <c r="L500" s="13" t="s">
        <v>30</v>
      </c>
      <c r="M500" s="8"/>
      <c r="N500" s="8"/>
      <c r="O500" s="11"/>
      <c r="P500" s="7">
        <v>4</v>
      </c>
      <c r="Q500" s="7">
        <v>2</v>
      </c>
      <c r="T500" s="7" t="s">
        <v>169</v>
      </c>
    </row>
    <row r="501" spans="1:20" x14ac:dyDescent="0.25">
      <c r="A501" s="7" t="s">
        <v>298</v>
      </c>
      <c r="B501" s="7" t="s">
        <v>151</v>
      </c>
      <c r="C501" s="7" t="s">
        <v>149</v>
      </c>
      <c r="D501" s="7" t="s">
        <v>152</v>
      </c>
      <c r="H501" s="7">
        <v>7</v>
      </c>
      <c r="I501" s="7">
        <v>7</v>
      </c>
      <c r="J501" s="8">
        <f t="shared" si="7"/>
        <v>0.5</v>
      </c>
      <c r="K501" s="8" t="s">
        <v>30</v>
      </c>
      <c r="L501" s="13" t="s">
        <v>30</v>
      </c>
      <c r="M501" s="8"/>
      <c r="N501" s="8"/>
      <c r="O501" s="11"/>
      <c r="P501" s="7">
        <v>3</v>
      </c>
      <c r="Q501" s="7">
        <v>3</v>
      </c>
      <c r="T501" s="7" t="s">
        <v>149</v>
      </c>
    </row>
    <row r="502" spans="1:20" x14ac:dyDescent="0.25">
      <c r="A502" s="7" t="s">
        <v>298</v>
      </c>
      <c r="B502" s="7" t="s">
        <v>151</v>
      </c>
      <c r="C502" s="7" t="s">
        <v>257</v>
      </c>
      <c r="D502" s="7" t="s">
        <v>215</v>
      </c>
      <c r="H502" s="7">
        <v>7</v>
      </c>
      <c r="I502" s="7">
        <v>7</v>
      </c>
      <c r="J502" s="8">
        <f t="shared" si="7"/>
        <v>0.5</v>
      </c>
      <c r="K502" s="8" t="s">
        <v>30</v>
      </c>
      <c r="L502" s="8"/>
      <c r="M502" s="8"/>
      <c r="N502" s="8"/>
      <c r="O502" s="11"/>
      <c r="P502" s="7">
        <v>2</v>
      </c>
      <c r="Q502" s="7">
        <v>4</v>
      </c>
      <c r="T502" s="7" t="s">
        <v>257</v>
      </c>
    </row>
    <row r="503" spans="1:20" x14ac:dyDescent="0.25">
      <c r="A503" s="7" t="s">
        <v>298</v>
      </c>
      <c r="B503" s="7" t="s">
        <v>151</v>
      </c>
      <c r="C503" s="7" t="s">
        <v>201</v>
      </c>
      <c r="D503" s="7" t="s">
        <v>154</v>
      </c>
      <c r="H503" s="7">
        <v>7</v>
      </c>
      <c r="I503" s="7">
        <v>7</v>
      </c>
      <c r="J503" s="8">
        <f t="shared" si="7"/>
        <v>0.5</v>
      </c>
      <c r="K503" s="8" t="s">
        <v>30</v>
      </c>
      <c r="L503" s="8"/>
      <c r="M503" s="8"/>
      <c r="N503" s="8"/>
      <c r="O503" s="11"/>
      <c r="P503" s="7">
        <v>1</v>
      </c>
      <c r="Q503" s="7">
        <v>5</v>
      </c>
      <c r="T503" s="7" t="s">
        <v>201</v>
      </c>
    </row>
    <row r="504" spans="1:20" x14ac:dyDescent="0.25">
      <c r="A504" s="7" t="s">
        <v>298</v>
      </c>
      <c r="B504" s="7" t="s">
        <v>151</v>
      </c>
      <c r="C504" s="7" t="s">
        <v>179</v>
      </c>
      <c r="D504" s="7" t="s">
        <v>164</v>
      </c>
      <c r="H504" s="7">
        <v>6</v>
      </c>
      <c r="I504" s="7">
        <v>8</v>
      </c>
      <c r="J504" s="8">
        <f t="shared" si="7"/>
        <v>0.42857142857142855</v>
      </c>
      <c r="K504" s="8" t="s">
        <v>30</v>
      </c>
      <c r="L504" s="8"/>
      <c r="M504" s="8"/>
      <c r="N504" s="8"/>
      <c r="O504" s="11"/>
      <c r="P504" s="7">
        <v>1</v>
      </c>
      <c r="Q504" s="7">
        <v>5</v>
      </c>
      <c r="T504" s="7" t="s">
        <v>179</v>
      </c>
    </row>
    <row r="505" spans="1:20" x14ac:dyDescent="0.25">
      <c r="A505" s="7" t="s">
        <v>298</v>
      </c>
      <c r="B505" s="7" t="s">
        <v>151</v>
      </c>
      <c r="C505" s="7" t="s">
        <v>176</v>
      </c>
      <c r="D505" s="7" t="s">
        <v>171</v>
      </c>
      <c r="H505" s="7">
        <v>6</v>
      </c>
      <c r="I505" s="7">
        <v>8</v>
      </c>
      <c r="J505" s="8">
        <f t="shared" si="7"/>
        <v>0.42857142857142855</v>
      </c>
      <c r="K505" s="8" t="s">
        <v>30</v>
      </c>
      <c r="L505" s="8"/>
      <c r="M505" s="8"/>
      <c r="N505" s="8"/>
      <c r="O505" s="11"/>
      <c r="P505" s="7">
        <v>0</v>
      </c>
      <c r="Q505" s="7">
        <v>6</v>
      </c>
      <c r="T505" s="7" t="s">
        <v>176</v>
      </c>
    </row>
    <row r="506" spans="1:20" x14ac:dyDescent="0.25">
      <c r="A506" s="7" t="s">
        <v>298</v>
      </c>
      <c r="B506" s="7" t="s">
        <v>151</v>
      </c>
      <c r="C506" s="7" t="s">
        <v>280</v>
      </c>
      <c r="D506" s="7" t="s">
        <v>164</v>
      </c>
      <c r="H506" s="7">
        <v>6</v>
      </c>
      <c r="I506" s="7">
        <v>8</v>
      </c>
      <c r="J506" s="8">
        <f t="shared" si="7"/>
        <v>0.42857142857142855</v>
      </c>
      <c r="K506" s="8"/>
      <c r="L506" s="8"/>
      <c r="M506" s="8"/>
      <c r="N506" s="8"/>
      <c r="O506" s="11"/>
      <c r="T506" s="7" t="s">
        <v>279</v>
      </c>
    </row>
    <row r="507" spans="1:20" x14ac:dyDescent="0.25">
      <c r="A507" s="7" t="s">
        <v>298</v>
      </c>
      <c r="B507" s="7" t="s">
        <v>151</v>
      </c>
      <c r="C507" s="7" t="s">
        <v>155</v>
      </c>
      <c r="D507" s="7" t="s">
        <v>154</v>
      </c>
      <c r="H507" s="7">
        <v>6</v>
      </c>
      <c r="I507" s="7">
        <v>8</v>
      </c>
      <c r="J507" s="8">
        <f t="shared" si="7"/>
        <v>0.42857142857142855</v>
      </c>
      <c r="K507" s="8"/>
      <c r="L507" s="8"/>
      <c r="M507" s="8"/>
      <c r="N507" s="8"/>
      <c r="O507" s="11"/>
      <c r="T507" s="7" t="s">
        <v>155</v>
      </c>
    </row>
    <row r="508" spans="1:20" x14ac:dyDescent="0.25">
      <c r="A508" s="7" t="s">
        <v>298</v>
      </c>
      <c r="B508" s="7" t="s">
        <v>151</v>
      </c>
      <c r="C508" s="7" t="s">
        <v>158</v>
      </c>
      <c r="D508" s="7" t="s">
        <v>159</v>
      </c>
      <c r="H508" s="7">
        <v>5</v>
      </c>
      <c r="I508" s="7">
        <v>9</v>
      </c>
      <c r="J508" s="8">
        <f t="shared" si="7"/>
        <v>0.35714285714285715</v>
      </c>
      <c r="K508" s="8"/>
      <c r="L508" s="8"/>
      <c r="M508" s="8"/>
      <c r="N508" s="8"/>
      <c r="O508" s="11"/>
      <c r="T508" s="7" t="s">
        <v>158</v>
      </c>
    </row>
    <row r="509" spans="1:20" x14ac:dyDescent="0.25">
      <c r="A509" s="7" t="s">
        <v>298</v>
      </c>
      <c r="B509" s="7" t="s">
        <v>151</v>
      </c>
      <c r="C509" s="7" t="s">
        <v>296</v>
      </c>
      <c r="D509" s="7" t="s">
        <v>220</v>
      </c>
      <c r="H509" s="7">
        <v>5</v>
      </c>
      <c r="I509" s="7">
        <v>9</v>
      </c>
      <c r="J509" s="8">
        <f t="shared" si="7"/>
        <v>0.35714285714285715</v>
      </c>
      <c r="K509" s="8"/>
      <c r="L509" s="8"/>
      <c r="M509" s="8"/>
      <c r="N509" s="8"/>
      <c r="O509" s="11"/>
      <c r="T509" s="7" t="s">
        <v>296</v>
      </c>
    </row>
    <row r="510" spans="1:20" x14ac:dyDescent="0.25">
      <c r="A510" s="7" t="s">
        <v>298</v>
      </c>
      <c r="B510" s="7" t="s">
        <v>151</v>
      </c>
      <c r="C510" s="7" t="s">
        <v>181</v>
      </c>
      <c r="D510" s="7" t="s">
        <v>173</v>
      </c>
      <c r="H510" s="7">
        <v>4</v>
      </c>
      <c r="I510" s="7">
        <v>10</v>
      </c>
      <c r="J510" s="8">
        <f t="shared" si="7"/>
        <v>0.2857142857142857</v>
      </c>
      <c r="K510" s="8"/>
      <c r="L510" s="8"/>
      <c r="M510" s="8"/>
      <c r="N510" s="8"/>
      <c r="O510" s="11"/>
      <c r="T510" s="7" t="s">
        <v>181</v>
      </c>
    </row>
    <row r="511" spans="1:20" x14ac:dyDescent="0.25">
      <c r="A511" s="7" t="s">
        <v>298</v>
      </c>
      <c r="B511" s="7" t="s">
        <v>151</v>
      </c>
      <c r="C511" s="7" t="s">
        <v>174</v>
      </c>
      <c r="D511" s="7" t="s">
        <v>166</v>
      </c>
      <c r="H511" s="7">
        <v>4</v>
      </c>
      <c r="I511" s="7">
        <v>10</v>
      </c>
      <c r="J511" s="8">
        <f t="shared" si="7"/>
        <v>0.2857142857142857</v>
      </c>
      <c r="K511" s="8"/>
      <c r="L511" s="8"/>
      <c r="M511" s="8"/>
      <c r="N511" s="8"/>
      <c r="O511" s="11"/>
      <c r="T511" s="7" t="s">
        <v>174</v>
      </c>
    </row>
    <row r="512" spans="1:20" x14ac:dyDescent="0.25">
      <c r="A512" s="7" t="s">
        <v>298</v>
      </c>
      <c r="B512" s="7" t="s">
        <v>151</v>
      </c>
      <c r="C512" s="7" t="s">
        <v>197</v>
      </c>
      <c r="D512" s="7" t="s">
        <v>198</v>
      </c>
      <c r="H512" s="7">
        <v>2</v>
      </c>
      <c r="I512" s="7">
        <v>12</v>
      </c>
      <c r="J512" s="8">
        <f t="shared" si="7"/>
        <v>0.14285714285714285</v>
      </c>
      <c r="K512" s="8"/>
      <c r="L512" s="8"/>
      <c r="M512" s="8"/>
      <c r="N512" s="8"/>
      <c r="O512" s="11"/>
      <c r="T512" s="7" t="s">
        <v>197</v>
      </c>
    </row>
    <row r="513" spans="1:20" x14ac:dyDescent="0.25">
      <c r="A513" s="7" t="s">
        <v>298</v>
      </c>
      <c r="B513" s="7" t="s">
        <v>151</v>
      </c>
      <c r="C513" s="7" t="s">
        <v>286</v>
      </c>
      <c r="D513" s="7" t="s">
        <v>152</v>
      </c>
      <c r="H513" s="7">
        <v>1</v>
      </c>
      <c r="I513" s="7">
        <v>13</v>
      </c>
      <c r="J513" s="8">
        <f t="shared" si="7"/>
        <v>7.1428571428571425E-2</v>
      </c>
      <c r="K513" s="8"/>
      <c r="L513" s="8"/>
      <c r="M513" s="8"/>
      <c r="N513" s="8"/>
      <c r="O513" s="11"/>
      <c r="T513" s="7" t="s">
        <v>286</v>
      </c>
    </row>
    <row r="514" spans="1:20" x14ac:dyDescent="0.25">
      <c r="A514" s="7" t="s">
        <v>299</v>
      </c>
      <c r="B514" s="7" t="s">
        <v>151</v>
      </c>
      <c r="C514" s="7" t="s">
        <v>162</v>
      </c>
      <c r="D514" s="7" t="s">
        <v>152</v>
      </c>
      <c r="H514" s="7">
        <v>12</v>
      </c>
      <c r="I514" s="7">
        <v>2</v>
      </c>
      <c r="J514" s="8">
        <f t="shared" ref="J514:J577" si="8">H514/SUM(H514:I514)</f>
        <v>0.8571428571428571</v>
      </c>
      <c r="K514" s="8" t="s">
        <v>30</v>
      </c>
      <c r="L514" s="13" t="s">
        <v>30</v>
      </c>
      <c r="M514" s="8" t="s">
        <v>30</v>
      </c>
      <c r="N514" s="8" t="s">
        <v>30</v>
      </c>
      <c r="O514" s="11" t="s">
        <v>30</v>
      </c>
      <c r="P514" s="7">
        <v>5</v>
      </c>
      <c r="Q514" s="7">
        <v>1</v>
      </c>
      <c r="R514" s="7">
        <v>2</v>
      </c>
      <c r="S514" s="7">
        <v>0</v>
      </c>
      <c r="T514" s="7" t="s">
        <v>162</v>
      </c>
    </row>
    <row r="515" spans="1:20" x14ac:dyDescent="0.25">
      <c r="A515" s="7" t="s">
        <v>299</v>
      </c>
      <c r="B515" s="7" t="s">
        <v>151</v>
      </c>
      <c r="C515" s="7" t="s">
        <v>176</v>
      </c>
      <c r="D515" s="7" t="s">
        <v>171</v>
      </c>
      <c r="H515" s="7">
        <v>12</v>
      </c>
      <c r="I515" s="7">
        <v>2</v>
      </c>
      <c r="J515" s="8">
        <f t="shared" si="8"/>
        <v>0.8571428571428571</v>
      </c>
      <c r="K515" s="8" t="s">
        <v>30</v>
      </c>
      <c r="L515" s="13" t="s">
        <v>30</v>
      </c>
      <c r="M515" s="8" t="s">
        <v>30</v>
      </c>
      <c r="N515" s="8" t="s">
        <v>30</v>
      </c>
      <c r="O515" s="11"/>
      <c r="P515" s="7">
        <v>4</v>
      </c>
      <c r="Q515" s="7">
        <v>2</v>
      </c>
      <c r="R515" s="7">
        <v>1</v>
      </c>
      <c r="S515" s="7">
        <v>1</v>
      </c>
      <c r="T515" s="7" t="s">
        <v>176</v>
      </c>
    </row>
    <row r="516" spans="1:20" x14ac:dyDescent="0.25">
      <c r="A516" s="7" t="s">
        <v>299</v>
      </c>
      <c r="B516" s="7" t="s">
        <v>151</v>
      </c>
      <c r="C516" s="7" t="s">
        <v>278</v>
      </c>
      <c r="D516" s="7" t="s">
        <v>171</v>
      </c>
      <c r="H516" s="7">
        <v>11</v>
      </c>
      <c r="I516" s="7">
        <v>3</v>
      </c>
      <c r="J516" s="8">
        <f t="shared" si="8"/>
        <v>0.7857142857142857</v>
      </c>
      <c r="K516" s="8" t="s">
        <v>30</v>
      </c>
      <c r="L516" s="13" t="s">
        <v>30</v>
      </c>
      <c r="M516" s="8" t="s">
        <v>30</v>
      </c>
      <c r="N516" s="8"/>
      <c r="O516" s="11"/>
      <c r="P516" s="7">
        <v>4</v>
      </c>
      <c r="Q516" s="7">
        <v>2</v>
      </c>
      <c r="R516" s="7">
        <v>0</v>
      </c>
      <c r="S516" s="7">
        <v>1</v>
      </c>
      <c r="T516" s="7" t="s">
        <v>278</v>
      </c>
    </row>
    <row r="517" spans="1:20" x14ac:dyDescent="0.25">
      <c r="A517" s="7" t="s">
        <v>299</v>
      </c>
      <c r="B517" s="7" t="s">
        <v>151</v>
      </c>
      <c r="C517" s="7" t="s">
        <v>169</v>
      </c>
      <c r="D517" s="7" t="s">
        <v>161</v>
      </c>
      <c r="H517" s="7">
        <v>10</v>
      </c>
      <c r="I517" s="7">
        <v>4</v>
      </c>
      <c r="J517" s="8">
        <f t="shared" si="8"/>
        <v>0.7142857142857143</v>
      </c>
      <c r="K517" s="8" t="s">
        <v>30</v>
      </c>
      <c r="L517" s="13" t="s">
        <v>30</v>
      </c>
      <c r="M517" s="8" t="s">
        <v>30</v>
      </c>
      <c r="N517" s="8"/>
      <c r="O517" s="11"/>
      <c r="P517" s="7">
        <v>4</v>
      </c>
      <c r="Q517" s="7">
        <v>2</v>
      </c>
      <c r="R517" s="7">
        <v>0</v>
      </c>
      <c r="S517" s="7">
        <v>1</v>
      </c>
      <c r="T517" s="7" t="s">
        <v>169</v>
      </c>
    </row>
    <row r="518" spans="1:20" x14ac:dyDescent="0.25">
      <c r="A518" s="7" t="s">
        <v>299</v>
      </c>
      <c r="B518" s="7" t="s">
        <v>151</v>
      </c>
      <c r="C518" s="7" t="s">
        <v>149</v>
      </c>
      <c r="D518" s="7" t="s">
        <v>152</v>
      </c>
      <c r="H518" s="7">
        <v>10</v>
      </c>
      <c r="I518" s="7">
        <v>4</v>
      </c>
      <c r="J518" s="8">
        <f t="shared" si="8"/>
        <v>0.7142857142857143</v>
      </c>
      <c r="K518" s="8" t="s">
        <v>30</v>
      </c>
      <c r="L518" s="13" t="s">
        <v>30</v>
      </c>
      <c r="M518" s="8"/>
      <c r="N518" s="8"/>
      <c r="O518" s="11"/>
      <c r="P518" s="7">
        <v>4</v>
      </c>
      <c r="Q518" s="7">
        <v>2</v>
      </c>
      <c r="T518" s="7" t="s">
        <v>149</v>
      </c>
    </row>
    <row r="519" spans="1:20" x14ac:dyDescent="0.25">
      <c r="A519" s="7" t="s">
        <v>299</v>
      </c>
      <c r="B519" s="7" t="s">
        <v>151</v>
      </c>
      <c r="C519" s="7" t="s">
        <v>581</v>
      </c>
      <c r="D519" s="7" t="s">
        <v>154</v>
      </c>
      <c r="H519" s="7">
        <v>10</v>
      </c>
      <c r="I519" s="7">
        <v>4</v>
      </c>
      <c r="J519" s="8">
        <f t="shared" si="8"/>
        <v>0.7142857142857143</v>
      </c>
      <c r="K519" s="8" t="s">
        <v>30</v>
      </c>
      <c r="L519" s="13" t="s">
        <v>30</v>
      </c>
      <c r="M519" s="8"/>
      <c r="N519" s="8"/>
      <c r="O519" s="11"/>
      <c r="P519" s="7">
        <v>4</v>
      </c>
      <c r="Q519" s="7">
        <v>2</v>
      </c>
      <c r="T519" s="7" t="s">
        <v>581</v>
      </c>
    </row>
    <row r="520" spans="1:20" x14ac:dyDescent="0.25">
      <c r="A520" s="7" t="s">
        <v>299</v>
      </c>
      <c r="B520" s="7" t="s">
        <v>151</v>
      </c>
      <c r="C520" s="7" t="s">
        <v>265</v>
      </c>
      <c r="D520" s="7" t="s">
        <v>154</v>
      </c>
      <c r="H520" s="7">
        <v>9</v>
      </c>
      <c r="I520" s="7">
        <v>5</v>
      </c>
      <c r="J520" s="8">
        <f t="shared" si="8"/>
        <v>0.6428571428571429</v>
      </c>
      <c r="K520" s="8" t="s">
        <v>30</v>
      </c>
      <c r="L520" s="13" t="s">
        <v>30</v>
      </c>
      <c r="M520" s="8"/>
      <c r="N520" s="8"/>
      <c r="O520" s="11"/>
      <c r="P520" s="7">
        <v>4</v>
      </c>
      <c r="Q520" s="7">
        <v>2</v>
      </c>
      <c r="T520" s="7" t="s">
        <v>177</v>
      </c>
    </row>
    <row r="521" spans="1:20" x14ac:dyDescent="0.25">
      <c r="A521" s="7" t="s">
        <v>299</v>
      </c>
      <c r="B521" s="7" t="s">
        <v>151</v>
      </c>
      <c r="C521" s="7" t="s">
        <v>155</v>
      </c>
      <c r="D521" s="7" t="s">
        <v>154</v>
      </c>
      <c r="H521" s="7">
        <v>9</v>
      </c>
      <c r="I521" s="7">
        <v>5</v>
      </c>
      <c r="J521" s="8">
        <f t="shared" si="8"/>
        <v>0.6428571428571429</v>
      </c>
      <c r="K521" s="8" t="s">
        <v>30</v>
      </c>
      <c r="L521" s="8"/>
      <c r="M521" s="8"/>
      <c r="N521" s="8"/>
      <c r="O521" s="11"/>
      <c r="P521" s="7">
        <v>3</v>
      </c>
      <c r="Q521" s="7">
        <v>3</v>
      </c>
      <c r="T521" s="7" t="s">
        <v>155</v>
      </c>
    </row>
    <row r="522" spans="1:20" x14ac:dyDescent="0.25">
      <c r="A522" s="7" t="s">
        <v>299</v>
      </c>
      <c r="B522" s="7" t="s">
        <v>151</v>
      </c>
      <c r="C522" s="7" t="s">
        <v>178</v>
      </c>
      <c r="D522" s="7" t="s">
        <v>157</v>
      </c>
      <c r="H522" s="7">
        <v>9</v>
      </c>
      <c r="I522" s="7">
        <v>5</v>
      </c>
      <c r="J522" s="8">
        <f t="shared" si="8"/>
        <v>0.6428571428571429</v>
      </c>
      <c r="K522" s="8" t="s">
        <v>30</v>
      </c>
      <c r="L522" s="13" t="s">
        <v>30</v>
      </c>
      <c r="M522" s="8"/>
      <c r="N522" s="8"/>
      <c r="O522" s="11"/>
      <c r="P522" s="7">
        <v>3</v>
      </c>
      <c r="Q522" s="7">
        <v>3</v>
      </c>
      <c r="T522" s="7" t="s">
        <v>178</v>
      </c>
    </row>
    <row r="523" spans="1:20" x14ac:dyDescent="0.25">
      <c r="A523" s="7" t="s">
        <v>299</v>
      </c>
      <c r="B523" s="7" t="s">
        <v>151</v>
      </c>
      <c r="C523" s="7" t="s">
        <v>286</v>
      </c>
      <c r="D523" s="7" t="s">
        <v>152</v>
      </c>
      <c r="H523" s="7">
        <v>9</v>
      </c>
      <c r="I523" s="7">
        <v>5</v>
      </c>
      <c r="J523" s="8">
        <f t="shared" si="8"/>
        <v>0.6428571428571429</v>
      </c>
      <c r="K523" s="8" t="s">
        <v>30</v>
      </c>
      <c r="L523" s="8"/>
      <c r="M523" s="8"/>
      <c r="N523" s="8"/>
      <c r="O523" s="11"/>
      <c r="P523" s="7">
        <v>2</v>
      </c>
      <c r="Q523" s="7">
        <v>4</v>
      </c>
      <c r="T523" s="7" t="s">
        <v>286</v>
      </c>
    </row>
    <row r="524" spans="1:20" x14ac:dyDescent="0.25">
      <c r="A524" s="7" t="s">
        <v>299</v>
      </c>
      <c r="B524" s="7" t="s">
        <v>151</v>
      </c>
      <c r="C524" s="7" t="s">
        <v>242</v>
      </c>
      <c r="D524" s="7" t="s">
        <v>243</v>
      </c>
      <c r="H524" s="7">
        <v>9</v>
      </c>
      <c r="I524" s="7">
        <v>5</v>
      </c>
      <c r="J524" s="8">
        <f t="shared" si="8"/>
        <v>0.6428571428571429</v>
      </c>
      <c r="K524" s="8" t="s">
        <v>30</v>
      </c>
      <c r="L524" s="8"/>
      <c r="M524" s="8"/>
      <c r="N524" s="8"/>
      <c r="O524" s="11"/>
      <c r="P524" s="7">
        <v>1</v>
      </c>
      <c r="Q524" s="7">
        <v>5</v>
      </c>
      <c r="T524" s="7" t="s">
        <v>241</v>
      </c>
    </row>
    <row r="525" spans="1:20" x14ac:dyDescent="0.25">
      <c r="A525" s="7" t="s">
        <v>299</v>
      </c>
      <c r="B525" s="7" t="s">
        <v>151</v>
      </c>
      <c r="C525" s="7" t="s">
        <v>156</v>
      </c>
      <c r="D525" s="7" t="s">
        <v>157</v>
      </c>
      <c r="H525" s="7">
        <v>9</v>
      </c>
      <c r="I525" s="7">
        <v>5</v>
      </c>
      <c r="J525" s="8">
        <f t="shared" si="8"/>
        <v>0.6428571428571429</v>
      </c>
      <c r="K525" s="8" t="s">
        <v>30</v>
      </c>
      <c r="L525" s="8"/>
      <c r="M525" s="8"/>
      <c r="N525" s="8"/>
      <c r="O525" s="11"/>
      <c r="P525" s="7">
        <v>1</v>
      </c>
      <c r="Q525" s="7">
        <v>5</v>
      </c>
      <c r="T525" s="7" t="s">
        <v>156</v>
      </c>
    </row>
    <row r="526" spans="1:20" x14ac:dyDescent="0.25">
      <c r="A526" s="7" t="s">
        <v>299</v>
      </c>
      <c r="B526" s="7" t="s">
        <v>151</v>
      </c>
      <c r="C526" s="7" t="s">
        <v>188</v>
      </c>
      <c r="D526" s="7" t="s">
        <v>187</v>
      </c>
      <c r="H526" s="7">
        <v>8</v>
      </c>
      <c r="I526" s="7">
        <v>6</v>
      </c>
      <c r="J526" s="8">
        <f t="shared" si="8"/>
        <v>0.5714285714285714</v>
      </c>
      <c r="K526" s="8" t="s">
        <v>30</v>
      </c>
      <c r="L526" s="8"/>
      <c r="M526" s="8"/>
      <c r="N526" s="8"/>
      <c r="O526" s="11"/>
      <c r="P526" s="7">
        <v>3</v>
      </c>
      <c r="Q526" s="7">
        <v>3</v>
      </c>
      <c r="T526" s="7" t="s">
        <v>188</v>
      </c>
    </row>
    <row r="527" spans="1:20" x14ac:dyDescent="0.25">
      <c r="A527" s="7" t="s">
        <v>299</v>
      </c>
      <c r="B527" s="7" t="s">
        <v>151</v>
      </c>
      <c r="C527" s="7" t="s">
        <v>295</v>
      </c>
      <c r="D527" s="7" t="s">
        <v>171</v>
      </c>
      <c r="H527" s="7">
        <v>8</v>
      </c>
      <c r="I527" s="7">
        <v>6</v>
      </c>
      <c r="J527" s="8">
        <f t="shared" si="8"/>
        <v>0.5714285714285714</v>
      </c>
      <c r="K527" s="8" t="s">
        <v>30</v>
      </c>
      <c r="L527" s="8"/>
      <c r="M527" s="8"/>
      <c r="N527" s="8"/>
      <c r="O527" s="11"/>
      <c r="P527" s="7">
        <v>2</v>
      </c>
      <c r="Q527" s="7">
        <v>4</v>
      </c>
      <c r="T527" s="7" t="s">
        <v>295</v>
      </c>
    </row>
    <row r="528" spans="1:20" x14ac:dyDescent="0.25">
      <c r="A528" s="7" t="s">
        <v>299</v>
      </c>
      <c r="B528" s="7" t="s">
        <v>151</v>
      </c>
      <c r="C528" s="7" t="s">
        <v>289</v>
      </c>
      <c r="D528" s="7" t="s">
        <v>171</v>
      </c>
      <c r="H528" s="7">
        <v>8</v>
      </c>
      <c r="I528" s="7">
        <v>6</v>
      </c>
      <c r="J528" s="8">
        <f t="shared" si="8"/>
        <v>0.5714285714285714</v>
      </c>
      <c r="K528" s="8" t="s">
        <v>30</v>
      </c>
      <c r="L528" s="8"/>
      <c r="M528" s="8"/>
      <c r="N528" s="8"/>
      <c r="O528" s="11"/>
      <c r="P528" s="7">
        <v>2</v>
      </c>
      <c r="Q528" s="7">
        <v>4</v>
      </c>
      <c r="T528" s="7" t="s">
        <v>288</v>
      </c>
    </row>
    <row r="529" spans="1:20" x14ac:dyDescent="0.25">
      <c r="A529" s="7" t="s">
        <v>299</v>
      </c>
      <c r="B529" s="7" t="s">
        <v>151</v>
      </c>
      <c r="C529" s="7" t="s">
        <v>300</v>
      </c>
      <c r="D529" s="7" t="s">
        <v>187</v>
      </c>
      <c r="H529" s="7">
        <v>8</v>
      </c>
      <c r="I529" s="7">
        <v>6</v>
      </c>
      <c r="J529" s="8">
        <f t="shared" si="8"/>
        <v>0.5714285714285714</v>
      </c>
      <c r="K529" s="8" t="s">
        <v>30</v>
      </c>
      <c r="L529" s="8"/>
      <c r="M529" s="8"/>
      <c r="N529" s="8"/>
      <c r="O529" s="11"/>
      <c r="P529" s="7">
        <v>2</v>
      </c>
      <c r="Q529" s="7">
        <v>4</v>
      </c>
      <c r="T529" s="7" t="s">
        <v>300</v>
      </c>
    </row>
    <row r="530" spans="1:20" x14ac:dyDescent="0.25">
      <c r="A530" s="7" t="s">
        <v>299</v>
      </c>
      <c r="B530" s="7" t="s">
        <v>151</v>
      </c>
      <c r="C530" s="7" t="s">
        <v>179</v>
      </c>
      <c r="D530" s="7" t="s">
        <v>164</v>
      </c>
      <c r="H530" s="7">
        <v>8</v>
      </c>
      <c r="I530" s="7">
        <v>6</v>
      </c>
      <c r="J530" s="8">
        <f t="shared" si="8"/>
        <v>0.5714285714285714</v>
      </c>
      <c r="K530" s="8"/>
      <c r="L530" s="8"/>
      <c r="M530" s="8"/>
      <c r="N530" s="8"/>
      <c r="O530" s="11"/>
      <c r="T530" s="7" t="s">
        <v>179</v>
      </c>
    </row>
    <row r="531" spans="1:20" x14ac:dyDescent="0.25">
      <c r="A531" s="7" t="s">
        <v>299</v>
      </c>
      <c r="B531" s="7" t="s">
        <v>151</v>
      </c>
      <c r="C531" s="7" t="s">
        <v>291</v>
      </c>
      <c r="D531" s="7" t="s">
        <v>173</v>
      </c>
      <c r="H531" s="7">
        <v>8</v>
      </c>
      <c r="I531" s="7">
        <v>6</v>
      </c>
      <c r="J531" s="8">
        <f t="shared" si="8"/>
        <v>0.5714285714285714</v>
      </c>
      <c r="K531" s="8"/>
      <c r="L531" s="8"/>
      <c r="M531" s="8"/>
      <c r="N531" s="8"/>
      <c r="O531" s="11"/>
      <c r="T531" s="7" t="s">
        <v>290</v>
      </c>
    </row>
    <row r="532" spans="1:20" x14ac:dyDescent="0.25">
      <c r="A532" s="7" t="s">
        <v>299</v>
      </c>
      <c r="B532" s="7" t="s">
        <v>151</v>
      </c>
      <c r="C532" s="7" t="s">
        <v>280</v>
      </c>
      <c r="D532" s="7" t="s">
        <v>164</v>
      </c>
      <c r="H532" s="7">
        <v>7</v>
      </c>
      <c r="I532" s="7">
        <v>7</v>
      </c>
      <c r="J532" s="8">
        <f t="shared" si="8"/>
        <v>0.5</v>
      </c>
      <c r="K532" s="8"/>
      <c r="L532" s="8"/>
      <c r="M532" s="8"/>
      <c r="N532" s="8"/>
      <c r="O532" s="11"/>
      <c r="T532" s="7" t="s">
        <v>279</v>
      </c>
    </row>
    <row r="533" spans="1:20" x14ac:dyDescent="0.25">
      <c r="A533" s="7" t="s">
        <v>299</v>
      </c>
      <c r="B533" s="7" t="s">
        <v>151</v>
      </c>
      <c r="C533" s="7" t="s">
        <v>297</v>
      </c>
      <c r="D533" s="7" t="s">
        <v>243</v>
      </c>
      <c r="H533" s="7">
        <v>7</v>
      </c>
      <c r="I533" s="7">
        <v>7</v>
      </c>
      <c r="J533" s="8">
        <f t="shared" si="8"/>
        <v>0.5</v>
      </c>
      <c r="K533" s="8"/>
      <c r="L533" s="8"/>
      <c r="M533" s="8"/>
      <c r="N533" s="8"/>
      <c r="O533" s="11"/>
      <c r="T533" s="7" t="s">
        <v>297</v>
      </c>
    </row>
    <row r="534" spans="1:20" x14ac:dyDescent="0.25">
      <c r="A534" s="7" t="s">
        <v>299</v>
      </c>
      <c r="B534" s="7" t="s">
        <v>151</v>
      </c>
      <c r="C534" s="7" t="s">
        <v>174</v>
      </c>
      <c r="D534" s="7" t="s">
        <v>166</v>
      </c>
      <c r="H534" s="7">
        <v>6</v>
      </c>
      <c r="I534" s="7">
        <v>8</v>
      </c>
      <c r="J534" s="8">
        <f t="shared" si="8"/>
        <v>0.42857142857142855</v>
      </c>
      <c r="K534" s="8"/>
      <c r="L534" s="8"/>
      <c r="M534" s="8"/>
      <c r="N534" s="8"/>
      <c r="O534" s="11"/>
      <c r="T534" s="7" t="s">
        <v>174</v>
      </c>
    </row>
    <row r="535" spans="1:20" x14ac:dyDescent="0.25">
      <c r="A535" s="7" t="s">
        <v>299</v>
      </c>
      <c r="B535" s="7" t="s">
        <v>151</v>
      </c>
      <c r="C535" s="7" t="s">
        <v>201</v>
      </c>
      <c r="D535" s="7" t="s">
        <v>154</v>
      </c>
      <c r="H535" s="7">
        <v>6</v>
      </c>
      <c r="I535" s="7">
        <v>8</v>
      </c>
      <c r="J535" s="8">
        <f t="shared" si="8"/>
        <v>0.42857142857142855</v>
      </c>
      <c r="K535" s="8"/>
      <c r="L535" s="8"/>
      <c r="M535" s="8"/>
      <c r="N535" s="8"/>
      <c r="O535" s="11"/>
      <c r="T535" s="7" t="s">
        <v>201</v>
      </c>
    </row>
    <row r="536" spans="1:20" x14ac:dyDescent="0.25">
      <c r="A536" s="7" t="s">
        <v>299</v>
      </c>
      <c r="B536" s="7" t="s">
        <v>151</v>
      </c>
      <c r="C536" s="7" t="s">
        <v>257</v>
      </c>
      <c r="D536" s="7" t="s">
        <v>215</v>
      </c>
      <c r="H536" s="7">
        <v>5</v>
      </c>
      <c r="I536" s="7">
        <v>9</v>
      </c>
      <c r="J536" s="8">
        <f t="shared" si="8"/>
        <v>0.35714285714285715</v>
      </c>
      <c r="K536" s="8"/>
      <c r="L536" s="8"/>
      <c r="M536" s="8"/>
      <c r="N536" s="8"/>
      <c r="O536" s="11"/>
      <c r="T536" s="7" t="s">
        <v>257</v>
      </c>
    </row>
    <row r="537" spans="1:20" x14ac:dyDescent="0.25">
      <c r="A537" s="7" t="s">
        <v>299</v>
      </c>
      <c r="B537" s="7" t="s">
        <v>151</v>
      </c>
      <c r="C537" s="7" t="s">
        <v>158</v>
      </c>
      <c r="D537" s="7" t="s">
        <v>159</v>
      </c>
      <c r="H537" s="7">
        <v>5</v>
      </c>
      <c r="I537" s="7">
        <v>9</v>
      </c>
      <c r="J537" s="8">
        <f t="shared" si="8"/>
        <v>0.35714285714285715</v>
      </c>
      <c r="K537" s="8"/>
      <c r="L537" s="8"/>
      <c r="M537" s="8"/>
      <c r="N537" s="8"/>
      <c r="O537" s="11"/>
      <c r="T537" s="7" t="s">
        <v>158</v>
      </c>
    </row>
    <row r="538" spans="1:20" x14ac:dyDescent="0.25">
      <c r="A538" s="7" t="s">
        <v>299</v>
      </c>
      <c r="B538" s="7" t="s">
        <v>151</v>
      </c>
      <c r="C538" s="7" t="s">
        <v>296</v>
      </c>
      <c r="D538" s="7" t="s">
        <v>220</v>
      </c>
      <c r="H538" s="7">
        <v>4</v>
      </c>
      <c r="I538" s="7">
        <v>10</v>
      </c>
      <c r="J538" s="8">
        <f t="shared" si="8"/>
        <v>0.2857142857142857</v>
      </c>
      <c r="K538" s="8"/>
      <c r="L538" s="8"/>
      <c r="M538" s="8"/>
      <c r="N538" s="8"/>
      <c r="O538" s="11"/>
      <c r="T538" s="7" t="s">
        <v>296</v>
      </c>
    </row>
    <row r="539" spans="1:20" x14ac:dyDescent="0.25">
      <c r="A539" s="7" t="s">
        <v>299</v>
      </c>
      <c r="B539" s="7" t="s">
        <v>151</v>
      </c>
      <c r="C539" s="7" t="s">
        <v>301</v>
      </c>
      <c r="D539" s="7" t="s">
        <v>251</v>
      </c>
      <c r="H539" s="7">
        <v>3</v>
      </c>
      <c r="I539" s="7">
        <v>11</v>
      </c>
      <c r="J539" s="8">
        <f t="shared" si="8"/>
        <v>0.21428571428571427</v>
      </c>
      <c r="K539" s="8"/>
      <c r="L539" s="8"/>
      <c r="M539" s="8"/>
      <c r="N539" s="8"/>
      <c r="O539" s="11"/>
      <c r="T539" s="7" t="s">
        <v>301</v>
      </c>
    </row>
    <row r="540" spans="1:20" x14ac:dyDescent="0.25">
      <c r="A540" s="7" t="s">
        <v>299</v>
      </c>
      <c r="B540" s="7" t="s">
        <v>151</v>
      </c>
      <c r="C540" s="7" t="s">
        <v>250</v>
      </c>
      <c r="D540" s="7" t="s">
        <v>251</v>
      </c>
      <c r="H540" s="7">
        <v>3</v>
      </c>
      <c r="I540" s="7">
        <v>11</v>
      </c>
      <c r="J540" s="8">
        <f t="shared" si="8"/>
        <v>0.21428571428571427</v>
      </c>
      <c r="K540" s="8"/>
      <c r="L540" s="8"/>
      <c r="M540" s="8"/>
      <c r="N540" s="8"/>
      <c r="O540" s="11"/>
      <c r="T540" s="7" t="s">
        <v>250</v>
      </c>
    </row>
    <row r="541" spans="1:20" x14ac:dyDescent="0.25">
      <c r="A541" s="7" t="s">
        <v>299</v>
      </c>
      <c r="B541" s="7" t="s">
        <v>151</v>
      </c>
      <c r="C541" s="7" t="s">
        <v>181</v>
      </c>
      <c r="D541" s="7" t="s">
        <v>173</v>
      </c>
      <c r="H541" s="7">
        <v>3</v>
      </c>
      <c r="I541" s="7">
        <v>11</v>
      </c>
      <c r="J541" s="8">
        <f t="shared" si="8"/>
        <v>0.21428571428571427</v>
      </c>
      <c r="K541" s="8"/>
      <c r="L541" s="8"/>
      <c r="M541" s="8"/>
      <c r="N541" s="8"/>
      <c r="O541" s="11"/>
      <c r="T541" s="7" t="s">
        <v>181</v>
      </c>
    </row>
    <row r="542" spans="1:20" x14ac:dyDescent="0.25">
      <c r="A542" s="7" t="s">
        <v>299</v>
      </c>
      <c r="B542" s="7" t="s">
        <v>151</v>
      </c>
      <c r="C542" s="7" t="s">
        <v>302</v>
      </c>
      <c r="D542" s="7" t="s">
        <v>152</v>
      </c>
      <c r="H542" s="7">
        <v>3</v>
      </c>
      <c r="I542" s="7">
        <v>11</v>
      </c>
      <c r="J542" s="8">
        <f t="shared" si="8"/>
        <v>0.21428571428571427</v>
      </c>
      <c r="K542" s="8"/>
      <c r="L542" s="8"/>
      <c r="M542" s="8"/>
      <c r="N542" s="8"/>
      <c r="O542" s="11"/>
      <c r="T542" s="7" t="s">
        <v>302</v>
      </c>
    </row>
    <row r="543" spans="1:20" x14ac:dyDescent="0.25">
      <c r="A543" s="7" t="s">
        <v>299</v>
      </c>
      <c r="B543" s="7" t="s">
        <v>151</v>
      </c>
      <c r="C543" s="7" t="s">
        <v>197</v>
      </c>
      <c r="D543" s="7" t="s">
        <v>198</v>
      </c>
      <c r="H543" s="7">
        <v>3</v>
      </c>
      <c r="I543" s="7">
        <v>11</v>
      </c>
      <c r="J543" s="8">
        <f t="shared" si="8"/>
        <v>0.21428571428571427</v>
      </c>
      <c r="K543" s="8"/>
      <c r="L543" s="8"/>
      <c r="M543" s="8"/>
      <c r="N543" s="8"/>
      <c r="O543" s="11"/>
      <c r="T543" s="7" t="s">
        <v>197</v>
      </c>
    </row>
    <row r="544" spans="1:20" x14ac:dyDescent="0.25">
      <c r="A544" s="7" t="s">
        <v>299</v>
      </c>
      <c r="B544" s="7" t="s">
        <v>151</v>
      </c>
      <c r="C544" s="7" t="s">
        <v>303</v>
      </c>
      <c r="D544" s="7" t="s">
        <v>215</v>
      </c>
      <c r="H544" s="7">
        <v>2</v>
      </c>
      <c r="I544" s="7">
        <v>12</v>
      </c>
      <c r="J544" s="8">
        <f t="shared" si="8"/>
        <v>0.14285714285714285</v>
      </c>
      <c r="K544" s="8"/>
      <c r="L544" s="8"/>
      <c r="M544" s="8"/>
      <c r="N544" s="8"/>
      <c r="O544" s="11"/>
      <c r="T544" s="7" t="s">
        <v>303</v>
      </c>
    </row>
    <row r="545" spans="1:20" x14ac:dyDescent="0.25">
      <c r="A545" s="7" t="s">
        <v>299</v>
      </c>
      <c r="B545" s="7" t="s">
        <v>151</v>
      </c>
      <c r="C545" s="7" t="s">
        <v>304</v>
      </c>
      <c r="D545" s="7" t="s">
        <v>305</v>
      </c>
      <c r="H545" s="7">
        <v>0</v>
      </c>
      <c r="I545" s="7">
        <v>14</v>
      </c>
      <c r="J545" s="8">
        <f t="shared" si="8"/>
        <v>0</v>
      </c>
      <c r="K545" s="8"/>
      <c r="L545" s="8"/>
      <c r="M545" s="8"/>
      <c r="N545" s="8"/>
      <c r="O545" s="11"/>
      <c r="T545" s="7" t="s">
        <v>304</v>
      </c>
    </row>
    <row r="546" spans="1:20" x14ac:dyDescent="0.25">
      <c r="A546" s="7" t="s">
        <v>306</v>
      </c>
      <c r="B546" s="7" t="s">
        <v>151</v>
      </c>
      <c r="C546" s="7" t="s">
        <v>176</v>
      </c>
      <c r="D546" s="7" t="s">
        <v>171</v>
      </c>
      <c r="H546" s="7">
        <v>9</v>
      </c>
      <c r="I546" s="7">
        <v>1</v>
      </c>
      <c r="J546" s="8">
        <f t="shared" si="8"/>
        <v>0.9</v>
      </c>
      <c r="K546" s="8" t="s">
        <v>30</v>
      </c>
      <c r="L546" s="8" t="s">
        <v>30</v>
      </c>
      <c r="M546" s="8" t="s">
        <v>30</v>
      </c>
      <c r="N546" s="8" t="s">
        <v>30</v>
      </c>
      <c r="O546" s="11" t="s">
        <v>30</v>
      </c>
      <c r="P546" s="7">
        <v>2</v>
      </c>
      <c r="Q546" s="7">
        <v>0</v>
      </c>
      <c r="R546" s="7">
        <v>2</v>
      </c>
      <c r="S546" s="7">
        <v>0</v>
      </c>
      <c r="T546" s="7" t="s">
        <v>176</v>
      </c>
    </row>
    <row r="547" spans="1:20" x14ac:dyDescent="0.25">
      <c r="A547" s="15" t="s">
        <v>306</v>
      </c>
      <c r="B547" s="15" t="s">
        <v>307</v>
      </c>
      <c r="C547" s="14" t="s">
        <v>169</v>
      </c>
      <c r="D547" s="15" t="s">
        <v>161</v>
      </c>
      <c r="H547" s="7">
        <v>15</v>
      </c>
      <c r="I547" s="7">
        <v>3</v>
      </c>
      <c r="J547" s="8">
        <f t="shared" si="8"/>
        <v>0.83333333333333337</v>
      </c>
      <c r="K547" s="7" t="s">
        <v>30</v>
      </c>
      <c r="L547" s="7" t="s">
        <v>30</v>
      </c>
      <c r="M547" s="7" t="s">
        <v>30</v>
      </c>
      <c r="N547" s="7" t="s">
        <v>30</v>
      </c>
      <c r="O547" s="16" t="s">
        <v>30</v>
      </c>
      <c r="T547" s="14" t="s">
        <v>169</v>
      </c>
    </row>
    <row r="548" spans="1:20" x14ac:dyDescent="0.25">
      <c r="A548" s="7" t="s">
        <v>306</v>
      </c>
      <c r="B548" s="7" t="s">
        <v>151</v>
      </c>
      <c r="C548" s="7" t="s">
        <v>286</v>
      </c>
      <c r="D548" s="7" t="s">
        <v>152</v>
      </c>
      <c r="H548" s="7">
        <v>8</v>
      </c>
      <c r="I548" s="7">
        <v>2</v>
      </c>
      <c r="J548" s="8">
        <f t="shared" si="8"/>
        <v>0.8</v>
      </c>
      <c r="K548" s="8" t="s">
        <v>30</v>
      </c>
      <c r="L548" s="8" t="s">
        <v>30</v>
      </c>
      <c r="M548" s="8" t="s">
        <v>30</v>
      </c>
      <c r="N548" s="8"/>
      <c r="O548" s="11"/>
      <c r="P548" s="7">
        <v>2</v>
      </c>
      <c r="Q548" s="7">
        <v>0</v>
      </c>
      <c r="R548" s="7">
        <v>2</v>
      </c>
      <c r="S548" s="7">
        <v>1</v>
      </c>
      <c r="T548" s="7" t="s">
        <v>286</v>
      </c>
    </row>
    <row r="549" spans="1:20" x14ac:dyDescent="0.25">
      <c r="A549" s="7" t="s">
        <v>306</v>
      </c>
      <c r="B549" s="7" t="s">
        <v>151</v>
      </c>
      <c r="C549" s="7" t="s">
        <v>295</v>
      </c>
      <c r="D549" s="7" t="s">
        <v>171</v>
      </c>
      <c r="H549" s="7">
        <v>8</v>
      </c>
      <c r="I549" s="7">
        <v>2</v>
      </c>
      <c r="J549" s="8">
        <f t="shared" si="8"/>
        <v>0.8</v>
      </c>
      <c r="K549" s="8" t="s">
        <v>30</v>
      </c>
      <c r="L549" s="8" t="s">
        <v>30</v>
      </c>
      <c r="M549" s="8" t="s">
        <v>30</v>
      </c>
      <c r="N549" s="8"/>
      <c r="O549" s="11"/>
      <c r="P549" s="7">
        <v>2</v>
      </c>
      <c r="Q549" s="7">
        <v>0</v>
      </c>
      <c r="R549" s="7">
        <v>2</v>
      </c>
      <c r="S549" s="7">
        <v>1</v>
      </c>
      <c r="T549" s="7" t="s">
        <v>176</v>
      </c>
    </row>
    <row r="550" spans="1:20" x14ac:dyDescent="0.25">
      <c r="A550" s="15" t="s">
        <v>306</v>
      </c>
      <c r="B550" s="15" t="s">
        <v>307</v>
      </c>
      <c r="C550" s="14" t="s">
        <v>162</v>
      </c>
      <c r="D550" s="15" t="s">
        <v>152</v>
      </c>
      <c r="H550" s="7">
        <v>13</v>
      </c>
      <c r="I550" s="7">
        <v>5</v>
      </c>
      <c r="J550" s="8">
        <f t="shared" si="8"/>
        <v>0.72222222222222221</v>
      </c>
      <c r="K550" s="7" t="s">
        <v>30</v>
      </c>
      <c r="L550" s="7" t="s">
        <v>30</v>
      </c>
      <c r="M550" s="7" t="s">
        <v>30</v>
      </c>
      <c r="N550" s="7" t="s">
        <v>30</v>
      </c>
      <c r="T550" s="15" t="s">
        <v>162</v>
      </c>
    </row>
    <row r="551" spans="1:20" x14ac:dyDescent="0.25">
      <c r="A551" s="15" t="s">
        <v>306</v>
      </c>
      <c r="B551" s="15" t="s">
        <v>307</v>
      </c>
      <c r="C551" s="15" t="s">
        <v>308</v>
      </c>
      <c r="D551" s="15" t="s">
        <v>157</v>
      </c>
      <c r="H551" s="7">
        <v>13</v>
      </c>
      <c r="I551" s="7">
        <v>5</v>
      </c>
      <c r="J551" s="8">
        <f t="shared" si="8"/>
        <v>0.72222222222222221</v>
      </c>
      <c r="K551" s="7" t="s">
        <v>30</v>
      </c>
      <c r="L551" s="7" t="s">
        <v>30</v>
      </c>
      <c r="M551" s="7" t="s">
        <v>30</v>
      </c>
      <c r="T551" s="14" t="s">
        <v>178</v>
      </c>
    </row>
    <row r="552" spans="1:20" x14ac:dyDescent="0.25">
      <c r="A552" s="15" t="s">
        <v>306</v>
      </c>
      <c r="B552" s="15" t="s">
        <v>307</v>
      </c>
      <c r="C552" s="15" t="s">
        <v>188</v>
      </c>
      <c r="D552" s="15" t="s">
        <v>187</v>
      </c>
      <c r="H552" s="7">
        <v>12</v>
      </c>
      <c r="I552" s="7">
        <v>6</v>
      </c>
      <c r="J552" s="8">
        <f t="shared" si="8"/>
        <v>0.66666666666666663</v>
      </c>
      <c r="K552" s="7" t="s">
        <v>30</v>
      </c>
      <c r="L552" s="7" t="s">
        <v>30</v>
      </c>
      <c r="M552" s="7" t="s">
        <v>30</v>
      </c>
      <c r="T552" s="15" t="s">
        <v>188</v>
      </c>
    </row>
    <row r="553" spans="1:20" x14ac:dyDescent="0.25">
      <c r="A553" s="7" t="s">
        <v>306</v>
      </c>
      <c r="B553" s="7" t="s">
        <v>151</v>
      </c>
      <c r="C553" s="7" t="s">
        <v>265</v>
      </c>
      <c r="D553" s="7" t="s">
        <v>154</v>
      </c>
      <c r="H553" s="7">
        <v>6</v>
      </c>
      <c r="I553" s="7">
        <v>4</v>
      </c>
      <c r="J553" s="8">
        <f t="shared" si="8"/>
        <v>0.6</v>
      </c>
      <c r="K553" s="8" t="s">
        <v>30</v>
      </c>
      <c r="L553" s="8" t="s">
        <v>30</v>
      </c>
      <c r="M553" s="8" t="s">
        <v>30</v>
      </c>
      <c r="N553" s="8" t="s">
        <v>30</v>
      </c>
      <c r="O553" s="11"/>
      <c r="P553" s="7">
        <v>2</v>
      </c>
      <c r="Q553" s="7">
        <v>0</v>
      </c>
      <c r="R553" s="7">
        <v>2</v>
      </c>
      <c r="S553" s="7">
        <v>0</v>
      </c>
      <c r="T553" s="7" t="s">
        <v>177</v>
      </c>
    </row>
    <row r="554" spans="1:20" x14ac:dyDescent="0.25">
      <c r="A554" s="7" t="s">
        <v>306</v>
      </c>
      <c r="B554" s="7" t="s">
        <v>151</v>
      </c>
      <c r="C554" s="7" t="s">
        <v>581</v>
      </c>
      <c r="D554" s="7" t="s">
        <v>154</v>
      </c>
      <c r="H554" s="7">
        <v>8</v>
      </c>
      <c r="I554" s="7">
        <v>2</v>
      </c>
      <c r="J554" s="8">
        <f t="shared" si="8"/>
        <v>0.8</v>
      </c>
      <c r="K554" s="8" t="s">
        <v>30</v>
      </c>
      <c r="L554" s="8"/>
      <c r="M554" s="8"/>
      <c r="N554" s="8"/>
      <c r="O554" s="11"/>
      <c r="P554" s="7">
        <v>0</v>
      </c>
      <c r="Q554" s="7">
        <v>2</v>
      </c>
      <c r="T554" s="7" t="s">
        <v>581</v>
      </c>
    </row>
    <row r="555" spans="1:20" x14ac:dyDescent="0.25">
      <c r="A555" s="7" t="s">
        <v>306</v>
      </c>
      <c r="B555" s="7" t="s">
        <v>151</v>
      </c>
      <c r="C555" s="7" t="s">
        <v>155</v>
      </c>
      <c r="D555" s="7" t="s">
        <v>154</v>
      </c>
      <c r="H555" s="7">
        <v>7</v>
      </c>
      <c r="I555" s="7">
        <v>3</v>
      </c>
      <c r="J555" s="8">
        <f t="shared" si="8"/>
        <v>0.7</v>
      </c>
      <c r="K555" s="8" t="s">
        <v>30</v>
      </c>
      <c r="L555" s="8" t="s">
        <v>30</v>
      </c>
      <c r="M555" s="8"/>
      <c r="N555" s="8"/>
      <c r="O555" s="11"/>
      <c r="P555" s="7">
        <v>2</v>
      </c>
      <c r="Q555" s="7">
        <v>0</v>
      </c>
      <c r="R555" s="7">
        <v>1</v>
      </c>
      <c r="S555" s="7">
        <v>2</v>
      </c>
      <c r="T555" s="7" t="s">
        <v>155</v>
      </c>
    </row>
    <row r="556" spans="1:20" x14ac:dyDescent="0.25">
      <c r="A556" s="7" t="s">
        <v>306</v>
      </c>
      <c r="B556" s="7" t="s">
        <v>151</v>
      </c>
      <c r="C556" s="7" t="s">
        <v>149</v>
      </c>
      <c r="D556" s="7" t="s">
        <v>152</v>
      </c>
      <c r="H556" s="7">
        <v>7</v>
      </c>
      <c r="I556" s="7">
        <v>3</v>
      </c>
      <c r="J556" s="8">
        <f t="shared" si="8"/>
        <v>0.7</v>
      </c>
      <c r="K556" s="8" t="s">
        <v>30</v>
      </c>
      <c r="L556" s="8" t="s">
        <v>30</v>
      </c>
      <c r="M556" s="8"/>
      <c r="N556" s="8"/>
      <c r="O556" s="11"/>
      <c r="P556" s="7">
        <v>2</v>
      </c>
      <c r="Q556" s="7">
        <v>0</v>
      </c>
      <c r="R556" s="7">
        <v>0</v>
      </c>
      <c r="S556" s="7">
        <v>2</v>
      </c>
      <c r="T556" s="7" t="s">
        <v>149</v>
      </c>
    </row>
    <row r="557" spans="1:20" x14ac:dyDescent="0.25">
      <c r="A557" s="7" t="s">
        <v>306</v>
      </c>
      <c r="B557" s="7" t="s">
        <v>151</v>
      </c>
      <c r="C557" s="7" t="s">
        <v>242</v>
      </c>
      <c r="D557" s="7" t="s">
        <v>243</v>
      </c>
      <c r="H557" s="7">
        <v>7</v>
      </c>
      <c r="I557" s="7">
        <v>3</v>
      </c>
      <c r="J557" s="8">
        <f t="shared" si="8"/>
        <v>0.7</v>
      </c>
      <c r="K557" s="8" t="s">
        <v>30</v>
      </c>
      <c r="L557" s="8" t="s">
        <v>30</v>
      </c>
      <c r="M557" s="8"/>
      <c r="N557" s="8"/>
      <c r="O557" s="11"/>
      <c r="P557" s="7">
        <v>2</v>
      </c>
      <c r="Q557" s="7">
        <v>1</v>
      </c>
      <c r="R557" s="7">
        <v>0</v>
      </c>
      <c r="S557" s="7">
        <v>2</v>
      </c>
      <c r="T557" s="7" t="s">
        <v>241</v>
      </c>
    </row>
    <row r="558" spans="1:20" x14ac:dyDescent="0.25">
      <c r="A558" s="7" t="s">
        <v>306</v>
      </c>
      <c r="B558" s="7" t="s">
        <v>151</v>
      </c>
      <c r="C558" s="7" t="s">
        <v>309</v>
      </c>
      <c r="D558" s="7" t="s">
        <v>152</v>
      </c>
      <c r="H558" s="7">
        <v>7</v>
      </c>
      <c r="I558" s="7">
        <v>3</v>
      </c>
      <c r="J558" s="8">
        <f t="shared" si="8"/>
        <v>0.7</v>
      </c>
      <c r="K558" s="8" t="s">
        <v>30</v>
      </c>
      <c r="L558" s="8"/>
      <c r="M558" s="8"/>
      <c r="N558" s="8"/>
      <c r="O558" s="11"/>
      <c r="P558" s="7">
        <v>1</v>
      </c>
      <c r="Q558" s="7">
        <v>2</v>
      </c>
      <c r="T558" s="7" t="s">
        <v>309</v>
      </c>
    </row>
    <row r="559" spans="1:20" x14ac:dyDescent="0.25">
      <c r="A559" s="7" t="s">
        <v>306</v>
      </c>
      <c r="B559" s="7" t="s">
        <v>151</v>
      </c>
      <c r="C559" s="7" t="s">
        <v>302</v>
      </c>
      <c r="D559" s="7" t="s">
        <v>152</v>
      </c>
      <c r="H559" s="7">
        <v>7</v>
      </c>
      <c r="I559" s="7">
        <v>3</v>
      </c>
      <c r="J559" s="8">
        <f t="shared" si="8"/>
        <v>0.7</v>
      </c>
      <c r="K559" s="8" t="s">
        <v>30</v>
      </c>
      <c r="L559" s="8"/>
      <c r="M559" s="8"/>
      <c r="N559" s="8"/>
      <c r="O559" s="11"/>
      <c r="P559" s="7">
        <v>0</v>
      </c>
      <c r="Q559" s="7">
        <v>2</v>
      </c>
      <c r="T559" s="7" t="s">
        <v>302</v>
      </c>
    </row>
    <row r="560" spans="1:20" x14ac:dyDescent="0.25">
      <c r="A560" s="7" t="s">
        <v>306</v>
      </c>
      <c r="B560" s="7" t="s">
        <v>151</v>
      </c>
      <c r="C560" s="7" t="s">
        <v>197</v>
      </c>
      <c r="D560" s="7" t="s">
        <v>198</v>
      </c>
      <c r="H560" s="7">
        <v>7</v>
      </c>
      <c r="I560" s="7">
        <v>3</v>
      </c>
      <c r="J560" s="8">
        <f t="shared" si="8"/>
        <v>0.7</v>
      </c>
      <c r="K560" s="8" t="s">
        <v>30</v>
      </c>
      <c r="L560" s="8"/>
      <c r="M560" s="8"/>
      <c r="N560" s="8"/>
      <c r="O560" s="11"/>
      <c r="P560" s="7">
        <v>0</v>
      </c>
      <c r="Q560" s="7">
        <v>2</v>
      </c>
      <c r="T560" s="7" t="s">
        <v>197</v>
      </c>
    </row>
    <row r="561" spans="1:20" x14ac:dyDescent="0.25">
      <c r="A561" s="15" t="s">
        <v>306</v>
      </c>
      <c r="B561" s="15" t="s">
        <v>307</v>
      </c>
      <c r="C561" s="15" t="s">
        <v>310</v>
      </c>
      <c r="D561" s="15" t="s">
        <v>215</v>
      </c>
      <c r="H561" s="7">
        <v>12</v>
      </c>
      <c r="I561" s="7">
        <v>6</v>
      </c>
      <c r="J561" s="8">
        <f t="shared" si="8"/>
        <v>0.66666666666666663</v>
      </c>
      <c r="K561" s="7" t="s">
        <v>30</v>
      </c>
      <c r="L561" s="7" t="s">
        <v>30</v>
      </c>
      <c r="T561" s="15" t="s">
        <v>310</v>
      </c>
    </row>
    <row r="562" spans="1:20" x14ac:dyDescent="0.25">
      <c r="A562" s="15" t="s">
        <v>306</v>
      </c>
      <c r="B562" s="15" t="s">
        <v>307</v>
      </c>
      <c r="C562" s="15" t="s">
        <v>311</v>
      </c>
      <c r="D562" s="15" t="s">
        <v>157</v>
      </c>
      <c r="H562" s="7">
        <v>11</v>
      </c>
      <c r="I562" s="7">
        <v>7</v>
      </c>
      <c r="J562" s="8">
        <f t="shared" si="8"/>
        <v>0.61111111111111116</v>
      </c>
      <c r="K562" s="7" t="s">
        <v>30</v>
      </c>
      <c r="T562" s="15" t="s">
        <v>311</v>
      </c>
    </row>
    <row r="563" spans="1:20" x14ac:dyDescent="0.25">
      <c r="A563" s="15" t="s">
        <v>306</v>
      </c>
      <c r="B563" s="15" t="s">
        <v>307</v>
      </c>
      <c r="C563" s="14" t="s">
        <v>174</v>
      </c>
      <c r="D563" s="15" t="s">
        <v>312</v>
      </c>
      <c r="H563" s="7">
        <v>11</v>
      </c>
      <c r="I563" s="7">
        <v>7</v>
      </c>
      <c r="J563" s="8">
        <f t="shared" si="8"/>
        <v>0.61111111111111116</v>
      </c>
      <c r="K563" s="7" t="s">
        <v>30</v>
      </c>
      <c r="T563" s="14" t="s">
        <v>174</v>
      </c>
    </row>
    <row r="564" spans="1:20" x14ac:dyDescent="0.25">
      <c r="A564" s="7" t="s">
        <v>306</v>
      </c>
      <c r="B564" s="7" t="s">
        <v>151</v>
      </c>
      <c r="C564" s="7" t="s">
        <v>278</v>
      </c>
      <c r="D564" s="7" t="s">
        <v>171</v>
      </c>
      <c r="H564" s="7">
        <v>6</v>
      </c>
      <c r="I564" s="7">
        <v>4</v>
      </c>
      <c r="J564" s="8">
        <f t="shared" si="8"/>
        <v>0.6</v>
      </c>
      <c r="K564" s="8" t="s">
        <v>30</v>
      </c>
      <c r="L564" s="8" t="s">
        <v>30</v>
      </c>
      <c r="M564" s="8"/>
      <c r="N564" s="8"/>
      <c r="O564" s="11"/>
      <c r="P564" s="7">
        <v>2</v>
      </c>
      <c r="Q564" s="7">
        <v>0</v>
      </c>
      <c r="R564" s="7">
        <v>1</v>
      </c>
      <c r="S564" s="7">
        <v>2</v>
      </c>
      <c r="T564" s="7" t="s">
        <v>278</v>
      </c>
    </row>
    <row r="565" spans="1:20" x14ac:dyDescent="0.25">
      <c r="A565" s="7" t="s">
        <v>306</v>
      </c>
      <c r="B565" s="7" t="s">
        <v>151</v>
      </c>
      <c r="C565" s="7" t="s">
        <v>313</v>
      </c>
      <c r="D565" s="7" t="s">
        <v>171</v>
      </c>
      <c r="H565" s="7">
        <v>6</v>
      </c>
      <c r="I565" s="7">
        <v>4</v>
      </c>
      <c r="J565" s="8">
        <f t="shared" si="8"/>
        <v>0.6</v>
      </c>
      <c r="K565" s="8" t="s">
        <v>30</v>
      </c>
      <c r="L565" s="8"/>
      <c r="M565" s="8"/>
      <c r="N565" s="8"/>
      <c r="O565" s="11"/>
      <c r="P565" s="7">
        <v>0</v>
      </c>
      <c r="Q565" s="7">
        <v>2</v>
      </c>
      <c r="T565" s="7" t="s">
        <v>313</v>
      </c>
    </row>
    <row r="566" spans="1:20" x14ac:dyDescent="0.25">
      <c r="A566" s="7" t="s">
        <v>306</v>
      </c>
      <c r="B566" s="7" t="s">
        <v>151</v>
      </c>
      <c r="C566" s="7" t="s">
        <v>158</v>
      </c>
      <c r="D566" s="7" t="s">
        <v>159</v>
      </c>
      <c r="H566" s="7">
        <v>6</v>
      </c>
      <c r="I566" s="7">
        <v>4</v>
      </c>
      <c r="J566" s="8">
        <f t="shared" si="8"/>
        <v>0.6</v>
      </c>
      <c r="K566" s="8" t="s">
        <v>30</v>
      </c>
      <c r="L566" s="8"/>
      <c r="M566" s="8"/>
      <c r="N566" s="8"/>
      <c r="O566" s="11"/>
      <c r="P566" s="7">
        <v>0</v>
      </c>
      <c r="Q566" s="7">
        <v>2</v>
      </c>
      <c r="T566" s="7" t="s">
        <v>158</v>
      </c>
    </row>
    <row r="567" spans="1:20" x14ac:dyDescent="0.25">
      <c r="A567" s="15" t="s">
        <v>306</v>
      </c>
      <c r="B567" s="15" t="s">
        <v>307</v>
      </c>
      <c r="C567" s="15" t="s">
        <v>314</v>
      </c>
      <c r="D567" s="15" t="s">
        <v>152</v>
      </c>
      <c r="H567" s="7">
        <v>10</v>
      </c>
      <c r="I567" s="7">
        <v>8</v>
      </c>
      <c r="J567" s="8">
        <f t="shared" si="8"/>
        <v>0.55555555555555558</v>
      </c>
      <c r="K567" s="7" t="s">
        <v>30</v>
      </c>
      <c r="T567" s="15" t="s">
        <v>314</v>
      </c>
    </row>
    <row r="568" spans="1:20" x14ac:dyDescent="0.25">
      <c r="A568" s="15" t="s">
        <v>306</v>
      </c>
      <c r="B568" s="15" t="s">
        <v>307</v>
      </c>
      <c r="C568" s="14" t="s">
        <v>179</v>
      </c>
      <c r="D568" s="15" t="s">
        <v>164</v>
      </c>
      <c r="H568" s="7">
        <v>9</v>
      </c>
      <c r="I568" s="7">
        <v>9</v>
      </c>
      <c r="J568" s="8">
        <f t="shared" si="8"/>
        <v>0.5</v>
      </c>
      <c r="K568" s="7" t="s">
        <v>30</v>
      </c>
      <c r="L568" s="7" t="s">
        <v>30</v>
      </c>
      <c r="T568" s="14" t="s">
        <v>179</v>
      </c>
    </row>
    <row r="569" spans="1:20" x14ac:dyDescent="0.25">
      <c r="A569" s="15" t="s">
        <v>306</v>
      </c>
      <c r="B569" s="15" t="s">
        <v>307</v>
      </c>
      <c r="C569" s="14" t="s">
        <v>280</v>
      </c>
      <c r="D569" s="15" t="s">
        <v>164</v>
      </c>
      <c r="H569" s="7">
        <v>9</v>
      </c>
      <c r="I569" s="7">
        <v>9</v>
      </c>
      <c r="J569" s="8">
        <f t="shared" si="8"/>
        <v>0.5</v>
      </c>
      <c r="K569" s="7" t="s">
        <v>30</v>
      </c>
      <c r="T569" s="14" t="s">
        <v>279</v>
      </c>
    </row>
    <row r="570" spans="1:20" x14ac:dyDescent="0.25">
      <c r="A570" s="15" t="s">
        <v>306</v>
      </c>
      <c r="B570" s="15" t="s">
        <v>307</v>
      </c>
      <c r="C570" s="15" t="s">
        <v>181</v>
      </c>
      <c r="D570" s="15" t="s">
        <v>173</v>
      </c>
      <c r="H570" s="7">
        <v>9</v>
      </c>
      <c r="I570" s="7">
        <v>9</v>
      </c>
      <c r="J570" s="8">
        <f t="shared" si="8"/>
        <v>0.5</v>
      </c>
      <c r="K570" s="7" t="s">
        <v>30</v>
      </c>
      <c r="L570" s="7" t="s">
        <v>30</v>
      </c>
      <c r="T570" s="15" t="s">
        <v>181</v>
      </c>
    </row>
    <row r="571" spans="1:20" x14ac:dyDescent="0.25">
      <c r="A571" s="15" t="s">
        <v>306</v>
      </c>
      <c r="B571" s="15" t="s">
        <v>307</v>
      </c>
      <c r="C571" s="15" t="s">
        <v>315</v>
      </c>
      <c r="D571" s="15" t="s">
        <v>171</v>
      </c>
      <c r="H571" s="7">
        <v>9</v>
      </c>
      <c r="I571" s="7">
        <v>9</v>
      </c>
      <c r="J571" s="8">
        <f t="shared" si="8"/>
        <v>0.5</v>
      </c>
      <c r="K571" s="7" t="s">
        <v>30</v>
      </c>
      <c r="L571" s="7" t="s">
        <v>30</v>
      </c>
      <c r="T571" s="15" t="s">
        <v>288</v>
      </c>
    </row>
    <row r="572" spans="1:20" x14ac:dyDescent="0.25">
      <c r="A572" s="15" t="s">
        <v>306</v>
      </c>
      <c r="B572" s="15" t="s">
        <v>307</v>
      </c>
      <c r="C572" s="14" t="s">
        <v>301</v>
      </c>
      <c r="D572" s="15" t="s">
        <v>251</v>
      </c>
      <c r="H572" s="7">
        <v>8</v>
      </c>
      <c r="I572" s="7">
        <v>10</v>
      </c>
      <c r="J572" s="8">
        <f t="shared" si="8"/>
        <v>0.44444444444444442</v>
      </c>
      <c r="K572" s="7" t="s">
        <v>30</v>
      </c>
      <c r="T572" s="14" t="s">
        <v>301</v>
      </c>
    </row>
    <row r="573" spans="1:20" x14ac:dyDescent="0.25">
      <c r="A573" s="7" t="s">
        <v>306</v>
      </c>
      <c r="B573" s="7" t="s">
        <v>151</v>
      </c>
      <c r="C573" s="7" t="s">
        <v>293</v>
      </c>
      <c r="D573" s="7" t="s">
        <v>154</v>
      </c>
      <c r="H573" s="7">
        <v>4</v>
      </c>
      <c r="I573" s="7">
        <v>6</v>
      </c>
      <c r="J573" s="8">
        <f t="shared" si="8"/>
        <v>0.4</v>
      </c>
      <c r="K573" s="8" t="s">
        <v>30</v>
      </c>
      <c r="L573" s="8"/>
      <c r="M573" s="8"/>
      <c r="N573" s="8"/>
      <c r="O573" s="11"/>
      <c r="P573" s="7">
        <v>0</v>
      </c>
      <c r="Q573" s="7">
        <v>2</v>
      </c>
      <c r="T573" s="7" t="s">
        <v>292</v>
      </c>
    </row>
    <row r="574" spans="1:20" x14ac:dyDescent="0.25">
      <c r="A574" s="15" t="s">
        <v>306</v>
      </c>
      <c r="B574" s="15" t="s">
        <v>307</v>
      </c>
      <c r="C574" s="14" t="s">
        <v>235</v>
      </c>
      <c r="D574" s="15" t="s">
        <v>159</v>
      </c>
      <c r="H574" s="7">
        <v>7</v>
      </c>
      <c r="I574" s="7">
        <v>11</v>
      </c>
      <c r="J574" s="8">
        <f t="shared" si="8"/>
        <v>0.3888888888888889</v>
      </c>
      <c r="K574" s="7" t="s">
        <v>30</v>
      </c>
      <c r="T574" s="14" t="s">
        <v>234</v>
      </c>
    </row>
    <row r="575" spans="1:20" x14ac:dyDescent="0.25">
      <c r="A575" s="15" t="s">
        <v>306</v>
      </c>
      <c r="B575" s="15" t="s">
        <v>307</v>
      </c>
      <c r="C575" s="14" t="s">
        <v>296</v>
      </c>
      <c r="D575" s="15" t="s">
        <v>220</v>
      </c>
      <c r="H575" s="7">
        <v>7</v>
      </c>
      <c r="I575" s="7">
        <v>11</v>
      </c>
      <c r="J575" s="8">
        <f t="shared" si="8"/>
        <v>0.3888888888888889</v>
      </c>
      <c r="K575" s="7" t="s">
        <v>30</v>
      </c>
      <c r="T575" s="14" t="s">
        <v>296</v>
      </c>
    </row>
    <row r="576" spans="1:20" x14ac:dyDescent="0.25">
      <c r="A576" s="15" t="s">
        <v>306</v>
      </c>
      <c r="B576" s="15" t="s">
        <v>307</v>
      </c>
      <c r="C576" s="14" t="s">
        <v>297</v>
      </c>
      <c r="D576" s="15" t="s">
        <v>243</v>
      </c>
      <c r="H576" s="7">
        <v>7</v>
      </c>
      <c r="I576" s="7">
        <v>11</v>
      </c>
      <c r="J576" s="8">
        <f t="shared" si="8"/>
        <v>0.3888888888888889</v>
      </c>
      <c r="K576" s="7" t="s">
        <v>30</v>
      </c>
      <c r="T576" s="14" t="s">
        <v>297</v>
      </c>
    </row>
    <row r="577" spans="1:20" x14ac:dyDescent="0.25">
      <c r="A577" s="7" t="s">
        <v>306</v>
      </c>
      <c r="B577" s="7" t="s">
        <v>151</v>
      </c>
      <c r="C577" s="7" t="s">
        <v>257</v>
      </c>
      <c r="D577" s="7" t="s">
        <v>215</v>
      </c>
      <c r="H577" s="7">
        <v>3</v>
      </c>
      <c r="I577" s="7">
        <v>7</v>
      </c>
      <c r="J577" s="8">
        <f t="shared" si="8"/>
        <v>0.3</v>
      </c>
      <c r="K577" s="8" t="s">
        <v>30</v>
      </c>
      <c r="L577" s="8"/>
      <c r="M577" s="8"/>
      <c r="N577" s="8"/>
      <c r="O577" s="11"/>
      <c r="P577" s="7">
        <v>0</v>
      </c>
      <c r="Q577" s="7">
        <v>2</v>
      </c>
      <c r="T577" s="7" t="s">
        <v>257</v>
      </c>
    </row>
    <row r="578" spans="1:20" x14ac:dyDescent="0.25">
      <c r="A578" s="15" t="s">
        <v>306</v>
      </c>
      <c r="B578" s="15" t="s">
        <v>307</v>
      </c>
      <c r="C578" s="15" t="s">
        <v>316</v>
      </c>
      <c r="D578" s="15" t="s">
        <v>173</v>
      </c>
      <c r="H578" s="7">
        <v>6</v>
      </c>
      <c r="I578" s="7">
        <v>12</v>
      </c>
      <c r="J578" s="8">
        <f t="shared" ref="J578:J641" si="9">H578/SUM(H578:I578)</f>
        <v>0.33333333333333331</v>
      </c>
      <c r="T578" s="15" t="s">
        <v>316</v>
      </c>
    </row>
    <row r="579" spans="1:20" x14ac:dyDescent="0.25">
      <c r="A579" s="15" t="s">
        <v>306</v>
      </c>
      <c r="B579" s="15" t="s">
        <v>307</v>
      </c>
      <c r="C579" s="15" t="s">
        <v>230</v>
      </c>
      <c r="D579" s="15" t="s">
        <v>171</v>
      </c>
      <c r="H579" s="7">
        <v>6</v>
      </c>
      <c r="I579" s="7">
        <v>12</v>
      </c>
      <c r="J579" s="8">
        <f t="shared" si="9"/>
        <v>0.33333333333333331</v>
      </c>
      <c r="T579" s="15" t="s">
        <v>230</v>
      </c>
    </row>
    <row r="580" spans="1:20" x14ac:dyDescent="0.25">
      <c r="A580" s="7" t="s">
        <v>306</v>
      </c>
      <c r="B580" s="7" t="s">
        <v>151</v>
      </c>
      <c r="C580" s="7" t="s">
        <v>317</v>
      </c>
      <c r="D580" s="7" t="s">
        <v>161</v>
      </c>
      <c r="H580" s="7">
        <v>3</v>
      </c>
      <c r="I580" s="7">
        <v>7</v>
      </c>
      <c r="J580" s="8">
        <f t="shared" si="9"/>
        <v>0.3</v>
      </c>
      <c r="K580" s="8"/>
      <c r="L580" s="8"/>
      <c r="M580" s="8"/>
      <c r="N580" s="8"/>
      <c r="O580" s="11"/>
      <c r="T580" s="7" t="s">
        <v>317</v>
      </c>
    </row>
    <row r="581" spans="1:20" x14ac:dyDescent="0.25">
      <c r="A581" s="7" t="s">
        <v>306</v>
      </c>
      <c r="B581" s="7" t="s">
        <v>151</v>
      </c>
      <c r="C581" s="7" t="s">
        <v>318</v>
      </c>
      <c r="D581" s="7" t="s">
        <v>319</v>
      </c>
      <c r="H581" s="7">
        <v>3</v>
      </c>
      <c r="I581" s="7">
        <v>7</v>
      </c>
      <c r="J581" s="8">
        <f t="shared" si="9"/>
        <v>0.3</v>
      </c>
      <c r="K581" s="8"/>
      <c r="L581" s="8"/>
      <c r="M581" s="8"/>
      <c r="N581" s="8"/>
      <c r="O581" s="11"/>
      <c r="T581" s="7" t="s">
        <v>318</v>
      </c>
    </row>
    <row r="582" spans="1:20" x14ac:dyDescent="0.25">
      <c r="A582" s="15" t="s">
        <v>306</v>
      </c>
      <c r="B582" s="15" t="s">
        <v>307</v>
      </c>
      <c r="C582" s="15" t="s">
        <v>320</v>
      </c>
      <c r="D582" s="15" t="s">
        <v>161</v>
      </c>
      <c r="H582" s="7">
        <v>4</v>
      </c>
      <c r="I582" s="7">
        <v>14</v>
      </c>
      <c r="J582" s="8">
        <f t="shared" si="9"/>
        <v>0.22222222222222221</v>
      </c>
      <c r="T582" s="15" t="s">
        <v>320</v>
      </c>
    </row>
    <row r="583" spans="1:20" x14ac:dyDescent="0.25">
      <c r="A583" s="7" t="s">
        <v>306</v>
      </c>
      <c r="B583" s="7" t="s">
        <v>151</v>
      </c>
      <c r="C583" s="7" t="s">
        <v>250</v>
      </c>
      <c r="D583" s="7" t="s">
        <v>251</v>
      </c>
      <c r="H583" s="7">
        <v>2</v>
      </c>
      <c r="I583" s="7">
        <v>8</v>
      </c>
      <c r="J583" s="8">
        <f t="shared" si="9"/>
        <v>0.2</v>
      </c>
      <c r="K583" s="8"/>
      <c r="L583" s="8"/>
      <c r="M583" s="8"/>
      <c r="N583" s="8"/>
      <c r="O583" s="11"/>
      <c r="T583" s="7" t="s">
        <v>250</v>
      </c>
    </row>
    <row r="584" spans="1:20" x14ac:dyDescent="0.25">
      <c r="A584" s="7" t="s">
        <v>306</v>
      </c>
      <c r="B584" s="7" t="s">
        <v>151</v>
      </c>
      <c r="C584" s="7" t="s">
        <v>303</v>
      </c>
      <c r="D584" s="7" t="s">
        <v>215</v>
      </c>
      <c r="H584" s="7">
        <v>2</v>
      </c>
      <c r="I584" s="7">
        <v>8</v>
      </c>
      <c r="J584" s="8">
        <f t="shared" si="9"/>
        <v>0.2</v>
      </c>
      <c r="K584" s="8"/>
      <c r="L584" s="8"/>
      <c r="M584" s="8"/>
      <c r="N584" s="8"/>
      <c r="O584" s="11"/>
      <c r="T584" s="7" t="s">
        <v>303</v>
      </c>
    </row>
    <row r="585" spans="1:20" x14ac:dyDescent="0.25">
      <c r="A585" s="7" t="s">
        <v>306</v>
      </c>
      <c r="B585" s="7" t="s">
        <v>151</v>
      </c>
      <c r="C585" s="7" t="s">
        <v>321</v>
      </c>
      <c r="D585" s="7" t="s">
        <v>187</v>
      </c>
      <c r="H585" s="7">
        <v>2</v>
      </c>
      <c r="I585" s="7">
        <v>8</v>
      </c>
      <c r="J585" s="8">
        <f t="shared" si="9"/>
        <v>0.2</v>
      </c>
      <c r="K585" s="8"/>
      <c r="L585" s="8"/>
      <c r="M585" s="8"/>
      <c r="N585" s="8"/>
      <c r="O585" s="11"/>
      <c r="T585" s="7" t="s">
        <v>321</v>
      </c>
    </row>
    <row r="586" spans="1:20" x14ac:dyDescent="0.25">
      <c r="A586" s="15" t="s">
        <v>306</v>
      </c>
      <c r="B586" s="15" t="s">
        <v>307</v>
      </c>
      <c r="C586" s="15" t="s">
        <v>323</v>
      </c>
      <c r="D586" s="15" t="s">
        <v>324</v>
      </c>
      <c r="H586" s="7">
        <v>2</v>
      </c>
      <c r="I586" s="7">
        <v>16</v>
      </c>
      <c r="J586" s="8">
        <f t="shared" si="9"/>
        <v>0.1111111111111111</v>
      </c>
      <c r="T586" s="15" t="s">
        <v>322</v>
      </c>
    </row>
    <row r="587" spans="1:20" x14ac:dyDescent="0.25">
      <c r="A587" s="7" t="s">
        <v>306</v>
      </c>
      <c r="B587" s="7" t="s">
        <v>151</v>
      </c>
      <c r="C587" s="7" t="s">
        <v>291</v>
      </c>
      <c r="D587" s="7" t="s">
        <v>173</v>
      </c>
      <c r="H587" s="7">
        <v>1</v>
      </c>
      <c r="I587" s="7">
        <v>9</v>
      </c>
      <c r="J587" s="8">
        <f t="shared" si="9"/>
        <v>0.1</v>
      </c>
      <c r="K587" s="8"/>
      <c r="L587" s="8"/>
      <c r="M587" s="8"/>
      <c r="N587" s="8"/>
      <c r="O587" s="11"/>
      <c r="T587" s="7" t="s">
        <v>290</v>
      </c>
    </row>
    <row r="588" spans="1:20" x14ac:dyDescent="0.25">
      <c r="A588" s="7" t="s">
        <v>306</v>
      </c>
      <c r="B588" s="7" t="s">
        <v>151</v>
      </c>
      <c r="C588" s="7" t="s">
        <v>304</v>
      </c>
      <c r="D588" s="7" t="s">
        <v>305</v>
      </c>
      <c r="H588" s="7">
        <v>1</v>
      </c>
      <c r="I588" s="7">
        <v>9</v>
      </c>
      <c r="J588" s="8">
        <f t="shared" si="9"/>
        <v>0.1</v>
      </c>
      <c r="K588" s="8"/>
      <c r="L588" s="8"/>
      <c r="M588" s="8"/>
      <c r="N588" s="8"/>
      <c r="O588" s="11"/>
      <c r="T588" s="7" t="s">
        <v>304</v>
      </c>
    </row>
    <row r="589" spans="1:20" x14ac:dyDescent="0.25">
      <c r="A589" s="7" t="s">
        <v>306</v>
      </c>
      <c r="B589" s="7" t="s">
        <v>151</v>
      </c>
      <c r="C589" s="7" t="s">
        <v>325</v>
      </c>
      <c r="D589" s="7" t="s">
        <v>326</v>
      </c>
      <c r="H589" s="7">
        <v>0</v>
      </c>
      <c r="I589" s="7">
        <v>10</v>
      </c>
      <c r="J589" s="8">
        <f t="shared" si="9"/>
        <v>0</v>
      </c>
      <c r="K589" s="8"/>
      <c r="L589" s="8"/>
      <c r="M589" s="8"/>
      <c r="N589" s="8"/>
      <c r="O589" s="11"/>
      <c r="T589" s="7" t="s">
        <v>325</v>
      </c>
    </row>
    <row r="590" spans="1:20" x14ac:dyDescent="0.25">
      <c r="A590" s="15" t="s">
        <v>327</v>
      </c>
      <c r="B590" s="15" t="s">
        <v>328</v>
      </c>
      <c r="C590" s="14" t="s">
        <v>162</v>
      </c>
      <c r="D590" s="15" t="s">
        <v>152</v>
      </c>
      <c r="H590" s="7">
        <v>9</v>
      </c>
      <c r="I590" s="7">
        <v>1</v>
      </c>
      <c r="J590" s="8">
        <f t="shared" si="9"/>
        <v>0.9</v>
      </c>
      <c r="K590" s="7" t="s">
        <v>30</v>
      </c>
      <c r="L590" s="7" t="s">
        <v>30</v>
      </c>
      <c r="M590" s="7" t="s">
        <v>30</v>
      </c>
      <c r="N590" s="7" t="s">
        <v>30</v>
      </c>
      <c r="O590" s="16" t="s">
        <v>30</v>
      </c>
      <c r="P590" s="7">
        <v>13</v>
      </c>
      <c r="Q590" s="7">
        <v>3</v>
      </c>
      <c r="T590" s="15" t="s">
        <v>162</v>
      </c>
    </row>
    <row r="591" spans="1:20" x14ac:dyDescent="0.25">
      <c r="A591" s="15" t="s">
        <v>327</v>
      </c>
      <c r="B591" s="15" t="s">
        <v>328</v>
      </c>
      <c r="C591" s="14" t="s">
        <v>581</v>
      </c>
      <c r="D591" s="15" t="s">
        <v>154</v>
      </c>
      <c r="H591" s="7">
        <v>9</v>
      </c>
      <c r="I591" s="7">
        <v>1</v>
      </c>
      <c r="J591" s="8">
        <f t="shared" si="9"/>
        <v>0.9</v>
      </c>
      <c r="K591" s="7" t="s">
        <v>30</v>
      </c>
      <c r="L591" s="7" t="s">
        <v>30</v>
      </c>
      <c r="M591" s="7" t="s">
        <v>30</v>
      </c>
      <c r="P591" s="7">
        <v>12</v>
      </c>
      <c r="Q591" s="7">
        <v>4</v>
      </c>
      <c r="T591" s="14" t="s">
        <v>581</v>
      </c>
    </row>
    <row r="592" spans="1:20" x14ac:dyDescent="0.25">
      <c r="A592" s="15" t="s">
        <v>327</v>
      </c>
      <c r="B592" s="15" t="s">
        <v>328</v>
      </c>
      <c r="C592" s="14" t="s">
        <v>169</v>
      </c>
      <c r="D592" s="15" t="s">
        <v>161</v>
      </c>
      <c r="H592" s="7">
        <v>6</v>
      </c>
      <c r="I592" s="7">
        <v>4</v>
      </c>
      <c r="J592" s="8">
        <f t="shared" si="9"/>
        <v>0.6</v>
      </c>
      <c r="K592" s="7" t="s">
        <v>30</v>
      </c>
      <c r="L592" s="7" t="s">
        <v>30</v>
      </c>
      <c r="M592" s="7" t="s">
        <v>30</v>
      </c>
      <c r="N592" s="7" t="s">
        <v>30</v>
      </c>
      <c r="P592" s="7">
        <v>12</v>
      </c>
      <c r="Q592" s="7">
        <v>4</v>
      </c>
      <c r="T592" s="14" t="s">
        <v>169</v>
      </c>
    </row>
    <row r="593" spans="1:20" x14ac:dyDescent="0.25">
      <c r="A593" s="15" t="s">
        <v>327</v>
      </c>
      <c r="B593" s="15" t="s">
        <v>328</v>
      </c>
      <c r="C593" s="15" t="s">
        <v>308</v>
      </c>
      <c r="D593" s="15" t="s">
        <v>157</v>
      </c>
      <c r="H593" s="7">
        <v>6</v>
      </c>
      <c r="I593" s="7">
        <v>4</v>
      </c>
      <c r="J593" s="8">
        <f t="shared" si="9"/>
        <v>0.6</v>
      </c>
      <c r="K593" s="7" t="s">
        <v>30</v>
      </c>
      <c r="L593" s="7" t="s">
        <v>30</v>
      </c>
      <c r="M593" s="7" t="s">
        <v>30</v>
      </c>
      <c r="P593" s="7">
        <v>11</v>
      </c>
      <c r="Q593" s="7">
        <v>5</v>
      </c>
      <c r="T593" s="14" t="s">
        <v>178</v>
      </c>
    </row>
    <row r="594" spans="1:20" x14ac:dyDescent="0.25">
      <c r="A594" s="15" t="s">
        <v>327</v>
      </c>
      <c r="B594" s="15" t="s">
        <v>328</v>
      </c>
      <c r="C594" s="14" t="s">
        <v>179</v>
      </c>
      <c r="D594" s="15" t="s">
        <v>164</v>
      </c>
      <c r="H594" s="7">
        <v>8</v>
      </c>
      <c r="I594" s="7">
        <v>2</v>
      </c>
      <c r="J594" s="8">
        <f t="shared" si="9"/>
        <v>0.8</v>
      </c>
      <c r="K594" s="7" t="s">
        <v>30</v>
      </c>
      <c r="L594" s="7" t="s">
        <v>30</v>
      </c>
      <c r="P594" s="7">
        <v>11</v>
      </c>
      <c r="Q594" s="7">
        <v>5</v>
      </c>
      <c r="T594" s="14" t="s">
        <v>179</v>
      </c>
    </row>
    <row r="595" spans="1:20" x14ac:dyDescent="0.25">
      <c r="A595" s="15" t="s">
        <v>327</v>
      </c>
      <c r="B595" s="15" t="s">
        <v>328</v>
      </c>
      <c r="C595" s="15" t="s">
        <v>188</v>
      </c>
      <c r="D595" s="15" t="s">
        <v>187</v>
      </c>
      <c r="H595" s="7">
        <v>7</v>
      </c>
      <c r="I595" s="7">
        <v>3</v>
      </c>
      <c r="J595" s="8">
        <f t="shared" si="9"/>
        <v>0.7</v>
      </c>
      <c r="K595" s="7" t="s">
        <v>30</v>
      </c>
      <c r="P595" s="7">
        <v>9</v>
      </c>
      <c r="Q595" s="7">
        <v>7</v>
      </c>
      <c r="T595" s="15" t="s">
        <v>188</v>
      </c>
    </row>
    <row r="596" spans="1:20" x14ac:dyDescent="0.25">
      <c r="A596" s="15" t="s">
        <v>327</v>
      </c>
      <c r="B596" s="15" t="s">
        <v>328</v>
      </c>
      <c r="C596" s="14" t="s">
        <v>257</v>
      </c>
      <c r="D596" s="15" t="s">
        <v>215</v>
      </c>
      <c r="H596" s="7">
        <v>6</v>
      </c>
      <c r="I596" s="7">
        <v>4</v>
      </c>
      <c r="J596" s="8">
        <f t="shared" si="9"/>
        <v>0.6</v>
      </c>
      <c r="K596" s="7" t="s">
        <v>30</v>
      </c>
      <c r="L596" s="7" t="s">
        <v>30</v>
      </c>
      <c r="P596" s="7">
        <v>10</v>
      </c>
      <c r="Q596" s="7">
        <v>6</v>
      </c>
      <c r="T596" s="14" t="s">
        <v>257</v>
      </c>
    </row>
    <row r="597" spans="1:20" x14ac:dyDescent="0.25">
      <c r="A597" s="15" t="s">
        <v>327</v>
      </c>
      <c r="B597" s="15" t="s">
        <v>328</v>
      </c>
      <c r="C597" s="14" t="s">
        <v>149</v>
      </c>
      <c r="D597" s="15" t="s">
        <v>152</v>
      </c>
      <c r="H597" s="7">
        <v>6</v>
      </c>
      <c r="I597" s="7">
        <v>4</v>
      </c>
      <c r="J597" s="8">
        <f t="shared" si="9"/>
        <v>0.6</v>
      </c>
      <c r="K597" s="7" t="s">
        <v>30</v>
      </c>
      <c r="P597" s="7">
        <v>10</v>
      </c>
      <c r="Q597" s="7">
        <v>6</v>
      </c>
      <c r="T597" s="14" t="s">
        <v>149</v>
      </c>
    </row>
    <row r="598" spans="1:20" x14ac:dyDescent="0.25">
      <c r="A598" s="15" t="s">
        <v>327</v>
      </c>
      <c r="B598" s="15" t="s">
        <v>328</v>
      </c>
      <c r="C598" s="15" t="s">
        <v>329</v>
      </c>
      <c r="D598" s="15" t="s">
        <v>171</v>
      </c>
      <c r="H598" s="7">
        <v>6</v>
      </c>
      <c r="I598" s="7">
        <v>4</v>
      </c>
      <c r="J598" s="8">
        <f t="shared" si="9"/>
        <v>0.6</v>
      </c>
      <c r="K598" s="7" t="s">
        <v>30</v>
      </c>
      <c r="L598" s="7" t="s">
        <v>30</v>
      </c>
      <c r="P598" s="7">
        <v>10</v>
      </c>
      <c r="Q598" s="7">
        <v>6</v>
      </c>
      <c r="T598" s="15" t="s">
        <v>295</v>
      </c>
    </row>
    <row r="599" spans="1:20" x14ac:dyDescent="0.25">
      <c r="A599" s="15" t="s">
        <v>327</v>
      </c>
      <c r="B599" s="15" t="s">
        <v>328</v>
      </c>
      <c r="C599" s="15" t="s">
        <v>278</v>
      </c>
      <c r="D599" s="15" t="s">
        <v>171</v>
      </c>
      <c r="H599" s="7">
        <v>6</v>
      </c>
      <c r="I599" s="7">
        <v>4</v>
      </c>
      <c r="J599" s="8">
        <f t="shared" si="9"/>
        <v>0.6</v>
      </c>
      <c r="K599" s="7" t="s">
        <v>30</v>
      </c>
      <c r="P599" s="7">
        <v>9</v>
      </c>
      <c r="Q599" s="7">
        <v>7</v>
      </c>
      <c r="T599" s="15" t="s">
        <v>278</v>
      </c>
    </row>
    <row r="600" spans="1:20" x14ac:dyDescent="0.25">
      <c r="A600" s="15" t="s">
        <v>327</v>
      </c>
      <c r="B600" s="15" t="s">
        <v>328</v>
      </c>
      <c r="C600" s="15" t="s">
        <v>330</v>
      </c>
      <c r="D600" s="15" t="s">
        <v>243</v>
      </c>
      <c r="H600" s="7">
        <v>5</v>
      </c>
      <c r="I600" s="7">
        <v>5</v>
      </c>
      <c r="J600" s="8">
        <f t="shared" si="9"/>
        <v>0.5</v>
      </c>
      <c r="K600" s="7" t="s">
        <v>30</v>
      </c>
      <c r="L600" s="7" t="s">
        <v>30</v>
      </c>
      <c r="P600" s="7">
        <v>10</v>
      </c>
      <c r="Q600" s="7">
        <v>6</v>
      </c>
      <c r="T600" s="15" t="s">
        <v>241</v>
      </c>
    </row>
    <row r="601" spans="1:20" x14ac:dyDescent="0.25">
      <c r="A601" s="15" t="s">
        <v>327</v>
      </c>
      <c r="B601" s="15" t="s">
        <v>328</v>
      </c>
      <c r="C601" s="15" t="s">
        <v>331</v>
      </c>
      <c r="D601" s="15" t="s">
        <v>154</v>
      </c>
      <c r="H601" s="7">
        <v>5</v>
      </c>
      <c r="I601" s="7">
        <v>5</v>
      </c>
      <c r="J601" s="8">
        <f t="shared" si="9"/>
        <v>0.5</v>
      </c>
      <c r="K601" s="7" t="s">
        <v>30</v>
      </c>
      <c r="P601" s="7">
        <v>10</v>
      </c>
      <c r="Q601" s="7">
        <v>6</v>
      </c>
      <c r="T601" s="14" t="s">
        <v>155</v>
      </c>
    </row>
    <row r="602" spans="1:20" x14ac:dyDescent="0.25">
      <c r="A602" s="15" t="s">
        <v>327</v>
      </c>
      <c r="B602" s="15" t="s">
        <v>328</v>
      </c>
      <c r="C602" s="15" t="s">
        <v>181</v>
      </c>
      <c r="D602" s="15" t="s">
        <v>173</v>
      </c>
      <c r="H602" s="7">
        <v>5</v>
      </c>
      <c r="I602" s="7">
        <v>5</v>
      </c>
      <c r="J602" s="8">
        <f t="shared" si="9"/>
        <v>0.5</v>
      </c>
      <c r="K602" s="7" t="s">
        <v>30</v>
      </c>
      <c r="P602" s="7">
        <v>9</v>
      </c>
      <c r="Q602" s="7">
        <v>7</v>
      </c>
      <c r="T602" s="15" t="s">
        <v>181</v>
      </c>
    </row>
    <row r="603" spans="1:20" x14ac:dyDescent="0.25">
      <c r="A603" s="15" t="s">
        <v>327</v>
      </c>
      <c r="B603" s="15" t="s">
        <v>328</v>
      </c>
      <c r="C603" s="15" t="s">
        <v>311</v>
      </c>
      <c r="D603" s="15" t="s">
        <v>157</v>
      </c>
      <c r="H603" s="7">
        <v>5</v>
      </c>
      <c r="I603" s="7">
        <v>5</v>
      </c>
      <c r="J603" s="8">
        <f t="shared" si="9"/>
        <v>0.5</v>
      </c>
      <c r="K603" s="7" t="s">
        <v>30</v>
      </c>
      <c r="P603" s="7">
        <v>8</v>
      </c>
      <c r="Q603" s="7">
        <v>8</v>
      </c>
      <c r="T603" s="15" t="s">
        <v>311</v>
      </c>
    </row>
    <row r="604" spans="1:20" x14ac:dyDescent="0.25">
      <c r="A604" s="15" t="s">
        <v>327</v>
      </c>
      <c r="B604" s="15" t="s">
        <v>328</v>
      </c>
      <c r="C604" s="15" t="s">
        <v>309</v>
      </c>
      <c r="D604" s="15" t="s">
        <v>152</v>
      </c>
      <c r="H604" s="7">
        <v>5</v>
      </c>
      <c r="I604" s="7">
        <v>5</v>
      </c>
      <c r="J604" s="8">
        <f t="shared" si="9"/>
        <v>0.5</v>
      </c>
      <c r="K604" s="7" t="s">
        <v>30</v>
      </c>
      <c r="P604" s="7">
        <v>7</v>
      </c>
      <c r="Q604" s="7">
        <v>9</v>
      </c>
      <c r="T604" s="15" t="s">
        <v>309</v>
      </c>
    </row>
    <row r="605" spans="1:20" x14ac:dyDescent="0.25">
      <c r="A605" s="15" t="s">
        <v>327</v>
      </c>
      <c r="B605" s="15" t="s">
        <v>328</v>
      </c>
      <c r="C605" s="14" t="s">
        <v>197</v>
      </c>
      <c r="D605" s="15" t="s">
        <v>312</v>
      </c>
      <c r="H605" s="7">
        <v>5</v>
      </c>
      <c r="I605" s="7">
        <v>5</v>
      </c>
      <c r="J605" s="8">
        <f t="shared" si="9"/>
        <v>0.5</v>
      </c>
      <c r="K605" s="7" t="s">
        <v>30</v>
      </c>
      <c r="P605" s="7">
        <v>7</v>
      </c>
      <c r="Q605" s="7">
        <v>9</v>
      </c>
      <c r="T605" s="14" t="s">
        <v>197</v>
      </c>
    </row>
    <row r="606" spans="1:20" x14ac:dyDescent="0.25">
      <c r="A606" s="15" t="s">
        <v>327</v>
      </c>
      <c r="B606" s="15" t="s">
        <v>328</v>
      </c>
      <c r="C606" s="15" t="s">
        <v>333</v>
      </c>
      <c r="D606" s="15" t="s">
        <v>154</v>
      </c>
      <c r="H606" s="7">
        <v>5</v>
      </c>
      <c r="I606" s="7">
        <v>5</v>
      </c>
      <c r="J606" s="8">
        <f t="shared" si="9"/>
        <v>0.5</v>
      </c>
      <c r="P606" s="7">
        <v>6</v>
      </c>
      <c r="Q606" s="7">
        <v>10</v>
      </c>
      <c r="T606" s="15" t="s">
        <v>332</v>
      </c>
    </row>
    <row r="607" spans="1:20" x14ac:dyDescent="0.25">
      <c r="A607" s="15" t="s">
        <v>327</v>
      </c>
      <c r="B607" s="15" t="s">
        <v>328</v>
      </c>
      <c r="C607" s="15" t="s">
        <v>334</v>
      </c>
      <c r="D607" s="15" t="s">
        <v>157</v>
      </c>
      <c r="H607" s="7">
        <v>4</v>
      </c>
      <c r="I607" s="7">
        <v>6</v>
      </c>
      <c r="J607" s="8">
        <f t="shared" si="9"/>
        <v>0.4</v>
      </c>
      <c r="P607" s="7">
        <v>8</v>
      </c>
      <c r="Q607" s="7">
        <v>8</v>
      </c>
      <c r="T607" s="15" t="s">
        <v>334</v>
      </c>
    </row>
    <row r="608" spans="1:20" x14ac:dyDescent="0.25">
      <c r="A608" s="15" t="s">
        <v>327</v>
      </c>
      <c r="B608" s="15" t="s">
        <v>328</v>
      </c>
      <c r="C608" s="15" t="s">
        <v>336</v>
      </c>
      <c r="D608" s="15" t="s">
        <v>171</v>
      </c>
      <c r="H608" s="7">
        <v>3</v>
      </c>
      <c r="I608" s="7">
        <v>7</v>
      </c>
      <c r="J608" s="8">
        <f t="shared" si="9"/>
        <v>0.3</v>
      </c>
      <c r="P608" s="7">
        <v>5</v>
      </c>
      <c r="Q608" s="7">
        <v>11</v>
      </c>
      <c r="T608" s="15" t="s">
        <v>335</v>
      </c>
    </row>
    <row r="609" spans="1:20" x14ac:dyDescent="0.25">
      <c r="A609" s="15" t="s">
        <v>327</v>
      </c>
      <c r="B609" s="15" t="s">
        <v>328</v>
      </c>
      <c r="C609" s="14" t="s">
        <v>280</v>
      </c>
      <c r="D609" s="15" t="s">
        <v>164</v>
      </c>
      <c r="H609" s="7">
        <v>2</v>
      </c>
      <c r="I609" s="7">
        <v>8</v>
      </c>
      <c r="J609" s="8">
        <f t="shared" si="9"/>
        <v>0.2</v>
      </c>
      <c r="P609" s="7">
        <v>4</v>
      </c>
      <c r="Q609" s="7">
        <v>12</v>
      </c>
      <c r="T609" s="14" t="s">
        <v>279</v>
      </c>
    </row>
    <row r="610" spans="1:20" x14ac:dyDescent="0.25">
      <c r="A610" s="15" t="s">
        <v>327</v>
      </c>
      <c r="B610" s="15" t="s">
        <v>328</v>
      </c>
      <c r="C610" s="14" t="s">
        <v>158</v>
      </c>
      <c r="D610" s="15" t="s">
        <v>159</v>
      </c>
      <c r="H610" s="7">
        <v>2</v>
      </c>
      <c r="I610" s="7">
        <v>8</v>
      </c>
      <c r="J610" s="8">
        <f t="shared" si="9"/>
        <v>0.2</v>
      </c>
      <c r="P610" s="7">
        <v>4</v>
      </c>
      <c r="Q610" s="7">
        <v>12</v>
      </c>
      <c r="T610" s="14" t="s">
        <v>158</v>
      </c>
    </row>
    <row r="611" spans="1:20" x14ac:dyDescent="0.25">
      <c r="A611" s="15" t="s">
        <v>327</v>
      </c>
      <c r="B611" s="15" t="s">
        <v>328</v>
      </c>
      <c r="C611" s="14" t="s">
        <v>256</v>
      </c>
      <c r="D611" s="15" t="s">
        <v>164</v>
      </c>
      <c r="H611" s="7">
        <v>2</v>
      </c>
      <c r="I611" s="7">
        <v>8</v>
      </c>
      <c r="J611" s="8">
        <f t="shared" si="9"/>
        <v>0.2</v>
      </c>
      <c r="P611" s="7">
        <v>3</v>
      </c>
      <c r="Q611" s="7">
        <v>13</v>
      </c>
      <c r="T611" s="14" t="s">
        <v>256</v>
      </c>
    </row>
    <row r="612" spans="1:20" x14ac:dyDescent="0.25">
      <c r="A612" s="15" t="s">
        <v>327</v>
      </c>
      <c r="B612" s="15" t="s">
        <v>328</v>
      </c>
      <c r="C612" s="15" t="s">
        <v>337</v>
      </c>
      <c r="D612" s="15" t="s">
        <v>243</v>
      </c>
      <c r="H612" s="7">
        <v>2</v>
      </c>
      <c r="I612" s="7">
        <v>8</v>
      </c>
      <c r="J612" s="8">
        <f t="shared" si="9"/>
        <v>0.2</v>
      </c>
      <c r="P612" s="7">
        <v>2</v>
      </c>
      <c r="Q612" s="7">
        <v>14</v>
      </c>
      <c r="T612" s="15" t="s">
        <v>337</v>
      </c>
    </row>
    <row r="613" spans="1:20" x14ac:dyDescent="0.25">
      <c r="A613" s="15" t="s">
        <v>327</v>
      </c>
      <c r="B613" s="15" t="s">
        <v>328</v>
      </c>
      <c r="C613" s="14" t="s">
        <v>165</v>
      </c>
      <c r="D613" s="15" t="s">
        <v>312</v>
      </c>
      <c r="H613" s="7">
        <v>1</v>
      </c>
      <c r="I613" s="7">
        <v>9</v>
      </c>
      <c r="J613" s="8">
        <f t="shared" si="9"/>
        <v>0.1</v>
      </c>
      <c r="P613" s="7">
        <v>2</v>
      </c>
      <c r="Q613" s="7">
        <v>14</v>
      </c>
      <c r="T613" s="14" t="s">
        <v>165</v>
      </c>
    </row>
    <row r="614" spans="1:20" x14ac:dyDescent="0.25">
      <c r="A614" s="15" t="s">
        <v>338</v>
      </c>
      <c r="B614" s="15" t="s">
        <v>328</v>
      </c>
      <c r="C614" s="14" t="s">
        <v>158</v>
      </c>
      <c r="D614" s="15" t="s">
        <v>159</v>
      </c>
      <c r="H614" s="7">
        <v>8</v>
      </c>
      <c r="I614" s="7">
        <v>2</v>
      </c>
      <c r="J614" s="8">
        <f t="shared" si="9"/>
        <v>0.8</v>
      </c>
      <c r="K614" s="7" t="s">
        <v>30</v>
      </c>
      <c r="L614" s="7" t="s">
        <v>30</v>
      </c>
      <c r="M614" s="7" t="s">
        <v>30</v>
      </c>
      <c r="N614" s="7" t="s">
        <v>30</v>
      </c>
      <c r="O614" s="16" t="s">
        <v>30</v>
      </c>
      <c r="P614" s="7">
        <v>12</v>
      </c>
      <c r="Q614" s="7">
        <v>4</v>
      </c>
      <c r="T614" s="14" t="s">
        <v>158</v>
      </c>
    </row>
    <row r="615" spans="1:20" x14ac:dyDescent="0.25">
      <c r="A615" s="15" t="s">
        <v>338</v>
      </c>
      <c r="B615" s="15" t="s">
        <v>328</v>
      </c>
      <c r="C615" s="14" t="s">
        <v>149</v>
      </c>
      <c r="D615" s="15" t="s">
        <v>152</v>
      </c>
      <c r="H615" s="7">
        <v>8</v>
      </c>
      <c r="I615" s="7">
        <v>2</v>
      </c>
      <c r="J615" s="8">
        <f t="shared" si="9"/>
        <v>0.8</v>
      </c>
      <c r="K615" s="7" t="s">
        <v>30</v>
      </c>
      <c r="L615" s="7" t="s">
        <v>30</v>
      </c>
      <c r="M615" s="7" t="s">
        <v>30</v>
      </c>
      <c r="P615" s="7">
        <v>11</v>
      </c>
      <c r="Q615" s="7">
        <v>5</v>
      </c>
      <c r="T615" s="14" t="s">
        <v>149</v>
      </c>
    </row>
    <row r="616" spans="1:20" x14ac:dyDescent="0.25">
      <c r="A616" s="15" t="s">
        <v>338</v>
      </c>
      <c r="B616" s="15" t="s">
        <v>328</v>
      </c>
      <c r="C616" s="15" t="s">
        <v>339</v>
      </c>
      <c r="D616" s="15" t="s">
        <v>171</v>
      </c>
      <c r="H616" s="7">
        <v>7</v>
      </c>
      <c r="I616" s="7">
        <v>3</v>
      </c>
      <c r="J616" s="8">
        <f t="shared" si="9"/>
        <v>0.7</v>
      </c>
      <c r="K616" s="7" t="s">
        <v>30</v>
      </c>
      <c r="L616" s="7" t="s">
        <v>30</v>
      </c>
      <c r="M616" s="7" t="s">
        <v>30</v>
      </c>
      <c r="N616" s="7" t="s">
        <v>30</v>
      </c>
      <c r="P616" s="7">
        <v>10</v>
      </c>
      <c r="Q616" s="7">
        <v>6</v>
      </c>
      <c r="T616" s="15" t="s">
        <v>176</v>
      </c>
    </row>
    <row r="617" spans="1:20" x14ac:dyDescent="0.25">
      <c r="A617" s="15" t="s">
        <v>338</v>
      </c>
      <c r="B617" s="15" t="s">
        <v>328</v>
      </c>
      <c r="C617" s="15" t="s">
        <v>340</v>
      </c>
      <c r="D617" s="15" t="s">
        <v>171</v>
      </c>
      <c r="H617" s="7">
        <v>5</v>
      </c>
      <c r="I617" s="7">
        <v>5</v>
      </c>
      <c r="J617" s="8">
        <f t="shared" si="9"/>
        <v>0.5</v>
      </c>
      <c r="K617" s="7" t="s">
        <v>30</v>
      </c>
      <c r="L617" s="7" t="s">
        <v>30</v>
      </c>
      <c r="M617" s="7" t="s">
        <v>30</v>
      </c>
      <c r="P617" s="7">
        <v>9</v>
      </c>
      <c r="Q617" s="7">
        <v>7</v>
      </c>
      <c r="T617" s="15" t="s">
        <v>295</v>
      </c>
    </row>
    <row r="618" spans="1:20" x14ac:dyDescent="0.25">
      <c r="A618" s="15" t="s">
        <v>338</v>
      </c>
      <c r="B618" s="15" t="s">
        <v>328</v>
      </c>
      <c r="C618" s="14" t="s">
        <v>162</v>
      </c>
      <c r="D618" s="15" t="s">
        <v>152</v>
      </c>
      <c r="H618" s="7">
        <v>10</v>
      </c>
      <c r="I618" s="7">
        <v>0</v>
      </c>
      <c r="J618" s="8">
        <f t="shared" si="9"/>
        <v>1</v>
      </c>
      <c r="K618" s="7" t="s">
        <v>30</v>
      </c>
      <c r="P618" s="7">
        <v>15</v>
      </c>
      <c r="Q618" s="7">
        <v>1</v>
      </c>
      <c r="T618" s="15" t="s">
        <v>162</v>
      </c>
    </row>
    <row r="619" spans="1:20" x14ac:dyDescent="0.25">
      <c r="A619" s="15" t="s">
        <v>338</v>
      </c>
      <c r="B619" s="15" t="s">
        <v>328</v>
      </c>
      <c r="C619" s="15" t="s">
        <v>330</v>
      </c>
      <c r="D619" s="15" t="s">
        <v>243</v>
      </c>
      <c r="H619" s="7">
        <v>7</v>
      </c>
      <c r="I619" s="7">
        <v>3</v>
      </c>
      <c r="J619" s="8">
        <f t="shared" si="9"/>
        <v>0.7</v>
      </c>
      <c r="K619" s="7" t="s">
        <v>30</v>
      </c>
      <c r="P619" s="7">
        <v>13</v>
      </c>
      <c r="Q619" s="7">
        <v>3</v>
      </c>
      <c r="T619" s="15" t="s">
        <v>241</v>
      </c>
    </row>
    <row r="620" spans="1:20" x14ac:dyDescent="0.25">
      <c r="A620" s="15" t="s">
        <v>338</v>
      </c>
      <c r="B620" s="15" t="s">
        <v>328</v>
      </c>
      <c r="C620" s="15" t="s">
        <v>308</v>
      </c>
      <c r="D620" s="15" t="s">
        <v>157</v>
      </c>
      <c r="H620" s="7">
        <v>7</v>
      </c>
      <c r="I620" s="7">
        <v>3</v>
      </c>
      <c r="J620" s="8">
        <f t="shared" si="9"/>
        <v>0.7</v>
      </c>
      <c r="K620" s="7" t="s">
        <v>30</v>
      </c>
      <c r="L620" s="7" t="s">
        <v>30</v>
      </c>
      <c r="P620" s="7">
        <v>11</v>
      </c>
      <c r="Q620" s="7">
        <v>5</v>
      </c>
      <c r="T620" s="14" t="s">
        <v>178</v>
      </c>
    </row>
    <row r="621" spans="1:20" x14ac:dyDescent="0.25">
      <c r="A621" s="15" t="s">
        <v>338</v>
      </c>
      <c r="B621" s="15" t="s">
        <v>328</v>
      </c>
      <c r="C621" s="14" t="s">
        <v>179</v>
      </c>
      <c r="D621" s="15" t="s">
        <v>164</v>
      </c>
      <c r="H621" s="7">
        <v>7</v>
      </c>
      <c r="I621" s="7">
        <v>3</v>
      </c>
      <c r="J621" s="8">
        <f t="shared" si="9"/>
        <v>0.7</v>
      </c>
      <c r="K621" s="7" t="s">
        <v>30</v>
      </c>
      <c r="L621" s="7" t="s">
        <v>30</v>
      </c>
      <c r="P621" s="7">
        <v>9</v>
      </c>
      <c r="Q621" s="7">
        <v>7</v>
      </c>
      <c r="T621" s="14" t="s">
        <v>179</v>
      </c>
    </row>
    <row r="622" spans="1:20" x14ac:dyDescent="0.25">
      <c r="A622" s="15" t="s">
        <v>338</v>
      </c>
      <c r="B622" s="15" t="s">
        <v>328</v>
      </c>
      <c r="C622" s="15" t="s">
        <v>331</v>
      </c>
      <c r="D622" s="15" t="s">
        <v>154</v>
      </c>
      <c r="H622" s="7">
        <v>6</v>
      </c>
      <c r="I622" s="7">
        <v>4</v>
      </c>
      <c r="J622" s="8">
        <f t="shared" si="9"/>
        <v>0.6</v>
      </c>
      <c r="K622" s="7" t="s">
        <v>30</v>
      </c>
      <c r="L622" s="7" t="s">
        <v>30</v>
      </c>
      <c r="P622" s="7">
        <v>9</v>
      </c>
      <c r="Q622" s="7">
        <v>7</v>
      </c>
      <c r="T622" s="14" t="s">
        <v>155</v>
      </c>
    </row>
    <row r="623" spans="1:20" x14ac:dyDescent="0.25">
      <c r="A623" s="15" t="s">
        <v>338</v>
      </c>
      <c r="B623" s="15" t="s">
        <v>328</v>
      </c>
      <c r="C623" s="14" t="s">
        <v>156</v>
      </c>
      <c r="D623" s="15" t="s">
        <v>157</v>
      </c>
      <c r="H623" s="7">
        <v>6</v>
      </c>
      <c r="I623" s="7">
        <v>4</v>
      </c>
      <c r="J623" s="8">
        <f t="shared" si="9"/>
        <v>0.6</v>
      </c>
      <c r="K623" s="7" t="s">
        <v>30</v>
      </c>
      <c r="P623" s="7">
        <v>9</v>
      </c>
      <c r="Q623" s="7">
        <v>7</v>
      </c>
      <c r="T623" s="14" t="s">
        <v>156</v>
      </c>
    </row>
    <row r="624" spans="1:20" x14ac:dyDescent="0.25">
      <c r="A624" s="15" t="s">
        <v>338</v>
      </c>
      <c r="B624" s="15" t="s">
        <v>328</v>
      </c>
      <c r="C624" s="15" t="s">
        <v>188</v>
      </c>
      <c r="D624" s="15" t="s">
        <v>187</v>
      </c>
      <c r="H624" s="7">
        <v>5</v>
      </c>
      <c r="I624" s="7">
        <v>5</v>
      </c>
      <c r="J624" s="8">
        <f t="shared" si="9"/>
        <v>0.5</v>
      </c>
      <c r="K624" s="7" t="s">
        <v>30</v>
      </c>
      <c r="P624" s="7">
        <v>10</v>
      </c>
      <c r="Q624" s="7">
        <v>6</v>
      </c>
      <c r="T624" s="15" t="s">
        <v>188</v>
      </c>
    </row>
    <row r="625" spans="1:20" x14ac:dyDescent="0.25">
      <c r="A625" s="15" t="s">
        <v>338</v>
      </c>
      <c r="B625" s="15" t="s">
        <v>328</v>
      </c>
      <c r="C625" s="14" t="s">
        <v>280</v>
      </c>
      <c r="D625" s="15" t="s">
        <v>164</v>
      </c>
      <c r="H625" s="7">
        <v>5</v>
      </c>
      <c r="I625" s="7">
        <v>5</v>
      </c>
      <c r="J625" s="8">
        <f t="shared" si="9"/>
        <v>0.5</v>
      </c>
      <c r="K625" s="7" t="s">
        <v>30</v>
      </c>
      <c r="L625" s="7" t="s">
        <v>30</v>
      </c>
      <c r="P625" s="7">
        <v>8</v>
      </c>
      <c r="Q625" s="7">
        <v>8</v>
      </c>
      <c r="T625" s="14" t="s">
        <v>279</v>
      </c>
    </row>
    <row r="626" spans="1:20" x14ac:dyDescent="0.25">
      <c r="A626" s="15" t="s">
        <v>338</v>
      </c>
      <c r="B626" s="15" t="s">
        <v>328</v>
      </c>
      <c r="C626" s="14" t="s">
        <v>257</v>
      </c>
      <c r="D626" s="15" t="s">
        <v>215</v>
      </c>
      <c r="H626" s="7">
        <v>4</v>
      </c>
      <c r="I626" s="7">
        <v>6</v>
      </c>
      <c r="J626" s="8">
        <f t="shared" si="9"/>
        <v>0.4</v>
      </c>
      <c r="K626" s="7" t="s">
        <v>30</v>
      </c>
      <c r="P626" s="7">
        <v>8</v>
      </c>
      <c r="Q626" s="7">
        <v>8</v>
      </c>
      <c r="T626" s="14" t="s">
        <v>257</v>
      </c>
    </row>
    <row r="627" spans="1:20" x14ac:dyDescent="0.25">
      <c r="A627" s="15" t="s">
        <v>338</v>
      </c>
      <c r="B627" s="15" t="s">
        <v>328</v>
      </c>
      <c r="C627" s="14" t="s">
        <v>169</v>
      </c>
      <c r="D627" s="15" t="s">
        <v>161</v>
      </c>
      <c r="H627" s="7">
        <v>4</v>
      </c>
      <c r="I627" s="7">
        <v>6</v>
      </c>
      <c r="J627" s="8">
        <f t="shared" si="9"/>
        <v>0.4</v>
      </c>
      <c r="K627" s="7" t="s">
        <v>30</v>
      </c>
      <c r="P627" s="7">
        <v>7</v>
      </c>
      <c r="Q627" s="7">
        <v>9</v>
      </c>
      <c r="T627" s="14" t="s">
        <v>169</v>
      </c>
    </row>
    <row r="628" spans="1:20" x14ac:dyDescent="0.25">
      <c r="A628" s="15" t="s">
        <v>338</v>
      </c>
      <c r="B628" s="15" t="s">
        <v>328</v>
      </c>
      <c r="C628" s="15" t="s">
        <v>336</v>
      </c>
      <c r="D628" s="15" t="s">
        <v>171</v>
      </c>
      <c r="H628" s="7">
        <v>4</v>
      </c>
      <c r="I628" s="7">
        <v>6</v>
      </c>
      <c r="J628" s="8">
        <f t="shared" si="9"/>
        <v>0.4</v>
      </c>
      <c r="K628" s="7" t="s">
        <v>30</v>
      </c>
      <c r="P628" s="7">
        <v>7</v>
      </c>
      <c r="Q628" s="7">
        <v>9</v>
      </c>
      <c r="T628" s="15" t="s">
        <v>335</v>
      </c>
    </row>
    <row r="629" spans="1:20" x14ac:dyDescent="0.25">
      <c r="A629" s="15" t="s">
        <v>338</v>
      </c>
      <c r="B629" s="15" t="s">
        <v>328</v>
      </c>
      <c r="C629" s="15" t="s">
        <v>311</v>
      </c>
      <c r="D629" s="15" t="s">
        <v>157</v>
      </c>
      <c r="H629" s="7">
        <v>4</v>
      </c>
      <c r="I629" s="7">
        <v>6</v>
      </c>
      <c r="J629" s="8">
        <f t="shared" si="9"/>
        <v>0.4</v>
      </c>
      <c r="K629" s="7" t="s">
        <v>30</v>
      </c>
      <c r="P629" s="7">
        <v>7</v>
      </c>
      <c r="Q629" s="7">
        <v>9</v>
      </c>
      <c r="T629" s="15" t="s">
        <v>311</v>
      </c>
    </row>
    <row r="630" spans="1:20" x14ac:dyDescent="0.25">
      <c r="A630" s="15" t="s">
        <v>338</v>
      </c>
      <c r="B630" s="15" t="s">
        <v>328</v>
      </c>
      <c r="C630" s="15" t="s">
        <v>265</v>
      </c>
      <c r="D630" s="15" t="s">
        <v>154</v>
      </c>
      <c r="H630" s="7">
        <v>5</v>
      </c>
      <c r="I630" s="7">
        <v>5</v>
      </c>
      <c r="J630" s="8">
        <f t="shared" si="9"/>
        <v>0.5</v>
      </c>
      <c r="P630" s="7">
        <v>7</v>
      </c>
      <c r="Q630" s="7">
        <v>9</v>
      </c>
      <c r="T630" s="15" t="s">
        <v>265</v>
      </c>
    </row>
    <row r="631" spans="1:20" x14ac:dyDescent="0.25">
      <c r="A631" s="15" t="s">
        <v>338</v>
      </c>
      <c r="B631" s="15" t="s">
        <v>328</v>
      </c>
      <c r="C631" s="15" t="s">
        <v>309</v>
      </c>
      <c r="D631" s="15" t="s">
        <v>152</v>
      </c>
      <c r="H631" s="7">
        <v>4</v>
      </c>
      <c r="I631" s="7">
        <v>6</v>
      </c>
      <c r="J631" s="8">
        <f t="shared" si="9"/>
        <v>0.4</v>
      </c>
      <c r="P631" s="7">
        <v>7</v>
      </c>
      <c r="Q631" s="7">
        <v>9</v>
      </c>
      <c r="T631" s="15" t="s">
        <v>309</v>
      </c>
    </row>
    <row r="632" spans="1:20" x14ac:dyDescent="0.25">
      <c r="A632" s="15" t="s">
        <v>338</v>
      </c>
      <c r="B632" s="15" t="s">
        <v>328</v>
      </c>
      <c r="C632" s="15" t="s">
        <v>181</v>
      </c>
      <c r="D632" s="15" t="s">
        <v>173</v>
      </c>
      <c r="H632" s="7">
        <v>3</v>
      </c>
      <c r="I632" s="7">
        <v>7</v>
      </c>
      <c r="J632" s="8">
        <f t="shared" si="9"/>
        <v>0.3</v>
      </c>
      <c r="P632" s="7">
        <v>6</v>
      </c>
      <c r="Q632" s="7">
        <v>10</v>
      </c>
      <c r="T632" s="15" t="s">
        <v>181</v>
      </c>
    </row>
    <row r="633" spans="1:20" x14ac:dyDescent="0.25">
      <c r="A633" s="15" t="s">
        <v>338</v>
      </c>
      <c r="B633" s="15" t="s">
        <v>328</v>
      </c>
      <c r="C633" s="15" t="s">
        <v>342</v>
      </c>
      <c r="D633" s="15" t="s">
        <v>154</v>
      </c>
      <c r="H633" s="7">
        <v>3</v>
      </c>
      <c r="I633" s="7">
        <v>7</v>
      </c>
      <c r="J633" s="8">
        <f t="shared" si="9"/>
        <v>0.3</v>
      </c>
      <c r="P633" s="7">
        <v>5</v>
      </c>
      <c r="Q633" s="7">
        <v>11</v>
      </c>
      <c r="T633" s="15" t="s">
        <v>341</v>
      </c>
    </row>
    <row r="634" spans="1:20" x14ac:dyDescent="0.25">
      <c r="A634" s="15" t="s">
        <v>338</v>
      </c>
      <c r="B634" s="15" t="s">
        <v>328</v>
      </c>
      <c r="C634" s="14" t="s">
        <v>303</v>
      </c>
      <c r="D634" s="15" t="s">
        <v>215</v>
      </c>
      <c r="H634" s="7">
        <v>3</v>
      </c>
      <c r="I634" s="7">
        <v>7</v>
      </c>
      <c r="J634" s="8">
        <f t="shared" si="9"/>
        <v>0.3</v>
      </c>
      <c r="P634" s="7">
        <v>4</v>
      </c>
      <c r="Q634" s="7">
        <v>12</v>
      </c>
      <c r="T634" s="14" t="s">
        <v>303</v>
      </c>
    </row>
    <row r="635" spans="1:20" x14ac:dyDescent="0.25">
      <c r="A635" s="15" t="s">
        <v>338</v>
      </c>
      <c r="B635" s="15" t="s">
        <v>328</v>
      </c>
      <c r="C635" s="14" t="s">
        <v>165</v>
      </c>
      <c r="D635" s="15" t="s">
        <v>312</v>
      </c>
      <c r="H635" s="7">
        <v>2</v>
      </c>
      <c r="I635" s="7">
        <v>8</v>
      </c>
      <c r="J635" s="8">
        <f t="shared" si="9"/>
        <v>0.2</v>
      </c>
      <c r="P635" s="7">
        <v>4</v>
      </c>
      <c r="Q635" s="7">
        <v>12</v>
      </c>
      <c r="T635" s="14" t="s">
        <v>165</v>
      </c>
    </row>
    <row r="636" spans="1:20" x14ac:dyDescent="0.25">
      <c r="A636" s="15" t="s">
        <v>338</v>
      </c>
      <c r="B636" s="15" t="s">
        <v>328</v>
      </c>
      <c r="C636" s="15" t="s">
        <v>343</v>
      </c>
      <c r="D636" s="15" t="s">
        <v>187</v>
      </c>
      <c r="H636" s="7">
        <v>2</v>
      </c>
      <c r="I636" s="7">
        <v>8</v>
      </c>
      <c r="J636" s="8">
        <f t="shared" si="9"/>
        <v>0.2</v>
      </c>
      <c r="P636" s="7">
        <v>3</v>
      </c>
      <c r="Q636" s="7">
        <v>13</v>
      </c>
      <c r="T636" s="15" t="s">
        <v>343</v>
      </c>
    </row>
    <row r="637" spans="1:20" x14ac:dyDescent="0.25">
      <c r="A637" s="15" t="s">
        <v>338</v>
      </c>
      <c r="B637" s="15" t="s">
        <v>328</v>
      </c>
      <c r="C637" s="15" t="s">
        <v>344</v>
      </c>
      <c r="D637" s="15" t="s">
        <v>187</v>
      </c>
      <c r="H637" s="7">
        <v>1</v>
      </c>
      <c r="I637" s="7">
        <v>9</v>
      </c>
      <c r="J637" s="8">
        <f t="shared" si="9"/>
        <v>0.1</v>
      </c>
      <c r="P637" s="7">
        <v>1</v>
      </c>
      <c r="Q637" s="7">
        <v>15</v>
      </c>
      <c r="T637" s="15" t="s">
        <v>344</v>
      </c>
    </row>
    <row r="638" spans="1:20" x14ac:dyDescent="0.25">
      <c r="A638" s="15" t="s">
        <v>345</v>
      </c>
      <c r="B638" s="15" t="s">
        <v>328</v>
      </c>
      <c r="C638" s="15" t="s">
        <v>339</v>
      </c>
      <c r="D638" s="15" t="s">
        <v>171</v>
      </c>
      <c r="H638" s="7">
        <v>9</v>
      </c>
      <c r="I638" s="7">
        <v>1</v>
      </c>
      <c r="J638" s="8">
        <f t="shared" si="9"/>
        <v>0.9</v>
      </c>
      <c r="K638" s="7" t="s">
        <v>30</v>
      </c>
      <c r="L638" s="7" t="s">
        <v>30</v>
      </c>
      <c r="M638" s="7" t="s">
        <v>30</v>
      </c>
      <c r="N638" s="7" t="s">
        <v>30</v>
      </c>
      <c r="O638" s="16" t="s">
        <v>30</v>
      </c>
      <c r="P638" s="7">
        <v>13</v>
      </c>
      <c r="Q638" s="7">
        <v>3</v>
      </c>
      <c r="T638" s="15" t="s">
        <v>176</v>
      </c>
    </row>
    <row r="639" spans="1:20" x14ac:dyDescent="0.25">
      <c r="A639" s="15" t="s">
        <v>345</v>
      </c>
      <c r="B639" s="15" t="s">
        <v>328</v>
      </c>
      <c r="C639" s="15" t="s">
        <v>278</v>
      </c>
      <c r="D639" s="15" t="s">
        <v>171</v>
      </c>
      <c r="H639" s="7">
        <v>9</v>
      </c>
      <c r="I639" s="7">
        <v>1</v>
      </c>
      <c r="J639" s="8">
        <f t="shared" si="9"/>
        <v>0.9</v>
      </c>
      <c r="K639" s="7" t="s">
        <v>30</v>
      </c>
      <c r="L639" s="7" t="s">
        <v>30</v>
      </c>
      <c r="M639" s="7" t="s">
        <v>30</v>
      </c>
      <c r="P639" s="7">
        <v>12</v>
      </c>
      <c r="Q639" s="7">
        <v>4</v>
      </c>
      <c r="T639" s="15" t="s">
        <v>278</v>
      </c>
    </row>
    <row r="640" spans="1:20" x14ac:dyDescent="0.25">
      <c r="A640" s="15" t="s">
        <v>345</v>
      </c>
      <c r="B640" s="15" t="s">
        <v>328</v>
      </c>
      <c r="C640" s="15" t="s">
        <v>286</v>
      </c>
      <c r="D640" s="15" t="s">
        <v>152</v>
      </c>
      <c r="H640" s="7">
        <v>6</v>
      </c>
      <c r="I640" s="7">
        <v>4</v>
      </c>
      <c r="J640" s="8">
        <f t="shared" si="9"/>
        <v>0.6</v>
      </c>
      <c r="K640" s="7" t="s">
        <v>30</v>
      </c>
      <c r="L640" s="7" t="s">
        <v>30</v>
      </c>
      <c r="M640" s="7" t="s">
        <v>30</v>
      </c>
      <c r="N640" s="7" t="s">
        <v>30</v>
      </c>
      <c r="P640" s="7">
        <v>11</v>
      </c>
      <c r="Q640" s="7">
        <v>5</v>
      </c>
      <c r="T640" s="15" t="s">
        <v>286</v>
      </c>
    </row>
    <row r="641" spans="1:20" x14ac:dyDescent="0.25">
      <c r="A641" s="15" t="s">
        <v>345</v>
      </c>
      <c r="B641" s="15" t="s">
        <v>328</v>
      </c>
      <c r="C641" s="15" t="s">
        <v>346</v>
      </c>
      <c r="D641" s="15" t="s">
        <v>312</v>
      </c>
      <c r="H641" s="7">
        <v>4</v>
      </c>
      <c r="I641" s="7">
        <v>6</v>
      </c>
      <c r="J641" s="8">
        <f t="shared" si="9"/>
        <v>0.4</v>
      </c>
      <c r="K641" s="7" t="s">
        <v>30</v>
      </c>
      <c r="L641" s="7" t="s">
        <v>30</v>
      </c>
      <c r="M641" s="7" t="s">
        <v>30</v>
      </c>
      <c r="P641" s="7">
        <v>6</v>
      </c>
      <c r="Q641" s="7">
        <v>10</v>
      </c>
      <c r="T641" s="14" t="s">
        <v>174</v>
      </c>
    </row>
    <row r="642" spans="1:20" x14ac:dyDescent="0.25">
      <c r="A642" s="15" t="s">
        <v>345</v>
      </c>
      <c r="B642" s="15" t="s">
        <v>328</v>
      </c>
      <c r="C642" s="14" t="s">
        <v>149</v>
      </c>
      <c r="D642" s="15" t="s">
        <v>152</v>
      </c>
      <c r="H642" s="7">
        <v>7</v>
      </c>
      <c r="I642" s="7">
        <v>3</v>
      </c>
      <c r="J642" s="8">
        <f t="shared" ref="J642:J705" si="10">H642/SUM(H642:I642)</f>
        <v>0.7</v>
      </c>
      <c r="K642" s="7" t="s">
        <v>30</v>
      </c>
      <c r="P642" s="7">
        <v>12</v>
      </c>
      <c r="Q642" s="7">
        <v>4</v>
      </c>
      <c r="T642" s="14" t="s">
        <v>149</v>
      </c>
    </row>
    <row r="643" spans="1:20" x14ac:dyDescent="0.25">
      <c r="A643" s="15" t="s">
        <v>345</v>
      </c>
      <c r="B643" s="15" t="s">
        <v>328</v>
      </c>
      <c r="C643" s="15" t="s">
        <v>347</v>
      </c>
      <c r="D643" s="15" t="s">
        <v>154</v>
      </c>
      <c r="H643" s="7">
        <v>7</v>
      </c>
      <c r="I643" s="7">
        <v>3</v>
      </c>
      <c r="J643" s="8">
        <f t="shared" si="10"/>
        <v>0.7</v>
      </c>
      <c r="K643" s="7" t="s">
        <v>30</v>
      </c>
      <c r="P643" s="7">
        <v>9</v>
      </c>
      <c r="Q643" s="7">
        <v>7</v>
      </c>
      <c r="T643" s="14" t="s">
        <v>581</v>
      </c>
    </row>
    <row r="644" spans="1:20" x14ac:dyDescent="0.25">
      <c r="A644" s="15" t="s">
        <v>345</v>
      </c>
      <c r="B644" s="15" t="s">
        <v>328</v>
      </c>
      <c r="C644" s="15" t="s">
        <v>308</v>
      </c>
      <c r="D644" s="15" t="s">
        <v>157</v>
      </c>
      <c r="H644" s="7">
        <v>6</v>
      </c>
      <c r="I644" s="7">
        <v>4</v>
      </c>
      <c r="J644" s="8">
        <f t="shared" si="10"/>
        <v>0.6</v>
      </c>
      <c r="K644" s="7" t="s">
        <v>30</v>
      </c>
      <c r="L644" s="7" t="s">
        <v>30</v>
      </c>
      <c r="P644" s="7">
        <v>12</v>
      </c>
      <c r="Q644" s="7">
        <v>4</v>
      </c>
      <c r="T644" s="14" t="s">
        <v>178</v>
      </c>
    </row>
    <row r="645" spans="1:20" x14ac:dyDescent="0.25">
      <c r="A645" s="15" t="s">
        <v>345</v>
      </c>
      <c r="B645" s="15" t="s">
        <v>328</v>
      </c>
      <c r="C645" s="15" t="s">
        <v>340</v>
      </c>
      <c r="D645" s="15" t="s">
        <v>171</v>
      </c>
      <c r="H645" s="7">
        <v>6</v>
      </c>
      <c r="I645" s="7">
        <v>4</v>
      </c>
      <c r="J645" s="8">
        <f t="shared" si="10"/>
        <v>0.6</v>
      </c>
      <c r="K645" s="7" t="s">
        <v>30</v>
      </c>
      <c r="L645" s="7" t="s">
        <v>30</v>
      </c>
      <c r="P645" s="7">
        <v>10</v>
      </c>
      <c r="Q645" s="7">
        <v>6</v>
      </c>
      <c r="T645" s="15" t="s">
        <v>295</v>
      </c>
    </row>
    <row r="646" spans="1:20" x14ac:dyDescent="0.25">
      <c r="A646" s="15" t="s">
        <v>345</v>
      </c>
      <c r="B646" s="15" t="s">
        <v>328</v>
      </c>
      <c r="C646" s="15" t="s">
        <v>309</v>
      </c>
      <c r="D646" s="15" t="s">
        <v>152</v>
      </c>
      <c r="H646" s="7">
        <v>6</v>
      </c>
      <c r="I646" s="7">
        <v>4</v>
      </c>
      <c r="J646" s="8">
        <f t="shared" si="10"/>
        <v>0.6</v>
      </c>
      <c r="K646" s="7" t="s">
        <v>30</v>
      </c>
      <c r="P646" s="7">
        <v>9</v>
      </c>
      <c r="Q646" s="7">
        <v>7</v>
      </c>
      <c r="T646" s="15" t="s">
        <v>309</v>
      </c>
    </row>
    <row r="647" spans="1:20" x14ac:dyDescent="0.25">
      <c r="A647" s="15" t="s">
        <v>345</v>
      </c>
      <c r="B647" s="15" t="s">
        <v>328</v>
      </c>
      <c r="C647" s="15" t="s">
        <v>292</v>
      </c>
      <c r="D647" s="15" t="s">
        <v>154</v>
      </c>
      <c r="H647" s="7">
        <v>6</v>
      </c>
      <c r="I647" s="7">
        <v>4</v>
      </c>
      <c r="J647" s="8">
        <f t="shared" si="10"/>
        <v>0.6</v>
      </c>
      <c r="K647" s="7" t="s">
        <v>30</v>
      </c>
      <c r="P647" s="7">
        <v>8</v>
      </c>
      <c r="Q647" s="7">
        <v>8</v>
      </c>
      <c r="T647" s="15" t="s">
        <v>292</v>
      </c>
    </row>
    <row r="648" spans="1:20" x14ac:dyDescent="0.25">
      <c r="A648" s="15" t="s">
        <v>345</v>
      </c>
      <c r="B648" s="15" t="s">
        <v>328</v>
      </c>
      <c r="C648" s="14" t="s">
        <v>169</v>
      </c>
      <c r="D648" s="15" t="s">
        <v>161</v>
      </c>
      <c r="H648" s="7">
        <v>5</v>
      </c>
      <c r="I648" s="7">
        <v>5</v>
      </c>
      <c r="J648" s="8">
        <f t="shared" si="10"/>
        <v>0.5</v>
      </c>
      <c r="K648" s="7" t="s">
        <v>30</v>
      </c>
      <c r="P648" s="7">
        <v>11</v>
      </c>
      <c r="Q648" s="7">
        <v>5</v>
      </c>
      <c r="T648" s="14" t="s">
        <v>169</v>
      </c>
    </row>
    <row r="649" spans="1:20" x14ac:dyDescent="0.25">
      <c r="A649" s="15" t="s">
        <v>345</v>
      </c>
      <c r="B649" s="15" t="s">
        <v>328</v>
      </c>
      <c r="C649" s="14" t="s">
        <v>257</v>
      </c>
      <c r="D649" s="15" t="s">
        <v>215</v>
      </c>
      <c r="H649" s="7">
        <v>5</v>
      </c>
      <c r="I649" s="7">
        <v>5</v>
      </c>
      <c r="J649" s="8">
        <f t="shared" si="10"/>
        <v>0.5</v>
      </c>
      <c r="K649" s="7" t="s">
        <v>30</v>
      </c>
      <c r="P649" s="7">
        <v>10</v>
      </c>
      <c r="Q649" s="7">
        <v>6</v>
      </c>
      <c r="T649" s="14" t="s">
        <v>257</v>
      </c>
    </row>
    <row r="650" spans="1:20" x14ac:dyDescent="0.25">
      <c r="A650" s="15" t="s">
        <v>345</v>
      </c>
      <c r="B650" s="15" t="s">
        <v>328</v>
      </c>
      <c r="C650" s="15" t="s">
        <v>181</v>
      </c>
      <c r="D650" s="15" t="s">
        <v>173</v>
      </c>
      <c r="H650" s="7">
        <v>5</v>
      </c>
      <c r="I650" s="7">
        <v>5</v>
      </c>
      <c r="J650" s="8">
        <f t="shared" si="10"/>
        <v>0.5</v>
      </c>
      <c r="K650" s="7" t="s">
        <v>30</v>
      </c>
      <c r="L650" s="7" t="s">
        <v>30</v>
      </c>
      <c r="P650" s="7">
        <v>9</v>
      </c>
      <c r="Q650" s="7">
        <v>7</v>
      </c>
      <c r="T650" s="15" t="s">
        <v>181</v>
      </c>
    </row>
    <row r="651" spans="1:20" x14ac:dyDescent="0.25">
      <c r="A651" s="15" t="s">
        <v>345</v>
      </c>
      <c r="B651" s="15" t="s">
        <v>328</v>
      </c>
      <c r="C651" s="15" t="s">
        <v>188</v>
      </c>
      <c r="D651" s="15" t="s">
        <v>187</v>
      </c>
      <c r="H651" s="7">
        <v>5</v>
      </c>
      <c r="I651" s="7">
        <v>5</v>
      </c>
      <c r="J651" s="8">
        <f t="shared" si="10"/>
        <v>0.5</v>
      </c>
      <c r="K651" s="7" t="s">
        <v>30</v>
      </c>
      <c r="L651" s="7" t="s">
        <v>30</v>
      </c>
      <c r="P651" s="7">
        <v>9</v>
      </c>
      <c r="Q651" s="7">
        <v>7</v>
      </c>
      <c r="T651" s="15" t="s">
        <v>188</v>
      </c>
    </row>
    <row r="652" spans="1:20" x14ac:dyDescent="0.25">
      <c r="A652" s="15" t="s">
        <v>345</v>
      </c>
      <c r="B652" s="15" t="s">
        <v>328</v>
      </c>
      <c r="C652" s="15" t="s">
        <v>330</v>
      </c>
      <c r="D652" s="15" t="s">
        <v>243</v>
      </c>
      <c r="H652" s="7">
        <v>4</v>
      </c>
      <c r="I652" s="7">
        <v>6</v>
      </c>
      <c r="J652" s="8">
        <f t="shared" si="10"/>
        <v>0.4</v>
      </c>
      <c r="K652" s="7" t="s">
        <v>30</v>
      </c>
      <c r="P652" s="7">
        <v>8</v>
      </c>
      <c r="Q652" s="7">
        <v>8</v>
      </c>
      <c r="T652" s="15" t="s">
        <v>241</v>
      </c>
    </row>
    <row r="653" spans="1:20" x14ac:dyDescent="0.25">
      <c r="A653" s="15" t="s">
        <v>345</v>
      </c>
      <c r="B653" s="15" t="s">
        <v>328</v>
      </c>
      <c r="C653" s="15" t="s">
        <v>310</v>
      </c>
      <c r="D653" s="15" t="s">
        <v>215</v>
      </c>
      <c r="H653" s="7">
        <v>4</v>
      </c>
      <c r="I653" s="7">
        <v>6</v>
      </c>
      <c r="J653" s="8">
        <f t="shared" si="10"/>
        <v>0.4</v>
      </c>
      <c r="K653" s="7" t="s">
        <v>30</v>
      </c>
      <c r="P653" s="7">
        <v>5</v>
      </c>
      <c r="Q653" s="7">
        <v>11</v>
      </c>
      <c r="T653" s="15" t="s">
        <v>310</v>
      </c>
    </row>
    <row r="654" spans="1:20" x14ac:dyDescent="0.25">
      <c r="A654" s="15" t="s">
        <v>345</v>
      </c>
      <c r="B654" s="15" t="s">
        <v>328</v>
      </c>
      <c r="C654" s="14" t="s">
        <v>280</v>
      </c>
      <c r="D654" s="15" t="s">
        <v>164</v>
      </c>
      <c r="H654" s="7">
        <v>5</v>
      </c>
      <c r="I654" s="7">
        <v>5</v>
      </c>
      <c r="J654" s="8">
        <f t="shared" si="10"/>
        <v>0.5</v>
      </c>
      <c r="P654" s="7">
        <v>6</v>
      </c>
      <c r="Q654" s="7">
        <v>10</v>
      </c>
      <c r="T654" s="14" t="s">
        <v>279</v>
      </c>
    </row>
    <row r="655" spans="1:20" x14ac:dyDescent="0.25">
      <c r="A655" s="15" t="s">
        <v>345</v>
      </c>
      <c r="B655" s="15" t="s">
        <v>328</v>
      </c>
      <c r="C655" s="15" t="s">
        <v>349</v>
      </c>
      <c r="D655" s="15" t="s">
        <v>157</v>
      </c>
      <c r="H655" s="7">
        <v>5</v>
      </c>
      <c r="I655" s="7">
        <v>5</v>
      </c>
      <c r="J655" s="8">
        <f t="shared" si="10"/>
        <v>0.5</v>
      </c>
      <c r="P655" s="7">
        <v>5</v>
      </c>
      <c r="Q655" s="7">
        <v>11</v>
      </c>
      <c r="T655" s="15" t="s">
        <v>348</v>
      </c>
    </row>
    <row r="656" spans="1:20" x14ac:dyDescent="0.25">
      <c r="A656" s="15" t="s">
        <v>345</v>
      </c>
      <c r="B656" s="15" t="s">
        <v>328</v>
      </c>
      <c r="C656" s="15" t="s">
        <v>350</v>
      </c>
      <c r="D656" s="15" t="s">
        <v>164</v>
      </c>
      <c r="H656" s="7">
        <v>4</v>
      </c>
      <c r="I656" s="7">
        <v>6</v>
      </c>
      <c r="J656" s="8">
        <f t="shared" si="10"/>
        <v>0.4</v>
      </c>
      <c r="P656" s="7">
        <v>7</v>
      </c>
      <c r="Q656" s="7">
        <v>9</v>
      </c>
      <c r="T656" s="15" t="s">
        <v>350</v>
      </c>
    </row>
    <row r="657" spans="1:20" x14ac:dyDescent="0.25">
      <c r="A657" s="15" t="s">
        <v>345</v>
      </c>
      <c r="B657" s="15" t="s">
        <v>328</v>
      </c>
      <c r="C657" s="15" t="s">
        <v>331</v>
      </c>
      <c r="D657" s="15" t="s">
        <v>154</v>
      </c>
      <c r="H657" s="7">
        <v>4</v>
      </c>
      <c r="I657" s="7">
        <v>6</v>
      </c>
      <c r="J657" s="8">
        <f t="shared" si="10"/>
        <v>0.4</v>
      </c>
      <c r="P657" s="7">
        <v>7</v>
      </c>
      <c r="Q657" s="7">
        <v>9</v>
      </c>
      <c r="T657" s="14" t="s">
        <v>155</v>
      </c>
    </row>
    <row r="658" spans="1:20" x14ac:dyDescent="0.25">
      <c r="A658" s="15" t="s">
        <v>345</v>
      </c>
      <c r="B658" s="15" t="s">
        <v>328</v>
      </c>
      <c r="C658" s="15" t="s">
        <v>216</v>
      </c>
      <c r="D658" s="15" t="s">
        <v>164</v>
      </c>
      <c r="H658" s="7">
        <v>3</v>
      </c>
      <c r="I658" s="7">
        <v>7</v>
      </c>
      <c r="J658" s="8">
        <f t="shared" si="10"/>
        <v>0.3</v>
      </c>
      <c r="P658" s="7">
        <v>6</v>
      </c>
      <c r="Q658" s="7">
        <v>10</v>
      </c>
      <c r="T658" s="15" t="s">
        <v>216</v>
      </c>
    </row>
    <row r="659" spans="1:20" x14ac:dyDescent="0.25">
      <c r="A659" s="15" t="s">
        <v>345</v>
      </c>
      <c r="B659" s="15" t="s">
        <v>328</v>
      </c>
      <c r="C659" s="15" t="s">
        <v>311</v>
      </c>
      <c r="D659" s="15" t="s">
        <v>157</v>
      </c>
      <c r="H659" s="7">
        <v>3</v>
      </c>
      <c r="I659" s="7">
        <v>7</v>
      </c>
      <c r="J659" s="8">
        <f t="shared" si="10"/>
        <v>0.3</v>
      </c>
      <c r="P659" s="7">
        <v>5</v>
      </c>
      <c r="Q659" s="7">
        <v>11</v>
      </c>
      <c r="T659" s="15" t="s">
        <v>311</v>
      </c>
    </row>
    <row r="660" spans="1:20" x14ac:dyDescent="0.25">
      <c r="A660" s="15" t="s">
        <v>345</v>
      </c>
      <c r="B660" s="15" t="s">
        <v>328</v>
      </c>
      <c r="C660" s="15" t="s">
        <v>317</v>
      </c>
      <c r="D660" s="15" t="s">
        <v>161</v>
      </c>
      <c r="H660" s="7">
        <v>2</v>
      </c>
      <c r="I660" s="7">
        <v>8</v>
      </c>
      <c r="J660" s="8">
        <f t="shared" si="10"/>
        <v>0.2</v>
      </c>
      <c r="P660" s="7">
        <v>2</v>
      </c>
      <c r="Q660" s="7">
        <v>14</v>
      </c>
      <c r="T660" s="15" t="s">
        <v>317</v>
      </c>
    </row>
    <row r="661" spans="1:20" x14ac:dyDescent="0.25">
      <c r="A661" s="15" t="s">
        <v>345</v>
      </c>
      <c r="B661" s="15" t="s">
        <v>328</v>
      </c>
      <c r="C661" s="15" t="s">
        <v>351</v>
      </c>
      <c r="D661" s="15" t="s">
        <v>326</v>
      </c>
      <c r="H661" s="7">
        <v>0</v>
      </c>
      <c r="I661" s="7">
        <v>10</v>
      </c>
      <c r="J661" s="8">
        <f t="shared" si="10"/>
        <v>0</v>
      </c>
      <c r="P661" s="7">
        <v>0</v>
      </c>
      <c r="Q661" s="7">
        <v>16</v>
      </c>
      <c r="T661" s="15" t="s">
        <v>351</v>
      </c>
    </row>
    <row r="662" spans="1:20" x14ac:dyDescent="0.25">
      <c r="A662" s="15" t="s">
        <v>352</v>
      </c>
      <c r="B662" s="15" t="s">
        <v>328</v>
      </c>
      <c r="C662" s="14" t="s">
        <v>179</v>
      </c>
      <c r="D662" s="15" t="s">
        <v>164</v>
      </c>
      <c r="H662" s="7">
        <v>7</v>
      </c>
      <c r="I662" s="7">
        <v>3</v>
      </c>
      <c r="J662" s="8">
        <f t="shared" si="10"/>
        <v>0.7</v>
      </c>
      <c r="K662" s="7" t="s">
        <v>30</v>
      </c>
      <c r="L662" s="7" t="s">
        <v>30</v>
      </c>
      <c r="M662" s="7" t="s">
        <v>30</v>
      </c>
      <c r="P662" s="7">
        <v>12</v>
      </c>
      <c r="Q662" s="7">
        <v>4</v>
      </c>
      <c r="T662" s="14" t="s">
        <v>179</v>
      </c>
    </row>
    <row r="663" spans="1:20" x14ac:dyDescent="0.25">
      <c r="A663" s="15" t="s">
        <v>352</v>
      </c>
      <c r="B663" s="15" t="s">
        <v>328</v>
      </c>
      <c r="C663" s="15" t="s">
        <v>353</v>
      </c>
      <c r="D663" s="15" t="s">
        <v>243</v>
      </c>
      <c r="H663" s="7">
        <v>7</v>
      </c>
      <c r="I663" s="7">
        <v>3</v>
      </c>
      <c r="J663" s="8">
        <f t="shared" si="10"/>
        <v>0.7</v>
      </c>
      <c r="K663" s="7" t="s">
        <v>30</v>
      </c>
      <c r="L663" s="7" t="s">
        <v>30</v>
      </c>
      <c r="M663" s="7" t="s">
        <v>30</v>
      </c>
      <c r="P663" s="7">
        <v>10</v>
      </c>
      <c r="Q663" s="7">
        <v>6</v>
      </c>
      <c r="T663" s="15" t="s">
        <v>241</v>
      </c>
    </row>
    <row r="664" spans="1:20" x14ac:dyDescent="0.25">
      <c r="A664" s="15" t="s">
        <v>352</v>
      </c>
      <c r="B664" s="15" t="s">
        <v>328</v>
      </c>
      <c r="C664" s="14" t="s">
        <v>149</v>
      </c>
      <c r="D664" s="15" t="s">
        <v>152</v>
      </c>
      <c r="H664" s="7">
        <v>5</v>
      </c>
      <c r="I664" s="7">
        <v>5</v>
      </c>
      <c r="J664" s="8">
        <f t="shared" si="10"/>
        <v>0.5</v>
      </c>
      <c r="K664" s="7" t="s">
        <v>30</v>
      </c>
      <c r="L664" s="7" t="s">
        <v>30</v>
      </c>
      <c r="M664" s="7" t="s">
        <v>30</v>
      </c>
      <c r="N664" s="7" t="s">
        <v>30</v>
      </c>
      <c r="O664" s="16" t="s">
        <v>30</v>
      </c>
      <c r="P664" s="7">
        <v>9</v>
      </c>
      <c r="Q664" s="7">
        <v>7</v>
      </c>
      <c r="T664" s="14" t="s">
        <v>149</v>
      </c>
    </row>
    <row r="665" spans="1:20" x14ac:dyDescent="0.25">
      <c r="A665" s="15" t="s">
        <v>352</v>
      </c>
      <c r="B665" s="15" t="s">
        <v>328</v>
      </c>
      <c r="C665" s="15" t="s">
        <v>347</v>
      </c>
      <c r="D665" s="15" t="s">
        <v>154</v>
      </c>
      <c r="H665" s="7">
        <v>4</v>
      </c>
      <c r="I665" s="7">
        <v>6</v>
      </c>
      <c r="J665" s="8">
        <f t="shared" si="10"/>
        <v>0.4</v>
      </c>
      <c r="K665" s="7" t="s">
        <v>30</v>
      </c>
      <c r="L665" s="7" t="s">
        <v>30</v>
      </c>
      <c r="M665" s="7" t="s">
        <v>30</v>
      </c>
      <c r="N665" s="7" t="s">
        <v>30</v>
      </c>
      <c r="P665" s="7">
        <v>8</v>
      </c>
      <c r="Q665" s="7">
        <v>8</v>
      </c>
      <c r="T665" s="14" t="s">
        <v>581</v>
      </c>
    </row>
    <row r="666" spans="1:20" x14ac:dyDescent="0.25">
      <c r="A666" s="15" t="s">
        <v>352</v>
      </c>
      <c r="B666" s="15" t="s">
        <v>328</v>
      </c>
      <c r="C666" s="14" t="s">
        <v>162</v>
      </c>
      <c r="D666" s="15" t="s">
        <v>152</v>
      </c>
      <c r="H666" s="7">
        <v>8</v>
      </c>
      <c r="I666" s="7">
        <v>2</v>
      </c>
      <c r="J666" s="8">
        <f t="shared" si="10"/>
        <v>0.8</v>
      </c>
      <c r="K666" s="7" t="s">
        <v>30</v>
      </c>
      <c r="L666" s="7" t="s">
        <v>30</v>
      </c>
      <c r="P666" s="7">
        <v>13</v>
      </c>
      <c r="Q666" s="7">
        <v>3</v>
      </c>
      <c r="T666" s="15" t="s">
        <v>162</v>
      </c>
    </row>
    <row r="667" spans="1:20" x14ac:dyDescent="0.25">
      <c r="A667" s="15" t="s">
        <v>352</v>
      </c>
      <c r="B667" s="15" t="s">
        <v>328</v>
      </c>
      <c r="C667" s="15" t="s">
        <v>308</v>
      </c>
      <c r="D667" s="15" t="s">
        <v>157</v>
      </c>
      <c r="H667" s="7">
        <v>8</v>
      </c>
      <c r="I667" s="7">
        <v>2</v>
      </c>
      <c r="J667" s="8">
        <f t="shared" si="10"/>
        <v>0.8</v>
      </c>
      <c r="K667" s="7" t="s">
        <v>30</v>
      </c>
      <c r="L667" s="7" t="s">
        <v>30</v>
      </c>
      <c r="P667" s="7">
        <v>12</v>
      </c>
      <c r="Q667" s="7">
        <v>4</v>
      </c>
      <c r="T667" s="14" t="s">
        <v>178</v>
      </c>
    </row>
    <row r="668" spans="1:20" x14ac:dyDescent="0.25">
      <c r="A668" s="15" t="s">
        <v>352</v>
      </c>
      <c r="B668" s="15" t="s">
        <v>328</v>
      </c>
      <c r="C668" s="15" t="s">
        <v>340</v>
      </c>
      <c r="D668" s="15" t="s">
        <v>171</v>
      </c>
      <c r="H668" s="7">
        <v>7</v>
      </c>
      <c r="I668" s="7">
        <v>3</v>
      </c>
      <c r="J668" s="8">
        <f t="shared" si="10"/>
        <v>0.7</v>
      </c>
      <c r="K668" s="7" t="s">
        <v>30</v>
      </c>
      <c r="L668" s="7" t="s">
        <v>30</v>
      </c>
      <c r="P668" s="7">
        <v>12</v>
      </c>
      <c r="Q668" s="7">
        <v>4</v>
      </c>
      <c r="T668" s="15" t="s">
        <v>295</v>
      </c>
    </row>
    <row r="669" spans="1:20" x14ac:dyDescent="0.25">
      <c r="A669" s="15" t="s">
        <v>352</v>
      </c>
      <c r="B669" s="15" t="s">
        <v>328</v>
      </c>
      <c r="C669" s="15" t="s">
        <v>354</v>
      </c>
      <c r="D669" s="15" t="s">
        <v>171</v>
      </c>
      <c r="H669" s="7">
        <v>7</v>
      </c>
      <c r="I669" s="7">
        <v>3</v>
      </c>
      <c r="J669" s="8">
        <f t="shared" si="10"/>
        <v>0.7</v>
      </c>
      <c r="K669" s="7" t="s">
        <v>30</v>
      </c>
      <c r="L669" s="7" t="s">
        <v>30</v>
      </c>
      <c r="P669" s="7">
        <v>11</v>
      </c>
      <c r="Q669" s="7">
        <v>5</v>
      </c>
      <c r="T669" s="15" t="s">
        <v>170</v>
      </c>
    </row>
    <row r="670" spans="1:20" x14ac:dyDescent="0.25">
      <c r="A670" s="15" t="s">
        <v>352</v>
      </c>
      <c r="B670" s="15" t="s">
        <v>328</v>
      </c>
      <c r="C670" s="14" t="s">
        <v>257</v>
      </c>
      <c r="D670" s="15" t="s">
        <v>215</v>
      </c>
      <c r="H670" s="7">
        <v>6</v>
      </c>
      <c r="I670" s="7">
        <v>4</v>
      </c>
      <c r="J670" s="8">
        <f t="shared" si="10"/>
        <v>0.6</v>
      </c>
      <c r="K670" s="7" t="s">
        <v>30</v>
      </c>
      <c r="P670" s="7">
        <v>10</v>
      </c>
      <c r="Q670" s="7">
        <v>6</v>
      </c>
      <c r="T670" s="14" t="s">
        <v>257</v>
      </c>
    </row>
    <row r="671" spans="1:20" x14ac:dyDescent="0.25">
      <c r="A671" s="15" t="s">
        <v>352</v>
      </c>
      <c r="B671" s="15" t="s">
        <v>328</v>
      </c>
      <c r="C671" s="15" t="s">
        <v>181</v>
      </c>
      <c r="D671" s="15" t="s">
        <v>173</v>
      </c>
      <c r="H671" s="7">
        <v>6</v>
      </c>
      <c r="I671" s="7">
        <v>4</v>
      </c>
      <c r="J671" s="8">
        <f t="shared" si="10"/>
        <v>0.6</v>
      </c>
      <c r="K671" s="7" t="s">
        <v>30</v>
      </c>
      <c r="P671" s="7">
        <v>10</v>
      </c>
      <c r="Q671" s="7">
        <v>6</v>
      </c>
      <c r="T671" s="15" t="s">
        <v>181</v>
      </c>
    </row>
    <row r="672" spans="1:20" x14ac:dyDescent="0.25">
      <c r="A672" s="15" t="s">
        <v>352</v>
      </c>
      <c r="B672" s="15" t="s">
        <v>328</v>
      </c>
      <c r="C672" s="14" t="s">
        <v>169</v>
      </c>
      <c r="D672" s="15" t="s">
        <v>161</v>
      </c>
      <c r="H672" s="7">
        <v>6</v>
      </c>
      <c r="I672" s="7">
        <v>4</v>
      </c>
      <c r="J672" s="8">
        <f t="shared" si="10"/>
        <v>0.6</v>
      </c>
      <c r="K672" s="7" t="s">
        <v>30</v>
      </c>
      <c r="P672" s="7">
        <v>9</v>
      </c>
      <c r="Q672" s="7">
        <v>7</v>
      </c>
      <c r="T672" s="14" t="s">
        <v>169</v>
      </c>
    </row>
    <row r="673" spans="1:20" x14ac:dyDescent="0.25">
      <c r="A673" s="15" t="s">
        <v>352</v>
      </c>
      <c r="B673" s="15" t="s">
        <v>328</v>
      </c>
      <c r="C673" s="15" t="s">
        <v>355</v>
      </c>
      <c r="D673" s="15" t="s">
        <v>154</v>
      </c>
      <c r="H673" s="7">
        <v>6</v>
      </c>
      <c r="I673" s="7">
        <v>4</v>
      </c>
      <c r="J673" s="8">
        <f t="shared" si="10"/>
        <v>0.6</v>
      </c>
      <c r="K673" s="7" t="s">
        <v>30</v>
      </c>
      <c r="P673" s="7">
        <v>9</v>
      </c>
      <c r="Q673" s="7">
        <v>7</v>
      </c>
      <c r="T673" s="15" t="s">
        <v>292</v>
      </c>
    </row>
    <row r="674" spans="1:20" x14ac:dyDescent="0.25">
      <c r="A674" s="15" t="s">
        <v>352</v>
      </c>
      <c r="B674" s="15" t="s">
        <v>328</v>
      </c>
      <c r="C674" s="14" t="s">
        <v>174</v>
      </c>
      <c r="D674" s="15" t="s">
        <v>312</v>
      </c>
      <c r="H674" s="7">
        <v>6</v>
      </c>
      <c r="I674" s="7">
        <v>4</v>
      </c>
      <c r="J674" s="8">
        <f t="shared" si="10"/>
        <v>0.6</v>
      </c>
      <c r="K674" s="7" t="s">
        <v>30</v>
      </c>
      <c r="P674" s="7">
        <v>9</v>
      </c>
      <c r="Q674" s="7">
        <v>7</v>
      </c>
      <c r="T674" s="14" t="s">
        <v>174</v>
      </c>
    </row>
    <row r="675" spans="1:20" x14ac:dyDescent="0.25">
      <c r="A675" s="15" t="s">
        <v>352</v>
      </c>
      <c r="B675" s="15" t="s">
        <v>328</v>
      </c>
      <c r="C675" s="15" t="s">
        <v>339</v>
      </c>
      <c r="D675" s="15" t="s">
        <v>171</v>
      </c>
      <c r="H675" s="7">
        <v>5</v>
      </c>
      <c r="I675" s="7">
        <v>5</v>
      </c>
      <c r="J675" s="8">
        <f t="shared" si="10"/>
        <v>0.5</v>
      </c>
      <c r="K675" s="7" t="s">
        <v>30</v>
      </c>
      <c r="P675" s="7">
        <v>7</v>
      </c>
      <c r="Q675" s="7">
        <v>9</v>
      </c>
      <c r="T675" s="15" t="s">
        <v>176</v>
      </c>
    </row>
    <row r="676" spans="1:20" x14ac:dyDescent="0.25">
      <c r="A676" s="15" t="s">
        <v>352</v>
      </c>
      <c r="B676" s="15" t="s">
        <v>328</v>
      </c>
      <c r="C676" s="15" t="s">
        <v>216</v>
      </c>
      <c r="D676" s="15" t="s">
        <v>164</v>
      </c>
      <c r="H676" s="7">
        <v>4</v>
      </c>
      <c r="I676" s="7">
        <v>6</v>
      </c>
      <c r="J676" s="8">
        <f t="shared" si="10"/>
        <v>0.4</v>
      </c>
      <c r="K676" s="7" t="s">
        <v>30</v>
      </c>
      <c r="P676" s="7">
        <v>8</v>
      </c>
      <c r="Q676" s="7">
        <v>8</v>
      </c>
      <c r="T676" s="15" t="s">
        <v>216</v>
      </c>
    </row>
    <row r="677" spans="1:20" x14ac:dyDescent="0.25">
      <c r="A677" s="15" t="s">
        <v>352</v>
      </c>
      <c r="B677" s="15" t="s">
        <v>328</v>
      </c>
      <c r="C677" s="15" t="s">
        <v>333</v>
      </c>
      <c r="D677" s="15" t="s">
        <v>154</v>
      </c>
      <c r="H677" s="7">
        <v>4</v>
      </c>
      <c r="I677" s="7">
        <v>6</v>
      </c>
      <c r="J677" s="8">
        <f t="shared" si="10"/>
        <v>0.4</v>
      </c>
      <c r="K677" s="7" t="s">
        <v>30</v>
      </c>
      <c r="P677" s="7">
        <v>7</v>
      </c>
      <c r="Q677" s="7">
        <v>9</v>
      </c>
      <c r="T677" s="15" t="s">
        <v>332</v>
      </c>
    </row>
    <row r="678" spans="1:20" x14ac:dyDescent="0.25">
      <c r="A678" s="15" t="s">
        <v>352</v>
      </c>
      <c r="B678" s="15" t="s">
        <v>328</v>
      </c>
      <c r="C678" s="15" t="s">
        <v>188</v>
      </c>
      <c r="D678" s="15" t="s">
        <v>187</v>
      </c>
      <c r="H678" s="7">
        <v>6</v>
      </c>
      <c r="I678" s="7">
        <v>4</v>
      </c>
      <c r="J678" s="8">
        <f t="shared" si="10"/>
        <v>0.6</v>
      </c>
      <c r="P678" s="7">
        <v>8</v>
      </c>
      <c r="Q678" s="7">
        <v>8</v>
      </c>
      <c r="T678" s="15" t="s">
        <v>188</v>
      </c>
    </row>
    <row r="679" spans="1:20" x14ac:dyDescent="0.25">
      <c r="A679" s="15" t="s">
        <v>352</v>
      </c>
      <c r="B679" s="15" t="s">
        <v>328</v>
      </c>
      <c r="C679" s="14" t="s">
        <v>280</v>
      </c>
      <c r="D679" s="15" t="s">
        <v>164</v>
      </c>
      <c r="H679" s="7">
        <v>5</v>
      </c>
      <c r="I679" s="7">
        <v>5</v>
      </c>
      <c r="J679" s="8">
        <f t="shared" si="10"/>
        <v>0.5</v>
      </c>
      <c r="P679" s="7">
        <v>6</v>
      </c>
      <c r="Q679" s="7">
        <v>10</v>
      </c>
      <c r="T679" s="14" t="s">
        <v>279</v>
      </c>
    </row>
    <row r="680" spans="1:20" x14ac:dyDescent="0.25">
      <c r="A680" s="15" t="s">
        <v>352</v>
      </c>
      <c r="B680" s="15" t="s">
        <v>328</v>
      </c>
      <c r="C680" s="15" t="s">
        <v>356</v>
      </c>
      <c r="D680" s="15" t="s">
        <v>215</v>
      </c>
      <c r="H680" s="7">
        <v>4</v>
      </c>
      <c r="I680" s="7">
        <v>6</v>
      </c>
      <c r="J680" s="8">
        <f t="shared" si="10"/>
        <v>0.4</v>
      </c>
      <c r="P680" s="7">
        <v>7</v>
      </c>
      <c r="Q680" s="7">
        <v>9</v>
      </c>
      <c r="T680" s="15" t="s">
        <v>310</v>
      </c>
    </row>
    <row r="681" spans="1:20" x14ac:dyDescent="0.25">
      <c r="A681" s="15" t="s">
        <v>352</v>
      </c>
      <c r="B681" s="15" t="s">
        <v>328</v>
      </c>
      <c r="C681" s="15" t="s">
        <v>311</v>
      </c>
      <c r="D681" s="15" t="s">
        <v>157</v>
      </c>
      <c r="H681" s="7">
        <v>4</v>
      </c>
      <c r="I681" s="7">
        <v>6</v>
      </c>
      <c r="J681" s="8">
        <f t="shared" si="10"/>
        <v>0.4</v>
      </c>
      <c r="P681" s="7">
        <v>5</v>
      </c>
      <c r="Q681" s="7">
        <v>11</v>
      </c>
      <c r="T681" s="15" t="s">
        <v>311</v>
      </c>
    </row>
    <row r="682" spans="1:20" x14ac:dyDescent="0.25">
      <c r="A682" s="15" t="s">
        <v>352</v>
      </c>
      <c r="B682" s="15" t="s">
        <v>328</v>
      </c>
      <c r="C682" s="15" t="s">
        <v>357</v>
      </c>
      <c r="D682" s="15" t="s">
        <v>152</v>
      </c>
      <c r="H682" s="7">
        <v>3</v>
      </c>
      <c r="I682" s="7">
        <v>7</v>
      </c>
      <c r="J682" s="8">
        <f t="shared" si="10"/>
        <v>0.3</v>
      </c>
      <c r="P682" s="7">
        <v>4</v>
      </c>
      <c r="Q682" s="7">
        <v>12</v>
      </c>
      <c r="T682" s="15" t="s">
        <v>268</v>
      </c>
    </row>
    <row r="683" spans="1:20" x14ac:dyDescent="0.25">
      <c r="A683" s="15" t="s">
        <v>352</v>
      </c>
      <c r="B683" s="15" t="s">
        <v>328</v>
      </c>
      <c r="C683" s="14" t="s">
        <v>276</v>
      </c>
      <c r="D683" s="15" t="s">
        <v>187</v>
      </c>
      <c r="H683" s="7">
        <v>2</v>
      </c>
      <c r="I683" s="7">
        <v>8</v>
      </c>
      <c r="J683" s="8">
        <f t="shared" si="10"/>
        <v>0.2</v>
      </c>
      <c r="P683" s="7">
        <v>3</v>
      </c>
      <c r="Q683" s="7">
        <v>13</v>
      </c>
      <c r="T683" s="14" t="s">
        <v>276</v>
      </c>
    </row>
    <row r="684" spans="1:20" x14ac:dyDescent="0.25">
      <c r="A684" s="15" t="s">
        <v>352</v>
      </c>
      <c r="B684" s="15" t="s">
        <v>328</v>
      </c>
      <c r="C684" s="15" t="s">
        <v>316</v>
      </c>
      <c r="D684" s="15" t="s">
        <v>173</v>
      </c>
      <c r="H684" s="7">
        <v>0</v>
      </c>
      <c r="I684" s="7">
        <v>10</v>
      </c>
      <c r="J684" s="8">
        <f t="shared" si="10"/>
        <v>0</v>
      </c>
      <c r="P684" s="7">
        <v>2</v>
      </c>
      <c r="Q684" s="7">
        <v>14</v>
      </c>
      <c r="T684" s="15" t="s">
        <v>316</v>
      </c>
    </row>
    <row r="685" spans="1:20" x14ac:dyDescent="0.25">
      <c r="A685" s="15" t="s">
        <v>352</v>
      </c>
      <c r="B685" s="15" t="s">
        <v>328</v>
      </c>
      <c r="C685" s="15" t="s">
        <v>250</v>
      </c>
      <c r="D685" s="15" t="s">
        <v>251</v>
      </c>
      <c r="H685" s="7">
        <v>0</v>
      </c>
      <c r="I685" s="7">
        <v>10</v>
      </c>
      <c r="J685" s="8">
        <f t="shared" si="10"/>
        <v>0</v>
      </c>
      <c r="P685" s="7">
        <v>1</v>
      </c>
      <c r="Q685" s="7">
        <v>15</v>
      </c>
      <c r="T685" s="14" t="s">
        <v>250</v>
      </c>
    </row>
    <row r="686" spans="1:20" x14ac:dyDescent="0.25">
      <c r="A686" s="15" t="s">
        <v>358</v>
      </c>
      <c r="B686" s="15" t="s">
        <v>359</v>
      </c>
      <c r="C686" s="15" t="s">
        <v>188</v>
      </c>
      <c r="D686" s="15" t="s">
        <v>187</v>
      </c>
      <c r="G686" s="7" t="s">
        <v>30</v>
      </c>
      <c r="H686" s="7">
        <v>10</v>
      </c>
      <c r="I686" s="7">
        <v>4</v>
      </c>
      <c r="J686" s="8">
        <f t="shared" si="10"/>
        <v>0.7142857142857143</v>
      </c>
      <c r="L686" s="7" t="s">
        <v>30</v>
      </c>
      <c r="M686" s="7" t="s">
        <v>30</v>
      </c>
      <c r="T686" s="15" t="s">
        <v>188</v>
      </c>
    </row>
    <row r="687" spans="1:20" x14ac:dyDescent="0.25">
      <c r="A687" s="15" t="s">
        <v>358</v>
      </c>
      <c r="B687" s="15" t="s">
        <v>359</v>
      </c>
      <c r="C687" s="15" t="s">
        <v>347</v>
      </c>
      <c r="D687" s="15" t="s">
        <v>154</v>
      </c>
      <c r="H687" s="7">
        <v>10</v>
      </c>
      <c r="I687" s="7">
        <v>4</v>
      </c>
      <c r="J687" s="8">
        <f t="shared" si="10"/>
        <v>0.7142857142857143</v>
      </c>
      <c r="L687" s="7" t="s">
        <v>30</v>
      </c>
      <c r="M687" s="7" t="s">
        <v>30</v>
      </c>
      <c r="N687" s="7" t="s">
        <v>30</v>
      </c>
      <c r="T687" s="14" t="s">
        <v>581</v>
      </c>
    </row>
    <row r="688" spans="1:20" x14ac:dyDescent="0.25">
      <c r="A688" s="15" t="s">
        <v>358</v>
      </c>
      <c r="B688" s="15" t="s">
        <v>359</v>
      </c>
      <c r="C688" s="14" t="s">
        <v>162</v>
      </c>
      <c r="D688" s="15" t="s">
        <v>152</v>
      </c>
      <c r="G688" s="7" t="s">
        <v>30</v>
      </c>
      <c r="H688" s="7">
        <v>9</v>
      </c>
      <c r="I688" s="7">
        <v>5</v>
      </c>
      <c r="J688" s="8">
        <f t="shared" si="10"/>
        <v>0.6428571428571429</v>
      </c>
      <c r="L688" s="7" t="s">
        <v>30</v>
      </c>
      <c r="M688" s="7" t="s">
        <v>30</v>
      </c>
      <c r="N688" s="7" t="s">
        <v>30</v>
      </c>
      <c r="O688" s="16" t="s">
        <v>30</v>
      </c>
      <c r="T688" s="15" t="s">
        <v>162</v>
      </c>
    </row>
    <row r="689" spans="1:20" x14ac:dyDescent="0.25">
      <c r="A689" s="15" t="s">
        <v>358</v>
      </c>
      <c r="B689" s="15" t="s">
        <v>359</v>
      </c>
      <c r="C689" s="15" t="s">
        <v>331</v>
      </c>
      <c r="D689" s="15" t="s">
        <v>154</v>
      </c>
      <c r="G689" s="7" t="s">
        <v>30</v>
      </c>
      <c r="H689" s="7">
        <v>9</v>
      </c>
      <c r="I689" s="7">
        <v>5</v>
      </c>
      <c r="J689" s="8">
        <f t="shared" si="10"/>
        <v>0.6428571428571429</v>
      </c>
      <c r="L689" s="7" t="s">
        <v>30</v>
      </c>
      <c r="M689" s="7" t="s">
        <v>30</v>
      </c>
      <c r="T689" s="14" t="s">
        <v>155</v>
      </c>
    </row>
    <row r="690" spans="1:20" x14ac:dyDescent="0.25">
      <c r="A690" s="15" t="s">
        <v>358</v>
      </c>
      <c r="B690" s="15" t="s">
        <v>359</v>
      </c>
      <c r="C690" s="15" t="s">
        <v>360</v>
      </c>
      <c r="D690" s="15" t="s">
        <v>361</v>
      </c>
      <c r="F690" s="7" t="s">
        <v>30</v>
      </c>
      <c r="H690" s="7">
        <v>0</v>
      </c>
      <c r="I690" s="7">
        <v>0</v>
      </c>
      <c r="J690" s="8" t="e">
        <f t="shared" si="10"/>
        <v>#DIV/0!</v>
      </c>
      <c r="T690" s="15" t="s">
        <v>360</v>
      </c>
    </row>
    <row r="691" spans="1:20" x14ac:dyDescent="0.25">
      <c r="A691" s="15" t="s">
        <v>358</v>
      </c>
      <c r="B691" s="15" t="s">
        <v>359</v>
      </c>
      <c r="C691" s="15" t="s">
        <v>363</v>
      </c>
      <c r="D691" s="15" t="s">
        <v>364</v>
      </c>
      <c r="F691" s="7" t="s">
        <v>30</v>
      </c>
      <c r="H691" s="7">
        <v>0</v>
      </c>
      <c r="I691" s="7">
        <v>0</v>
      </c>
      <c r="J691" s="8" t="e">
        <f t="shared" si="10"/>
        <v>#DIV/0!</v>
      </c>
      <c r="T691" s="15" t="s">
        <v>362</v>
      </c>
    </row>
    <row r="692" spans="1:20" x14ac:dyDescent="0.25">
      <c r="A692" s="15" t="s">
        <v>358</v>
      </c>
      <c r="B692" s="15" t="s">
        <v>359</v>
      </c>
      <c r="C692" s="14" t="s">
        <v>301</v>
      </c>
      <c r="D692" s="15" t="s">
        <v>251</v>
      </c>
      <c r="F692" s="7" t="s">
        <v>30</v>
      </c>
      <c r="G692" s="7" t="s">
        <v>30</v>
      </c>
      <c r="H692" s="7">
        <v>0</v>
      </c>
      <c r="I692" s="7">
        <v>0</v>
      </c>
      <c r="J692" s="8" t="e">
        <f t="shared" si="10"/>
        <v>#DIV/0!</v>
      </c>
      <c r="T692" s="14" t="s">
        <v>301</v>
      </c>
    </row>
    <row r="693" spans="1:20" x14ac:dyDescent="0.25">
      <c r="A693" s="15" t="s">
        <v>358</v>
      </c>
      <c r="B693" s="15" t="s">
        <v>359</v>
      </c>
      <c r="C693" s="15" t="s">
        <v>365</v>
      </c>
      <c r="D693" s="15" t="s">
        <v>366</v>
      </c>
      <c r="F693" s="7" t="s">
        <v>30</v>
      </c>
      <c r="H693" s="7">
        <v>0</v>
      </c>
      <c r="I693" s="7">
        <v>0</v>
      </c>
      <c r="J693" s="8" t="e">
        <f t="shared" si="10"/>
        <v>#DIV/0!</v>
      </c>
      <c r="T693" s="15" t="s">
        <v>365</v>
      </c>
    </row>
    <row r="694" spans="1:20" x14ac:dyDescent="0.25">
      <c r="A694" s="15" t="s">
        <v>358</v>
      </c>
      <c r="B694" s="15" t="s">
        <v>359</v>
      </c>
      <c r="C694" s="15" t="s">
        <v>367</v>
      </c>
      <c r="D694" s="15" t="s">
        <v>368</v>
      </c>
      <c r="F694" s="7" t="s">
        <v>30</v>
      </c>
      <c r="H694" s="7">
        <v>0</v>
      </c>
      <c r="I694" s="7">
        <v>0</v>
      </c>
      <c r="J694" s="8" t="e">
        <f t="shared" si="10"/>
        <v>#DIV/0!</v>
      </c>
      <c r="T694" s="15" t="s">
        <v>367</v>
      </c>
    </row>
    <row r="695" spans="1:20" x14ac:dyDescent="0.25">
      <c r="A695" s="15" t="s">
        <v>358</v>
      </c>
      <c r="B695" s="15" t="s">
        <v>359</v>
      </c>
      <c r="C695" s="15" t="s">
        <v>369</v>
      </c>
      <c r="D695" s="15" t="s">
        <v>215</v>
      </c>
      <c r="F695" s="7" t="s">
        <v>30</v>
      </c>
      <c r="G695" s="7" t="s">
        <v>30</v>
      </c>
      <c r="H695" s="7">
        <v>0</v>
      </c>
      <c r="I695" s="7">
        <v>0</v>
      </c>
      <c r="J695" s="8" t="e">
        <f t="shared" si="10"/>
        <v>#DIV/0!</v>
      </c>
      <c r="T695" s="15" t="s">
        <v>369</v>
      </c>
    </row>
    <row r="696" spans="1:20" x14ac:dyDescent="0.25">
      <c r="A696" s="15" t="s">
        <v>358</v>
      </c>
      <c r="B696" s="15" t="s">
        <v>359</v>
      </c>
      <c r="C696" s="15" t="s">
        <v>370</v>
      </c>
      <c r="D696" s="15" t="s">
        <v>371</v>
      </c>
      <c r="F696" s="7" t="s">
        <v>30</v>
      </c>
      <c r="G696" s="7" t="s">
        <v>30</v>
      </c>
      <c r="H696" s="7">
        <v>0</v>
      </c>
      <c r="I696" s="7">
        <v>0</v>
      </c>
      <c r="J696" s="8" t="e">
        <f t="shared" si="10"/>
        <v>#DIV/0!</v>
      </c>
      <c r="T696" s="15" t="s">
        <v>370</v>
      </c>
    </row>
    <row r="697" spans="1:20" x14ac:dyDescent="0.25">
      <c r="A697" s="15" t="s">
        <v>358</v>
      </c>
      <c r="B697" s="15" t="s">
        <v>359</v>
      </c>
      <c r="C697" s="15" t="s">
        <v>373</v>
      </c>
      <c r="D697" s="15" t="s">
        <v>374</v>
      </c>
      <c r="F697" s="7" t="s">
        <v>30</v>
      </c>
      <c r="H697" s="7">
        <v>0</v>
      </c>
      <c r="I697" s="7">
        <v>0</v>
      </c>
      <c r="J697" s="8" t="e">
        <f t="shared" si="10"/>
        <v>#DIV/0!</v>
      </c>
      <c r="T697" s="15" t="s">
        <v>372</v>
      </c>
    </row>
    <row r="698" spans="1:20" x14ac:dyDescent="0.25">
      <c r="A698" s="15" t="s">
        <v>358</v>
      </c>
      <c r="B698" s="15" t="s">
        <v>359</v>
      </c>
      <c r="C698" s="15" t="s">
        <v>375</v>
      </c>
      <c r="D698" s="15" t="s">
        <v>376</v>
      </c>
      <c r="F698" s="7" t="s">
        <v>30</v>
      </c>
      <c r="G698" s="7" t="s">
        <v>30</v>
      </c>
      <c r="H698" s="7">
        <v>0</v>
      </c>
      <c r="I698" s="7">
        <v>0</v>
      </c>
      <c r="J698" s="8" t="e">
        <f t="shared" si="10"/>
        <v>#DIV/0!</v>
      </c>
      <c r="T698" s="15" t="s">
        <v>375</v>
      </c>
    </row>
    <row r="699" spans="1:20" x14ac:dyDescent="0.25">
      <c r="A699" s="15" t="s">
        <v>358</v>
      </c>
      <c r="B699" s="15" t="s">
        <v>359</v>
      </c>
      <c r="C699" s="15" t="s">
        <v>377</v>
      </c>
      <c r="D699" s="15" t="s">
        <v>378</v>
      </c>
      <c r="F699" s="7" t="s">
        <v>30</v>
      </c>
      <c r="G699" s="7" t="s">
        <v>30</v>
      </c>
      <c r="H699" s="7">
        <v>0</v>
      </c>
      <c r="I699" s="7">
        <v>0</v>
      </c>
      <c r="J699" s="8" t="e">
        <f t="shared" si="10"/>
        <v>#DIV/0!</v>
      </c>
      <c r="T699" s="15" t="s">
        <v>377</v>
      </c>
    </row>
    <row r="700" spans="1:20" x14ac:dyDescent="0.25">
      <c r="A700" s="15" t="s">
        <v>358</v>
      </c>
      <c r="B700" s="15" t="s">
        <v>359</v>
      </c>
      <c r="C700" s="15" t="s">
        <v>379</v>
      </c>
      <c r="D700" s="15" t="s">
        <v>380</v>
      </c>
      <c r="F700" s="7" t="s">
        <v>30</v>
      </c>
      <c r="H700" s="7">
        <v>0</v>
      </c>
      <c r="I700" s="7">
        <v>0</v>
      </c>
      <c r="J700" s="8" t="e">
        <f t="shared" si="10"/>
        <v>#DIV/0!</v>
      </c>
      <c r="T700" s="15" t="s">
        <v>379</v>
      </c>
    </row>
    <row r="701" spans="1:20" x14ac:dyDescent="0.25">
      <c r="A701" s="15" t="s">
        <v>358</v>
      </c>
      <c r="B701" s="15" t="s">
        <v>359</v>
      </c>
      <c r="C701" s="15" t="s">
        <v>381</v>
      </c>
      <c r="D701" s="15" t="s">
        <v>382</v>
      </c>
      <c r="F701" s="7" t="s">
        <v>30</v>
      </c>
      <c r="H701" s="7">
        <v>0</v>
      </c>
      <c r="I701" s="7">
        <v>0</v>
      </c>
      <c r="J701" s="8" t="e">
        <f t="shared" si="10"/>
        <v>#DIV/0!</v>
      </c>
      <c r="T701" s="15" t="s">
        <v>381</v>
      </c>
    </row>
    <row r="702" spans="1:20" x14ac:dyDescent="0.25">
      <c r="A702" s="15" t="s">
        <v>358</v>
      </c>
      <c r="B702" s="15" t="s">
        <v>359</v>
      </c>
      <c r="C702" s="15" t="s">
        <v>384</v>
      </c>
      <c r="D702" s="15" t="s">
        <v>385</v>
      </c>
      <c r="F702" s="7" t="s">
        <v>30</v>
      </c>
      <c r="H702" s="7">
        <v>0</v>
      </c>
      <c r="I702" s="7">
        <v>0</v>
      </c>
      <c r="J702" s="8" t="e">
        <f t="shared" si="10"/>
        <v>#DIV/0!</v>
      </c>
      <c r="T702" s="15" t="s">
        <v>383</v>
      </c>
    </row>
    <row r="703" spans="1:20" x14ac:dyDescent="0.25">
      <c r="A703" s="15" t="s">
        <v>358</v>
      </c>
      <c r="B703" s="15" t="s">
        <v>359</v>
      </c>
      <c r="C703" s="15" t="s">
        <v>386</v>
      </c>
      <c r="D703" s="15" t="s">
        <v>161</v>
      </c>
      <c r="F703" s="7" t="s">
        <v>30</v>
      </c>
      <c r="G703" s="7" t="s">
        <v>30</v>
      </c>
      <c r="H703" s="7">
        <v>0</v>
      </c>
      <c r="I703" s="7">
        <v>0</v>
      </c>
      <c r="J703" s="8" t="e">
        <f t="shared" si="10"/>
        <v>#DIV/0!</v>
      </c>
      <c r="T703" s="15" t="s">
        <v>386</v>
      </c>
    </row>
    <row r="704" spans="1:20" x14ac:dyDescent="0.25">
      <c r="A704" s="15" t="s">
        <v>358</v>
      </c>
      <c r="B704" s="15" t="s">
        <v>359</v>
      </c>
      <c r="C704" s="14" t="s">
        <v>158</v>
      </c>
      <c r="D704" s="15" t="s">
        <v>159</v>
      </c>
      <c r="F704" s="7" t="s">
        <v>30</v>
      </c>
      <c r="G704" s="7" t="s">
        <v>30</v>
      </c>
      <c r="H704" s="7">
        <v>0</v>
      </c>
      <c r="I704" s="7">
        <v>0</v>
      </c>
      <c r="J704" s="8" t="e">
        <f t="shared" si="10"/>
        <v>#DIV/0!</v>
      </c>
      <c r="T704" s="14" t="s">
        <v>158</v>
      </c>
    </row>
    <row r="705" spans="1:20" x14ac:dyDescent="0.25">
      <c r="A705" s="15" t="s">
        <v>358</v>
      </c>
      <c r="B705" s="15" t="s">
        <v>359</v>
      </c>
      <c r="C705" s="15" t="s">
        <v>387</v>
      </c>
      <c r="D705" s="15" t="s">
        <v>388</v>
      </c>
      <c r="F705" s="7" t="s">
        <v>30</v>
      </c>
      <c r="H705" s="7">
        <v>0</v>
      </c>
      <c r="I705" s="7">
        <v>0</v>
      </c>
      <c r="J705" s="8" t="e">
        <f t="shared" si="10"/>
        <v>#DIV/0!</v>
      </c>
      <c r="T705" s="15" t="s">
        <v>387</v>
      </c>
    </row>
    <row r="706" spans="1:20" x14ac:dyDescent="0.25">
      <c r="A706" s="15" t="s">
        <v>358</v>
      </c>
      <c r="B706" s="15" t="s">
        <v>359</v>
      </c>
      <c r="C706" s="15" t="s">
        <v>389</v>
      </c>
      <c r="D706" s="15" t="s">
        <v>390</v>
      </c>
      <c r="F706" s="7" t="s">
        <v>30</v>
      </c>
      <c r="H706" s="7">
        <v>0</v>
      </c>
      <c r="I706" s="7">
        <v>0</v>
      </c>
      <c r="J706" s="8" t="e">
        <f t="shared" ref="J706:J769" si="11">H706/SUM(H706:I706)</f>
        <v>#DIV/0!</v>
      </c>
      <c r="T706" s="15" t="s">
        <v>389</v>
      </c>
    </row>
    <row r="707" spans="1:20" x14ac:dyDescent="0.25">
      <c r="A707" s="15" t="s">
        <v>358</v>
      </c>
      <c r="B707" s="15" t="s">
        <v>359</v>
      </c>
      <c r="C707" s="15" t="s">
        <v>392</v>
      </c>
      <c r="D707" s="15" t="s">
        <v>393</v>
      </c>
      <c r="F707" s="7" t="s">
        <v>30</v>
      </c>
      <c r="H707" s="7">
        <v>0</v>
      </c>
      <c r="I707" s="7">
        <v>0</v>
      </c>
      <c r="J707" s="8" t="e">
        <f t="shared" si="11"/>
        <v>#DIV/0!</v>
      </c>
      <c r="T707" s="15" t="s">
        <v>391</v>
      </c>
    </row>
    <row r="708" spans="1:20" x14ac:dyDescent="0.25">
      <c r="A708" s="15" t="s">
        <v>358</v>
      </c>
      <c r="B708" s="15" t="s">
        <v>359</v>
      </c>
      <c r="C708" s="15" t="s">
        <v>394</v>
      </c>
      <c r="D708" s="15" t="s">
        <v>220</v>
      </c>
      <c r="F708" s="7" t="s">
        <v>30</v>
      </c>
      <c r="H708" s="7">
        <v>0</v>
      </c>
      <c r="I708" s="7">
        <v>0</v>
      </c>
      <c r="J708" s="8" t="e">
        <f t="shared" si="11"/>
        <v>#DIV/0!</v>
      </c>
      <c r="T708" s="15" t="s">
        <v>394</v>
      </c>
    </row>
    <row r="709" spans="1:20" x14ac:dyDescent="0.25">
      <c r="A709" s="15" t="s">
        <v>358</v>
      </c>
      <c r="B709" s="15" t="s">
        <v>359</v>
      </c>
      <c r="C709" s="15" t="s">
        <v>396</v>
      </c>
      <c r="D709" s="15" t="s">
        <v>397</v>
      </c>
      <c r="F709" s="7" t="s">
        <v>30</v>
      </c>
      <c r="G709" s="7" t="s">
        <v>30</v>
      </c>
      <c r="H709" s="7">
        <v>0</v>
      </c>
      <c r="I709" s="7">
        <v>0</v>
      </c>
      <c r="J709" s="8" t="e">
        <f t="shared" si="11"/>
        <v>#DIV/0!</v>
      </c>
      <c r="T709" s="15" t="s">
        <v>395</v>
      </c>
    </row>
    <row r="710" spans="1:20" x14ac:dyDescent="0.25">
      <c r="A710" s="15" t="s">
        <v>358</v>
      </c>
      <c r="B710" s="15" t="s">
        <v>359</v>
      </c>
      <c r="C710" s="15" t="s">
        <v>399</v>
      </c>
      <c r="D710" s="15" t="s">
        <v>400</v>
      </c>
      <c r="F710" s="7" t="s">
        <v>30</v>
      </c>
      <c r="G710" s="7" t="s">
        <v>30</v>
      </c>
      <c r="H710" s="7">
        <v>0</v>
      </c>
      <c r="I710" s="7">
        <v>0</v>
      </c>
      <c r="J710" s="8" t="e">
        <f t="shared" si="11"/>
        <v>#DIV/0!</v>
      </c>
      <c r="T710" s="15" t="s">
        <v>398</v>
      </c>
    </row>
    <row r="711" spans="1:20" x14ac:dyDescent="0.25">
      <c r="A711" s="15" t="s">
        <v>358</v>
      </c>
      <c r="B711" s="15" t="s">
        <v>359</v>
      </c>
      <c r="C711" s="15" t="s">
        <v>353</v>
      </c>
      <c r="D711" s="15" t="s">
        <v>243</v>
      </c>
      <c r="G711" s="7" t="s">
        <v>30</v>
      </c>
      <c r="H711" s="7">
        <v>0</v>
      </c>
      <c r="I711" s="7">
        <v>0</v>
      </c>
      <c r="J711" s="8" t="e">
        <f t="shared" si="11"/>
        <v>#DIV/0!</v>
      </c>
      <c r="T711" s="15" t="s">
        <v>241</v>
      </c>
    </row>
    <row r="712" spans="1:20" x14ac:dyDescent="0.25">
      <c r="A712" s="15" t="s">
        <v>358</v>
      </c>
      <c r="B712" s="15" t="s">
        <v>359</v>
      </c>
      <c r="C712" s="15" t="s">
        <v>401</v>
      </c>
      <c r="D712" s="15" t="s">
        <v>324</v>
      </c>
      <c r="F712" s="7" t="s">
        <v>30</v>
      </c>
      <c r="H712" s="7">
        <v>0</v>
      </c>
      <c r="I712" s="7">
        <v>0</v>
      </c>
      <c r="J712" s="8" t="e">
        <f t="shared" si="11"/>
        <v>#DIV/0!</v>
      </c>
      <c r="T712" s="15" t="s">
        <v>401</v>
      </c>
    </row>
    <row r="713" spans="1:20" x14ac:dyDescent="0.25">
      <c r="A713" s="15" t="s">
        <v>358</v>
      </c>
      <c r="B713" s="15" t="s">
        <v>359</v>
      </c>
      <c r="C713" s="15" t="s">
        <v>402</v>
      </c>
      <c r="D713" s="15" t="s">
        <v>319</v>
      </c>
      <c r="F713" s="7" t="s">
        <v>30</v>
      </c>
      <c r="G713" s="7" t="s">
        <v>30</v>
      </c>
      <c r="H713" s="7">
        <v>0</v>
      </c>
      <c r="I713" s="7">
        <v>0</v>
      </c>
      <c r="J713" s="8" t="e">
        <f t="shared" si="11"/>
        <v>#DIV/0!</v>
      </c>
      <c r="T713" s="15" t="s">
        <v>402</v>
      </c>
    </row>
    <row r="714" spans="1:20" x14ac:dyDescent="0.25">
      <c r="A714" s="15" t="s">
        <v>358</v>
      </c>
      <c r="B714" s="15" t="s">
        <v>359</v>
      </c>
      <c r="C714" s="15" t="s">
        <v>232</v>
      </c>
      <c r="D714" s="15" t="s">
        <v>233</v>
      </c>
      <c r="F714" s="7" t="s">
        <v>30</v>
      </c>
      <c r="G714" s="7" t="s">
        <v>30</v>
      </c>
      <c r="H714" s="7">
        <v>0</v>
      </c>
      <c r="I714" s="7">
        <v>0</v>
      </c>
      <c r="J714" s="8" t="e">
        <f t="shared" si="11"/>
        <v>#DIV/0!</v>
      </c>
      <c r="T714" s="15" t="s">
        <v>231</v>
      </c>
    </row>
    <row r="715" spans="1:20" x14ac:dyDescent="0.25">
      <c r="A715" s="15" t="s">
        <v>358</v>
      </c>
      <c r="B715" s="15" t="s">
        <v>359</v>
      </c>
      <c r="C715" s="14" t="s">
        <v>174</v>
      </c>
      <c r="D715" s="15" t="s">
        <v>312</v>
      </c>
      <c r="F715" s="7" t="s">
        <v>30</v>
      </c>
      <c r="G715" s="7" t="s">
        <v>30</v>
      </c>
      <c r="H715" s="7">
        <v>0</v>
      </c>
      <c r="I715" s="7">
        <v>0</v>
      </c>
      <c r="J715" s="8" t="e">
        <f t="shared" si="11"/>
        <v>#DIV/0!</v>
      </c>
      <c r="T715" s="14" t="s">
        <v>174</v>
      </c>
    </row>
    <row r="716" spans="1:20" x14ac:dyDescent="0.25">
      <c r="A716" s="15" t="s">
        <v>358</v>
      </c>
      <c r="B716" s="15" t="s">
        <v>359</v>
      </c>
      <c r="C716" s="14" t="s">
        <v>149</v>
      </c>
      <c r="D716" s="15" t="s">
        <v>152</v>
      </c>
      <c r="H716" s="7">
        <v>10</v>
      </c>
      <c r="I716" s="7">
        <v>4</v>
      </c>
      <c r="J716" s="8">
        <f t="shared" si="11"/>
        <v>0.7142857142857143</v>
      </c>
      <c r="L716" s="7" t="s">
        <v>30</v>
      </c>
      <c r="T716" s="14" t="s">
        <v>149</v>
      </c>
    </row>
    <row r="717" spans="1:20" x14ac:dyDescent="0.25">
      <c r="A717" s="15" t="s">
        <v>358</v>
      </c>
      <c r="B717" s="15" t="s">
        <v>359</v>
      </c>
      <c r="C717" s="15" t="s">
        <v>278</v>
      </c>
      <c r="D717" s="15" t="s">
        <v>171</v>
      </c>
      <c r="G717" s="7" t="s">
        <v>30</v>
      </c>
      <c r="H717" s="7">
        <v>10</v>
      </c>
      <c r="I717" s="7">
        <v>4</v>
      </c>
      <c r="J717" s="8">
        <f t="shared" si="11"/>
        <v>0.7142857142857143</v>
      </c>
      <c r="L717" s="7" t="s">
        <v>30</v>
      </c>
      <c r="T717" s="15" t="s">
        <v>278</v>
      </c>
    </row>
    <row r="718" spans="1:20" x14ac:dyDescent="0.25">
      <c r="A718" s="15" t="s">
        <v>358</v>
      </c>
      <c r="B718" s="15" t="s">
        <v>359</v>
      </c>
      <c r="C718" s="14" t="s">
        <v>280</v>
      </c>
      <c r="D718" s="15" t="s">
        <v>164</v>
      </c>
      <c r="F718" s="7" t="s">
        <v>30</v>
      </c>
      <c r="G718" s="7" t="s">
        <v>30</v>
      </c>
      <c r="H718" s="7">
        <v>8</v>
      </c>
      <c r="I718" s="7">
        <v>6</v>
      </c>
      <c r="J718" s="8">
        <f t="shared" si="11"/>
        <v>0.5714285714285714</v>
      </c>
      <c r="L718" s="7" t="s">
        <v>30</v>
      </c>
      <c r="T718" s="14" t="s">
        <v>279</v>
      </c>
    </row>
    <row r="719" spans="1:20" x14ac:dyDescent="0.25">
      <c r="A719" s="15" t="s">
        <v>358</v>
      </c>
      <c r="B719" s="15" t="s">
        <v>359</v>
      </c>
      <c r="C719" s="14" t="s">
        <v>257</v>
      </c>
      <c r="D719" s="15" t="s">
        <v>215</v>
      </c>
      <c r="G719" s="7" t="s">
        <v>30</v>
      </c>
      <c r="H719" s="7">
        <v>6</v>
      </c>
      <c r="I719" s="7">
        <v>8</v>
      </c>
      <c r="J719" s="8">
        <f t="shared" si="11"/>
        <v>0.42857142857142855</v>
      </c>
      <c r="T719" s="14" t="s">
        <v>257</v>
      </c>
    </row>
    <row r="720" spans="1:20" x14ac:dyDescent="0.25">
      <c r="A720" s="15" t="s">
        <v>358</v>
      </c>
      <c r="B720" s="15" t="s">
        <v>359</v>
      </c>
      <c r="C720" s="15" t="s">
        <v>403</v>
      </c>
      <c r="D720" s="15" t="s">
        <v>164</v>
      </c>
      <c r="H720" s="7">
        <v>6</v>
      </c>
      <c r="I720" s="7">
        <v>8</v>
      </c>
      <c r="J720" s="8">
        <f t="shared" si="11"/>
        <v>0.42857142857142855</v>
      </c>
      <c r="T720" s="15" t="s">
        <v>403</v>
      </c>
    </row>
    <row r="721" spans="1:20" x14ac:dyDescent="0.25">
      <c r="A721" s="15" t="s">
        <v>358</v>
      </c>
      <c r="B721" s="15" t="s">
        <v>359</v>
      </c>
      <c r="C721" s="14" t="s">
        <v>169</v>
      </c>
      <c r="D721" s="15" t="s">
        <v>161</v>
      </c>
      <c r="G721" s="7" t="s">
        <v>30</v>
      </c>
      <c r="H721" s="7">
        <v>6</v>
      </c>
      <c r="I721" s="7">
        <v>8</v>
      </c>
      <c r="J721" s="8">
        <f t="shared" si="11"/>
        <v>0.42857142857142855</v>
      </c>
      <c r="T721" s="14" t="s">
        <v>169</v>
      </c>
    </row>
    <row r="722" spans="1:20" x14ac:dyDescent="0.25">
      <c r="A722" s="15" t="s">
        <v>358</v>
      </c>
      <c r="B722" s="15" t="s">
        <v>359</v>
      </c>
      <c r="C722" s="15" t="s">
        <v>404</v>
      </c>
      <c r="D722" s="15" t="s">
        <v>171</v>
      </c>
      <c r="G722" s="7" t="s">
        <v>30</v>
      </c>
      <c r="H722" s="7">
        <v>6</v>
      </c>
      <c r="I722" s="7">
        <v>8</v>
      </c>
      <c r="J722" s="8">
        <f t="shared" si="11"/>
        <v>0.42857142857142855</v>
      </c>
      <c r="T722" s="15" t="s">
        <v>176</v>
      </c>
    </row>
    <row r="723" spans="1:20" x14ac:dyDescent="0.25">
      <c r="A723" s="15" t="s">
        <v>358</v>
      </c>
      <c r="B723" s="15" t="s">
        <v>359</v>
      </c>
      <c r="C723" s="14" t="s">
        <v>201</v>
      </c>
      <c r="D723" s="15" t="s">
        <v>154</v>
      </c>
      <c r="G723" s="7" t="s">
        <v>30</v>
      </c>
      <c r="H723" s="7">
        <v>6</v>
      </c>
      <c r="I723" s="7">
        <v>8</v>
      </c>
      <c r="J723" s="8">
        <f t="shared" si="11"/>
        <v>0.42857142857142855</v>
      </c>
      <c r="T723" s="14" t="s">
        <v>201</v>
      </c>
    </row>
    <row r="724" spans="1:20" x14ac:dyDescent="0.25">
      <c r="A724" s="15" t="s">
        <v>358</v>
      </c>
      <c r="B724" s="15" t="s">
        <v>359</v>
      </c>
      <c r="C724" s="15" t="s">
        <v>311</v>
      </c>
      <c r="D724" s="15" t="s">
        <v>157</v>
      </c>
      <c r="G724" s="7" t="s">
        <v>30</v>
      </c>
      <c r="H724" s="7">
        <v>6</v>
      </c>
      <c r="I724" s="7">
        <v>8</v>
      </c>
      <c r="J724" s="8">
        <f t="shared" si="11"/>
        <v>0.42857142857142855</v>
      </c>
      <c r="L724" s="7" t="s">
        <v>30</v>
      </c>
      <c r="T724" s="15" t="s">
        <v>311</v>
      </c>
    </row>
    <row r="725" spans="1:20" x14ac:dyDescent="0.25">
      <c r="A725" s="15" t="s">
        <v>358</v>
      </c>
      <c r="B725" s="15" t="s">
        <v>359</v>
      </c>
      <c r="C725" s="15" t="s">
        <v>316</v>
      </c>
      <c r="D725" s="15" t="s">
        <v>173</v>
      </c>
      <c r="G725" s="7" t="s">
        <v>30</v>
      </c>
      <c r="H725" s="7">
        <v>5</v>
      </c>
      <c r="I725" s="7">
        <v>9</v>
      </c>
      <c r="J725" s="8">
        <f t="shared" si="11"/>
        <v>0.35714285714285715</v>
      </c>
      <c r="T725" s="15" t="s">
        <v>316</v>
      </c>
    </row>
    <row r="726" spans="1:20" x14ac:dyDescent="0.25">
      <c r="A726" s="15" t="s">
        <v>358</v>
      </c>
      <c r="B726" s="15" t="s">
        <v>359</v>
      </c>
      <c r="C726" s="15" t="s">
        <v>405</v>
      </c>
      <c r="D726" s="15" t="s">
        <v>152</v>
      </c>
      <c r="G726" s="7" t="s">
        <v>30</v>
      </c>
      <c r="H726" s="7">
        <v>3</v>
      </c>
      <c r="I726" s="7">
        <v>11</v>
      </c>
      <c r="J726" s="8">
        <f t="shared" si="11"/>
        <v>0.21428571428571427</v>
      </c>
      <c r="T726" s="15" t="s">
        <v>314</v>
      </c>
    </row>
    <row r="727" spans="1:20" x14ac:dyDescent="0.25">
      <c r="A727" s="15" t="s">
        <v>358</v>
      </c>
      <c r="B727" s="15" t="s">
        <v>359</v>
      </c>
      <c r="C727" s="15" t="s">
        <v>406</v>
      </c>
      <c r="D727" s="15" t="s">
        <v>326</v>
      </c>
      <c r="G727" s="7" t="s">
        <v>30</v>
      </c>
      <c r="H727" s="7">
        <v>2</v>
      </c>
      <c r="I727" s="7">
        <v>12</v>
      </c>
      <c r="J727" s="8">
        <f t="shared" si="11"/>
        <v>0.14285714285714285</v>
      </c>
      <c r="T727" s="15" t="s">
        <v>406</v>
      </c>
    </row>
    <row r="728" spans="1:20" x14ac:dyDescent="0.25">
      <c r="A728" s="15" t="s">
        <v>407</v>
      </c>
      <c r="B728" s="15" t="s">
        <v>359</v>
      </c>
      <c r="C728" s="15" t="s">
        <v>216</v>
      </c>
      <c r="D728" s="15" t="s">
        <v>164</v>
      </c>
      <c r="G728" s="7" t="s">
        <v>30</v>
      </c>
      <c r="H728" s="7">
        <v>10</v>
      </c>
      <c r="I728" s="7">
        <v>4</v>
      </c>
      <c r="J728" s="8">
        <f t="shared" si="11"/>
        <v>0.7142857142857143</v>
      </c>
      <c r="L728" s="7" t="s">
        <v>30</v>
      </c>
      <c r="M728" s="7" t="s">
        <v>30</v>
      </c>
      <c r="T728" s="15" t="s">
        <v>216</v>
      </c>
    </row>
    <row r="729" spans="1:20" x14ac:dyDescent="0.25">
      <c r="A729" s="15" t="s">
        <v>407</v>
      </c>
      <c r="B729" s="15" t="s">
        <v>359</v>
      </c>
      <c r="C729" s="14" t="s">
        <v>162</v>
      </c>
      <c r="D729" s="15" t="s">
        <v>152</v>
      </c>
      <c r="G729" s="7" t="s">
        <v>30</v>
      </c>
      <c r="H729" s="7">
        <v>10</v>
      </c>
      <c r="I729" s="7">
        <v>4</v>
      </c>
      <c r="J729" s="8">
        <f t="shared" si="11"/>
        <v>0.7142857142857143</v>
      </c>
      <c r="L729" s="7" t="s">
        <v>30</v>
      </c>
      <c r="M729" s="7" t="s">
        <v>30</v>
      </c>
      <c r="T729" s="15" t="s">
        <v>162</v>
      </c>
    </row>
    <row r="730" spans="1:20" x14ac:dyDescent="0.25">
      <c r="A730" s="15" t="s">
        <v>407</v>
      </c>
      <c r="B730" s="15" t="s">
        <v>359</v>
      </c>
      <c r="C730" s="14" t="s">
        <v>149</v>
      </c>
      <c r="D730" s="15" t="s">
        <v>152</v>
      </c>
      <c r="H730" s="7">
        <v>9</v>
      </c>
      <c r="I730" s="7">
        <v>5</v>
      </c>
      <c r="J730" s="8">
        <f t="shared" si="11"/>
        <v>0.6428571428571429</v>
      </c>
      <c r="L730" s="7" t="s">
        <v>30</v>
      </c>
      <c r="M730" s="7" t="s">
        <v>30</v>
      </c>
      <c r="N730" s="7" t="s">
        <v>30</v>
      </c>
      <c r="O730" s="16" t="s">
        <v>30</v>
      </c>
      <c r="T730" s="14" t="s">
        <v>149</v>
      </c>
    </row>
    <row r="731" spans="1:20" x14ac:dyDescent="0.25">
      <c r="A731" s="15" t="s">
        <v>407</v>
      </c>
      <c r="B731" s="15" t="s">
        <v>359</v>
      </c>
      <c r="C731" s="15" t="s">
        <v>331</v>
      </c>
      <c r="D731" s="15" t="s">
        <v>154</v>
      </c>
      <c r="H731" s="7">
        <v>9</v>
      </c>
      <c r="I731" s="7">
        <v>5</v>
      </c>
      <c r="J731" s="8">
        <f t="shared" si="11"/>
        <v>0.6428571428571429</v>
      </c>
      <c r="L731" s="7" t="s">
        <v>30</v>
      </c>
      <c r="M731" s="7" t="s">
        <v>30</v>
      </c>
      <c r="N731" s="7" t="s">
        <v>30</v>
      </c>
      <c r="T731" s="14" t="s">
        <v>155</v>
      </c>
    </row>
    <row r="732" spans="1:20" x14ac:dyDescent="0.25">
      <c r="A732" s="15" t="s">
        <v>407</v>
      </c>
      <c r="B732" s="15" t="s">
        <v>359</v>
      </c>
      <c r="C732" s="15" t="s">
        <v>408</v>
      </c>
      <c r="D732" s="15" t="s">
        <v>361</v>
      </c>
      <c r="F732" s="7" t="s">
        <v>30</v>
      </c>
      <c r="H732" s="7">
        <v>0</v>
      </c>
      <c r="I732" s="7">
        <v>0</v>
      </c>
      <c r="J732" s="8" t="e">
        <f t="shared" si="11"/>
        <v>#DIV/0!</v>
      </c>
      <c r="T732" s="15" t="s">
        <v>408</v>
      </c>
    </row>
    <row r="733" spans="1:20" x14ac:dyDescent="0.25">
      <c r="A733" s="15" t="s">
        <v>407</v>
      </c>
      <c r="B733" s="15" t="s">
        <v>359</v>
      </c>
      <c r="C733" s="15" t="s">
        <v>410</v>
      </c>
      <c r="D733" s="15" t="s">
        <v>364</v>
      </c>
      <c r="F733" s="7" t="s">
        <v>30</v>
      </c>
      <c r="H733" s="7">
        <v>0</v>
      </c>
      <c r="I733" s="7">
        <v>0</v>
      </c>
      <c r="J733" s="8" t="e">
        <f t="shared" si="11"/>
        <v>#DIV/0!</v>
      </c>
      <c r="T733" s="15" t="s">
        <v>409</v>
      </c>
    </row>
    <row r="734" spans="1:20" x14ac:dyDescent="0.25">
      <c r="A734" s="15" t="s">
        <v>407</v>
      </c>
      <c r="B734" s="15" t="s">
        <v>359</v>
      </c>
      <c r="C734" s="15" t="s">
        <v>412</v>
      </c>
      <c r="D734" s="15" t="s">
        <v>251</v>
      </c>
      <c r="G734" s="7" t="s">
        <v>30</v>
      </c>
      <c r="H734" s="7">
        <v>0</v>
      </c>
      <c r="I734" s="7">
        <v>0</v>
      </c>
      <c r="J734" s="8" t="e">
        <f t="shared" si="11"/>
        <v>#DIV/0!</v>
      </c>
      <c r="T734" s="15" t="s">
        <v>411</v>
      </c>
    </row>
    <row r="735" spans="1:20" x14ac:dyDescent="0.25">
      <c r="A735" s="15" t="s">
        <v>407</v>
      </c>
      <c r="B735" s="15" t="s">
        <v>359</v>
      </c>
      <c r="C735" s="15" t="s">
        <v>414</v>
      </c>
      <c r="D735" s="15" t="s">
        <v>366</v>
      </c>
      <c r="F735" s="7" t="s">
        <v>30</v>
      </c>
      <c r="H735" s="7">
        <v>0</v>
      </c>
      <c r="I735" s="7">
        <v>0</v>
      </c>
      <c r="J735" s="8" t="e">
        <f t="shared" si="11"/>
        <v>#DIV/0!</v>
      </c>
      <c r="T735" s="15" t="s">
        <v>413</v>
      </c>
    </row>
    <row r="736" spans="1:20" x14ac:dyDescent="0.25">
      <c r="A736" s="15" t="s">
        <v>407</v>
      </c>
      <c r="B736" s="15" t="s">
        <v>359</v>
      </c>
      <c r="C736" s="15" t="s">
        <v>415</v>
      </c>
      <c r="D736" s="15" t="s">
        <v>368</v>
      </c>
      <c r="F736" s="7" t="s">
        <v>30</v>
      </c>
      <c r="H736" s="7">
        <v>0</v>
      </c>
      <c r="I736" s="7">
        <v>0</v>
      </c>
      <c r="J736" s="8" t="e">
        <f t="shared" si="11"/>
        <v>#DIV/0!</v>
      </c>
      <c r="T736" s="15" t="s">
        <v>415</v>
      </c>
    </row>
    <row r="737" spans="1:20" x14ac:dyDescent="0.25">
      <c r="A737" s="15" t="s">
        <v>407</v>
      </c>
      <c r="B737" s="15" t="s">
        <v>359</v>
      </c>
      <c r="C737" s="15" t="s">
        <v>356</v>
      </c>
      <c r="D737" s="15" t="s">
        <v>215</v>
      </c>
      <c r="F737" s="7" t="s">
        <v>30</v>
      </c>
      <c r="G737" s="7" t="s">
        <v>30</v>
      </c>
      <c r="H737" s="7">
        <v>0</v>
      </c>
      <c r="I737" s="7">
        <v>0</v>
      </c>
      <c r="J737" s="8" t="e">
        <f t="shared" si="11"/>
        <v>#DIV/0!</v>
      </c>
      <c r="T737" s="15" t="s">
        <v>310</v>
      </c>
    </row>
    <row r="738" spans="1:20" x14ac:dyDescent="0.25">
      <c r="A738" s="15" t="s">
        <v>407</v>
      </c>
      <c r="B738" s="15" t="s">
        <v>359</v>
      </c>
      <c r="C738" s="15" t="s">
        <v>416</v>
      </c>
      <c r="D738" s="15" t="s">
        <v>371</v>
      </c>
      <c r="F738" s="7" t="s">
        <v>30</v>
      </c>
      <c r="G738" s="7" t="s">
        <v>30</v>
      </c>
      <c r="H738" s="7">
        <v>0</v>
      </c>
      <c r="I738" s="7">
        <v>0</v>
      </c>
      <c r="J738" s="8" t="e">
        <f t="shared" si="11"/>
        <v>#DIV/0!</v>
      </c>
      <c r="T738" s="15" t="s">
        <v>416</v>
      </c>
    </row>
    <row r="739" spans="1:20" x14ac:dyDescent="0.25">
      <c r="A739" s="15" t="s">
        <v>407</v>
      </c>
      <c r="B739" s="15" t="s">
        <v>359</v>
      </c>
      <c r="C739" s="15" t="s">
        <v>417</v>
      </c>
      <c r="D739" s="15" t="s">
        <v>374</v>
      </c>
      <c r="F739" s="7" t="s">
        <v>30</v>
      </c>
      <c r="G739" s="7" t="s">
        <v>30</v>
      </c>
      <c r="H739" s="7">
        <v>0</v>
      </c>
      <c r="I739" s="7">
        <v>0</v>
      </c>
      <c r="J739" s="8" t="e">
        <f t="shared" si="11"/>
        <v>#DIV/0!</v>
      </c>
      <c r="T739" s="15" t="s">
        <v>372</v>
      </c>
    </row>
    <row r="740" spans="1:20" x14ac:dyDescent="0.25">
      <c r="A740" s="15" t="s">
        <v>407</v>
      </c>
      <c r="B740" s="15" t="s">
        <v>359</v>
      </c>
      <c r="C740" s="15" t="s">
        <v>418</v>
      </c>
      <c r="D740" s="15" t="s">
        <v>376</v>
      </c>
      <c r="F740" s="7" t="s">
        <v>30</v>
      </c>
      <c r="G740" s="7" t="s">
        <v>30</v>
      </c>
      <c r="H740" s="7">
        <v>0</v>
      </c>
      <c r="I740" s="7">
        <v>0</v>
      </c>
      <c r="J740" s="8" t="e">
        <f t="shared" si="11"/>
        <v>#DIV/0!</v>
      </c>
      <c r="T740" s="15" t="s">
        <v>418</v>
      </c>
    </row>
    <row r="741" spans="1:20" x14ac:dyDescent="0.25">
      <c r="A741" s="15" t="s">
        <v>407</v>
      </c>
      <c r="B741" s="15" t="s">
        <v>359</v>
      </c>
      <c r="C741" s="15" t="s">
        <v>419</v>
      </c>
      <c r="D741" s="15" t="s">
        <v>378</v>
      </c>
      <c r="F741" s="7" t="s">
        <v>30</v>
      </c>
      <c r="H741" s="7">
        <v>0</v>
      </c>
      <c r="I741" s="7">
        <v>0</v>
      </c>
      <c r="J741" s="8" t="e">
        <f t="shared" si="11"/>
        <v>#DIV/0!</v>
      </c>
      <c r="T741" s="15" t="s">
        <v>419</v>
      </c>
    </row>
    <row r="742" spans="1:20" x14ac:dyDescent="0.25">
      <c r="A742" s="15" t="s">
        <v>407</v>
      </c>
      <c r="B742" s="15" t="s">
        <v>359</v>
      </c>
      <c r="C742" s="15" t="s">
        <v>420</v>
      </c>
      <c r="D742" s="15" t="s">
        <v>380</v>
      </c>
      <c r="F742" s="7" t="s">
        <v>30</v>
      </c>
      <c r="H742" s="7">
        <v>0</v>
      </c>
      <c r="I742" s="7">
        <v>0</v>
      </c>
      <c r="J742" s="8" t="e">
        <f t="shared" si="11"/>
        <v>#DIV/0!</v>
      </c>
      <c r="T742" s="15" t="s">
        <v>420</v>
      </c>
    </row>
    <row r="743" spans="1:20" x14ac:dyDescent="0.25">
      <c r="A743" s="15" t="s">
        <v>407</v>
      </c>
      <c r="B743" s="15" t="s">
        <v>359</v>
      </c>
      <c r="C743" s="15" t="s">
        <v>403</v>
      </c>
      <c r="D743" s="15" t="s">
        <v>164</v>
      </c>
      <c r="G743" s="7" t="s">
        <v>30</v>
      </c>
      <c r="H743" s="7">
        <v>0</v>
      </c>
      <c r="I743" s="7">
        <v>0</v>
      </c>
      <c r="J743" s="8" t="e">
        <f t="shared" si="11"/>
        <v>#DIV/0!</v>
      </c>
      <c r="T743" s="15" t="s">
        <v>403</v>
      </c>
    </row>
    <row r="744" spans="1:20" x14ac:dyDescent="0.25">
      <c r="A744" s="15" t="s">
        <v>407</v>
      </c>
      <c r="B744" s="15" t="s">
        <v>359</v>
      </c>
      <c r="C744" s="15" t="s">
        <v>421</v>
      </c>
      <c r="D744" s="15" t="s">
        <v>382</v>
      </c>
      <c r="F744" s="7" t="s">
        <v>30</v>
      </c>
      <c r="H744" s="7">
        <v>0</v>
      </c>
      <c r="I744" s="7">
        <v>0</v>
      </c>
      <c r="J744" s="8" t="e">
        <f t="shared" si="11"/>
        <v>#DIV/0!</v>
      </c>
      <c r="T744" s="15" t="s">
        <v>421</v>
      </c>
    </row>
    <row r="745" spans="1:20" x14ac:dyDescent="0.25">
      <c r="A745" s="15" t="s">
        <v>407</v>
      </c>
      <c r="B745" s="15" t="s">
        <v>359</v>
      </c>
      <c r="C745" s="15" t="s">
        <v>422</v>
      </c>
      <c r="D745" s="15" t="s">
        <v>385</v>
      </c>
      <c r="F745" s="7" t="s">
        <v>30</v>
      </c>
      <c r="G745" s="7" t="s">
        <v>30</v>
      </c>
      <c r="H745" s="7">
        <v>0</v>
      </c>
      <c r="I745" s="7">
        <v>0</v>
      </c>
      <c r="J745" s="8" t="e">
        <f t="shared" si="11"/>
        <v>#DIV/0!</v>
      </c>
      <c r="T745" s="15" t="s">
        <v>383</v>
      </c>
    </row>
    <row r="746" spans="1:20" x14ac:dyDescent="0.25">
      <c r="A746" s="15" t="s">
        <v>407</v>
      </c>
      <c r="B746" s="15" t="s">
        <v>359</v>
      </c>
      <c r="C746" s="15" t="s">
        <v>160</v>
      </c>
      <c r="D746" s="15" t="s">
        <v>161</v>
      </c>
      <c r="F746" s="7" t="s">
        <v>30</v>
      </c>
      <c r="G746" s="7" t="s">
        <v>30</v>
      </c>
      <c r="H746" s="7">
        <v>0</v>
      </c>
      <c r="I746" s="7">
        <v>0</v>
      </c>
      <c r="J746" s="8" t="e">
        <f t="shared" si="11"/>
        <v>#DIV/0!</v>
      </c>
      <c r="T746" s="15" t="s">
        <v>160</v>
      </c>
    </row>
    <row r="747" spans="1:20" x14ac:dyDescent="0.25">
      <c r="A747" s="15" t="s">
        <v>407</v>
      </c>
      <c r="B747" s="15" t="s">
        <v>359</v>
      </c>
      <c r="C747" s="15" t="s">
        <v>423</v>
      </c>
      <c r="D747" s="15" t="s">
        <v>424</v>
      </c>
      <c r="F747" s="7" t="s">
        <v>30</v>
      </c>
      <c r="G747" s="7" t="s">
        <v>30</v>
      </c>
      <c r="H747" s="7">
        <v>0</v>
      </c>
      <c r="I747" s="7">
        <v>0</v>
      </c>
      <c r="J747" s="8" t="e">
        <f t="shared" si="11"/>
        <v>#DIV/0!</v>
      </c>
      <c r="T747" s="15" t="s">
        <v>423</v>
      </c>
    </row>
    <row r="748" spans="1:20" x14ac:dyDescent="0.25">
      <c r="A748" s="15" t="s">
        <v>407</v>
      </c>
      <c r="B748" s="15" t="s">
        <v>359</v>
      </c>
      <c r="C748" s="14" t="s">
        <v>158</v>
      </c>
      <c r="D748" s="15" t="s">
        <v>159</v>
      </c>
      <c r="G748" s="7" t="s">
        <v>30</v>
      </c>
      <c r="H748" s="7">
        <v>0</v>
      </c>
      <c r="I748" s="7">
        <v>0</v>
      </c>
      <c r="J748" s="8" t="e">
        <f t="shared" si="11"/>
        <v>#DIV/0!</v>
      </c>
      <c r="T748" s="14" t="s">
        <v>158</v>
      </c>
    </row>
    <row r="749" spans="1:20" x14ac:dyDescent="0.25">
      <c r="A749" s="15" t="s">
        <v>407</v>
      </c>
      <c r="B749" s="15" t="s">
        <v>359</v>
      </c>
      <c r="C749" s="15" t="s">
        <v>387</v>
      </c>
      <c r="D749" s="15" t="s">
        <v>388</v>
      </c>
      <c r="F749" s="7" t="s">
        <v>30</v>
      </c>
      <c r="H749" s="7">
        <v>0</v>
      </c>
      <c r="I749" s="7">
        <v>0</v>
      </c>
      <c r="J749" s="8" t="e">
        <f t="shared" si="11"/>
        <v>#DIV/0!</v>
      </c>
      <c r="T749" s="15" t="s">
        <v>387</v>
      </c>
    </row>
    <row r="750" spans="1:20" x14ac:dyDescent="0.25">
      <c r="A750" s="15" t="s">
        <v>407</v>
      </c>
      <c r="B750" s="15" t="s">
        <v>359</v>
      </c>
      <c r="C750" s="15" t="s">
        <v>389</v>
      </c>
      <c r="D750" s="15" t="s">
        <v>390</v>
      </c>
      <c r="F750" s="7" t="s">
        <v>30</v>
      </c>
      <c r="H750" s="7">
        <v>0</v>
      </c>
      <c r="I750" s="7">
        <v>0</v>
      </c>
      <c r="J750" s="8" t="e">
        <f t="shared" si="11"/>
        <v>#DIV/0!</v>
      </c>
      <c r="T750" s="15" t="s">
        <v>389</v>
      </c>
    </row>
    <row r="751" spans="1:20" x14ac:dyDescent="0.25">
      <c r="A751" s="15" t="s">
        <v>407</v>
      </c>
      <c r="B751" s="15" t="s">
        <v>359</v>
      </c>
      <c r="C751" s="15" t="s">
        <v>426</v>
      </c>
      <c r="D751" s="15" t="s">
        <v>393</v>
      </c>
      <c r="F751" s="7" t="s">
        <v>30</v>
      </c>
      <c r="H751" s="7">
        <v>0</v>
      </c>
      <c r="I751" s="7">
        <v>0</v>
      </c>
      <c r="J751" s="8" t="e">
        <f t="shared" si="11"/>
        <v>#DIV/0!</v>
      </c>
      <c r="T751" s="15" t="s">
        <v>425</v>
      </c>
    </row>
    <row r="752" spans="1:20" x14ac:dyDescent="0.25">
      <c r="A752" s="15" t="s">
        <v>407</v>
      </c>
      <c r="B752" s="15" t="s">
        <v>359</v>
      </c>
      <c r="C752" s="14" t="s">
        <v>296</v>
      </c>
      <c r="D752" s="15" t="s">
        <v>220</v>
      </c>
      <c r="F752" s="7" t="s">
        <v>30</v>
      </c>
      <c r="H752" s="7">
        <v>0</v>
      </c>
      <c r="I752" s="7">
        <v>0</v>
      </c>
      <c r="J752" s="8" t="e">
        <f t="shared" si="11"/>
        <v>#DIV/0!</v>
      </c>
      <c r="T752" s="14" t="s">
        <v>296</v>
      </c>
    </row>
    <row r="753" spans="1:20" x14ac:dyDescent="0.25">
      <c r="A753" s="15" t="s">
        <v>407</v>
      </c>
      <c r="B753" s="15" t="s">
        <v>359</v>
      </c>
      <c r="C753" s="15" t="s">
        <v>427</v>
      </c>
      <c r="D753" s="15" t="s">
        <v>397</v>
      </c>
      <c r="F753" s="7" t="s">
        <v>30</v>
      </c>
      <c r="H753" s="7">
        <v>0</v>
      </c>
      <c r="I753" s="7">
        <v>0</v>
      </c>
      <c r="J753" s="8" t="e">
        <f t="shared" si="11"/>
        <v>#DIV/0!</v>
      </c>
      <c r="T753" s="15" t="s">
        <v>427</v>
      </c>
    </row>
    <row r="754" spans="1:20" x14ac:dyDescent="0.25">
      <c r="A754" s="15" t="s">
        <v>407</v>
      </c>
      <c r="B754" s="15" t="s">
        <v>359</v>
      </c>
      <c r="C754" s="15" t="s">
        <v>399</v>
      </c>
      <c r="D754" s="15" t="s">
        <v>400</v>
      </c>
      <c r="F754" s="7" t="s">
        <v>30</v>
      </c>
      <c r="G754" s="7" t="s">
        <v>30</v>
      </c>
      <c r="H754" s="7">
        <v>0</v>
      </c>
      <c r="I754" s="7">
        <v>0</v>
      </c>
      <c r="J754" s="8" t="e">
        <f t="shared" si="11"/>
        <v>#DIV/0!</v>
      </c>
      <c r="T754" s="15" t="s">
        <v>398</v>
      </c>
    </row>
    <row r="755" spans="1:20" x14ac:dyDescent="0.25">
      <c r="A755" s="15" t="s">
        <v>407</v>
      </c>
      <c r="B755" s="15" t="s">
        <v>359</v>
      </c>
      <c r="C755" s="15" t="s">
        <v>429</v>
      </c>
      <c r="D755" s="15" t="s">
        <v>324</v>
      </c>
      <c r="F755" s="7" t="s">
        <v>30</v>
      </c>
      <c r="G755" s="7" t="s">
        <v>30</v>
      </c>
      <c r="H755" s="7">
        <v>0</v>
      </c>
      <c r="I755" s="7">
        <v>0</v>
      </c>
      <c r="J755" s="8" t="e">
        <f t="shared" si="11"/>
        <v>#DIV/0!</v>
      </c>
      <c r="T755" s="15" t="s">
        <v>428</v>
      </c>
    </row>
    <row r="756" spans="1:20" x14ac:dyDescent="0.25">
      <c r="A756" s="15" t="s">
        <v>407</v>
      </c>
      <c r="B756" s="15" t="s">
        <v>359</v>
      </c>
      <c r="C756" s="15" t="s">
        <v>402</v>
      </c>
      <c r="D756" s="15" t="s">
        <v>319</v>
      </c>
      <c r="F756" s="7" t="s">
        <v>30</v>
      </c>
      <c r="G756" s="7" t="s">
        <v>30</v>
      </c>
      <c r="H756" s="7">
        <v>0</v>
      </c>
      <c r="I756" s="7">
        <v>0</v>
      </c>
      <c r="J756" s="8" t="e">
        <f t="shared" si="11"/>
        <v>#DIV/0!</v>
      </c>
      <c r="T756" s="15" t="s">
        <v>402</v>
      </c>
    </row>
    <row r="757" spans="1:20" x14ac:dyDescent="0.25">
      <c r="A757" s="15" t="s">
        <v>407</v>
      </c>
      <c r="B757" s="15" t="s">
        <v>359</v>
      </c>
      <c r="C757" s="15" t="s">
        <v>430</v>
      </c>
      <c r="D757" s="15" t="s">
        <v>233</v>
      </c>
      <c r="F757" s="7" t="s">
        <v>30</v>
      </c>
      <c r="G757" s="7" t="s">
        <v>30</v>
      </c>
      <c r="H757" s="7">
        <v>0</v>
      </c>
      <c r="I757" s="7">
        <v>0</v>
      </c>
      <c r="J757" s="8" t="e">
        <f t="shared" si="11"/>
        <v>#DIV/0!</v>
      </c>
      <c r="T757" s="15" t="s">
        <v>430</v>
      </c>
    </row>
    <row r="758" spans="1:20" x14ac:dyDescent="0.25">
      <c r="A758" s="15" t="s">
        <v>407</v>
      </c>
      <c r="B758" s="15" t="s">
        <v>359</v>
      </c>
      <c r="C758" s="15" t="s">
        <v>315</v>
      </c>
      <c r="D758" s="15" t="s">
        <v>171</v>
      </c>
      <c r="G758" s="7" t="s">
        <v>30</v>
      </c>
      <c r="H758" s="7">
        <v>9</v>
      </c>
      <c r="I758" s="7">
        <v>5</v>
      </c>
      <c r="J758" s="8">
        <f t="shared" si="11"/>
        <v>0.6428571428571429</v>
      </c>
      <c r="L758" s="7" t="s">
        <v>30</v>
      </c>
      <c r="T758" s="15" t="s">
        <v>288</v>
      </c>
    </row>
    <row r="759" spans="1:20" x14ac:dyDescent="0.25">
      <c r="A759" s="15" t="s">
        <v>407</v>
      </c>
      <c r="B759" s="15" t="s">
        <v>359</v>
      </c>
      <c r="C759" s="15" t="s">
        <v>188</v>
      </c>
      <c r="D759" s="15" t="s">
        <v>187</v>
      </c>
      <c r="F759" s="7" t="s">
        <v>30</v>
      </c>
      <c r="G759" s="7" t="s">
        <v>30</v>
      </c>
      <c r="H759" s="7">
        <v>9</v>
      </c>
      <c r="I759" s="7">
        <v>5</v>
      </c>
      <c r="J759" s="8">
        <f t="shared" si="11"/>
        <v>0.6428571428571429</v>
      </c>
      <c r="L759" s="7" t="s">
        <v>30</v>
      </c>
      <c r="T759" s="15" t="s">
        <v>188</v>
      </c>
    </row>
    <row r="760" spans="1:20" x14ac:dyDescent="0.25">
      <c r="A760" s="15" t="s">
        <v>407</v>
      </c>
      <c r="B760" s="15" t="s">
        <v>359</v>
      </c>
      <c r="C760" s="14" t="s">
        <v>257</v>
      </c>
      <c r="D760" s="15" t="s">
        <v>215</v>
      </c>
      <c r="G760" s="7" t="s">
        <v>30</v>
      </c>
      <c r="H760" s="7">
        <v>8</v>
      </c>
      <c r="I760" s="7">
        <v>6</v>
      </c>
      <c r="J760" s="8">
        <f t="shared" si="11"/>
        <v>0.5714285714285714</v>
      </c>
      <c r="L760" s="7" t="s">
        <v>30</v>
      </c>
      <c r="T760" s="14" t="s">
        <v>257</v>
      </c>
    </row>
    <row r="761" spans="1:20" x14ac:dyDescent="0.25">
      <c r="A761" s="15" t="s">
        <v>407</v>
      </c>
      <c r="B761" s="15" t="s">
        <v>359</v>
      </c>
      <c r="C761" s="14" t="s">
        <v>169</v>
      </c>
      <c r="D761" s="15" t="s">
        <v>161</v>
      </c>
      <c r="G761" s="7" t="s">
        <v>30</v>
      </c>
      <c r="H761" s="7">
        <v>8</v>
      </c>
      <c r="I761" s="7">
        <v>6</v>
      </c>
      <c r="J761" s="8">
        <f t="shared" si="11"/>
        <v>0.5714285714285714</v>
      </c>
      <c r="T761" s="14" t="s">
        <v>169</v>
      </c>
    </row>
    <row r="762" spans="1:20" x14ac:dyDescent="0.25">
      <c r="A762" s="15" t="s">
        <v>407</v>
      </c>
      <c r="B762" s="15" t="s">
        <v>359</v>
      </c>
      <c r="C762" s="15" t="s">
        <v>404</v>
      </c>
      <c r="D762" s="15" t="s">
        <v>171</v>
      </c>
      <c r="G762" s="7" t="s">
        <v>30</v>
      </c>
      <c r="H762" s="7">
        <v>8</v>
      </c>
      <c r="I762" s="7">
        <v>6</v>
      </c>
      <c r="J762" s="8">
        <f t="shared" si="11"/>
        <v>0.5714285714285714</v>
      </c>
      <c r="L762" s="7" t="s">
        <v>30</v>
      </c>
      <c r="T762" s="15" t="s">
        <v>176</v>
      </c>
    </row>
    <row r="763" spans="1:20" x14ac:dyDescent="0.25">
      <c r="A763" s="15" t="s">
        <v>407</v>
      </c>
      <c r="B763" s="15" t="s">
        <v>359</v>
      </c>
      <c r="C763" s="15" t="s">
        <v>347</v>
      </c>
      <c r="D763" s="15" t="s">
        <v>154</v>
      </c>
      <c r="G763" s="7" t="s">
        <v>30</v>
      </c>
      <c r="H763" s="7">
        <v>8</v>
      </c>
      <c r="I763" s="7">
        <v>6</v>
      </c>
      <c r="J763" s="8">
        <f t="shared" si="11"/>
        <v>0.5714285714285714</v>
      </c>
      <c r="T763" s="14" t="s">
        <v>581</v>
      </c>
    </row>
    <row r="764" spans="1:20" x14ac:dyDescent="0.25">
      <c r="A764" s="15" t="s">
        <v>407</v>
      </c>
      <c r="B764" s="15" t="s">
        <v>359</v>
      </c>
      <c r="C764" s="15" t="s">
        <v>308</v>
      </c>
      <c r="D764" s="15" t="s">
        <v>157</v>
      </c>
      <c r="G764" s="7" t="s">
        <v>30</v>
      </c>
      <c r="H764" s="7">
        <v>8</v>
      </c>
      <c r="I764" s="7">
        <v>6</v>
      </c>
      <c r="J764" s="8">
        <f t="shared" si="11"/>
        <v>0.5714285714285714</v>
      </c>
      <c r="T764" s="14" t="s">
        <v>178</v>
      </c>
    </row>
    <row r="765" spans="1:20" x14ac:dyDescent="0.25">
      <c r="A765" s="15" t="s">
        <v>407</v>
      </c>
      <c r="B765" s="15" t="s">
        <v>359</v>
      </c>
      <c r="C765" s="15" t="s">
        <v>309</v>
      </c>
      <c r="D765" s="15" t="s">
        <v>152</v>
      </c>
      <c r="G765" s="7" t="s">
        <v>30</v>
      </c>
      <c r="H765" s="7">
        <v>6</v>
      </c>
      <c r="I765" s="7">
        <v>8</v>
      </c>
      <c r="J765" s="8">
        <f t="shared" si="11"/>
        <v>0.42857142857142855</v>
      </c>
      <c r="T765" s="15" t="s">
        <v>309</v>
      </c>
    </row>
    <row r="766" spans="1:20" x14ac:dyDescent="0.25">
      <c r="A766" s="15" t="s">
        <v>407</v>
      </c>
      <c r="B766" s="15" t="s">
        <v>359</v>
      </c>
      <c r="C766" s="15" t="s">
        <v>316</v>
      </c>
      <c r="D766" s="15" t="s">
        <v>173</v>
      </c>
      <c r="G766" s="7" t="s">
        <v>30</v>
      </c>
      <c r="H766" s="7">
        <v>4</v>
      </c>
      <c r="I766" s="7">
        <v>10</v>
      </c>
      <c r="J766" s="8">
        <f t="shared" si="11"/>
        <v>0.2857142857142857</v>
      </c>
      <c r="T766" s="15" t="s">
        <v>316</v>
      </c>
    </row>
    <row r="767" spans="1:20" x14ac:dyDescent="0.25">
      <c r="A767" s="15" t="s">
        <v>407</v>
      </c>
      <c r="B767" s="15" t="s">
        <v>359</v>
      </c>
      <c r="C767" s="15" t="s">
        <v>353</v>
      </c>
      <c r="D767" s="15" t="s">
        <v>243</v>
      </c>
      <c r="G767" s="7" t="s">
        <v>30</v>
      </c>
      <c r="H767" s="7">
        <v>3</v>
      </c>
      <c r="I767" s="7">
        <v>11</v>
      </c>
      <c r="J767" s="8">
        <f t="shared" si="11"/>
        <v>0.21428571428571427</v>
      </c>
      <c r="T767" s="15" t="s">
        <v>241</v>
      </c>
    </row>
    <row r="768" spans="1:20" x14ac:dyDescent="0.25">
      <c r="A768" s="15" t="s">
        <v>407</v>
      </c>
      <c r="B768" s="15" t="s">
        <v>359</v>
      </c>
      <c r="C768" s="15" t="s">
        <v>406</v>
      </c>
      <c r="D768" s="15" t="s">
        <v>326</v>
      </c>
      <c r="G768" s="7" t="s">
        <v>30</v>
      </c>
      <c r="H768" s="7">
        <v>2</v>
      </c>
      <c r="I768" s="7">
        <v>12</v>
      </c>
      <c r="J768" s="8">
        <f t="shared" si="11"/>
        <v>0.14285714285714285</v>
      </c>
      <c r="T768" s="15" t="s">
        <v>406</v>
      </c>
    </row>
    <row r="769" spans="1:20" x14ac:dyDescent="0.25">
      <c r="A769" s="15" t="s">
        <v>407</v>
      </c>
      <c r="B769" s="15" t="s">
        <v>359</v>
      </c>
      <c r="C769" s="15" t="s">
        <v>431</v>
      </c>
      <c r="D769" s="15" t="s">
        <v>154</v>
      </c>
      <c r="G769" s="7" t="s">
        <v>30</v>
      </c>
      <c r="H769" s="7">
        <v>1</v>
      </c>
      <c r="I769" s="7">
        <v>13</v>
      </c>
      <c r="J769" s="8">
        <f t="shared" si="11"/>
        <v>7.1428571428571425E-2</v>
      </c>
      <c r="T769" s="14" t="s">
        <v>267</v>
      </c>
    </row>
    <row r="770" spans="1:20" x14ac:dyDescent="0.25">
      <c r="A770" s="15" t="s">
        <v>432</v>
      </c>
      <c r="B770" s="15" t="s">
        <v>359</v>
      </c>
      <c r="C770" s="14" t="s">
        <v>149</v>
      </c>
      <c r="D770" s="15" t="s">
        <v>152</v>
      </c>
      <c r="H770" s="7">
        <v>11</v>
      </c>
      <c r="I770" s="7">
        <v>3</v>
      </c>
      <c r="J770" s="8">
        <f t="shared" ref="J770:J833" si="12">H770/SUM(H770:I770)</f>
        <v>0.7857142857142857</v>
      </c>
      <c r="L770" s="7" t="s">
        <v>30</v>
      </c>
      <c r="M770" s="7" t="s">
        <v>30</v>
      </c>
      <c r="N770" s="7" t="s">
        <v>30</v>
      </c>
      <c r="T770" s="14" t="s">
        <v>149</v>
      </c>
    </row>
    <row r="771" spans="1:20" x14ac:dyDescent="0.25">
      <c r="A771" s="15" t="s">
        <v>432</v>
      </c>
      <c r="B771" s="15" t="s">
        <v>359</v>
      </c>
      <c r="C771" s="14" t="s">
        <v>162</v>
      </c>
      <c r="D771" s="15" t="s">
        <v>152</v>
      </c>
      <c r="G771" s="7" t="s">
        <v>30</v>
      </c>
      <c r="H771" s="7">
        <v>9</v>
      </c>
      <c r="I771" s="7">
        <v>5</v>
      </c>
      <c r="J771" s="8">
        <f t="shared" si="12"/>
        <v>0.6428571428571429</v>
      </c>
      <c r="L771" s="7" t="s">
        <v>30</v>
      </c>
      <c r="M771" s="7" t="s">
        <v>30</v>
      </c>
      <c r="T771" s="15" t="s">
        <v>162</v>
      </c>
    </row>
    <row r="772" spans="1:20" x14ac:dyDescent="0.25">
      <c r="A772" s="15" t="s">
        <v>432</v>
      </c>
      <c r="B772" s="15" t="s">
        <v>359</v>
      </c>
      <c r="C772" s="15" t="s">
        <v>431</v>
      </c>
      <c r="D772" s="15" t="s">
        <v>154</v>
      </c>
      <c r="G772" s="7" t="s">
        <v>30</v>
      </c>
      <c r="H772" s="7">
        <v>9</v>
      </c>
      <c r="I772" s="7">
        <v>5</v>
      </c>
      <c r="J772" s="8">
        <f t="shared" si="12"/>
        <v>0.6428571428571429</v>
      </c>
      <c r="L772" s="7" t="s">
        <v>30</v>
      </c>
      <c r="M772" s="7" t="s">
        <v>30</v>
      </c>
      <c r="N772" s="7" t="s">
        <v>30</v>
      </c>
      <c r="O772" s="16" t="s">
        <v>30</v>
      </c>
      <c r="T772" s="14" t="s">
        <v>267</v>
      </c>
    </row>
    <row r="773" spans="1:20" x14ac:dyDescent="0.25">
      <c r="A773" s="15" t="s">
        <v>432</v>
      </c>
      <c r="B773" s="15" t="s">
        <v>359</v>
      </c>
      <c r="C773" s="15" t="s">
        <v>347</v>
      </c>
      <c r="D773" s="15" t="s">
        <v>154</v>
      </c>
      <c r="G773" s="7" t="s">
        <v>30</v>
      </c>
      <c r="H773" s="7">
        <v>8</v>
      </c>
      <c r="I773" s="7">
        <v>6</v>
      </c>
      <c r="J773" s="8">
        <f t="shared" si="12"/>
        <v>0.5714285714285714</v>
      </c>
      <c r="L773" s="7" t="s">
        <v>30</v>
      </c>
      <c r="M773" s="7" t="s">
        <v>30</v>
      </c>
      <c r="T773" s="14" t="s">
        <v>581</v>
      </c>
    </row>
    <row r="774" spans="1:20" x14ac:dyDescent="0.25">
      <c r="A774" s="15" t="s">
        <v>432</v>
      </c>
      <c r="B774" s="15" t="s">
        <v>359</v>
      </c>
      <c r="C774" s="15" t="s">
        <v>433</v>
      </c>
      <c r="D774" s="15" t="s">
        <v>361</v>
      </c>
      <c r="F774" s="7" t="s">
        <v>30</v>
      </c>
      <c r="H774" s="7">
        <v>0</v>
      </c>
      <c r="I774" s="7">
        <v>0</v>
      </c>
      <c r="J774" s="8" t="e">
        <f t="shared" si="12"/>
        <v>#DIV/0!</v>
      </c>
      <c r="T774" s="15" t="s">
        <v>433</v>
      </c>
    </row>
    <row r="775" spans="1:20" x14ac:dyDescent="0.25">
      <c r="A775" s="15" t="s">
        <v>432</v>
      </c>
      <c r="B775" s="15" t="s">
        <v>359</v>
      </c>
      <c r="C775" s="15" t="s">
        <v>434</v>
      </c>
      <c r="D775" s="15" t="s">
        <v>364</v>
      </c>
      <c r="F775" s="7" t="s">
        <v>30</v>
      </c>
      <c r="G775" s="7" t="s">
        <v>30</v>
      </c>
      <c r="H775" s="7">
        <v>0</v>
      </c>
      <c r="I775" s="7">
        <v>0</v>
      </c>
      <c r="J775" s="8" t="e">
        <f t="shared" si="12"/>
        <v>#DIV/0!</v>
      </c>
      <c r="T775" s="15" t="s">
        <v>362</v>
      </c>
    </row>
    <row r="776" spans="1:20" x14ac:dyDescent="0.25">
      <c r="A776" s="15" t="s">
        <v>432</v>
      </c>
      <c r="B776" s="15" t="s">
        <v>359</v>
      </c>
      <c r="C776" s="15" t="s">
        <v>435</v>
      </c>
      <c r="D776" s="15" t="s">
        <v>436</v>
      </c>
      <c r="F776" s="7" t="s">
        <v>30</v>
      </c>
      <c r="G776" s="7" t="s">
        <v>30</v>
      </c>
      <c r="H776" s="7">
        <v>0</v>
      </c>
      <c r="I776" s="7">
        <v>0</v>
      </c>
      <c r="J776" s="8" t="e">
        <f t="shared" si="12"/>
        <v>#DIV/0!</v>
      </c>
      <c r="T776" s="15" t="s">
        <v>435</v>
      </c>
    </row>
    <row r="777" spans="1:20" x14ac:dyDescent="0.25">
      <c r="A777" s="15" t="s">
        <v>432</v>
      </c>
      <c r="B777" s="15" t="s">
        <v>359</v>
      </c>
      <c r="C777" s="15" t="s">
        <v>415</v>
      </c>
      <c r="D777" s="15" t="s">
        <v>368</v>
      </c>
      <c r="F777" s="7" t="s">
        <v>30</v>
      </c>
      <c r="G777" s="7" t="s">
        <v>30</v>
      </c>
      <c r="H777" s="7">
        <v>0</v>
      </c>
      <c r="I777" s="7">
        <v>0</v>
      </c>
      <c r="J777" s="8" t="e">
        <f t="shared" si="12"/>
        <v>#DIV/0!</v>
      </c>
      <c r="T777" s="15" t="s">
        <v>415</v>
      </c>
    </row>
    <row r="778" spans="1:20" x14ac:dyDescent="0.25">
      <c r="A778" s="15" t="s">
        <v>432</v>
      </c>
      <c r="B778" s="15" t="s">
        <v>359</v>
      </c>
      <c r="C778" s="15" t="s">
        <v>356</v>
      </c>
      <c r="D778" s="15" t="s">
        <v>215</v>
      </c>
      <c r="F778" s="7" t="s">
        <v>30</v>
      </c>
      <c r="G778" s="7" t="s">
        <v>30</v>
      </c>
      <c r="H778" s="7">
        <v>0</v>
      </c>
      <c r="I778" s="7">
        <v>0</v>
      </c>
      <c r="J778" s="8" t="e">
        <f t="shared" si="12"/>
        <v>#DIV/0!</v>
      </c>
      <c r="T778" s="15" t="s">
        <v>310</v>
      </c>
    </row>
    <row r="779" spans="1:20" x14ac:dyDescent="0.25">
      <c r="A779" s="15" t="s">
        <v>432</v>
      </c>
      <c r="B779" s="15" t="s">
        <v>359</v>
      </c>
      <c r="C779" s="15" t="s">
        <v>437</v>
      </c>
      <c r="D779" s="15" t="s">
        <v>371</v>
      </c>
      <c r="F779" s="7" t="s">
        <v>30</v>
      </c>
      <c r="H779" s="7">
        <v>0</v>
      </c>
      <c r="I779" s="7">
        <v>0</v>
      </c>
      <c r="J779" s="8" t="e">
        <f t="shared" si="12"/>
        <v>#DIV/0!</v>
      </c>
      <c r="T779" s="15" t="s">
        <v>437</v>
      </c>
    </row>
    <row r="780" spans="1:20" x14ac:dyDescent="0.25">
      <c r="A780" s="15" t="s">
        <v>432</v>
      </c>
      <c r="B780" s="15" t="s">
        <v>359</v>
      </c>
      <c r="C780" s="15" t="s">
        <v>438</v>
      </c>
      <c r="D780" s="15" t="s">
        <v>374</v>
      </c>
      <c r="F780" s="7" t="s">
        <v>30</v>
      </c>
      <c r="G780" s="7" t="s">
        <v>30</v>
      </c>
      <c r="H780" s="7">
        <v>0</v>
      </c>
      <c r="I780" s="7">
        <v>0</v>
      </c>
      <c r="J780" s="8" t="e">
        <f t="shared" si="12"/>
        <v>#DIV/0!</v>
      </c>
      <c r="T780" s="15" t="s">
        <v>438</v>
      </c>
    </row>
    <row r="781" spans="1:20" x14ac:dyDescent="0.25">
      <c r="A781" s="15" t="s">
        <v>432</v>
      </c>
      <c r="B781" s="15" t="s">
        <v>359</v>
      </c>
      <c r="C781" s="15" t="s">
        <v>377</v>
      </c>
      <c r="D781" s="15" t="s">
        <v>378</v>
      </c>
      <c r="F781" s="7" t="s">
        <v>30</v>
      </c>
      <c r="H781" s="7">
        <v>0</v>
      </c>
      <c r="I781" s="7">
        <v>0</v>
      </c>
      <c r="J781" s="8" t="e">
        <f t="shared" si="12"/>
        <v>#DIV/0!</v>
      </c>
      <c r="T781" s="15" t="s">
        <v>377</v>
      </c>
    </row>
    <row r="782" spans="1:20" x14ac:dyDescent="0.25">
      <c r="A782" s="15" t="s">
        <v>432</v>
      </c>
      <c r="B782" s="15" t="s">
        <v>359</v>
      </c>
      <c r="C782" s="15" t="s">
        <v>420</v>
      </c>
      <c r="D782" s="15" t="s">
        <v>380</v>
      </c>
      <c r="F782" s="7" t="s">
        <v>30</v>
      </c>
      <c r="H782" s="7">
        <v>0</v>
      </c>
      <c r="I782" s="7">
        <v>0</v>
      </c>
      <c r="J782" s="8" t="e">
        <f t="shared" si="12"/>
        <v>#DIV/0!</v>
      </c>
      <c r="T782" s="15" t="s">
        <v>420</v>
      </c>
    </row>
    <row r="783" spans="1:20" x14ac:dyDescent="0.25">
      <c r="A783" s="15" t="s">
        <v>432</v>
      </c>
      <c r="B783" s="15" t="s">
        <v>359</v>
      </c>
      <c r="C783" s="15" t="s">
        <v>439</v>
      </c>
      <c r="D783" s="15" t="s">
        <v>385</v>
      </c>
      <c r="F783" s="7" t="s">
        <v>30</v>
      </c>
      <c r="H783" s="7">
        <v>0</v>
      </c>
      <c r="I783" s="7">
        <v>0</v>
      </c>
      <c r="J783" s="8" t="e">
        <f t="shared" si="12"/>
        <v>#DIV/0!</v>
      </c>
      <c r="T783" s="15" t="s">
        <v>383</v>
      </c>
    </row>
    <row r="784" spans="1:20" x14ac:dyDescent="0.25">
      <c r="A784" s="15" t="s">
        <v>432</v>
      </c>
      <c r="B784" s="15" t="s">
        <v>359</v>
      </c>
      <c r="C784" s="15" t="s">
        <v>440</v>
      </c>
      <c r="D784" s="15" t="s">
        <v>441</v>
      </c>
      <c r="F784" s="7" t="s">
        <v>30</v>
      </c>
      <c r="H784" s="7">
        <v>0</v>
      </c>
      <c r="I784" s="7">
        <v>0</v>
      </c>
      <c r="J784" s="8" t="e">
        <f t="shared" si="12"/>
        <v>#DIV/0!</v>
      </c>
      <c r="T784" s="15" t="s">
        <v>440</v>
      </c>
    </row>
    <row r="785" spans="1:20" x14ac:dyDescent="0.25">
      <c r="A785" s="15" t="s">
        <v>432</v>
      </c>
      <c r="B785" s="15" t="s">
        <v>359</v>
      </c>
      <c r="C785" s="15" t="s">
        <v>386</v>
      </c>
      <c r="D785" s="15" t="s">
        <v>161</v>
      </c>
      <c r="G785" s="7" t="s">
        <v>30</v>
      </c>
      <c r="H785" s="7">
        <v>0</v>
      </c>
      <c r="I785" s="7">
        <v>0</v>
      </c>
      <c r="J785" s="8" t="e">
        <f t="shared" si="12"/>
        <v>#DIV/0!</v>
      </c>
      <c r="T785" s="15" t="s">
        <v>386</v>
      </c>
    </row>
    <row r="786" spans="1:20" x14ac:dyDescent="0.25">
      <c r="A786" s="15" t="s">
        <v>432</v>
      </c>
      <c r="B786" s="15" t="s">
        <v>359</v>
      </c>
      <c r="C786" s="15" t="s">
        <v>160</v>
      </c>
      <c r="D786" s="15" t="s">
        <v>161</v>
      </c>
      <c r="F786" s="7" t="s">
        <v>30</v>
      </c>
      <c r="H786" s="7">
        <v>0</v>
      </c>
      <c r="I786" s="7">
        <v>0</v>
      </c>
      <c r="J786" s="8" t="e">
        <f t="shared" si="12"/>
        <v>#DIV/0!</v>
      </c>
      <c r="T786" s="15" t="s">
        <v>160</v>
      </c>
    </row>
    <row r="787" spans="1:20" x14ac:dyDescent="0.25">
      <c r="A787" s="15" t="s">
        <v>432</v>
      </c>
      <c r="B787" s="15" t="s">
        <v>359</v>
      </c>
      <c r="C787" s="15" t="s">
        <v>423</v>
      </c>
      <c r="D787" s="15" t="s">
        <v>424</v>
      </c>
      <c r="F787" s="7" t="s">
        <v>30</v>
      </c>
      <c r="G787" s="7" t="s">
        <v>30</v>
      </c>
      <c r="H787" s="7">
        <v>0</v>
      </c>
      <c r="I787" s="7">
        <v>0</v>
      </c>
      <c r="J787" s="8" t="e">
        <f t="shared" si="12"/>
        <v>#DIV/0!</v>
      </c>
      <c r="T787" s="15" t="s">
        <v>423</v>
      </c>
    </row>
    <row r="788" spans="1:20" x14ac:dyDescent="0.25">
      <c r="A788" s="15" t="s">
        <v>432</v>
      </c>
      <c r="B788" s="15" t="s">
        <v>359</v>
      </c>
      <c r="C788" s="14" t="s">
        <v>158</v>
      </c>
      <c r="D788" s="15" t="s">
        <v>159</v>
      </c>
      <c r="F788" s="7" t="s">
        <v>30</v>
      </c>
      <c r="G788" s="7" t="s">
        <v>30</v>
      </c>
      <c r="H788" s="7">
        <v>0</v>
      </c>
      <c r="I788" s="7">
        <v>0</v>
      </c>
      <c r="J788" s="8" t="e">
        <f t="shared" si="12"/>
        <v>#DIV/0!</v>
      </c>
      <c r="T788" s="14" t="s">
        <v>158</v>
      </c>
    </row>
    <row r="789" spans="1:20" x14ac:dyDescent="0.25">
      <c r="A789" s="15" t="s">
        <v>432</v>
      </c>
      <c r="B789" s="15" t="s">
        <v>359</v>
      </c>
      <c r="C789" s="15" t="s">
        <v>387</v>
      </c>
      <c r="D789" s="15" t="s">
        <v>388</v>
      </c>
      <c r="F789" s="7" t="s">
        <v>30</v>
      </c>
      <c r="H789" s="7">
        <v>0</v>
      </c>
      <c r="I789" s="7">
        <v>0</v>
      </c>
      <c r="J789" s="8" t="e">
        <f t="shared" si="12"/>
        <v>#DIV/0!</v>
      </c>
      <c r="T789" s="15" t="s">
        <v>387</v>
      </c>
    </row>
    <row r="790" spans="1:20" x14ac:dyDescent="0.25">
      <c r="A790" s="15" t="s">
        <v>432</v>
      </c>
      <c r="B790" s="15" t="s">
        <v>359</v>
      </c>
      <c r="C790" s="15" t="s">
        <v>389</v>
      </c>
      <c r="D790" s="15" t="s">
        <v>390</v>
      </c>
      <c r="F790" s="7" t="s">
        <v>30</v>
      </c>
      <c r="G790" s="7" t="s">
        <v>30</v>
      </c>
      <c r="H790" s="7">
        <v>0</v>
      </c>
      <c r="I790" s="7">
        <v>0</v>
      </c>
      <c r="J790" s="8" t="e">
        <f t="shared" si="12"/>
        <v>#DIV/0!</v>
      </c>
      <c r="T790" s="15" t="s">
        <v>389</v>
      </c>
    </row>
    <row r="791" spans="1:20" x14ac:dyDescent="0.25">
      <c r="A791" s="15" t="s">
        <v>432</v>
      </c>
      <c r="B791" s="15" t="s">
        <v>359</v>
      </c>
      <c r="C791" s="15" t="s">
        <v>443</v>
      </c>
      <c r="D791" s="15" t="s">
        <v>393</v>
      </c>
      <c r="F791" s="7" t="s">
        <v>30</v>
      </c>
      <c r="G791" s="7" t="s">
        <v>30</v>
      </c>
      <c r="H791" s="7">
        <v>0</v>
      </c>
      <c r="I791" s="7">
        <v>0</v>
      </c>
      <c r="J791" s="8" t="e">
        <f t="shared" si="12"/>
        <v>#DIV/0!</v>
      </c>
      <c r="T791" s="15" t="s">
        <v>442</v>
      </c>
    </row>
    <row r="792" spans="1:20" x14ac:dyDescent="0.25">
      <c r="A792" s="15" t="s">
        <v>432</v>
      </c>
      <c r="B792" s="15" t="s">
        <v>359</v>
      </c>
      <c r="C792" s="14" t="s">
        <v>296</v>
      </c>
      <c r="D792" s="15" t="s">
        <v>220</v>
      </c>
      <c r="F792" s="7" t="s">
        <v>30</v>
      </c>
      <c r="H792" s="7">
        <v>0</v>
      </c>
      <c r="I792" s="7">
        <v>0</v>
      </c>
      <c r="J792" s="8" t="e">
        <f t="shared" si="12"/>
        <v>#DIV/0!</v>
      </c>
      <c r="T792" s="14" t="s">
        <v>296</v>
      </c>
    </row>
    <row r="793" spans="1:20" x14ac:dyDescent="0.25">
      <c r="A793" s="15" t="s">
        <v>432</v>
      </c>
      <c r="B793" s="15" t="s">
        <v>359</v>
      </c>
      <c r="C793" s="15" t="s">
        <v>444</v>
      </c>
      <c r="D793" s="15" t="s">
        <v>397</v>
      </c>
      <c r="F793" s="7" t="s">
        <v>30</v>
      </c>
      <c r="H793" s="7">
        <v>0</v>
      </c>
      <c r="I793" s="7">
        <v>0</v>
      </c>
      <c r="J793" s="8" t="e">
        <f t="shared" si="12"/>
        <v>#DIV/0!</v>
      </c>
      <c r="T793" s="15" t="s">
        <v>444</v>
      </c>
    </row>
    <row r="794" spans="1:20" x14ac:dyDescent="0.25">
      <c r="A794" s="15" t="s">
        <v>432</v>
      </c>
      <c r="B794" s="15" t="s">
        <v>359</v>
      </c>
      <c r="C794" s="15" t="s">
        <v>188</v>
      </c>
      <c r="D794" s="15" t="s">
        <v>187</v>
      </c>
      <c r="F794" s="7" t="s">
        <v>30</v>
      </c>
      <c r="H794" s="7">
        <v>0</v>
      </c>
      <c r="I794" s="7">
        <v>0</v>
      </c>
      <c r="J794" s="8" t="e">
        <f t="shared" si="12"/>
        <v>#DIV/0!</v>
      </c>
      <c r="T794" s="15" t="s">
        <v>188</v>
      </c>
    </row>
    <row r="795" spans="1:20" x14ac:dyDescent="0.25">
      <c r="A795" s="15" t="s">
        <v>432</v>
      </c>
      <c r="B795" s="15" t="s">
        <v>359</v>
      </c>
      <c r="C795" s="15" t="s">
        <v>445</v>
      </c>
      <c r="D795" s="15" t="s">
        <v>400</v>
      </c>
      <c r="F795" s="7" t="s">
        <v>30</v>
      </c>
      <c r="H795" s="7">
        <v>0</v>
      </c>
      <c r="I795" s="7">
        <v>0</v>
      </c>
      <c r="J795" s="8" t="e">
        <f t="shared" si="12"/>
        <v>#DIV/0!</v>
      </c>
      <c r="T795" s="15" t="s">
        <v>445</v>
      </c>
    </row>
    <row r="796" spans="1:20" x14ac:dyDescent="0.25">
      <c r="A796" s="15" t="s">
        <v>432</v>
      </c>
      <c r="B796" s="15" t="s">
        <v>359</v>
      </c>
      <c r="C796" s="15" t="s">
        <v>353</v>
      </c>
      <c r="D796" s="15" t="s">
        <v>243</v>
      </c>
      <c r="F796" s="7" t="s">
        <v>30</v>
      </c>
      <c r="G796" s="7" t="s">
        <v>30</v>
      </c>
      <c r="H796" s="7">
        <v>0</v>
      </c>
      <c r="I796" s="7">
        <v>0</v>
      </c>
      <c r="J796" s="8" t="e">
        <f t="shared" si="12"/>
        <v>#DIV/0!</v>
      </c>
      <c r="T796" s="15" t="s">
        <v>241</v>
      </c>
    </row>
    <row r="797" spans="1:20" x14ac:dyDescent="0.25">
      <c r="A797" s="15" t="s">
        <v>432</v>
      </c>
      <c r="B797" s="15" t="s">
        <v>359</v>
      </c>
      <c r="C797" s="15" t="s">
        <v>402</v>
      </c>
      <c r="D797" s="15" t="s">
        <v>319</v>
      </c>
      <c r="F797" s="7" t="s">
        <v>30</v>
      </c>
      <c r="G797" s="7" t="s">
        <v>30</v>
      </c>
      <c r="H797" s="7">
        <v>0</v>
      </c>
      <c r="I797" s="7">
        <v>0</v>
      </c>
      <c r="J797" s="8" t="e">
        <f t="shared" si="12"/>
        <v>#DIV/0!</v>
      </c>
      <c r="T797" s="15" t="s">
        <v>402</v>
      </c>
    </row>
    <row r="798" spans="1:20" x14ac:dyDescent="0.25">
      <c r="A798" s="15" t="s">
        <v>432</v>
      </c>
      <c r="B798" s="15" t="s">
        <v>359</v>
      </c>
      <c r="C798" s="15" t="s">
        <v>232</v>
      </c>
      <c r="D798" s="15" t="s">
        <v>233</v>
      </c>
      <c r="F798" s="7" t="s">
        <v>30</v>
      </c>
      <c r="H798" s="7">
        <v>0</v>
      </c>
      <c r="I798" s="7">
        <v>0</v>
      </c>
      <c r="J798" s="8" t="e">
        <f t="shared" si="12"/>
        <v>#DIV/0!</v>
      </c>
      <c r="T798" s="15" t="s">
        <v>231</v>
      </c>
    </row>
    <row r="799" spans="1:20" x14ac:dyDescent="0.25">
      <c r="A799" s="15" t="s">
        <v>432</v>
      </c>
      <c r="B799" s="15" t="s">
        <v>359</v>
      </c>
      <c r="C799" s="15" t="s">
        <v>308</v>
      </c>
      <c r="D799" s="15" t="s">
        <v>157</v>
      </c>
      <c r="G799" s="7" t="s">
        <v>30</v>
      </c>
      <c r="H799" s="7">
        <v>10</v>
      </c>
      <c r="I799" s="7">
        <v>4</v>
      </c>
      <c r="J799" s="8">
        <f t="shared" si="12"/>
        <v>0.7142857142857143</v>
      </c>
      <c r="L799" s="7" t="s">
        <v>30</v>
      </c>
      <c r="T799" s="14" t="s">
        <v>178</v>
      </c>
    </row>
    <row r="800" spans="1:20" x14ac:dyDescent="0.25">
      <c r="A800" s="15" t="s">
        <v>432</v>
      </c>
      <c r="B800" s="15" t="s">
        <v>359</v>
      </c>
      <c r="C800" s="14" t="s">
        <v>257</v>
      </c>
      <c r="D800" s="15" t="s">
        <v>215</v>
      </c>
      <c r="G800" s="7" t="s">
        <v>30</v>
      </c>
      <c r="H800" s="7">
        <v>9</v>
      </c>
      <c r="I800" s="7">
        <v>5</v>
      </c>
      <c r="J800" s="8">
        <f t="shared" si="12"/>
        <v>0.6428571428571429</v>
      </c>
      <c r="T800" s="14" t="s">
        <v>257</v>
      </c>
    </row>
    <row r="801" spans="1:20" x14ac:dyDescent="0.25">
      <c r="A801" s="15" t="s">
        <v>432</v>
      </c>
      <c r="B801" s="15" t="s">
        <v>359</v>
      </c>
      <c r="C801" s="15" t="s">
        <v>216</v>
      </c>
      <c r="D801" s="15" t="s">
        <v>164</v>
      </c>
      <c r="H801" s="7">
        <v>9</v>
      </c>
      <c r="I801" s="7">
        <v>5</v>
      </c>
      <c r="J801" s="8">
        <f t="shared" si="12"/>
        <v>0.6428571428571429</v>
      </c>
      <c r="L801" s="7" t="s">
        <v>30</v>
      </c>
      <c r="T801" s="15" t="s">
        <v>216</v>
      </c>
    </row>
    <row r="802" spans="1:20" x14ac:dyDescent="0.25">
      <c r="A802" s="15" t="s">
        <v>432</v>
      </c>
      <c r="B802" s="15" t="s">
        <v>359</v>
      </c>
      <c r="C802" s="15" t="s">
        <v>404</v>
      </c>
      <c r="D802" s="15" t="s">
        <v>171</v>
      </c>
      <c r="H802" s="7">
        <v>9</v>
      </c>
      <c r="I802" s="7">
        <v>5</v>
      </c>
      <c r="J802" s="8">
        <f t="shared" si="12"/>
        <v>0.6428571428571429</v>
      </c>
      <c r="L802" s="7" t="s">
        <v>30</v>
      </c>
      <c r="T802" s="15" t="s">
        <v>176</v>
      </c>
    </row>
    <row r="803" spans="1:20" x14ac:dyDescent="0.25">
      <c r="A803" s="15" t="s">
        <v>432</v>
      </c>
      <c r="B803" s="15" t="s">
        <v>359</v>
      </c>
      <c r="C803" s="15" t="s">
        <v>331</v>
      </c>
      <c r="D803" s="15" t="s">
        <v>154</v>
      </c>
      <c r="H803" s="7">
        <v>9</v>
      </c>
      <c r="I803" s="7">
        <v>5</v>
      </c>
      <c r="J803" s="8">
        <f t="shared" si="12"/>
        <v>0.6428571428571429</v>
      </c>
      <c r="L803" s="7" t="s">
        <v>30</v>
      </c>
      <c r="T803" s="14" t="s">
        <v>155</v>
      </c>
    </row>
    <row r="804" spans="1:20" x14ac:dyDescent="0.25">
      <c r="A804" s="15" t="s">
        <v>432</v>
      </c>
      <c r="B804" s="15" t="s">
        <v>359</v>
      </c>
      <c r="C804" s="15" t="s">
        <v>446</v>
      </c>
      <c r="D804" s="15" t="s">
        <v>251</v>
      </c>
      <c r="G804" s="7" t="s">
        <v>30</v>
      </c>
      <c r="H804" s="7">
        <v>8</v>
      </c>
      <c r="I804" s="7">
        <v>6</v>
      </c>
      <c r="J804" s="8">
        <f t="shared" si="12"/>
        <v>0.5714285714285714</v>
      </c>
      <c r="T804" s="15" t="s">
        <v>411</v>
      </c>
    </row>
    <row r="805" spans="1:20" x14ac:dyDescent="0.25">
      <c r="A805" s="15" t="s">
        <v>432</v>
      </c>
      <c r="B805" s="15" t="s">
        <v>359</v>
      </c>
      <c r="C805" s="15" t="s">
        <v>278</v>
      </c>
      <c r="D805" s="15" t="s">
        <v>171</v>
      </c>
      <c r="G805" s="7" t="s">
        <v>30</v>
      </c>
      <c r="H805" s="7">
        <v>7</v>
      </c>
      <c r="I805" s="7">
        <v>7</v>
      </c>
      <c r="J805" s="8">
        <f t="shared" si="12"/>
        <v>0.5</v>
      </c>
      <c r="T805" s="15" t="s">
        <v>278</v>
      </c>
    </row>
    <row r="806" spans="1:20" x14ac:dyDescent="0.25">
      <c r="A806" s="15" t="s">
        <v>432</v>
      </c>
      <c r="B806" s="15" t="s">
        <v>359</v>
      </c>
      <c r="C806" s="15" t="s">
        <v>406</v>
      </c>
      <c r="D806" s="15" t="s">
        <v>326</v>
      </c>
      <c r="F806" s="7" t="s">
        <v>30</v>
      </c>
      <c r="G806" s="7" t="s">
        <v>30</v>
      </c>
      <c r="H806" s="7">
        <v>5</v>
      </c>
      <c r="I806" s="7">
        <v>9</v>
      </c>
      <c r="J806" s="8">
        <f t="shared" si="12"/>
        <v>0.35714285714285715</v>
      </c>
      <c r="T806" s="15" t="s">
        <v>406</v>
      </c>
    </row>
    <row r="807" spans="1:20" x14ac:dyDescent="0.25">
      <c r="A807" s="15" t="s">
        <v>432</v>
      </c>
      <c r="B807" s="15" t="s">
        <v>359</v>
      </c>
      <c r="C807" s="15" t="s">
        <v>316</v>
      </c>
      <c r="D807" s="15" t="s">
        <v>173</v>
      </c>
      <c r="G807" s="7" t="s">
        <v>30</v>
      </c>
      <c r="H807" s="7">
        <v>4</v>
      </c>
      <c r="I807" s="7">
        <v>10</v>
      </c>
      <c r="J807" s="8">
        <f t="shared" si="12"/>
        <v>0.2857142857142857</v>
      </c>
      <c r="T807" s="15" t="s">
        <v>316</v>
      </c>
    </row>
    <row r="808" spans="1:20" x14ac:dyDescent="0.25">
      <c r="A808" s="15" t="s">
        <v>432</v>
      </c>
      <c r="B808" s="15" t="s">
        <v>359</v>
      </c>
      <c r="C808" s="14" t="s">
        <v>280</v>
      </c>
      <c r="D808" s="15" t="s">
        <v>164</v>
      </c>
      <c r="G808" s="7" t="s">
        <v>30</v>
      </c>
      <c r="H808" s="7">
        <v>3</v>
      </c>
      <c r="I808" s="7">
        <v>11</v>
      </c>
      <c r="J808" s="8">
        <f t="shared" si="12"/>
        <v>0.21428571428571427</v>
      </c>
      <c r="T808" s="14" t="s">
        <v>279</v>
      </c>
    </row>
    <row r="809" spans="1:20" x14ac:dyDescent="0.25">
      <c r="A809" s="15" t="s">
        <v>432</v>
      </c>
      <c r="B809" s="15" t="s">
        <v>359</v>
      </c>
      <c r="C809" s="15" t="s">
        <v>447</v>
      </c>
      <c r="D809" s="15" t="s">
        <v>171</v>
      </c>
      <c r="G809" s="7" t="s">
        <v>30</v>
      </c>
      <c r="H809" s="7">
        <v>2</v>
      </c>
      <c r="I809" s="7">
        <v>12</v>
      </c>
      <c r="J809" s="8">
        <f t="shared" si="12"/>
        <v>0.14285714285714285</v>
      </c>
      <c r="T809" s="14" t="s">
        <v>239</v>
      </c>
    </row>
    <row r="810" spans="1:20" x14ac:dyDescent="0.25">
      <c r="A810" s="15" t="s">
        <v>432</v>
      </c>
      <c r="B810" s="15" t="s">
        <v>359</v>
      </c>
      <c r="C810" s="15" t="s">
        <v>448</v>
      </c>
      <c r="D810" s="15" t="s">
        <v>376</v>
      </c>
      <c r="F810" s="7" t="s">
        <v>30</v>
      </c>
      <c r="G810" s="7" t="s">
        <v>30</v>
      </c>
      <c r="H810" s="7">
        <v>0</v>
      </c>
      <c r="I810" s="7">
        <v>14</v>
      </c>
      <c r="J810" s="8">
        <f t="shared" si="12"/>
        <v>0</v>
      </c>
      <c r="T810" s="15" t="s">
        <v>448</v>
      </c>
    </row>
    <row r="811" spans="1:20" x14ac:dyDescent="0.25">
      <c r="A811" s="15" t="s">
        <v>449</v>
      </c>
      <c r="B811" s="15" t="s">
        <v>359</v>
      </c>
      <c r="C811" s="15" t="s">
        <v>331</v>
      </c>
      <c r="D811" s="15" t="s">
        <v>154</v>
      </c>
      <c r="G811" s="7" t="s">
        <v>30</v>
      </c>
      <c r="H811" s="7">
        <v>12</v>
      </c>
      <c r="I811" s="7">
        <v>2</v>
      </c>
      <c r="J811" s="8">
        <f t="shared" si="12"/>
        <v>0.8571428571428571</v>
      </c>
      <c r="L811" s="7" t="s">
        <v>30</v>
      </c>
      <c r="M811" s="7" t="s">
        <v>30</v>
      </c>
      <c r="T811" s="14" t="s">
        <v>155</v>
      </c>
    </row>
    <row r="812" spans="1:20" x14ac:dyDescent="0.25">
      <c r="A812" s="15" t="s">
        <v>449</v>
      </c>
      <c r="B812" s="15" t="s">
        <v>359</v>
      </c>
      <c r="C812" s="15" t="s">
        <v>278</v>
      </c>
      <c r="D812" s="15" t="s">
        <v>171</v>
      </c>
      <c r="H812" s="7">
        <v>10</v>
      </c>
      <c r="I812" s="7">
        <v>4</v>
      </c>
      <c r="J812" s="8">
        <f t="shared" si="12"/>
        <v>0.7142857142857143</v>
      </c>
      <c r="L812" s="7" t="s">
        <v>30</v>
      </c>
      <c r="M812" s="7" t="s">
        <v>30</v>
      </c>
      <c r="N812" s="7" t="s">
        <v>30</v>
      </c>
      <c r="T812" s="15" t="s">
        <v>278</v>
      </c>
    </row>
    <row r="813" spans="1:20" x14ac:dyDescent="0.25">
      <c r="A813" s="15" t="s">
        <v>449</v>
      </c>
      <c r="B813" s="15" t="s">
        <v>359</v>
      </c>
      <c r="C813" s="15" t="s">
        <v>309</v>
      </c>
      <c r="D813" s="15" t="s">
        <v>152</v>
      </c>
      <c r="F813" s="7" t="s">
        <v>30</v>
      </c>
      <c r="G813" s="7" t="s">
        <v>30</v>
      </c>
      <c r="H813" s="7">
        <v>8</v>
      </c>
      <c r="I813" s="7">
        <v>4</v>
      </c>
      <c r="J813" s="8">
        <f t="shared" si="12"/>
        <v>0.66666666666666663</v>
      </c>
      <c r="L813" s="7" t="s">
        <v>30</v>
      </c>
      <c r="M813" s="7" t="s">
        <v>30</v>
      </c>
      <c r="T813" s="15" t="s">
        <v>309</v>
      </c>
    </row>
    <row r="814" spans="1:20" x14ac:dyDescent="0.25">
      <c r="A814" s="15" t="s">
        <v>449</v>
      </c>
      <c r="B814" s="15" t="s">
        <v>359</v>
      </c>
      <c r="C814" s="15" t="s">
        <v>216</v>
      </c>
      <c r="D814" s="15" t="s">
        <v>164</v>
      </c>
      <c r="G814" s="7" t="s">
        <v>30</v>
      </c>
      <c r="H814" s="7">
        <v>7</v>
      </c>
      <c r="I814" s="7">
        <v>5</v>
      </c>
      <c r="J814" s="8">
        <f t="shared" si="12"/>
        <v>0.58333333333333337</v>
      </c>
      <c r="L814" s="7" t="s">
        <v>30</v>
      </c>
      <c r="M814" s="7" t="s">
        <v>30</v>
      </c>
      <c r="N814" s="7" t="s">
        <v>30</v>
      </c>
      <c r="O814" s="16" t="s">
        <v>30</v>
      </c>
      <c r="T814" s="15" t="s">
        <v>216</v>
      </c>
    </row>
    <row r="815" spans="1:20" x14ac:dyDescent="0.25">
      <c r="A815" s="15" t="s">
        <v>449</v>
      </c>
      <c r="B815" s="15" t="s">
        <v>359</v>
      </c>
      <c r="C815" s="15" t="s">
        <v>450</v>
      </c>
      <c r="D815" s="15" t="s">
        <v>361</v>
      </c>
      <c r="F815" s="7" t="s">
        <v>30</v>
      </c>
      <c r="H815" s="7">
        <v>0</v>
      </c>
      <c r="I815" s="7">
        <v>0</v>
      </c>
      <c r="J815" s="8" t="e">
        <f t="shared" si="12"/>
        <v>#DIV/0!</v>
      </c>
      <c r="T815" s="15" t="s">
        <v>450</v>
      </c>
    </row>
    <row r="816" spans="1:20" x14ac:dyDescent="0.25">
      <c r="A816" s="15" t="s">
        <v>449</v>
      </c>
      <c r="B816" s="15" t="s">
        <v>359</v>
      </c>
      <c r="C816" s="15" t="s">
        <v>452</v>
      </c>
      <c r="D816" s="15" t="s">
        <v>364</v>
      </c>
      <c r="F816" s="7" t="s">
        <v>30</v>
      </c>
      <c r="H816" s="7">
        <v>0</v>
      </c>
      <c r="I816" s="7">
        <v>0</v>
      </c>
      <c r="J816" s="8" t="e">
        <f t="shared" si="12"/>
        <v>#DIV/0!</v>
      </c>
      <c r="T816" s="15" t="s">
        <v>451</v>
      </c>
    </row>
    <row r="817" spans="1:20" x14ac:dyDescent="0.25">
      <c r="A817" s="15" t="s">
        <v>449</v>
      </c>
      <c r="B817" s="15" t="s">
        <v>359</v>
      </c>
      <c r="C817" s="15" t="s">
        <v>453</v>
      </c>
      <c r="D817" s="15" t="s">
        <v>368</v>
      </c>
      <c r="F817" s="7" t="s">
        <v>30</v>
      </c>
      <c r="G817" s="7" t="s">
        <v>30</v>
      </c>
      <c r="H817" s="7">
        <v>0</v>
      </c>
      <c r="I817" s="7">
        <v>0</v>
      </c>
      <c r="J817" s="8" t="e">
        <f t="shared" si="12"/>
        <v>#DIV/0!</v>
      </c>
      <c r="T817" s="15" t="s">
        <v>453</v>
      </c>
    </row>
    <row r="818" spans="1:20" x14ac:dyDescent="0.25">
      <c r="A818" s="15" t="s">
        <v>449</v>
      </c>
      <c r="B818" s="15" t="s">
        <v>359</v>
      </c>
      <c r="C818" s="15" t="s">
        <v>416</v>
      </c>
      <c r="D818" s="15" t="s">
        <v>371</v>
      </c>
      <c r="F818" s="7" t="s">
        <v>30</v>
      </c>
      <c r="H818" s="7">
        <v>0</v>
      </c>
      <c r="I818" s="7">
        <v>0</v>
      </c>
      <c r="J818" s="8" t="e">
        <f t="shared" si="12"/>
        <v>#DIV/0!</v>
      </c>
      <c r="T818" s="15" t="s">
        <v>416</v>
      </c>
    </row>
    <row r="819" spans="1:20" x14ac:dyDescent="0.25">
      <c r="A819" s="15" t="s">
        <v>449</v>
      </c>
      <c r="B819" s="15" t="s">
        <v>359</v>
      </c>
      <c r="C819" s="15" t="s">
        <v>438</v>
      </c>
      <c r="D819" s="15" t="s">
        <v>454</v>
      </c>
      <c r="F819" s="7" t="s">
        <v>30</v>
      </c>
      <c r="G819" s="7" t="s">
        <v>30</v>
      </c>
      <c r="H819" s="7">
        <v>0</v>
      </c>
      <c r="I819" s="7">
        <v>0</v>
      </c>
      <c r="J819" s="8" t="e">
        <f t="shared" si="12"/>
        <v>#DIV/0!</v>
      </c>
      <c r="T819" s="15" t="s">
        <v>438</v>
      </c>
    </row>
    <row r="820" spans="1:20" x14ac:dyDescent="0.25">
      <c r="A820" s="15" t="s">
        <v>449</v>
      </c>
      <c r="B820" s="15" t="s">
        <v>359</v>
      </c>
      <c r="C820" s="15" t="s">
        <v>448</v>
      </c>
      <c r="D820" s="15" t="s">
        <v>376</v>
      </c>
      <c r="F820" s="7" t="s">
        <v>30</v>
      </c>
      <c r="G820" s="7" t="s">
        <v>30</v>
      </c>
      <c r="H820" s="7">
        <v>0</v>
      </c>
      <c r="I820" s="7">
        <v>0</v>
      </c>
      <c r="J820" s="8" t="e">
        <f t="shared" si="12"/>
        <v>#DIV/0!</v>
      </c>
      <c r="T820" s="15" t="s">
        <v>448</v>
      </c>
    </row>
    <row r="821" spans="1:20" x14ac:dyDescent="0.25">
      <c r="A821" s="15" t="s">
        <v>449</v>
      </c>
      <c r="B821" s="15" t="s">
        <v>359</v>
      </c>
      <c r="C821" s="15" t="s">
        <v>377</v>
      </c>
      <c r="D821" s="15" t="s">
        <v>378</v>
      </c>
      <c r="F821" s="7" t="s">
        <v>30</v>
      </c>
      <c r="H821" s="7">
        <v>0</v>
      </c>
      <c r="I821" s="7">
        <v>0</v>
      </c>
      <c r="J821" s="8" t="e">
        <f t="shared" si="12"/>
        <v>#DIV/0!</v>
      </c>
      <c r="T821" s="15" t="s">
        <v>377</v>
      </c>
    </row>
    <row r="822" spans="1:20" x14ac:dyDescent="0.25">
      <c r="A822" s="15" t="s">
        <v>449</v>
      </c>
      <c r="B822" s="15" t="s">
        <v>359</v>
      </c>
      <c r="C822" s="15" t="s">
        <v>455</v>
      </c>
      <c r="D822" s="15" t="s">
        <v>380</v>
      </c>
      <c r="F822" s="7" t="s">
        <v>30</v>
      </c>
      <c r="G822" s="7" t="s">
        <v>30</v>
      </c>
      <c r="H822" s="7">
        <v>0</v>
      </c>
      <c r="I822" s="7">
        <v>0</v>
      </c>
      <c r="J822" s="8" t="e">
        <f t="shared" si="12"/>
        <v>#DIV/0!</v>
      </c>
      <c r="T822" s="15" t="s">
        <v>455</v>
      </c>
    </row>
    <row r="823" spans="1:20" x14ac:dyDescent="0.25">
      <c r="A823" s="15" t="s">
        <v>449</v>
      </c>
      <c r="B823" s="15" t="s">
        <v>359</v>
      </c>
      <c r="C823" s="15" t="s">
        <v>381</v>
      </c>
      <c r="D823" s="15" t="s">
        <v>382</v>
      </c>
      <c r="F823" s="7" t="s">
        <v>30</v>
      </c>
      <c r="H823" s="7">
        <v>0</v>
      </c>
      <c r="I823" s="7">
        <v>0</v>
      </c>
      <c r="J823" s="8" t="e">
        <f t="shared" si="12"/>
        <v>#DIV/0!</v>
      </c>
      <c r="T823" s="15" t="s">
        <v>381</v>
      </c>
    </row>
    <row r="824" spans="1:20" x14ac:dyDescent="0.25">
      <c r="A824" s="15" t="s">
        <v>449</v>
      </c>
      <c r="B824" s="15" t="s">
        <v>359</v>
      </c>
      <c r="C824" s="15" t="s">
        <v>457</v>
      </c>
      <c r="D824" s="15" t="s">
        <v>385</v>
      </c>
      <c r="F824" s="7" t="s">
        <v>30</v>
      </c>
      <c r="H824" s="7">
        <v>0</v>
      </c>
      <c r="I824" s="7">
        <v>0</v>
      </c>
      <c r="J824" s="8" t="e">
        <f t="shared" si="12"/>
        <v>#DIV/0!</v>
      </c>
      <c r="T824" s="15" t="s">
        <v>456</v>
      </c>
    </row>
    <row r="825" spans="1:20" x14ac:dyDescent="0.25">
      <c r="A825" s="15" t="s">
        <v>449</v>
      </c>
      <c r="B825" s="15" t="s">
        <v>359</v>
      </c>
      <c r="C825" s="15" t="s">
        <v>440</v>
      </c>
      <c r="D825" s="15" t="s">
        <v>441</v>
      </c>
      <c r="F825" s="7" t="s">
        <v>30</v>
      </c>
      <c r="H825" s="7">
        <v>0</v>
      </c>
      <c r="I825" s="7">
        <v>0</v>
      </c>
      <c r="J825" s="8" t="e">
        <f t="shared" si="12"/>
        <v>#DIV/0!</v>
      </c>
      <c r="T825" s="15" t="s">
        <v>440</v>
      </c>
    </row>
    <row r="826" spans="1:20" x14ac:dyDescent="0.25">
      <c r="A826" s="15" t="s">
        <v>449</v>
      </c>
      <c r="B826" s="15" t="s">
        <v>359</v>
      </c>
      <c r="C826" s="15" t="s">
        <v>160</v>
      </c>
      <c r="D826" s="15" t="s">
        <v>161</v>
      </c>
      <c r="G826" s="7" t="s">
        <v>30</v>
      </c>
      <c r="H826" s="7">
        <v>0</v>
      </c>
      <c r="I826" s="7">
        <v>0</v>
      </c>
      <c r="J826" s="8" t="e">
        <f t="shared" si="12"/>
        <v>#DIV/0!</v>
      </c>
      <c r="T826" s="15" t="s">
        <v>160</v>
      </c>
    </row>
    <row r="827" spans="1:20" x14ac:dyDescent="0.25">
      <c r="A827" s="15" t="s">
        <v>449</v>
      </c>
      <c r="B827" s="15" t="s">
        <v>359</v>
      </c>
      <c r="C827" s="15" t="s">
        <v>423</v>
      </c>
      <c r="D827" s="15" t="s">
        <v>424</v>
      </c>
      <c r="G827" s="7" t="s">
        <v>30</v>
      </c>
      <c r="H827" s="7">
        <v>0</v>
      </c>
      <c r="I827" s="7">
        <v>0</v>
      </c>
      <c r="J827" s="8" t="e">
        <f t="shared" si="12"/>
        <v>#DIV/0!</v>
      </c>
      <c r="T827" s="15" t="s">
        <v>423</v>
      </c>
    </row>
    <row r="828" spans="1:20" x14ac:dyDescent="0.25">
      <c r="A828" s="15" t="s">
        <v>449</v>
      </c>
      <c r="B828" s="15" t="s">
        <v>359</v>
      </c>
      <c r="C828" s="14" t="s">
        <v>158</v>
      </c>
      <c r="D828" s="15" t="s">
        <v>159</v>
      </c>
      <c r="F828" s="7" t="s">
        <v>30</v>
      </c>
      <c r="H828" s="7">
        <v>0</v>
      </c>
      <c r="I828" s="7">
        <v>0</v>
      </c>
      <c r="J828" s="8" t="e">
        <f t="shared" si="12"/>
        <v>#DIV/0!</v>
      </c>
      <c r="T828" s="14" t="s">
        <v>158</v>
      </c>
    </row>
    <row r="829" spans="1:20" x14ac:dyDescent="0.25">
      <c r="A829" s="15" t="s">
        <v>449</v>
      </c>
      <c r="B829" s="15" t="s">
        <v>359</v>
      </c>
      <c r="C829" s="15" t="s">
        <v>458</v>
      </c>
      <c r="D829" s="15" t="s">
        <v>388</v>
      </c>
      <c r="F829" s="7" t="s">
        <v>30</v>
      </c>
      <c r="H829" s="7">
        <v>0</v>
      </c>
      <c r="I829" s="7">
        <v>0</v>
      </c>
      <c r="J829" s="8" t="e">
        <f t="shared" si="12"/>
        <v>#DIV/0!</v>
      </c>
      <c r="T829" s="15" t="s">
        <v>458</v>
      </c>
    </row>
    <row r="830" spans="1:20" x14ac:dyDescent="0.25">
      <c r="A830" s="15" t="s">
        <v>449</v>
      </c>
      <c r="B830" s="15" t="s">
        <v>359</v>
      </c>
      <c r="C830" s="15" t="s">
        <v>459</v>
      </c>
      <c r="D830" s="15" t="s">
        <v>393</v>
      </c>
      <c r="F830" s="7" t="s">
        <v>30</v>
      </c>
      <c r="H830" s="7">
        <v>0</v>
      </c>
      <c r="I830" s="7">
        <v>0</v>
      </c>
      <c r="J830" s="8" t="e">
        <f t="shared" si="12"/>
        <v>#DIV/0!</v>
      </c>
      <c r="T830" s="15" t="s">
        <v>391</v>
      </c>
    </row>
    <row r="831" spans="1:20" x14ac:dyDescent="0.25">
      <c r="A831" s="15" t="s">
        <v>449</v>
      </c>
      <c r="B831" s="15" t="s">
        <v>359</v>
      </c>
      <c r="C831" s="14" t="s">
        <v>296</v>
      </c>
      <c r="D831" s="15" t="s">
        <v>220</v>
      </c>
      <c r="F831" s="7" t="s">
        <v>30</v>
      </c>
      <c r="G831" s="7" t="s">
        <v>30</v>
      </c>
      <c r="H831" s="7">
        <v>0</v>
      </c>
      <c r="I831" s="7">
        <v>0</v>
      </c>
      <c r="J831" s="8" t="e">
        <f t="shared" si="12"/>
        <v>#DIV/0!</v>
      </c>
      <c r="T831" s="14" t="s">
        <v>296</v>
      </c>
    </row>
    <row r="832" spans="1:20" x14ac:dyDescent="0.25">
      <c r="A832" s="15" t="s">
        <v>449</v>
      </c>
      <c r="B832" s="15" t="s">
        <v>359</v>
      </c>
      <c r="C832" s="15" t="s">
        <v>406</v>
      </c>
      <c r="D832" s="15" t="s">
        <v>326</v>
      </c>
      <c r="F832" s="7" t="s">
        <v>30</v>
      </c>
      <c r="G832" s="7" t="s">
        <v>30</v>
      </c>
      <c r="H832" s="7">
        <v>0</v>
      </c>
      <c r="I832" s="7">
        <v>0</v>
      </c>
      <c r="J832" s="8" t="e">
        <f t="shared" si="12"/>
        <v>#DIV/0!</v>
      </c>
      <c r="T832" s="15" t="s">
        <v>406</v>
      </c>
    </row>
    <row r="833" spans="1:20" x14ac:dyDescent="0.25">
      <c r="A833" s="15" t="s">
        <v>449</v>
      </c>
      <c r="B833" s="15" t="s">
        <v>359</v>
      </c>
      <c r="C833" s="15" t="s">
        <v>444</v>
      </c>
      <c r="D833" s="15" t="s">
        <v>397</v>
      </c>
      <c r="F833" s="7" t="s">
        <v>30</v>
      </c>
      <c r="H833" s="7">
        <v>0</v>
      </c>
      <c r="I833" s="7">
        <v>0</v>
      </c>
      <c r="J833" s="8" t="e">
        <f t="shared" si="12"/>
        <v>#DIV/0!</v>
      </c>
      <c r="T833" s="15" t="s">
        <v>444</v>
      </c>
    </row>
    <row r="834" spans="1:20" x14ac:dyDescent="0.25">
      <c r="A834" s="15" t="s">
        <v>449</v>
      </c>
      <c r="B834" s="15" t="s">
        <v>359</v>
      </c>
      <c r="C834" s="15" t="s">
        <v>188</v>
      </c>
      <c r="D834" s="15" t="s">
        <v>187</v>
      </c>
      <c r="F834" s="7" t="s">
        <v>30</v>
      </c>
      <c r="G834" s="7" t="s">
        <v>30</v>
      </c>
      <c r="H834" s="7">
        <v>0</v>
      </c>
      <c r="I834" s="7">
        <v>0</v>
      </c>
      <c r="J834" s="8" t="e">
        <f t="shared" ref="J834:J897" si="13">H834/SUM(H834:I834)</f>
        <v>#DIV/0!</v>
      </c>
      <c r="T834" s="15" t="s">
        <v>188</v>
      </c>
    </row>
    <row r="835" spans="1:20" x14ac:dyDescent="0.25">
      <c r="A835" s="15" t="s">
        <v>449</v>
      </c>
      <c r="B835" s="15" t="s">
        <v>359</v>
      </c>
      <c r="C835" s="15" t="s">
        <v>353</v>
      </c>
      <c r="D835" s="15" t="s">
        <v>243</v>
      </c>
      <c r="F835" s="7" t="s">
        <v>30</v>
      </c>
      <c r="G835" s="7" t="s">
        <v>30</v>
      </c>
      <c r="H835" s="7">
        <v>0</v>
      </c>
      <c r="I835" s="7">
        <v>0</v>
      </c>
      <c r="J835" s="8" t="e">
        <f t="shared" si="13"/>
        <v>#DIV/0!</v>
      </c>
      <c r="T835" s="15" t="s">
        <v>241</v>
      </c>
    </row>
    <row r="836" spans="1:20" x14ac:dyDescent="0.25">
      <c r="A836" s="15" t="s">
        <v>449</v>
      </c>
      <c r="B836" s="15" t="s">
        <v>359</v>
      </c>
      <c r="C836" s="15" t="s">
        <v>460</v>
      </c>
      <c r="D836" s="15" t="s">
        <v>324</v>
      </c>
      <c r="F836" s="7" t="s">
        <v>30</v>
      </c>
      <c r="H836" s="7">
        <v>0</v>
      </c>
      <c r="I836" s="7">
        <v>0</v>
      </c>
      <c r="J836" s="8" t="e">
        <f t="shared" si="13"/>
        <v>#DIV/0!</v>
      </c>
      <c r="T836" s="15" t="s">
        <v>460</v>
      </c>
    </row>
    <row r="837" spans="1:20" x14ac:dyDescent="0.25">
      <c r="A837" s="15" t="s">
        <v>449</v>
      </c>
      <c r="B837" s="15" t="s">
        <v>359</v>
      </c>
      <c r="C837" s="15" t="s">
        <v>462</v>
      </c>
      <c r="D837" s="15" t="s">
        <v>319</v>
      </c>
      <c r="F837" s="7" t="s">
        <v>30</v>
      </c>
      <c r="H837" s="7">
        <v>0</v>
      </c>
      <c r="I837" s="7">
        <v>0</v>
      </c>
      <c r="J837" s="8" t="e">
        <f t="shared" si="13"/>
        <v>#DIV/0!</v>
      </c>
      <c r="T837" s="15" t="s">
        <v>461</v>
      </c>
    </row>
    <row r="838" spans="1:20" x14ac:dyDescent="0.25">
      <c r="A838" s="15" t="s">
        <v>449</v>
      </c>
      <c r="B838" s="15" t="s">
        <v>359</v>
      </c>
      <c r="C838" s="15" t="s">
        <v>308</v>
      </c>
      <c r="D838" s="15" t="s">
        <v>157</v>
      </c>
      <c r="F838" s="7" t="s">
        <v>30</v>
      </c>
      <c r="G838" s="7" t="s">
        <v>30</v>
      </c>
      <c r="H838" s="7">
        <v>0</v>
      </c>
      <c r="I838" s="7">
        <v>0</v>
      </c>
      <c r="J838" s="8" t="e">
        <f t="shared" si="13"/>
        <v>#DIV/0!</v>
      </c>
      <c r="T838" s="14" t="s">
        <v>178</v>
      </c>
    </row>
    <row r="839" spans="1:20" x14ac:dyDescent="0.25">
      <c r="A839" s="15" t="s">
        <v>449</v>
      </c>
      <c r="B839" s="15" t="s">
        <v>359</v>
      </c>
      <c r="C839" s="15" t="s">
        <v>232</v>
      </c>
      <c r="D839" s="15" t="s">
        <v>233</v>
      </c>
      <c r="F839" s="7" t="s">
        <v>30</v>
      </c>
      <c r="G839" s="7" t="s">
        <v>30</v>
      </c>
      <c r="H839" s="7">
        <v>0</v>
      </c>
      <c r="I839" s="7">
        <v>0</v>
      </c>
      <c r="J839" s="8" t="e">
        <f t="shared" si="13"/>
        <v>#DIV/0!</v>
      </c>
      <c r="T839" s="15" t="s">
        <v>231</v>
      </c>
    </row>
    <row r="840" spans="1:20" x14ac:dyDescent="0.25">
      <c r="A840" s="15" t="s">
        <v>449</v>
      </c>
      <c r="B840" s="15" t="s">
        <v>359</v>
      </c>
      <c r="C840" s="14" t="s">
        <v>165</v>
      </c>
      <c r="D840" s="15" t="s">
        <v>312</v>
      </c>
      <c r="G840" s="7" t="s">
        <v>30</v>
      </c>
      <c r="H840" s="7">
        <v>0</v>
      </c>
      <c r="I840" s="7">
        <v>0</v>
      </c>
      <c r="J840" s="8" t="e">
        <f t="shared" si="13"/>
        <v>#DIV/0!</v>
      </c>
      <c r="T840" s="14" t="s">
        <v>165</v>
      </c>
    </row>
    <row r="841" spans="1:20" x14ac:dyDescent="0.25">
      <c r="A841" s="15" t="s">
        <v>449</v>
      </c>
      <c r="B841" s="15" t="s">
        <v>359</v>
      </c>
      <c r="C841" s="14" t="s">
        <v>174</v>
      </c>
      <c r="D841" s="15" t="s">
        <v>312</v>
      </c>
      <c r="H841" s="7">
        <v>0</v>
      </c>
      <c r="I841" s="7">
        <v>0</v>
      </c>
      <c r="J841" s="8" t="e">
        <f t="shared" si="13"/>
        <v>#DIV/0!</v>
      </c>
      <c r="T841" s="14" t="s">
        <v>174</v>
      </c>
    </row>
    <row r="842" spans="1:20" x14ac:dyDescent="0.25">
      <c r="A842" s="15" t="s">
        <v>449</v>
      </c>
      <c r="B842" s="15" t="s">
        <v>359</v>
      </c>
      <c r="C842" s="15" t="s">
        <v>315</v>
      </c>
      <c r="D842" s="15" t="s">
        <v>171</v>
      </c>
      <c r="G842" s="7" t="s">
        <v>30</v>
      </c>
      <c r="H842" s="7">
        <v>7</v>
      </c>
      <c r="I842" s="7">
        <v>5</v>
      </c>
      <c r="J842" s="8">
        <f t="shared" si="13"/>
        <v>0.58333333333333337</v>
      </c>
      <c r="L842" s="7" t="s">
        <v>30</v>
      </c>
      <c r="T842" s="15" t="s">
        <v>288</v>
      </c>
    </row>
    <row r="843" spans="1:20" x14ac:dyDescent="0.25">
      <c r="A843" s="15" t="s">
        <v>449</v>
      </c>
      <c r="B843" s="15" t="s">
        <v>359</v>
      </c>
      <c r="C843" s="14" t="s">
        <v>280</v>
      </c>
      <c r="D843" s="15" t="s">
        <v>164</v>
      </c>
      <c r="G843" s="7" t="s">
        <v>30</v>
      </c>
      <c r="H843" s="7">
        <v>8</v>
      </c>
      <c r="I843" s="7">
        <v>6</v>
      </c>
      <c r="J843" s="8">
        <f t="shared" si="13"/>
        <v>0.5714285714285714</v>
      </c>
      <c r="L843" s="7" t="s">
        <v>30</v>
      </c>
      <c r="T843" s="14" t="s">
        <v>279</v>
      </c>
    </row>
    <row r="844" spans="1:20" x14ac:dyDescent="0.25">
      <c r="A844" s="15" t="s">
        <v>449</v>
      </c>
      <c r="B844" s="15" t="s">
        <v>359</v>
      </c>
      <c r="C844" s="15" t="s">
        <v>316</v>
      </c>
      <c r="D844" s="15" t="s">
        <v>173</v>
      </c>
      <c r="F844" s="7" t="s">
        <v>30</v>
      </c>
      <c r="G844" s="7" t="s">
        <v>30</v>
      </c>
      <c r="H844" s="7">
        <v>8</v>
      </c>
      <c r="I844" s="7">
        <v>6</v>
      </c>
      <c r="J844" s="8">
        <f t="shared" si="13"/>
        <v>0.5714285714285714</v>
      </c>
      <c r="T844" s="15" t="s">
        <v>316</v>
      </c>
    </row>
    <row r="845" spans="1:20" x14ac:dyDescent="0.25">
      <c r="A845" s="15" t="s">
        <v>449</v>
      </c>
      <c r="B845" s="15" t="s">
        <v>359</v>
      </c>
      <c r="C845" s="14" t="s">
        <v>149</v>
      </c>
      <c r="D845" s="15" t="s">
        <v>152</v>
      </c>
      <c r="G845" s="7" t="s">
        <v>30</v>
      </c>
      <c r="H845" s="7">
        <v>8</v>
      </c>
      <c r="I845" s="7">
        <v>6</v>
      </c>
      <c r="J845" s="8">
        <f t="shared" si="13"/>
        <v>0.5714285714285714</v>
      </c>
      <c r="L845" s="7" t="s">
        <v>30</v>
      </c>
      <c r="T845" s="14" t="s">
        <v>149</v>
      </c>
    </row>
    <row r="846" spans="1:20" x14ac:dyDescent="0.25">
      <c r="A846" s="15" t="s">
        <v>449</v>
      </c>
      <c r="B846" s="15" t="s">
        <v>359</v>
      </c>
      <c r="C846" s="15" t="s">
        <v>463</v>
      </c>
      <c r="D846" s="15" t="s">
        <v>171</v>
      </c>
      <c r="G846" s="7" t="s">
        <v>30</v>
      </c>
      <c r="H846" s="7">
        <v>6</v>
      </c>
      <c r="I846" s="7">
        <v>6</v>
      </c>
      <c r="J846" s="8">
        <f t="shared" si="13"/>
        <v>0.5</v>
      </c>
      <c r="L846" s="7" t="s">
        <v>30</v>
      </c>
      <c r="T846" s="15" t="s">
        <v>176</v>
      </c>
    </row>
    <row r="847" spans="1:20" x14ac:dyDescent="0.25">
      <c r="A847" s="15" t="s">
        <v>449</v>
      </c>
      <c r="B847" s="15" t="s">
        <v>359</v>
      </c>
      <c r="C847" s="15" t="s">
        <v>464</v>
      </c>
      <c r="D847" s="15" t="s">
        <v>154</v>
      </c>
      <c r="H847" s="7">
        <v>6</v>
      </c>
      <c r="I847" s="7">
        <v>6</v>
      </c>
      <c r="J847" s="8">
        <f t="shared" si="13"/>
        <v>0.5</v>
      </c>
      <c r="T847" s="14" t="s">
        <v>267</v>
      </c>
    </row>
    <row r="848" spans="1:20" x14ac:dyDescent="0.25">
      <c r="A848" s="15" t="s">
        <v>449</v>
      </c>
      <c r="B848" s="15" t="s">
        <v>359</v>
      </c>
      <c r="C848" s="14" t="s">
        <v>257</v>
      </c>
      <c r="D848" s="15" t="s">
        <v>215</v>
      </c>
      <c r="G848" s="7" t="s">
        <v>30</v>
      </c>
      <c r="H848" s="7">
        <v>5</v>
      </c>
      <c r="I848" s="7">
        <v>7</v>
      </c>
      <c r="J848" s="8">
        <f t="shared" si="13"/>
        <v>0.41666666666666669</v>
      </c>
      <c r="T848" s="14" t="s">
        <v>257</v>
      </c>
    </row>
    <row r="849" spans="1:20" x14ac:dyDescent="0.25">
      <c r="A849" s="15" t="s">
        <v>449</v>
      </c>
      <c r="B849" s="15" t="s">
        <v>359</v>
      </c>
      <c r="C849" s="14" t="s">
        <v>303</v>
      </c>
      <c r="D849" s="15" t="s">
        <v>215</v>
      </c>
      <c r="G849" s="7" t="s">
        <v>30</v>
      </c>
      <c r="H849" s="7">
        <v>5</v>
      </c>
      <c r="I849" s="7">
        <v>9</v>
      </c>
      <c r="J849" s="8">
        <f t="shared" si="13"/>
        <v>0.35714285714285715</v>
      </c>
      <c r="T849" s="14" t="s">
        <v>303</v>
      </c>
    </row>
    <row r="850" spans="1:20" x14ac:dyDescent="0.25">
      <c r="A850" s="15" t="s">
        <v>449</v>
      </c>
      <c r="B850" s="15" t="s">
        <v>359</v>
      </c>
      <c r="C850" s="15" t="s">
        <v>355</v>
      </c>
      <c r="D850" s="15" t="s">
        <v>154</v>
      </c>
      <c r="G850" s="7" t="s">
        <v>30</v>
      </c>
      <c r="H850" s="7">
        <v>4</v>
      </c>
      <c r="I850" s="7">
        <v>10</v>
      </c>
      <c r="J850" s="8">
        <f t="shared" si="13"/>
        <v>0.2857142857142857</v>
      </c>
      <c r="T850" s="15" t="s">
        <v>292</v>
      </c>
    </row>
    <row r="851" spans="1:20" x14ac:dyDescent="0.25">
      <c r="A851" s="15" t="s">
        <v>449</v>
      </c>
      <c r="B851" s="15" t="s">
        <v>359</v>
      </c>
      <c r="C851" s="14" t="s">
        <v>169</v>
      </c>
      <c r="D851" s="15" t="s">
        <v>161</v>
      </c>
      <c r="G851" s="7" t="s">
        <v>30</v>
      </c>
      <c r="H851" s="7">
        <v>3</v>
      </c>
      <c r="I851" s="7">
        <v>9</v>
      </c>
      <c r="J851" s="8">
        <f t="shared" si="13"/>
        <v>0.25</v>
      </c>
      <c r="T851" s="14" t="s">
        <v>169</v>
      </c>
    </row>
    <row r="852" spans="1:20" x14ac:dyDescent="0.25">
      <c r="A852" s="15" t="s">
        <v>449</v>
      </c>
      <c r="B852" s="15" t="s">
        <v>359</v>
      </c>
      <c r="C852" s="15" t="s">
        <v>446</v>
      </c>
      <c r="D852" s="15" t="s">
        <v>251</v>
      </c>
      <c r="F852" s="7" t="s">
        <v>30</v>
      </c>
      <c r="G852" s="7" t="s">
        <v>30</v>
      </c>
      <c r="H852" s="7">
        <v>1</v>
      </c>
      <c r="I852" s="7">
        <v>13</v>
      </c>
      <c r="J852" s="8">
        <f t="shared" si="13"/>
        <v>7.1428571428571425E-2</v>
      </c>
      <c r="T852" s="15" t="s">
        <v>411</v>
      </c>
    </row>
    <row r="853" spans="1:20" x14ac:dyDescent="0.25">
      <c r="A853" s="15" t="s">
        <v>465</v>
      </c>
      <c r="B853" s="15" t="s">
        <v>359</v>
      </c>
      <c r="C853" s="15" t="s">
        <v>466</v>
      </c>
      <c r="D853" s="15" t="s">
        <v>154</v>
      </c>
      <c r="H853" s="7">
        <v>11</v>
      </c>
      <c r="I853" s="7">
        <v>3</v>
      </c>
      <c r="J853" s="8">
        <f t="shared" si="13"/>
        <v>0.7857142857142857</v>
      </c>
      <c r="L853" s="7" t="s">
        <v>30</v>
      </c>
      <c r="M853" s="7" t="s">
        <v>30</v>
      </c>
      <c r="N853" s="7" t="s">
        <v>30</v>
      </c>
      <c r="T853" s="14" t="s">
        <v>267</v>
      </c>
    </row>
    <row r="854" spans="1:20" x14ac:dyDescent="0.25">
      <c r="A854" s="15" t="s">
        <v>465</v>
      </c>
      <c r="B854" s="15" t="s">
        <v>359</v>
      </c>
      <c r="C854" s="15" t="s">
        <v>467</v>
      </c>
      <c r="D854" s="15" t="s">
        <v>171</v>
      </c>
      <c r="G854" s="7" t="s">
        <v>30</v>
      </c>
      <c r="H854" s="7">
        <v>10</v>
      </c>
      <c r="I854" s="7">
        <v>4</v>
      </c>
      <c r="J854" s="8">
        <f t="shared" si="13"/>
        <v>0.7142857142857143</v>
      </c>
      <c r="L854" s="7" t="s">
        <v>30</v>
      </c>
      <c r="M854" s="7" t="s">
        <v>30</v>
      </c>
      <c r="T854" s="15" t="s">
        <v>170</v>
      </c>
    </row>
    <row r="855" spans="1:20" x14ac:dyDescent="0.25">
      <c r="A855" s="15" t="s">
        <v>465</v>
      </c>
      <c r="B855" s="15" t="s">
        <v>359</v>
      </c>
      <c r="C855" s="15" t="s">
        <v>355</v>
      </c>
      <c r="D855" s="15" t="s">
        <v>154</v>
      </c>
      <c r="G855" s="7" t="s">
        <v>30</v>
      </c>
      <c r="H855" s="7">
        <v>10</v>
      </c>
      <c r="I855" s="7">
        <v>4</v>
      </c>
      <c r="J855" s="8">
        <f t="shared" si="13"/>
        <v>0.7142857142857143</v>
      </c>
      <c r="L855" s="7" t="s">
        <v>30</v>
      </c>
      <c r="M855" s="7" t="s">
        <v>30</v>
      </c>
      <c r="T855" s="15" t="s">
        <v>292</v>
      </c>
    </row>
    <row r="856" spans="1:20" x14ac:dyDescent="0.25">
      <c r="A856" s="15" t="s">
        <v>465</v>
      </c>
      <c r="B856" s="15" t="s">
        <v>359</v>
      </c>
      <c r="C856" s="15" t="s">
        <v>468</v>
      </c>
      <c r="D856" s="15" t="s">
        <v>154</v>
      </c>
      <c r="G856" s="7" t="s">
        <v>30</v>
      </c>
      <c r="H856" s="7">
        <v>10</v>
      </c>
      <c r="I856" s="7">
        <v>4</v>
      </c>
      <c r="J856" s="8">
        <f t="shared" si="13"/>
        <v>0.7142857142857143</v>
      </c>
      <c r="L856" s="7" t="s">
        <v>30</v>
      </c>
      <c r="M856" s="7" t="s">
        <v>30</v>
      </c>
      <c r="T856" s="15" t="s">
        <v>292</v>
      </c>
    </row>
    <row r="857" spans="1:20" x14ac:dyDescent="0.25">
      <c r="A857" s="15" t="s">
        <v>465</v>
      </c>
      <c r="B857" s="15" t="s">
        <v>359</v>
      </c>
      <c r="C857" s="14" t="s">
        <v>174</v>
      </c>
      <c r="D857" s="15" t="s">
        <v>312</v>
      </c>
      <c r="G857" s="7" t="s">
        <v>30</v>
      </c>
      <c r="H857" s="7">
        <v>9</v>
      </c>
      <c r="I857" s="7">
        <v>5</v>
      </c>
      <c r="J857" s="8">
        <f t="shared" si="13"/>
        <v>0.6428571428571429</v>
      </c>
      <c r="L857" s="7" t="s">
        <v>30</v>
      </c>
      <c r="M857" s="7" t="s">
        <v>30</v>
      </c>
      <c r="N857" s="7" t="s">
        <v>30</v>
      </c>
      <c r="O857" s="16" t="s">
        <v>30</v>
      </c>
      <c r="T857" s="14" t="s">
        <v>174</v>
      </c>
    </row>
    <row r="858" spans="1:20" x14ac:dyDescent="0.25">
      <c r="A858" s="15" t="s">
        <v>465</v>
      </c>
      <c r="B858" s="15" t="s">
        <v>359</v>
      </c>
      <c r="C858" s="15" t="s">
        <v>450</v>
      </c>
      <c r="D858" s="15" t="s">
        <v>361</v>
      </c>
      <c r="F858" s="7" t="s">
        <v>30</v>
      </c>
      <c r="H858" s="7">
        <v>0</v>
      </c>
      <c r="I858" s="7">
        <v>0</v>
      </c>
      <c r="J858" s="8" t="e">
        <f t="shared" si="13"/>
        <v>#DIV/0!</v>
      </c>
      <c r="T858" s="15" t="s">
        <v>450</v>
      </c>
    </row>
    <row r="859" spans="1:20" x14ac:dyDescent="0.25">
      <c r="A859" s="15" t="s">
        <v>465</v>
      </c>
      <c r="B859" s="15" t="s">
        <v>359</v>
      </c>
      <c r="C859" s="15" t="s">
        <v>410</v>
      </c>
      <c r="D859" s="15" t="s">
        <v>364</v>
      </c>
      <c r="F859" s="7" t="s">
        <v>30</v>
      </c>
      <c r="H859" s="7">
        <v>0</v>
      </c>
      <c r="I859" s="7">
        <v>0</v>
      </c>
      <c r="J859" s="8" t="e">
        <f t="shared" si="13"/>
        <v>#DIV/0!</v>
      </c>
      <c r="T859" s="15" t="s">
        <v>409</v>
      </c>
    </row>
    <row r="860" spans="1:20" x14ac:dyDescent="0.25">
      <c r="A860" s="15" t="s">
        <v>465</v>
      </c>
      <c r="B860" s="15" t="s">
        <v>359</v>
      </c>
      <c r="C860" s="15" t="s">
        <v>453</v>
      </c>
      <c r="D860" s="15" t="s">
        <v>368</v>
      </c>
      <c r="G860" s="7" t="s">
        <v>30</v>
      </c>
      <c r="H860" s="7">
        <v>0</v>
      </c>
      <c r="I860" s="7">
        <v>0</v>
      </c>
      <c r="J860" s="8" t="e">
        <f t="shared" si="13"/>
        <v>#DIV/0!</v>
      </c>
      <c r="T860" s="15" t="s">
        <v>453</v>
      </c>
    </row>
    <row r="861" spans="1:20" x14ac:dyDescent="0.25">
      <c r="A861" s="15" t="s">
        <v>465</v>
      </c>
      <c r="B861" s="15" t="s">
        <v>359</v>
      </c>
      <c r="C861" s="15" t="s">
        <v>416</v>
      </c>
      <c r="D861" s="15" t="s">
        <v>371</v>
      </c>
      <c r="F861" s="7" t="s">
        <v>30</v>
      </c>
      <c r="G861" s="7" t="s">
        <v>30</v>
      </c>
      <c r="H861" s="7">
        <v>0</v>
      </c>
      <c r="I861" s="7">
        <v>0</v>
      </c>
      <c r="J861" s="8" t="e">
        <f t="shared" si="13"/>
        <v>#DIV/0!</v>
      </c>
      <c r="T861" s="15" t="s">
        <v>416</v>
      </c>
    </row>
    <row r="862" spans="1:20" x14ac:dyDescent="0.25">
      <c r="A862" s="15" t="s">
        <v>465</v>
      </c>
      <c r="B862" s="15" t="s">
        <v>359</v>
      </c>
      <c r="C862" s="15" t="s">
        <v>438</v>
      </c>
      <c r="D862" s="15" t="s">
        <v>454</v>
      </c>
      <c r="F862" s="7" t="s">
        <v>30</v>
      </c>
      <c r="H862" s="7">
        <v>0</v>
      </c>
      <c r="I862" s="7">
        <v>0</v>
      </c>
      <c r="J862" s="8" t="e">
        <f t="shared" si="13"/>
        <v>#DIV/0!</v>
      </c>
      <c r="T862" s="15" t="s">
        <v>438</v>
      </c>
    </row>
    <row r="863" spans="1:20" x14ac:dyDescent="0.25">
      <c r="A863" s="15" t="s">
        <v>465</v>
      </c>
      <c r="B863" s="15" t="s">
        <v>359</v>
      </c>
      <c r="C863" s="15" t="s">
        <v>469</v>
      </c>
      <c r="D863" s="15" t="s">
        <v>376</v>
      </c>
      <c r="G863" s="7" t="s">
        <v>30</v>
      </c>
      <c r="H863" s="7">
        <v>0</v>
      </c>
      <c r="I863" s="7">
        <v>0</v>
      </c>
      <c r="J863" s="8" t="e">
        <f t="shared" si="13"/>
        <v>#DIV/0!</v>
      </c>
      <c r="T863" s="15" t="s">
        <v>448</v>
      </c>
    </row>
    <row r="864" spans="1:20" x14ac:dyDescent="0.25">
      <c r="A864" s="15" t="s">
        <v>465</v>
      </c>
      <c r="B864" s="15" t="s">
        <v>359</v>
      </c>
      <c r="C864" s="15" t="s">
        <v>420</v>
      </c>
      <c r="D864" s="15" t="s">
        <v>380</v>
      </c>
      <c r="G864" s="7" t="s">
        <v>30</v>
      </c>
      <c r="H864" s="7">
        <v>0</v>
      </c>
      <c r="I864" s="7">
        <v>0</v>
      </c>
      <c r="J864" s="8" t="e">
        <f t="shared" si="13"/>
        <v>#DIV/0!</v>
      </c>
      <c r="T864" s="15" t="s">
        <v>420</v>
      </c>
    </row>
    <row r="865" spans="1:20" x14ac:dyDescent="0.25">
      <c r="A865" s="15" t="s">
        <v>465</v>
      </c>
      <c r="B865" s="15" t="s">
        <v>359</v>
      </c>
      <c r="C865" s="15" t="s">
        <v>470</v>
      </c>
      <c r="D865" s="15" t="s">
        <v>385</v>
      </c>
      <c r="G865" s="7" t="s">
        <v>30</v>
      </c>
      <c r="H865" s="7">
        <v>0</v>
      </c>
      <c r="I865" s="7">
        <v>0</v>
      </c>
      <c r="J865" s="8" t="e">
        <f t="shared" si="13"/>
        <v>#DIV/0!</v>
      </c>
      <c r="T865" s="15" t="s">
        <v>470</v>
      </c>
    </row>
    <row r="866" spans="1:20" x14ac:dyDescent="0.25">
      <c r="A866" s="15" t="s">
        <v>465</v>
      </c>
      <c r="B866" s="15" t="s">
        <v>359</v>
      </c>
      <c r="C866" s="15" t="s">
        <v>471</v>
      </c>
      <c r="D866" s="15" t="s">
        <v>441</v>
      </c>
      <c r="G866" s="7" t="s">
        <v>30</v>
      </c>
      <c r="H866" s="7">
        <v>0</v>
      </c>
      <c r="I866" s="7">
        <v>0</v>
      </c>
      <c r="J866" s="8" t="e">
        <f t="shared" si="13"/>
        <v>#DIV/0!</v>
      </c>
      <c r="T866" s="15" t="s">
        <v>471</v>
      </c>
    </row>
    <row r="867" spans="1:20" x14ac:dyDescent="0.25">
      <c r="A867" s="15" t="s">
        <v>465</v>
      </c>
      <c r="B867" s="15" t="s">
        <v>359</v>
      </c>
      <c r="C867" s="15" t="s">
        <v>472</v>
      </c>
      <c r="D867" s="15" t="s">
        <v>161</v>
      </c>
      <c r="F867" s="7" t="s">
        <v>30</v>
      </c>
      <c r="G867" s="7" t="s">
        <v>30</v>
      </c>
      <c r="H867" s="7">
        <v>0</v>
      </c>
      <c r="I867" s="7">
        <v>0</v>
      </c>
      <c r="J867" s="8" t="e">
        <f t="shared" si="13"/>
        <v>#DIV/0!</v>
      </c>
      <c r="T867" s="15" t="s">
        <v>472</v>
      </c>
    </row>
    <row r="868" spans="1:20" x14ac:dyDescent="0.25">
      <c r="A868" s="15" t="s">
        <v>465</v>
      </c>
      <c r="B868" s="15" t="s">
        <v>359</v>
      </c>
      <c r="C868" s="15" t="s">
        <v>473</v>
      </c>
      <c r="D868" s="15" t="s">
        <v>388</v>
      </c>
      <c r="F868" s="7" t="s">
        <v>30</v>
      </c>
      <c r="H868" s="7">
        <v>0</v>
      </c>
      <c r="I868" s="7">
        <v>0</v>
      </c>
      <c r="J868" s="8" t="e">
        <f t="shared" si="13"/>
        <v>#DIV/0!</v>
      </c>
      <c r="T868" s="15" t="s">
        <v>473</v>
      </c>
    </row>
    <row r="869" spans="1:20" x14ac:dyDescent="0.25">
      <c r="A869" s="15" t="s">
        <v>465</v>
      </c>
      <c r="B869" s="15" t="s">
        <v>359</v>
      </c>
      <c r="C869" s="14" t="s">
        <v>296</v>
      </c>
      <c r="D869" s="15" t="s">
        <v>220</v>
      </c>
      <c r="G869" s="7" t="s">
        <v>30</v>
      </c>
      <c r="H869" s="7">
        <v>0</v>
      </c>
      <c r="I869" s="7">
        <v>0</v>
      </c>
      <c r="J869" s="8" t="e">
        <f t="shared" si="13"/>
        <v>#DIV/0!</v>
      </c>
      <c r="T869" s="14" t="s">
        <v>296</v>
      </c>
    </row>
    <row r="870" spans="1:20" x14ac:dyDescent="0.25">
      <c r="A870" s="15" t="s">
        <v>465</v>
      </c>
      <c r="B870" s="15" t="s">
        <v>359</v>
      </c>
      <c r="C870" s="15" t="s">
        <v>406</v>
      </c>
      <c r="D870" s="15" t="s">
        <v>326</v>
      </c>
      <c r="G870" s="7" t="s">
        <v>30</v>
      </c>
      <c r="H870" s="7">
        <v>0</v>
      </c>
      <c r="I870" s="7">
        <v>0</v>
      </c>
      <c r="J870" s="8" t="e">
        <f t="shared" si="13"/>
        <v>#DIV/0!</v>
      </c>
      <c r="T870" s="15" t="s">
        <v>406</v>
      </c>
    </row>
    <row r="871" spans="1:20" x14ac:dyDescent="0.25">
      <c r="A871" s="15" t="s">
        <v>465</v>
      </c>
      <c r="B871" s="15" t="s">
        <v>359</v>
      </c>
      <c r="C871" s="15" t="s">
        <v>474</v>
      </c>
      <c r="D871" s="15" t="s">
        <v>397</v>
      </c>
      <c r="F871" s="7" t="s">
        <v>30</v>
      </c>
      <c r="H871" s="7">
        <v>0</v>
      </c>
      <c r="I871" s="7">
        <v>0</v>
      </c>
      <c r="J871" s="8" t="e">
        <f t="shared" si="13"/>
        <v>#DIV/0!</v>
      </c>
      <c r="T871" s="15" t="s">
        <v>474</v>
      </c>
    </row>
    <row r="872" spans="1:20" x14ac:dyDescent="0.25">
      <c r="A872" s="15" t="s">
        <v>465</v>
      </c>
      <c r="B872" s="15" t="s">
        <v>359</v>
      </c>
      <c r="C872" s="15" t="s">
        <v>460</v>
      </c>
      <c r="D872" s="15" t="s">
        <v>324</v>
      </c>
      <c r="G872" s="7" t="s">
        <v>30</v>
      </c>
      <c r="H872" s="7">
        <v>0</v>
      </c>
      <c r="I872" s="7">
        <v>0</v>
      </c>
      <c r="J872" s="8" t="e">
        <f t="shared" si="13"/>
        <v>#DIV/0!</v>
      </c>
      <c r="T872" s="15" t="s">
        <v>460</v>
      </c>
    </row>
    <row r="873" spans="1:20" x14ac:dyDescent="0.25">
      <c r="A873" s="15" t="s">
        <v>465</v>
      </c>
      <c r="B873" s="15" t="s">
        <v>359</v>
      </c>
      <c r="C873" s="15" t="s">
        <v>476</v>
      </c>
      <c r="D873" s="15" t="s">
        <v>319</v>
      </c>
      <c r="F873" s="7" t="s">
        <v>30</v>
      </c>
      <c r="G873" s="7" t="s">
        <v>30</v>
      </c>
      <c r="H873" s="7">
        <v>0</v>
      </c>
      <c r="I873" s="7">
        <v>0</v>
      </c>
      <c r="J873" s="8" t="e">
        <f t="shared" si="13"/>
        <v>#DIV/0!</v>
      </c>
      <c r="T873" s="15" t="s">
        <v>475</v>
      </c>
    </row>
    <row r="874" spans="1:20" x14ac:dyDescent="0.25">
      <c r="A874" s="15" t="s">
        <v>465</v>
      </c>
      <c r="B874" s="15" t="s">
        <v>359</v>
      </c>
      <c r="C874" s="14" t="s">
        <v>156</v>
      </c>
      <c r="D874" s="15" t="s">
        <v>157</v>
      </c>
      <c r="G874" s="7" t="s">
        <v>30</v>
      </c>
      <c r="H874" s="7">
        <v>0</v>
      </c>
      <c r="I874" s="7">
        <v>0</v>
      </c>
      <c r="J874" s="8" t="e">
        <f t="shared" si="13"/>
        <v>#DIV/0!</v>
      </c>
      <c r="T874" s="14" t="s">
        <v>156</v>
      </c>
    </row>
    <row r="875" spans="1:20" x14ac:dyDescent="0.25">
      <c r="A875" s="15" t="s">
        <v>465</v>
      </c>
      <c r="B875" s="15" t="s">
        <v>359</v>
      </c>
      <c r="C875" s="14" t="s">
        <v>169</v>
      </c>
      <c r="D875" s="15" t="s">
        <v>161</v>
      </c>
      <c r="H875" s="7">
        <v>10</v>
      </c>
      <c r="I875" s="7">
        <v>4</v>
      </c>
      <c r="J875" s="8">
        <f t="shared" si="13"/>
        <v>0.7142857142857143</v>
      </c>
      <c r="L875" s="7" t="s">
        <v>30</v>
      </c>
      <c r="T875" s="14" t="s">
        <v>169</v>
      </c>
    </row>
    <row r="876" spans="1:20" x14ac:dyDescent="0.25">
      <c r="A876" s="15" t="s">
        <v>465</v>
      </c>
      <c r="B876" s="15" t="s">
        <v>359</v>
      </c>
      <c r="C876" s="15" t="s">
        <v>463</v>
      </c>
      <c r="D876" s="15" t="s">
        <v>171</v>
      </c>
      <c r="G876" s="7" t="s">
        <v>30</v>
      </c>
      <c r="H876" s="7">
        <v>10</v>
      </c>
      <c r="I876" s="7">
        <v>4</v>
      </c>
      <c r="J876" s="8">
        <f t="shared" si="13"/>
        <v>0.7142857142857143</v>
      </c>
      <c r="L876" s="7" t="s">
        <v>30</v>
      </c>
      <c r="T876" s="15" t="s">
        <v>176</v>
      </c>
    </row>
    <row r="877" spans="1:20" x14ac:dyDescent="0.25">
      <c r="A877" s="15" t="s">
        <v>465</v>
      </c>
      <c r="B877" s="15" t="s">
        <v>359</v>
      </c>
      <c r="C877" s="15" t="s">
        <v>347</v>
      </c>
      <c r="D877" s="15" t="s">
        <v>154</v>
      </c>
      <c r="G877" s="7" t="s">
        <v>30</v>
      </c>
      <c r="H877" s="7">
        <v>10</v>
      </c>
      <c r="I877" s="7">
        <v>4</v>
      </c>
      <c r="J877" s="8">
        <f t="shared" si="13"/>
        <v>0.7142857142857143</v>
      </c>
      <c r="L877" s="7" t="s">
        <v>30</v>
      </c>
      <c r="T877" s="14" t="s">
        <v>581</v>
      </c>
    </row>
    <row r="878" spans="1:20" x14ac:dyDescent="0.25">
      <c r="A878" s="15" t="s">
        <v>465</v>
      </c>
      <c r="B878" s="15" t="s">
        <v>359</v>
      </c>
      <c r="C878" s="14" t="s">
        <v>257</v>
      </c>
      <c r="D878" s="15" t="s">
        <v>215</v>
      </c>
      <c r="G878" s="7" t="s">
        <v>30</v>
      </c>
      <c r="H878" s="7">
        <v>9</v>
      </c>
      <c r="I878" s="7">
        <v>5</v>
      </c>
      <c r="J878" s="8">
        <f t="shared" si="13"/>
        <v>0.6428571428571429</v>
      </c>
      <c r="L878" s="7" t="s">
        <v>30</v>
      </c>
      <c r="T878" s="14" t="s">
        <v>257</v>
      </c>
    </row>
    <row r="879" spans="1:20" x14ac:dyDescent="0.25">
      <c r="A879" s="15" t="s">
        <v>465</v>
      </c>
      <c r="B879" s="15" t="s">
        <v>359</v>
      </c>
      <c r="C879" s="15" t="s">
        <v>477</v>
      </c>
      <c r="D879" s="15" t="s">
        <v>215</v>
      </c>
      <c r="H879" s="7">
        <v>7</v>
      </c>
      <c r="I879" s="7">
        <v>7</v>
      </c>
      <c r="J879" s="8">
        <f t="shared" si="13"/>
        <v>0.5</v>
      </c>
      <c r="T879" s="15" t="s">
        <v>310</v>
      </c>
    </row>
    <row r="880" spans="1:20" x14ac:dyDescent="0.25">
      <c r="A880" s="15" t="s">
        <v>465</v>
      </c>
      <c r="B880" s="15" t="s">
        <v>359</v>
      </c>
      <c r="C880" s="15" t="s">
        <v>316</v>
      </c>
      <c r="D880" s="15" t="s">
        <v>173</v>
      </c>
      <c r="G880" s="7" t="s">
        <v>30</v>
      </c>
      <c r="H880" s="7">
        <v>7</v>
      </c>
      <c r="I880" s="7">
        <v>7</v>
      </c>
      <c r="J880" s="8">
        <f t="shared" si="13"/>
        <v>0.5</v>
      </c>
      <c r="T880" s="15" t="s">
        <v>316</v>
      </c>
    </row>
    <row r="881" spans="1:20" x14ac:dyDescent="0.25">
      <c r="A881" s="15" t="s">
        <v>465</v>
      </c>
      <c r="B881" s="15" t="s">
        <v>359</v>
      </c>
      <c r="C881" s="15" t="s">
        <v>446</v>
      </c>
      <c r="D881" s="15" t="s">
        <v>251</v>
      </c>
      <c r="F881" s="7" t="s">
        <v>30</v>
      </c>
      <c r="G881" s="7" t="s">
        <v>30</v>
      </c>
      <c r="H881" s="7">
        <v>4</v>
      </c>
      <c r="I881" s="7">
        <v>10</v>
      </c>
      <c r="J881" s="8">
        <f t="shared" si="13"/>
        <v>0.2857142857142857</v>
      </c>
      <c r="T881" s="15" t="s">
        <v>411</v>
      </c>
    </row>
    <row r="882" spans="1:20" x14ac:dyDescent="0.25">
      <c r="A882" s="15" t="s">
        <v>465</v>
      </c>
      <c r="B882" s="15" t="s">
        <v>359</v>
      </c>
      <c r="C882" s="15" t="s">
        <v>403</v>
      </c>
      <c r="D882" s="15" t="s">
        <v>164</v>
      </c>
      <c r="G882" s="7" t="s">
        <v>30</v>
      </c>
      <c r="H882" s="7">
        <v>4</v>
      </c>
      <c r="I882" s="7">
        <v>10</v>
      </c>
      <c r="J882" s="8">
        <f t="shared" si="13"/>
        <v>0.2857142857142857</v>
      </c>
      <c r="T882" s="15" t="s">
        <v>403</v>
      </c>
    </row>
    <row r="883" spans="1:20" x14ac:dyDescent="0.25">
      <c r="A883" s="15" t="s">
        <v>465</v>
      </c>
      <c r="B883" s="15" t="s">
        <v>359</v>
      </c>
      <c r="C883" s="15" t="s">
        <v>377</v>
      </c>
      <c r="D883" s="15" t="s">
        <v>378</v>
      </c>
      <c r="G883" s="7" t="s">
        <v>30</v>
      </c>
      <c r="H883" s="7">
        <v>3</v>
      </c>
      <c r="I883" s="7">
        <v>11</v>
      </c>
      <c r="J883" s="8">
        <f t="shared" si="13"/>
        <v>0.21428571428571427</v>
      </c>
      <c r="T883" s="15" t="s">
        <v>377</v>
      </c>
    </row>
    <row r="884" spans="1:20" x14ac:dyDescent="0.25">
      <c r="A884" s="15" t="s">
        <v>465</v>
      </c>
      <c r="B884" s="15" t="s">
        <v>359</v>
      </c>
      <c r="C884" s="15" t="s">
        <v>478</v>
      </c>
      <c r="D884" s="15" t="s">
        <v>152</v>
      </c>
      <c r="F884" s="7" t="s">
        <v>30</v>
      </c>
      <c r="G884" s="7" t="s">
        <v>30</v>
      </c>
      <c r="H884" s="7">
        <v>3</v>
      </c>
      <c r="I884" s="7">
        <v>11</v>
      </c>
      <c r="J884" s="8">
        <f t="shared" si="13"/>
        <v>0.21428571428571427</v>
      </c>
      <c r="T884" s="15" t="s">
        <v>478</v>
      </c>
    </row>
    <row r="885" spans="1:20" x14ac:dyDescent="0.25">
      <c r="A885" s="15" t="s">
        <v>465</v>
      </c>
      <c r="B885" s="15" t="s">
        <v>359</v>
      </c>
      <c r="C885" s="15" t="s">
        <v>480</v>
      </c>
      <c r="D885" s="15" t="s">
        <v>171</v>
      </c>
      <c r="H885" s="7">
        <v>3</v>
      </c>
      <c r="I885" s="7">
        <v>11</v>
      </c>
      <c r="J885" s="8">
        <f t="shared" si="13"/>
        <v>0.21428571428571427</v>
      </c>
      <c r="T885" s="15" t="s">
        <v>479</v>
      </c>
    </row>
    <row r="886" spans="1:20" x14ac:dyDescent="0.25">
      <c r="A886" s="15" t="s">
        <v>465</v>
      </c>
      <c r="B886" s="15" t="s">
        <v>359</v>
      </c>
      <c r="C886" s="15" t="s">
        <v>459</v>
      </c>
      <c r="D886" s="15" t="s">
        <v>393</v>
      </c>
      <c r="G886" s="7" t="s">
        <v>30</v>
      </c>
      <c r="H886" s="7">
        <v>2</v>
      </c>
      <c r="I886" s="7">
        <v>12</v>
      </c>
      <c r="J886" s="8">
        <f t="shared" si="13"/>
        <v>0.14285714285714285</v>
      </c>
      <c r="T886" s="15" t="s">
        <v>391</v>
      </c>
    </row>
    <row r="887" spans="1:20" x14ac:dyDescent="0.25">
      <c r="A887" s="15" t="s">
        <v>481</v>
      </c>
      <c r="B887" s="15" t="s">
        <v>482</v>
      </c>
      <c r="C887" s="15" t="s">
        <v>347</v>
      </c>
      <c r="D887" s="15" t="s">
        <v>154</v>
      </c>
      <c r="H887" s="7">
        <v>11</v>
      </c>
      <c r="I887" s="7">
        <v>3</v>
      </c>
      <c r="J887" s="8">
        <f t="shared" si="13"/>
        <v>0.7857142857142857</v>
      </c>
      <c r="K887" s="7" t="s">
        <v>30</v>
      </c>
      <c r="L887" s="7" t="s">
        <v>30</v>
      </c>
      <c r="M887" s="7" t="s">
        <v>30</v>
      </c>
      <c r="N887" s="7" t="s">
        <v>30</v>
      </c>
      <c r="T887" s="14" t="s">
        <v>581</v>
      </c>
    </row>
    <row r="888" spans="1:20" x14ac:dyDescent="0.25">
      <c r="A888" s="15" t="s">
        <v>481</v>
      </c>
      <c r="B888" s="15" t="s">
        <v>482</v>
      </c>
      <c r="C888" s="15" t="s">
        <v>483</v>
      </c>
      <c r="D888" s="15" t="s">
        <v>312</v>
      </c>
      <c r="H888" s="7">
        <v>9</v>
      </c>
      <c r="I888" s="7">
        <v>5</v>
      </c>
      <c r="J888" s="8">
        <f t="shared" si="13"/>
        <v>0.6428571428571429</v>
      </c>
      <c r="K888" s="7" t="s">
        <v>30</v>
      </c>
      <c r="L888" s="7" t="s">
        <v>30</v>
      </c>
      <c r="M888" s="7" t="s">
        <v>30</v>
      </c>
      <c r="N888" s="7" t="s">
        <v>30</v>
      </c>
      <c r="O888" s="16" t="s">
        <v>30</v>
      </c>
      <c r="T888" s="15" t="s">
        <v>310</v>
      </c>
    </row>
    <row r="889" spans="1:20" x14ac:dyDescent="0.25">
      <c r="A889" s="15" t="s">
        <v>481</v>
      </c>
      <c r="B889" s="15" t="s">
        <v>482</v>
      </c>
      <c r="C889" s="14" t="s">
        <v>169</v>
      </c>
      <c r="D889" s="15" t="s">
        <v>161</v>
      </c>
      <c r="F889" s="7" t="s">
        <v>30</v>
      </c>
      <c r="H889" s="7">
        <v>8</v>
      </c>
      <c r="I889" s="7">
        <v>6</v>
      </c>
      <c r="J889" s="8">
        <f t="shared" si="13"/>
        <v>0.5714285714285714</v>
      </c>
      <c r="K889" s="7" t="s">
        <v>30</v>
      </c>
      <c r="L889" s="7" t="s">
        <v>30</v>
      </c>
      <c r="M889" s="7" t="s">
        <v>30</v>
      </c>
      <c r="T889" s="14" t="s">
        <v>169</v>
      </c>
    </row>
    <row r="890" spans="1:20" x14ac:dyDescent="0.25">
      <c r="A890" s="15" t="s">
        <v>481</v>
      </c>
      <c r="B890" s="15" t="s">
        <v>482</v>
      </c>
      <c r="C890" s="15" t="s">
        <v>315</v>
      </c>
      <c r="D890" s="15" t="s">
        <v>171</v>
      </c>
      <c r="H890" s="7">
        <v>8</v>
      </c>
      <c r="I890" s="7">
        <v>6</v>
      </c>
      <c r="J890" s="8">
        <f t="shared" si="13"/>
        <v>0.5714285714285714</v>
      </c>
      <c r="K890" s="7" t="s">
        <v>30</v>
      </c>
      <c r="L890" s="7" t="s">
        <v>30</v>
      </c>
      <c r="M890" s="7" t="s">
        <v>30</v>
      </c>
      <c r="T890" s="15" t="s">
        <v>288</v>
      </c>
    </row>
    <row r="891" spans="1:20" x14ac:dyDescent="0.25">
      <c r="A891" s="15" t="s">
        <v>481</v>
      </c>
      <c r="B891" s="15" t="s">
        <v>482</v>
      </c>
      <c r="C891" s="15" t="s">
        <v>446</v>
      </c>
      <c r="D891" s="15" t="s">
        <v>251</v>
      </c>
      <c r="F891" s="7" t="s">
        <v>30</v>
      </c>
      <c r="H891" s="7">
        <v>0</v>
      </c>
      <c r="I891" s="7">
        <v>0</v>
      </c>
      <c r="J891" s="8" t="e">
        <f t="shared" si="13"/>
        <v>#DIV/0!</v>
      </c>
      <c r="K891" s="7" t="s">
        <v>30</v>
      </c>
      <c r="T891" s="15" t="s">
        <v>411</v>
      </c>
    </row>
    <row r="892" spans="1:20" x14ac:dyDescent="0.25">
      <c r="A892" s="15" t="s">
        <v>481</v>
      </c>
      <c r="B892" s="15" t="s">
        <v>482</v>
      </c>
      <c r="C892" s="15" t="s">
        <v>453</v>
      </c>
      <c r="D892" s="15" t="s">
        <v>368</v>
      </c>
      <c r="F892" s="7" t="s">
        <v>30</v>
      </c>
      <c r="H892" s="7">
        <v>0</v>
      </c>
      <c r="I892" s="7">
        <v>0</v>
      </c>
      <c r="J892" s="8" t="e">
        <f t="shared" si="13"/>
        <v>#DIV/0!</v>
      </c>
      <c r="K892" s="7" t="s">
        <v>30</v>
      </c>
      <c r="T892" s="15" t="s">
        <v>453</v>
      </c>
    </row>
    <row r="893" spans="1:20" x14ac:dyDescent="0.25">
      <c r="A893" s="15" t="s">
        <v>481</v>
      </c>
      <c r="B893" s="15" t="s">
        <v>482</v>
      </c>
      <c r="C893" s="15" t="s">
        <v>485</v>
      </c>
      <c r="D893" s="15" t="s">
        <v>380</v>
      </c>
      <c r="F893" s="7" t="s">
        <v>30</v>
      </c>
      <c r="H893" s="7">
        <v>0</v>
      </c>
      <c r="I893" s="7">
        <v>0</v>
      </c>
      <c r="J893" s="8" t="e">
        <f t="shared" si="13"/>
        <v>#DIV/0!</v>
      </c>
      <c r="K893" s="7" t="s">
        <v>30</v>
      </c>
      <c r="T893" s="15" t="s">
        <v>484</v>
      </c>
    </row>
    <row r="894" spans="1:20" x14ac:dyDescent="0.25">
      <c r="A894" s="15" t="s">
        <v>481</v>
      </c>
      <c r="B894" s="15" t="s">
        <v>482</v>
      </c>
      <c r="C894" s="15" t="s">
        <v>457</v>
      </c>
      <c r="D894" s="15" t="s">
        <v>385</v>
      </c>
      <c r="F894" s="7" t="s">
        <v>30</v>
      </c>
      <c r="H894" s="7">
        <v>0</v>
      </c>
      <c r="I894" s="7">
        <v>0</v>
      </c>
      <c r="J894" s="8" t="e">
        <f t="shared" si="13"/>
        <v>#DIV/0!</v>
      </c>
      <c r="K894" s="7" t="s">
        <v>30</v>
      </c>
      <c r="T894" s="15" t="s">
        <v>456</v>
      </c>
    </row>
    <row r="895" spans="1:20" x14ac:dyDescent="0.25">
      <c r="A895" s="15" t="s">
        <v>481</v>
      </c>
      <c r="B895" s="15" t="s">
        <v>482</v>
      </c>
      <c r="C895" s="15" t="s">
        <v>473</v>
      </c>
      <c r="D895" s="15" t="s">
        <v>388</v>
      </c>
      <c r="F895" s="7" t="s">
        <v>30</v>
      </c>
      <c r="H895" s="7">
        <v>0</v>
      </c>
      <c r="I895" s="7">
        <v>0</v>
      </c>
      <c r="J895" s="8" t="e">
        <f t="shared" si="13"/>
        <v>#DIV/0!</v>
      </c>
      <c r="K895" s="7" t="s">
        <v>30</v>
      </c>
      <c r="T895" s="15" t="s">
        <v>473</v>
      </c>
    </row>
    <row r="896" spans="1:20" x14ac:dyDescent="0.25">
      <c r="A896" s="15" t="s">
        <v>481</v>
      </c>
      <c r="B896" s="15" t="s">
        <v>482</v>
      </c>
      <c r="C896" s="15" t="s">
        <v>188</v>
      </c>
      <c r="D896" s="15" t="s">
        <v>486</v>
      </c>
      <c r="F896" s="7" t="s">
        <v>30</v>
      </c>
      <c r="H896" s="7">
        <v>0</v>
      </c>
      <c r="I896" s="7">
        <v>0</v>
      </c>
      <c r="J896" s="8" t="e">
        <f t="shared" si="13"/>
        <v>#DIV/0!</v>
      </c>
      <c r="K896" s="7" t="s">
        <v>30</v>
      </c>
      <c r="T896" s="15" t="s">
        <v>188</v>
      </c>
    </row>
    <row r="897" spans="1:20" x14ac:dyDescent="0.25">
      <c r="A897" s="15" t="s">
        <v>481</v>
      </c>
      <c r="B897" s="15" t="s">
        <v>482</v>
      </c>
      <c r="C897" s="15" t="s">
        <v>460</v>
      </c>
      <c r="D897" s="15" t="s">
        <v>324</v>
      </c>
      <c r="F897" s="7" t="s">
        <v>30</v>
      </c>
      <c r="H897" s="7">
        <v>0</v>
      </c>
      <c r="I897" s="7">
        <v>0</v>
      </c>
      <c r="J897" s="8" t="e">
        <f t="shared" si="13"/>
        <v>#DIV/0!</v>
      </c>
      <c r="K897" s="7" t="s">
        <v>30</v>
      </c>
      <c r="T897" s="15" t="s">
        <v>460</v>
      </c>
    </row>
    <row r="898" spans="1:20" x14ac:dyDescent="0.25">
      <c r="A898" s="15" t="s">
        <v>481</v>
      </c>
      <c r="B898" s="15" t="s">
        <v>482</v>
      </c>
      <c r="C898" s="14" t="s">
        <v>204</v>
      </c>
      <c r="D898" s="15" t="s">
        <v>157</v>
      </c>
      <c r="F898" s="7" t="s">
        <v>30</v>
      </c>
      <c r="H898" s="7">
        <v>0</v>
      </c>
      <c r="I898" s="7">
        <v>0</v>
      </c>
      <c r="J898" s="8" t="e">
        <f t="shared" ref="J898:J961" si="14">H898/SUM(H898:I898)</f>
        <v>#DIV/0!</v>
      </c>
      <c r="K898" s="7" t="s">
        <v>30</v>
      </c>
      <c r="T898" s="14" t="s">
        <v>204</v>
      </c>
    </row>
    <row r="899" spans="1:20" x14ac:dyDescent="0.25">
      <c r="A899" s="15" t="s">
        <v>481</v>
      </c>
      <c r="B899" s="15" t="s">
        <v>482</v>
      </c>
      <c r="C899" s="15" t="s">
        <v>478</v>
      </c>
      <c r="D899" s="15" t="s">
        <v>152</v>
      </c>
      <c r="H899" s="7">
        <v>7</v>
      </c>
      <c r="I899" s="7">
        <v>7</v>
      </c>
      <c r="J899" s="8">
        <f t="shared" si="14"/>
        <v>0.5</v>
      </c>
      <c r="K899" s="7" t="s">
        <v>30</v>
      </c>
      <c r="L899" s="7" t="s">
        <v>30</v>
      </c>
      <c r="T899" s="15" t="s">
        <v>478</v>
      </c>
    </row>
    <row r="900" spans="1:20" x14ac:dyDescent="0.25">
      <c r="A900" s="15" t="s">
        <v>481</v>
      </c>
      <c r="B900" s="15" t="s">
        <v>482</v>
      </c>
      <c r="C900" s="15" t="s">
        <v>316</v>
      </c>
      <c r="D900" s="15" t="s">
        <v>173</v>
      </c>
      <c r="F900" s="7" t="s">
        <v>30</v>
      </c>
      <c r="H900" s="7">
        <v>6</v>
      </c>
      <c r="I900" s="7">
        <v>8</v>
      </c>
      <c r="J900" s="8">
        <f t="shared" si="14"/>
        <v>0.42857142857142855</v>
      </c>
      <c r="K900" s="7" t="s">
        <v>30</v>
      </c>
      <c r="L900" s="7" t="s">
        <v>30</v>
      </c>
      <c r="T900" s="15" t="s">
        <v>316</v>
      </c>
    </row>
    <row r="901" spans="1:20" x14ac:dyDescent="0.25">
      <c r="A901" s="15" t="s">
        <v>481</v>
      </c>
      <c r="B901" s="15" t="s">
        <v>482</v>
      </c>
      <c r="C901" s="15" t="s">
        <v>469</v>
      </c>
      <c r="D901" s="15" t="s">
        <v>376</v>
      </c>
      <c r="F901" s="7" t="s">
        <v>30</v>
      </c>
      <c r="H901" s="7">
        <v>4</v>
      </c>
      <c r="I901" s="7">
        <v>10</v>
      </c>
      <c r="J901" s="8">
        <f t="shared" si="14"/>
        <v>0.2857142857142857</v>
      </c>
      <c r="K901" s="7" t="s">
        <v>30</v>
      </c>
      <c r="L901" s="7" t="s">
        <v>30</v>
      </c>
      <c r="T901" s="15" t="s">
        <v>448</v>
      </c>
    </row>
    <row r="902" spans="1:20" x14ac:dyDescent="0.25">
      <c r="A902" s="15" t="s">
        <v>481</v>
      </c>
      <c r="B902" s="15" t="s">
        <v>482</v>
      </c>
      <c r="C902" s="15" t="s">
        <v>216</v>
      </c>
      <c r="D902" s="15" t="s">
        <v>164</v>
      </c>
      <c r="H902" s="7">
        <v>3</v>
      </c>
      <c r="I902" s="7">
        <v>11</v>
      </c>
      <c r="J902" s="8">
        <f t="shared" si="14"/>
        <v>0.21428571428571427</v>
      </c>
      <c r="K902" s="7" t="s">
        <v>30</v>
      </c>
      <c r="L902" s="7" t="s">
        <v>30</v>
      </c>
      <c r="T902" s="15" t="s">
        <v>216</v>
      </c>
    </row>
    <row r="903" spans="1:20" x14ac:dyDescent="0.25">
      <c r="A903" s="15" t="s">
        <v>481</v>
      </c>
      <c r="B903" s="15" t="s">
        <v>482</v>
      </c>
      <c r="C903" s="15" t="s">
        <v>433</v>
      </c>
      <c r="D903" s="15" t="s">
        <v>361</v>
      </c>
      <c r="F903" s="7" t="s">
        <v>30</v>
      </c>
      <c r="H903" s="7">
        <v>0</v>
      </c>
      <c r="I903" s="7">
        <v>0</v>
      </c>
      <c r="J903" s="8" t="e">
        <f t="shared" si="14"/>
        <v>#DIV/0!</v>
      </c>
      <c r="T903" s="15" t="s">
        <v>433</v>
      </c>
    </row>
    <row r="904" spans="1:20" x14ac:dyDescent="0.25">
      <c r="A904" s="15" t="s">
        <v>481</v>
      </c>
      <c r="B904" s="15" t="s">
        <v>482</v>
      </c>
      <c r="C904" s="15" t="s">
        <v>488</v>
      </c>
      <c r="D904" s="15" t="s">
        <v>364</v>
      </c>
      <c r="F904" s="7" t="s">
        <v>30</v>
      </c>
      <c r="H904" s="7">
        <v>0</v>
      </c>
      <c r="I904" s="7">
        <v>0</v>
      </c>
      <c r="J904" s="8" t="e">
        <f t="shared" si="14"/>
        <v>#DIV/0!</v>
      </c>
      <c r="T904" s="15" t="s">
        <v>487</v>
      </c>
    </row>
    <row r="905" spans="1:20" x14ac:dyDescent="0.25">
      <c r="A905" s="15" t="s">
        <v>481</v>
      </c>
      <c r="B905" s="15" t="s">
        <v>482</v>
      </c>
      <c r="C905" s="15" t="s">
        <v>489</v>
      </c>
      <c r="D905" s="15" t="s">
        <v>371</v>
      </c>
      <c r="F905" s="7" t="s">
        <v>30</v>
      </c>
      <c r="H905" s="7">
        <v>0</v>
      </c>
      <c r="I905" s="7">
        <v>0</v>
      </c>
      <c r="J905" s="8" t="e">
        <f t="shared" si="14"/>
        <v>#DIV/0!</v>
      </c>
      <c r="T905" s="15" t="s">
        <v>489</v>
      </c>
    </row>
    <row r="906" spans="1:20" x14ac:dyDescent="0.25">
      <c r="A906" s="15" t="s">
        <v>481</v>
      </c>
      <c r="B906" s="15" t="s">
        <v>482</v>
      </c>
      <c r="C906" s="15" t="s">
        <v>490</v>
      </c>
      <c r="D906" s="15" t="s">
        <v>454</v>
      </c>
      <c r="F906" s="7" t="s">
        <v>30</v>
      </c>
      <c r="H906" s="7">
        <v>0</v>
      </c>
      <c r="I906" s="7">
        <v>0</v>
      </c>
      <c r="J906" s="8" t="e">
        <f t="shared" si="14"/>
        <v>#DIV/0!</v>
      </c>
      <c r="T906" s="15" t="s">
        <v>372</v>
      </c>
    </row>
    <row r="907" spans="1:20" x14ac:dyDescent="0.25">
      <c r="A907" s="15" t="s">
        <v>481</v>
      </c>
      <c r="B907" s="15" t="s">
        <v>482</v>
      </c>
      <c r="C907" s="15" t="s">
        <v>491</v>
      </c>
      <c r="D907" s="15" t="s">
        <v>492</v>
      </c>
      <c r="F907" s="7" t="s">
        <v>30</v>
      </c>
      <c r="H907" s="7">
        <v>0</v>
      </c>
      <c r="I907" s="7">
        <v>0</v>
      </c>
      <c r="J907" s="8" t="e">
        <f t="shared" si="14"/>
        <v>#DIV/0!</v>
      </c>
      <c r="T907" s="15" t="s">
        <v>491</v>
      </c>
    </row>
    <row r="908" spans="1:20" x14ac:dyDescent="0.25">
      <c r="A908" s="15" t="s">
        <v>481</v>
      </c>
      <c r="B908" s="15" t="s">
        <v>482</v>
      </c>
      <c r="C908" s="15" t="s">
        <v>493</v>
      </c>
      <c r="D908" s="15" t="s">
        <v>441</v>
      </c>
      <c r="F908" s="7" t="s">
        <v>30</v>
      </c>
      <c r="H908" s="7">
        <v>0</v>
      </c>
      <c r="I908" s="7">
        <v>0</v>
      </c>
      <c r="J908" s="8" t="e">
        <f t="shared" si="14"/>
        <v>#DIV/0!</v>
      </c>
      <c r="T908" s="15" t="s">
        <v>493</v>
      </c>
    </row>
    <row r="909" spans="1:20" x14ac:dyDescent="0.25">
      <c r="A909" s="15" t="s">
        <v>481</v>
      </c>
      <c r="B909" s="15" t="s">
        <v>482</v>
      </c>
      <c r="C909" s="15" t="s">
        <v>459</v>
      </c>
      <c r="D909" s="15" t="s">
        <v>393</v>
      </c>
      <c r="F909" s="7" t="s">
        <v>30</v>
      </c>
      <c r="H909" s="7">
        <v>0</v>
      </c>
      <c r="I909" s="7">
        <v>0</v>
      </c>
      <c r="J909" s="8" t="e">
        <f t="shared" si="14"/>
        <v>#DIV/0!</v>
      </c>
      <c r="T909" s="15" t="s">
        <v>391</v>
      </c>
    </row>
    <row r="910" spans="1:20" x14ac:dyDescent="0.25">
      <c r="A910" s="15" t="s">
        <v>481</v>
      </c>
      <c r="B910" s="15" t="s">
        <v>482</v>
      </c>
      <c r="C910" s="15" t="s">
        <v>494</v>
      </c>
      <c r="D910" s="15" t="s">
        <v>220</v>
      </c>
      <c r="F910" s="7" t="s">
        <v>30</v>
      </c>
      <c r="H910" s="7">
        <v>0</v>
      </c>
      <c r="I910" s="7">
        <v>0</v>
      </c>
      <c r="J910" s="8" t="e">
        <f t="shared" si="14"/>
        <v>#DIV/0!</v>
      </c>
      <c r="T910" s="15" t="s">
        <v>494</v>
      </c>
    </row>
    <row r="911" spans="1:20" x14ac:dyDescent="0.25">
      <c r="A911" s="15" t="s">
        <v>481</v>
      </c>
      <c r="B911" s="15" t="s">
        <v>482</v>
      </c>
      <c r="C911" s="15" t="s">
        <v>406</v>
      </c>
      <c r="D911" s="15" t="s">
        <v>326</v>
      </c>
      <c r="F911" s="7" t="s">
        <v>30</v>
      </c>
      <c r="H911" s="7">
        <v>0</v>
      </c>
      <c r="I911" s="7">
        <v>0</v>
      </c>
      <c r="J911" s="8" t="e">
        <f t="shared" si="14"/>
        <v>#DIV/0!</v>
      </c>
      <c r="T911" s="15" t="s">
        <v>406</v>
      </c>
    </row>
    <row r="912" spans="1:20" x14ac:dyDescent="0.25">
      <c r="A912" s="15" t="s">
        <v>481</v>
      </c>
      <c r="B912" s="15" t="s">
        <v>482</v>
      </c>
      <c r="C912" s="15" t="s">
        <v>474</v>
      </c>
      <c r="D912" s="15" t="s">
        <v>397</v>
      </c>
      <c r="F912" s="7" t="s">
        <v>30</v>
      </c>
      <c r="H912" s="7">
        <v>0</v>
      </c>
      <c r="I912" s="7">
        <v>0</v>
      </c>
      <c r="J912" s="8" t="e">
        <f t="shared" si="14"/>
        <v>#DIV/0!</v>
      </c>
      <c r="T912" s="15" t="s">
        <v>474</v>
      </c>
    </row>
    <row r="913" spans="1:20" x14ac:dyDescent="0.25">
      <c r="A913" s="15" t="s">
        <v>481</v>
      </c>
      <c r="B913" s="15" t="s">
        <v>482</v>
      </c>
      <c r="C913" s="15" t="s">
        <v>496</v>
      </c>
      <c r="D913" s="15" t="s">
        <v>319</v>
      </c>
      <c r="F913" s="7" t="s">
        <v>30</v>
      </c>
      <c r="H913" s="7">
        <v>0</v>
      </c>
      <c r="I913" s="7">
        <v>0</v>
      </c>
      <c r="J913" s="8" t="e">
        <f t="shared" si="14"/>
        <v>#DIV/0!</v>
      </c>
      <c r="T913" s="15" t="s">
        <v>495</v>
      </c>
    </row>
    <row r="914" spans="1:20" x14ac:dyDescent="0.25">
      <c r="A914" s="15" t="s">
        <v>497</v>
      </c>
      <c r="B914" s="15" t="s">
        <v>482</v>
      </c>
      <c r="C914" s="15" t="s">
        <v>347</v>
      </c>
      <c r="D914" s="15" t="s">
        <v>154</v>
      </c>
      <c r="H914" s="7">
        <v>12</v>
      </c>
      <c r="I914" s="7">
        <v>2</v>
      </c>
      <c r="J914" s="8">
        <f t="shared" si="14"/>
        <v>0.8571428571428571</v>
      </c>
      <c r="K914" s="7" t="s">
        <v>30</v>
      </c>
      <c r="L914" s="7" t="s">
        <v>30</v>
      </c>
      <c r="M914" s="7" t="s">
        <v>30</v>
      </c>
      <c r="N914" s="7" t="s">
        <v>30</v>
      </c>
      <c r="T914" s="14" t="s">
        <v>581</v>
      </c>
    </row>
    <row r="915" spans="1:20" x14ac:dyDescent="0.25">
      <c r="A915" s="15" t="s">
        <v>497</v>
      </c>
      <c r="B915" s="15" t="s">
        <v>482</v>
      </c>
      <c r="C915" s="15" t="s">
        <v>498</v>
      </c>
      <c r="D915" s="15" t="s">
        <v>312</v>
      </c>
      <c r="H915" s="7">
        <v>11</v>
      </c>
      <c r="I915" s="7">
        <v>3</v>
      </c>
      <c r="J915" s="8">
        <f t="shared" si="14"/>
        <v>0.7857142857142857</v>
      </c>
      <c r="K915" s="7" t="s">
        <v>30</v>
      </c>
      <c r="L915" s="7" t="s">
        <v>30</v>
      </c>
      <c r="M915" s="7" t="s">
        <v>30</v>
      </c>
      <c r="N915" s="7" t="s">
        <v>30</v>
      </c>
      <c r="O915" s="16" t="s">
        <v>30</v>
      </c>
      <c r="T915" s="15" t="s">
        <v>310</v>
      </c>
    </row>
    <row r="916" spans="1:20" x14ac:dyDescent="0.25">
      <c r="A916" s="15" t="s">
        <v>497</v>
      </c>
      <c r="B916" s="15" t="s">
        <v>482</v>
      </c>
      <c r="C916" s="15" t="s">
        <v>216</v>
      </c>
      <c r="D916" s="15" t="s">
        <v>164</v>
      </c>
      <c r="H916" s="7">
        <v>10</v>
      </c>
      <c r="I916" s="7">
        <v>4</v>
      </c>
      <c r="J916" s="8">
        <f t="shared" si="14"/>
        <v>0.7142857142857143</v>
      </c>
      <c r="K916" s="7" t="s">
        <v>30</v>
      </c>
      <c r="L916" s="7" t="s">
        <v>30</v>
      </c>
      <c r="M916" s="7" t="s">
        <v>30</v>
      </c>
      <c r="T916" s="15" t="s">
        <v>216</v>
      </c>
    </row>
    <row r="917" spans="1:20" x14ac:dyDescent="0.25">
      <c r="A917" s="15" t="s">
        <v>497</v>
      </c>
      <c r="B917" s="15" t="s">
        <v>482</v>
      </c>
      <c r="C917" s="15" t="s">
        <v>478</v>
      </c>
      <c r="D917" s="15" t="s">
        <v>152</v>
      </c>
      <c r="H917" s="7">
        <v>8</v>
      </c>
      <c r="I917" s="7">
        <v>6</v>
      </c>
      <c r="J917" s="8">
        <f t="shared" si="14"/>
        <v>0.5714285714285714</v>
      </c>
      <c r="K917" s="7" t="s">
        <v>30</v>
      </c>
      <c r="L917" s="7" t="s">
        <v>30</v>
      </c>
      <c r="M917" s="7" t="s">
        <v>30</v>
      </c>
      <c r="T917" s="15" t="s">
        <v>478</v>
      </c>
    </row>
    <row r="918" spans="1:20" x14ac:dyDescent="0.25">
      <c r="A918" s="15" t="s">
        <v>497</v>
      </c>
      <c r="B918" s="15" t="s">
        <v>482</v>
      </c>
      <c r="C918" s="15" t="s">
        <v>488</v>
      </c>
      <c r="D918" s="15" t="s">
        <v>364</v>
      </c>
      <c r="F918" s="7" t="s">
        <v>30</v>
      </c>
      <c r="H918" s="7">
        <v>0</v>
      </c>
      <c r="I918" s="7">
        <v>0</v>
      </c>
      <c r="J918" s="8" t="e">
        <f t="shared" si="14"/>
        <v>#DIV/0!</v>
      </c>
      <c r="K918" s="7" t="s">
        <v>30</v>
      </c>
      <c r="T918" s="15" t="s">
        <v>487</v>
      </c>
    </row>
    <row r="919" spans="1:20" x14ac:dyDescent="0.25">
      <c r="A919" s="15" t="s">
        <v>497</v>
      </c>
      <c r="B919" s="15" t="s">
        <v>482</v>
      </c>
      <c r="C919" s="15" t="s">
        <v>446</v>
      </c>
      <c r="D919" s="15" t="s">
        <v>251</v>
      </c>
      <c r="F919" s="7" t="s">
        <v>30</v>
      </c>
      <c r="H919" s="7">
        <v>0</v>
      </c>
      <c r="I919" s="7">
        <v>0</v>
      </c>
      <c r="J919" s="8" t="e">
        <f t="shared" si="14"/>
        <v>#DIV/0!</v>
      </c>
      <c r="K919" s="7" t="s">
        <v>30</v>
      </c>
      <c r="T919" s="15" t="s">
        <v>411</v>
      </c>
    </row>
    <row r="920" spans="1:20" x14ac:dyDescent="0.25">
      <c r="A920" s="15" t="s">
        <v>497</v>
      </c>
      <c r="B920" s="15" t="s">
        <v>482</v>
      </c>
      <c r="C920" s="15" t="s">
        <v>499</v>
      </c>
      <c r="D920" s="15" t="s">
        <v>368</v>
      </c>
      <c r="F920" s="7" t="s">
        <v>30</v>
      </c>
      <c r="H920" s="7">
        <v>0</v>
      </c>
      <c r="I920" s="7">
        <v>0</v>
      </c>
      <c r="J920" s="8" t="e">
        <f t="shared" si="14"/>
        <v>#DIV/0!</v>
      </c>
      <c r="K920" s="7" t="s">
        <v>30</v>
      </c>
      <c r="T920" s="15" t="s">
        <v>499</v>
      </c>
    </row>
    <row r="921" spans="1:20" x14ac:dyDescent="0.25">
      <c r="A921" s="15" t="s">
        <v>497</v>
      </c>
      <c r="B921" s="15" t="s">
        <v>482</v>
      </c>
      <c r="C921" s="15" t="s">
        <v>500</v>
      </c>
      <c r="D921" s="15" t="s">
        <v>454</v>
      </c>
      <c r="F921" s="7" t="s">
        <v>30</v>
      </c>
      <c r="H921" s="7">
        <v>0</v>
      </c>
      <c r="I921" s="7">
        <v>0</v>
      </c>
      <c r="J921" s="8" t="e">
        <f t="shared" si="14"/>
        <v>#DIV/0!</v>
      </c>
      <c r="K921" s="7" t="s">
        <v>30</v>
      </c>
      <c r="T921" s="15" t="s">
        <v>398</v>
      </c>
    </row>
    <row r="922" spans="1:20" x14ac:dyDescent="0.25">
      <c r="A922" s="15" t="s">
        <v>497</v>
      </c>
      <c r="B922" s="15" t="s">
        <v>482</v>
      </c>
      <c r="C922" s="15" t="s">
        <v>399</v>
      </c>
      <c r="D922" s="15" t="s">
        <v>454</v>
      </c>
      <c r="F922" s="7" t="s">
        <v>30</v>
      </c>
      <c r="H922" s="7">
        <v>0</v>
      </c>
      <c r="I922" s="7">
        <v>0</v>
      </c>
      <c r="J922" s="8" t="e">
        <f t="shared" si="14"/>
        <v>#DIV/0!</v>
      </c>
      <c r="K922" s="7" t="s">
        <v>30</v>
      </c>
      <c r="T922" s="15" t="s">
        <v>398</v>
      </c>
    </row>
    <row r="923" spans="1:20" x14ac:dyDescent="0.25">
      <c r="A923" s="15" t="s">
        <v>497</v>
      </c>
      <c r="B923" s="15" t="s">
        <v>482</v>
      </c>
      <c r="C923" s="15" t="s">
        <v>501</v>
      </c>
      <c r="D923" s="15" t="s">
        <v>376</v>
      </c>
      <c r="F923" s="7" t="s">
        <v>30</v>
      </c>
      <c r="H923" s="7">
        <v>0</v>
      </c>
      <c r="I923" s="7">
        <v>0</v>
      </c>
      <c r="J923" s="8" t="e">
        <f t="shared" si="14"/>
        <v>#DIV/0!</v>
      </c>
      <c r="K923" s="7" t="s">
        <v>30</v>
      </c>
      <c r="T923" s="15" t="s">
        <v>418</v>
      </c>
    </row>
    <row r="924" spans="1:20" x14ac:dyDescent="0.25">
      <c r="A924" s="15" t="s">
        <v>497</v>
      </c>
      <c r="B924" s="15" t="s">
        <v>482</v>
      </c>
      <c r="C924" s="15" t="s">
        <v>502</v>
      </c>
      <c r="D924" s="15" t="s">
        <v>503</v>
      </c>
      <c r="F924" s="7" t="s">
        <v>30</v>
      </c>
      <c r="H924" s="7">
        <v>0</v>
      </c>
      <c r="I924" s="7">
        <v>0</v>
      </c>
      <c r="J924" s="8" t="e">
        <f t="shared" si="14"/>
        <v>#DIV/0!</v>
      </c>
      <c r="K924" s="7" t="s">
        <v>30</v>
      </c>
      <c r="T924" s="15" t="s">
        <v>502</v>
      </c>
    </row>
    <row r="925" spans="1:20" x14ac:dyDescent="0.25">
      <c r="A925" s="15" t="s">
        <v>497</v>
      </c>
      <c r="B925" s="15" t="s">
        <v>482</v>
      </c>
      <c r="C925" s="15" t="s">
        <v>504</v>
      </c>
      <c r="D925" s="15" t="s">
        <v>486</v>
      </c>
      <c r="F925" s="7" t="s">
        <v>30</v>
      </c>
      <c r="H925" s="7">
        <v>0</v>
      </c>
      <c r="I925" s="7">
        <v>0</v>
      </c>
      <c r="J925" s="8" t="e">
        <f t="shared" si="14"/>
        <v>#DIV/0!</v>
      </c>
      <c r="K925" s="7" t="s">
        <v>30</v>
      </c>
      <c r="T925" s="15" t="s">
        <v>231</v>
      </c>
    </row>
    <row r="926" spans="1:20" x14ac:dyDescent="0.25">
      <c r="A926" s="15" t="s">
        <v>497</v>
      </c>
      <c r="B926" s="15" t="s">
        <v>482</v>
      </c>
      <c r="C926" s="15" t="s">
        <v>505</v>
      </c>
      <c r="D926" s="15" t="s">
        <v>319</v>
      </c>
      <c r="F926" s="7" t="s">
        <v>30</v>
      </c>
      <c r="H926" s="7">
        <v>0</v>
      </c>
      <c r="I926" s="7">
        <v>0</v>
      </c>
      <c r="J926" s="8" t="e">
        <f t="shared" si="14"/>
        <v>#DIV/0!</v>
      </c>
      <c r="K926" s="7" t="s">
        <v>30</v>
      </c>
      <c r="T926" s="15" t="s">
        <v>495</v>
      </c>
    </row>
    <row r="927" spans="1:20" x14ac:dyDescent="0.25">
      <c r="A927" s="15" t="s">
        <v>497</v>
      </c>
      <c r="B927" s="15" t="s">
        <v>482</v>
      </c>
      <c r="C927" s="15" t="s">
        <v>467</v>
      </c>
      <c r="D927" s="15" t="s">
        <v>171</v>
      </c>
      <c r="F927" s="7" t="s">
        <v>30</v>
      </c>
      <c r="H927" s="7">
        <v>7</v>
      </c>
      <c r="I927" s="7">
        <v>7</v>
      </c>
      <c r="J927" s="8">
        <f t="shared" si="14"/>
        <v>0.5</v>
      </c>
      <c r="K927" s="7" t="s">
        <v>30</v>
      </c>
      <c r="L927" s="7" t="s">
        <v>30</v>
      </c>
      <c r="T927" s="15" t="s">
        <v>170</v>
      </c>
    </row>
    <row r="928" spans="1:20" x14ac:dyDescent="0.25">
      <c r="A928" s="15" t="s">
        <v>497</v>
      </c>
      <c r="B928" s="15" t="s">
        <v>482</v>
      </c>
      <c r="C928" s="14" t="s">
        <v>169</v>
      </c>
      <c r="D928" s="15" t="s">
        <v>161</v>
      </c>
      <c r="H928" s="7">
        <v>6</v>
      </c>
      <c r="I928" s="7">
        <v>8</v>
      </c>
      <c r="J928" s="8">
        <f t="shared" si="14"/>
        <v>0.42857142857142855</v>
      </c>
      <c r="K928" s="7" t="s">
        <v>30</v>
      </c>
      <c r="L928" s="7" t="s">
        <v>30</v>
      </c>
      <c r="T928" s="14" t="s">
        <v>169</v>
      </c>
    </row>
    <row r="929" spans="1:20" x14ac:dyDescent="0.25">
      <c r="A929" s="15" t="s">
        <v>497</v>
      </c>
      <c r="B929" s="15" t="s">
        <v>482</v>
      </c>
      <c r="C929" s="15" t="s">
        <v>459</v>
      </c>
      <c r="D929" s="15" t="s">
        <v>393</v>
      </c>
      <c r="F929" s="7" t="s">
        <v>30</v>
      </c>
      <c r="H929" s="7">
        <v>2</v>
      </c>
      <c r="I929" s="7">
        <v>12</v>
      </c>
      <c r="J929" s="8">
        <f t="shared" si="14"/>
        <v>0.14285714285714285</v>
      </c>
      <c r="K929" s="7" t="s">
        <v>30</v>
      </c>
      <c r="L929" s="7" t="s">
        <v>30</v>
      </c>
      <c r="T929" s="15" t="s">
        <v>391</v>
      </c>
    </row>
    <row r="930" spans="1:20" x14ac:dyDescent="0.25">
      <c r="A930" s="15" t="s">
        <v>497</v>
      </c>
      <c r="B930" s="15" t="s">
        <v>482</v>
      </c>
      <c r="C930" s="15" t="s">
        <v>494</v>
      </c>
      <c r="D930" s="15" t="s">
        <v>220</v>
      </c>
      <c r="F930" s="7" t="s">
        <v>30</v>
      </c>
      <c r="H930" s="7">
        <v>0</v>
      </c>
      <c r="I930" s="7">
        <v>14</v>
      </c>
      <c r="J930" s="8">
        <f t="shared" si="14"/>
        <v>0</v>
      </c>
      <c r="K930" s="7" t="s">
        <v>30</v>
      </c>
      <c r="L930" s="7" t="s">
        <v>30</v>
      </c>
      <c r="T930" s="15" t="s">
        <v>494</v>
      </c>
    </row>
    <row r="931" spans="1:20" x14ac:dyDescent="0.25">
      <c r="A931" s="15" t="s">
        <v>497</v>
      </c>
      <c r="B931" s="15" t="s">
        <v>482</v>
      </c>
      <c r="C931" s="15" t="s">
        <v>450</v>
      </c>
      <c r="D931" s="15" t="s">
        <v>361</v>
      </c>
      <c r="F931" s="7" t="s">
        <v>30</v>
      </c>
      <c r="H931" s="7">
        <v>0</v>
      </c>
      <c r="I931" s="7">
        <v>0</v>
      </c>
      <c r="J931" s="8" t="e">
        <f t="shared" si="14"/>
        <v>#DIV/0!</v>
      </c>
      <c r="T931" s="15" t="s">
        <v>450</v>
      </c>
    </row>
    <row r="932" spans="1:20" x14ac:dyDescent="0.25">
      <c r="A932" s="15" t="s">
        <v>497</v>
      </c>
      <c r="B932" s="15" t="s">
        <v>482</v>
      </c>
      <c r="C932" s="15" t="s">
        <v>506</v>
      </c>
      <c r="D932" s="15" t="s">
        <v>371</v>
      </c>
      <c r="F932" s="7" t="s">
        <v>30</v>
      </c>
      <c r="H932" s="7">
        <v>0</v>
      </c>
      <c r="I932" s="7">
        <v>0</v>
      </c>
      <c r="J932" s="8" t="e">
        <f t="shared" si="14"/>
        <v>#DIV/0!</v>
      </c>
      <c r="T932" s="15" t="s">
        <v>506</v>
      </c>
    </row>
    <row r="933" spans="1:20" x14ac:dyDescent="0.25">
      <c r="A933" s="15" t="s">
        <v>497</v>
      </c>
      <c r="B933" s="15" t="s">
        <v>482</v>
      </c>
      <c r="C933" s="15" t="s">
        <v>507</v>
      </c>
      <c r="D933" s="15" t="s">
        <v>508</v>
      </c>
      <c r="F933" s="7" t="s">
        <v>30</v>
      </c>
      <c r="H933" s="7">
        <v>0</v>
      </c>
      <c r="I933" s="7">
        <v>0</v>
      </c>
      <c r="J933" s="8" t="e">
        <f t="shared" si="14"/>
        <v>#DIV/0!</v>
      </c>
      <c r="T933" s="15" t="s">
        <v>507</v>
      </c>
    </row>
    <row r="934" spans="1:20" x14ac:dyDescent="0.25">
      <c r="A934" s="15" t="s">
        <v>497</v>
      </c>
      <c r="B934" s="15" t="s">
        <v>482</v>
      </c>
      <c r="C934" s="15" t="s">
        <v>455</v>
      </c>
      <c r="D934" s="15" t="s">
        <v>380</v>
      </c>
      <c r="F934" s="7" t="s">
        <v>30</v>
      </c>
      <c r="H934" s="7">
        <v>0</v>
      </c>
      <c r="I934" s="7">
        <v>0</v>
      </c>
      <c r="J934" s="8" t="e">
        <f t="shared" si="14"/>
        <v>#DIV/0!</v>
      </c>
      <c r="T934" s="15" t="s">
        <v>455</v>
      </c>
    </row>
    <row r="935" spans="1:20" x14ac:dyDescent="0.25">
      <c r="A935" s="15" t="s">
        <v>497</v>
      </c>
      <c r="B935" s="15" t="s">
        <v>482</v>
      </c>
      <c r="C935" s="15" t="s">
        <v>510</v>
      </c>
      <c r="D935" s="15" t="s">
        <v>173</v>
      </c>
      <c r="F935" s="7" t="s">
        <v>30</v>
      </c>
      <c r="H935" s="7">
        <v>0</v>
      </c>
      <c r="I935" s="7">
        <v>0</v>
      </c>
      <c r="J935" s="8" t="e">
        <f t="shared" si="14"/>
        <v>#DIV/0!</v>
      </c>
      <c r="T935" s="15" t="s">
        <v>509</v>
      </c>
    </row>
    <row r="936" spans="1:20" x14ac:dyDescent="0.25">
      <c r="A936" s="15" t="s">
        <v>497</v>
      </c>
      <c r="B936" s="15" t="s">
        <v>482</v>
      </c>
      <c r="C936" s="15" t="s">
        <v>511</v>
      </c>
      <c r="D936" s="15" t="s">
        <v>385</v>
      </c>
      <c r="F936" s="7" t="s">
        <v>30</v>
      </c>
      <c r="H936" s="7">
        <v>0</v>
      </c>
      <c r="I936" s="7">
        <v>0</v>
      </c>
      <c r="J936" s="8" t="e">
        <f t="shared" si="14"/>
        <v>#DIV/0!</v>
      </c>
      <c r="T936" s="15" t="s">
        <v>511</v>
      </c>
    </row>
    <row r="937" spans="1:20" x14ac:dyDescent="0.25">
      <c r="A937" s="15" t="s">
        <v>497</v>
      </c>
      <c r="B937" s="15" t="s">
        <v>482</v>
      </c>
      <c r="C937" s="15" t="s">
        <v>440</v>
      </c>
      <c r="D937" s="15" t="s">
        <v>441</v>
      </c>
      <c r="F937" s="7" t="s">
        <v>30</v>
      </c>
      <c r="H937" s="7">
        <v>0</v>
      </c>
      <c r="I937" s="7">
        <v>0</v>
      </c>
      <c r="J937" s="8" t="e">
        <f t="shared" si="14"/>
        <v>#DIV/0!</v>
      </c>
      <c r="T937" s="15" t="s">
        <v>440</v>
      </c>
    </row>
    <row r="938" spans="1:20" x14ac:dyDescent="0.25">
      <c r="A938" s="15" t="s">
        <v>497</v>
      </c>
      <c r="B938" s="15" t="s">
        <v>482</v>
      </c>
      <c r="C938" s="15" t="s">
        <v>473</v>
      </c>
      <c r="D938" s="15" t="s">
        <v>388</v>
      </c>
      <c r="F938" s="7" t="s">
        <v>30</v>
      </c>
      <c r="H938" s="7">
        <v>0</v>
      </c>
      <c r="I938" s="7">
        <v>0</v>
      </c>
      <c r="J938" s="8" t="e">
        <f t="shared" si="14"/>
        <v>#DIV/0!</v>
      </c>
      <c r="T938" s="15" t="s">
        <v>473</v>
      </c>
    </row>
    <row r="939" spans="1:20" x14ac:dyDescent="0.25">
      <c r="A939" s="15" t="s">
        <v>497</v>
      </c>
      <c r="B939" s="15" t="s">
        <v>482</v>
      </c>
      <c r="C939" s="15" t="s">
        <v>406</v>
      </c>
      <c r="D939" s="15" t="s">
        <v>326</v>
      </c>
      <c r="F939" s="7" t="s">
        <v>30</v>
      </c>
      <c r="H939" s="7">
        <v>0</v>
      </c>
      <c r="I939" s="7">
        <v>0</v>
      </c>
      <c r="J939" s="8" t="e">
        <f t="shared" si="14"/>
        <v>#DIV/0!</v>
      </c>
      <c r="T939" s="15" t="s">
        <v>406</v>
      </c>
    </row>
    <row r="940" spans="1:20" x14ac:dyDescent="0.25">
      <c r="A940" s="15" t="s">
        <v>497</v>
      </c>
      <c r="B940" s="15" t="s">
        <v>482</v>
      </c>
      <c r="C940" s="15" t="s">
        <v>512</v>
      </c>
      <c r="D940" s="15" t="s">
        <v>324</v>
      </c>
      <c r="F940" s="7" t="s">
        <v>30</v>
      </c>
      <c r="H940" s="7">
        <v>0</v>
      </c>
      <c r="I940" s="7">
        <v>0</v>
      </c>
      <c r="J940" s="8" t="e">
        <f t="shared" si="14"/>
        <v>#DIV/0!</v>
      </c>
      <c r="T940" s="15" t="s">
        <v>512</v>
      </c>
    </row>
    <row r="941" spans="1:20" x14ac:dyDescent="0.25">
      <c r="A941" s="15" t="s">
        <v>497</v>
      </c>
      <c r="B941" s="15" t="s">
        <v>482</v>
      </c>
      <c r="C941" s="15" t="s">
        <v>513</v>
      </c>
      <c r="D941" s="15" t="s">
        <v>157</v>
      </c>
      <c r="F941" s="7" t="s">
        <v>30</v>
      </c>
      <c r="H941" s="7">
        <v>0</v>
      </c>
      <c r="I941" s="7">
        <v>0</v>
      </c>
      <c r="J941" s="8" t="e">
        <f t="shared" si="14"/>
        <v>#DIV/0!</v>
      </c>
      <c r="T941" s="15" t="s">
        <v>513</v>
      </c>
    </row>
    <row r="942" spans="1:20" x14ac:dyDescent="0.25">
      <c r="A942" s="15" t="s">
        <v>514</v>
      </c>
      <c r="B942" s="15" t="s">
        <v>482</v>
      </c>
      <c r="C942" s="14" t="s">
        <v>169</v>
      </c>
      <c r="D942" s="15" t="s">
        <v>161</v>
      </c>
      <c r="H942" s="7">
        <v>12</v>
      </c>
      <c r="I942" s="7">
        <v>2</v>
      </c>
      <c r="J942" s="8">
        <f t="shared" si="14"/>
        <v>0.8571428571428571</v>
      </c>
      <c r="K942" s="7" t="s">
        <v>30</v>
      </c>
      <c r="L942" s="7" t="s">
        <v>30</v>
      </c>
      <c r="M942" s="7" t="s">
        <v>30</v>
      </c>
      <c r="N942" s="7" t="s">
        <v>30</v>
      </c>
      <c r="T942" s="14" t="s">
        <v>169</v>
      </c>
    </row>
    <row r="943" spans="1:20" x14ac:dyDescent="0.25">
      <c r="A943" s="15" t="s">
        <v>514</v>
      </c>
      <c r="B943" s="15" t="s">
        <v>482</v>
      </c>
      <c r="C943" s="14" t="s">
        <v>581</v>
      </c>
      <c r="D943" s="15" t="s">
        <v>154</v>
      </c>
      <c r="H943" s="7">
        <v>11</v>
      </c>
      <c r="I943" s="7">
        <v>3</v>
      </c>
      <c r="J943" s="8">
        <f t="shared" si="14"/>
        <v>0.7857142857142857</v>
      </c>
      <c r="K943" s="7" t="s">
        <v>30</v>
      </c>
      <c r="L943" s="7" t="s">
        <v>30</v>
      </c>
      <c r="M943" s="7" t="s">
        <v>30</v>
      </c>
      <c r="T943" s="14" t="s">
        <v>581</v>
      </c>
    </row>
    <row r="944" spans="1:20" x14ac:dyDescent="0.25">
      <c r="A944" s="15" t="s">
        <v>514</v>
      </c>
      <c r="B944" s="15" t="s">
        <v>482</v>
      </c>
      <c r="C944" s="15" t="s">
        <v>478</v>
      </c>
      <c r="D944" s="15" t="s">
        <v>152</v>
      </c>
      <c r="F944" s="7" t="s">
        <v>30</v>
      </c>
      <c r="H944" s="7">
        <v>8</v>
      </c>
      <c r="I944" s="7">
        <v>6</v>
      </c>
      <c r="J944" s="8">
        <f t="shared" si="14"/>
        <v>0.5714285714285714</v>
      </c>
      <c r="K944" s="7" t="s">
        <v>30</v>
      </c>
      <c r="L944" s="7" t="s">
        <v>30</v>
      </c>
      <c r="M944" s="7" t="s">
        <v>30</v>
      </c>
      <c r="T944" s="15" t="s">
        <v>478</v>
      </c>
    </row>
    <row r="945" spans="1:20" x14ac:dyDescent="0.25">
      <c r="A945" s="15" t="s">
        <v>514</v>
      </c>
      <c r="B945" s="15" t="s">
        <v>482</v>
      </c>
      <c r="C945" s="15" t="s">
        <v>498</v>
      </c>
      <c r="D945" s="15" t="s">
        <v>312</v>
      </c>
      <c r="H945" s="7">
        <v>8</v>
      </c>
      <c r="I945" s="7">
        <v>6</v>
      </c>
      <c r="J945" s="8">
        <f t="shared" si="14"/>
        <v>0.5714285714285714</v>
      </c>
      <c r="K945" s="7" t="s">
        <v>30</v>
      </c>
      <c r="L945" s="7" t="s">
        <v>30</v>
      </c>
      <c r="M945" s="7" t="s">
        <v>30</v>
      </c>
      <c r="N945" s="7" t="s">
        <v>30</v>
      </c>
      <c r="O945" s="16" t="s">
        <v>30</v>
      </c>
      <c r="T945" s="15" t="s">
        <v>310</v>
      </c>
    </row>
    <row r="946" spans="1:20" x14ac:dyDescent="0.25">
      <c r="A946" s="15" t="s">
        <v>514</v>
      </c>
      <c r="B946" s="15" t="s">
        <v>482</v>
      </c>
      <c r="C946" s="15" t="s">
        <v>450</v>
      </c>
      <c r="D946" s="15" t="s">
        <v>361</v>
      </c>
      <c r="F946" s="7" t="s">
        <v>30</v>
      </c>
      <c r="H946" s="7">
        <v>0</v>
      </c>
      <c r="I946" s="7">
        <v>0</v>
      </c>
      <c r="J946" s="8" t="e">
        <f t="shared" si="14"/>
        <v>#DIV/0!</v>
      </c>
      <c r="K946" s="7" t="s">
        <v>30</v>
      </c>
      <c r="T946" s="15" t="s">
        <v>450</v>
      </c>
    </row>
    <row r="947" spans="1:20" x14ac:dyDescent="0.25">
      <c r="A947" s="15" t="s">
        <v>514</v>
      </c>
      <c r="B947" s="15" t="s">
        <v>482</v>
      </c>
      <c r="C947" s="14" t="s">
        <v>301</v>
      </c>
      <c r="D947" s="15" t="s">
        <v>251</v>
      </c>
      <c r="F947" s="7" t="s">
        <v>30</v>
      </c>
      <c r="H947" s="7">
        <v>0</v>
      </c>
      <c r="I947" s="7">
        <v>0</v>
      </c>
      <c r="J947" s="8" t="e">
        <f t="shared" si="14"/>
        <v>#DIV/0!</v>
      </c>
      <c r="K947" s="7" t="s">
        <v>30</v>
      </c>
      <c r="T947" s="14" t="s">
        <v>301</v>
      </c>
    </row>
    <row r="948" spans="1:20" x14ac:dyDescent="0.25">
      <c r="A948" s="15" t="s">
        <v>514</v>
      </c>
      <c r="B948" s="15" t="s">
        <v>482</v>
      </c>
      <c r="C948" s="15" t="s">
        <v>499</v>
      </c>
      <c r="D948" s="15" t="s">
        <v>368</v>
      </c>
      <c r="F948" s="7" t="s">
        <v>30</v>
      </c>
      <c r="H948" s="7">
        <v>0</v>
      </c>
      <c r="I948" s="7">
        <v>0</v>
      </c>
      <c r="J948" s="8" t="e">
        <f t="shared" si="14"/>
        <v>#DIV/0!</v>
      </c>
      <c r="K948" s="7" t="s">
        <v>30</v>
      </c>
      <c r="T948" s="15" t="s">
        <v>499</v>
      </c>
    </row>
    <row r="949" spans="1:20" x14ac:dyDescent="0.25">
      <c r="A949" s="15" t="s">
        <v>514</v>
      </c>
      <c r="B949" s="15" t="s">
        <v>482</v>
      </c>
      <c r="C949" s="15" t="s">
        <v>490</v>
      </c>
      <c r="D949" s="15" t="s">
        <v>454</v>
      </c>
      <c r="F949" s="7" t="s">
        <v>30</v>
      </c>
      <c r="H949" s="7">
        <v>0</v>
      </c>
      <c r="I949" s="7">
        <v>0</v>
      </c>
      <c r="J949" s="8" t="e">
        <f t="shared" si="14"/>
        <v>#DIV/0!</v>
      </c>
      <c r="K949" s="7" t="s">
        <v>30</v>
      </c>
      <c r="T949" s="15" t="s">
        <v>372</v>
      </c>
    </row>
    <row r="950" spans="1:20" x14ac:dyDescent="0.25">
      <c r="A950" s="15" t="s">
        <v>514</v>
      </c>
      <c r="B950" s="15" t="s">
        <v>482</v>
      </c>
      <c r="C950" s="15" t="s">
        <v>420</v>
      </c>
      <c r="D950" s="15" t="s">
        <v>380</v>
      </c>
      <c r="F950" s="7" t="s">
        <v>30</v>
      </c>
      <c r="H950" s="7">
        <v>0</v>
      </c>
      <c r="I950" s="7">
        <v>0</v>
      </c>
      <c r="J950" s="8" t="e">
        <f t="shared" si="14"/>
        <v>#DIV/0!</v>
      </c>
      <c r="K950" s="7" t="s">
        <v>30</v>
      </c>
      <c r="T950" s="15" t="s">
        <v>420</v>
      </c>
    </row>
    <row r="951" spans="1:20" x14ac:dyDescent="0.25">
      <c r="A951" s="15" t="s">
        <v>514</v>
      </c>
      <c r="B951" s="15" t="s">
        <v>482</v>
      </c>
      <c r="C951" s="15" t="s">
        <v>515</v>
      </c>
      <c r="D951" s="15" t="s">
        <v>173</v>
      </c>
      <c r="H951" s="7">
        <v>0</v>
      </c>
      <c r="I951" s="7">
        <v>0</v>
      </c>
      <c r="J951" s="8" t="e">
        <f t="shared" si="14"/>
        <v>#DIV/0!</v>
      </c>
      <c r="K951" s="7" t="s">
        <v>30</v>
      </c>
      <c r="T951" s="15" t="s">
        <v>515</v>
      </c>
    </row>
    <row r="952" spans="1:20" x14ac:dyDescent="0.25">
      <c r="A952" s="15" t="s">
        <v>514</v>
      </c>
      <c r="B952" s="15" t="s">
        <v>482</v>
      </c>
      <c r="C952" s="14" t="s">
        <v>325</v>
      </c>
      <c r="D952" s="15" t="s">
        <v>326</v>
      </c>
      <c r="F952" s="7" t="s">
        <v>30</v>
      </c>
      <c r="H952" s="7">
        <v>0</v>
      </c>
      <c r="I952" s="7">
        <v>0</v>
      </c>
      <c r="J952" s="8" t="e">
        <f t="shared" si="14"/>
        <v>#DIV/0!</v>
      </c>
      <c r="K952" s="7" t="s">
        <v>30</v>
      </c>
      <c r="T952" s="14" t="s">
        <v>325</v>
      </c>
    </row>
    <row r="953" spans="1:20" x14ac:dyDescent="0.25">
      <c r="A953" s="15" t="s">
        <v>514</v>
      </c>
      <c r="B953" s="15" t="s">
        <v>482</v>
      </c>
      <c r="C953" s="15" t="s">
        <v>516</v>
      </c>
      <c r="D953" s="15" t="s">
        <v>324</v>
      </c>
      <c r="H953" s="7">
        <v>0</v>
      </c>
      <c r="I953" s="7">
        <v>0</v>
      </c>
      <c r="J953" s="8" t="e">
        <f t="shared" si="14"/>
        <v>#DIV/0!</v>
      </c>
      <c r="K953" s="7" t="s">
        <v>30</v>
      </c>
      <c r="T953" s="15" t="s">
        <v>516</v>
      </c>
    </row>
    <row r="954" spans="1:20" x14ac:dyDescent="0.25">
      <c r="A954" s="15" t="s">
        <v>514</v>
      </c>
      <c r="B954" s="15" t="s">
        <v>482</v>
      </c>
      <c r="C954" s="15" t="s">
        <v>216</v>
      </c>
      <c r="D954" s="15" t="s">
        <v>164</v>
      </c>
      <c r="H954" s="7">
        <v>6</v>
      </c>
      <c r="I954" s="7">
        <v>8</v>
      </c>
      <c r="J954" s="8">
        <f t="shared" si="14"/>
        <v>0.42857142857142855</v>
      </c>
      <c r="K954" s="7" t="s">
        <v>30</v>
      </c>
      <c r="L954" s="7" t="s">
        <v>30</v>
      </c>
      <c r="T954" s="15" t="s">
        <v>216</v>
      </c>
    </row>
    <row r="955" spans="1:20" x14ac:dyDescent="0.25">
      <c r="A955" s="15" t="s">
        <v>514</v>
      </c>
      <c r="B955" s="15" t="s">
        <v>482</v>
      </c>
      <c r="C955" s="15" t="s">
        <v>315</v>
      </c>
      <c r="D955" s="15" t="s">
        <v>171</v>
      </c>
      <c r="H955" s="7">
        <v>5</v>
      </c>
      <c r="I955" s="7">
        <v>9</v>
      </c>
      <c r="J955" s="8">
        <f t="shared" si="14"/>
        <v>0.35714285714285715</v>
      </c>
      <c r="K955" s="7" t="s">
        <v>30</v>
      </c>
      <c r="L955" s="7" t="s">
        <v>30</v>
      </c>
      <c r="T955" s="15" t="s">
        <v>288</v>
      </c>
    </row>
    <row r="956" spans="1:20" x14ac:dyDescent="0.25">
      <c r="A956" s="15" t="s">
        <v>514</v>
      </c>
      <c r="B956" s="15" t="s">
        <v>482</v>
      </c>
      <c r="C956" s="15" t="s">
        <v>188</v>
      </c>
      <c r="D956" s="15" t="s">
        <v>486</v>
      </c>
      <c r="H956" s="7">
        <v>4</v>
      </c>
      <c r="I956" s="7">
        <v>10</v>
      </c>
      <c r="J956" s="8">
        <f t="shared" si="14"/>
        <v>0.2857142857142857</v>
      </c>
      <c r="K956" s="7" t="s">
        <v>30</v>
      </c>
      <c r="L956" s="7" t="s">
        <v>30</v>
      </c>
      <c r="T956" s="15" t="s">
        <v>188</v>
      </c>
    </row>
    <row r="957" spans="1:20" x14ac:dyDescent="0.25">
      <c r="A957" s="15" t="s">
        <v>514</v>
      </c>
      <c r="B957" s="15" t="s">
        <v>482</v>
      </c>
      <c r="C957" s="15" t="s">
        <v>517</v>
      </c>
      <c r="D957" s="15" t="s">
        <v>393</v>
      </c>
      <c r="F957" s="7" t="s">
        <v>30</v>
      </c>
      <c r="H957" s="7">
        <v>2</v>
      </c>
      <c r="I957" s="7">
        <v>12</v>
      </c>
      <c r="J957" s="8">
        <f t="shared" si="14"/>
        <v>0.14285714285714285</v>
      </c>
      <c r="K957" s="7" t="s">
        <v>30</v>
      </c>
      <c r="L957" s="7" t="s">
        <v>30</v>
      </c>
      <c r="T957" s="15" t="s">
        <v>442</v>
      </c>
    </row>
    <row r="958" spans="1:20" x14ac:dyDescent="0.25">
      <c r="A958" s="15" t="s">
        <v>514</v>
      </c>
      <c r="B958" s="15" t="s">
        <v>482</v>
      </c>
      <c r="C958" s="15" t="s">
        <v>488</v>
      </c>
      <c r="D958" s="15" t="s">
        <v>364</v>
      </c>
      <c r="F958" s="7" t="s">
        <v>30</v>
      </c>
      <c r="H958" s="7">
        <v>0</v>
      </c>
      <c r="I958" s="7">
        <v>0</v>
      </c>
      <c r="J958" s="8" t="e">
        <f t="shared" si="14"/>
        <v>#DIV/0!</v>
      </c>
      <c r="T958" s="15" t="s">
        <v>487</v>
      </c>
    </row>
    <row r="959" spans="1:20" x14ac:dyDescent="0.25">
      <c r="A959" s="15" t="s">
        <v>514</v>
      </c>
      <c r="B959" s="15" t="s">
        <v>482</v>
      </c>
      <c r="C959" s="15" t="s">
        <v>518</v>
      </c>
      <c r="D959" s="15" t="s">
        <v>371</v>
      </c>
      <c r="F959" s="7" t="s">
        <v>30</v>
      </c>
      <c r="H959" s="7">
        <v>0</v>
      </c>
      <c r="I959" s="7">
        <v>0</v>
      </c>
      <c r="J959" s="8" t="e">
        <f t="shared" si="14"/>
        <v>#DIV/0!</v>
      </c>
      <c r="T959" s="15" t="s">
        <v>518</v>
      </c>
    </row>
    <row r="960" spans="1:20" x14ac:dyDescent="0.25">
      <c r="A960" s="15" t="s">
        <v>514</v>
      </c>
      <c r="B960" s="15" t="s">
        <v>482</v>
      </c>
      <c r="C960" s="15" t="s">
        <v>507</v>
      </c>
      <c r="D960" s="15" t="s">
        <v>508</v>
      </c>
      <c r="F960" s="7" t="s">
        <v>30</v>
      </c>
      <c r="H960" s="7">
        <v>0</v>
      </c>
      <c r="I960" s="7">
        <v>0</v>
      </c>
      <c r="J960" s="8" t="e">
        <f t="shared" si="14"/>
        <v>#DIV/0!</v>
      </c>
      <c r="T960" s="15" t="s">
        <v>507</v>
      </c>
    </row>
    <row r="961" spans="1:20" x14ac:dyDescent="0.25">
      <c r="A961" s="15" t="s">
        <v>514</v>
      </c>
      <c r="B961" s="15" t="s">
        <v>482</v>
      </c>
      <c r="C961" s="15" t="s">
        <v>456</v>
      </c>
      <c r="D961" s="15" t="s">
        <v>385</v>
      </c>
      <c r="F961" s="7" t="s">
        <v>30</v>
      </c>
      <c r="H961" s="7">
        <v>0</v>
      </c>
      <c r="I961" s="7">
        <v>0</v>
      </c>
      <c r="J961" s="8" t="e">
        <f t="shared" si="14"/>
        <v>#DIV/0!</v>
      </c>
      <c r="T961" s="15" t="s">
        <v>456</v>
      </c>
    </row>
    <row r="962" spans="1:20" x14ac:dyDescent="0.25">
      <c r="A962" s="15" t="s">
        <v>514</v>
      </c>
      <c r="B962" s="15" t="s">
        <v>482</v>
      </c>
      <c r="C962" s="15" t="s">
        <v>519</v>
      </c>
      <c r="D962" s="15" t="s">
        <v>388</v>
      </c>
      <c r="F962" s="7" t="s">
        <v>30</v>
      </c>
      <c r="H962" s="7">
        <v>0</v>
      </c>
      <c r="I962" s="7">
        <v>0</v>
      </c>
      <c r="J962" s="8" t="e">
        <f t="shared" ref="J962:J988" si="15">H962/SUM(H962:I962)</f>
        <v>#DIV/0!</v>
      </c>
      <c r="T962" s="15" t="s">
        <v>519</v>
      </c>
    </row>
    <row r="963" spans="1:20" x14ac:dyDescent="0.25">
      <c r="A963" s="15" t="s">
        <v>514</v>
      </c>
      <c r="B963" s="15" t="s">
        <v>482</v>
      </c>
      <c r="C963" s="15" t="s">
        <v>520</v>
      </c>
      <c r="D963" s="15" t="s">
        <v>521</v>
      </c>
      <c r="F963" s="7" t="s">
        <v>30</v>
      </c>
      <c r="H963" s="7">
        <v>0</v>
      </c>
      <c r="I963" s="7">
        <v>0</v>
      </c>
      <c r="J963" s="8" t="e">
        <f t="shared" si="15"/>
        <v>#DIV/0!</v>
      </c>
      <c r="T963" s="15" t="s">
        <v>520</v>
      </c>
    </row>
    <row r="964" spans="1:20" x14ac:dyDescent="0.25">
      <c r="A964" s="15" t="s">
        <v>514</v>
      </c>
      <c r="B964" s="15" t="s">
        <v>482</v>
      </c>
      <c r="C964" s="15" t="s">
        <v>522</v>
      </c>
      <c r="D964" s="15" t="s">
        <v>319</v>
      </c>
      <c r="F964" s="7" t="s">
        <v>30</v>
      </c>
      <c r="H964" s="7">
        <v>0</v>
      </c>
      <c r="I964" s="7">
        <v>0</v>
      </c>
      <c r="J964" s="8" t="e">
        <f t="shared" si="15"/>
        <v>#DIV/0!</v>
      </c>
      <c r="T964" s="15" t="s">
        <v>522</v>
      </c>
    </row>
    <row r="965" spans="1:20" x14ac:dyDescent="0.25">
      <c r="A965" s="15" t="s">
        <v>514</v>
      </c>
      <c r="B965" s="15" t="s">
        <v>482</v>
      </c>
      <c r="C965" s="15" t="s">
        <v>513</v>
      </c>
      <c r="D965" s="15" t="s">
        <v>157</v>
      </c>
      <c r="F965" s="7" t="s">
        <v>30</v>
      </c>
      <c r="H965" s="7">
        <v>0</v>
      </c>
      <c r="I965" s="7">
        <v>0</v>
      </c>
      <c r="J965" s="8" t="e">
        <f t="shared" si="15"/>
        <v>#DIV/0!</v>
      </c>
      <c r="T965" s="15" t="s">
        <v>513</v>
      </c>
    </row>
    <row r="966" spans="1:20" x14ac:dyDescent="0.25">
      <c r="A966" s="15" t="s">
        <v>523</v>
      </c>
      <c r="B966" s="15" t="s">
        <v>482</v>
      </c>
      <c r="C966" s="14" t="s">
        <v>174</v>
      </c>
      <c r="D966" s="15" t="s">
        <v>312</v>
      </c>
      <c r="H966" s="7">
        <v>10</v>
      </c>
      <c r="I966" s="7">
        <v>4</v>
      </c>
      <c r="J966" s="8">
        <f t="shared" si="15"/>
        <v>0.7142857142857143</v>
      </c>
      <c r="K966" s="7" t="s">
        <v>30</v>
      </c>
      <c r="L966" s="7" t="s">
        <v>30</v>
      </c>
      <c r="M966" s="7" t="s">
        <v>30</v>
      </c>
      <c r="T966" s="14" t="s">
        <v>174</v>
      </c>
    </row>
    <row r="967" spans="1:20" x14ac:dyDescent="0.25">
      <c r="A967" s="15" t="s">
        <v>523</v>
      </c>
      <c r="B967" s="15" t="s">
        <v>482</v>
      </c>
      <c r="C967" s="15" t="s">
        <v>478</v>
      </c>
      <c r="D967" s="15" t="s">
        <v>152</v>
      </c>
      <c r="H967" s="7">
        <v>9</v>
      </c>
      <c r="I967" s="7">
        <v>5</v>
      </c>
      <c r="J967" s="8">
        <f t="shared" si="15"/>
        <v>0.6428571428571429</v>
      </c>
      <c r="K967" s="7" t="s">
        <v>30</v>
      </c>
      <c r="L967" s="7" t="s">
        <v>30</v>
      </c>
      <c r="M967" s="7" t="s">
        <v>30</v>
      </c>
      <c r="T967" s="15" t="s">
        <v>478</v>
      </c>
    </row>
    <row r="968" spans="1:20" x14ac:dyDescent="0.25">
      <c r="A968" s="15" t="s">
        <v>523</v>
      </c>
      <c r="B968" s="15" t="s">
        <v>482</v>
      </c>
      <c r="C968" s="15" t="s">
        <v>524</v>
      </c>
      <c r="D968" s="15" t="s">
        <v>171</v>
      </c>
      <c r="H968" s="7">
        <v>9</v>
      </c>
      <c r="I968" s="7">
        <v>5</v>
      </c>
      <c r="J968" s="8">
        <f t="shared" si="15"/>
        <v>0.6428571428571429</v>
      </c>
      <c r="K968" s="7" t="s">
        <v>30</v>
      </c>
      <c r="L968" s="7" t="s">
        <v>30</v>
      </c>
      <c r="M968" s="7" t="s">
        <v>30</v>
      </c>
      <c r="N968" s="7" t="s">
        <v>30</v>
      </c>
      <c r="O968" s="16" t="s">
        <v>30</v>
      </c>
      <c r="T968" s="15" t="s">
        <v>170</v>
      </c>
    </row>
    <row r="969" spans="1:20" x14ac:dyDescent="0.25">
      <c r="A969" s="15" t="s">
        <v>523</v>
      </c>
      <c r="B969" s="15" t="s">
        <v>482</v>
      </c>
      <c r="C969" s="14" t="s">
        <v>169</v>
      </c>
      <c r="D969" s="15" t="s">
        <v>161</v>
      </c>
      <c r="H969" s="7">
        <v>8</v>
      </c>
      <c r="I969" s="7">
        <v>6</v>
      </c>
      <c r="J969" s="8">
        <f t="shared" si="15"/>
        <v>0.5714285714285714</v>
      </c>
      <c r="K969" s="7" t="s">
        <v>30</v>
      </c>
      <c r="L969" s="7" t="s">
        <v>30</v>
      </c>
      <c r="M969" s="7" t="s">
        <v>30</v>
      </c>
      <c r="N969" s="7" t="s">
        <v>30</v>
      </c>
      <c r="T969" s="14" t="s">
        <v>169</v>
      </c>
    </row>
    <row r="970" spans="1:20" x14ac:dyDescent="0.25">
      <c r="A970" s="15" t="s">
        <v>523</v>
      </c>
      <c r="B970" s="15" t="s">
        <v>482</v>
      </c>
      <c r="C970" s="15" t="s">
        <v>499</v>
      </c>
      <c r="D970" s="15" t="s">
        <v>368</v>
      </c>
      <c r="H970" s="7">
        <v>0</v>
      </c>
      <c r="I970" s="7">
        <v>0</v>
      </c>
      <c r="J970" s="8" t="e">
        <f t="shared" si="15"/>
        <v>#DIV/0!</v>
      </c>
      <c r="K970" s="7" t="s">
        <v>30</v>
      </c>
      <c r="T970" s="15" t="s">
        <v>499</v>
      </c>
    </row>
    <row r="971" spans="1:20" x14ac:dyDescent="0.25">
      <c r="A971" s="15" t="s">
        <v>523</v>
      </c>
      <c r="B971" s="15" t="s">
        <v>482</v>
      </c>
      <c r="C971" s="15" t="s">
        <v>490</v>
      </c>
      <c r="D971" s="15" t="s">
        <v>454</v>
      </c>
      <c r="F971" s="7" t="s">
        <v>30</v>
      </c>
      <c r="H971" s="7">
        <v>0</v>
      </c>
      <c r="I971" s="7">
        <v>0</v>
      </c>
      <c r="J971" s="8" t="e">
        <f t="shared" si="15"/>
        <v>#DIV/0!</v>
      </c>
      <c r="K971" s="7" t="s">
        <v>30</v>
      </c>
      <c r="T971" s="15" t="s">
        <v>372</v>
      </c>
    </row>
    <row r="972" spans="1:20" x14ac:dyDescent="0.25">
      <c r="A972" s="15" t="s">
        <v>523</v>
      </c>
      <c r="B972" s="15" t="s">
        <v>482</v>
      </c>
      <c r="C972" s="15" t="s">
        <v>526</v>
      </c>
      <c r="D972" s="15" t="s">
        <v>385</v>
      </c>
      <c r="F972" s="7" t="s">
        <v>30</v>
      </c>
      <c r="H972" s="7">
        <v>0</v>
      </c>
      <c r="I972" s="7">
        <v>0</v>
      </c>
      <c r="J972" s="8" t="e">
        <f t="shared" si="15"/>
        <v>#DIV/0!</v>
      </c>
      <c r="K972" s="7" t="s">
        <v>30</v>
      </c>
      <c r="T972" s="15" t="s">
        <v>525</v>
      </c>
    </row>
    <row r="973" spans="1:20" x14ac:dyDescent="0.25">
      <c r="A973" s="15" t="s">
        <v>523</v>
      </c>
      <c r="B973" s="15" t="s">
        <v>482</v>
      </c>
      <c r="C973" s="14" t="s">
        <v>296</v>
      </c>
      <c r="D973" s="15" t="s">
        <v>220</v>
      </c>
      <c r="H973" s="7">
        <v>0</v>
      </c>
      <c r="I973" s="7">
        <v>0</v>
      </c>
      <c r="J973" s="8" t="e">
        <f t="shared" si="15"/>
        <v>#DIV/0!</v>
      </c>
      <c r="K973" s="7" t="s">
        <v>30</v>
      </c>
      <c r="T973" s="14" t="s">
        <v>296</v>
      </c>
    </row>
    <row r="974" spans="1:20" x14ac:dyDescent="0.25">
      <c r="A974" s="15" t="s">
        <v>523</v>
      </c>
      <c r="B974" s="15" t="s">
        <v>482</v>
      </c>
      <c r="C974" s="15" t="s">
        <v>406</v>
      </c>
      <c r="D974" s="15" t="s">
        <v>326</v>
      </c>
      <c r="F974" s="7" t="s">
        <v>30</v>
      </c>
      <c r="H974" s="7">
        <v>0</v>
      </c>
      <c r="I974" s="7">
        <v>0</v>
      </c>
      <c r="J974" s="8" t="e">
        <f t="shared" si="15"/>
        <v>#DIV/0!</v>
      </c>
      <c r="K974" s="7" t="s">
        <v>30</v>
      </c>
      <c r="T974" s="15" t="s">
        <v>406</v>
      </c>
    </row>
    <row r="975" spans="1:20" x14ac:dyDescent="0.25">
      <c r="A975" s="15" t="s">
        <v>523</v>
      </c>
      <c r="B975" s="15" t="s">
        <v>482</v>
      </c>
      <c r="C975" s="15" t="s">
        <v>516</v>
      </c>
      <c r="D975" s="15" t="s">
        <v>324</v>
      </c>
      <c r="F975" s="7" t="s">
        <v>30</v>
      </c>
      <c r="H975" s="7">
        <v>0</v>
      </c>
      <c r="I975" s="7">
        <v>0</v>
      </c>
      <c r="J975" s="8" t="e">
        <f t="shared" si="15"/>
        <v>#DIV/0!</v>
      </c>
      <c r="K975" s="7" t="s">
        <v>30</v>
      </c>
      <c r="T975" s="15" t="s">
        <v>516</v>
      </c>
    </row>
    <row r="976" spans="1:20" x14ac:dyDescent="0.25">
      <c r="A976" s="15" t="s">
        <v>523</v>
      </c>
      <c r="B976" s="15" t="s">
        <v>482</v>
      </c>
      <c r="C976" s="15" t="s">
        <v>505</v>
      </c>
      <c r="D976" s="15" t="s">
        <v>319</v>
      </c>
      <c r="F976" s="7" t="s">
        <v>30</v>
      </c>
      <c r="H976" s="7">
        <v>0</v>
      </c>
      <c r="I976" s="7">
        <v>0</v>
      </c>
      <c r="J976" s="8" t="e">
        <f t="shared" si="15"/>
        <v>#DIV/0!</v>
      </c>
      <c r="K976" s="7" t="s">
        <v>30</v>
      </c>
      <c r="T976" s="15" t="s">
        <v>495</v>
      </c>
    </row>
    <row r="977" spans="1:20" x14ac:dyDescent="0.25">
      <c r="A977" s="15" t="s">
        <v>523</v>
      </c>
      <c r="B977" s="15" t="s">
        <v>482</v>
      </c>
      <c r="C977" s="14" t="s">
        <v>218</v>
      </c>
      <c r="D977" s="15" t="s">
        <v>157</v>
      </c>
      <c r="H977" s="7">
        <v>0</v>
      </c>
      <c r="I977" s="7">
        <v>0</v>
      </c>
      <c r="J977" s="8" t="e">
        <f t="shared" si="15"/>
        <v>#DIV/0!</v>
      </c>
      <c r="K977" s="7" t="s">
        <v>30</v>
      </c>
      <c r="T977" s="14" t="s">
        <v>218</v>
      </c>
    </row>
    <row r="978" spans="1:20" x14ac:dyDescent="0.25">
      <c r="A978" s="15" t="s">
        <v>523</v>
      </c>
      <c r="B978" s="15" t="s">
        <v>482</v>
      </c>
      <c r="C978" s="14" t="s">
        <v>581</v>
      </c>
      <c r="D978" s="15" t="s">
        <v>154</v>
      </c>
      <c r="H978" s="7">
        <v>7</v>
      </c>
      <c r="I978" s="7">
        <v>7</v>
      </c>
      <c r="J978" s="8">
        <f t="shared" si="15"/>
        <v>0.5</v>
      </c>
      <c r="K978" s="7" t="s">
        <v>30</v>
      </c>
      <c r="L978" s="7" t="s">
        <v>30</v>
      </c>
      <c r="T978" s="14" t="s">
        <v>581</v>
      </c>
    </row>
    <row r="979" spans="1:20" x14ac:dyDescent="0.25">
      <c r="A979" s="15" t="s">
        <v>523</v>
      </c>
      <c r="B979" s="15" t="s">
        <v>482</v>
      </c>
      <c r="C979" s="15" t="s">
        <v>515</v>
      </c>
      <c r="D979" s="15" t="s">
        <v>173</v>
      </c>
      <c r="F979" s="7" t="s">
        <v>30</v>
      </c>
      <c r="H979" s="7">
        <v>5</v>
      </c>
      <c r="I979" s="7">
        <v>9</v>
      </c>
      <c r="J979" s="8">
        <f t="shared" si="15"/>
        <v>0.35714285714285715</v>
      </c>
      <c r="K979" s="7" t="s">
        <v>30</v>
      </c>
      <c r="L979" s="7" t="s">
        <v>30</v>
      </c>
      <c r="T979" s="15" t="s">
        <v>515</v>
      </c>
    </row>
    <row r="980" spans="1:20" x14ac:dyDescent="0.25">
      <c r="A980" s="15" t="s">
        <v>523</v>
      </c>
      <c r="B980" s="15" t="s">
        <v>482</v>
      </c>
      <c r="C980" s="15" t="s">
        <v>527</v>
      </c>
      <c r="D980" s="15" t="s">
        <v>164</v>
      </c>
      <c r="H980" s="7">
        <v>4</v>
      </c>
      <c r="I980" s="7">
        <v>10</v>
      </c>
      <c r="J980" s="8">
        <f t="shared" si="15"/>
        <v>0.2857142857142857</v>
      </c>
      <c r="K980" s="7" t="s">
        <v>30</v>
      </c>
      <c r="L980" s="7" t="s">
        <v>30</v>
      </c>
      <c r="T980" s="14" t="s">
        <v>279</v>
      </c>
    </row>
    <row r="981" spans="1:20" x14ac:dyDescent="0.25">
      <c r="A981" s="15" t="s">
        <v>523</v>
      </c>
      <c r="B981" s="15" t="s">
        <v>482</v>
      </c>
      <c r="C981" s="15" t="s">
        <v>517</v>
      </c>
      <c r="D981" s="15" t="s">
        <v>393</v>
      </c>
      <c r="F981" s="7" t="s">
        <v>30</v>
      </c>
      <c r="H981" s="7">
        <v>4</v>
      </c>
      <c r="I981" s="7">
        <v>10</v>
      </c>
      <c r="J981" s="8">
        <f t="shared" si="15"/>
        <v>0.2857142857142857</v>
      </c>
      <c r="K981" s="7" t="s">
        <v>30</v>
      </c>
      <c r="L981" s="7" t="s">
        <v>30</v>
      </c>
      <c r="T981" s="15" t="s">
        <v>442</v>
      </c>
    </row>
    <row r="982" spans="1:20" x14ac:dyDescent="0.25">
      <c r="A982" s="15" t="s">
        <v>523</v>
      </c>
      <c r="B982" s="15" t="s">
        <v>482</v>
      </c>
      <c r="C982" s="15" t="s">
        <v>488</v>
      </c>
      <c r="D982" s="15" t="s">
        <v>364</v>
      </c>
      <c r="F982" s="7" t="s">
        <v>30</v>
      </c>
      <c r="H982" s="7">
        <v>0</v>
      </c>
      <c r="I982" s="7">
        <v>0</v>
      </c>
      <c r="J982" s="8" t="e">
        <f t="shared" si="15"/>
        <v>#DIV/0!</v>
      </c>
      <c r="T982" s="15" t="s">
        <v>487</v>
      </c>
    </row>
    <row r="983" spans="1:20" x14ac:dyDescent="0.25">
      <c r="A983" s="15" t="s">
        <v>523</v>
      </c>
      <c r="B983" s="15" t="s">
        <v>482</v>
      </c>
      <c r="C983" s="15" t="s">
        <v>446</v>
      </c>
      <c r="D983" s="15" t="s">
        <v>251</v>
      </c>
      <c r="F983" s="7" t="s">
        <v>30</v>
      </c>
      <c r="H983" s="7">
        <v>0</v>
      </c>
      <c r="I983" s="7">
        <v>0</v>
      </c>
      <c r="J983" s="8" t="e">
        <f t="shared" si="15"/>
        <v>#DIV/0!</v>
      </c>
      <c r="T983" s="15" t="s">
        <v>411</v>
      </c>
    </row>
    <row r="984" spans="1:20" x14ac:dyDescent="0.25">
      <c r="A984" s="15" t="s">
        <v>523</v>
      </c>
      <c r="B984" s="15" t="s">
        <v>482</v>
      </c>
      <c r="C984" s="15" t="s">
        <v>518</v>
      </c>
      <c r="D984" s="15" t="s">
        <v>371</v>
      </c>
      <c r="F984" s="7" t="s">
        <v>30</v>
      </c>
      <c r="H984" s="7">
        <v>0</v>
      </c>
      <c r="I984" s="7">
        <v>0</v>
      </c>
      <c r="J984" s="8" t="e">
        <f t="shared" si="15"/>
        <v>#DIV/0!</v>
      </c>
      <c r="T984" s="15" t="s">
        <v>518</v>
      </c>
    </row>
    <row r="985" spans="1:20" x14ac:dyDescent="0.25">
      <c r="A985" s="15" t="s">
        <v>523</v>
      </c>
      <c r="B985" s="15" t="s">
        <v>482</v>
      </c>
      <c r="C985" s="15" t="s">
        <v>528</v>
      </c>
      <c r="D985" s="15" t="s">
        <v>376</v>
      </c>
      <c r="F985" s="7" t="s">
        <v>30</v>
      </c>
      <c r="H985" s="7">
        <v>0</v>
      </c>
      <c r="I985" s="7">
        <v>0</v>
      </c>
      <c r="J985" s="8" t="e">
        <f t="shared" si="15"/>
        <v>#DIV/0!</v>
      </c>
      <c r="T985" s="15" t="s">
        <v>528</v>
      </c>
    </row>
    <row r="986" spans="1:20" x14ac:dyDescent="0.25">
      <c r="A986" s="15" t="s">
        <v>523</v>
      </c>
      <c r="B986" s="15" t="s">
        <v>482</v>
      </c>
      <c r="C986" s="15" t="s">
        <v>455</v>
      </c>
      <c r="D986" s="15" t="s">
        <v>380</v>
      </c>
      <c r="F986" s="7" t="s">
        <v>30</v>
      </c>
      <c r="H986" s="7">
        <v>0</v>
      </c>
      <c r="I986" s="7">
        <v>0</v>
      </c>
      <c r="J986" s="8" t="e">
        <f t="shared" si="15"/>
        <v>#DIV/0!</v>
      </c>
      <c r="T986" s="15" t="s">
        <v>455</v>
      </c>
    </row>
    <row r="987" spans="1:20" x14ac:dyDescent="0.25">
      <c r="A987" s="15" t="s">
        <v>523</v>
      </c>
      <c r="B987" s="15" t="s">
        <v>482</v>
      </c>
      <c r="C987" s="15" t="s">
        <v>529</v>
      </c>
      <c r="D987" s="15" t="s">
        <v>388</v>
      </c>
      <c r="F987" s="7" t="s">
        <v>30</v>
      </c>
      <c r="H987" s="7">
        <v>0</v>
      </c>
      <c r="I987" s="7">
        <v>0</v>
      </c>
      <c r="J987" s="8" t="e">
        <f t="shared" si="15"/>
        <v>#DIV/0!</v>
      </c>
      <c r="T987" s="15" t="s">
        <v>529</v>
      </c>
    </row>
    <row r="988" spans="1:20" x14ac:dyDescent="0.25">
      <c r="A988" s="15" t="s">
        <v>523</v>
      </c>
      <c r="B988" s="15" t="s">
        <v>482</v>
      </c>
      <c r="C988" s="15" t="s">
        <v>502</v>
      </c>
      <c r="D988" s="15" t="s">
        <v>503</v>
      </c>
      <c r="F988" s="7" t="s">
        <v>30</v>
      </c>
      <c r="H988" s="7">
        <v>0</v>
      </c>
      <c r="I988" s="7">
        <v>0</v>
      </c>
      <c r="J988" s="8" t="e">
        <f t="shared" si="15"/>
        <v>#DIV/0!</v>
      </c>
      <c r="T988" s="15" t="s">
        <v>502</v>
      </c>
    </row>
    <row r="989" spans="1:20" x14ac:dyDescent="0.25">
      <c r="A989" s="7" t="s">
        <v>530</v>
      </c>
      <c r="B989" s="15" t="s">
        <v>482</v>
      </c>
      <c r="C989" s="7" t="s">
        <v>524</v>
      </c>
      <c r="D989" s="7" t="s">
        <v>171</v>
      </c>
      <c r="N989" s="7" t="s">
        <v>30</v>
      </c>
      <c r="O989" s="16" t="s">
        <v>30</v>
      </c>
      <c r="T989" s="7" t="s">
        <v>170</v>
      </c>
    </row>
    <row r="990" spans="1:20" x14ac:dyDescent="0.25">
      <c r="A990" s="7" t="s">
        <v>530</v>
      </c>
      <c r="B990" s="15" t="s">
        <v>482</v>
      </c>
      <c r="C990" s="7" t="s">
        <v>531</v>
      </c>
      <c r="D990" s="7" t="s">
        <v>161</v>
      </c>
      <c r="N990" s="7" t="s">
        <v>30</v>
      </c>
      <c r="T990" s="7" t="s">
        <v>169</v>
      </c>
    </row>
    <row r="991" spans="1:20" x14ac:dyDescent="0.25">
      <c r="A991" s="7" t="s">
        <v>532</v>
      </c>
      <c r="B991" s="15" t="s">
        <v>482</v>
      </c>
      <c r="C991" s="7" t="s">
        <v>257</v>
      </c>
      <c r="D991" s="7" t="s">
        <v>312</v>
      </c>
      <c r="N991" s="7" t="s">
        <v>30</v>
      </c>
      <c r="O991" s="16" t="s">
        <v>30</v>
      </c>
      <c r="T991" s="7" t="s">
        <v>257</v>
      </c>
    </row>
    <row r="992" spans="1:20" x14ac:dyDescent="0.25">
      <c r="A992" s="7" t="s">
        <v>532</v>
      </c>
      <c r="B992" s="15" t="s">
        <v>482</v>
      </c>
      <c r="C992" s="7" t="s">
        <v>158</v>
      </c>
      <c r="D992" s="7" t="s">
        <v>486</v>
      </c>
      <c r="N992" s="7" t="s">
        <v>30</v>
      </c>
      <c r="T992" s="7" t="s">
        <v>158</v>
      </c>
    </row>
    <row r="993" spans="1:20" x14ac:dyDescent="0.25">
      <c r="A993" s="7" t="s">
        <v>533</v>
      </c>
      <c r="B993" s="15" t="s">
        <v>482</v>
      </c>
      <c r="C993" s="7" t="s">
        <v>257</v>
      </c>
      <c r="D993" s="7" t="s">
        <v>312</v>
      </c>
      <c r="N993" s="7" t="s">
        <v>30</v>
      </c>
      <c r="O993" s="16" t="s">
        <v>30</v>
      </c>
      <c r="T993" s="7" t="s">
        <v>257</v>
      </c>
    </row>
    <row r="994" spans="1:20" x14ac:dyDescent="0.25">
      <c r="A994" s="7" t="s">
        <v>533</v>
      </c>
      <c r="B994" s="15" t="s">
        <v>482</v>
      </c>
      <c r="C994" s="7" t="s">
        <v>534</v>
      </c>
      <c r="D994" s="7" t="s">
        <v>154</v>
      </c>
      <c r="N994" s="7" t="s">
        <v>30</v>
      </c>
      <c r="T994" s="7" t="s">
        <v>155</v>
      </c>
    </row>
    <row r="995" spans="1:20" x14ac:dyDescent="0.25">
      <c r="A995" s="7" t="s">
        <v>535</v>
      </c>
      <c r="B995" s="15" t="s">
        <v>482</v>
      </c>
      <c r="C995" s="7" t="s">
        <v>536</v>
      </c>
      <c r="D995" s="7" t="s">
        <v>171</v>
      </c>
      <c r="N995" s="7" t="s">
        <v>30</v>
      </c>
      <c r="O995" s="16" t="s">
        <v>30</v>
      </c>
      <c r="T995" s="7" t="s">
        <v>255</v>
      </c>
    </row>
    <row r="996" spans="1:20" x14ac:dyDescent="0.25">
      <c r="A996" s="7" t="s">
        <v>535</v>
      </c>
      <c r="B996" s="15" t="s">
        <v>482</v>
      </c>
      <c r="C996" s="7" t="s">
        <v>537</v>
      </c>
      <c r="D996" s="7" t="s">
        <v>154</v>
      </c>
      <c r="N996" s="7" t="s">
        <v>30</v>
      </c>
      <c r="T996" s="7" t="s">
        <v>581</v>
      </c>
    </row>
    <row r="997" spans="1:20" x14ac:dyDescent="0.25">
      <c r="A997" s="7" t="s">
        <v>538</v>
      </c>
      <c r="B997" s="15" t="s">
        <v>482</v>
      </c>
      <c r="C997" s="7" t="s">
        <v>539</v>
      </c>
      <c r="D997" s="7" t="s">
        <v>171</v>
      </c>
      <c r="N997" s="7" t="s">
        <v>30</v>
      </c>
      <c r="O997" s="16" t="s">
        <v>30</v>
      </c>
      <c r="T997" s="7" t="s">
        <v>239</v>
      </c>
    </row>
    <row r="998" spans="1:20" x14ac:dyDescent="0.25">
      <c r="A998" s="7" t="s">
        <v>538</v>
      </c>
      <c r="B998" s="15" t="s">
        <v>482</v>
      </c>
      <c r="C998" s="7" t="s">
        <v>540</v>
      </c>
      <c r="D998" s="7" t="s">
        <v>171</v>
      </c>
      <c r="N998" s="7" t="s">
        <v>30</v>
      </c>
      <c r="T998" s="7" t="s">
        <v>170</v>
      </c>
    </row>
    <row r="999" spans="1:20" x14ac:dyDescent="0.25">
      <c r="A999" s="7" t="s">
        <v>541</v>
      </c>
      <c r="B999" s="15" t="s">
        <v>482</v>
      </c>
      <c r="C999" s="7" t="s">
        <v>542</v>
      </c>
      <c r="D999" s="7" t="s">
        <v>171</v>
      </c>
      <c r="N999" s="7" t="s">
        <v>30</v>
      </c>
      <c r="O999" s="16" t="s">
        <v>30</v>
      </c>
      <c r="T999" s="7" t="s">
        <v>239</v>
      </c>
    </row>
    <row r="1000" spans="1:20" x14ac:dyDescent="0.25">
      <c r="A1000" s="7" t="s">
        <v>541</v>
      </c>
      <c r="B1000" s="15" t="s">
        <v>482</v>
      </c>
      <c r="C1000" s="7" t="s">
        <v>531</v>
      </c>
      <c r="D1000" s="7" t="s">
        <v>161</v>
      </c>
      <c r="N1000" s="7" t="s">
        <v>30</v>
      </c>
      <c r="T1000" s="7" t="s">
        <v>169</v>
      </c>
    </row>
    <row r="1001" spans="1:20" x14ac:dyDescent="0.25">
      <c r="A1001" s="7" t="s">
        <v>543</v>
      </c>
      <c r="B1001" s="15" t="s">
        <v>482</v>
      </c>
      <c r="C1001" s="7" t="s">
        <v>531</v>
      </c>
      <c r="D1001" s="7" t="s">
        <v>161</v>
      </c>
      <c r="N1001" s="7" t="s">
        <v>30</v>
      </c>
      <c r="O1001" s="16" t="s">
        <v>30</v>
      </c>
      <c r="T1001" s="7" t="s">
        <v>169</v>
      </c>
    </row>
    <row r="1002" spans="1:20" x14ac:dyDescent="0.25">
      <c r="A1002" s="7" t="s">
        <v>543</v>
      </c>
      <c r="B1002" s="15" t="s">
        <v>482</v>
      </c>
      <c r="C1002" s="7" t="s">
        <v>544</v>
      </c>
      <c r="D1002" s="7" t="s">
        <v>171</v>
      </c>
      <c r="N1002" s="7" t="s">
        <v>30</v>
      </c>
      <c r="T1002" s="7" t="s">
        <v>176</v>
      </c>
    </row>
    <row r="1003" spans="1:20" x14ac:dyDescent="0.25">
      <c r="A1003" s="7" t="s">
        <v>545</v>
      </c>
      <c r="B1003" s="15" t="s">
        <v>482</v>
      </c>
      <c r="C1003" s="7" t="s">
        <v>534</v>
      </c>
      <c r="D1003" s="7" t="s">
        <v>154</v>
      </c>
      <c r="N1003" s="7" t="s">
        <v>30</v>
      </c>
      <c r="O1003" s="16" t="s">
        <v>30</v>
      </c>
      <c r="T1003" s="7" t="s">
        <v>155</v>
      </c>
    </row>
    <row r="1004" spans="1:20" x14ac:dyDescent="0.25">
      <c r="A1004" s="7" t="s">
        <v>545</v>
      </c>
      <c r="B1004" s="15" t="s">
        <v>482</v>
      </c>
      <c r="C1004" s="7" t="s">
        <v>531</v>
      </c>
      <c r="D1004" s="7" t="s">
        <v>161</v>
      </c>
      <c r="N1004" s="7" t="s">
        <v>30</v>
      </c>
      <c r="T1004" s="7" t="s">
        <v>169</v>
      </c>
    </row>
    <row r="1005" spans="1:20" x14ac:dyDescent="0.25">
      <c r="A1005" s="7" t="s">
        <v>547</v>
      </c>
      <c r="B1005" s="15" t="s">
        <v>482</v>
      </c>
      <c r="C1005" s="7" t="s">
        <v>546</v>
      </c>
      <c r="D1005" s="7" t="s">
        <v>312</v>
      </c>
      <c r="N1005" s="7" t="s">
        <v>30</v>
      </c>
      <c r="O1005" s="16" t="s">
        <v>30</v>
      </c>
      <c r="T1005" s="7" t="s">
        <v>546</v>
      </c>
    </row>
    <row r="1006" spans="1:20" x14ac:dyDescent="0.25">
      <c r="A1006" s="7" t="s">
        <v>547</v>
      </c>
      <c r="B1006" s="15" t="s">
        <v>482</v>
      </c>
      <c r="C1006" s="7" t="s">
        <v>548</v>
      </c>
      <c r="D1006" s="7" t="s">
        <v>171</v>
      </c>
      <c r="N1006" s="7" t="s">
        <v>30</v>
      </c>
      <c r="T1006" s="7" t="s">
        <v>335</v>
      </c>
    </row>
    <row r="1007" spans="1:20" x14ac:dyDescent="0.25">
      <c r="A1007" s="7" t="s">
        <v>549</v>
      </c>
      <c r="B1007" s="15" t="s">
        <v>482</v>
      </c>
      <c r="C1007" s="7" t="s">
        <v>534</v>
      </c>
      <c r="D1007" s="7" t="s">
        <v>154</v>
      </c>
      <c r="N1007" s="7" t="s">
        <v>30</v>
      </c>
      <c r="O1007" s="16" t="s">
        <v>30</v>
      </c>
      <c r="T1007" s="7" t="s">
        <v>155</v>
      </c>
    </row>
    <row r="1008" spans="1:20" x14ac:dyDescent="0.25">
      <c r="A1008" s="7" t="s">
        <v>549</v>
      </c>
      <c r="B1008" s="15" t="s">
        <v>482</v>
      </c>
      <c r="C1008" s="7" t="s">
        <v>550</v>
      </c>
      <c r="D1008" s="7" t="s">
        <v>171</v>
      </c>
      <c r="N1008" s="7" t="s">
        <v>30</v>
      </c>
      <c r="T1008" s="7" t="s">
        <v>335</v>
      </c>
    </row>
    <row r="1009" spans="1:20" x14ac:dyDescent="0.25">
      <c r="A1009" s="7" t="s">
        <v>551</v>
      </c>
      <c r="B1009" s="15" t="s">
        <v>482</v>
      </c>
      <c r="C1009" s="7" t="s">
        <v>531</v>
      </c>
      <c r="D1009" s="7" t="s">
        <v>161</v>
      </c>
      <c r="N1009" s="7" t="s">
        <v>30</v>
      </c>
      <c r="O1009" s="16" t="s">
        <v>30</v>
      </c>
      <c r="T1009" s="7" t="s">
        <v>169</v>
      </c>
    </row>
    <row r="1010" spans="1:20" x14ac:dyDescent="0.25">
      <c r="A1010" s="7" t="s">
        <v>551</v>
      </c>
      <c r="B1010" s="15" t="s">
        <v>482</v>
      </c>
      <c r="C1010" s="7" t="s">
        <v>550</v>
      </c>
      <c r="D1010" s="7" t="s">
        <v>171</v>
      </c>
      <c r="N1010" s="7" t="s">
        <v>30</v>
      </c>
      <c r="T1010" s="7" t="s">
        <v>335</v>
      </c>
    </row>
    <row r="1011" spans="1:20" x14ac:dyDescent="0.25">
      <c r="A1011" s="7" t="s">
        <v>552</v>
      </c>
      <c r="B1011" s="15" t="s">
        <v>482</v>
      </c>
      <c r="C1011" s="7" t="s">
        <v>550</v>
      </c>
      <c r="D1011" s="7" t="s">
        <v>171</v>
      </c>
      <c r="N1011" s="7" t="s">
        <v>30</v>
      </c>
      <c r="O1011" s="16" t="s">
        <v>30</v>
      </c>
      <c r="T1011" s="7" t="s">
        <v>335</v>
      </c>
    </row>
    <row r="1012" spans="1:20" x14ac:dyDescent="0.25">
      <c r="A1012" s="7" t="s">
        <v>552</v>
      </c>
      <c r="B1012" s="15" t="s">
        <v>482</v>
      </c>
      <c r="C1012" s="7" t="s">
        <v>534</v>
      </c>
      <c r="D1012" s="7" t="s">
        <v>154</v>
      </c>
      <c r="N1012" s="7" t="s">
        <v>30</v>
      </c>
      <c r="T1012" s="7" t="s">
        <v>155</v>
      </c>
    </row>
    <row r="1013" spans="1:20" x14ac:dyDescent="0.25">
      <c r="A1013" s="7" t="s">
        <v>553</v>
      </c>
      <c r="B1013" s="15" t="s">
        <v>482</v>
      </c>
      <c r="C1013" s="7" t="s">
        <v>554</v>
      </c>
      <c r="D1013" s="7" t="s">
        <v>171</v>
      </c>
      <c r="N1013" s="7" t="s">
        <v>30</v>
      </c>
      <c r="O1013" s="16" t="s">
        <v>30</v>
      </c>
      <c r="T1013" s="7" t="s">
        <v>335</v>
      </c>
    </row>
    <row r="1014" spans="1:20" x14ac:dyDescent="0.25">
      <c r="A1014" s="7" t="s">
        <v>553</v>
      </c>
      <c r="B1014" s="15" t="s">
        <v>482</v>
      </c>
      <c r="C1014" s="7" t="s">
        <v>534</v>
      </c>
      <c r="D1014" s="7" t="s">
        <v>154</v>
      </c>
      <c r="N1014" s="7" t="s">
        <v>30</v>
      </c>
      <c r="T1014" s="7" t="s">
        <v>155</v>
      </c>
    </row>
    <row r="1015" spans="1:20" x14ac:dyDescent="0.25">
      <c r="A1015" s="7" t="s">
        <v>555</v>
      </c>
      <c r="B1015" s="15" t="s">
        <v>482</v>
      </c>
      <c r="C1015" s="7" t="s">
        <v>534</v>
      </c>
      <c r="D1015" s="7" t="s">
        <v>154</v>
      </c>
      <c r="N1015" s="7" t="s">
        <v>30</v>
      </c>
      <c r="O1015" s="16" t="s">
        <v>30</v>
      </c>
      <c r="T1015" s="7" t="s">
        <v>155</v>
      </c>
    </row>
    <row r="1016" spans="1:20" x14ac:dyDescent="0.25">
      <c r="A1016" s="7" t="s">
        <v>555</v>
      </c>
      <c r="B1016" s="15" t="s">
        <v>482</v>
      </c>
      <c r="C1016" s="7" t="s">
        <v>554</v>
      </c>
      <c r="D1016" s="7" t="s">
        <v>171</v>
      </c>
      <c r="N1016" s="7" t="s">
        <v>30</v>
      </c>
      <c r="T1016" s="7" t="s">
        <v>335</v>
      </c>
    </row>
    <row r="1017" spans="1:20" x14ac:dyDescent="0.25">
      <c r="A1017" s="7" t="s">
        <v>556</v>
      </c>
      <c r="B1017" s="15" t="s">
        <v>482</v>
      </c>
      <c r="C1017" s="7" t="s">
        <v>554</v>
      </c>
      <c r="D1017" s="7" t="s">
        <v>171</v>
      </c>
      <c r="N1017" s="7" t="s">
        <v>30</v>
      </c>
      <c r="O1017" s="16" t="s">
        <v>30</v>
      </c>
      <c r="T1017" s="7" t="s">
        <v>335</v>
      </c>
    </row>
    <row r="1018" spans="1:20" x14ac:dyDescent="0.25">
      <c r="A1018" s="7" t="s">
        <v>556</v>
      </c>
      <c r="B1018" s="15" t="s">
        <v>482</v>
      </c>
      <c r="C1018" s="7" t="s">
        <v>188</v>
      </c>
      <c r="D1018" s="7" t="s">
        <v>486</v>
      </c>
      <c r="N1018" s="7" t="s">
        <v>30</v>
      </c>
      <c r="T1018" s="7" t="s">
        <v>188</v>
      </c>
    </row>
    <row r="1019" spans="1:20" x14ac:dyDescent="0.25">
      <c r="A1019" s="7" t="s">
        <v>557</v>
      </c>
      <c r="B1019" s="15" t="s">
        <v>482</v>
      </c>
      <c r="C1019" s="7" t="s">
        <v>554</v>
      </c>
      <c r="D1019" s="7" t="s">
        <v>171</v>
      </c>
      <c r="N1019" s="7" t="s">
        <v>30</v>
      </c>
      <c r="O1019" s="16" t="s">
        <v>30</v>
      </c>
      <c r="T1019" s="7" t="s">
        <v>335</v>
      </c>
    </row>
    <row r="1020" spans="1:20" x14ac:dyDescent="0.25">
      <c r="A1020" s="7" t="s">
        <v>557</v>
      </c>
      <c r="B1020" s="15" t="s">
        <v>482</v>
      </c>
      <c r="C1020" s="7" t="s">
        <v>498</v>
      </c>
      <c r="D1020" s="7" t="s">
        <v>312</v>
      </c>
      <c r="N1020" s="7" t="s">
        <v>30</v>
      </c>
      <c r="T1020" s="7" t="s">
        <v>310</v>
      </c>
    </row>
    <row r="1021" spans="1:20" x14ac:dyDescent="0.25">
      <c r="A1021" s="7" t="s">
        <v>558</v>
      </c>
      <c r="B1021" s="15" t="s">
        <v>482</v>
      </c>
      <c r="C1021" s="7" t="s">
        <v>188</v>
      </c>
      <c r="D1021" s="7" t="s">
        <v>486</v>
      </c>
      <c r="N1021" s="7" t="s">
        <v>30</v>
      </c>
      <c r="O1021" s="16" t="s">
        <v>30</v>
      </c>
      <c r="T1021" s="7" t="s">
        <v>188</v>
      </c>
    </row>
    <row r="1022" spans="1:20" x14ac:dyDescent="0.25">
      <c r="A1022" s="7" t="s">
        <v>558</v>
      </c>
      <c r="B1022" s="15" t="s">
        <v>482</v>
      </c>
      <c r="C1022" s="7" t="s">
        <v>554</v>
      </c>
      <c r="D1022" s="7" t="s">
        <v>171</v>
      </c>
      <c r="N1022" s="7" t="s">
        <v>30</v>
      </c>
      <c r="T1022" s="7" t="s">
        <v>335</v>
      </c>
    </row>
    <row r="1023" spans="1:20" x14ac:dyDescent="0.25">
      <c r="A1023" s="7" t="s">
        <v>559</v>
      </c>
      <c r="B1023" s="15" t="s">
        <v>482</v>
      </c>
      <c r="C1023" s="7" t="s">
        <v>554</v>
      </c>
      <c r="D1023" s="7" t="s">
        <v>171</v>
      </c>
      <c r="N1023" s="7" t="s">
        <v>30</v>
      </c>
      <c r="O1023" s="16" t="s">
        <v>30</v>
      </c>
      <c r="T1023" s="7" t="s">
        <v>335</v>
      </c>
    </row>
    <row r="1024" spans="1:20" x14ac:dyDescent="0.25">
      <c r="A1024" s="7" t="s">
        <v>559</v>
      </c>
      <c r="B1024" s="15" t="s">
        <v>482</v>
      </c>
      <c r="C1024" s="7" t="s">
        <v>188</v>
      </c>
      <c r="D1024" s="7" t="s">
        <v>486</v>
      </c>
      <c r="N1024" s="7" t="s">
        <v>30</v>
      </c>
      <c r="T1024" s="7" t="s">
        <v>188</v>
      </c>
    </row>
    <row r="1025" spans="1:20" x14ac:dyDescent="0.25">
      <c r="A1025" s="7" t="s">
        <v>560</v>
      </c>
      <c r="B1025" s="15" t="s">
        <v>482</v>
      </c>
      <c r="C1025" s="7" t="s">
        <v>188</v>
      </c>
      <c r="D1025" s="7" t="s">
        <v>486</v>
      </c>
      <c r="N1025" s="7" t="s">
        <v>30</v>
      </c>
      <c r="O1025" s="16" t="s">
        <v>30</v>
      </c>
      <c r="T1025" s="7" t="s">
        <v>188</v>
      </c>
    </row>
    <row r="1026" spans="1:20" x14ac:dyDescent="0.25">
      <c r="A1026" s="7" t="s">
        <v>560</v>
      </c>
      <c r="B1026" s="15" t="s">
        <v>482</v>
      </c>
      <c r="C1026" s="7" t="s">
        <v>534</v>
      </c>
      <c r="D1026" s="7" t="s">
        <v>154</v>
      </c>
      <c r="N1026" s="7" t="s">
        <v>30</v>
      </c>
      <c r="T1026" s="7" t="s">
        <v>155</v>
      </c>
    </row>
    <row r="1027" spans="1:20" x14ac:dyDescent="0.25">
      <c r="A1027" s="7" t="s">
        <v>561</v>
      </c>
      <c r="B1027" s="15" t="s">
        <v>482</v>
      </c>
      <c r="C1027" s="7" t="s">
        <v>534</v>
      </c>
      <c r="D1027" s="7" t="s">
        <v>154</v>
      </c>
      <c r="N1027" s="7" t="s">
        <v>30</v>
      </c>
      <c r="O1027" s="16" t="s">
        <v>30</v>
      </c>
      <c r="T1027" s="7" t="s">
        <v>155</v>
      </c>
    </row>
    <row r="1028" spans="1:20" x14ac:dyDescent="0.25">
      <c r="A1028" s="7" t="s">
        <v>561</v>
      </c>
      <c r="B1028" s="15" t="s">
        <v>482</v>
      </c>
      <c r="C1028" s="7" t="s">
        <v>563</v>
      </c>
      <c r="D1028" s="7" t="s">
        <v>454</v>
      </c>
      <c r="N1028" s="7" t="s">
        <v>30</v>
      </c>
      <c r="T1028" s="7" t="s">
        <v>562</v>
      </c>
    </row>
    <row r="1029" spans="1:20" x14ac:dyDescent="0.25">
      <c r="A1029" s="7" t="s">
        <v>564</v>
      </c>
      <c r="B1029" s="15" t="s">
        <v>482</v>
      </c>
      <c r="C1029" s="7" t="s">
        <v>534</v>
      </c>
      <c r="D1029" s="7" t="s">
        <v>154</v>
      </c>
      <c r="N1029" s="7" t="s">
        <v>30</v>
      </c>
      <c r="O1029" s="16" t="s">
        <v>30</v>
      </c>
      <c r="T1029" s="7" t="s">
        <v>155</v>
      </c>
    </row>
    <row r="1030" spans="1:20" x14ac:dyDescent="0.25">
      <c r="A1030" s="7" t="s">
        <v>564</v>
      </c>
      <c r="B1030" s="15" t="s">
        <v>482</v>
      </c>
      <c r="C1030" s="7" t="s">
        <v>565</v>
      </c>
      <c r="D1030" s="7" t="s">
        <v>171</v>
      </c>
      <c r="N1030" s="7" t="s">
        <v>30</v>
      </c>
      <c r="T1030" s="7" t="s">
        <v>170</v>
      </c>
    </row>
    <row r="1031" spans="1:20" x14ac:dyDescent="0.25">
      <c r="A1031" s="7" t="s">
        <v>566</v>
      </c>
      <c r="B1031" s="15" t="s">
        <v>482</v>
      </c>
      <c r="C1031" s="7" t="s">
        <v>565</v>
      </c>
      <c r="D1031" s="7" t="s">
        <v>171</v>
      </c>
      <c r="N1031" s="7" t="s">
        <v>30</v>
      </c>
      <c r="O1031" s="16" t="s">
        <v>30</v>
      </c>
      <c r="T1031" s="7" t="s">
        <v>170</v>
      </c>
    </row>
    <row r="1032" spans="1:20" x14ac:dyDescent="0.25">
      <c r="A1032" s="7" t="s">
        <v>566</v>
      </c>
      <c r="B1032" s="15" t="s">
        <v>482</v>
      </c>
      <c r="C1032" s="7" t="s">
        <v>567</v>
      </c>
      <c r="D1032" s="7" t="s">
        <v>454</v>
      </c>
      <c r="N1032" s="7" t="s">
        <v>30</v>
      </c>
      <c r="T1032" s="7" t="s">
        <v>438</v>
      </c>
    </row>
    <row r="1033" spans="1:20" x14ac:dyDescent="0.25">
      <c r="A1033" s="7" t="s">
        <v>568</v>
      </c>
      <c r="B1033" s="15" t="s">
        <v>482</v>
      </c>
      <c r="C1033" s="7" t="s">
        <v>534</v>
      </c>
      <c r="D1033" s="7" t="s">
        <v>154</v>
      </c>
      <c r="N1033" s="7" t="s">
        <v>30</v>
      </c>
      <c r="O1033" s="16" t="s">
        <v>30</v>
      </c>
      <c r="T1033" s="7" t="s">
        <v>155</v>
      </c>
    </row>
    <row r="1034" spans="1:20" x14ac:dyDescent="0.25">
      <c r="A1034" s="7" t="s">
        <v>568</v>
      </c>
      <c r="B1034" s="15" t="s">
        <v>482</v>
      </c>
      <c r="C1034" s="7" t="s">
        <v>188</v>
      </c>
      <c r="D1034" s="7" t="s">
        <v>486</v>
      </c>
      <c r="N1034" s="7" t="s">
        <v>30</v>
      </c>
      <c r="T1034" s="7" t="s">
        <v>188</v>
      </c>
    </row>
    <row r="1035" spans="1:20" x14ac:dyDescent="0.25">
      <c r="A1035" s="7" t="s">
        <v>569</v>
      </c>
      <c r="B1035" s="15" t="s">
        <v>482</v>
      </c>
      <c r="C1035" s="7" t="s">
        <v>534</v>
      </c>
      <c r="D1035" s="7" t="s">
        <v>154</v>
      </c>
      <c r="N1035" s="7" t="s">
        <v>30</v>
      </c>
      <c r="O1035" s="16" t="s">
        <v>30</v>
      </c>
      <c r="T1035" s="7" t="s">
        <v>155</v>
      </c>
    </row>
    <row r="1036" spans="1:20" x14ac:dyDescent="0.25">
      <c r="A1036" s="7" t="s">
        <v>569</v>
      </c>
      <c r="B1036" s="15" t="s">
        <v>482</v>
      </c>
      <c r="C1036" s="7" t="s">
        <v>563</v>
      </c>
      <c r="D1036" s="7" t="s">
        <v>454</v>
      </c>
      <c r="N1036" s="7" t="s">
        <v>30</v>
      </c>
      <c r="T1036" s="7" t="s">
        <v>562</v>
      </c>
    </row>
    <row r="1037" spans="1:20" x14ac:dyDescent="0.25">
      <c r="A1037" s="7" t="s">
        <v>570</v>
      </c>
      <c r="B1037" s="15" t="s">
        <v>482</v>
      </c>
      <c r="C1037" s="7" t="s">
        <v>188</v>
      </c>
      <c r="D1037" s="7" t="s">
        <v>486</v>
      </c>
      <c r="N1037" s="7" t="s">
        <v>30</v>
      </c>
      <c r="O1037" s="16" t="s">
        <v>30</v>
      </c>
      <c r="T1037" s="7" t="s">
        <v>188</v>
      </c>
    </row>
    <row r="1038" spans="1:20" x14ac:dyDescent="0.25">
      <c r="A1038" s="7" t="s">
        <v>570</v>
      </c>
      <c r="B1038" s="15" t="s">
        <v>482</v>
      </c>
      <c r="C1038" s="7" t="s">
        <v>534</v>
      </c>
      <c r="D1038" s="7" t="s">
        <v>154</v>
      </c>
      <c r="N1038" s="7" t="s">
        <v>30</v>
      </c>
      <c r="T1038" s="7" t="s">
        <v>155</v>
      </c>
    </row>
    <row r="1039" spans="1:20" x14ac:dyDescent="0.25">
      <c r="A1039" s="7" t="s">
        <v>572</v>
      </c>
      <c r="B1039" s="15" t="s">
        <v>482</v>
      </c>
      <c r="C1039" s="7" t="s">
        <v>573</v>
      </c>
      <c r="D1039" s="7" t="s">
        <v>486</v>
      </c>
      <c r="N1039" s="7" t="s">
        <v>30</v>
      </c>
      <c r="O1039" s="16" t="s">
        <v>30</v>
      </c>
      <c r="T1039" s="7" t="s">
        <v>571</v>
      </c>
    </row>
    <row r="1040" spans="1:20" x14ac:dyDescent="0.25">
      <c r="A1040" s="7" t="s">
        <v>572</v>
      </c>
      <c r="B1040" s="15" t="s">
        <v>482</v>
      </c>
      <c r="C1040" s="7" t="s">
        <v>534</v>
      </c>
      <c r="D1040" s="7" t="s">
        <v>154</v>
      </c>
      <c r="N1040" s="7" t="s">
        <v>30</v>
      </c>
      <c r="T1040" s="7" t="s">
        <v>155</v>
      </c>
    </row>
    <row r="1041" spans="1:20" x14ac:dyDescent="0.25">
      <c r="A1041" s="7" t="s">
        <v>574</v>
      </c>
      <c r="B1041" s="15" t="s">
        <v>482</v>
      </c>
      <c r="C1041" s="7" t="s">
        <v>188</v>
      </c>
      <c r="D1041" s="7" t="s">
        <v>486</v>
      </c>
      <c r="N1041" s="7" t="s">
        <v>30</v>
      </c>
      <c r="O1041" s="16" t="s">
        <v>30</v>
      </c>
      <c r="T1041" s="7" t="s">
        <v>188</v>
      </c>
    </row>
    <row r="1042" spans="1:20" x14ac:dyDescent="0.25">
      <c r="A1042" s="7" t="s">
        <v>574</v>
      </c>
      <c r="B1042" s="15" t="s">
        <v>482</v>
      </c>
      <c r="C1042" s="7" t="s">
        <v>575</v>
      </c>
      <c r="D1042" s="7" t="s">
        <v>424</v>
      </c>
      <c r="N1042" s="7" t="s">
        <v>30</v>
      </c>
      <c r="T1042" s="7" t="s">
        <v>575</v>
      </c>
    </row>
    <row r="1043" spans="1:20" x14ac:dyDescent="0.25">
      <c r="A1043" s="7" t="s">
        <v>576</v>
      </c>
      <c r="B1043" s="15" t="s">
        <v>482</v>
      </c>
      <c r="C1043" s="7" t="s">
        <v>575</v>
      </c>
      <c r="D1043" s="7" t="s">
        <v>486</v>
      </c>
      <c r="N1043" s="7" t="s">
        <v>30</v>
      </c>
      <c r="O1043" s="16" t="s">
        <v>30</v>
      </c>
      <c r="T1043" s="7" t="s">
        <v>575</v>
      </c>
    </row>
    <row r="1044" spans="1:20" x14ac:dyDescent="0.25">
      <c r="A1044" s="7" t="s">
        <v>576</v>
      </c>
      <c r="B1044" s="15" t="s">
        <v>482</v>
      </c>
      <c r="C1044" s="7" t="s">
        <v>571</v>
      </c>
      <c r="D1044" s="7" t="s">
        <v>486</v>
      </c>
      <c r="N1044" s="7" t="s">
        <v>30</v>
      </c>
      <c r="T1044" s="7" t="s">
        <v>571</v>
      </c>
    </row>
    <row r="1045" spans="1:20" x14ac:dyDescent="0.25">
      <c r="A1045" s="7" t="s">
        <v>577</v>
      </c>
      <c r="B1045" s="15" t="s">
        <v>482</v>
      </c>
      <c r="C1045" s="7" t="s">
        <v>575</v>
      </c>
      <c r="D1045" s="7" t="s">
        <v>486</v>
      </c>
      <c r="N1045" s="7" t="s">
        <v>30</v>
      </c>
      <c r="O1045" s="16" t="s">
        <v>30</v>
      </c>
      <c r="T1045" s="7" t="s">
        <v>575</v>
      </c>
    </row>
    <row r="1046" spans="1:20" x14ac:dyDescent="0.25">
      <c r="A1046" s="7" t="s">
        <v>577</v>
      </c>
      <c r="B1046" s="15" t="s">
        <v>482</v>
      </c>
      <c r="C1046" s="7" t="s">
        <v>579</v>
      </c>
      <c r="D1046" s="7" t="s">
        <v>368</v>
      </c>
      <c r="N1046" s="7" t="s">
        <v>30</v>
      </c>
      <c r="T1046" s="7" t="s">
        <v>578</v>
      </c>
    </row>
    <row r="1047" spans="1:20" x14ac:dyDescent="0.25">
      <c r="A1047" s="7" t="s">
        <v>580</v>
      </c>
      <c r="B1047" s="15" t="s">
        <v>482</v>
      </c>
      <c r="C1047" s="7" t="s">
        <v>575</v>
      </c>
      <c r="D1047" s="7" t="s">
        <v>486</v>
      </c>
      <c r="N1047" s="7" t="s">
        <v>30</v>
      </c>
      <c r="O1047" s="16" t="s">
        <v>30</v>
      </c>
      <c r="T1047" s="7" t="s">
        <v>575</v>
      </c>
    </row>
    <row r="1048" spans="1:20" x14ac:dyDescent="0.25">
      <c r="A1048" s="7" t="s">
        <v>580</v>
      </c>
      <c r="B1048" s="15" t="s">
        <v>482</v>
      </c>
      <c r="C1048" s="7" t="s">
        <v>579</v>
      </c>
      <c r="D1048" s="7" t="s">
        <v>368</v>
      </c>
      <c r="N1048" s="7" t="s">
        <v>30</v>
      </c>
      <c r="T1048" s="7" t="s">
        <v>578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23733-C3E7-4218-BD15-769396DC8634}">
  <dimension ref="A1:H178"/>
  <sheetViews>
    <sheetView topLeftCell="A154" workbookViewId="0">
      <selection activeCell="E166" sqref="E166"/>
    </sheetView>
  </sheetViews>
  <sheetFormatPr defaultRowHeight="15" x14ac:dyDescent="0.25"/>
  <cols>
    <col min="1" max="1" width="41.85546875" customWidth="1"/>
    <col min="2" max="2" width="14.28515625" customWidth="1"/>
    <col min="3" max="3" width="11.42578125" style="2" customWidth="1"/>
    <col min="4" max="4" width="32.42578125" customWidth="1"/>
    <col min="5" max="5" width="19" style="2" customWidth="1"/>
    <col min="6" max="6" width="34.28515625" customWidth="1"/>
    <col min="7" max="8" width="38.140625" customWidth="1"/>
  </cols>
  <sheetData>
    <row r="1" spans="1:8" x14ac:dyDescent="0.25">
      <c r="A1" s="1" t="s">
        <v>134</v>
      </c>
      <c r="B1" s="1" t="s">
        <v>654</v>
      </c>
      <c r="C1" s="17" t="s">
        <v>27</v>
      </c>
      <c r="D1" s="19" t="s">
        <v>655</v>
      </c>
      <c r="E1" s="17" t="s">
        <v>592</v>
      </c>
      <c r="F1" s="19" t="s">
        <v>656</v>
      </c>
      <c r="G1" s="20" t="s">
        <v>689</v>
      </c>
      <c r="H1" s="20" t="s">
        <v>690</v>
      </c>
    </row>
    <row r="2" spans="1:8" x14ac:dyDescent="0.25">
      <c r="A2" t="s">
        <v>659</v>
      </c>
      <c r="B2" t="s">
        <v>376</v>
      </c>
      <c r="C2" s="18">
        <v>1971</v>
      </c>
      <c r="D2" t="s">
        <v>674</v>
      </c>
      <c r="E2" s="22" t="s">
        <v>612</v>
      </c>
      <c r="F2" s="21" t="s">
        <v>630</v>
      </c>
      <c r="G2" t="s">
        <v>674</v>
      </c>
      <c r="H2" s="21" t="s">
        <v>630</v>
      </c>
    </row>
    <row r="3" spans="1:8" x14ac:dyDescent="0.25">
      <c r="A3" t="s">
        <v>659</v>
      </c>
      <c r="B3" t="s">
        <v>376</v>
      </c>
      <c r="C3" s="18">
        <v>1972</v>
      </c>
      <c r="D3" t="s">
        <v>674</v>
      </c>
      <c r="E3" s="22" t="s">
        <v>615</v>
      </c>
      <c r="F3" s="21" t="s">
        <v>631</v>
      </c>
      <c r="G3" t="s">
        <v>674</v>
      </c>
      <c r="H3" s="21" t="s">
        <v>631</v>
      </c>
    </row>
    <row r="4" spans="1:8" x14ac:dyDescent="0.25">
      <c r="A4" t="s">
        <v>659</v>
      </c>
      <c r="B4" t="s">
        <v>376</v>
      </c>
      <c r="C4" s="18">
        <v>1973</v>
      </c>
      <c r="D4" t="s">
        <v>674</v>
      </c>
      <c r="E4" s="22" t="s">
        <v>594</v>
      </c>
      <c r="F4" s="21" t="s">
        <v>632</v>
      </c>
      <c r="G4" t="s">
        <v>674</v>
      </c>
      <c r="H4" s="21" t="s">
        <v>632</v>
      </c>
    </row>
    <row r="5" spans="1:8" x14ac:dyDescent="0.25">
      <c r="A5" t="s">
        <v>659</v>
      </c>
      <c r="B5" t="s">
        <v>376</v>
      </c>
      <c r="C5" s="18">
        <v>1974</v>
      </c>
      <c r="D5" s="21" t="s">
        <v>633</v>
      </c>
      <c r="E5" s="22" t="s">
        <v>610</v>
      </c>
      <c r="F5" t="s">
        <v>674</v>
      </c>
      <c r="G5" s="21" t="s">
        <v>633</v>
      </c>
      <c r="H5" t="s">
        <v>674</v>
      </c>
    </row>
    <row r="6" spans="1:8" x14ac:dyDescent="0.25">
      <c r="A6" t="s">
        <v>659</v>
      </c>
      <c r="B6" t="s">
        <v>376</v>
      </c>
      <c r="C6" s="18">
        <v>1975</v>
      </c>
      <c r="D6" s="21" t="s">
        <v>629</v>
      </c>
      <c r="E6" s="22" t="s">
        <v>634</v>
      </c>
      <c r="F6" s="21" t="s">
        <v>635</v>
      </c>
      <c r="G6" t="s">
        <v>674</v>
      </c>
      <c r="H6" s="21" t="s">
        <v>635</v>
      </c>
    </row>
    <row r="7" spans="1:8" x14ac:dyDescent="0.25">
      <c r="A7" t="s">
        <v>659</v>
      </c>
      <c r="B7" t="s">
        <v>376</v>
      </c>
      <c r="C7" s="18">
        <v>1976</v>
      </c>
      <c r="D7" s="21" t="s">
        <v>629</v>
      </c>
      <c r="E7" s="22" t="s">
        <v>636</v>
      </c>
      <c r="F7" s="21" t="s">
        <v>700</v>
      </c>
      <c r="G7" t="s">
        <v>674</v>
      </c>
      <c r="H7" s="21" t="s">
        <v>700</v>
      </c>
    </row>
    <row r="8" spans="1:8" x14ac:dyDescent="0.25">
      <c r="A8" t="s">
        <v>659</v>
      </c>
      <c r="B8" t="s">
        <v>376</v>
      </c>
      <c r="C8" s="18">
        <v>1977</v>
      </c>
      <c r="D8" s="21" t="s">
        <v>700</v>
      </c>
      <c r="E8" s="22" t="s">
        <v>608</v>
      </c>
      <c r="F8" t="s">
        <v>674</v>
      </c>
      <c r="G8" s="21" t="s">
        <v>700</v>
      </c>
      <c r="H8" t="s">
        <v>674</v>
      </c>
    </row>
    <row r="9" spans="1:8" x14ac:dyDescent="0.25">
      <c r="A9" t="s">
        <v>659</v>
      </c>
      <c r="B9" t="s">
        <v>376</v>
      </c>
      <c r="C9" s="18">
        <v>1978</v>
      </c>
      <c r="D9" s="21" t="s">
        <v>629</v>
      </c>
      <c r="E9" s="22" t="s">
        <v>637</v>
      </c>
      <c r="F9" s="21" t="s">
        <v>700</v>
      </c>
      <c r="G9" t="s">
        <v>674</v>
      </c>
      <c r="H9" s="21" t="s">
        <v>700</v>
      </c>
    </row>
    <row r="10" spans="1:8" x14ac:dyDescent="0.25">
      <c r="A10" t="s">
        <v>659</v>
      </c>
      <c r="B10" t="s">
        <v>376</v>
      </c>
      <c r="C10" s="18">
        <v>1979</v>
      </c>
      <c r="D10" t="s">
        <v>674</v>
      </c>
      <c r="E10" s="22" t="s">
        <v>608</v>
      </c>
      <c r="F10" s="21" t="s">
        <v>638</v>
      </c>
      <c r="G10" t="s">
        <v>674</v>
      </c>
      <c r="H10" s="21" t="s">
        <v>638</v>
      </c>
    </row>
    <row r="11" spans="1:8" x14ac:dyDescent="0.25">
      <c r="A11" t="s">
        <v>659</v>
      </c>
      <c r="B11" t="s">
        <v>376</v>
      </c>
      <c r="C11" s="18">
        <v>1980</v>
      </c>
      <c r="D11" s="21" t="s">
        <v>639</v>
      </c>
      <c r="E11" s="22" t="s">
        <v>608</v>
      </c>
      <c r="F11" s="21" t="s">
        <v>640</v>
      </c>
      <c r="G11" s="21" t="s">
        <v>639</v>
      </c>
      <c r="H11" s="21" t="s">
        <v>640</v>
      </c>
    </row>
    <row r="12" spans="1:8" x14ac:dyDescent="0.25">
      <c r="A12" t="s">
        <v>659</v>
      </c>
      <c r="B12" t="s">
        <v>376</v>
      </c>
      <c r="C12" s="18">
        <v>1981</v>
      </c>
      <c r="D12" t="s">
        <v>674</v>
      </c>
      <c r="E12" s="22" t="s">
        <v>634</v>
      </c>
      <c r="F12" s="21" t="s">
        <v>639</v>
      </c>
      <c r="G12" t="s">
        <v>674</v>
      </c>
      <c r="H12" s="21" t="s">
        <v>639</v>
      </c>
    </row>
    <row r="13" spans="1:8" x14ac:dyDescent="0.25">
      <c r="A13" t="s">
        <v>659</v>
      </c>
      <c r="B13" t="s">
        <v>376</v>
      </c>
      <c r="C13" s="18">
        <v>1982</v>
      </c>
      <c r="D13" s="21" t="s">
        <v>638</v>
      </c>
      <c r="E13" s="22" t="s">
        <v>594</v>
      </c>
      <c r="F13" s="21" t="s">
        <v>641</v>
      </c>
      <c r="G13" s="21" t="s">
        <v>638</v>
      </c>
      <c r="H13" s="21" t="s">
        <v>641</v>
      </c>
    </row>
    <row r="14" spans="1:8" x14ac:dyDescent="0.25">
      <c r="A14" t="s">
        <v>659</v>
      </c>
      <c r="B14" t="s">
        <v>376</v>
      </c>
      <c r="C14" s="18">
        <v>1983</v>
      </c>
      <c r="D14" s="21" t="s">
        <v>585</v>
      </c>
      <c r="E14" s="22" t="s">
        <v>615</v>
      </c>
      <c r="F14" s="21" t="s">
        <v>639</v>
      </c>
      <c r="G14" s="21" t="s">
        <v>585</v>
      </c>
      <c r="H14" s="21" t="s">
        <v>639</v>
      </c>
    </row>
    <row r="15" spans="1:8" x14ac:dyDescent="0.25">
      <c r="A15" t="s">
        <v>659</v>
      </c>
      <c r="B15" t="s">
        <v>376</v>
      </c>
      <c r="C15" s="18">
        <v>1984</v>
      </c>
      <c r="D15" s="21" t="s">
        <v>642</v>
      </c>
      <c r="E15" s="22" t="s">
        <v>634</v>
      </c>
      <c r="F15" s="21" t="s">
        <v>585</v>
      </c>
      <c r="G15" s="21" t="s">
        <v>642</v>
      </c>
      <c r="H15" s="21" t="s">
        <v>585</v>
      </c>
    </row>
    <row r="16" spans="1:8" x14ac:dyDescent="0.25">
      <c r="A16" t="s">
        <v>659</v>
      </c>
      <c r="B16" t="s">
        <v>376</v>
      </c>
      <c r="C16" s="18">
        <v>1985</v>
      </c>
      <c r="D16" s="21" t="s">
        <v>643</v>
      </c>
      <c r="E16" s="22" t="s">
        <v>594</v>
      </c>
      <c r="F16" s="21" t="s">
        <v>585</v>
      </c>
      <c r="G16" s="21" t="s">
        <v>643</v>
      </c>
      <c r="H16" s="21" t="s">
        <v>585</v>
      </c>
    </row>
    <row r="17" spans="1:8" x14ac:dyDescent="0.25">
      <c r="A17" t="s">
        <v>659</v>
      </c>
      <c r="B17" t="s">
        <v>376</v>
      </c>
      <c r="C17" s="18">
        <v>1986</v>
      </c>
      <c r="D17" s="21" t="s">
        <v>701</v>
      </c>
      <c r="E17" s="22" t="s">
        <v>609</v>
      </c>
      <c r="F17" s="21" t="s">
        <v>585</v>
      </c>
      <c r="G17" s="21" t="s">
        <v>701</v>
      </c>
      <c r="H17" s="21" t="s">
        <v>585</v>
      </c>
    </row>
    <row r="18" spans="1:8" x14ac:dyDescent="0.25">
      <c r="A18" t="s">
        <v>659</v>
      </c>
      <c r="B18" t="s">
        <v>376</v>
      </c>
      <c r="C18" s="18">
        <v>1987</v>
      </c>
      <c r="D18" s="21" t="s">
        <v>585</v>
      </c>
      <c r="E18" s="22" t="s">
        <v>594</v>
      </c>
      <c r="F18" s="21" t="s">
        <v>639</v>
      </c>
      <c r="G18" s="21" t="s">
        <v>585</v>
      </c>
      <c r="H18" s="21" t="s">
        <v>639</v>
      </c>
    </row>
    <row r="19" spans="1:8" x14ac:dyDescent="0.25">
      <c r="A19" t="s">
        <v>659</v>
      </c>
      <c r="B19" t="s">
        <v>376</v>
      </c>
      <c r="C19" s="18">
        <v>1988</v>
      </c>
      <c r="D19" s="21" t="s">
        <v>585</v>
      </c>
      <c r="E19" s="22" t="s">
        <v>613</v>
      </c>
      <c r="F19" s="21" t="s">
        <v>644</v>
      </c>
      <c r="G19" s="21" t="s">
        <v>585</v>
      </c>
      <c r="H19" s="21" t="s">
        <v>644</v>
      </c>
    </row>
    <row r="20" spans="1:8" x14ac:dyDescent="0.25">
      <c r="A20" t="s">
        <v>659</v>
      </c>
      <c r="B20" t="s">
        <v>376</v>
      </c>
      <c r="C20" s="18">
        <v>1989</v>
      </c>
      <c r="D20" s="21" t="s">
        <v>644</v>
      </c>
      <c r="E20" s="22" t="s">
        <v>615</v>
      </c>
      <c r="F20" s="21" t="s">
        <v>643</v>
      </c>
      <c r="G20" s="21" t="s">
        <v>644</v>
      </c>
      <c r="H20" s="21" t="s">
        <v>643</v>
      </c>
    </row>
    <row r="21" spans="1:8" x14ac:dyDescent="0.25">
      <c r="A21" t="s">
        <v>659</v>
      </c>
      <c r="B21" t="s">
        <v>376</v>
      </c>
      <c r="C21" s="18">
        <v>1990</v>
      </c>
      <c r="D21" s="21" t="s">
        <v>585</v>
      </c>
      <c r="E21" s="22" t="s">
        <v>608</v>
      </c>
      <c r="F21" s="21" t="s">
        <v>643</v>
      </c>
      <c r="G21" s="21" t="s">
        <v>585</v>
      </c>
      <c r="H21" s="21" t="s">
        <v>643</v>
      </c>
    </row>
    <row r="22" spans="1:8" x14ac:dyDescent="0.25">
      <c r="A22" t="s">
        <v>659</v>
      </c>
      <c r="B22" t="s">
        <v>376</v>
      </c>
      <c r="C22" s="18">
        <v>1991</v>
      </c>
      <c r="D22" s="21" t="s">
        <v>645</v>
      </c>
      <c r="E22" s="22" t="s">
        <v>608</v>
      </c>
      <c r="F22" s="21" t="s">
        <v>585</v>
      </c>
      <c r="G22" s="21" t="s">
        <v>645</v>
      </c>
      <c r="H22" s="21" t="s">
        <v>585</v>
      </c>
    </row>
    <row r="23" spans="1:8" x14ac:dyDescent="0.25">
      <c r="A23" t="s">
        <v>659</v>
      </c>
      <c r="B23" t="s">
        <v>376</v>
      </c>
      <c r="C23" s="18">
        <v>1992</v>
      </c>
      <c r="D23" s="21" t="s">
        <v>585</v>
      </c>
      <c r="E23" s="22" t="s">
        <v>614</v>
      </c>
      <c r="F23" s="21" t="s">
        <v>586</v>
      </c>
      <c r="G23" s="21" t="s">
        <v>585</v>
      </c>
      <c r="H23" s="21" t="s">
        <v>586</v>
      </c>
    </row>
    <row r="24" spans="1:8" x14ac:dyDescent="0.25">
      <c r="A24" t="s">
        <v>702</v>
      </c>
      <c r="B24" t="s">
        <v>376</v>
      </c>
      <c r="C24" s="18">
        <v>1992</v>
      </c>
      <c r="D24" s="21" t="s">
        <v>585</v>
      </c>
      <c r="E24" s="22"/>
      <c r="F24" s="21" t="s">
        <v>586</v>
      </c>
      <c r="G24" s="21" t="s">
        <v>585</v>
      </c>
      <c r="H24" s="21" t="s">
        <v>586</v>
      </c>
    </row>
    <row r="25" spans="1:8" x14ac:dyDescent="0.25">
      <c r="A25" t="s">
        <v>659</v>
      </c>
      <c r="B25" t="s">
        <v>376</v>
      </c>
      <c r="C25" s="18">
        <v>1993</v>
      </c>
      <c r="D25" s="21" t="s">
        <v>587</v>
      </c>
      <c r="E25" s="22" t="s">
        <v>617</v>
      </c>
      <c r="F25" s="21" t="s">
        <v>585</v>
      </c>
      <c r="G25" t="s">
        <v>667</v>
      </c>
      <c r="H25" s="21" t="s">
        <v>585</v>
      </c>
    </row>
    <row r="26" spans="1:8" x14ac:dyDescent="0.25">
      <c r="A26" t="s">
        <v>702</v>
      </c>
      <c r="B26" t="s">
        <v>376</v>
      </c>
      <c r="C26" s="18">
        <v>1993</v>
      </c>
      <c r="D26" t="s">
        <v>667</v>
      </c>
      <c r="E26" s="22"/>
      <c r="F26" s="21" t="s">
        <v>585</v>
      </c>
      <c r="G26" t="s">
        <v>667</v>
      </c>
      <c r="H26" s="21" t="s">
        <v>585</v>
      </c>
    </row>
    <row r="27" spans="1:8" x14ac:dyDescent="0.25">
      <c r="A27" t="s">
        <v>659</v>
      </c>
      <c r="B27" t="s">
        <v>376</v>
      </c>
      <c r="C27" s="18">
        <v>1994</v>
      </c>
      <c r="D27" s="21" t="s">
        <v>585</v>
      </c>
      <c r="E27" s="22" t="s">
        <v>608</v>
      </c>
      <c r="F27" s="21" t="s">
        <v>646</v>
      </c>
      <c r="G27" s="21" t="s">
        <v>585</v>
      </c>
      <c r="H27" s="21" t="s">
        <v>646</v>
      </c>
    </row>
    <row r="28" spans="1:8" x14ac:dyDescent="0.25">
      <c r="A28" t="s">
        <v>702</v>
      </c>
      <c r="B28" t="s">
        <v>376</v>
      </c>
      <c r="C28" s="18">
        <v>1994</v>
      </c>
      <c r="D28" s="21" t="s">
        <v>585</v>
      </c>
      <c r="E28" s="22"/>
      <c r="F28" t="s">
        <v>667</v>
      </c>
      <c r="G28" s="21" t="s">
        <v>585</v>
      </c>
      <c r="H28" t="s">
        <v>667</v>
      </c>
    </row>
    <row r="29" spans="1:8" x14ac:dyDescent="0.25">
      <c r="A29" t="s">
        <v>659</v>
      </c>
      <c r="B29" t="s">
        <v>376</v>
      </c>
      <c r="C29" s="18">
        <v>1995</v>
      </c>
      <c r="D29" s="21" t="s">
        <v>587</v>
      </c>
      <c r="E29" s="22" t="s">
        <v>615</v>
      </c>
      <c r="F29" s="21" t="s">
        <v>588</v>
      </c>
      <c r="G29" t="s">
        <v>667</v>
      </c>
      <c r="H29" t="s">
        <v>671</v>
      </c>
    </row>
    <row r="30" spans="1:8" x14ac:dyDescent="0.25">
      <c r="A30" t="s">
        <v>702</v>
      </c>
      <c r="B30" t="s">
        <v>376</v>
      </c>
      <c r="C30" s="18">
        <v>1995</v>
      </c>
      <c r="D30" t="s">
        <v>667</v>
      </c>
      <c r="E30" s="22"/>
      <c r="F30" t="s">
        <v>671</v>
      </c>
      <c r="G30" t="s">
        <v>667</v>
      </c>
      <c r="H30" t="s">
        <v>671</v>
      </c>
    </row>
    <row r="31" spans="1:8" x14ac:dyDescent="0.25">
      <c r="A31" t="s">
        <v>659</v>
      </c>
      <c r="B31" t="s">
        <v>376</v>
      </c>
      <c r="C31" s="18">
        <v>1996</v>
      </c>
      <c r="D31" s="21" t="s">
        <v>694</v>
      </c>
      <c r="E31" s="22" t="s">
        <v>647</v>
      </c>
      <c r="F31" s="21" t="s">
        <v>588</v>
      </c>
      <c r="G31" t="s">
        <v>675</v>
      </c>
      <c r="H31" t="s">
        <v>671</v>
      </c>
    </row>
    <row r="32" spans="1:8" x14ac:dyDescent="0.25">
      <c r="A32" t="s">
        <v>702</v>
      </c>
      <c r="B32" t="s">
        <v>376</v>
      </c>
      <c r="C32" s="18">
        <v>1996</v>
      </c>
      <c r="D32" s="21" t="s">
        <v>694</v>
      </c>
      <c r="E32" s="22"/>
      <c r="F32" s="21" t="s">
        <v>585</v>
      </c>
      <c r="G32" t="s">
        <v>675</v>
      </c>
      <c r="H32" s="21" t="s">
        <v>585</v>
      </c>
    </row>
    <row r="33" spans="1:8" x14ac:dyDescent="0.25">
      <c r="A33" t="s">
        <v>659</v>
      </c>
      <c r="B33" t="s">
        <v>376</v>
      </c>
      <c r="C33" s="18">
        <v>1997</v>
      </c>
      <c r="D33" s="21" t="s">
        <v>645</v>
      </c>
      <c r="E33" s="22" t="s">
        <v>608</v>
      </c>
      <c r="F33" s="21" t="s">
        <v>699</v>
      </c>
      <c r="G33" s="21" t="s">
        <v>645</v>
      </c>
      <c r="H33" s="21" t="s">
        <v>698</v>
      </c>
    </row>
    <row r="34" spans="1:8" x14ac:dyDescent="0.25">
      <c r="A34" t="s">
        <v>702</v>
      </c>
      <c r="B34" t="s">
        <v>376</v>
      </c>
      <c r="C34" s="18">
        <v>1997</v>
      </c>
      <c r="D34" t="s">
        <v>667</v>
      </c>
      <c r="E34" s="22"/>
      <c r="F34" s="21" t="s">
        <v>585</v>
      </c>
      <c r="G34" t="s">
        <v>667</v>
      </c>
      <c r="H34" s="21" t="s">
        <v>585</v>
      </c>
    </row>
    <row r="35" spans="1:8" x14ac:dyDescent="0.25">
      <c r="A35" t="s">
        <v>659</v>
      </c>
      <c r="B35" t="s">
        <v>376</v>
      </c>
      <c r="C35" s="18">
        <v>1998</v>
      </c>
      <c r="D35" s="21" t="s">
        <v>587</v>
      </c>
      <c r="E35" s="22" t="s">
        <v>615</v>
      </c>
      <c r="F35" s="21" t="s">
        <v>694</v>
      </c>
      <c r="G35" t="s">
        <v>667</v>
      </c>
      <c r="H35" t="s">
        <v>675</v>
      </c>
    </row>
    <row r="36" spans="1:8" x14ac:dyDescent="0.25">
      <c r="A36" t="s">
        <v>702</v>
      </c>
      <c r="B36" t="s">
        <v>376</v>
      </c>
      <c r="C36" s="18">
        <v>1998</v>
      </c>
      <c r="D36" t="s">
        <v>670</v>
      </c>
      <c r="E36" s="22"/>
      <c r="F36" t="s">
        <v>667</v>
      </c>
      <c r="G36" t="s">
        <v>670</v>
      </c>
      <c r="H36" t="s">
        <v>667</v>
      </c>
    </row>
    <row r="37" spans="1:8" x14ac:dyDescent="0.25">
      <c r="A37" t="s">
        <v>659</v>
      </c>
      <c r="B37" t="s">
        <v>376</v>
      </c>
      <c r="C37" s="18">
        <v>1999</v>
      </c>
      <c r="D37" s="21" t="s">
        <v>587</v>
      </c>
      <c r="E37" s="22" t="s">
        <v>594</v>
      </c>
      <c r="F37" s="21" t="s">
        <v>648</v>
      </c>
      <c r="G37" t="s">
        <v>667</v>
      </c>
      <c r="H37" s="21" t="s">
        <v>648</v>
      </c>
    </row>
    <row r="38" spans="1:8" x14ac:dyDescent="0.25">
      <c r="A38" t="s">
        <v>702</v>
      </c>
      <c r="B38" t="s">
        <v>376</v>
      </c>
      <c r="C38" s="18">
        <v>1999</v>
      </c>
      <c r="D38" s="21" t="s">
        <v>694</v>
      </c>
      <c r="E38" s="22"/>
      <c r="F38" t="s">
        <v>667</v>
      </c>
      <c r="G38" t="s">
        <v>675</v>
      </c>
      <c r="H38" t="s">
        <v>667</v>
      </c>
    </row>
    <row r="39" spans="1:8" x14ac:dyDescent="0.25">
      <c r="A39" t="s">
        <v>659</v>
      </c>
      <c r="B39" t="s">
        <v>376</v>
      </c>
      <c r="C39" s="18">
        <v>2000</v>
      </c>
      <c r="D39" s="21" t="s">
        <v>694</v>
      </c>
      <c r="E39" s="22" t="s">
        <v>610</v>
      </c>
      <c r="F39" s="21" t="s">
        <v>585</v>
      </c>
      <c r="G39" t="s">
        <v>675</v>
      </c>
      <c r="H39" s="21" t="s">
        <v>585</v>
      </c>
    </row>
    <row r="40" spans="1:8" x14ac:dyDescent="0.25">
      <c r="A40" t="s">
        <v>702</v>
      </c>
      <c r="B40" t="s">
        <v>376</v>
      </c>
      <c r="C40" s="18">
        <v>2000</v>
      </c>
      <c r="D40" s="21" t="s">
        <v>694</v>
      </c>
      <c r="E40" s="22"/>
      <c r="F40" s="21" t="s">
        <v>585</v>
      </c>
      <c r="G40" t="s">
        <v>675</v>
      </c>
      <c r="H40" s="21" t="s">
        <v>585</v>
      </c>
    </row>
    <row r="41" spans="1:8" x14ac:dyDescent="0.25">
      <c r="A41" t="s">
        <v>659</v>
      </c>
      <c r="B41" t="s">
        <v>376</v>
      </c>
      <c r="C41" s="18">
        <v>2001</v>
      </c>
      <c r="D41" s="21" t="s">
        <v>587</v>
      </c>
      <c r="E41" s="22" t="s">
        <v>608</v>
      </c>
      <c r="F41" s="21" t="s">
        <v>589</v>
      </c>
      <c r="G41" t="s">
        <v>667</v>
      </c>
      <c r="H41" s="21" t="s">
        <v>695</v>
      </c>
    </row>
    <row r="42" spans="1:8" x14ac:dyDescent="0.25">
      <c r="A42" t="s">
        <v>702</v>
      </c>
      <c r="B42" t="s">
        <v>376</v>
      </c>
      <c r="C42" s="18">
        <v>2001</v>
      </c>
      <c r="D42" t="s">
        <v>667</v>
      </c>
      <c r="E42" s="22"/>
      <c r="F42" s="21" t="s">
        <v>585</v>
      </c>
      <c r="G42" t="s">
        <v>667</v>
      </c>
      <c r="H42" s="21" t="s">
        <v>585</v>
      </c>
    </row>
    <row r="43" spans="1:8" x14ac:dyDescent="0.25">
      <c r="A43" t="s">
        <v>659</v>
      </c>
      <c r="B43" t="s">
        <v>376</v>
      </c>
      <c r="C43" s="18">
        <v>2002</v>
      </c>
      <c r="D43" s="21" t="s">
        <v>695</v>
      </c>
      <c r="E43" s="22" t="s">
        <v>610</v>
      </c>
      <c r="F43" s="21" t="s">
        <v>585</v>
      </c>
      <c r="G43" s="21" t="s">
        <v>695</v>
      </c>
      <c r="H43" s="21" t="s">
        <v>585</v>
      </c>
    </row>
    <row r="44" spans="1:8" x14ac:dyDescent="0.25">
      <c r="A44" t="s">
        <v>702</v>
      </c>
      <c r="B44" t="s">
        <v>376</v>
      </c>
      <c r="C44" s="18">
        <v>2002</v>
      </c>
      <c r="D44" t="s">
        <v>667</v>
      </c>
      <c r="E44" s="22"/>
      <c r="F44" s="21" t="s">
        <v>585</v>
      </c>
      <c r="G44" t="s">
        <v>667</v>
      </c>
      <c r="H44" s="21" t="s">
        <v>585</v>
      </c>
    </row>
    <row r="45" spans="1:8" x14ac:dyDescent="0.25">
      <c r="A45" t="s">
        <v>657</v>
      </c>
      <c r="B45" t="s">
        <v>658</v>
      </c>
      <c r="C45" s="18">
        <v>2002</v>
      </c>
      <c r="D45" t="s">
        <v>666</v>
      </c>
      <c r="E45" s="22" t="s">
        <v>594</v>
      </c>
      <c r="F45" t="s">
        <v>687</v>
      </c>
      <c r="G45" t="s">
        <v>666</v>
      </c>
      <c r="H45" t="s">
        <v>687</v>
      </c>
    </row>
    <row r="46" spans="1:8" x14ac:dyDescent="0.25">
      <c r="A46" t="s">
        <v>703</v>
      </c>
      <c r="B46" t="s">
        <v>154</v>
      </c>
      <c r="C46" s="18">
        <v>2002</v>
      </c>
      <c r="D46" t="s">
        <v>661</v>
      </c>
      <c r="E46" s="22"/>
      <c r="F46" t="s">
        <v>678</v>
      </c>
      <c r="G46" t="s">
        <v>661</v>
      </c>
      <c r="H46" t="s">
        <v>678</v>
      </c>
    </row>
    <row r="47" spans="1:8" x14ac:dyDescent="0.25">
      <c r="A47" t="s">
        <v>659</v>
      </c>
      <c r="B47" t="s">
        <v>376</v>
      </c>
      <c r="C47" s="18">
        <v>2003</v>
      </c>
      <c r="D47" s="21" t="s">
        <v>695</v>
      </c>
      <c r="E47" s="22" t="s">
        <v>617</v>
      </c>
      <c r="F47" t="s">
        <v>675</v>
      </c>
      <c r="G47" s="21" t="s">
        <v>695</v>
      </c>
      <c r="H47" t="s">
        <v>675</v>
      </c>
    </row>
    <row r="48" spans="1:8" x14ac:dyDescent="0.25">
      <c r="A48" t="s">
        <v>702</v>
      </c>
      <c r="B48" t="s">
        <v>376</v>
      </c>
      <c r="C48" s="18">
        <v>2003</v>
      </c>
      <c r="D48" s="21" t="s">
        <v>695</v>
      </c>
      <c r="E48" s="22"/>
      <c r="F48" s="21" t="s">
        <v>585</v>
      </c>
      <c r="G48" s="21" t="s">
        <v>695</v>
      </c>
      <c r="H48" s="21" t="s">
        <v>585</v>
      </c>
    </row>
    <row r="49" spans="1:8" x14ac:dyDescent="0.25">
      <c r="A49" t="s">
        <v>657</v>
      </c>
      <c r="B49" t="s">
        <v>658</v>
      </c>
      <c r="C49" s="18">
        <v>2003</v>
      </c>
      <c r="D49" t="s">
        <v>687</v>
      </c>
      <c r="E49" s="22" t="s">
        <v>595</v>
      </c>
      <c r="F49" s="21" t="s">
        <v>596</v>
      </c>
      <c r="G49" t="s">
        <v>687</v>
      </c>
      <c r="H49" s="21" t="s">
        <v>596</v>
      </c>
    </row>
    <row r="50" spans="1:8" x14ac:dyDescent="0.25">
      <c r="A50" t="s">
        <v>703</v>
      </c>
      <c r="B50" t="s">
        <v>154</v>
      </c>
      <c r="C50" s="18">
        <v>2003</v>
      </c>
      <c r="D50" t="s">
        <v>662</v>
      </c>
      <c r="E50" s="22"/>
      <c r="F50" t="s">
        <v>661</v>
      </c>
      <c r="G50" t="s">
        <v>662</v>
      </c>
      <c r="H50" t="s">
        <v>661</v>
      </c>
    </row>
    <row r="51" spans="1:8" x14ac:dyDescent="0.25">
      <c r="A51" t="s">
        <v>659</v>
      </c>
      <c r="B51" t="s">
        <v>376</v>
      </c>
      <c r="C51" s="18">
        <v>2004</v>
      </c>
      <c r="D51" t="s">
        <v>667</v>
      </c>
      <c r="E51" s="22" t="s">
        <v>617</v>
      </c>
      <c r="F51" t="s">
        <v>675</v>
      </c>
      <c r="G51" t="s">
        <v>667</v>
      </c>
      <c r="H51" t="s">
        <v>675</v>
      </c>
    </row>
    <row r="52" spans="1:8" x14ac:dyDescent="0.25">
      <c r="A52" t="s">
        <v>702</v>
      </c>
      <c r="B52" t="s">
        <v>376</v>
      </c>
      <c r="C52" s="18">
        <v>2004</v>
      </c>
      <c r="D52" t="s">
        <v>667</v>
      </c>
      <c r="E52" s="22"/>
      <c r="F52" t="s">
        <v>675</v>
      </c>
      <c r="G52" t="s">
        <v>667</v>
      </c>
      <c r="H52" t="s">
        <v>675</v>
      </c>
    </row>
    <row r="53" spans="1:8" x14ac:dyDescent="0.25">
      <c r="A53" t="s">
        <v>657</v>
      </c>
      <c r="B53" t="s">
        <v>658</v>
      </c>
      <c r="C53" s="18">
        <v>2004</v>
      </c>
      <c r="D53" t="s">
        <v>687</v>
      </c>
      <c r="E53" s="22" t="s">
        <v>597</v>
      </c>
      <c r="F53" s="21" t="s">
        <v>593</v>
      </c>
      <c r="G53" t="s">
        <v>687</v>
      </c>
      <c r="H53" t="s">
        <v>666</v>
      </c>
    </row>
    <row r="54" spans="1:8" x14ac:dyDescent="0.25">
      <c r="A54" t="s">
        <v>703</v>
      </c>
      <c r="B54" t="s">
        <v>154</v>
      </c>
      <c r="C54" s="18">
        <v>2004</v>
      </c>
      <c r="D54" t="s">
        <v>662</v>
      </c>
      <c r="E54" s="22"/>
      <c r="F54" s="21" t="s">
        <v>692</v>
      </c>
      <c r="G54" t="s">
        <v>662</v>
      </c>
      <c r="H54" s="21" t="s">
        <v>692</v>
      </c>
    </row>
    <row r="55" spans="1:8" x14ac:dyDescent="0.25">
      <c r="A55" t="s">
        <v>659</v>
      </c>
      <c r="B55" t="s">
        <v>376</v>
      </c>
      <c r="C55" s="18">
        <v>2005</v>
      </c>
      <c r="D55" t="s">
        <v>675</v>
      </c>
      <c r="E55" s="22" t="s">
        <v>608</v>
      </c>
      <c r="F55" t="s">
        <v>670</v>
      </c>
      <c r="G55" t="s">
        <v>675</v>
      </c>
      <c r="H55" t="s">
        <v>670</v>
      </c>
    </row>
    <row r="56" spans="1:8" x14ac:dyDescent="0.25">
      <c r="A56" t="s">
        <v>702</v>
      </c>
      <c r="B56" t="s">
        <v>376</v>
      </c>
      <c r="C56" s="18">
        <v>2005</v>
      </c>
      <c r="D56" t="s">
        <v>667</v>
      </c>
      <c r="E56" s="22"/>
      <c r="F56" t="s">
        <v>675</v>
      </c>
      <c r="G56" t="s">
        <v>667</v>
      </c>
      <c r="H56" t="s">
        <v>675</v>
      </c>
    </row>
    <row r="57" spans="1:8" x14ac:dyDescent="0.25">
      <c r="A57" t="s">
        <v>657</v>
      </c>
      <c r="B57" t="s">
        <v>658</v>
      </c>
      <c r="C57" s="18">
        <v>2005</v>
      </c>
      <c r="D57" s="21" t="s">
        <v>598</v>
      </c>
      <c r="E57" s="22" t="s">
        <v>599</v>
      </c>
      <c r="F57" s="21" t="s">
        <v>600</v>
      </c>
      <c r="G57" s="21" t="s">
        <v>598</v>
      </c>
      <c r="H57" t="s">
        <v>681</v>
      </c>
    </row>
    <row r="58" spans="1:8" x14ac:dyDescent="0.25">
      <c r="A58" t="s">
        <v>703</v>
      </c>
      <c r="B58" t="s">
        <v>154</v>
      </c>
      <c r="C58" s="18">
        <v>2005</v>
      </c>
      <c r="D58" t="s">
        <v>662</v>
      </c>
      <c r="E58" s="22"/>
      <c r="F58" t="s">
        <v>661</v>
      </c>
      <c r="G58" t="s">
        <v>662</v>
      </c>
      <c r="H58" t="s">
        <v>661</v>
      </c>
    </row>
    <row r="59" spans="1:8" x14ac:dyDescent="0.25">
      <c r="A59" t="s">
        <v>659</v>
      </c>
      <c r="B59" t="s">
        <v>376</v>
      </c>
      <c r="C59" s="18">
        <v>2006</v>
      </c>
      <c r="D59" t="s">
        <v>667</v>
      </c>
      <c r="E59" s="22" t="s">
        <v>649</v>
      </c>
      <c r="F59" s="21" t="s">
        <v>696</v>
      </c>
      <c r="G59" t="s">
        <v>667</v>
      </c>
      <c r="H59" s="21" t="s">
        <v>696</v>
      </c>
    </row>
    <row r="60" spans="1:8" x14ac:dyDescent="0.25">
      <c r="A60" t="s">
        <v>702</v>
      </c>
      <c r="B60" t="s">
        <v>376</v>
      </c>
      <c r="C60" s="18">
        <v>2006</v>
      </c>
      <c r="D60" t="s">
        <v>667</v>
      </c>
      <c r="E60" s="22"/>
      <c r="F60" t="s">
        <v>670</v>
      </c>
      <c r="G60" t="s">
        <v>667</v>
      </c>
      <c r="H60" t="s">
        <v>670</v>
      </c>
    </row>
    <row r="61" spans="1:8" x14ac:dyDescent="0.25">
      <c r="A61" t="s">
        <v>657</v>
      </c>
      <c r="B61" t="s">
        <v>658</v>
      </c>
      <c r="C61" s="18">
        <v>2006</v>
      </c>
      <c r="D61" s="21" t="s">
        <v>593</v>
      </c>
      <c r="E61" s="22" t="s">
        <v>601</v>
      </c>
      <c r="F61" s="21" t="s">
        <v>598</v>
      </c>
      <c r="G61" t="s">
        <v>666</v>
      </c>
      <c r="H61" s="21" t="s">
        <v>598</v>
      </c>
    </row>
    <row r="62" spans="1:8" x14ac:dyDescent="0.25">
      <c r="A62" t="s">
        <v>703</v>
      </c>
      <c r="B62" t="s">
        <v>154</v>
      </c>
      <c r="C62" s="18">
        <v>2006</v>
      </c>
      <c r="D62" t="s">
        <v>663</v>
      </c>
      <c r="E62" s="22"/>
      <c r="F62" s="21" t="s">
        <v>591</v>
      </c>
      <c r="G62" t="s">
        <v>663</v>
      </c>
      <c r="H62" t="s">
        <v>693</v>
      </c>
    </row>
    <row r="63" spans="1:8" x14ac:dyDescent="0.25">
      <c r="A63" t="s">
        <v>659</v>
      </c>
      <c r="B63" t="s">
        <v>376</v>
      </c>
      <c r="C63" s="18">
        <v>2007</v>
      </c>
      <c r="D63" t="s">
        <v>667</v>
      </c>
      <c r="E63" s="22" t="s">
        <v>612</v>
      </c>
      <c r="F63" t="s">
        <v>675</v>
      </c>
      <c r="G63" t="s">
        <v>667</v>
      </c>
      <c r="H63" t="s">
        <v>675</v>
      </c>
    </row>
    <row r="64" spans="1:8" x14ac:dyDescent="0.25">
      <c r="A64" t="s">
        <v>702</v>
      </c>
      <c r="B64" t="s">
        <v>376</v>
      </c>
      <c r="C64" s="18">
        <v>2007</v>
      </c>
      <c r="D64" t="s">
        <v>667</v>
      </c>
      <c r="E64" s="22"/>
      <c r="F64" t="s">
        <v>670</v>
      </c>
      <c r="G64" t="s">
        <v>667</v>
      </c>
      <c r="H64" t="s">
        <v>670</v>
      </c>
    </row>
    <row r="65" spans="1:8" x14ac:dyDescent="0.25">
      <c r="A65" t="s">
        <v>657</v>
      </c>
      <c r="B65" t="s">
        <v>658</v>
      </c>
      <c r="C65" s="18">
        <v>2007</v>
      </c>
      <c r="D65" t="s">
        <v>667</v>
      </c>
      <c r="E65" s="22" t="s">
        <v>602</v>
      </c>
      <c r="F65" t="s">
        <v>687</v>
      </c>
      <c r="G65" t="s">
        <v>667</v>
      </c>
      <c r="H65" t="s">
        <v>687</v>
      </c>
    </row>
    <row r="66" spans="1:8" x14ac:dyDescent="0.25">
      <c r="A66" t="s">
        <v>703</v>
      </c>
      <c r="B66" t="s">
        <v>154</v>
      </c>
      <c r="C66" s="18">
        <v>2007</v>
      </c>
      <c r="D66" t="s">
        <v>662</v>
      </c>
      <c r="E66" s="22"/>
      <c r="F66" t="s">
        <v>663</v>
      </c>
      <c r="G66" t="s">
        <v>662</v>
      </c>
      <c r="H66" t="s">
        <v>663</v>
      </c>
    </row>
    <row r="67" spans="1:8" x14ac:dyDescent="0.25">
      <c r="A67" t="s">
        <v>659</v>
      </c>
      <c r="B67" t="s">
        <v>376</v>
      </c>
      <c r="C67" s="18">
        <v>2008</v>
      </c>
      <c r="D67" t="s">
        <v>667</v>
      </c>
      <c r="E67" s="22" t="s">
        <v>612</v>
      </c>
      <c r="F67" s="21" t="s">
        <v>696</v>
      </c>
      <c r="G67" t="s">
        <v>667</v>
      </c>
      <c r="H67" s="21" t="s">
        <v>696</v>
      </c>
    </row>
    <row r="68" spans="1:8" x14ac:dyDescent="0.25">
      <c r="A68" t="s">
        <v>702</v>
      </c>
      <c r="B68" t="s">
        <v>376</v>
      </c>
      <c r="C68" s="18">
        <v>2008</v>
      </c>
      <c r="D68" t="s">
        <v>667</v>
      </c>
      <c r="E68" s="22"/>
      <c r="F68" t="s">
        <v>670</v>
      </c>
      <c r="G68" t="s">
        <v>667</v>
      </c>
      <c r="H68" t="s">
        <v>670</v>
      </c>
    </row>
    <row r="69" spans="1:8" x14ac:dyDescent="0.25">
      <c r="A69" t="s">
        <v>657</v>
      </c>
      <c r="B69" t="s">
        <v>658</v>
      </c>
      <c r="C69" s="18">
        <v>2008</v>
      </c>
      <c r="D69" s="21" t="s">
        <v>593</v>
      </c>
      <c r="E69" s="22" t="s">
        <v>603</v>
      </c>
      <c r="F69" t="s">
        <v>687</v>
      </c>
      <c r="G69" t="s">
        <v>666</v>
      </c>
      <c r="H69" t="s">
        <v>687</v>
      </c>
    </row>
    <row r="70" spans="1:8" x14ac:dyDescent="0.25">
      <c r="A70" t="s">
        <v>703</v>
      </c>
      <c r="B70" t="s">
        <v>154</v>
      </c>
      <c r="C70" s="18">
        <v>2008</v>
      </c>
      <c r="D70" t="s">
        <v>661</v>
      </c>
      <c r="E70" s="22"/>
      <c r="F70" s="21" t="s">
        <v>691</v>
      </c>
      <c r="G70" t="s">
        <v>661</v>
      </c>
      <c r="H70" s="21" t="s">
        <v>691</v>
      </c>
    </row>
    <row r="71" spans="1:8" x14ac:dyDescent="0.25">
      <c r="A71" t="s">
        <v>659</v>
      </c>
      <c r="B71" t="s">
        <v>376</v>
      </c>
      <c r="C71" s="18">
        <v>2009</v>
      </c>
      <c r="D71" t="s">
        <v>667</v>
      </c>
      <c r="E71" s="22" t="s">
        <v>610</v>
      </c>
      <c r="F71" t="s">
        <v>683</v>
      </c>
      <c r="G71" t="s">
        <v>667</v>
      </c>
      <c r="H71" t="s">
        <v>683</v>
      </c>
    </row>
    <row r="72" spans="1:8" x14ac:dyDescent="0.25">
      <c r="A72" t="s">
        <v>702</v>
      </c>
      <c r="B72" t="s">
        <v>376</v>
      </c>
      <c r="C72" s="18">
        <v>2009</v>
      </c>
      <c r="D72" t="s">
        <v>667</v>
      </c>
      <c r="E72" s="22"/>
      <c r="F72" t="s">
        <v>670</v>
      </c>
      <c r="G72" t="s">
        <v>667</v>
      </c>
      <c r="H72" t="s">
        <v>670</v>
      </c>
    </row>
    <row r="73" spans="1:8" x14ac:dyDescent="0.25">
      <c r="A73" t="s">
        <v>657</v>
      </c>
      <c r="B73" t="s">
        <v>658</v>
      </c>
      <c r="C73" s="18">
        <v>2009</v>
      </c>
      <c r="D73" s="21" t="s">
        <v>604</v>
      </c>
      <c r="E73" s="22" t="s">
        <v>605</v>
      </c>
      <c r="F73" s="21" t="s">
        <v>606</v>
      </c>
      <c r="G73" s="21" t="s">
        <v>604</v>
      </c>
      <c r="H73" s="21" t="s">
        <v>606</v>
      </c>
    </row>
    <row r="74" spans="1:8" x14ac:dyDescent="0.25">
      <c r="A74" t="s">
        <v>703</v>
      </c>
      <c r="B74" t="s">
        <v>154</v>
      </c>
      <c r="C74" s="18">
        <v>2009</v>
      </c>
      <c r="D74" s="21" t="s">
        <v>691</v>
      </c>
      <c r="E74" s="22"/>
      <c r="F74" t="s">
        <v>661</v>
      </c>
      <c r="G74" s="21" t="s">
        <v>691</v>
      </c>
      <c r="H74" t="s">
        <v>661</v>
      </c>
    </row>
    <row r="75" spans="1:8" x14ac:dyDescent="0.25">
      <c r="A75" t="s">
        <v>659</v>
      </c>
      <c r="B75" t="s">
        <v>376</v>
      </c>
      <c r="C75" s="18">
        <v>2010</v>
      </c>
      <c r="D75" t="s">
        <v>670</v>
      </c>
      <c r="E75" s="22" t="s">
        <v>618</v>
      </c>
      <c r="F75" t="s">
        <v>667</v>
      </c>
      <c r="G75" t="s">
        <v>670</v>
      </c>
      <c r="H75" t="s">
        <v>667</v>
      </c>
    </row>
    <row r="76" spans="1:8" x14ac:dyDescent="0.25">
      <c r="A76" t="s">
        <v>702</v>
      </c>
      <c r="B76" t="s">
        <v>376</v>
      </c>
      <c r="C76" s="18">
        <v>2010</v>
      </c>
      <c r="D76" t="s">
        <v>667</v>
      </c>
      <c r="E76" s="22"/>
      <c r="F76" t="s">
        <v>670</v>
      </c>
      <c r="G76" t="s">
        <v>667</v>
      </c>
      <c r="H76" t="s">
        <v>670</v>
      </c>
    </row>
    <row r="77" spans="1:8" x14ac:dyDescent="0.25">
      <c r="A77" t="s">
        <v>657</v>
      </c>
      <c r="B77" t="s">
        <v>658</v>
      </c>
      <c r="C77" s="18">
        <v>2010</v>
      </c>
      <c r="D77" s="21" t="s">
        <v>598</v>
      </c>
      <c r="E77" s="22" t="s">
        <v>607</v>
      </c>
      <c r="F77" t="s">
        <v>668</v>
      </c>
      <c r="G77" s="21" t="s">
        <v>598</v>
      </c>
      <c r="H77" t="s">
        <v>668</v>
      </c>
    </row>
    <row r="78" spans="1:8" x14ac:dyDescent="0.25">
      <c r="A78" t="s">
        <v>703</v>
      </c>
      <c r="B78" t="s">
        <v>154</v>
      </c>
      <c r="C78" s="18">
        <v>2010</v>
      </c>
      <c r="D78" s="21" t="s">
        <v>691</v>
      </c>
      <c r="E78" s="22"/>
      <c r="F78" t="s">
        <v>663</v>
      </c>
      <c r="G78" s="21" t="s">
        <v>691</v>
      </c>
      <c r="H78" t="s">
        <v>663</v>
      </c>
    </row>
    <row r="79" spans="1:8" x14ac:dyDescent="0.25">
      <c r="A79" t="s">
        <v>659</v>
      </c>
      <c r="B79" t="s">
        <v>376</v>
      </c>
      <c r="C79" s="18">
        <v>2011</v>
      </c>
      <c r="D79" t="s">
        <v>667</v>
      </c>
      <c r="E79" s="22" t="s">
        <v>594</v>
      </c>
      <c r="F79" s="21" t="s">
        <v>590</v>
      </c>
      <c r="G79" t="s">
        <v>667</v>
      </c>
      <c r="H79" s="21" t="s">
        <v>590</v>
      </c>
    </row>
    <row r="80" spans="1:8" x14ac:dyDescent="0.25">
      <c r="A80" t="s">
        <v>702</v>
      </c>
      <c r="B80" t="s">
        <v>376</v>
      </c>
      <c r="C80" s="18">
        <v>2011</v>
      </c>
      <c r="D80" t="s">
        <v>667</v>
      </c>
      <c r="E80" s="22"/>
      <c r="F80" t="s">
        <v>676</v>
      </c>
      <c r="G80" t="s">
        <v>667</v>
      </c>
      <c r="H80" t="s">
        <v>676</v>
      </c>
    </row>
    <row r="81" spans="1:8" x14ac:dyDescent="0.25">
      <c r="A81" t="s">
        <v>657</v>
      </c>
      <c r="B81" t="s">
        <v>658</v>
      </c>
      <c r="C81" s="18">
        <v>2011</v>
      </c>
      <c r="D81" t="s">
        <v>668</v>
      </c>
      <c r="E81" s="22" t="s">
        <v>594</v>
      </c>
      <c r="F81" s="21" t="s">
        <v>598</v>
      </c>
      <c r="G81" t="s">
        <v>668</v>
      </c>
      <c r="H81" s="21" t="s">
        <v>598</v>
      </c>
    </row>
    <row r="82" spans="1:8" x14ac:dyDescent="0.25">
      <c r="A82" t="s">
        <v>703</v>
      </c>
      <c r="B82" t="s">
        <v>154</v>
      </c>
      <c r="C82" s="18">
        <v>2011</v>
      </c>
      <c r="D82" s="21" t="s">
        <v>691</v>
      </c>
      <c r="E82" s="22"/>
      <c r="F82" t="s">
        <v>663</v>
      </c>
      <c r="G82" s="21" t="s">
        <v>691</v>
      </c>
      <c r="H82" t="s">
        <v>663</v>
      </c>
    </row>
    <row r="83" spans="1:8" x14ac:dyDescent="0.25">
      <c r="A83" t="s">
        <v>659</v>
      </c>
      <c r="B83" t="s">
        <v>376</v>
      </c>
      <c r="C83" s="18">
        <v>2012</v>
      </c>
      <c r="D83" t="s">
        <v>676</v>
      </c>
      <c r="E83" s="22" t="s">
        <v>650</v>
      </c>
      <c r="F83" t="s">
        <v>672</v>
      </c>
      <c r="G83" t="s">
        <v>676</v>
      </c>
      <c r="H83" t="s">
        <v>672</v>
      </c>
    </row>
    <row r="84" spans="1:8" x14ac:dyDescent="0.25">
      <c r="A84" t="s">
        <v>702</v>
      </c>
      <c r="B84" t="s">
        <v>376</v>
      </c>
      <c r="C84" s="18">
        <v>2012</v>
      </c>
      <c r="D84" t="s">
        <v>667</v>
      </c>
      <c r="E84" s="22"/>
      <c r="F84" t="s">
        <v>676</v>
      </c>
      <c r="G84" t="s">
        <v>667</v>
      </c>
      <c r="H84" t="s">
        <v>676</v>
      </c>
    </row>
    <row r="85" spans="1:8" x14ac:dyDescent="0.25">
      <c r="A85" t="s">
        <v>657</v>
      </c>
      <c r="B85" t="s">
        <v>658</v>
      </c>
      <c r="C85" s="18">
        <v>2012</v>
      </c>
      <c r="D85" t="s">
        <v>668</v>
      </c>
      <c r="E85" s="22" t="s">
        <v>594</v>
      </c>
      <c r="F85" s="21" t="s">
        <v>593</v>
      </c>
      <c r="G85" t="s">
        <v>668</v>
      </c>
      <c r="H85" t="s">
        <v>666</v>
      </c>
    </row>
    <row r="86" spans="1:8" x14ac:dyDescent="0.25">
      <c r="A86" t="s">
        <v>703</v>
      </c>
      <c r="B86" t="s">
        <v>154</v>
      </c>
      <c r="C86" s="18">
        <v>2012</v>
      </c>
      <c r="D86" t="s">
        <v>664</v>
      </c>
      <c r="E86" s="22"/>
      <c r="F86" t="s">
        <v>662</v>
      </c>
      <c r="G86" t="s">
        <v>664</v>
      </c>
      <c r="H86" t="s">
        <v>662</v>
      </c>
    </row>
    <row r="87" spans="1:8" x14ac:dyDescent="0.25">
      <c r="A87" t="s">
        <v>659</v>
      </c>
      <c r="B87" t="s">
        <v>376</v>
      </c>
      <c r="C87" s="18">
        <v>2013</v>
      </c>
      <c r="D87" t="s">
        <v>667</v>
      </c>
      <c r="E87" s="22" t="s">
        <v>617</v>
      </c>
      <c r="F87" s="21" t="s">
        <v>590</v>
      </c>
      <c r="G87" t="s">
        <v>667</v>
      </c>
      <c r="H87" s="21" t="s">
        <v>590</v>
      </c>
    </row>
    <row r="88" spans="1:8" x14ac:dyDescent="0.25">
      <c r="A88" t="s">
        <v>702</v>
      </c>
      <c r="B88" t="s">
        <v>376</v>
      </c>
      <c r="C88" s="18">
        <v>2013</v>
      </c>
      <c r="D88" t="s">
        <v>671</v>
      </c>
      <c r="E88" s="22"/>
      <c r="F88" s="21" t="s">
        <v>590</v>
      </c>
      <c r="G88" t="s">
        <v>671</v>
      </c>
      <c r="H88" s="21" t="s">
        <v>590</v>
      </c>
    </row>
    <row r="89" spans="1:8" x14ac:dyDescent="0.25">
      <c r="A89" t="s">
        <v>657</v>
      </c>
      <c r="B89" t="s">
        <v>658</v>
      </c>
      <c r="C89" s="18">
        <v>2013</v>
      </c>
      <c r="D89" t="s">
        <v>669</v>
      </c>
      <c r="E89" s="22" t="s">
        <v>608</v>
      </c>
      <c r="F89" t="s">
        <v>668</v>
      </c>
      <c r="G89" t="s">
        <v>669</v>
      </c>
      <c r="H89" t="s">
        <v>668</v>
      </c>
    </row>
    <row r="90" spans="1:8" x14ac:dyDescent="0.25">
      <c r="A90" t="s">
        <v>703</v>
      </c>
      <c r="B90" t="s">
        <v>154</v>
      </c>
      <c r="C90" s="18">
        <v>2013</v>
      </c>
      <c r="D90" t="s">
        <v>664</v>
      </c>
      <c r="E90" s="22"/>
      <c r="F90" t="s">
        <v>662</v>
      </c>
      <c r="G90" t="s">
        <v>664</v>
      </c>
      <c r="H90" t="s">
        <v>662</v>
      </c>
    </row>
    <row r="91" spans="1:8" x14ac:dyDescent="0.25">
      <c r="A91" t="s">
        <v>705</v>
      </c>
      <c r="B91" t="s">
        <v>660</v>
      </c>
      <c r="C91" s="18">
        <v>2013</v>
      </c>
      <c r="D91" s="21" t="s">
        <v>619</v>
      </c>
      <c r="E91" s="22"/>
      <c r="F91" s="21"/>
      <c r="G91" t="s">
        <v>619</v>
      </c>
    </row>
    <row r="92" spans="1:8" x14ac:dyDescent="0.25">
      <c r="A92" t="s">
        <v>704</v>
      </c>
      <c r="B92" t="s">
        <v>660</v>
      </c>
      <c r="C92" s="18">
        <v>2013</v>
      </c>
      <c r="D92" s="21" t="s">
        <v>620</v>
      </c>
      <c r="E92" s="22"/>
      <c r="F92" s="21"/>
      <c r="G92" s="21" t="s">
        <v>620</v>
      </c>
    </row>
    <row r="93" spans="1:8" x14ac:dyDescent="0.25">
      <c r="A93" t="s">
        <v>659</v>
      </c>
      <c r="B93" t="s">
        <v>376</v>
      </c>
      <c r="C93" s="18">
        <v>2014</v>
      </c>
      <c r="D93" t="s">
        <v>667</v>
      </c>
      <c r="E93" s="22" t="s">
        <v>594</v>
      </c>
      <c r="F93" t="s">
        <v>670</v>
      </c>
      <c r="G93" t="s">
        <v>667</v>
      </c>
      <c r="H93" t="s">
        <v>670</v>
      </c>
    </row>
    <row r="94" spans="1:8" x14ac:dyDescent="0.25">
      <c r="A94" t="s">
        <v>702</v>
      </c>
      <c r="B94" t="s">
        <v>376</v>
      </c>
      <c r="C94" s="18">
        <v>2014</v>
      </c>
      <c r="D94" t="s">
        <v>671</v>
      </c>
      <c r="E94" s="22"/>
      <c r="F94" t="s">
        <v>672</v>
      </c>
      <c r="G94" t="s">
        <v>671</v>
      </c>
      <c r="H94" t="s">
        <v>672</v>
      </c>
    </row>
    <row r="95" spans="1:8" x14ac:dyDescent="0.25">
      <c r="A95" t="s">
        <v>657</v>
      </c>
      <c r="B95" t="s">
        <v>658</v>
      </c>
      <c r="C95" s="18">
        <v>2014</v>
      </c>
      <c r="D95" t="s">
        <v>669</v>
      </c>
      <c r="E95" s="22" t="s">
        <v>609</v>
      </c>
      <c r="F95" t="s">
        <v>688</v>
      </c>
      <c r="G95" t="s">
        <v>669</v>
      </c>
      <c r="H95" t="s">
        <v>688</v>
      </c>
    </row>
    <row r="96" spans="1:8" x14ac:dyDescent="0.25">
      <c r="A96" t="s">
        <v>703</v>
      </c>
      <c r="B96" t="s">
        <v>154</v>
      </c>
      <c r="C96" s="18">
        <v>2014</v>
      </c>
      <c r="D96" t="s">
        <v>664</v>
      </c>
      <c r="E96" s="22"/>
      <c r="F96" t="s">
        <v>662</v>
      </c>
      <c r="G96" t="s">
        <v>664</v>
      </c>
      <c r="H96" t="s">
        <v>662</v>
      </c>
    </row>
    <row r="97" spans="1:8" x14ac:dyDescent="0.25">
      <c r="A97" t="s">
        <v>705</v>
      </c>
      <c r="B97" t="s">
        <v>660</v>
      </c>
      <c r="C97" s="18">
        <v>2014</v>
      </c>
      <c r="D97" s="21" t="s">
        <v>621</v>
      </c>
      <c r="E97" s="22"/>
      <c r="F97" s="21"/>
      <c r="G97" s="21" t="s">
        <v>621</v>
      </c>
    </row>
    <row r="98" spans="1:8" x14ac:dyDescent="0.25">
      <c r="A98" t="s">
        <v>704</v>
      </c>
      <c r="B98" t="s">
        <v>660</v>
      </c>
      <c r="C98" s="18">
        <v>2014</v>
      </c>
      <c r="D98" s="21" t="s">
        <v>622</v>
      </c>
      <c r="E98" s="22"/>
      <c r="F98" s="21"/>
      <c r="G98" s="21" t="s">
        <v>652</v>
      </c>
    </row>
    <row r="99" spans="1:8" x14ac:dyDescent="0.25">
      <c r="A99" t="s">
        <v>659</v>
      </c>
      <c r="B99" t="s">
        <v>376</v>
      </c>
      <c r="C99" s="18">
        <v>2015</v>
      </c>
      <c r="D99" t="s">
        <v>672</v>
      </c>
      <c r="E99" s="22" t="s">
        <v>608</v>
      </c>
      <c r="F99" s="21" t="s">
        <v>697</v>
      </c>
      <c r="G99" t="s">
        <v>672</v>
      </c>
      <c r="H99" s="21" t="s">
        <v>697</v>
      </c>
    </row>
    <row r="100" spans="1:8" x14ac:dyDescent="0.25">
      <c r="A100" t="s">
        <v>702</v>
      </c>
      <c r="B100" t="s">
        <v>376</v>
      </c>
      <c r="C100" s="18">
        <v>2015</v>
      </c>
      <c r="D100" t="s">
        <v>672</v>
      </c>
      <c r="E100" s="22"/>
      <c r="F100" t="s">
        <v>673</v>
      </c>
      <c r="G100" t="s">
        <v>672</v>
      </c>
      <c r="H100" t="s">
        <v>673</v>
      </c>
    </row>
    <row r="101" spans="1:8" x14ac:dyDescent="0.25">
      <c r="A101" t="s">
        <v>657</v>
      </c>
      <c r="B101" t="s">
        <v>658</v>
      </c>
      <c r="C101" s="18">
        <v>2015</v>
      </c>
      <c r="D101" s="21" t="s">
        <v>593</v>
      </c>
      <c r="E101" s="22" t="s">
        <v>610</v>
      </c>
      <c r="F101" t="s">
        <v>682</v>
      </c>
      <c r="G101" t="s">
        <v>666</v>
      </c>
      <c r="H101" t="s">
        <v>682</v>
      </c>
    </row>
    <row r="102" spans="1:8" x14ac:dyDescent="0.25">
      <c r="A102" t="s">
        <v>703</v>
      </c>
      <c r="B102" t="s">
        <v>154</v>
      </c>
      <c r="C102" s="18">
        <v>2015</v>
      </c>
      <c r="D102" t="s">
        <v>664</v>
      </c>
      <c r="E102" s="22"/>
      <c r="F102" t="s">
        <v>665</v>
      </c>
      <c r="G102" t="s">
        <v>664</v>
      </c>
      <c r="H102" t="s">
        <v>665</v>
      </c>
    </row>
    <row r="103" spans="1:8" x14ac:dyDescent="0.25">
      <c r="A103" t="s">
        <v>705</v>
      </c>
      <c r="B103" t="s">
        <v>660</v>
      </c>
      <c r="C103" s="18">
        <v>2015</v>
      </c>
      <c r="D103" s="21" t="s">
        <v>621</v>
      </c>
      <c r="E103" s="22"/>
      <c r="F103" s="21"/>
      <c r="G103" s="21" t="s">
        <v>621</v>
      </c>
    </row>
    <row r="104" spans="1:8" x14ac:dyDescent="0.25">
      <c r="A104" t="s">
        <v>704</v>
      </c>
      <c r="B104" t="s">
        <v>660</v>
      </c>
      <c r="C104" s="18">
        <v>2015</v>
      </c>
      <c r="D104" s="21" t="s">
        <v>622</v>
      </c>
      <c r="E104" s="22"/>
      <c r="F104" s="21"/>
      <c r="G104" s="21" t="s">
        <v>652</v>
      </c>
    </row>
    <row r="105" spans="1:8" x14ac:dyDescent="0.25">
      <c r="A105" t="s">
        <v>659</v>
      </c>
      <c r="B105" t="s">
        <v>376</v>
      </c>
      <c r="C105" s="18">
        <v>2016</v>
      </c>
      <c r="D105" t="s">
        <v>667</v>
      </c>
      <c r="E105" s="22" t="s">
        <v>608</v>
      </c>
      <c r="F105" t="s">
        <v>672</v>
      </c>
      <c r="G105" t="s">
        <v>667</v>
      </c>
      <c r="H105" t="s">
        <v>672</v>
      </c>
    </row>
    <row r="106" spans="1:8" x14ac:dyDescent="0.25">
      <c r="A106" t="s">
        <v>702</v>
      </c>
      <c r="B106" t="s">
        <v>376</v>
      </c>
      <c r="C106" s="18">
        <v>2016</v>
      </c>
      <c r="D106" t="s">
        <v>673</v>
      </c>
      <c r="E106" s="22"/>
      <c r="F106" t="s">
        <v>672</v>
      </c>
      <c r="G106" t="s">
        <v>673</v>
      </c>
      <c r="H106" t="s">
        <v>672</v>
      </c>
    </row>
    <row r="107" spans="1:8" x14ac:dyDescent="0.25">
      <c r="A107" t="s">
        <v>657</v>
      </c>
      <c r="B107" t="s">
        <v>658</v>
      </c>
      <c r="C107" s="18">
        <v>2016</v>
      </c>
      <c r="D107" t="s">
        <v>668</v>
      </c>
      <c r="E107" s="22" t="s">
        <v>611</v>
      </c>
      <c r="F107" t="s">
        <v>669</v>
      </c>
      <c r="G107" t="s">
        <v>668</v>
      </c>
      <c r="H107" t="s">
        <v>669</v>
      </c>
    </row>
    <row r="108" spans="1:8" x14ac:dyDescent="0.25">
      <c r="A108" t="s">
        <v>703</v>
      </c>
      <c r="B108" t="s">
        <v>154</v>
      </c>
      <c r="C108" s="18">
        <v>2016</v>
      </c>
      <c r="D108" t="s">
        <v>662</v>
      </c>
      <c r="E108" s="22"/>
      <c r="F108" t="s">
        <v>664</v>
      </c>
      <c r="G108" t="s">
        <v>662</v>
      </c>
      <c r="H108" t="s">
        <v>664</v>
      </c>
    </row>
    <row r="109" spans="1:8" x14ac:dyDescent="0.25">
      <c r="A109" t="s">
        <v>705</v>
      </c>
      <c r="B109" t="s">
        <v>660</v>
      </c>
      <c r="C109" s="18">
        <v>2016</v>
      </c>
      <c r="D109" s="21" t="s">
        <v>620</v>
      </c>
      <c r="E109" s="22"/>
      <c r="F109" s="21"/>
      <c r="G109" s="21" t="s">
        <v>620</v>
      </c>
    </row>
    <row r="110" spans="1:8" x14ac:dyDescent="0.25">
      <c r="A110" t="s">
        <v>704</v>
      </c>
      <c r="B110" t="s">
        <v>660</v>
      </c>
      <c r="C110" s="18">
        <v>2016</v>
      </c>
      <c r="D110" s="21" t="s">
        <v>619</v>
      </c>
      <c r="E110" s="22"/>
      <c r="F110" s="21"/>
      <c r="G110" t="s">
        <v>619</v>
      </c>
    </row>
    <row r="111" spans="1:8" x14ac:dyDescent="0.25">
      <c r="A111" t="s">
        <v>659</v>
      </c>
      <c r="B111" t="s">
        <v>376</v>
      </c>
      <c r="C111" s="18">
        <v>2017</v>
      </c>
      <c r="D111" t="s">
        <v>673</v>
      </c>
      <c r="E111" s="22" t="s">
        <v>612</v>
      </c>
      <c r="F111" t="s">
        <v>676</v>
      </c>
      <c r="G111" t="s">
        <v>673</v>
      </c>
      <c r="H111" t="s">
        <v>676</v>
      </c>
    </row>
    <row r="112" spans="1:8" x14ac:dyDescent="0.25">
      <c r="A112" t="s">
        <v>702</v>
      </c>
      <c r="B112" t="s">
        <v>376</v>
      </c>
      <c r="C112" s="18">
        <v>2017</v>
      </c>
      <c r="D112" t="s">
        <v>672</v>
      </c>
      <c r="E112" s="22"/>
      <c r="F112" t="s">
        <v>673</v>
      </c>
      <c r="G112" t="s">
        <v>672</v>
      </c>
      <c r="H112" t="s">
        <v>673</v>
      </c>
    </row>
    <row r="113" spans="1:8" x14ac:dyDescent="0.25">
      <c r="A113" t="s">
        <v>657</v>
      </c>
      <c r="B113" t="s">
        <v>658</v>
      </c>
      <c r="C113" s="18">
        <v>2017</v>
      </c>
      <c r="D113" t="s">
        <v>668</v>
      </c>
      <c r="E113" s="22" t="s">
        <v>607</v>
      </c>
      <c r="F113" t="s">
        <v>682</v>
      </c>
      <c r="G113" t="s">
        <v>668</v>
      </c>
      <c r="H113" t="s">
        <v>682</v>
      </c>
    </row>
    <row r="114" spans="1:8" x14ac:dyDescent="0.25">
      <c r="A114" t="s">
        <v>703</v>
      </c>
      <c r="B114" t="s">
        <v>154</v>
      </c>
      <c r="C114" s="18">
        <v>2017</v>
      </c>
      <c r="D114" t="s">
        <v>665</v>
      </c>
      <c r="E114" s="22"/>
      <c r="F114" t="s">
        <v>664</v>
      </c>
      <c r="G114" t="s">
        <v>665</v>
      </c>
      <c r="H114" t="s">
        <v>664</v>
      </c>
    </row>
    <row r="115" spans="1:8" x14ac:dyDescent="0.25">
      <c r="A115" t="s">
        <v>705</v>
      </c>
      <c r="B115" t="s">
        <v>660</v>
      </c>
      <c r="C115" s="18">
        <v>2017</v>
      </c>
      <c r="D115" s="21" t="s">
        <v>619</v>
      </c>
      <c r="E115" s="22"/>
      <c r="F115" s="21"/>
      <c r="G115" t="s">
        <v>619</v>
      </c>
    </row>
    <row r="116" spans="1:8" x14ac:dyDescent="0.25">
      <c r="A116" t="s">
        <v>704</v>
      </c>
      <c r="B116" t="s">
        <v>660</v>
      </c>
      <c r="C116" s="18">
        <v>2017</v>
      </c>
      <c r="D116" s="21" t="s">
        <v>623</v>
      </c>
      <c r="E116" s="22"/>
      <c r="F116" s="21"/>
      <c r="G116" t="s">
        <v>623</v>
      </c>
    </row>
    <row r="117" spans="1:8" x14ac:dyDescent="0.25">
      <c r="A117" t="s">
        <v>659</v>
      </c>
      <c r="B117" t="s">
        <v>376</v>
      </c>
      <c r="C117" s="18">
        <v>2018</v>
      </c>
      <c r="D117" t="s">
        <v>672</v>
      </c>
      <c r="E117" s="22" t="s">
        <v>613</v>
      </c>
      <c r="F117" t="s">
        <v>667</v>
      </c>
      <c r="G117" t="s">
        <v>672</v>
      </c>
      <c r="H117" t="s">
        <v>667</v>
      </c>
    </row>
    <row r="118" spans="1:8" x14ac:dyDescent="0.25">
      <c r="A118" t="s">
        <v>702</v>
      </c>
      <c r="B118" t="s">
        <v>376</v>
      </c>
      <c r="C118" s="18">
        <v>2018</v>
      </c>
      <c r="D118" t="s">
        <v>672</v>
      </c>
      <c r="E118" s="22"/>
      <c r="F118" t="s">
        <v>673</v>
      </c>
      <c r="G118" t="s">
        <v>672</v>
      </c>
      <c r="H118" t="s">
        <v>673</v>
      </c>
    </row>
    <row r="119" spans="1:8" x14ac:dyDescent="0.25">
      <c r="A119" t="s">
        <v>657</v>
      </c>
      <c r="B119" t="s">
        <v>658</v>
      </c>
      <c r="C119" s="18">
        <v>2018</v>
      </c>
      <c r="D119" t="s">
        <v>668</v>
      </c>
      <c r="E119" s="22" t="s">
        <v>612</v>
      </c>
      <c r="F119" t="s">
        <v>669</v>
      </c>
      <c r="G119" t="s">
        <v>668</v>
      </c>
      <c r="H119" t="s">
        <v>669</v>
      </c>
    </row>
    <row r="120" spans="1:8" x14ac:dyDescent="0.25">
      <c r="A120" t="s">
        <v>703</v>
      </c>
      <c r="B120" t="s">
        <v>154</v>
      </c>
      <c r="C120" s="18">
        <v>2018</v>
      </c>
      <c r="D120" t="s">
        <v>665</v>
      </c>
      <c r="E120" s="22"/>
      <c r="F120" t="s">
        <v>664</v>
      </c>
      <c r="G120" t="s">
        <v>665</v>
      </c>
      <c r="H120" t="s">
        <v>664</v>
      </c>
    </row>
    <row r="121" spans="1:8" x14ac:dyDescent="0.25">
      <c r="A121" t="s">
        <v>705</v>
      </c>
      <c r="B121" t="s">
        <v>660</v>
      </c>
      <c r="C121" s="18">
        <v>2018</v>
      </c>
      <c r="D121" s="21" t="s">
        <v>623</v>
      </c>
      <c r="E121" s="22"/>
      <c r="F121" s="21"/>
      <c r="G121" t="s">
        <v>623</v>
      </c>
    </row>
    <row r="122" spans="1:8" x14ac:dyDescent="0.25">
      <c r="A122" t="s">
        <v>704</v>
      </c>
      <c r="B122" t="s">
        <v>660</v>
      </c>
      <c r="C122" s="18">
        <v>2018</v>
      </c>
      <c r="D122" s="21" t="s">
        <v>623</v>
      </c>
      <c r="E122" s="22"/>
      <c r="F122" s="21"/>
      <c r="G122" t="s">
        <v>623</v>
      </c>
    </row>
    <row r="123" spans="1:8" x14ac:dyDescent="0.25">
      <c r="A123" t="s">
        <v>659</v>
      </c>
      <c r="B123" t="s">
        <v>376</v>
      </c>
      <c r="C123" s="18">
        <v>2019</v>
      </c>
      <c r="D123" t="s">
        <v>673</v>
      </c>
      <c r="E123" s="22" t="s">
        <v>617</v>
      </c>
      <c r="F123" t="s">
        <v>684</v>
      </c>
      <c r="G123" t="s">
        <v>673</v>
      </c>
      <c r="H123" t="s">
        <v>684</v>
      </c>
    </row>
    <row r="124" spans="1:8" x14ac:dyDescent="0.25">
      <c r="A124" t="s">
        <v>702</v>
      </c>
      <c r="B124" t="s">
        <v>376</v>
      </c>
      <c r="C124" s="18">
        <v>2019</v>
      </c>
      <c r="D124" t="s">
        <v>667</v>
      </c>
      <c r="E124" s="22"/>
      <c r="F124" t="s">
        <v>673</v>
      </c>
      <c r="G124" t="s">
        <v>667</v>
      </c>
      <c r="H124" t="s">
        <v>673</v>
      </c>
    </row>
    <row r="125" spans="1:8" x14ac:dyDescent="0.25">
      <c r="A125" t="s">
        <v>657</v>
      </c>
      <c r="B125" t="s">
        <v>658</v>
      </c>
      <c r="C125" s="18">
        <v>2019</v>
      </c>
      <c r="D125" t="s">
        <v>668</v>
      </c>
      <c r="E125" s="22" t="s">
        <v>612</v>
      </c>
      <c r="F125" t="s">
        <v>664</v>
      </c>
      <c r="G125" t="s">
        <v>668</v>
      </c>
      <c r="H125" t="s">
        <v>664</v>
      </c>
    </row>
    <row r="126" spans="1:8" x14ac:dyDescent="0.25">
      <c r="A126" t="s">
        <v>703</v>
      </c>
      <c r="B126" t="s">
        <v>154</v>
      </c>
      <c r="C126" s="18">
        <v>2019</v>
      </c>
      <c r="D126" t="s">
        <v>665</v>
      </c>
      <c r="E126" s="22"/>
      <c r="F126" t="s">
        <v>664</v>
      </c>
      <c r="G126" t="s">
        <v>665</v>
      </c>
      <c r="H126" t="s">
        <v>664</v>
      </c>
    </row>
    <row r="127" spans="1:8" x14ac:dyDescent="0.25">
      <c r="A127" t="s">
        <v>705</v>
      </c>
      <c r="B127" t="s">
        <v>660</v>
      </c>
      <c r="C127" s="18">
        <v>2019</v>
      </c>
      <c r="D127" s="21" t="s">
        <v>623</v>
      </c>
      <c r="E127" s="22"/>
      <c r="F127" s="21"/>
      <c r="G127" t="s">
        <v>623</v>
      </c>
    </row>
    <row r="128" spans="1:8" x14ac:dyDescent="0.25">
      <c r="A128" t="s">
        <v>704</v>
      </c>
      <c r="B128" t="s">
        <v>660</v>
      </c>
      <c r="C128" s="18">
        <v>2019</v>
      </c>
      <c r="D128" s="21" t="s">
        <v>623</v>
      </c>
      <c r="E128" s="22"/>
      <c r="F128" s="21"/>
      <c r="G128" t="s">
        <v>623</v>
      </c>
    </row>
    <row r="129" spans="1:8" x14ac:dyDescent="0.25">
      <c r="A129" t="s">
        <v>659</v>
      </c>
      <c r="B129" t="s">
        <v>376</v>
      </c>
      <c r="C129" s="18">
        <v>2020</v>
      </c>
      <c r="D129" t="s">
        <v>673</v>
      </c>
      <c r="E129" s="22" t="s">
        <v>616</v>
      </c>
      <c r="F129" t="s">
        <v>670</v>
      </c>
      <c r="G129" t="s">
        <v>673</v>
      </c>
      <c r="H129" t="s">
        <v>670</v>
      </c>
    </row>
    <row r="130" spans="1:8" x14ac:dyDescent="0.25">
      <c r="A130" t="s">
        <v>702</v>
      </c>
      <c r="B130" t="s">
        <v>376</v>
      </c>
      <c r="C130" s="18">
        <v>2020</v>
      </c>
      <c r="D130" t="s">
        <v>672</v>
      </c>
      <c r="E130" s="22"/>
      <c r="F130" t="s">
        <v>673</v>
      </c>
      <c r="G130" t="s">
        <v>672</v>
      </c>
      <c r="H130" t="s">
        <v>673</v>
      </c>
    </row>
    <row r="131" spans="1:8" x14ac:dyDescent="0.25">
      <c r="A131" t="s">
        <v>657</v>
      </c>
      <c r="B131" t="s">
        <v>658</v>
      </c>
      <c r="C131" s="18">
        <v>2020</v>
      </c>
      <c r="D131" t="s">
        <v>668</v>
      </c>
      <c r="E131" s="22" t="s">
        <v>613</v>
      </c>
      <c r="F131" t="s">
        <v>669</v>
      </c>
      <c r="G131" t="s">
        <v>668</v>
      </c>
      <c r="H131" t="s">
        <v>669</v>
      </c>
    </row>
    <row r="132" spans="1:8" x14ac:dyDescent="0.25">
      <c r="A132" t="s">
        <v>703</v>
      </c>
      <c r="B132" t="s">
        <v>154</v>
      </c>
      <c r="C132" s="18">
        <v>2020</v>
      </c>
      <c r="D132" t="s">
        <v>664</v>
      </c>
      <c r="E132" s="22"/>
      <c r="F132" t="s">
        <v>665</v>
      </c>
      <c r="G132" t="s">
        <v>664</v>
      </c>
      <c r="H132" t="s">
        <v>665</v>
      </c>
    </row>
    <row r="133" spans="1:8" x14ac:dyDescent="0.25">
      <c r="A133" t="s">
        <v>659</v>
      </c>
      <c r="B133" t="s">
        <v>376</v>
      </c>
      <c r="C133" s="18">
        <v>2021</v>
      </c>
      <c r="D133" t="s">
        <v>672</v>
      </c>
      <c r="E133" s="22" t="s">
        <v>617</v>
      </c>
      <c r="F133" t="s">
        <v>667</v>
      </c>
      <c r="G133" t="s">
        <v>672</v>
      </c>
      <c r="H133" t="s">
        <v>667</v>
      </c>
    </row>
    <row r="134" spans="1:8" x14ac:dyDescent="0.25">
      <c r="A134" t="s">
        <v>702</v>
      </c>
      <c r="B134" t="s">
        <v>376</v>
      </c>
      <c r="C134" s="18">
        <v>2021</v>
      </c>
      <c r="D134" t="s">
        <v>672</v>
      </c>
      <c r="E134" s="22"/>
      <c r="F134" t="s">
        <v>673</v>
      </c>
      <c r="G134" t="s">
        <v>672</v>
      </c>
      <c r="H134" t="s">
        <v>673</v>
      </c>
    </row>
    <row r="135" spans="1:8" x14ac:dyDescent="0.25">
      <c r="A135" t="s">
        <v>657</v>
      </c>
      <c r="B135" t="s">
        <v>658</v>
      </c>
      <c r="C135" s="18">
        <v>2021</v>
      </c>
      <c r="D135" t="s">
        <v>664</v>
      </c>
      <c r="E135" s="22" t="s">
        <v>614</v>
      </c>
      <c r="F135" t="s">
        <v>672</v>
      </c>
      <c r="G135" t="s">
        <v>664</v>
      </c>
      <c r="H135" t="s">
        <v>672</v>
      </c>
    </row>
    <row r="136" spans="1:8" x14ac:dyDescent="0.25">
      <c r="A136" t="s">
        <v>703</v>
      </c>
      <c r="B136" t="s">
        <v>154</v>
      </c>
      <c r="C136" s="18">
        <v>2021</v>
      </c>
      <c r="D136" t="s">
        <v>664</v>
      </c>
      <c r="E136" s="22"/>
      <c r="F136" t="s">
        <v>679</v>
      </c>
      <c r="G136" t="s">
        <v>664</v>
      </c>
      <c r="H136" t="s">
        <v>679</v>
      </c>
    </row>
    <row r="137" spans="1:8" x14ac:dyDescent="0.25">
      <c r="A137" t="s">
        <v>705</v>
      </c>
      <c r="B137" t="s">
        <v>660</v>
      </c>
      <c r="C137" s="18">
        <v>2021</v>
      </c>
      <c r="D137" s="21" t="s">
        <v>624</v>
      </c>
      <c r="E137" s="22"/>
      <c r="F137" s="21"/>
      <c r="G137" t="s">
        <v>624</v>
      </c>
    </row>
    <row r="138" spans="1:8" x14ac:dyDescent="0.25">
      <c r="A138" t="s">
        <v>704</v>
      </c>
      <c r="B138" t="s">
        <v>660</v>
      </c>
      <c r="C138" s="18">
        <v>2021</v>
      </c>
      <c r="D138" s="21" t="s">
        <v>651</v>
      </c>
      <c r="E138" s="22"/>
      <c r="F138" s="21"/>
      <c r="G138" t="s">
        <v>619</v>
      </c>
    </row>
    <row r="139" spans="1:8" x14ac:dyDescent="0.25">
      <c r="A139" t="s">
        <v>659</v>
      </c>
      <c r="B139" t="s">
        <v>376</v>
      </c>
      <c r="C139" s="18">
        <v>2022</v>
      </c>
      <c r="D139" t="s">
        <v>672</v>
      </c>
      <c r="E139" s="22" t="s">
        <v>618</v>
      </c>
      <c r="F139" t="s">
        <v>673</v>
      </c>
      <c r="G139" t="s">
        <v>672</v>
      </c>
      <c r="H139" t="s">
        <v>673</v>
      </c>
    </row>
    <row r="140" spans="1:8" x14ac:dyDescent="0.25">
      <c r="A140" t="s">
        <v>702</v>
      </c>
      <c r="B140" t="s">
        <v>376</v>
      </c>
      <c r="C140" s="18">
        <v>2022</v>
      </c>
      <c r="D140" t="s">
        <v>672</v>
      </c>
      <c r="E140" s="22"/>
      <c r="F140" t="s">
        <v>667</v>
      </c>
      <c r="G140" t="s">
        <v>672</v>
      </c>
      <c r="H140" t="s">
        <v>667</v>
      </c>
    </row>
    <row r="141" spans="1:8" x14ac:dyDescent="0.25">
      <c r="A141" t="s">
        <v>657</v>
      </c>
      <c r="B141" t="s">
        <v>658</v>
      </c>
      <c r="C141" s="18">
        <v>2022</v>
      </c>
      <c r="D141" t="s">
        <v>668</v>
      </c>
      <c r="E141" s="22" t="s">
        <v>613</v>
      </c>
      <c r="F141" t="s">
        <v>664</v>
      </c>
      <c r="G141" t="s">
        <v>668</v>
      </c>
      <c r="H141" t="s">
        <v>664</v>
      </c>
    </row>
    <row r="142" spans="1:8" x14ac:dyDescent="0.25">
      <c r="A142" t="s">
        <v>703</v>
      </c>
      <c r="B142" t="s">
        <v>154</v>
      </c>
      <c r="C142" s="18">
        <v>2022</v>
      </c>
      <c r="D142" t="s">
        <v>664</v>
      </c>
      <c r="E142" s="22"/>
      <c r="F142" t="s">
        <v>680</v>
      </c>
      <c r="G142" t="s">
        <v>664</v>
      </c>
      <c r="H142" t="s">
        <v>680</v>
      </c>
    </row>
    <row r="143" spans="1:8" x14ac:dyDescent="0.25">
      <c r="A143" t="s">
        <v>705</v>
      </c>
      <c r="B143" t="s">
        <v>660</v>
      </c>
      <c r="C143" s="18">
        <v>2022</v>
      </c>
      <c r="D143" s="21" t="s">
        <v>619</v>
      </c>
      <c r="E143" s="22"/>
      <c r="F143" s="21"/>
      <c r="G143" t="s">
        <v>619</v>
      </c>
    </row>
    <row r="144" spans="1:8" x14ac:dyDescent="0.25">
      <c r="A144" t="s">
        <v>704</v>
      </c>
      <c r="B144" t="s">
        <v>660</v>
      </c>
      <c r="C144" s="18">
        <v>2022</v>
      </c>
      <c r="D144" s="21" t="s">
        <v>652</v>
      </c>
      <c r="E144" s="22"/>
      <c r="F144" s="21"/>
      <c r="G144" t="s">
        <v>652</v>
      </c>
    </row>
    <row r="145" spans="1:8" x14ac:dyDescent="0.25">
      <c r="A145" t="s">
        <v>659</v>
      </c>
      <c r="B145" t="s">
        <v>376</v>
      </c>
      <c r="C145" s="18">
        <v>2023</v>
      </c>
      <c r="D145" t="s">
        <v>672</v>
      </c>
      <c r="E145" s="22" t="s">
        <v>608</v>
      </c>
      <c r="F145" t="s">
        <v>677</v>
      </c>
      <c r="G145" t="s">
        <v>672</v>
      </c>
      <c r="H145" t="s">
        <v>677</v>
      </c>
    </row>
    <row r="146" spans="1:8" x14ac:dyDescent="0.25">
      <c r="A146" t="s">
        <v>702</v>
      </c>
      <c r="B146" t="s">
        <v>376</v>
      </c>
      <c r="C146" s="18">
        <v>2023</v>
      </c>
      <c r="D146" t="s">
        <v>672</v>
      </c>
      <c r="E146" s="22"/>
      <c r="F146" t="s">
        <v>677</v>
      </c>
      <c r="G146" t="s">
        <v>672</v>
      </c>
      <c r="H146" t="s">
        <v>677</v>
      </c>
    </row>
    <row r="147" spans="1:8" x14ac:dyDescent="0.25">
      <c r="A147" t="s">
        <v>657</v>
      </c>
      <c r="B147" t="s">
        <v>658</v>
      </c>
      <c r="C147" s="18">
        <v>2023</v>
      </c>
      <c r="D147" t="s">
        <v>664</v>
      </c>
      <c r="E147" s="22" t="s">
        <v>615</v>
      </c>
      <c r="F147" t="s">
        <v>669</v>
      </c>
      <c r="G147" t="s">
        <v>664</v>
      </c>
      <c r="H147" t="s">
        <v>669</v>
      </c>
    </row>
    <row r="148" spans="1:8" x14ac:dyDescent="0.25">
      <c r="A148" t="s">
        <v>703</v>
      </c>
      <c r="B148" t="s">
        <v>154</v>
      </c>
      <c r="C148" s="18">
        <v>2023</v>
      </c>
      <c r="D148" t="s">
        <v>664</v>
      </c>
      <c r="E148" s="22"/>
      <c r="F148" t="s">
        <v>679</v>
      </c>
      <c r="G148" t="s">
        <v>664</v>
      </c>
      <c r="H148" t="s">
        <v>679</v>
      </c>
    </row>
    <row r="149" spans="1:8" x14ac:dyDescent="0.25">
      <c r="A149" t="s">
        <v>705</v>
      </c>
      <c r="B149" t="s">
        <v>660</v>
      </c>
      <c r="C149" s="18">
        <v>2023</v>
      </c>
      <c r="D149" s="21" t="s">
        <v>625</v>
      </c>
      <c r="E149" s="22"/>
      <c r="F149" s="21"/>
      <c r="G149" t="s">
        <v>625</v>
      </c>
    </row>
    <row r="150" spans="1:8" x14ac:dyDescent="0.25">
      <c r="A150" t="s">
        <v>704</v>
      </c>
      <c r="B150" t="s">
        <v>660</v>
      </c>
      <c r="C150" s="18">
        <v>2023</v>
      </c>
      <c r="D150" s="21" t="s">
        <v>626</v>
      </c>
      <c r="E150" s="22"/>
      <c r="F150" s="21"/>
      <c r="G150" t="s">
        <v>626</v>
      </c>
    </row>
    <row r="151" spans="1:8" x14ac:dyDescent="0.25">
      <c r="A151" t="s">
        <v>659</v>
      </c>
      <c r="B151" t="s">
        <v>376</v>
      </c>
      <c r="C151" s="18">
        <v>2024</v>
      </c>
      <c r="D151" t="s">
        <v>677</v>
      </c>
      <c r="E151" s="22" t="s">
        <v>614</v>
      </c>
      <c r="F151" t="s">
        <v>685</v>
      </c>
      <c r="G151" t="s">
        <v>677</v>
      </c>
      <c r="H151" t="s">
        <v>685</v>
      </c>
    </row>
    <row r="152" spans="1:8" x14ac:dyDescent="0.25">
      <c r="A152" t="s">
        <v>702</v>
      </c>
      <c r="B152" t="s">
        <v>376</v>
      </c>
      <c r="C152" s="18">
        <v>2024</v>
      </c>
      <c r="D152" t="s">
        <v>672</v>
      </c>
      <c r="E152" s="22"/>
      <c r="F152" t="s">
        <v>673</v>
      </c>
      <c r="G152" t="s">
        <v>672</v>
      </c>
      <c r="H152" t="s">
        <v>673</v>
      </c>
    </row>
    <row r="153" spans="1:8" x14ac:dyDescent="0.25">
      <c r="A153" t="s">
        <v>657</v>
      </c>
      <c r="B153" t="s">
        <v>658</v>
      </c>
      <c r="C153" s="18">
        <v>2024</v>
      </c>
      <c r="D153" t="s">
        <v>664</v>
      </c>
      <c r="E153" s="22" t="s">
        <v>594</v>
      </c>
      <c r="F153" t="s">
        <v>668</v>
      </c>
      <c r="G153" t="s">
        <v>664</v>
      </c>
      <c r="H153" t="s">
        <v>668</v>
      </c>
    </row>
    <row r="154" spans="1:8" x14ac:dyDescent="0.25">
      <c r="A154" t="s">
        <v>703</v>
      </c>
      <c r="B154" t="s">
        <v>154</v>
      </c>
      <c r="C154" s="18">
        <v>2024</v>
      </c>
      <c r="D154" t="s">
        <v>664</v>
      </c>
      <c r="E154" s="22"/>
      <c r="F154" t="s">
        <v>679</v>
      </c>
      <c r="G154" t="s">
        <v>664</v>
      </c>
      <c r="H154" t="s">
        <v>679</v>
      </c>
    </row>
    <row r="155" spans="1:8" x14ac:dyDescent="0.25">
      <c r="A155" t="s">
        <v>705</v>
      </c>
      <c r="B155" t="s">
        <v>660</v>
      </c>
      <c r="C155" s="18">
        <v>2024</v>
      </c>
      <c r="D155" s="21" t="s">
        <v>627</v>
      </c>
      <c r="E155" s="22"/>
      <c r="F155" s="21"/>
      <c r="G155" t="s">
        <v>627</v>
      </c>
    </row>
    <row r="156" spans="1:8" x14ac:dyDescent="0.25">
      <c r="A156" t="s">
        <v>704</v>
      </c>
      <c r="B156" t="s">
        <v>660</v>
      </c>
      <c r="C156" s="18">
        <v>2024</v>
      </c>
      <c r="D156" s="21" t="s">
        <v>627</v>
      </c>
      <c r="E156" s="22"/>
      <c r="F156" s="21"/>
      <c r="G156" t="s">
        <v>627</v>
      </c>
    </row>
    <row r="157" spans="1:8" x14ac:dyDescent="0.25">
      <c r="A157" t="s">
        <v>659</v>
      </c>
      <c r="B157" t="s">
        <v>376</v>
      </c>
      <c r="C157" s="18">
        <v>2025</v>
      </c>
      <c r="D157" t="s">
        <v>672</v>
      </c>
      <c r="E157" s="22" t="s">
        <v>617</v>
      </c>
      <c r="F157" t="s">
        <v>677</v>
      </c>
      <c r="G157" t="s">
        <v>672</v>
      </c>
      <c r="H157" t="s">
        <v>677</v>
      </c>
    </row>
    <row r="158" spans="1:8" x14ac:dyDescent="0.25">
      <c r="A158" t="s">
        <v>702</v>
      </c>
      <c r="B158" t="s">
        <v>376</v>
      </c>
      <c r="C158" s="18">
        <v>2025</v>
      </c>
      <c r="D158" t="s">
        <v>672</v>
      </c>
      <c r="E158" s="22"/>
      <c r="F158" t="s">
        <v>667</v>
      </c>
      <c r="G158" t="s">
        <v>672</v>
      </c>
      <c r="H158" t="s">
        <v>667</v>
      </c>
    </row>
    <row r="159" spans="1:8" x14ac:dyDescent="0.25">
      <c r="A159" t="s">
        <v>657</v>
      </c>
      <c r="B159" t="s">
        <v>658</v>
      </c>
      <c r="C159" s="18">
        <v>2025</v>
      </c>
      <c r="D159" t="s">
        <v>667</v>
      </c>
      <c r="E159" s="22" t="s">
        <v>608</v>
      </c>
      <c r="F159" t="s">
        <v>664</v>
      </c>
      <c r="G159" t="s">
        <v>667</v>
      </c>
      <c r="H159" t="s">
        <v>664</v>
      </c>
    </row>
    <row r="160" spans="1:8" x14ac:dyDescent="0.25">
      <c r="A160" t="s">
        <v>703</v>
      </c>
      <c r="B160" t="s">
        <v>154</v>
      </c>
      <c r="C160" s="18">
        <v>2025</v>
      </c>
      <c r="D160" t="s">
        <v>664</v>
      </c>
      <c r="E160" s="22"/>
      <c r="F160" t="s">
        <v>679</v>
      </c>
      <c r="G160" t="s">
        <v>664</v>
      </c>
      <c r="H160" t="s">
        <v>679</v>
      </c>
    </row>
    <row r="161" spans="1:8" x14ac:dyDescent="0.25">
      <c r="A161" t="s">
        <v>705</v>
      </c>
      <c r="B161" t="s">
        <v>660</v>
      </c>
      <c r="C161" s="18">
        <v>2025</v>
      </c>
      <c r="D161" s="21" t="s">
        <v>653</v>
      </c>
      <c r="E161" s="22"/>
      <c r="F161" s="21"/>
      <c r="G161" t="s">
        <v>625</v>
      </c>
    </row>
    <row r="162" spans="1:8" x14ac:dyDescent="0.25">
      <c r="A162" t="s">
        <v>704</v>
      </c>
      <c r="B162" t="s">
        <v>660</v>
      </c>
      <c r="C162" s="18">
        <v>2025</v>
      </c>
      <c r="D162" s="21" t="s">
        <v>628</v>
      </c>
      <c r="E162" s="22"/>
      <c r="F162" s="21"/>
      <c r="G162" t="s">
        <v>628</v>
      </c>
    </row>
    <row r="163" spans="1:8" x14ac:dyDescent="0.25">
      <c r="A163" t="s">
        <v>659</v>
      </c>
      <c r="B163" t="s">
        <v>376</v>
      </c>
      <c r="C163" s="18">
        <v>2026</v>
      </c>
      <c r="D163" t="s">
        <v>673</v>
      </c>
      <c r="E163" s="22" t="s">
        <v>614</v>
      </c>
      <c r="F163" t="s">
        <v>686</v>
      </c>
      <c r="G163" t="s">
        <v>673</v>
      </c>
      <c r="H163" t="s">
        <v>686</v>
      </c>
    </row>
    <row r="164" spans="1:8" x14ac:dyDescent="0.25">
      <c r="A164" t="s">
        <v>702</v>
      </c>
      <c r="B164" t="s">
        <v>376</v>
      </c>
      <c r="C164" s="18">
        <v>2026</v>
      </c>
      <c r="D164" t="s">
        <v>673</v>
      </c>
      <c r="E164" s="22"/>
      <c r="F164" t="s">
        <v>667</v>
      </c>
      <c r="G164" t="s">
        <v>673</v>
      </c>
      <c r="H164" t="s">
        <v>667</v>
      </c>
    </row>
    <row r="165" spans="1:8" x14ac:dyDescent="0.25">
      <c r="A165" t="s">
        <v>657</v>
      </c>
      <c r="B165" t="s">
        <v>658</v>
      </c>
      <c r="C165" s="18">
        <v>2026</v>
      </c>
      <c r="D165" t="s">
        <v>664</v>
      </c>
      <c r="E165" s="22" t="s">
        <v>614</v>
      </c>
      <c r="F165" t="s">
        <v>668</v>
      </c>
      <c r="G165" t="s">
        <v>664</v>
      </c>
      <c r="H165" t="s">
        <v>668</v>
      </c>
    </row>
    <row r="166" spans="1:8" x14ac:dyDescent="0.25">
      <c r="A166" t="s">
        <v>703</v>
      </c>
      <c r="B166" t="s">
        <v>154</v>
      </c>
      <c r="C166" s="18">
        <v>2026</v>
      </c>
      <c r="D166" t="s">
        <v>664</v>
      </c>
      <c r="E166" s="22"/>
      <c r="F166" t="s">
        <v>679</v>
      </c>
      <c r="G166" t="s">
        <v>664</v>
      </c>
      <c r="H166" t="s">
        <v>679</v>
      </c>
    </row>
    <row r="167" spans="1:8" x14ac:dyDescent="0.25">
      <c r="A167" t="s">
        <v>705</v>
      </c>
      <c r="B167" t="s">
        <v>660</v>
      </c>
      <c r="C167" s="18">
        <v>2026</v>
      </c>
      <c r="D167" s="21"/>
      <c r="E167" s="22"/>
      <c r="F167" s="21"/>
    </row>
    <row r="168" spans="1:8" x14ac:dyDescent="0.25">
      <c r="A168" t="s">
        <v>704</v>
      </c>
      <c r="B168" t="s">
        <v>660</v>
      </c>
      <c r="C168" s="18">
        <v>2026</v>
      </c>
      <c r="D168" s="21"/>
      <c r="E168" s="22"/>
      <c r="F168" s="21"/>
    </row>
    <row r="169" spans="1:8" x14ac:dyDescent="0.25">
      <c r="A169" t="s">
        <v>707</v>
      </c>
      <c r="C169" s="18">
        <v>2026</v>
      </c>
      <c r="D169" t="s">
        <v>667</v>
      </c>
      <c r="E169" s="22" t="s">
        <v>618</v>
      </c>
      <c r="F169" s="21" t="s">
        <v>708</v>
      </c>
      <c r="G169" t="s">
        <v>667</v>
      </c>
      <c r="H169" s="21" t="s">
        <v>708</v>
      </c>
    </row>
    <row r="170" spans="1:8" x14ac:dyDescent="0.25">
      <c r="C170" s="18"/>
      <c r="D170" s="21"/>
      <c r="E170" s="22"/>
      <c r="F170" s="21"/>
    </row>
    <row r="171" spans="1:8" x14ac:dyDescent="0.25">
      <c r="C171" s="18"/>
      <c r="D171" s="21"/>
      <c r="E171" s="22"/>
      <c r="F171" s="21"/>
    </row>
    <row r="172" spans="1:8" x14ac:dyDescent="0.25">
      <c r="C172" s="18"/>
      <c r="D172" s="21"/>
      <c r="E172" s="22"/>
      <c r="F172" s="21"/>
    </row>
    <row r="173" spans="1:8" x14ac:dyDescent="0.25">
      <c r="C173" s="18"/>
      <c r="D173" s="21"/>
      <c r="E173" s="22"/>
      <c r="F173" s="21"/>
    </row>
    <row r="174" spans="1:8" x14ac:dyDescent="0.25">
      <c r="C174" s="18"/>
      <c r="D174" s="21"/>
      <c r="E174" s="22"/>
      <c r="F174" s="21"/>
    </row>
    <row r="175" spans="1:8" x14ac:dyDescent="0.25">
      <c r="C175" s="18"/>
      <c r="D175" s="21"/>
      <c r="E175" s="22"/>
      <c r="F175" s="21"/>
    </row>
    <row r="176" spans="1:8" x14ac:dyDescent="0.25">
      <c r="C176" s="18"/>
      <c r="D176" s="21"/>
      <c r="E176" s="22"/>
      <c r="F176" s="21"/>
    </row>
    <row r="177" spans="3:6" x14ac:dyDescent="0.25">
      <c r="C177" s="18"/>
      <c r="D177" s="21"/>
      <c r="E177" s="22"/>
      <c r="F177" s="21"/>
    </row>
    <row r="178" spans="3:6" x14ac:dyDescent="0.25">
      <c r="C178" s="18"/>
      <c r="D178" s="21"/>
      <c r="E178" s="22"/>
      <c r="F178" s="21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1679E-4ACC-4B50-9566-34CA19423BF9}">
  <dimension ref="A1:AA368"/>
  <sheetViews>
    <sheetView workbookViewId="0">
      <selection activeCell="T20" sqref="T20"/>
    </sheetView>
  </sheetViews>
  <sheetFormatPr defaultRowHeight="15" x14ac:dyDescent="0.25"/>
  <cols>
    <col min="1" max="1" width="9.7109375" customWidth="1"/>
    <col min="2" max="2" width="28.5703125" customWidth="1"/>
    <col min="3" max="3" width="12.5703125" customWidth="1"/>
    <col min="4" max="4" width="5.140625" bestFit="1" customWidth="1"/>
    <col min="5" max="5" width="4.28515625" bestFit="1" customWidth="1"/>
    <col min="6" max="6" width="8.42578125" bestFit="1" customWidth="1"/>
    <col min="7" max="7" width="5.85546875" bestFit="1" customWidth="1"/>
    <col min="8" max="9" width="7.7109375" bestFit="1" customWidth="1"/>
    <col min="10" max="10" width="6.42578125" customWidth="1"/>
    <col min="11" max="11" width="7" style="29" customWidth="1"/>
    <col min="12" max="12" width="7.42578125" style="29" customWidth="1"/>
    <col min="13" max="13" width="7.140625" style="31" customWidth="1"/>
    <col min="14" max="14" width="7.5703125" style="31" customWidth="1"/>
    <col min="15" max="15" width="8.28515625" style="29" customWidth="1"/>
    <col min="16" max="16" width="8.7109375" style="29" customWidth="1"/>
    <col min="17" max="17" width="9.140625" style="29"/>
    <col min="18" max="18" width="21.140625" bestFit="1" customWidth="1"/>
    <col min="25" max="25" width="21.140625" bestFit="1" customWidth="1"/>
    <col min="27" max="27" width="21.140625" bestFit="1" customWidth="1"/>
  </cols>
  <sheetData>
    <row r="1" spans="1:27" ht="18.75" x14ac:dyDescent="0.3">
      <c r="A1" s="23"/>
    </row>
    <row r="2" spans="1:27" x14ac:dyDescent="0.25">
      <c r="Y2" t="s">
        <v>749</v>
      </c>
      <c r="AA2" t="s">
        <v>750</v>
      </c>
    </row>
    <row r="3" spans="1:27" x14ac:dyDescent="0.25">
      <c r="A3" s="28" t="s">
        <v>27</v>
      </c>
      <c r="B3" s="28" t="s">
        <v>1</v>
      </c>
      <c r="C3" s="28" t="s">
        <v>725</v>
      </c>
      <c r="D3" s="28" t="s">
        <v>3</v>
      </c>
      <c r="E3" s="28" t="s">
        <v>4</v>
      </c>
      <c r="F3" s="28" t="s">
        <v>726</v>
      </c>
      <c r="G3" s="28" t="s">
        <v>727</v>
      </c>
      <c r="H3" s="28" t="s">
        <v>728</v>
      </c>
      <c r="I3" s="28" t="s">
        <v>740</v>
      </c>
      <c r="J3" s="28" t="s">
        <v>8</v>
      </c>
      <c r="K3" s="30" t="s">
        <v>746</v>
      </c>
      <c r="L3" s="30" t="s">
        <v>747</v>
      </c>
      <c r="M3" s="32" t="s">
        <v>743</v>
      </c>
      <c r="N3" s="32" t="s">
        <v>744</v>
      </c>
      <c r="O3" s="30" t="s">
        <v>742</v>
      </c>
      <c r="P3" s="30" t="s">
        <v>745</v>
      </c>
      <c r="Q3" s="30" t="s">
        <v>741</v>
      </c>
      <c r="R3" s="28" t="s">
        <v>706</v>
      </c>
      <c r="Y3" t="s">
        <v>748</v>
      </c>
      <c r="AA3" t="s">
        <v>722</v>
      </c>
    </row>
    <row r="4" spans="1:27" x14ac:dyDescent="0.25">
      <c r="A4" s="27">
        <v>2025</v>
      </c>
      <c r="B4" t="s">
        <v>719</v>
      </c>
      <c r="C4" t="s">
        <v>729</v>
      </c>
      <c r="D4" s="27">
        <v>30</v>
      </c>
      <c r="E4" s="27">
        <v>14</v>
      </c>
      <c r="F4" s="24">
        <v>0.68200000000000005</v>
      </c>
      <c r="G4" s="26">
        <v>0</v>
      </c>
      <c r="H4" s="25">
        <v>84.4</v>
      </c>
      <c r="I4" s="25">
        <v>76.8</v>
      </c>
      <c r="J4" t="s">
        <v>30</v>
      </c>
      <c r="K4" s="29" t="s">
        <v>30</v>
      </c>
      <c r="M4" s="33">
        <v>1</v>
      </c>
      <c r="N4" s="33">
        <v>2</v>
      </c>
      <c r="R4" s="29" t="str">
        <f>VLOOKUP(WNBA_TeamSeasons[[#This Row],[Team]],$Y$3:$Y$17,1,FALSE)</f>
        <v>Atlanta Dream</v>
      </c>
      <c r="Y4" t="s">
        <v>719</v>
      </c>
      <c r="AA4" t="s">
        <v>724</v>
      </c>
    </row>
    <row r="5" spans="1:27" x14ac:dyDescent="0.25">
      <c r="A5" s="27">
        <v>2025</v>
      </c>
      <c r="B5" t="s">
        <v>711</v>
      </c>
      <c r="C5" t="s">
        <v>729</v>
      </c>
      <c r="D5" s="27">
        <v>27</v>
      </c>
      <c r="E5" s="27">
        <v>17</v>
      </c>
      <c r="F5" s="24">
        <v>0.61399999999999999</v>
      </c>
      <c r="G5" s="26">
        <v>3</v>
      </c>
      <c r="H5" s="25">
        <v>84.4</v>
      </c>
      <c r="I5" s="25">
        <v>80.3</v>
      </c>
      <c r="J5" t="s">
        <v>30</v>
      </c>
      <c r="M5" s="33">
        <v>1</v>
      </c>
      <c r="N5" s="33">
        <v>2</v>
      </c>
      <c r="R5" s="29" t="str">
        <f>VLOOKUP(WNBA_TeamSeasons[[#This Row],[Team]],$Y$3:$Y$17,1,FALSE)</f>
        <v>New York Liberty</v>
      </c>
      <c r="Y5" t="s">
        <v>714</v>
      </c>
      <c r="AA5" t="s">
        <v>723</v>
      </c>
    </row>
    <row r="6" spans="1:27" x14ac:dyDescent="0.25">
      <c r="A6" s="27">
        <v>2025</v>
      </c>
      <c r="B6" t="s">
        <v>718</v>
      </c>
      <c r="C6" t="s">
        <v>729</v>
      </c>
      <c r="D6" s="27">
        <v>24</v>
      </c>
      <c r="E6" s="27">
        <v>20</v>
      </c>
      <c r="F6" s="24">
        <v>0.54500000000000004</v>
      </c>
      <c r="G6" s="26">
        <v>6</v>
      </c>
      <c r="H6" s="25">
        <v>84.9</v>
      </c>
      <c r="I6" s="25">
        <v>81.5</v>
      </c>
      <c r="J6" t="s">
        <v>30</v>
      </c>
      <c r="M6" s="33">
        <v>4</v>
      </c>
      <c r="N6" s="33">
        <v>4</v>
      </c>
      <c r="O6" s="29" t="s">
        <v>30</v>
      </c>
      <c r="R6" s="29" t="str">
        <f>VLOOKUP(WNBA_TeamSeasons[[#This Row],[Team]],$Y$3:$Y$17,1,FALSE)</f>
        <v>Indiana Fever</v>
      </c>
      <c r="Y6" t="s">
        <v>713</v>
      </c>
      <c r="AA6" t="s">
        <v>735</v>
      </c>
    </row>
    <row r="7" spans="1:27" x14ac:dyDescent="0.25">
      <c r="A7" s="27">
        <v>2025</v>
      </c>
      <c r="B7" t="s">
        <v>716</v>
      </c>
      <c r="C7" t="s">
        <v>729</v>
      </c>
      <c r="D7" s="27">
        <v>16</v>
      </c>
      <c r="E7" s="27">
        <v>28</v>
      </c>
      <c r="F7" s="24">
        <v>0.36399999999999999</v>
      </c>
      <c r="G7" s="26">
        <v>14</v>
      </c>
      <c r="H7" s="25">
        <v>77.099999999999994</v>
      </c>
      <c r="I7" s="25">
        <v>81.599999999999994</v>
      </c>
      <c r="M7" s="33">
        <v>0</v>
      </c>
      <c r="N7" s="33">
        <v>0</v>
      </c>
      <c r="R7" s="29" t="str">
        <f>VLOOKUP(WNBA_TeamSeasons[[#This Row],[Team]],$Y$3:$Y$17,1,FALSE)</f>
        <v>Washington Mystics</v>
      </c>
      <c r="Y7" t="s">
        <v>718</v>
      </c>
      <c r="AA7" t="s">
        <v>737</v>
      </c>
    </row>
    <row r="8" spans="1:27" x14ac:dyDescent="0.25">
      <c r="A8" s="27">
        <v>2025</v>
      </c>
      <c r="B8" t="s">
        <v>713</v>
      </c>
      <c r="C8" t="s">
        <v>729</v>
      </c>
      <c r="D8" s="27">
        <v>11</v>
      </c>
      <c r="E8" s="27">
        <v>33</v>
      </c>
      <c r="F8" s="24">
        <v>0.25</v>
      </c>
      <c r="G8" s="26">
        <v>19</v>
      </c>
      <c r="H8" s="25">
        <v>75.8</v>
      </c>
      <c r="I8" s="25">
        <v>86</v>
      </c>
      <c r="M8" s="33">
        <v>0</v>
      </c>
      <c r="N8" s="33">
        <v>0</v>
      </c>
      <c r="R8" s="29" t="str">
        <f>VLOOKUP(WNBA_TeamSeasons[[#This Row],[Team]],$Y$3:$Y$17,1,FALSE)</f>
        <v>Connecticut Sun</v>
      </c>
      <c r="Y8" t="s">
        <v>711</v>
      </c>
    </row>
    <row r="9" spans="1:27" x14ac:dyDescent="0.25">
      <c r="A9" s="27">
        <v>2025</v>
      </c>
      <c r="B9" t="s">
        <v>714</v>
      </c>
      <c r="C9" t="s">
        <v>729</v>
      </c>
      <c r="D9" s="27">
        <v>10</v>
      </c>
      <c r="E9" s="27">
        <v>34</v>
      </c>
      <c r="F9" s="24">
        <v>0.22700000000000001</v>
      </c>
      <c r="G9" s="26">
        <v>20</v>
      </c>
      <c r="H9" s="25">
        <v>75.8</v>
      </c>
      <c r="I9" s="25">
        <v>85.8</v>
      </c>
      <c r="M9" s="33">
        <v>0</v>
      </c>
      <c r="N9" s="33">
        <v>0</v>
      </c>
      <c r="R9" s="29" t="str">
        <f>VLOOKUP(WNBA_TeamSeasons[[#This Row],[Team]],$Y$3:$Y$17,1,FALSE)</f>
        <v>Chicago Sky</v>
      </c>
      <c r="Y9" t="s">
        <v>716</v>
      </c>
    </row>
    <row r="10" spans="1:27" x14ac:dyDescent="0.25">
      <c r="A10" s="27">
        <v>2025</v>
      </c>
      <c r="B10" t="s">
        <v>712</v>
      </c>
      <c r="C10" t="s">
        <v>730</v>
      </c>
      <c r="D10" s="27">
        <v>34</v>
      </c>
      <c r="E10" s="27">
        <v>10</v>
      </c>
      <c r="F10" s="24">
        <v>0.77300000000000002</v>
      </c>
      <c r="G10" s="26">
        <v>0</v>
      </c>
      <c r="H10" s="25">
        <v>86.1</v>
      </c>
      <c r="I10" s="25">
        <v>76.7</v>
      </c>
      <c r="J10" t="s">
        <v>30</v>
      </c>
      <c r="K10" s="29" t="s">
        <v>30</v>
      </c>
      <c r="L10" s="29" t="s">
        <v>30</v>
      </c>
      <c r="M10" s="33">
        <v>3</v>
      </c>
      <c r="N10" s="33">
        <v>3</v>
      </c>
      <c r="O10" s="29" t="s">
        <v>30</v>
      </c>
      <c r="R10" s="29" t="str">
        <f>VLOOKUP(WNBA_TeamSeasons[[#This Row],[Team]],$Y$3:$Y$17,1,FALSE)</f>
        <v>Minnesota Lynx</v>
      </c>
      <c r="Y10" t="s">
        <v>732</v>
      </c>
    </row>
    <row r="11" spans="1:27" x14ac:dyDescent="0.25">
      <c r="A11" s="27">
        <v>2025</v>
      </c>
      <c r="B11" t="s">
        <v>709</v>
      </c>
      <c r="C11" t="s">
        <v>730</v>
      </c>
      <c r="D11" s="27">
        <v>30</v>
      </c>
      <c r="E11" s="27">
        <v>14</v>
      </c>
      <c r="F11" s="24">
        <v>0.68200000000000005</v>
      </c>
      <c r="G11" s="26">
        <v>4</v>
      </c>
      <c r="H11" s="25">
        <v>83.6</v>
      </c>
      <c r="I11" s="25">
        <v>80.7</v>
      </c>
      <c r="J11" t="s">
        <v>30</v>
      </c>
      <c r="M11" s="33">
        <v>9</v>
      </c>
      <c r="N11" s="33">
        <v>3</v>
      </c>
      <c r="O11" s="29" t="s">
        <v>30</v>
      </c>
      <c r="P11" s="29" t="s">
        <v>30</v>
      </c>
      <c r="Q11" s="29" t="s">
        <v>30</v>
      </c>
      <c r="R11" s="29" t="str">
        <f>VLOOKUP(WNBA_TeamSeasons[[#This Row],[Team]],$Y$3:$Y$17,1,FALSE)</f>
        <v>Las Vegas Aces</v>
      </c>
      <c r="Y11" t="s">
        <v>731</v>
      </c>
    </row>
    <row r="12" spans="1:27" x14ac:dyDescent="0.25">
      <c r="A12" s="27">
        <v>2025</v>
      </c>
      <c r="B12" t="s">
        <v>710</v>
      </c>
      <c r="C12" t="s">
        <v>730</v>
      </c>
      <c r="D12" s="27">
        <v>27</v>
      </c>
      <c r="E12" s="27">
        <v>17</v>
      </c>
      <c r="F12" s="24">
        <v>0.61399999999999999</v>
      </c>
      <c r="G12" s="26">
        <v>7</v>
      </c>
      <c r="H12" s="25">
        <v>82.8</v>
      </c>
      <c r="I12" s="25">
        <v>80.099999999999994</v>
      </c>
      <c r="J12" t="s">
        <v>30</v>
      </c>
      <c r="M12" s="33">
        <v>5</v>
      </c>
      <c r="N12" s="33">
        <v>6</v>
      </c>
      <c r="O12" s="29" t="s">
        <v>30</v>
      </c>
      <c r="P12" s="29" t="s">
        <v>30</v>
      </c>
      <c r="R12" s="29" t="str">
        <f>VLOOKUP(WNBA_TeamSeasons[[#This Row],[Team]],$Y$3:$Y$17,1,FALSE)</f>
        <v>Phoenix Mercury</v>
      </c>
      <c r="Y12" t="s">
        <v>709</v>
      </c>
    </row>
    <row r="13" spans="1:27" x14ac:dyDescent="0.25">
      <c r="A13" s="27">
        <v>2025</v>
      </c>
      <c r="B13" t="s">
        <v>731</v>
      </c>
      <c r="C13" t="s">
        <v>730</v>
      </c>
      <c r="D13" s="27">
        <v>23</v>
      </c>
      <c r="E13" s="27">
        <v>21</v>
      </c>
      <c r="F13" s="24">
        <v>0.52300000000000002</v>
      </c>
      <c r="G13" s="26">
        <v>11</v>
      </c>
      <c r="H13" s="25">
        <v>77.7</v>
      </c>
      <c r="I13" s="25">
        <v>76.3</v>
      </c>
      <c r="J13" t="s">
        <v>30</v>
      </c>
      <c r="M13" s="33">
        <v>0</v>
      </c>
      <c r="N13" s="33">
        <v>2</v>
      </c>
      <c r="R13" s="29" t="str">
        <f>VLOOKUP(WNBA_TeamSeasons[[#This Row],[Team]],$Y$3:$Y$17,1,FALSE)</f>
        <v>Golden State Valkyries</v>
      </c>
      <c r="Y13" t="s">
        <v>717</v>
      </c>
    </row>
    <row r="14" spans="1:27" x14ac:dyDescent="0.25">
      <c r="A14" s="27">
        <v>2025</v>
      </c>
      <c r="B14" t="s">
        <v>715</v>
      </c>
      <c r="C14" t="s">
        <v>730</v>
      </c>
      <c r="D14" s="27">
        <v>23</v>
      </c>
      <c r="E14" s="27">
        <v>21</v>
      </c>
      <c r="F14" s="24">
        <v>0.52300000000000002</v>
      </c>
      <c r="G14" s="26">
        <v>11</v>
      </c>
      <c r="H14" s="25">
        <v>82.1</v>
      </c>
      <c r="I14" s="25">
        <v>80.099999999999994</v>
      </c>
      <c r="J14" t="s">
        <v>30</v>
      </c>
      <c r="M14" s="33">
        <v>1</v>
      </c>
      <c r="N14" s="33">
        <v>2</v>
      </c>
      <c r="R14" s="29" t="str">
        <f>VLOOKUP(WNBA_TeamSeasons[[#This Row],[Team]],$Y$3:$Y$17,1,FALSE)</f>
        <v>Seattle Storm</v>
      </c>
      <c r="Y14" t="s">
        <v>712</v>
      </c>
    </row>
    <row r="15" spans="1:27" x14ac:dyDescent="0.25">
      <c r="A15" s="27">
        <v>2025</v>
      </c>
      <c r="B15" t="s">
        <v>717</v>
      </c>
      <c r="C15" t="s">
        <v>730</v>
      </c>
      <c r="D15" s="27">
        <v>21</v>
      </c>
      <c r="E15" s="27">
        <v>23</v>
      </c>
      <c r="F15" s="24">
        <v>0.47699999999999998</v>
      </c>
      <c r="G15" s="26">
        <v>13</v>
      </c>
      <c r="H15" s="25">
        <v>85.7</v>
      </c>
      <c r="I15" s="25">
        <v>88.2</v>
      </c>
      <c r="M15" s="33">
        <v>0</v>
      </c>
      <c r="N15" s="33">
        <v>0</v>
      </c>
      <c r="R15" s="29" t="str">
        <f>VLOOKUP(WNBA_TeamSeasons[[#This Row],[Team]],$Y$3:$Y$17,1,FALSE)</f>
        <v>Los Angeles Sparks</v>
      </c>
      <c r="Y15" t="s">
        <v>710</v>
      </c>
    </row>
    <row r="16" spans="1:27" x14ac:dyDescent="0.25">
      <c r="A16" s="27">
        <v>2025</v>
      </c>
      <c r="B16" t="s">
        <v>732</v>
      </c>
      <c r="C16" t="s">
        <v>730</v>
      </c>
      <c r="D16" s="27">
        <v>10</v>
      </c>
      <c r="E16" s="27">
        <v>34</v>
      </c>
      <c r="F16" s="24">
        <v>0.22700000000000001</v>
      </c>
      <c r="G16" s="26">
        <v>24</v>
      </c>
      <c r="H16" s="25">
        <v>81.7</v>
      </c>
      <c r="I16" s="25">
        <v>88</v>
      </c>
      <c r="M16" s="33">
        <v>0</v>
      </c>
      <c r="N16" s="33">
        <v>0</v>
      </c>
      <c r="R16" s="29" t="str">
        <f>VLOOKUP(WNBA_TeamSeasons[[#This Row],[Team]],$Y$3:$Y$17,1,FALSE)</f>
        <v>Dallas Wings</v>
      </c>
      <c r="Y16" t="s">
        <v>739</v>
      </c>
    </row>
    <row r="17" spans="1:25" x14ac:dyDescent="0.25">
      <c r="A17" s="27">
        <v>2024</v>
      </c>
      <c r="B17" t="s">
        <v>711</v>
      </c>
      <c r="C17" t="s">
        <v>729</v>
      </c>
      <c r="D17" s="27">
        <v>32</v>
      </c>
      <c r="E17" s="27">
        <v>8</v>
      </c>
      <c r="F17" s="24">
        <v>0.8</v>
      </c>
      <c r="G17" s="26">
        <v>0</v>
      </c>
      <c r="H17" s="25">
        <v>85.6</v>
      </c>
      <c r="I17" s="25">
        <v>76.5</v>
      </c>
      <c r="J17" t="s">
        <v>30</v>
      </c>
      <c r="K17" s="29" t="s">
        <v>30</v>
      </c>
      <c r="L17" s="29" t="s">
        <v>30</v>
      </c>
      <c r="M17" s="33">
        <v>8</v>
      </c>
      <c r="N17" s="33">
        <v>3</v>
      </c>
      <c r="O17" s="29" t="s">
        <v>30</v>
      </c>
      <c r="P17" s="29" t="s">
        <v>30</v>
      </c>
      <c r="Q17" s="29" t="s">
        <v>30</v>
      </c>
      <c r="R17" s="29" t="str">
        <f>VLOOKUP(WNBA_TeamSeasons[[#This Row],[Team]],$Y$3:$Y$17,1,FALSE)</f>
        <v>New York Liberty</v>
      </c>
      <c r="Y17" t="s">
        <v>715</v>
      </c>
    </row>
    <row r="18" spans="1:25" x14ac:dyDescent="0.25">
      <c r="A18" s="27">
        <v>2024</v>
      </c>
      <c r="B18" t="s">
        <v>713</v>
      </c>
      <c r="C18" t="s">
        <v>729</v>
      </c>
      <c r="D18" s="27">
        <v>28</v>
      </c>
      <c r="E18" s="27">
        <v>12</v>
      </c>
      <c r="F18" s="24">
        <v>0.7</v>
      </c>
      <c r="G18" s="26">
        <v>4</v>
      </c>
      <c r="H18" s="25">
        <v>80.099999999999994</v>
      </c>
      <c r="I18" s="25">
        <v>73.599999999999994</v>
      </c>
      <c r="J18" t="s">
        <v>30</v>
      </c>
      <c r="M18" s="33">
        <v>4</v>
      </c>
      <c r="N18" s="33">
        <v>3</v>
      </c>
      <c r="O18" s="29" t="s">
        <v>30</v>
      </c>
      <c r="R18" s="29" t="str">
        <f>VLOOKUP(WNBA_TeamSeasons[[#This Row],[Team]],$Y$3:$Y$17,1,FALSE)</f>
        <v>Connecticut Sun</v>
      </c>
    </row>
    <row r="19" spans="1:25" x14ac:dyDescent="0.25">
      <c r="A19" s="27">
        <v>2024</v>
      </c>
      <c r="B19" t="s">
        <v>718</v>
      </c>
      <c r="C19" t="s">
        <v>729</v>
      </c>
      <c r="D19" s="27">
        <v>20</v>
      </c>
      <c r="E19" s="27">
        <v>20</v>
      </c>
      <c r="F19" s="24">
        <v>0.5</v>
      </c>
      <c r="G19" s="26">
        <v>12</v>
      </c>
      <c r="H19" s="25">
        <v>85</v>
      </c>
      <c r="I19" s="25">
        <v>87.7</v>
      </c>
      <c r="J19" t="s">
        <v>30</v>
      </c>
      <c r="M19" s="33">
        <v>0</v>
      </c>
      <c r="N19" s="33">
        <v>2</v>
      </c>
      <c r="R19" s="29" t="str">
        <f>VLOOKUP(WNBA_TeamSeasons[[#This Row],[Team]],$Y$3:$Y$17,1,FALSE)</f>
        <v>Indiana Fever</v>
      </c>
    </row>
    <row r="20" spans="1:25" x14ac:dyDescent="0.25">
      <c r="A20" s="27">
        <v>2024</v>
      </c>
      <c r="B20" t="s">
        <v>719</v>
      </c>
      <c r="C20" t="s">
        <v>729</v>
      </c>
      <c r="D20" s="27">
        <v>15</v>
      </c>
      <c r="E20" s="27">
        <v>25</v>
      </c>
      <c r="F20" s="24">
        <v>0.375</v>
      </c>
      <c r="G20" s="26">
        <v>17</v>
      </c>
      <c r="H20" s="25">
        <v>77</v>
      </c>
      <c r="I20" s="25">
        <v>79.8</v>
      </c>
      <c r="J20" t="s">
        <v>30</v>
      </c>
      <c r="M20" s="33">
        <v>0</v>
      </c>
      <c r="N20" s="33">
        <v>2</v>
      </c>
      <c r="R20" s="29" t="str">
        <f>VLOOKUP(WNBA_TeamSeasons[[#This Row],[Team]],$Y$3:$Y$17,1,FALSE)</f>
        <v>Atlanta Dream</v>
      </c>
    </row>
    <row r="21" spans="1:25" x14ac:dyDescent="0.25">
      <c r="A21" s="27">
        <v>2024</v>
      </c>
      <c r="B21" t="s">
        <v>716</v>
      </c>
      <c r="C21" t="s">
        <v>729</v>
      </c>
      <c r="D21" s="27">
        <v>14</v>
      </c>
      <c r="E21" s="27">
        <v>26</v>
      </c>
      <c r="F21" s="24">
        <v>0.35</v>
      </c>
      <c r="G21" s="26">
        <v>18</v>
      </c>
      <c r="H21" s="25">
        <v>79.3</v>
      </c>
      <c r="I21" s="25">
        <v>82.3</v>
      </c>
      <c r="M21" s="33">
        <v>0</v>
      </c>
      <c r="N21" s="33">
        <v>0</v>
      </c>
      <c r="R21" s="29" t="str">
        <f>VLOOKUP(WNBA_TeamSeasons[[#This Row],[Team]],$Y$3:$Y$17,1,FALSE)</f>
        <v>Washington Mystics</v>
      </c>
    </row>
    <row r="22" spans="1:25" x14ac:dyDescent="0.25">
      <c r="A22" s="27">
        <v>2024</v>
      </c>
      <c r="B22" t="s">
        <v>714</v>
      </c>
      <c r="C22" t="s">
        <v>729</v>
      </c>
      <c r="D22" s="27">
        <v>13</v>
      </c>
      <c r="E22" s="27">
        <v>27</v>
      </c>
      <c r="F22" s="24">
        <v>0.32500000000000001</v>
      </c>
      <c r="G22" s="26">
        <v>19</v>
      </c>
      <c r="H22" s="25">
        <v>77.400000000000006</v>
      </c>
      <c r="I22" s="25">
        <v>82.5</v>
      </c>
      <c r="M22" s="33">
        <v>0</v>
      </c>
      <c r="N22" s="33">
        <v>0</v>
      </c>
      <c r="R22" s="29" t="str">
        <f>VLOOKUP(WNBA_TeamSeasons[[#This Row],[Team]],$Y$3:$Y$17,1,FALSE)</f>
        <v>Chicago Sky</v>
      </c>
    </row>
    <row r="23" spans="1:25" x14ac:dyDescent="0.25">
      <c r="A23" s="27">
        <v>2024</v>
      </c>
      <c r="B23" t="s">
        <v>712</v>
      </c>
      <c r="C23" t="s">
        <v>730</v>
      </c>
      <c r="D23" s="27">
        <v>30</v>
      </c>
      <c r="E23" s="27">
        <v>10</v>
      </c>
      <c r="F23" s="24">
        <v>0.75</v>
      </c>
      <c r="G23" s="26">
        <v>0</v>
      </c>
      <c r="H23" s="25">
        <v>82</v>
      </c>
      <c r="I23" s="25">
        <v>75.599999999999994</v>
      </c>
      <c r="J23" t="s">
        <v>30</v>
      </c>
      <c r="K23" s="29" t="s">
        <v>30</v>
      </c>
      <c r="M23" s="33">
        <v>7</v>
      </c>
      <c r="N23" s="33">
        <v>5</v>
      </c>
      <c r="O23" s="29" t="s">
        <v>30</v>
      </c>
      <c r="P23" s="29" t="s">
        <v>30</v>
      </c>
      <c r="R23" s="29" t="str">
        <f>VLOOKUP(WNBA_TeamSeasons[[#This Row],[Team]],$Y$3:$Y$17,1,FALSE)</f>
        <v>Minnesota Lynx</v>
      </c>
    </row>
    <row r="24" spans="1:25" x14ac:dyDescent="0.25">
      <c r="A24" s="27">
        <v>2024</v>
      </c>
      <c r="B24" t="s">
        <v>709</v>
      </c>
      <c r="C24" t="s">
        <v>730</v>
      </c>
      <c r="D24" s="27">
        <v>27</v>
      </c>
      <c r="E24" s="27">
        <v>13</v>
      </c>
      <c r="F24" s="24">
        <v>0.67500000000000004</v>
      </c>
      <c r="G24" s="26">
        <v>3</v>
      </c>
      <c r="H24" s="25">
        <v>86.4</v>
      </c>
      <c r="I24" s="25">
        <v>80.900000000000006</v>
      </c>
      <c r="J24" t="s">
        <v>30</v>
      </c>
      <c r="M24" s="33">
        <v>3</v>
      </c>
      <c r="N24" s="33">
        <v>3</v>
      </c>
      <c r="O24" s="29" t="s">
        <v>30</v>
      </c>
      <c r="R24" s="29" t="str">
        <f>VLOOKUP(WNBA_TeamSeasons[[#This Row],[Team]],$Y$3:$Y$17,1,FALSE)</f>
        <v>Las Vegas Aces</v>
      </c>
    </row>
    <row r="25" spans="1:25" x14ac:dyDescent="0.25">
      <c r="A25" s="27">
        <v>2024</v>
      </c>
      <c r="B25" t="s">
        <v>715</v>
      </c>
      <c r="C25" t="s">
        <v>730</v>
      </c>
      <c r="D25" s="27">
        <v>25</v>
      </c>
      <c r="E25" s="27">
        <v>15</v>
      </c>
      <c r="F25" s="24">
        <v>0.625</v>
      </c>
      <c r="G25" s="26">
        <v>5</v>
      </c>
      <c r="H25" s="25">
        <v>83.2</v>
      </c>
      <c r="I25" s="25">
        <v>78.8</v>
      </c>
      <c r="J25" t="s">
        <v>30</v>
      </c>
      <c r="M25" s="33">
        <v>0</v>
      </c>
      <c r="N25" s="33">
        <v>2</v>
      </c>
      <c r="R25" s="29" t="str">
        <f>VLOOKUP(WNBA_TeamSeasons[[#This Row],[Team]],$Y$3:$Y$17,1,FALSE)</f>
        <v>Seattle Storm</v>
      </c>
    </row>
    <row r="26" spans="1:25" x14ac:dyDescent="0.25">
      <c r="A26" s="27">
        <v>2024</v>
      </c>
      <c r="B26" t="s">
        <v>710</v>
      </c>
      <c r="C26" t="s">
        <v>730</v>
      </c>
      <c r="D26" s="27">
        <v>19</v>
      </c>
      <c r="E26" s="27">
        <v>21</v>
      </c>
      <c r="F26" s="24">
        <v>0.47499999999999998</v>
      </c>
      <c r="G26" s="26">
        <v>11</v>
      </c>
      <c r="H26" s="25">
        <v>81.5</v>
      </c>
      <c r="I26" s="25">
        <v>84.8</v>
      </c>
      <c r="J26" t="s">
        <v>30</v>
      </c>
      <c r="M26" s="33">
        <v>0</v>
      </c>
      <c r="N26" s="33">
        <v>2</v>
      </c>
      <c r="R26" s="29" t="str">
        <f>VLOOKUP(WNBA_TeamSeasons[[#This Row],[Team]],$Y$3:$Y$17,1,FALSE)</f>
        <v>Phoenix Mercury</v>
      </c>
    </row>
    <row r="27" spans="1:25" x14ac:dyDescent="0.25">
      <c r="A27" s="27">
        <v>2024</v>
      </c>
      <c r="B27" t="s">
        <v>732</v>
      </c>
      <c r="C27" t="s">
        <v>730</v>
      </c>
      <c r="D27" s="27">
        <v>9</v>
      </c>
      <c r="E27" s="27">
        <v>31</v>
      </c>
      <c r="F27" s="24">
        <v>0.22500000000000001</v>
      </c>
      <c r="G27" s="26">
        <v>21</v>
      </c>
      <c r="H27" s="25">
        <v>84.2</v>
      </c>
      <c r="I27" s="25">
        <v>92.1</v>
      </c>
      <c r="M27" s="33">
        <v>0</v>
      </c>
      <c r="N27" s="33">
        <v>0</v>
      </c>
      <c r="R27" s="29" t="str">
        <f>VLOOKUP(WNBA_TeamSeasons[[#This Row],[Team]],$Y$3:$Y$17,1,FALSE)</f>
        <v>Dallas Wings</v>
      </c>
    </row>
    <row r="28" spans="1:25" x14ac:dyDescent="0.25">
      <c r="A28" s="27">
        <v>2024</v>
      </c>
      <c r="B28" t="s">
        <v>717</v>
      </c>
      <c r="C28" t="s">
        <v>730</v>
      </c>
      <c r="D28" s="27">
        <v>8</v>
      </c>
      <c r="E28" s="27">
        <v>32</v>
      </c>
      <c r="F28" s="24">
        <v>0.2</v>
      </c>
      <c r="G28" s="26">
        <v>22</v>
      </c>
      <c r="H28" s="25">
        <v>78.400000000000006</v>
      </c>
      <c r="I28" s="25">
        <v>85.6</v>
      </c>
      <c r="M28" s="33">
        <v>0</v>
      </c>
      <c r="N28" s="33">
        <v>0</v>
      </c>
      <c r="R28" s="29" t="str">
        <f>VLOOKUP(WNBA_TeamSeasons[[#This Row],[Team]],$Y$3:$Y$17,1,FALSE)</f>
        <v>Los Angeles Sparks</v>
      </c>
    </row>
    <row r="29" spans="1:25" x14ac:dyDescent="0.25">
      <c r="A29" s="27">
        <v>2023</v>
      </c>
      <c r="B29" t="s">
        <v>711</v>
      </c>
      <c r="C29" t="s">
        <v>729</v>
      </c>
      <c r="D29" s="27">
        <v>32</v>
      </c>
      <c r="E29" s="27">
        <v>8</v>
      </c>
      <c r="F29" s="24">
        <v>0.8</v>
      </c>
      <c r="G29" s="26">
        <v>0</v>
      </c>
      <c r="H29" s="25">
        <v>89.2</v>
      </c>
      <c r="I29" s="25">
        <v>80.599999999999994</v>
      </c>
      <c r="J29" t="s">
        <v>30</v>
      </c>
      <c r="K29" s="29" t="s">
        <v>30</v>
      </c>
      <c r="M29" s="33">
        <v>6</v>
      </c>
      <c r="N29" s="33">
        <v>4</v>
      </c>
      <c r="O29" s="29" t="s">
        <v>30</v>
      </c>
      <c r="P29" s="29" t="s">
        <v>30</v>
      </c>
      <c r="R29" s="29" t="str">
        <f>VLOOKUP(WNBA_TeamSeasons[[#This Row],[Team]],$Y$3:$Y$17,1,FALSE)</f>
        <v>New York Liberty</v>
      </c>
    </row>
    <row r="30" spans="1:25" x14ac:dyDescent="0.25">
      <c r="A30" s="27">
        <v>2023</v>
      </c>
      <c r="B30" t="s">
        <v>713</v>
      </c>
      <c r="C30" t="s">
        <v>729</v>
      </c>
      <c r="D30" s="27">
        <v>27</v>
      </c>
      <c r="E30" s="27">
        <v>13</v>
      </c>
      <c r="F30" s="24">
        <v>0.67500000000000004</v>
      </c>
      <c r="G30" s="26">
        <v>5</v>
      </c>
      <c r="H30" s="25">
        <v>82.7</v>
      </c>
      <c r="I30" s="25">
        <v>79</v>
      </c>
      <c r="J30" t="s">
        <v>30</v>
      </c>
      <c r="M30" s="33">
        <v>3</v>
      </c>
      <c r="N30" s="33">
        <v>4</v>
      </c>
      <c r="O30" s="29" t="s">
        <v>30</v>
      </c>
      <c r="R30" s="29" t="str">
        <f>VLOOKUP(WNBA_TeamSeasons[[#This Row],[Team]],$Y$3:$Y$17,1,FALSE)</f>
        <v>Connecticut Sun</v>
      </c>
    </row>
    <row r="31" spans="1:25" x14ac:dyDescent="0.25">
      <c r="A31" s="27">
        <v>2023</v>
      </c>
      <c r="B31" t="s">
        <v>719</v>
      </c>
      <c r="C31" t="s">
        <v>729</v>
      </c>
      <c r="D31" s="27">
        <v>19</v>
      </c>
      <c r="E31" s="27">
        <v>21</v>
      </c>
      <c r="F31" s="24">
        <v>0.47499999999999998</v>
      </c>
      <c r="G31" s="26">
        <v>13</v>
      </c>
      <c r="H31" s="25">
        <v>82.5</v>
      </c>
      <c r="I31" s="25">
        <v>84</v>
      </c>
      <c r="J31" t="s">
        <v>30</v>
      </c>
      <c r="M31" s="33">
        <v>0</v>
      </c>
      <c r="N31" s="33">
        <v>2</v>
      </c>
      <c r="R31" s="29" t="str">
        <f>VLOOKUP(WNBA_TeamSeasons[[#This Row],[Team]],$Y$3:$Y$17,1,FALSE)</f>
        <v>Atlanta Dream</v>
      </c>
    </row>
    <row r="32" spans="1:25" x14ac:dyDescent="0.25">
      <c r="A32" s="27">
        <v>2023</v>
      </c>
      <c r="B32" t="s">
        <v>716</v>
      </c>
      <c r="C32" t="s">
        <v>729</v>
      </c>
      <c r="D32" s="27">
        <v>19</v>
      </c>
      <c r="E32" s="27">
        <v>21</v>
      </c>
      <c r="F32" s="24">
        <v>0.47499999999999998</v>
      </c>
      <c r="G32" s="26">
        <v>13</v>
      </c>
      <c r="H32" s="25">
        <v>80.5</v>
      </c>
      <c r="I32" s="25">
        <v>80.900000000000006</v>
      </c>
      <c r="J32" t="s">
        <v>30</v>
      </c>
      <c r="M32" s="33">
        <v>0</v>
      </c>
      <c r="N32" s="33">
        <v>2</v>
      </c>
      <c r="R32" s="29" t="str">
        <f>VLOOKUP(WNBA_TeamSeasons[[#This Row],[Team]],$Y$3:$Y$17,1,FALSE)</f>
        <v>Washington Mystics</v>
      </c>
    </row>
    <row r="33" spans="1:18" x14ac:dyDescent="0.25">
      <c r="A33" s="27">
        <v>2023</v>
      </c>
      <c r="B33" t="s">
        <v>714</v>
      </c>
      <c r="C33" t="s">
        <v>729</v>
      </c>
      <c r="D33" s="27">
        <v>18</v>
      </c>
      <c r="E33" s="27">
        <v>22</v>
      </c>
      <c r="F33" s="24">
        <v>0.45</v>
      </c>
      <c r="G33" s="26">
        <v>14</v>
      </c>
      <c r="H33" s="25">
        <v>81.7</v>
      </c>
      <c r="I33" s="25">
        <v>83.4</v>
      </c>
      <c r="J33" t="s">
        <v>30</v>
      </c>
      <c r="M33" s="33">
        <v>0</v>
      </c>
      <c r="N33" s="33">
        <v>2</v>
      </c>
      <c r="R33" s="29" t="str">
        <f>VLOOKUP(WNBA_TeamSeasons[[#This Row],[Team]],$Y$3:$Y$17,1,FALSE)</f>
        <v>Chicago Sky</v>
      </c>
    </row>
    <row r="34" spans="1:18" x14ac:dyDescent="0.25">
      <c r="A34" s="27">
        <v>2023</v>
      </c>
      <c r="B34" t="s">
        <v>718</v>
      </c>
      <c r="C34" t="s">
        <v>729</v>
      </c>
      <c r="D34" s="27">
        <v>13</v>
      </c>
      <c r="E34" s="27">
        <v>27</v>
      </c>
      <c r="F34" s="24">
        <v>0.32500000000000001</v>
      </c>
      <c r="G34" s="26">
        <v>19</v>
      </c>
      <c r="H34" s="25">
        <v>81</v>
      </c>
      <c r="I34" s="25">
        <v>85.1</v>
      </c>
      <c r="M34" s="33">
        <v>0</v>
      </c>
      <c r="N34" s="33">
        <v>0</v>
      </c>
      <c r="R34" s="29" t="str">
        <f>VLOOKUP(WNBA_TeamSeasons[[#This Row],[Team]],$Y$3:$Y$17,1,FALSE)</f>
        <v>Indiana Fever</v>
      </c>
    </row>
    <row r="35" spans="1:18" x14ac:dyDescent="0.25">
      <c r="A35" s="27">
        <v>2023</v>
      </c>
      <c r="B35" t="s">
        <v>709</v>
      </c>
      <c r="C35" t="s">
        <v>730</v>
      </c>
      <c r="D35" s="27">
        <v>34</v>
      </c>
      <c r="E35" s="27">
        <v>6</v>
      </c>
      <c r="F35" s="24">
        <v>0.85</v>
      </c>
      <c r="G35" s="26">
        <v>0</v>
      </c>
      <c r="H35" s="25">
        <v>92.8</v>
      </c>
      <c r="I35" s="25">
        <v>80.3</v>
      </c>
      <c r="J35" t="s">
        <v>30</v>
      </c>
      <c r="K35" s="29" t="s">
        <v>30</v>
      </c>
      <c r="L35" s="29" t="s">
        <v>30</v>
      </c>
      <c r="M35" s="33">
        <v>8</v>
      </c>
      <c r="N35" s="33">
        <v>1</v>
      </c>
      <c r="O35" s="29" t="s">
        <v>30</v>
      </c>
      <c r="P35" s="29" t="s">
        <v>30</v>
      </c>
      <c r="Q35" s="29" t="s">
        <v>30</v>
      </c>
      <c r="R35" s="29" t="str">
        <f>VLOOKUP(WNBA_TeamSeasons[[#This Row],[Team]],$Y$3:$Y$17,1,FALSE)</f>
        <v>Las Vegas Aces</v>
      </c>
    </row>
    <row r="36" spans="1:18" x14ac:dyDescent="0.25">
      <c r="A36" s="27">
        <v>2023</v>
      </c>
      <c r="B36" t="s">
        <v>732</v>
      </c>
      <c r="C36" t="s">
        <v>730</v>
      </c>
      <c r="D36" s="27">
        <v>22</v>
      </c>
      <c r="E36" s="27">
        <v>18</v>
      </c>
      <c r="F36" s="24">
        <v>0.55000000000000004</v>
      </c>
      <c r="G36" s="26">
        <v>12</v>
      </c>
      <c r="H36" s="25">
        <v>87.9</v>
      </c>
      <c r="I36" s="25">
        <v>84.9</v>
      </c>
      <c r="J36" t="s">
        <v>30</v>
      </c>
      <c r="M36" s="33">
        <v>2</v>
      </c>
      <c r="N36" s="33">
        <v>3</v>
      </c>
      <c r="O36" s="29" t="s">
        <v>30</v>
      </c>
      <c r="R36" s="29" t="str">
        <f>VLOOKUP(WNBA_TeamSeasons[[#This Row],[Team]],$Y$3:$Y$17,1,FALSE)</f>
        <v>Dallas Wings</v>
      </c>
    </row>
    <row r="37" spans="1:18" x14ac:dyDescent="0.25">
      <c r="A37" s="27">
        <v>2023</v>
      </c>
      <c r="B37" t="s">
        <v>712</v>
      </c>
      <c r="C37" t="s">
        <v>730</v>
      </c>
      <c r="D37" s="27">
        <v>19</v>
      </c>
      <c r="E37" s="27">
        <v>21</v>
      </c>
      <c r="F37" s="24">
        <v>0.47499999999999998</v>
      </c>
      <c r="G37" s="26">
        <v>15</v>
      </c>
      <c r="H37" s="25">
        <v>80.2</v>
      </c>
      <c r="I37" s="25">
        <v>85</v>
      </c>
      <c r="J37" t="s">
        <v>30</v>
      </c>
      <c r="M37" s="33">
        <v>1</v>
      </c>
      <c r="N37" s="33">
        <v>2</v>
      </c>
      <c r="R37" s="29" t="str">
        <f>VLOOKUP(WNBA_TeamSeasons[[#This Row],[Team]],$Y$3:$Y$17,1,FALSE)</f>
        <v>Minnesota Lynx</v>
      </c>
    </row>
    <row r="38" spans="1:18" x14ac:dyDescent="0.25">
      <c r="A38" s="27">
        <v>2023</v>
      </c>
      <c r="B38" t="s">
        <v>717</v>
      </c>
      <c r="C38" t="s">
        <v>730</v>
      </c>
      <c r="D38" s="27">
        <v>17</v>
      </c>
      <c r="E38" s="27">
        <v>23</v>
      </c>
      <c r="F38" s="24">
        <v>0.42499999999999999</v>
      </c>
      <c r="G38" s="26">
        <v>17</v>
      </c>
      <c r="H38" s="25">
        <v>78.900000000000006</v>
      </c>
      <c r="I38" s="25">
        <v>80.5</v>
      </c>
      <c r="M38" s="33">
        <v>0</v>
      </c>
      <c r="N38" s="33">
        <v>0</v>
      </c>
      <c r="R38" s="29" t="str">
        <f>VLOOKUP(WNBA_TeamSeasons[[#This Row],[Team]],$Y$3:$Y$17,1,FALSE)</f>
        <v>Los Angeles Sparks</v>
      </c>
    </row>
    <row r="39" spans="1:18" x14ac:dyDescent="0.25">
      <c r="A39" s="27">
        <v>2023</v>
      </c>
      <c r="B39" t="s">
        <v>715</v>
      </c>
      <c r="C39" t="s">
        <v>730</v>
      </c>
      <c r="D39" s="27">
        <v>11</v>
      </c>
      <c r="E39" s="27">
        <v>29</v>
      </c>
      <c r="F39" s="24">
        <v>0.27500000000000002</v>
      </c>
      <c r="G39" s="26">
        <v>23</v>
      </c>
      <c r="H39" s="25">
        <v>78.8</v>
      </c>
      <c r="I39" s="25">
        <v>84.5</v>
      </c>
      <c r="M39" s="33">
        <v>0</v>
      </c>
      <c r="N39" s="33">
        <v>0</v>
      </c>
      <c r="R39" s="29" t="str">
        <f>VLOOKUP(WNBA_TeamSeasons[[#This Row],[Team]],$Y$3:$Y$17,1,FALSE)</f>
        <v>Seattle Storm</v>
      </c>
    </row>
    <row r="40" spans="1:18" x14ac:dyDescent="0.25">
      <c r="A40" s="27">
        <v>2023</v>
      </c>
      <c r="B40" t="s">
        <v>710</v>
      </c>
      <c r="C40" t="s">
        <v>730</v>
      </c>
      <c r="D40" s="27">
        <v>9</v>
      </c>
      <c r="E40" s="27">
        <v>31</v>
      </c>
      <c r="F40" s="24">
        <v>0.22500000000000001</v>
      </c>
      <c r="G40" s="26">
        <v>25</v>
      </c>
      <c r="H40" s="25">
        <v>76.599999999999994</v>
      </c>
      <c r="I40" s="25">
        <v>84.9</v>
      </c>
      <c r="M40" s="33">
        <v>0</v>
      </c>
      <c r="N40" s="33">
        <v>0</v>
      </c>
      <c r="R40" s="29" t="str">
        <f>VLOOKUP(WNBA_TeamSeasons[[#This Row],[Team]],$Y$3:$Y$17,1,FALSE)</f>
        <v>Phoenix Mercury</v>
      </c>
    </row>
    <row r="41" spans="1:18" x14ac:dyDescent="0.25">
      <c r="A41" s="27">
        <v>2022</v>
      </c>
      <c r="B41" t="s">
        <v>714</v>
      </c>
      <c r="C41" t="s">
        <v>729</v>
      </c>
      <c r="D41" s="27">
        <v>26</v>
      </c>
      <c r="E41" s="27">
        <v>10</v>
      </c>
      <c r="F41" s="24">
        <v>0.72199999999999998</v>
      </c>
      <c r="G41" s="26">
        <v>0</v>
      </c>
      <c r="H41" s="25">
        <v>86.3</v>
      </c>
      <c r="I41" s="25">
        <v>81.3</v>
      </c>
      <c r="J41" t="s">
        <v>30</v>
      </c>
      <c r="K41" s="29" t="s">
        <v>30</v>
      </c>
      <c r="L41" s="29" t="s">
        <v>30</v>
      </c>
      <c r="M41" s="33">
        <v>4</v>
      </c>
      <c r="N41" s="33">
        <v>4</v>
      </c>
      <c r="O41" s="29" t="s">
        <v>30</v>
      </c>
      <c r="R41" s="29" t="str">
        <f>VLOOKUP(WNBA_TeamSeasons[[#This Row],[Team]],$Y$3:$Y$17,1,FALSE)</f>
        <v>Chicago Sky</v>
      </c>
    </row>
    <row r="42" spans="1:18" x14ac:dyDescent="0.25">
      <c r="A42" s="27">
        <v>2022</v>
      </c>
      <c r="B42" t="s">
        <v>713</v>
      </c>
      <c r="C42" t="s">
        <v>729</v>
      </c>
      <c r="D42" s="27">
        <v>25</v>
      </c>
      <c r="E42" s="27">
        <v>11</v>
      </c>
      <c r="F42" s="24">
        <v>0.69399999999999995</v>
      </c>
      <c r="G42" s="26">
        <v>1</v>
      </c>
      <c r="H42" s="25">
        <v>85.8</v>
      </c>
      <c r="I42" s="25">
        <v>77.8</v>
      </c>
      <c r="J42" t="s">
        <v>30</v>
      </c>
      <c r="M42" s="33">
        <v>6</v>
      </c>
      <c r="N42" s="33">
        <v>6</v>
      </c>
      <c r="O42" s="29" t="s">
        <v>30</v>
      </c>
      <c r="P42" s="29" t="s">
        <v>30</v>
      </c>
      <c r="R42" s="29" t="str">
        <f>VLOOKUP(WNBA_TeamSeasons[[#This Row],[Team]],$Y$3:$Y$17,1,FALSE)</f>
        <v>Connecticut Sun</v>
      </c>
    </row>
    <row r="43" spans="1:18" x14ac:dyDescent="0.25">
      <c r="A43" s="27">
        <v>2022</v>
      </c>
      <c r="B43" t="s">
        <v>716</v>
      </c>
      <c r="C43" t="s">
        <v>729</v>
      </c>
      <c r="D43" s="27">
        <v>22</v>
      </c>
      <c r="E43" s="27">
        <v>14</v>
      </c>
      <c r="F43" s="24">
        <v>0.61099999999999999</v>
      </c>
      <c r="G43" s="26">
        <v>4</v>
      </c>
      <c r="H43" s="25">
        <v>80.2</v>
      </c>
      <c r="I43" s="25">
        <v>75.900000000000006</v>
      </c>
      <c r="J43" t="s">
        <v>30</v>
      </c>
      <c r="M43" s="33">
        <v>0</v>
      </c>
      <c r="N43" s="33">
        <v>2</v>
      </c>
      <c r="R43" s="29" t="str">
        <f>VLOOKUP(WNBA_TeamSeasons[[#This Row],[Team]],$Y$3:$Y$17,1,FALSE)</f>
        <v>Washington Mystics</v>
      </c>
    </row>
    <row r="44" spans="1:18" x14ac:dyDescent="0.25">
      <c r="A44" s="27">
        <v>2022</v>
      </c>
      <c r="B44" t="s">
        <v>711</v>
      </c>
      <c r="C44" t="s">
        <v>729</v>
      </c>
      <c r="D44" s="27">
        <v>16</v>
      </c>
      <c r="E44" s="27">
        <v>20</v>
      </c>
      <c r="F44" s="24">
        <v>0.44400000000000001</v>
      </c>
      <c r="G44" s="26">
        <v>10</v>
      </c>
      <c r="H44" s="25">
        <v>79.599999999999994</v>
      </c>
      <c r="I44" s="25">
        <v>82</v>
      </c>
      <c r="J44" t="s">
        <v>30</v>
      </c>
      <c r="M44" s="33">
        <v>1</v>
      </c>
      <c r="N44" s="33">
        <v>2</v>
      </c>
      <c r="R44" s="29" t="str">
        <f>VLOOKUP(WNBA_TeamSeasons[[#This Row],[Team]],$Y$3:$Y$17,1,FALSE)</f>
        <v>New York Liberty</v>
      </c>
    </row>
    <row r="45" spans="1:18" x14ac:dyDescent="0.25">
      <c r="A45" s="27">
        <v>2022</v>
      </c>
      <c r="B45" t="s">
        <v>719</v>
      </c>
      <c r="C45" t="s">
        <v>729</v>
      </c>
      <c r="D45" s="27">
        <v>14</v>
      </c>
      <c r="E45" s="27">
        <v>22</v>
      </c>
      <c r="F45" s="24">
        <v>0.38900000000000001</v>
      </c>
      <c r="G45" s="26">
        <v>12</v>
      </c>
      <c r="H45" s="25">
        <v>78.5</v>
      </c>
      <c r="I45" s="25">
        <v>81.5</v>
      </c>
      <c r="M45" s="33">
        <v>0</v>
      </c>
      <c r="N45" s="33">
        <v>0</v>
      </c>
      <c r="R45" s="29" t="str">
        <f>VLOOKUP(WNBA_TeamSeasons[[#This Row],[Team]],$Y$3:$Y$17,1,FALSE)</f>
        <v>Atlanta Dream</v>
      </c>
    </row>
    <row r="46" spans="1:18" x14ac:dyDescent="0.25">
      <c r="A46" s="27">
        <v>2022</v>
      </c>
      <c r="B46" t="s">
        <v>718</v>
      </c>
      <c r="C46" t="s">
        <v>729</v>
      </c>
      <c r="D46" s="27">
        <v>5</v>
      </c>
      <c r="E46" s="27">
        <v>31</v>
      </c>
      <c r="F46" s="24">
        <v>0.13900000000000001</v>
      </c>
      <c r="G46" s="26">
        <v>21</v>
      </c>
      <c r="H46" s="25">
        <v>78</v>
      </c>
      <c r="I46" s="25">
        <v>89.1</v>
      </c>
      <c r="M46" s="33">
        <v>0</v>
      </c>
      <c r="N46" s="33">
        <v>0</v>
      </c>
      <c r="R46" s="29" t="str">
        <f>VLOOKUP(WNBA_TeamSeasons[[#This Row],[Team]],$Y$3:$Y$17,1,FALSE)</f>
        <v>Indiana Fever</v>
      </c>
    </row>
    <row r="47" spans="1:18" x14ac:dyDescent="0.25">
      <c r="A47" s="27">
        <v>2022</v>
      </c>
      <c r="B47" t="s">
        <v>709</v>
      </c>
      <c r="C47" t="s">
        <v>730</v>
      </c>
      <c r="D47" s="27">
        <v>26</v>
      </c>
      <c r="E47" s="27">
        <v>10</v>
      </c>
      <c r="F47" s="24">
        <v>0.72199999999999998</v>
      </c>
      <c r="G47" s="26">
        <v>0</v>
      </c>
      <c r="H47" s="25">
        <v>90.4</v>
      </c>
      <c r="I47" s="25">
        <v>84.1</v>
      </c>
      <c r="J47" t="s">
        <v>30</v>
      </c>
      <c r="K47" s="29" t="s">
        <v>30</v>
      </c>
      <c r="L47" s="29" t="s">
        <v>30</v>
      </c>
      <c r="M47" s="33">
        <v>8</v>
      </c>
      <c r="N47" s="33">
        <v>2</v>
      </c>
      <c r="O47" s="29" t="s">
        <v>30</v>
      </c>
      <c r="P47" s="29" t="s">
        <v>30</v>
      </c>
      <c r="Q47" s="29" t="s">
        <v>30</v>
      </c>
      <c r="R47" s="29" t="str">
        <f>VLOOKUP(WNBA_TeamSeasons[[#This Row],[Team]],$Y$3:$Y$17,1,FALSE)</f>
        <v>Las Vegas Aces</v>
      </c>
    </row>
    <row r="48" spans="1:18" x14ac:dyDescent="0.25">
      <c r="A48" s="27">
        <v>2022</v>
      </c>
      <c r="B48" t="s">
        <v>715</v>
      </c>
      <c r="C48" t="s">
        <v>730</v>
      </c>
      <c r="D48" s="27">
        <v>22</v>
      </c>
      <c r="E48" s="27">
        <v>14</v>
      </c>
      <c r="F48" s="24">
        <v>0.61099999999999999</v>
      </c>
      <c r="G48" s="26">
        <v>4</v>
      </c>
      <c r="H48" s="25">
        <v>82.5</v>
      </c>
      <c r="I48" s="25">
        <v>78.400000000000006</v>
      </c>
      <c r="J48" t="s">
        <v>30</v>
      </c>
      <c r="M48" s="33">
        <v>3</v>
      </c>
      <c r="N48" s="33">
        <v>3</v>
      </c>
      <c r="O48" s="29" t="s">
        <v>30</v>
      </c>
      <c r="R48" s="29" t="str">
        <f>VLOOKUP(WNBA_TeamSeasons[[#This Row],[Team]],$Y$3:$Y$17,1,FALSE)</f>
        <v>Seattle Storm</v>
      </c>
    </row>
    <row r="49" spans="1:18" x14ac:dyDescent="0.25">
      <c r="A49" s="27">
        <v>2022</v>
      </c>
      <c r="B49" t="s">
        <v>732</v>
      </c>
      <c r="C49" t="s">
        <v>730</v>
      </c>
      <c r="D49" s="27">
        <v>18</v>
      </c>
      <c r="E49" s="27">
        <v>18</v>
      </c>
      <c r="F49" s="24">
        <v>0.5</v>
      </c>
      <c r="G49" s="26">
        <v>8</v>
      </c>
      <c r="H49" s="25">
        <v>82.9</v>
      </c>
      <c r="I49" s="25">
        <v>82.8</v>
      </c>
      <c r="J49" t="s">
        <v>30</v>
      </c>
      <c r="M49" s="33">
        <v>1</v>
      </c>
      <c r="N49" s="33">
        <v>2</v>
      </c>
      <c r="R49" s="29" t="str">
        <f>VLOOKUP(WNBA_TeamSeasons[[#This Row],[Team]],$Y$3:$Y$17,1,FALSE)</f>
        <v>Dallas Wings</v>
      </c>
    </row>
    <row r="50" spans="1:18" x14ac:dyDescent="0.25">
      <c r="A50" s="27">
        <v>2022</v>
      </c>
      <c r="B50" t="s">
        <v>710</v>
      </c>
      <c r="C50" t="s">
        <v>730</v>
      </c>
      <c r="D50" s="27">
        <v>15</v>
      </c>
      <c r="E50" s="27">
        <v>21</v>
      </c>
      <c r="F50" s="24">
        <v>0.41699999999999998</v>
      </c>
      <c r="G50" s="26">
        <v>11</v>
      </c>
      <c r="H50" s="25">
        <v>81.099999999999994</v>
      </c>
      <c r="I50" s="25">
        <v>84.1</v>
      </c>
      <c r="J50" t="s">
        <v>30</v>
      </c>
      <c r="M50" s="33">
        <v>0</v>
      </c>
      <c r="N50" s="33">
        <v>2</v>
      </c>
      <c r="R50" s="29" t="str">
        <f>VLOOKUP(WNBA_TeamSeasons[[#This Row],[Team]],$Y$3:$Y$17,1,FALSE)</f>
        <v>Phoenix Mercury</v>
      </c>
    </row>
    <row r="51" spans="1:18" x14ac:dyDescent="0.25">
      <c r="A51" s="27">
        <v>2022</v>
      </c>
      <c r="B51" t="s">
        <v>712</v>
      </c>
      <c r="C51" t="s">
        <v>730</v>
      </c>
      <c r="D51" s="27">
        <v>14</v>
      </c>
      <c r="E51" s="27">
        <v>22</v>
      </c>
      <c r="F51" s="24">
        <v>0.38900000000000001</v>
      </c>
      <c r="G51" s="26">
        <v>12</v>
      </c>
      <c r="H51" s="25">
        <v>82.4</v>
      </c>
      <c r="I51" s="25">
        <v>83.9</v>
      </c>
      <c r="M51" s="33">
        <v>0</v>
      </c>
      <c r="N51" s="33">
        <v>0</v>
      </c>
      <c r="R51" s="29" t="str">
        <f>VLOOKUP(WNBA_TeamSeasons[[#This Row],[Team]],$Y$3:$Y$17,1,FALSE)</f>
        <v>Minnesota Lynx</v>
      </c>
    </row>
    <row r="52" spans="1:18" x14ac:dyDescent="0.25">
      <c r="A52" s="27">
        <v>2022</v>
      </c>
      <c r="B52" t="s">
        <v>717</v>
      </c>
      <c r="C52" t="s">
        <v>730</v>
      </c>
      <c r="D52" s="27">
        <v>13</v>
      </c>
      <c r="E52" s="27">
        <v>23</v>
      </c>
      <c r="F52" s="24">
        <v>0.36099999999999999</v>
      </c>
      <c r="G52" s="26">
        <v>13</v>
      </c>
      <c r="H52" s="25">
        <v>79.400000000000006</v>
      </c>
      <c r="I52" s="25">
        <v>86.6</v>
      </c>
      <c r="M52" s="33">
        <v>0</v>
      </c>
      <c r="N52" s="33">
        <v>0</v>
      </c>
      <c r="R52" s="29" t="str">
        <f>VLOOKUP(WNBA_TeamSeasons[[#This Row],[Team]],$Y$3:$Y$17,1,FALSE)</f>
        <v>Los Angeles Sparks</v>
      </c>
    </row>
    <row r="53" spans="1:18" x14ac:dyDescent="0.25">
      <c r="A53" s="27">
        <v>2021</v>
      </c>
      <c r="B53" t="s">
        <v>713</v>
      </c>
      <c r="C53" t="s">
        <v>729</v>
      </c>
      <c r="D53" s="27">
        <v>26</v>
      </c>
      <c r="E53" s="27">
        <v>6</v>
      </c>
      <c r="F53" s="24">
        <v>0.81299999999999994</v>
      </c>
      <c r="G53" s="26">
        <v>0</v>
      </c>
      <c r="H53" s="25">
        <v>79.7</v>
      </c>
      <c r="I53" s="25">
        <v>69.900000000000006</v>
      </c>
      <c r="J53" t="s">
        <v>30</v>
      </c>
      <c r="K53" s="29" t="s">
        <v>30</v>
      </c>
      <c r="L53" s="29" t="s">
        <v>30</v>
      </c>
      <c r="M53" s="33">
        <v>1</v>
      </c>
      <c r="N53" s="33">
        <v>3</v>
      </c>
      <c r="O53" s="29" t="s">
        <v>30</v>
      </c>
      <c r="R53" s="29" t="str">
        <f>VLOOKUP(WNBA_TeamSeasons[[#This Row],[Team]],$Y$3:$Y$17,1,FALSE)</f>
        <v>Connecticut Sun</v>
      </c>
    </row>
    <row r="54" spans="1:18" x14ac:dyDescent="0.25">
      <c r="A54" s="27">
        <v>2021</v>
      </c>
      <c r="B54" t="s">
        <v>714</v>
      </c>
      <c r="C54" t="s">
        <v>729</v>
      </c>
      <c r="D54" s="27">
        <v>16</v>
      </c>
      <c r="E54" s="27">
        <v>16</v>
      </c>
      <c r="F54" s="24">
        <v>0.5</v>
      </c>
      <c r="G54" s="26">
        <v>10</v>
      </c>
      <c r="H54" s="25">
        <v>83.3</v>
      </c>
      <c r="I54" s="25">
        <v>81.900000000000006</v>
      </c>
      <c r="J54" t="s">
        <v>30</v>
      </c>
      <c r="M54" s="33">
        <v>7</v>
      </c>
      <c r="N54" s="33">
        <v>2</v>
      </c>
      <c r="O54" s="29" t="s">
        <v>30</v>
      </c>
      <c r="P54" s="29" t="s">
        <v>30</v>
      </c>
      <c r="Q54" s="29" t="s">
        <v>30</v>
      </c>
      <c r="R54" s="29" t="str">
        <f>VLOOKUP(WNBA_TeamSeasons[[#This Row],[Team]],$Y$3:$Y$17,1,FALSE)</f>
        <v>Chicago Sky</v>
      </c>
    </row>
    <row r="55" spans="1:18" x14ac:dyDescent="0.25">
      <c r="A55" s="27">
        <v>2021</v>
      </c>
      <c r="B55" t="s">
        <v>711</v>
      </c>
      <c r="C55" t="s">
        <v>729</v>
      </c>
      <c r="D55" s="27">
        <v>12</v>
      </c>
      <c r="E55" s="27">
        <v>20</v>
      </c>
      <c r="F55" s="24">
        <v>0.375</v>
      </c>
      <c r="G55" s="26">
        <v>14</v>
      </c>
      <c r="H55" s="25">
        <v>78.5</v>
      </c>
      <c r="I55" s="25">
        <v>85.5</v>
      </c>
      <c r="J55" t="s">
        <v>30</v>
      </c>
      <c r="M55" s="33">
        <v>0</v>
      </c>
      <c r="N55" s="33">
        <v>1</v>
      </c>
      <c r="R55" s="29" t="str">
        <f>VLOOKUP(WNBA_TeamSeasons[[#This Row],[Team]],$Y$3:$Y$17,1,FALSE)</f>
        <v>New York Liberty</v>
      </c>
    </row>
    <row r="56" spans="1:18" x14ac:dyDescent="0.25">
      <c r="A56" s="27">
        <v>2021</v>
      </c>
      <c r="B56" t="s">
        <v>716</v>
      </c>
      <c r="C56" t="s">
        <v>729</v>
      </c>
      <c r="D56" s="27">
        <v>12</v>
      </c>
      <c r="E56" s="27">
        <v>20</v>
      </c>
      <c r="F56" s="24">
        <v>0.375</v>
      </c>
      <c r="G56" s="26">
        <v>14</v>
      </c>
      <c r="H56" s="25">
        <v>79.8</v>
      </c>
      <c r="I56" s="25">
        <v>83.6</v>
      </c>
      <c r="M56" s="33">
        <v>0</v>
      </c>
      <c r="N56" s="33">
        <v>0</v>
      </c>
      <c r="R56" s="29" t="str">
        <f>VLOOKUP(WNBA_TeamSeasons[[#This Row],[Team]],$Y$3:$Y$17,1,FALSE)</f>
        <v>Washington Mystics</v>
      </c>
    </row>
    <row r="57" spans="1:18" x14ac:dyDescent="0.25">
      <c r="A57" s="27">
        <v>2021</v>
      </c>
      <c r="B57" t="s">
        <v>719</v>
      </c>
      <c r="C57" t="s">
        <v>729</v>
      </c>
      <c r="D57" s="27">
        <v>8</v>
      </c>
      <c r="E57" s="27">
        <v>24</v>
      </c>
      <c r="F57" s="24">
        <v>0.25</v>
      </c>
      <c r="G57" s="26">
        <v>18</v>
      </c>
      <c r="H57" s="25">
        <v>78.7</v>
      </c>
      <c r="I57" s="25">
        <v>84.3</v>
      </c>
      <c r="M57" s="33">
        <v>0</v>
      </c>
      <c r="N57" s="33">
        <v>0</v>
      </c>
      <c r="R57" s="29" t="str">
        <f>VLOOKUP(WNBA_TeamSeasons[[#This Row],[Team]],$Y$3:$Y$17,1,FALSE)</f>
        <v>Atlanta Dream</v>
      </c>
    </row>
    <row r="58" spans="1:18" x14ac:dyDescent="0.25">
      <c r="A58" s="27">
        <v>2021</v>
      </c>
      <c r="B58" t="s">
        <v>718</v>
      </c>
      <c r="C58" t="s">
        <v>729</v>
      </c>
      <c r="D58" s="27">
        <v>6</v>
      </c>
      <c r="E58" s="27">
        <v>26</v>
      </c>
      <c r="F58" s="24">
        <v>0.188</v>
      </c>
      <c r="G58" s="26">
        <v>20</v>
      </c>
      <c r="H58" s="25">
        <v>75.3</v>
      </c>
      <c r="I58" s="25">
        <v>85.1</v>
      </c>
      <c r="M58" s="33">
        <v>0</v>
      </c>
      <c r="N58" s="33">
        <v>0</v>
      </c>
      <c r="R58" s="29" t="str">
        <f>VLOOKUP(WNBA_TeamSeasons[[#This Row],[Team]],$Y$3:$Y$17,1,FALSE)</f>
        <v>Indiana Fever</v>
      </c>
    </row>
    <row r="59" spans="1:18" x14ac:dyDescent="0.25">
      <c r="A59" s="27">
        <v>2021</v>
      </c>
      <c r="B59" t="s">
        <v>709</v>
      </c>
      <c r="C59" t="s">
        <v>730</v>
      </c>
      <c r="D59" s="27">
        <v>24</v>
      </c>
      <c r="E59" s="27">
        <v>8</v>
      </c>
      <c r="F59" s="24">
        <v>0.75</v>
      </c>
      <c r="G59" s="26">
        <v>0</v>
      </c>
      <c r="H59" s="25">
        <v>89.3</v>
      </c>
      <c r="I59" s="25">
        <v>80.2</v>
      </c>
      <c r="J59" t="s">
        <v>30</v>
      </c>
      <c r="K59" s="29" t="s">
        <v>30</v>
      </c>
      <c r="M59" s="33">
        <v>2</v>
      </c>
      <c r="N59" s="33">
        <v>3</v>
      </c>
      <c r="O59" s="29" t="s">
        <v>30</v>
      </c>
      <c r="R59" s="29" t="str">
        <f>VLOOKUP(WNBA_TeamSeasons[[#This Row],[Team]],$Y$3:$Y$17,1,FALSE)</f>
        <v>Las Vegas Aces</v>
      </c>
    </row>
    <row r="60" spans="1:18" x14ac:dyDescent="0.25">
      <c r="A60" s="27">
        <v>2021</v>
      </c>
      <c r="B60" t="s">
        <v>712</v>
      </c>
      <c r="C60" t="s">
        <v>730</v>
      </c>
      <c r="D60" s="27">
        <v>22</v>
      </c>
      <c r="E60" s="27">
        <v>10</v>
      </c>
      <c r="F60" s="24">
        <v>0.68799999999999994</v>
      </c>
      <c r="G60" s="26">
        <v>2</v>
      </c>
      <c r="H60" s="25">
        <v>82.7</v>
      </c>
      <c r="I60" s="25">
        <v>78.7</v>
      </c>
      <c r="J60" t="s">
        <v>30</v>
      </c>
      <c r="M60" s="33">
        <v>0</v>
      </c>
      <c r="N60" s="33">
        <v>0</v>
      </c>
      <c r="R60" s="29" t="str">
        <f>VLOOKUP(WNBA_TeamSeasons[[#This Row],[Team]],$Y$3:$Y$17,1,FALSE)</f>
        <v>Minnesota Lynx</v>
      </c>
    </row>
    <row r="61" spans="1:18" x14ac:dyDescent="0.25">
      <c r="A61" s="27">
        <v>2021</v>
      </c>
      <c r="B61" t="s">
        <v>715</v>
      </c>
      <c r="C61" t="s">
        <v>730</v>
      </c>
      <c r="D61" s="27">
        <v>21</v>
      </c>
      <c r="E61" s="27">
        <v>11</v>
      </c>
      <c r="F61" s="24">
        <v>0.65600000000000003</v>
      </c>
      <c r="G61" s="26">
        <v>3</v>
      </c>
      <c r="H61" s="25">
        <v>84.8</v>
      </c>
      <c r="I61" s="25">
        <v>80.400000000000006</v>
      </c>
      <c r="J61" t="s">
        <v>30</v>
      </c>
      <c r="M61" s="33">
        <v>0</v>
      </c>
      <c r="N61" s="33">
        <v>0</v>
      </c>
      <c r="R61" s="29" t="str">
        <f>VLOOKUP(WNBA_TeamSeasons[[#This Row],[Team]],$Y$3:$Y$17,1,FALSE)</f>
        <v>Seattle Storm</v>
      </c>
    </row>
    <row r="62" spans="1:18" x14ac:dyDescent="0.25">
      <c r="A62" s="27">
        <v>2021</v>
      </c>
      <c r="B62" t="s">
        <v>710</v>
      </c>
      <c r="C62" t="s">
        <v>730</v>
      </c>
      <c r="D62" s="27">
        <v>19</v>
      </c>
      <c r="E62" s="27">
        <v>13</v>
      </c>
      <c r="F62" s="24">
        <v>0.59399999999999997</v>
      </c>
      <c r="G62" s="26">
        <v>5</v>
      </c>
      <c r="H62" s="25">
        <v>82.1</v>
      </c>
      <c r="I62" s="25">
        <v>79.5</v>
      </c>
      <c r="J62" t="s">
        <v>30</v>
      </c>
      <c r="M62" s="33">
        <v>5</v>
      </c>
      <c r="N62" s="33">
        <v>5</v>
      </c>
      <c r="O62" s="29" t="s">
        <v>30</v>
      </c>
      <c r="P62" s="29" t="s">
        <v>30</v>
      </c>
      <c r="R62" s="29" t="str">
        <f>VLOOKUP(WNBA_TeamSeasons[[#This Row],[Team]],$Y$3:$Y$17,1,FALSE)</f>
        <v>Phoenix Mercury</v>
      </c>
    </row>
    <row r="63" spans="1:18" x14ac:dyDescent="0.25">
      <c r="A63" s="27">
        <v>2021</v>
      </c>
      <c r="B63" t="s">
        <v>732</v>
      </c>
      <c r="C63" t="s">
        <v>730</v>
      </c>
      <c r="D63" s="27">
        <v>14</v>
      </c>
      <c r="E63" s="27">
        <v>18</v>
      </c>
      <c r="F63" s="24">
        <v>0.438</v>
      </c>
      <c r="G63" s="26">
        <v>10</v>
      </c>
      <c r="H63" s="25">
        <v>81.099999999999994</v>
      </c>
      <c r="I63" s="25">
        <v>81.7</v>
      </c>
      <c r="J63" t="s">
        <v>30</v>
      </c>
      <c r="M63" s="33">
        <v>0</v>
      </c>
      <c r="N63" s="33">
        <v>1</v>
      </c>
      <c r="R63" s="29" t="str">
        <f>VLOOKUP(WNBA_TeamSeasons[[#This Row],[Team]],$Y$3:$Y$17,1,FALSE)</f>
        <v>Dallas Wings</v>
      </c>
    </row>
    <row r="64" spans="1:18" x14ac:dyDescent="0.25">
      <c r="A64" s="27">
        <v>2021</v>
      </c>
      <c r="B64" t="s">
        <v>717</v>
      </c>
      <c r="C64" t="s">
        <v>730</v>
      </c>
      <c r="D64" s="27">
        <v>12</v>
      </c>
      <c r="E64" s="27">
        <v>20</v>
      </c>
      <c r="F64" s="24">
        <v>0.375</v>
      </c>
      <c r="G64" s="26">
        <v>12</v>
      </c>
      <c r="H64" s="25">
        <v>72.8</v>
      </c>
      <c r="I64" s="25">
        <v>77.099999999999994</v>
      </c>
      <c r="M64" s="33">
        <v>0</v>
      </c>
      <c r="N64" s="33">
        <v>0</v>
      </c>
      <c r="R64" s="29" t="str">
        <f>VLOOKUP(WNBA_TeamSeasons[[#This Row],[Team]],$Y$3:$Y$17,1,FALSE)</f>
        <v>Los Angeles Sparks</v>
      </c>
    </row>
    <row r="65" spans="1:18" x14ac:dyDescent="0.25">
      <c r="A65" s="27">
        <v>2020</v>
      </c>
      <c r="B65" t="s">
        <v>714</v>
      </c>
      <c r="C65" t="s">
        <v>729</v>
      </c>
      <c r="D65" s="27">
        <v>12</v>
      </c>
      <c r="E65" s="27">
        <v>10</v>
      </c>
      <c r="F65" s="24">
        <v>0.54500000000000004</v>
      </c>
      <c r="G65" s="26">
        <v>0</v>
      </c>
      <c r="H65" s="25">
        <v>86.7</v>
      </c>
      <c r="I65" s="25">
        <v>84.1</v>
      </c>
      <c r="J65" t="s">
        <v>30</v>
      </c>
      <c r="K65" s="29" t="s">
        <v>30</v>
      </c>
      <c r="M65" s="33">
        <v>0</v>
      </c>
      <c r="N65" s="33">
        <v>1</v>
      </c>
      <c r="R65" s="29" t="str">
        <f>VLOOKUP(WNBA_TeamSeasons[[#This Row],[Team]],$Y$3:$Y$17,1,FALSE)</f>
        <v>Chicago Sky</v>
      </c>
    </row>
    <row r="66" spans="1:18" x14ac:dyDescent="0.25">
      <c r="A66" s="27">
        <v>2020</v>
      </c>
      <c r="B66" t="s">
        <v>713</v>
      </c>
      <c r="C66" t="s">
        <v>729</v>
      </c>
      <c r="D66" s="27">
        <v>10</v>
      </c>
      <c r="E66" s="27">
        <v>12</v>
      </c>
      <c r="F66" s="24">
        <v>0.45500000000000002</v>
      </c>
      <c r="G66" s="26">
        <v>2</v>
      </c>
      <c r="H66" s="25">
        <v>80.400000000000006</v>
      </c>
      <c r="I66" s="25">
        <v>79.900000000000006</v>
      </c>
      <c r="J66" t="s">
        <v>30</v>
      </c>
      <c r="M66" s="33">
        <v>3</v>
      </c>
      <c r="N66" s="33">
        <v>3</v>
      </c>
      <c r="O66" s="29" t="s">
        <v>30</v>
      </c>
      <c r="R66" s="29" t="str">
        <f>VLOOKUP(WNBA_TeamSeasons[[#This Row],[Team]],$Y$3:$Y$17,1,FALSE)</f>
        <v>Connecticut Sun</v>
      </c>
    </row>
    <row r="67" spans="1:18" x14ac:dyDescent="0.25">
      <c r="A67" s="27">
        <v>2020</v>
      </c>
      <c r="B67" t="s">
        <v>716</v>
      </c>
      <c r="C67" t="s">
        <v>729</v>
      </c>
      <c r="D67" s="27">
        <v>9</v>
      </c>
      <c r="E67" s="27">
        <v>13</v>
      </c>
      <c r="F67" s="24">
        <v>0.40899999999999997</v>
      </c>
      <c r="G67" s="26">
        <v>3</v>
      </c>
      <c r="H67" s="25">
        <v>80</v>
      </c>
      <c r="I67" s="25">
        <v>81.5</v>
      </c>
      <c r="J67" t="s">
        <v>30</v>
      </c>
      <c r="M67" s="33">
        <v>0</v>
      </c>
      <c r="N67" s="33">
        <v>1</v>
      </c>
      <c r="R67" s="29" t="str">
        <f>VLOOKUP(WNBA_TeamSeasons[[#This Row],[Team]],$Y$3:$Y$17,1,FALSE)</f>
        <v>Washington Mystics</v>
      </c>
    </row>
    <row r="68" spans="1:18" x14ac:dyDescent="0.25">
      <c r="A68" s="27">
        <v>2020</v>
      </c>
      <c r="B68" t="s">
        <v>719</v>
      </c>
      <c r="C68" t="s">
        <v>729</v>
      </c>
      <c r="D68" s="27">
        <v>7</v>
      </c>
      <c r="E68" s="27">
        <v>15</v>
      </c>
      <c r="F68" s="24">
        <v>0.318</v>
      </c>
      <c r="G68" s="26">
        <v>5</v>
      </c>
      <c r="H68" s="25">
        <v>81</v>
      </c>
      <c r="I68" s="25">
        <v>87.6</v>
      </c>
      <c r="M68" s="33">
        <v>0</v>
      </c>
      <c r="N68" s="33">
        <v>0</v>
      </c>
      <c r="R68" s="29" t="str">
        <f>VLOOKUP(WNBA_TeamSeasons[[#This Row],[Team]],$Y$3:$Y$17,1,FALSE)</f>
        <v>Atlanta Dream</v>
      </c>
    </row>
    <row r="69" spans="1:18" x14ac:dyDescent="0.25">
      <c r="A69" s="27">
        <v>2020</v>
      </c>
      <c r="B69" t="s">
        <v>718</v>
      </c>
      <c r="C69" t="s">
        <v>729</v>
      </c>
      <c r="D69" s="27">
        <v>6</v>
      </c>
      <c r="E69" s="27">
        <v>16</v>
      </c>
      <c r="F69" s="24">
        <v>0.27300000000000002</v>
      </c>
      <c r="G69" s="26">
        <v>6</v>
      </c>
      <c r="H69" s="25">
        <v>81.7</v>
      </c>
      <c r="I69" s="25">
        <v>89.5</v>
      </c>
      <c r="M69" s="33">
        <v>0</v>
      </c>
      <c r="N69" s="33">
        <v>0</v>
      </c>
      <c r="R69" s="29" t="str">
        <f>VLOOKUP(WNBA_TeamSeasons[[#This Row],[Team]],$Y$3:$Y$17,1,FALSE)</f>
        <v>Indiana Fever</v>
      </c>
    </row>
    <row r="70" spans="1:18" x14ac:dyDescent="0.25">
      <c r="A70" s="27">
        <v>2020</v>
      </c>
      <c r="B70" t="s">
        <v>711</v>
      </c>
      <c r="C70" t="s">
        <v>729</v>
      </c>
      <c r="D70" s="27">
        <v>2</v>
      </c>
      <c r="E70" s="27">
        <v>20</v>
      </c>
      <c r="F70" s="24">
        <v>9.0999999999999998E-2</v>
      </c>
      <c r="G70" s="26">
        <v>10</v>
      </c>
      <c r="H70" s="25">
        <v>71.900000000000006</v>
      </c>
      <c r="I70" s="25">
        <v>85.9</v>
      </c>
      <c r="M70" s="33">
        <v>0</v>
      </c>
      <c r="N70" s="33">
        <v>0</v>
      </c>
      <c r="R70" s="29" t="str">
        <f>VLOOKUP(WNBA_TeamSeasons[[#This Row],[Team]],$Y$3:$Y$17,1,FALSE)</f>
        <v>New York Liberty</v>
      </c>
    </row>
    <row r="71" spans="1:18" x14ac:dyDescent="0.25">
      <c r="A71" s="27">
        <v>2020</v>
      </c>
      <c r="B71" t="s">
        <v>709</v>
      </c>
      <c r="C71" t="s">
        <v>730</v>
      </c>
      <c r="D71" s="27">
        <v>18</v>
      </c>
      <c r="E71" s="27">
        <v>4</v>
      </c>
      <c r="F71" s="24">
        <v>0.81799999999999995</v>
      </c>
      <c r="G71" s="26">
        <v>0</v>
      </c>
      <c r="H71" s="25">
        <v>88.7</v>
      </c>
      <c r="I71" s="25">
        <v>80.099999999999994</v>
      </c>
      <c r="J71" t="s">
        <v>30</v>
      </c>
      <c r="K71" s="29" t="s">
        <v>30</v>
      </c>
      <c r="L71" s="29" t="s">
        <v>30</v>
      </c>
      <c r="M71" s="33">
        <v>3</v>
      </c>
      <c r="N71" s="33">
        <v>5</v>
      </c>
      <c r="O71" s="29" t="s">
        <v>30</v>
      </c>
      <c r="P71" s="29" t="s">
        <v>30</v>
      </c>
      <c r="R71" s="29" t="str">
        <f>VLOOKUP(WNBA_TeamSeasons[[#This Row],[Team]],$Y$3:$Y$17,1,FALSE)</f>
        <v>Las Vegas Aces</v>
      </c>
    </row>
    <row r="72" spans="1:18" x14ac:dyDescent="0.25">
      <c r="A72" s="27">
        <v>2020</v>
      </c>
      <c r="B72" t="s">
        <v>715</v>
      </c>
      <c r="C72" t="s">
        <v>730</v>
      </c>
      <c r="D72" s="27">
        <v>18</v>
      </c>
      <c r="E72" s="27">
        <v>4</v>
      </c>
      <c r="F72" s="24">
        <v>0.81799999999999995</v>
      </c>
      <c r="G72" s="26">
        <v>0</v>
      </c>
      <c r="H72" s="25">
        <v>87.5</v>
      </c>
      <c r="I72" s="25">
        <v>76</v>
      </c>
      <c r="J72" t="s">
        <v>30</v>
      </c>
      <c r="K72" s="29" t="s">
        <v>30</v>
      </c>
      <c r="L72" s="29" t="s">
        <v>30</v>
      </c>
      <c r="M72" s="33">
        <v>6</v>
      </c>
      <c r="N72" s="33">
        <v>0</v>
      </c>
      <c r="O72" s="29" t="s">
        <v>30</v>
      </c>
      <c r="P72" s="29" t="s">
        <v>30</v>
      </c>
      <c r="Q72" s="29" t="s">
        <v>30</v>
      </c>
      <c r="R72" s="29" t="str">
        <f>VLOOKUP(WNBA_TeamSeasons[[#This Row],[Team]],$Y$3:$Y$17,1,FALSE)</f>
        <v>Seattle Storm</v>
      </c>
    </row>
    <row r="73" spans="1:18" x14ac:dyDescent="0.25">
      <c r="A73" s="27">
        <v>2020</v>
      </c>
      <c r="B73" t="s">
        <v>717</v>
      </c>
      <c r="C73" t="s">
        <v>730</v>
      </c>
      <c r="D73" s="27">
        <v>15</v>
      </c>
      <c r="E73" s="27">
        <v>7</v>
      </c>
      <c r="F73" s="24">
        <v>0.68200000000000005</v>
      </c>
      <c r="G73" s="26">
        <v>3</v>
      </c>
      <c r="H73" s="25">
        <v>84.9</v>
      </c>
      <c r="I73" s="25">
        <v>80.3</v>
      </c>
      <c r="J73" t="s">
        <v>30</v>
      </c>
      <c r="M73" s="33">
        <v>0</v>
      </c>
      <c r="N73" s="33">
        <v>0</v>
      </c>
      <c r="R73" s="29" t="str">
        <f>VLOOKUP(WNBA_TeamSeasons[[#This Row],[Team]],$Y$3:$Y$17,1,FALSE)</f>
        <v>Los Angeles Sparks</v>
      </c>
    </row>
    <row r="74" spans="1:18" x14ac:dyDescent="0.25">
      <c r="A74" s="27">
        <v>2020</v>
      </c>
      <c r="B74" t="s">
        <v>712</v>
      </c>
      <c r="C74" t="s">
        <v>730</v>
      </c>
      <c r="D74" s="27">
        <v>14</v>
      </c>
      <c r="E74" s="27">
        <v>8</v>
      </c>
      <c r="F74" s="24">
        <v>0.63600000000000001</v>
      </c>
      <c r="G74" s="26">
        <v>4</v>
      </c>
      <c r="H74" s="25">
        <v>84.4</v>
      </c>
      <c r="I74" s="25">
        <v>80.599999999999994</v>
      </c>
      <c r="J74" t="s">
        <v>30</v>
      </c>
      <c r="M74" s="33">
        <v>0</v>
      </c>
      <c r="N74" s="33">
        <v>3</v>
      </c>
      <c r="O74" s="29" t="s">
        <v>30</v>
      </c>
      <c r="R74" s="29" t="str">
        <f>VLOOKUP(WNBA_TeamSeasons[[#This Row],[Team]],$Y$3:$Y$17,1,FALSE)</f>
        <v>Minnesota Lynx</v>
      </c>
    </row>
    <row r="75" spans="1:18" x14ac:dyDescent="0.25">
      <c r="A75" s="27">
        <v>2020</v>
      </c>
      <c r="B75" t="s">
        <v>710</v>
      </c>
      <c r="C75" t="s">
        <v>730</v>
      </c>
      <c r="D75" s="27">
        <v>13</v>
      </c>
      <c r="E75" s="27">
        <v>9</v>
      </c>
      <c r="F75" s="24">
        <v>0.59099999999999997</v>
      </c>
      <c r="G75" s="26">
        <v>5</v>
      </c>
      <c r="H75" s="25">
        <v>86.1</v>
      </c>
      <c r="I75" s="25">
        <v>84.1</v>
      </c>
      <c r="J75" t="s">
        <v>30</v>
      </c>
      <c r="M75" s="33">
        <v>1</v>
      </c>
      <c r="N75" s="33">
        <v>0</v>
      </c>
      <c r="R75" s="29" t="str">
        <f>VLOOKUP(WNBA_TeamSeasons[[#This Row],[Team]],$Y$3:$Y$17,1,FALSE)</f>
        <v>Phoenix Mercury</v>
      </c>
    </row>
    <row r="76" spans="1:18" x14ac:dyDescent="0.25">
      <c r="A76" s="27">
        <v>2020</v>
      </c>
      <c r="B76" t="s">
        <v>732</v>
      </c>
      <c r="C76" t="s">
        <v>730</v>
      </c>
      <c r="D76" s="27">
        <v>8</v>
      </c>
      <c r="E76" s="27">
        <v>14</v>
      </c>
      <c r="F76" s="24">
        <v>0.36399999999999999</v>
      </c>
      <c r="G76" s="26">
        <v>10</v>
      </c>
      <c r="H76" s="25">
        <v>83.4</v>
      </c>
      <c r="I76" s="25">
        <v>87</v>
      </c>
      <c r="M76" s="33">
        <v>0</v>
      </c>
      <c r="N76" s="33">
        <v>0</v>
      </c>
      <c r="R76" s="29" t="str">
        <f>VLOOKUP(WNBA_TeamSeasons[[#This Row],[Team]],$Y$3:$Y$17,1,FALSE)</f>
        <v>Dallas Wings</v>
      </c>
    </row>
    <row r="77" spans="1:18" x14ac:dyDescent="0.25">
      <c r="A77" s="27">
        <v>2019</v>
      </c>
      <c r="B77" t="s">
        <v>716</v>
      </c>
      <c r="C77" t="s">
        <v>729</v>
      </c>
      <c r="D77" s="27">
        <v>26</v>
      </c>
      <c r="E77" s="27">
        <v>8</v>
      </c>
      <c r="F77" s="24">
        <v>0.76500000000000001</v>
      </c>
      <c r="G77" s="26">
        <v>0</v>
      </c>
      <c r="H77" s="25">
        <v>89.3</v>
      </c>
      <c r="I77" s="25">
        <v>77.3</v>
      </c>
      <c r="J77" t="s">
        <v>30</v>
      </c>
      <c r="K77" s="29" t="s">
        <v>30</v>
      </c>
      <c r="L77" s="29" t="s">
        <v>30</v>
      </c>
      <c r="M77" s="33">
        <v>6</v>
      </c>
      <c r="N77" s="33">
        <v>3</v>
      </c>
      <c r="O77" s="29" t="s">
        <v>30</v>
      </c>
      <c r="P77" s="29" t="s">
        <v>30</v>
      </c>
      <c r="Q77" s="29" t="s">
        <v>30</v>
      </c>
      <c r="R77" s="29" t="str">
        <f>VLOOKUP(WNBA_TeamSeasons[[#This Row],[Team]],$Y$3:$Y$17,1,FALSE)</f>
        <v>Washington Mystics</v>
      </c>
    </row>
    <row r="78" spans="1:18" x14ac:dyDescent="0.25">
      <c r="A78" s="27">
        <v>2019</v>
      </c>
      <c r="B78" t="s">
        <v>713</v>
      </c>
      <c r="C78" t="s">
        <v>729</v>
      </c>
      <c r="D78" s="27">
        <v>23</v>
      </c>
      <c r="E78" s="27">
        <v>11</v>
      </c>
      <c r="F78" s="24">
        <v>0.67600000000000005</v>
      </c>
      <c r="G78" s="26">
        <v>3</v>
      </c>
      <c r="H78" s="25">
        <v>80.8</v>
      </c>
      <c r="I78" s="25">
        <v>77.900000000000006</v>
      </c>
      <c r="J78" t="s">
        <v>30</v>
      </c>
      <c r="M78" s="33">
        <v>5</v>
      </c>
      <c r="N78" s="33">
        <v>3</v>
      </c>
      <c r="O78" s="29" t="s">
        <v>30</v>
      </c>
      <c r="P78" s="29" t="s">
        <v>30</v>
      </c>
      <c r="R78" s="29" t="str">
        <f>VLOOKUP(WNBA_TeamSeasons[[#This Row],[Team]],$Y$3:$Y$17,1,FALSE)</f>
        <v>Connecticut Sun</v>
      </c>
    </row>
    <row r="79" spans="1:18" x14ac:dyDescent="0.25">
      <c r="A79" s="27">
        <v>2019</v>
      </c>
      <c r="B79" t="s">
        <v>714</v>
      </c>
      <c r="C79" t="s">
        <v>729</v>
      </c>
      <c r="D79" s="27">
        <v>20</v>
      </c>
      <c r="E79" s="27">
        <v>14</v>
      </c>
      <c r="F79" s="24">
        <v>0.58799999999999997</v>
      </c>
      <c r="G79" s="26">
        <v>6</v>
      </c>
      <c r="H79" s="25">
        <v>84.6</v>
      </c>
      <c r="I79" s="25">
        <v>83.3</v>
      </c>
      <c r="J79" t="s">
        <v>30</v>
      </c>
      <c r="M79" s="33">
        <v>1</v>
      </c>
      <c r="N79" s="33">
        <v>0</v>
      </c>
      <c r="R79" s="29" t="str">
        <f>VLOOKUP(WNBA_TeamSeasons[[#This Row],[Team]],$Y$3:$Y$17,1,FALSE)</f>
        <v>Chicago Sky</v>
      </c>
    </row>
    <row r="80" spans="1:18" x14ac:dyDescent="0.25">
      <c r="A80" s="27">
        <v>2019</v>
      </c>
      <c r="B80" t="s">
        <v>718</v>
      </c>
      <c r="C80" t="s">
        <v>729</v>
      </c>
      <c r="D80" s="27">
        <v>13</v>
      </c>
      <c r="E80" s="27">
        <v>21</v>
      </c>
      <c r="F80" s="24">
        <v>0.38200000000000001</v>
      </c>
      <c r="G80" s="26">
        <v>13</v>
      </c>
      <c r="H80" s="25">
        <v>77.599999999999994</v>
      </c>
      <c r="I80" s="25">
        <v>80.3</v>
      </c>
      <c r="M80" s="33">
        <v>0</v>
      </c>
      <c r="N80" s="33">
        <v>0</v>
      </c>
      <c r="R80" s="29" t="str">
        <f>VLOOKUP(WNBA_TeamSeasons[[#This Row],[Team]],$Y$3:$Y$17,1,FALSE)</f>
        <v>Indiana Fever</v>
      </c>
    </row>
    <row r="81" spans="1:18" x14ac:dyDescent="0.25">
      <c r="A81" s="27">
        <v>2019</v>
      </c>
      <c r="B81" t="s">
        <v>711</v>
      </c>
      <c r="C81" t="s">
        <v>729</v>
      </c>
      <c r="D81" s="27">
        <v>10</v>
      </c>
      <c r="E81" s="27">
        <v>24</v>
      </c>
      <c r="F81" s="24">
        <v>0.29399999999999998</v>
      </c>
      <c r="G81" s="26">
        <v>16</v>
      </c>
      <c r="H81" s="25">
        <v>77.400000000000006</v>
      </c>
      <c r="I81" s="25">
        <v>84.7</v>
      </c>
      <c r="M81" s="33">
        <v>0</v>
      </c>
      <c r="N81" s="33">
        <v>0</v>
      </c>
      <c r="R81" s="29" t="str">
        <f>VLOOKUP(WNBA_TeamSeasons[[#This Row],[Team]],$Y$3:$Y$17,1,FALSE)</f>
        <v>New York Liberty</v>
      </c>
    </row>
    <row r="82" spans="1:18" x14ac:dyDescent="0.25">
      <c r="A82" s="27">
        <v>2019</v>
      </c>
      <c r="B82" t="s">
        <v>719</v>
      </c>
      <c r="C82" t="s">
        <v>729</v>
      </c>
      <c r="D82" s="27">
        <v>8</v>
      </c>
      <c r="E82" s="27">
        <v>26</v>
      </c>
      <c r="F82" s="24">
        <v>0.23499999999999999</v>
      </c>
      <c r="G82" s="26">
        <v>18</v>
      </c>
      <c r="H82" s="25">
        <v>71.2</v>
      </c>
      <c r="I82" s="25">
        <v>78.900000000000006</v>
      </c>
      <c r="M82" s="33">
        <v>0</v>
      </c>
      <c r="N82" s="33">
        <v>0</v>
      </c>
      <c r="R82" s="29" t="str">
        <f>VLOOKUP(WNBA_TeamSeasons[[#This Row],[Team]],$Y$3:$Y$17,1,FALSE)</f>
        <v>Atlanta Dream</v>
      </c>
    </row>
    <row r="83" spans="1:18" x14ac:dyDescent="0.25">
      <c r="A83" s="27">
        <v>2019</v>
      </c>
      <c r="B83" t="s">
        <v>717</v>
      </c>
      <c r="C83" t="s">
        <v>730</v>
      </c>
      <c r="D83" s="27">
        <v>22</v>
      </c>
      <c r="E83" s="27">
        <v>12</v>
      </c>
      <c r="F83" s="24">
        <v>0.64700000000000002</v>
      </c>
      <c r="G83" s="26">
        <v>0</v>
      </c>
      <c r="H83" s="25">
        <v>80.099999999999994</v>
      </c>
      <c r="I83" s="25">
        <v>77.2</v>
      </c>
      <c r="J83" t="s">
        <v>30</v>
      </c>
      <c r="K83" s="29" t="s">
        <v>30</v>
      </c>
      <c r="M83" s="33">
        <v>0</v>
      </c>
      <c r="N83" s="33">
        <v>3</v>
      </c>
      <c r="O83" s="29" t="s">
        <v>30</v>
      </c>
      <c r="R83" s="29" t="str">
        <f>VLOOKUP(WNBA_TeamSeasons[[#This Row],[Team]],$Y$3:$Y$17,1,FALSE)</f>
        <v>Los Angeles Sparks</v>
      </c>
    </row>
    <row r="84" spans="1:18" x14ac:dyDescent="0.25">
      <c r="A84" s="27">
        <v>2019</v>
      </c>
      <c r="B84" t="s">
        <v>709</v>
      </c>
      <c r="C84" t="s">
        <v>730</v>
      </c>
      <c r="D84" s="27">
        <v>21</v>
      </c>
      <c r="E84" s="27">
        <v>13</v>
      </c>
      <c r="F84" s="24">
        <v>0.61799999999999999</v>
      </c>
      <c r="G84" s="26">
        <v>1</v>
      </c>
      <c r="H84" s="25">
        <v>82.2</v>
      </c>
      <c r="I84" s="25">
        <v>78.8</v>
      </c>
      <c r="J84" t="s">
        <v>30</v>
      </c>
      <c r="M84" s="33">
        <v>1</v>
      </c>
      <c r="N84" s="33">
        <v>3</v>
      </c>
      <c r="O84" s="29" t="s">
        <v>30</v>
      </c>
      <c r="R84" s="29" t="str">
        <f>VLOOKUP(WNBA_TeamSeasons[[#This Row],[Team]],$Y$3:$Y$17,1,FALSE)</f>
        <v>Las Vegas Aces</v>
      </c>
    </row>
    <row r="85" spans="1:18" x14ac:dyDescent="0.25">
      <c r="A85" s="27">
        <v>2019</v>
      </c>
      <c r="B85" t="s">
        <v>712</v>
      </c>
      <c r="C85" t="s">
        <v>730</v>
      </c>
      <c r="D85" s="27">
        <v>18</v>
      </c>
      <c r="E85" s="27">
        <v>16</v>
      </c>
      <c r="F85" s="24">
        <v>0.52900000000000003</v>
      </c>
      <c r="G85" s="26">
        <v>4</v>
      </c>
      <c r="H85" s="25">
        <v>78.400000000000006</v>
      </c>
      <c r="I85" s="25">
        <v>75.900000000000006</v>
      </c>
      <c r="J85" t="s">
        <v>30</v>
      </c>
      <c r="M85" s="33">
        <v>0</v>
      </c>
      <c r="N85" s="33">
        <v>1</v>
      </c>
      <c r="R85" s="29" t="str">
        <f>VLOOKUP(WNBA_TeamSeasons[[#This Row],[Team]],$Y$3:$Y$17,1,FALSE)</f>
        <v>Minnesota Lynx</v>
      </c>
    </row>
    <row r="86" spans="1:18" x14ac:dyDescent="0.25">
      <c r="A86" s="27">
        <v>2019</v>
      </c>
      <c r="B86" t="s">
        <v>715</v>
      </c>
      <c r="C86" t="s">
        <v>730</v>
      </c>
      <c r="D86" s="27">
        <v>18</v>
      </c>
      <c r="E86" s="27">
        <v>16</v>
      </c>
      <c r="F86" s="24">
        <v>0.52900000000000003</v>
      </c>
      <c r="G86" s="26">
        <v>4</v>
      </c>
      <c r="H86" s="25">
        <v>74.8</v>
      </c>
      <c r="I86" s="25">
        <v>75.099999999999994</v>
      </c>
      <c r="J86" t="s">
        <v>30</v>
      </c>
      <c r="M86" s="33">
        <v>1</v>
      </c>
      <c r="N86" s="33">
        <v>0</v>
      </c>
      <c r="R86" s="29" t="str">
        <f>VLOOKUP(WNBA_TeamSeasons[[#This Row],[Team]],$Y$3:$Y$17,1,FALSE)</f>
        <v>Seattle Storm</v>
      </c>
    </row>
    <row r="87" spans="1:18" x14ac:dyDescent="0.25">
      <c r="A87" s="27">
        <v>2019</v>
      </c>
      <c r="B87" t="s">
        <v>710</v>
      </c>
      <c r="C87" t="s">
        <v>730</v>
      </c>
      <c r="D87" s="27">
        <v>15</v>
      </c>
      <c r="E87" s="27">
        <v>19</v>
      </c>
      <c r="F87" s="24">
        <v>0.441</v>
      </c>
      <c r="G87" s="26">
        <v>7</v>
      </c>
      <c r="H87" s="25">
        <v>76.5</v>
      </c>
      <c r="I87" s="25">
        <v>77.599999999999994</v>
      </c>
      <c r="J87" t="s">
        <v>30</v>
      </c>
      <c r="M87" s="33">
        <v>0</v>
      </c>
      <c r="N87" s="33">
        <v>1</v>
      </c>
      <c r="R87" s="29" t="str">
        <f>VLOOKUP(WNBA_TeamSeasons[[#This Row],[Team]],$Y$3:$Y$17,1,FALSE)</f>
        <v>Phoenix Mercury</v>
      </c>
    </row>
    <row r="88" spans="1:18" x14ac:dyDescent="0.25">
      <c r="A88" s="27">
        <v>2019</v>
      </c>
      <c r="B88" t="s">
        <v>732</v>
      </c>
      <c r="C88" t="s">
        <v>730</v>
      </c>
      <c r="D88" s="27">
        <v>10</v>
      </c>
      <c r="E88" s="27">
        <v>24</v>
      </c>
      <c r="F88" s="24">
        <v>0.29399999999999998</v>
      </c>
      <c r="G88" s="26">
        <v>12</v>
      </c>
      <c r="H88" s="25">
        <v>71.599999999999994</v>
      </c>
      <c r="I88" s="25">
        <v>77.400000000000006</v>
      </c>
      <c r="M88" s="33">
        <v>0</v>
      </c>
      <c r="N88" s="33">
        <v>0</v>
      </c>
      <c r="R88" s="29" t="str">
        <f>VLOOKUP(WNBA_TeamSeasons[[#This Row],[Team]],$Y$3:$Y$17,1,FALSE)</f>
        <v>Dallas Wings</v>
      </c>
    </row>
    <row r="89" spans="1:18" x14ac:dyDescent="0.25">
      <c r="A89" s="27">
        <v>2018</v>
      </c>
      <c r="B89" t="s">
        <v>719</v>
      </c>
      <c r="C89" t="s">
        <v>729</v>
      </c>
      <c r="D89" s="27">
        <v>23</v>
      </c>
      <c r="E89" s="27">
        <v>11</v>
      </c>
      <c r="F89" s="24">
        <v>0.67600000000000005</v>
      </c>
      <c r="G89" s="26">
        <v>0</v>
      </c>
      <c r="H89" s="25">
        <v>81.8</v>
      </c>
      <c r="I89" s="25">
        <v>79.5</v>
      </c>
      <c r="J89" t="s">
        <v>30</v>
      </c>
      <c r="K89" s="29" t="s">
        <v>30</v>
      </c>
      <c r="M89" s="33">
        <v>2</v>
      </c>
      <c r="N89" s="33">
        <v>3</v>
      </c>
      <c r="O89" s="29" t="s">
        <v>30</v>
      </c>
      <c r="R89" s="29" t="str">
        <f>VLOOKUP(WNBA_TeamSeasons[[#This Row],[Team]],$Y$3:$Y$17,1,FALSE)</f>
        <v>Atlanta Dream</v>
      </c>
    </row>
    <row r="90" spans="1:18" x14ac:dyDescent="0.25">
      <c r="A90" s="27">
        <v>2018</v>
      </c>
      <c r="B90" t="s">
        <v>716</v>
      </c>
      <c r="C90" t="s">
        <v>729</v>
      </c>
      <c r="D90" s="27">
        <v>22</v>
      </c>
      <c r="E90" s="27">
        <v>12</v>
      </c>
      <c r="F90" s="24">
        <v>0.64700000000000002</v>
      </c>
      <c r="G90" s="26">
        <v>1.5</v>
      </c>
      <c r="H90" s="25">
        <v>84.5</v>
      </c>
      <c r="I90" s="25">
        <v>81.400000000000006</v>
      </c>
      <c r="J90" t="s">
        <v>30</v>
      </c>
      <c r="M90" s="33">
        <v>3</v>
      </c>
      <c r="N90" s="33">
        <v>5</v>
      </c>
      <c r="O90" s="29" t="s">
        <v>30</v>
      </c>
      <c r="P90" s="29" t="s">
        <v>30</v>
      </c>
      <c r="R90" s="29" t="str">
        <f>VLOOKUP(WNBA_TeamSeasons[[#This Row],[Team]],$Y$3:$Y$17,1,FALSE)</f>
        <v>Washington Mystics</v>
      </c>
    </row>
    <row r="91" spans="1:18" x14ac:dyDescent="0.25">
      <c r="A91" s="27">
        <v>2018</v>
      </c>
      <c r="B91" t="s">
        <v>713</v>
      </c>
      <c r="C91" t="s">
        <v>729</v>
      </c>
      <c r="D91" s="27">
        <v>21</v>
      </c>
      <c r="E91" s="27">
        <v>13</v>
      </c>
      <c r="F91" s="24">
        <v>0.61799999999999999</v>
      </c>
      <c r="G91" s="26">
        <v>2</v>
      </c>
      <c r="H91" s="25">
        <v>87.6</v>
      </c>
      <c r="I91" s="25">
        <v>81.7</v>
      </c>
      <c r="J91" t="s">
        <v>30</v>
      </c>
      <c r="M91" s="33">
        <v>0</v>
      </c>
      <c r="N91" s="33">
        <v>0</v>
      </c>
      <c r="R91" s="29" t="str">
        <f>VLOOKUP(WNBA_TeamSeasons[[#This Row],[Team]],$Y$3:$Y$17,1,FALSE)</f>
        <v>Connecticut Sun</v>
      </c>
    </row>
    <row r="92" spans="1:18" x14ac:dyDescent="0.25">
      <c r="A92" s="27">
        <v>2018</v>
      </c>
      <c r="B92" t="s">
        <v>714</v>
      </c>
      <c r="C92" t="s">
        <v>729</v>
      </c>
      <c r="D92" s="27">
        <v>13</v>
      </c>
      <c r="E92" s="27">
        <v>21</v>
      </c>
      <c r="F92" s="24">
        <v>0.38200000000000001</v>
      </c>
      <c r="G92" s="26">
        <v>10</v>
      </c>
      <c r="H92" s="25">
        <v>83.8</v>
      </c>
      <c r="I92" s="25">
        <v>90.1</v>
      </c>
      <c r="M92" s="33">
        <v>0</v>
      </c>
      <c r="N92" s="33">
        <v>0</v>
      </c>
      <c r="R92" s="29" t="str">
        <f>VLOOKUP(WNBA_TeamSeasons[[#This Row],[Team]],$Y$3:$Y$17,1,FALSE)</f>
        <v>Chicago Sky</v>
      </c>
    </row>
    <row r="93" spans="1:18" x14ac:dyDescent="0.25">
      <c r="A93" s="27">
        <v>2018</v>
      </c>
      <c r="B93" t="s">
        <v>711</v>
      </c>
      <c r="C93" t="s">
        <v>729</v>
      </c>
      <c r="D93" s="27">
        <v>7</v>
      </c>
      <c r="E93" s="27">
        <v>27</v>
      </c>
      <c r="F93" s="24">
        <v>0.20599999999999999</v>
      </c>
      <c r="G93" s="26">
        <v>16</v>
      </c>
      <c r="H93" s="25">
        <v>77.7</v>
      </c>
      <c r="I93" s="25">
        <v>84.8</v>
      </c>
      <c r="M93" s="33">
        <v>0</v>
      </c>
      <c r="N93" s="33">
        <v>0</v>
      </c>
      <c r="R93" s="29" t="str">
        <f>VLOOKUP(WNBA_TeamSeasons[[#This Row],[Team]],$Y$3:$Y$17,1,FALSE)</f>
        <v>New York Liberty</v>
      </c>
    </row>
    <row r="94" spans="1:18" x14ac:dyDescent="0.25">
      <c r="A94" s="27">
        <v>2018</v>
      </c>
      <c r="B94" t="s">
        <v>718</v>
      </c>
      <c r="C94" t="s">
        <v>729</v>
      </c>
      <c r="D94" s="27">
        <v>6</v>
      </c>
      <c r="E94" s="27">
        <v>28</v>
      </c>
      <c r="F94" s="24">
        <v>0.17599999999999999</v>
      </c>
      <c r="G94" s="26">
        <v>17</v>
      </c>
      <c r="H94" s="25">
        <v>76.400000000000006</v>
      </c>
      <c r="I94" s="25">
        <v>85.7</v>
      </c>
      <c r="M94" s="33">
        <v>0</v>
      </c>
      <c r="N94" s="33">
        <v>0</v>
      </c>
      <c r="R94" s="29" t="str">
        <f>VLOOKUP(WNBA_TeamSeasons[[#This Row],[Team]],$Y$3:$Y$17,1,FALSE)</f>
        <v>Indiana Fever</v>
      </c>
    </row>
    <row r="95" spans="1:18" x14ac:dyDescent="0.25">
      <c r="A95" s="27">
        <v>2018</v>
      </c>
      <c r="B95" t="s">
        <v>715</v>
      </c>
      <c r="C95" t="s">
        <v>730</v>
      </c>
      <c r="D95" s="27">
        <v>26</v>
      </c>
      <c r="E95" s="27">
        <v>8</v>
      </c>
      <c r="F95" s="24">
        <v>0.76500000000000001</v>
      </c>
      <c r="G95" s="26">
        <v>0</v>
      </c>
      <c r="H95" s="25">
        <v>87.2</v>
      </c>
      <c r="I95" s="25">
        <v>79.7</v>
      </c>
      <c r="J95" t="s">
        <v>30</v>
      </c>
      <c r="K95" s="29" t="s">
        <v>30</v>
      </c>
      <c r="L95" s="29" t="s">
        <v>30</v>
      </c>
      <c r="M95" s="33">
        <v>6</v>
      </c>
      <c r="N95" s="33">
        <v>2</v>
      </c>
      <c r="O95" s="29" t="s">
        <v>30</v>
      </c>
      <c r="P95" s="29" t="s">
        <v>30</v>
      </c>
      <c r="Q95" s="29" t="s">
        <v>30</v>
      </c>
      <c r="R95" s="29" t="str">
        <f>VLOOKUP(WNBA_TeamSeasons[[#This Row],[Team]],$Y$3:$Y$17,1,FALSE)</f>
        <v>Seattle Storm</v>
      </c>
    </row>
    <row r="96" spans="1:18" x14ac:dyDescent="0.25">
      <c r="A96" s="27">
        <v>2018</v>
      </c>
      <c r="B96" t="s">
        <v>710</v>
      </c>
      <c r="C96" t="s">
        <v>730</v>
      </c>
      <c r="D96" s="27">
        <v>20</v>
      </c>
      <c r="E96" s="27">
        <v>14</v>
      </c>
      <c r="F96" s="24">
        <v>0.58799999999999997</v>
      </c>
      <c r="G96" s="26">
        <v>6</v>
      </c>
      <c r="H96" s="25">
        <v>85.8</v>
      </c>
      <c r="I96" s="25">
        <v>83.2</v>
      </c>
      <c r="J96" t="s">
        <v>30</v>
      </c>
      <c r="M96" s="33">
        <v>3</v>
      </c>
      <c r="N96" s="33">
        <v>3</v>
      </c>
      <c r="O96" s="29" t="s">
        <v>30</v>
      </c>
      <c r="R96" s="29" t="str">
        <f>VLOOKUP(WNBA_TeamSeasons[[#This Row],[Team]],$Y$3:$Y$17,1,FALSE)</f>
        <v>Phoenix Mercury</v>
      </c>
    </row>
    <row r="97" spans="1:18" x14ac:dyDescent="0.25">
      <c r="A97" s="27">
        <v>2018</v>
      </c>
      <c r="B97" t="s">
        <v>717</v>
      </c>
      <c r="C97" t="s">
        <v>730</v>
      </c>
      <c r="D97" s="27">
        <v>19</v>
      </c>
      <c r="E97" s="27">
        <v>15</v>
      </c>
      <c r="F97" s="24">
        <v>0.55900000000000005</v>
      </c>
      <c r="G97" s="26">
        <v>7</v>
      </c>
      <c r="H97" s="25">
        <v>78.900000000000006</v>
      </c>
      <c r="I97" s="25">
        <v>77</v>
      </c>
      <c r="J97" t="s">
        <v>30</v>
      </c>
      <c r="M97" s="33">
        <v>1</v>
      </c>
      <c r="N97" s="33">
        <v>0</v>
      </c>
      <c r="R97" s="29" t="str">
        <f>VLOOKUP(WNBA_TeamSeasons[[#This Row],[Team]],$Y$3:$Y$17,1,FALSE)</f>
        <v>Los Angeles Sparks</v>
      </c>
    </row>
    <row r="98" spans="1:18" x14ac:dyDescent="0.25">
      <c r="A98" s="27">
        <v>2018</v>
      </c>
      <c r="B98" t="s">
        <v>712</v>
      </c>
      <c r="C98" t="s">
        <v>730</v>
      </c>
      <c r="D98" s="27">
        <v>18</v>
      </c>
      <c r="E98" s="27">
        <v>16</v>
      </c>
      <c r="F98" s="24">
        <v>0.52900000000000003</v>
      </c>
      <c r="G98" s="26">
        <v>8</v>
      </c>
      <c r="H98" s="25">
        <v>78.900000000000006</v>
      </c>
      <c r="I98" s="25">
        <v>78.3</v>
      </c>
      <c r="J98" t="s">
        <v>30</v>
      </c>
      <c r="M98" s="33">
        <v>0</v>
      </c>
      <c r="N98" s="33">
        <v>1</v>
      </c>
      <c r="R98" s="29" t="str">
        <f>VLOOKUP(WNBA_TeamSeasons[[#This Row],[Team]],$Y$3:$Y$17,1,FALSE)</f>
        <v>Minnesota Lynx</v>
      </c>
    </row>
    <row r="99" spans="1:18" x14ac:dyDescent="0.25">
      <c r="A99" s="27">
        <v>2018</v>
      </c>
      <c r="B99" t="s">
        <v>732</v>
      </c>
      <c r="C99" t="s">
        <v>730</v>
      </c>
      <c r="D99" s="27">
        <v>15</v>
      </c>
      <c r="E99" s="27">
        <v>19</v>
      </c>
      <c r="F99" s="24">
        <v>0.441</v>
      </c>
      <c r="G99" s="26">
        <v>11</v>
      </c>
      <c r="H99" s="25">
        <v>86.6</v>
      </c>
      <c r="I99" s="25">
        <v>85.4</v>
      </c>
      <c r="J99" t="s">
        <v>30</v>
      </c>
      <c r="M99" s="33">
        <v>0</v>
      </c>
      <c r="N99" s="33">
        <v>1</v>
      </c>
      <c r="R99" s="29" t="str">
        <f>VLOOKUP(WNBA_TeamSeasons[[#This Row],[Team]],$Y$3:$Y$17,1,FALSE)</f>
        <v>Dallas Wings</v>
      </c>
    </row>
    <row r="100" spans="1:18" x14ac:dyDescent="0.25">
      <c r="A100" s="27">
        <v>2018</v>
      </c>
      <c r="B100" t="s">
        <v>709</v>
      </c>
      <c r="C100" t="s">
        <v>730</v>
      </c>
      <c r="D100" s="27">
        <v>14</v>
      </c>
      <c r="E100" s="27">
        <v>20</v>
      </c>
      <c r="F100" s="24">
        <v>0.41199999999999998</v>
      </c>
      <c r="G100" s="26">
        <v>11.5</v>
      </c>
      <c r="H100" s="25">
        <v>84.4</v>
      </c>
      <c r="I100" s="25">
        <v>87</v>
      </c>
      <c r="M100" s="33">
        <v>0</v>
      </c>
      <c r="N100" s="33">
        <v>0</v>
      </c>
      <c r="R100" s="29" t="str">
        <f>VLOOKUP(WNBA_TeamSeasons[[#This Row],[Team]],$Y$3:$Y$17,1,FALSE)</f>
        <v>Las Vegas Aces</v>
      </c>
    </row>
    <row r="101" spans="1:18" x14ac:dyDescent="0.25">
      <c r="A101" s="27">
        <v>2017</v>
      </c>
      <c r="B101" t="s">
        <v>711</v>
      </c>
      <c r="C101" t="s">
        <v>729</v>
      </c>
      <c r="D101" s="27">
        <v>22</v>
      </c>
      <c r="E101" s="27">
        <v>12</v>
      </c>
      <c r="F101" s="24">
        <v>0.64700000000000002</v>
      </c>
      <c r="G101" s="26">
        <v>0</v>
      </c>
      <c r="H101" s="25">
        <v>79.7</v>
      </c>
      <c r="I101" s="25">
        <v>76.599999999999994</v>
      </c>
      <c r="J101" t="s">
        <v>30</v>
      </c>
      <c r="K101" s="29" t="s">
        <v>30</v>
      </c>
      <c r="M101" s="33">
        <v>0</v>
      </c>
      <c r="N101" s="33">
        <v>0</v>
      </c>
      <c r="R101" s="29" t="str">
        <f>VLOOKUP(WNBA_TeamSeasons[[#This Row],[Team]],$Y$3:$Y$17,1,FALSE)</f>
        <v>New York Liberty</v>
      </c>
    </row>
    <row r="102" spans="1:18" x14ac:dyDescent="0.25">
      <c r="A102" s="27">
        <v>2017</v>
      </c>
      <c r="B102" t="s">
        <v>713</v>
      </c>
      <c r="C102" t="s">
        <v>729</v>
      </c>
      <c r="D102" s="27">
        <v>21</v>
      </c>
      <c r="E102" s="27">
        <v>13</v>
      </c>
      <c r="F102" s="24">
        <v>0.61799999999999999</v>
      </c>
      <c r="G102" s="26">
        <v>1</v>
      </c>
      <c r="H102" s="25">
        <v>86</v>
      </c>
      <c r="I102" s="25">
        <v>81.599999999999994</v>
      </c>
      <c r="J102" t="s">
        <v>30</v>
      </c>
      <c r="M102" s="33">
        <v>0</v>
      </c>
      <c r="N102" s="33">
        <v>0</v>
      </c>
      <c r="R102" s="29" t="str">
        <f>VLOOKUP(WNBA_TeamSeasons[[#This Row],[Team]],$Y$3:$Y$17,1,FALSE)</f>
        <v>Connecticut Sun</v>
      </c>
    </row>
    <row r="103" spans="1:18" x14ac:dyDescent="0.25">
      <c r="A103" s="27">
        <v>2017</v>
      </c>
      <c r="B103" t="s">
        <v>716</v>
      </c>
      <c r="C103" t="s">
        <v>729</v>
      </c>
      <c r="D103" s="27">
        <v>18</v>
      </c>
      <c r="E103" s="27">
        <v>16</v>
      </c>
      <c r="F103" s="24">
        <v>0.52900000000000003</v>
      </c>
      <c r="G103" s="26">
        <v>4</v>
      </c>
      <c r="H103" s="25">
        <v>81.7</v>
      </c>
      <c r="I103" s="25">
        <v>81</v>
      </c>
      <c r="J103" t="s">
        <v>30</v>
      </c>
      <c r="M103" s="33">
        <v>1</v>
      </c>
      <c r="N103" s="33">
        <v>3</v>
      </c>
      <c r="O103" s="29" t="s">
        <v>30</v>
      </c>
      <c r="R103" s="29" t="str">
        <f>VLOOKUP(WNBA_TeamSeasons[[#This Row],[Team]],$Y$3:$Y$17,1,FALSE)</f>
        <v>Washington Mystics</v>
      </c>
    </row>
    <row r="104" spans="1:18" x14ac:dyDescent="0.25">
      <c r="A104" s="27">
        <v>2017</v>
      </c>
      <c r="B104" t="s">
        <v>719</v>
      </c>
      <c r="C104" t="s">
        <v>729</v>
      </c>
      <c r="D104" s="27">
        <v>12</v>
      </c>
      <c r="E104" s="27">
        <v>22</v>
      </c>
      <c r="F104" s="24">
        <v>0.35299999999999998</v>
      </c>
      <c r="G104" s="26">
        <v>10</v>
      </c>
      <c r="H104" s="25">
        <v>78.900000000000006</v>
      </c>
      <c r="I104" s="25">
        <v>82.7</v>
      </c>
      <c r="M104" s="33">
        <v>0</v>
      </c>
      <c r="N104" s="33">
        <v>0</v>
      </c>
      <c r="R104" s="29" t="str">
        <f>VLOOKUP(WNBA_TeamSeasons[[#This Row],[Team]],$Y$3:$Y$17,1,FALSE)</f>
        <v>Atlanta Dream</v>
      </c>
    </row>
    <row r="105" spans="1:18" x14ac:dyDescent="0.25">
      <c r="A105" s="27">
        <v>2017</v>
      </c>
      <c r="B105" t="s">
        <v>714</v>
      </c>
      <c r="C105" t="s">
        <v>729</v>
      </c>
      <c r="D105" s="27">
        <v>12</v>
      </c>
      <c r="E105" s="27">
        <v>22</v>
      </c>
      <c r="F105" s="24">
        <v>0.35299999999999998</v>
      </c>
      <c r="G105" s="26">
        <v>10</v>
      </c>
      <c r="H105" s="25">
        <v>82.1</v>
      </c>
      <c r="I105" s="25">
        <v>87.2</v>
      </c>
      <c r="M105" s="33">
        <v>0</v>
      </c>
      <c r="N105" s="33">
        <v>0</v>
      </c>
      <c r="R105" s="29" t="str">
        <f>VLOOKUP(WNBA_TeamSeasons[[#This Row],[Team]],$Y$3:$Y$17,1,FALSE)</f>
        <v>Chicago Sky</v>
      </c>
    </row>
    <row r="106" spans="1:18" x14ac:dyDescent="0.25">
      <c r="A106" s="27">
        <v>2017</v>
      </c>
      <c r="B106" t="s">
        <v>718</v>
      </c>
      <c r="C106" t="s">
        <v>729</v>
      </c>
      <c r="D106" s="27">
        <v>9</v>
      </c>
      <c r="E106" s="27">
        <v>25</v>
      </c>
      <c r="F106" s="24">
        <v>0.26500000000000001</v>
      </c>
      <c r="G106" s="26">
        <v>13</v>
      </c>
      <c r="H106" s="25">
        <v>75.099999999999994</v>
      </c>
      <c r="I106" s="25">
        <v>84.3</v>
      </c>
      <c r="M106" s="33">
        <v>0</v>
      </c>
      <c r="N106" s="33">
        <v>0</v>
      </c>
      <c r="R106" s="29" t="str">
        <f>VLOOKUP(WNBA_TeamSeasons[[#This Row],[Team]],$Y$3:$Y$17,1,FALSE)</f>
        <v>Indiana Fever</v>
      </c>
    </row>
    <row r="107" spans="1:18" x14ac:dyDescent="0.25">
      <c r="A107" s="27">
        <v>2017</v>
      </c>
      <c r="B107" t="s">
        <v>712</v>
      </c>
      <c r="C107" t="s">
        <v>730</v>
      </c>
      <c r="D107" s="27">
        <v>27</v>
      </c>
      <c r="E107" s="27">
        <v>7</v>
      </c>
      <c r="F107" s="24">
        <v>0.79400000000000004</v>
      </c>
      <c r="G107" s="26">
        <v>0</v>
      </c>
      <c r="H107" s="25">
        <v>85.4</v>
      </c>
      <c r="I107" s="25">
        <v>74.2</v>
      </c>
      <c r="J107" t="s">
        <v>30</v>
      </c>
      <c r="K107" s="29" t="s">
        <v>30</v>
      </c>
      <c r="L107" s="29" t="s">
        <v>30</v>
      </c>
      <c r="M107" s="33">
        <v>6</v>
      </c>
      <c r="N107" s="33">
        <v>2</v>
      </c>
      <c r="O107" s="29" t="s">
        <v>30</v>
      </c>
      <c r="P107" s="29" t="s">
        <v>30</v>
      </c>
      <c r="Q107" s="29" t="s">
        <v>30</v>
      </c>
      <c r="R107" s="29" t="str">
        <f>VLOOKUP(WNBA_TeamSeasons[[#This Row],[Team]],$Y$3:$Y$17,1,FALSE)</f>
        <v>Minnesota Lynx</v>
      </c>
    </row>
    <row r="108" spans="1:18" x14ac:dyDescent="0.25">
      <c r="A108" s="27">
        <v>2017</v>
      </c>
      <c r="B108" t="s">
        <v>717</v>
      </c>
      <c r="C108" t="s">
        <v>730</v>
      </c>
      <c r="D108" s="27">
        <v>26</v>
      </c>
      <c r="E108" s="27">
        <v>8</v>
      </c>
      <c r="F108" s="24">
        <v>0.76500000000000001</v>
      </c>
      <c r="G108" s="26">
        <v>1</v>
      </c>
      <c r="H108" s="25">
        <v>83.5</v>
      </c>
      <c r="I108" s="25">
        <v>75.2</v>
      </c>
      <c r="J108" t="s">
        <v>30</v>
      </c>
      <c r="M108" s="33">
        <v>5</v>
      </c>
      <c r="N108" s="33">
        <v>3</v>
      </c>
      <c r="O108" s="29" t="s">
        <v>30</v>
      </c>
      <c r="P108" s="29" t="s">
        <v>30</v>
      </c>
      <c r="R108" s="29" t="str">
        <f>VLOOKUP(WNBA_TeamSeasons[[#This Row],[Team]],$Y$3:$Y$17,1,FALSE)</f>
        <v>Los Angeles Sparks</v>
      </c>
    </row>
    <row r="109" spans="1:18" x14ac:dyDescent="0.25">
      <c r="A109" s="27">
        <v>2017</v>
      </c>
      <c r="B109" t="s">
        <v>710</v>
      </c>
      <c r="C109" t="s">
        <v>730</v>
      </c>
      <c r="D109" s="27">
        <v>18</v>
      </c>
      <c r="E109" s="27">
        <v>16</v>
      </c>
      <c r="F109" s="24">
        <v>0.52900000000000003</v>
      </c>
      <c r="G109" s="26">
        <v>9</v>
      </c>
      <c r="H109" s="25">
        <v>81.900000000000006</v>
      </c>
      <c r="I109" s="25">
        <v>81.900000000000006</v>
      </c>
      <c r="J109" t="s">
        <v>30</v>
      </c>
      <c r="M109" s="33">
        <v>1</v>
      </c>
      <c r="N109" s="33">
        <v>3</v>
      </c>
      <c r="O109" s="29" t="s">
        <v>30</v>
      </c>
      <c r="R109" s="29" t="str">
        <f>VLOOKUP(WNBA_TeamSeasons[[#This Row],[Team]],$Y$3:$Y$17,1,FALSE)</f>
        <v>Phoenix Mercury</v>
      </c>
    </row>
    <row r="110" spans="1:18" x14ac:dyDescent="0.25">
      <c r="A110" s="27">
        <v>2017</v>
      </c>
      <c r="B110" t="s">
        <v>732</v>
      </c>
      <c r="C110" t="s">
        <v>730</v>
      </c>
      <c r="D110" s="27">
        <v>16</v>
      </c>
      <c r="E110" s="27">
        <v>18</v>
      </c>
      <c r="F110" s="24">
        <v>0.47099999999999997</v>
      </c>
      <c r="G110" s="26">
        <v>11</v>
      </c>
      <c r="H110" s="25">
        <v>86.1</v>
      </c>
      <c r="I110" s="25">
        <v>88.8</v>
      </c>
      <c r="J110" t="s">
        <v>30</v>
      </c>
      <c r="M110" s="33">
        <v>0</v>
      </c>
      <c r="N110" s="33">
        <v>1</v>
      </c>
      <c r="R110" s="29" t="str">
        <f>VLOOKUP(WNBA_TeamSeasons[[#This Row],[Team]],$Y$3:$Y$17,1,FALSE)</f>
        <v>Dallas Wings</v>
      </c>
    </row>
    <row r="111" spans="1:18" x14ac:dyDescent="0.25">
      <c r="A111" s="27">
        <v>2017</v>
      </c>
      <c r="B111" t="s">
        <v>715</v>
      </c>
      <c r="C111" t="s">
        <v>730</v>
      </c>
      <c r="D111" s="27">
        <v>15</v>
      </c>
      <c r="E111" s="27">
        <v>19</v>
      </c>
      <c r="F111" s="24">
        <v>0.441</v>
      </c>
      <c r="G111" s="26">
        <v>12</v>
      </c>
      <c r="H111" s="25">
        <v>82.6</v>
      </c>
      <c r="I111" s="25">
        <v>82.6</v>
      </c>
      <c r="J111" t="s">
        <v>30</v>
      </c>
      <c r="M111" s="33">
        <v>0</v>
      </c>
      <c r="N111" s="33">
        <v>1</v>
      </c>
      <c r="R111" s="29" t="str">
        <f>VLOOKUP(WNBA_TeamSeasons[[#This Row],[Team]],$Y$3:$Y$17,1,FALSE)</f>
        <v>Seattle Storm</v>
      </c>
    </row>
    <row r="112" spans="1:18" x14ac:dyDescent="0.25">
      <c r="A112" s="27">
        <v>2017</v>
      </c>
      <c r="B112" t="s">
        <v>733</v>
      </c>
      <c r="C112" t="s">
        <v>730</v>
      </c>
      <c r="D112" s="27">
        <v>8</v>
      </c>
      <c r="E112" s="27">
        <v>26</v>
      </c>
      <c r="F112" s="24">
        <v>0.23499999999999999</v>
      </c>
      <c r="G112" s="26">
        <v>19</v>
      </c>
      <c r="H112" s="25">
        <v>74.400000000000006</v>
      </c>
      <c r="I112" s="25">
        <v>81.400000000000006</v>
      </c>
      <c r="M112" s="33">
        <v>0</v>
      </c>
      <c r="N112" s="33">
        <v>0</v>
      </c>
      <c r="R112" s="29" t="s">
        <v>709</v>
      </c>
    </row>
    <row r="113" spans="1:18" x14ac:dyDescent="0.25">
      <c r="A113" s="27">
        <v>2016</v>
      </c>
      <c r="B113" t="s">
        <v>711</v>
      </c>
      <c r="C113" t="s">
        <v>729</v>
      </c>
      <c r="D113" s="27">
        <v>21</v>
      </c>
      <c r="E113" s="27">
        <v>13</v>
      </c>
      <c r="F113" s="24">
        <v>0.61799999999999999</v>
      </c>
      <c r="G113" s="26">
        <v>0</v>
      </c>
      <c r="H113" s="25">
        <v>81.599999999999994</v>
      </c>
      <c r="I113" s="25">
        <v>80.900000000000006</v>
      </c>
      <c r="J113" t="s">
        <v>30</v>
      </c>
      <c r="K113" s="29" t="s">
        <v>30</v>
      </c>
      <c r="M113" s="33">
        <v>0</v>
      </c>
      <c r="N113" s="33">
        <v>0</v>
      </c>
      <c r="R113" s="29" t="str">
        <f>VLOOKUP(WNBA_TeamSeasons[[#This Row],[Team]],$Y$3:$Y$17,1,FALSE)</f>
        <v>New York Liberty</v>
      </c>
    </row>
    <row r="114" spans="1:18" x14ac:dyDescent="0.25">
      <c r="A114" s="27">
        <v>2016</v>
      </c>
      <c r="B114" t="s">
        <v>714</v>
      </c>
      <c r="C114" t="s">
        <v>729</v>
      </c>
      <c r="D114" s="27">
        <v>18</v>
      </c>
      <c r="E114" s="27">
        <v>16</v>
      </c>
      <c r="F114" s="24">
        <v>0.52900000000000003</v>
      </c>
      <c r="G114" s="26">
        <v>3</v>
      </c>
      <c r="H114" s="25">
        <v>86.2</v>
      </c>
      <c r="I114" s="25">
        <v>85.6</v>
      </c>
      <c r="J114" t="s">
        <v>30</v>
      </c>
      <c r="M114" s="33">
        <v>1</v>
      </c>
      <c r="N114" s="33">
        <v>3</v>
      </c>
      <c r="O114" s="29" t="s">
        <v>30</v>
      </c>
      <c r="R114" s="29" t="str">
        <f>VLOOKUP(WNBA_TeamSeasons[[#This Row],[Team]],$Y$3:$Y$17,1,FALSE)</f>
        <v>Chicago Sky</v>
      </c>
    </row>
    <row r="115" spans="1:18" x14ac:dyDescent="0.25">
      <c r="A115" s="27">
        <v>2016</v>
      </c>
      <c r="B115" t="s">
        <v>719</v>
      </c>
      <c r="C115" t="s">
        <v>729</v>
      </c>
      <c r="D115" s="27">
        <v>17</v>
      </c>
      <c r="E115" s="27">
        <v>17</v>
      </c>
      <c r="F115" s="24">
        <v>0.5</v>
      </c>
      <c r="G115" s="26">
        <v>4</v>
      </c>
      <c r="H115" s="25">
        <v>81.8</v>
      </c>
      <c r="I115" s="25">
        <v>84</v>
      </c>
      <c r="J115" t="s">
        <v>30</v>
      </c>
      <c r="M115" s="33">
        <v>1</v>
      </c>
      <c r="N115" s="33">
        <v>0</v>
      </c>
      <c r="R115" s="29" t="str">
        <f>VLOOKUP(WNBA_TeamSeasons[[#This Row],[Team]],$Y$3:$Y$17,1,FALSE)</f>
        <v>Atlanta Dream</v>
      </c>
    </row>
    <row r="116" spans="1:18" x14ac:dyDescent="0.25">
      <c r="A116" s="27">
        <v>2016</v>
      </c>
      <c r="B116" t="s">
        <v>718</v>
      </c>
      <c r="C116" t="s">
        <v>729</v>
      </c>
      <c r="D116" s="27">
        <v>17</v>
      </c>
      <c r="E116" s="27">
        <v>17</v>
      </c>
      <c r="F116" s="24">
        <v>0.5</v>
      </c>
      <c r="G116" s="26">
        <v>4</v>
      </c>
      <c r="H116" s="25">
        <v>80.5</v>
      </c>
      <c r="I116" s="25">
        <v>80.900000000000006</v>
      </c>
      <c r="J116" t="s">
        <v>30</v>
      </c>
      <c r="M116" s="33">
        <v>0</v>
      </c>
      <c r="N116" s="33">
        <v>1</v>
      </c>
      <c r="R116" s="29" t="str">
        <f>VLOOKUP(WNBA_TeamSeasons[[#This Row],[Team]],$Y$3:$Y$17,1,FALSE)</f>
        <v>Indiana Fever</v>
      </c>
    </row>
    <row r="117" spans="1:18" x14ac:dyDescent="0.25">
      <c r="A117" s="27">
        <v>2016</v>
      </c>
      <c r="B117" t="s">
        <v>713</v>
      </c>
      <c r="C117" t="s">
        <v>729</v>
      </c>
      <c r="D117" s="27">
        <v>14</v>
      </c>
      <c r="E117" s="27">
        <v>20</v>
      </c>
      <c r="F117" s="24">
        <v>0.41199999999999998</v>
      </c>
      <c r="G117" s="26">
        <v>7</v>
      </c>
      <c r="H117" s="25">
        <v>83</v>
      </c>
      <c r="I117" s="25">
        <v>84.4</v>
      </c>
      <c r="M117" s="33">
        <v>0</v>
      </c>
      <c r="N117" s="33">
        <v>0</v>
      </c>
      <c r="R117" s="29" t="str">
        <f>VLOOKUP(WNBA_TeamSeasons[[#This Row],[Team]],$Y$3:$Y$17,1,FALSE)</f>
        <v>Connecticut Sun</v>
      </c>
    </row>
    <row r="118" spans="1:18" x14ac:dyDescent="0.25">
      <c r="A118" s="27">
        <v>2016</v>
      </c>
      <c r="B118" t="s">
        <v>716</v>
      </c>
      <c r="C118" t="s">
        <v>729</v>
      </c>
      <c r="D118" s="27">
        <v>13</v>
      </c>
      <c r="E118" s="27">
        <v>21</v>
      </c>
      <c r="F118" s="24">
        <v>0.38200000000000001</v>
      </c>
      <c r="G118" s="26">
        <v>8</v>
      </c>
      <c r="H118" s="25">
        <v>80.7</v>
      </c>
      <c r="I118" s="25">
        <v>82.2</v>
      </c>
      <c r="M118" s="33">
        <v>0</v>
      </c>
      <c r="N118" s="33">
        <v>0</v>
      </c>
      <c r="R118" s="29" t="str">
        <f>VLOOKUP(WNBA_TeamSeasons[[#This Row],[Team]],$Y$3:$Y$17,1,FALSE)</f>
        <v>Washington Mystics</v>
      </c>
    </row>
    <row r="119" spans="1:18" x14ac:dyDescent="0.25">
      <c r="A119" s="27">
        <v>2016</v>
      </c>
      <c r="B119" t="s">
        <v>712</v>
      </c>
      <c r="C119" t="s">
        <v>730</v>
      </c>
      <c r="D119" s="27">
        <v>28</v>
      </c>
      <c r="E119" s="27">
        <v>6</v>
      </c>
      <c r="F119" s="24">
        <v>0.82399999999999995</v>
      </c>
      <c r="G119" s="26">
        <v>0</v>
      </c>
      <c r="H119" s="25">
        <v>85.8</v>
      </c>
      <c r="I119" s="25">
        <v>77</v>
      </c>
      <c r="J119" t="s">
        <v>30</v>
      </c>
      <c r="K119" s="29" t="s">
        <v>30</v>
      </c>
      <c r="L119" s="29" t="s">
        <v>30</v>
      </c>
      <c r="M119" s="33">
        <v>5</v>
      </c>
      <c r="N119" s="33">
        <v>3</v>
      </c>
      <c r="O119" s="29" t="s">
        <v>30</v>
      </c>
      <c r="P119" s="29" t="s">
        <v>30</v>
      </c>
      <c r="R119" s="29" t="str">
        <f>VLOOKUP(WNBA_TeamSeasons[[#This Row],[Team]],$Y$3:$Y$17,1,FALSE)</f>
        <v>Minnesota Lynx</v>
      </c>
    </row>
    <row r="120" spans="1:18" x14ac:dyDescent="0.25">
      <c r="A120" s="27">
        <v>2016</v>
      </c>
      <c r="B120" t="s">
        <v>717</v>
      </c>
      <c r="C120" t="s">
        <v>730</v>
      </c>
      <c r="D120" s="27">
        <v>26</v>
      </c>
      <c r="E120" s="27">
        <v>8</v>
      </c>
      <c r="F120" s="24">
        <v>0.76500000000000001</v>
      </c>
      <c r="G120" s="26">
        <v>2</v>
      </c>
      <c r="H120" s="25">
        <v>83</v>
      </c>
      <c r="I120" s="25">
        <v>75.900000000000006</v>
      </c>
      <c r="J120" t="s">
        <v>30</v>
      </c>
      <c r="M120" s="33">
        <v>6</v>
      </c>
      <c r="N120" s="33">
        <v>3</v>
      </c>
      <c r="O120" s="29" t="s">
        <v>30</v>
      </c>
      <c r="P120" s="29" t="s">
        <v>30</v>
      </c>
      <c r="Q120" s="29" t="s">
        <v>30</v>
      </c>
      <c r="R120" s="29" t="str">
        <f>VLOOKUP(WNBA_TeamSeasons[[#This Row],[Team]],$Y$3:$Y$17,1,FALSE)</f>
        <v>Los Angeles Sparks</v>
      </c>
    </row>
    <row r="121" spans="1:18" x14ac:dyDescent="0.25">
      <c r="A121" s="27">
        <v>2016</v>
      </c>
      <c r="B121" t="s">
        <v>710</v>
      </c>
      <c r="C121" t="s">
        <v>730</v>
      </c>
      <c r="D121" s="27">
        <v>16</v>
      </c>
      <c r="E121" s="27">
        <v>18</v>
      </c>
      <c r="F121" s="24">
        <v>0.47099999999999997</v>
      </c>
      <c r="G121" s="26">
        <v>12</v>
      </c>
      <c r="H121" s="25">
        <v>84.6</v>
      </c>
      <c r="I121" s="25">
        <v>83.3</v>
      </c>
      <c r="J121" t="s">
        <v>30</v>
      </c>
      <c r="M121" s="33">
        <v>1</v>
      </c>
      <c r="N121" s="33">
        <v>3</v>
      </c>
      <c r="O121" s="29" t="s">
        <v>30</v>
      </c>
      <c r="R121" s="29" t="str">
        <f>VLOOKUP(WNBA_TeamSeasons[[#This Row],[Team]],$Y$3:$Y$17,1,FALSE)</f>
        <v>Phoenix Mercury</v>
      </c>
    </row>
    <row r="122" spans="1:18" x14ac:dyDescent="0.25">
      <c r="A122" s="27">
        <v>2016</v>
      </c>
      <c r="B122" t="s">
        <v>715</v>
      </c>
      <c r="C122" t="s">
        <v>730</v>
      </c>
      <c r="D122" s="27">
        <v>16</v>
      </c>
      <c r="E122" s="27">
        <v>18</v>
      </c>
      <c r="F122" s="24">
        <v>0.47099999999999997</v>
      </c>
      <c r="G122" s="26">
        <v>12</v>
      </c>
      <c r="H122" s="25">
        <v>80.8</v>
      </c>
      <c r="I122" s="25">
        <v>80.2</v>
      </c>
      <c r="J122" t="s">
        <v>30</v>
      </c>
      <c r="M122" s="33">
        <v>0</v>
      </c>
      <c r="N122" s="33">
        <v>1</v>
      </c>
      <c r="R122" s="29" t="str">
        <f>VLOOKUP(WNBA_TeamSeasons[[#This Row],[Team]],$Y$3:$Y$17,1,FALSE)</f>
        <v>Seattle Storm</v>
      </c>
    </row>
    <row r="123" spans="1:18" x14ac:dyDescent="0.25">
      <c r="A123" s="27">
        <v>2016</v>
      </c>
      <c r="B123" t="s">
        <v>732</v>
      </c>
      <c r="C123" t="s">
        <v>730</v>
      </c>
      <c r="D123" s="27">
        <v>11</v>
      </c>
      <c r="E123" s="27">
        <v>23</v>
      </c>
      <c r="F123" s="24">
        <v>0.32400000000000001</v>
      </c>
      <c r="G123" s="26">
        <v>17</v>
      </c>
      <c r="H123" s="25">
        <v>82.6</v>
      </c>
      <c r="I123" s="25">
        <v>88.2</v>
      </c>
      <c r="M123" s="33">
        <v>0</v>
      </c>
      <c r="N123" s="33">
        <v>0</v>
      </c>
      <c r="R123" s="29" t="str">
        <f>VLOOKUP(WNBA_TeamSeasons[[#This Row],[Team]],$Y$3:$Y$17,1,FALSE)</f>
        <v>Dallas Wings</v>
      </c>
    </row>
    <row r="124" spans="1:18" x14ac:dyDescent="0.25">
      <c r="A124" s="27">
        <v>2016</v>
      </c>
      <c r="B124" t="s">
        <v>733</v>
      </c>
      <c r="C124" t="s">
        <v>730</v>
      </c>
      <c r="D124" s="27">
        <v>7</v>
      </c>
      <c r="E124" s="27">
        <v>27</v>
      </c>
      <c r="F124" s="24">
        <v>0.20599999999999999</v>
      </c>
      <c r="G124" s="26">
        <v>21</v>
      </c>
      <c r="H124" s="25">
        <v>72</v>
      </c>
      <c r="I124" s="25">
        <v>80.2</v>
      </c>
      <c r="M124" s="33">
        <v>0</v>
      </c>
      <c r="N124" s="33">
        <v>0</v>
      </c>
      <c r="R124" s="29" t="s">
        <v>709</v>
      </c>
    </row>
    <row r="125" spans="1:18" x14ac:dyDescent="0.25">
      <c r="A125" s="27">
        <v>2015</v>
      </c>
      <c r="B125" t="s">
        <v>711</v>
      </c>
      <c r="C125" t="s">
        <v>729</v>
      </c>
      <c r="D125" s="27">
        <v>23</v>
      </c>
      <c r="E125" s="27">
        <v>11</v>
      </c>
      <c r="F125" s="24">
        <v>0.67600000000000005</v>
      </c>
      <c r="G125" s="26">
        <v>0</v>
      </c>
      <c r="H125" s="25">
        <v>74.400000000000006</v>
      </c>
      <c r="I125" s="25">
        <v>71.099999999999994</v>
      </c>
      <c r="J125" t="s">
        <v>30</v>
      </c>
      <c r="K125" s="29" t="s">
        <v>30</v>
      </c>
      <c r="L125" s="29" t="s">
        <v>30</v>
      </c>
      <c r="M125" s="33">
        <v>0</v>
      </c>
      <c r="N125" s="33">
        <v>0</v>
      </c>
      <c r="R125" s="29" t="str">
        <f>VLOOKUP(WNBA_TeamSeasons[[#This Row],[Team]],$Y$3:$Y$17,1,FALSE)</f>
        <v>New York Liberty</v>
      </c>
    </row>
    <row r="126" spans="1:18" x14ac:dyDescent="0.25">
      <c r="A126" s="27">
        <v>2015</v>
      </c>
      <c r="B126" t="s">
        <v>714</v>
      </c>
      <c r="C126" t="s">
        <v>729</v>
      </c>
      <c r="D126" s="27">
        <v>21</v>
      </c>
      <c r="E126" s="27">
        <v>13</v>
      </c>
      <c r="F126" s="24">
        <v>0.61799999999999999</v>
      </c>
      <c r="G126" s="26">
        <v>2</v>
      </c>
      <c r="H126" s="25">
        <v>82.9</v>
      </c>
      <c r="I126" s="25">
        <v>78.8</v>
      </c>
      <c r="J126" t="s">
        <v>30</v>
      </c>
      <c r="M126" s="33">
        <v>0</v>
      </c>
      <c r="N126" s="33">
        <v>0</v>
      </c>
      <c r="R126" s="29" t="str">
        <f>VLOOKUP(WNBA_TeamSeasons[[#This Row],[Team]],$Y$3:$Y$17,1,FALSE)</f>
        <v>Chicago Sky</v>
      </c>
    </row>
    <row r="127" spans="1:18" x14ac:dyDescent="0.25">
      <c r="A127" s="27">
        <v>2015</v>
      </c>
      <c r="B127" t="s">
        <v>718</v>
      </c>
      <c r="C127" t="s">
        <v>729</v>
      </c>
      <c r="D127" s="27">
        <v>20</v>
      </c>
      <c r="E127" s="27">
        <v>14</v>
      </c>
      <c r="F127" s="24">
        <v>0.58799999999999997</v>
      </c>
      <c r="G127" s="26">
        <v>3</v>
      </c>
      <c r="H127" s="25">
        <v>77.7</v>
      </c>
      <c r="I127" s="25">
        <v>75.8</v>
      </c>
      <c r="J127" t="s">
        <v>30</v>
      </c>
      <c r="M127" s="33">
        <v>2</v>
      </c>
      <c r="N127" s="33">
        <v>3</v>
      </c>
      <c r="O127" s="29" t="s">
        <v>30</v>
      </c>
      <c r="P127" s="29" t="s">
        <v>30</v>
      </c>
      <c r="R127" s="29" t="str">
        <f>VLOOKUP(WNBA_TeamSeasons[[#This Row],[Team]],$Y$3:$Y$17,1,FALSE)</f>
        <v>Indiana Fever</v>
      </c>
    </row>
    <row r="128" spans="1:18" x14ac:dyDescent="0.25">
      <c r="A128" s="27">
        <v>2015</v>
      </c>
      <c r="B128" t="s">
        <v>716</v>
      </c>
      <c r="C128" t="s">
        <v>729</v>
      </c>
      <c r="D128" s="27">
        <v>18</v>
      </c>
      <c r="E128" s="27">
        <v>16</v>
      </c>
      <c r="F128" s="24">
        <v>0.52900000000000003</v>
      </c>
      <c r="G128" s="26">
        <v>5</v>
      </c>
      <c r="H128" s="25">
        <v>73.599999999999994</v>
      </c>
      <c r="I128" s="25">
        <v>71.2</v>
      </c>
      <c r="J128" t="s">
        <v>30</v>
      </c>
      <c r="M128" s="33">
        <v>0</v>
      </c>
      <c r="N128" s="33">
        <v>0</v>
      </c>
      <c r="R128" s="29" t="str">
        <f>VLOOKUP(WNBA_TeamSeasons[[#This Row],[Team]],$Y$3:$Y$17,1,FALSE)</f>
        <v>Washington Mystics</v>
      </c>
    </row>
    <row r="129" spans="1:18" x14ac:dyDescent="0.25">
      <c r="A129" s="27">
        <v>2015</v>
      </c>
      <c r="B129" t="s">
        <v>719</v>
      </c>
      <c r="C129" t="s">
        <v>729</v>
      </c>
      <c r="D129" s="27">
        <v>15</v>
      </c>
      <c r="E129" s="27">
        <v>19</v>
      </c>
      <c r="F129" s="24">
        <v>0.441</v>
      </c>
      <c r="G129" s="26">
        <v>8</v>
      </c>
      <c r="H129" s="25">
        <v>77.8</v>
      </c>
      <c r="I129" s="25">
        <v>79.8</v>
      </c>
      <c r="M129" s="33">
        <v>0</v>
      </c>
      <c r="N129" s="33">
        <v>0</v>
      </c>
      <c r="R129" s="29" t="str">
        <f>VLOOKUP(WNBA_TeamSeasons[[#This Row],[Team]],$Y$3:$Y$17,1,FALSE)</f>
        <v>Atlanta Dream</v>
      </c>
    </row>
    <row r="130" spans="1:18" x14ac:dyDescent="0.25">
      <c r="A130" s="27">
        <v>2015</v>
      </c>
      <c r="B130" t="s">
        <v>713</v>
      </c>
      <c r="C130" t="s">
        <v>729</v>
      </c>
      <c r="D130" s="27">
        <v>15</v>
      </c>
      <c r="E130" s="27">
        <v>19</v>
      </c>
      <c r="F130" s="24">
        <v>0.441</v>
      </c>
      <c r="G130" s="26">
        <v>8</v>
      </c>
      <c r="H130" s="25">
        <v>75</v>
      </c>
      <c r="I130" s="25">
        <v>76.599999999999994</v>
      </c>
      <c r="M130" s="33">
        <v>0</v>
      </c>
      <c r="N130" s="33">
        <v>0</v>
      </c>
      <c r="R130" s="29" t="str">
        <f>VLOOKUP(WNBA_TeamSeasons[[#This Row],[Team]],$Y$3:$Y$17,1,FALSE)</f>
        <v>Connecticut Sun</v>
      </c>
    </row>
    <row r="131" spans="1:18" x14ac:dyDescent="0.25">
      <c r="A131" s="27">
        <v>2015</v>
      </c>
      <c r="B131" t="s">
        <v>712</v>
      </c>
      <c r="C131" t="s">
        <v>730</v>
      </c>
      <c r="D131" s="27">
        <v>22</v>
      </c>
      <c r="E131" s="27">
        <v>12</v>
      </c>
      <c r="F131" s="24">
        <v>0.64700000000000002</v>
      </c>
      <c r="G131" s="26">
        <v>0</v>
      </c>
      <c r="H131" s="25">
        <v>75.5</v>
      </c>
      <c r="I131" s="25">
        <v>71.7</v>
      </c>
      <c r="J131" t="s">
        <v>30</v>
      </c>
      <c r="K131" s="29" t="s">
        <v>30</v>
      </c>
      <c r="M131" s="33">
        <v>3</v>
      </c>
      <c r="N131" s="33">
        <v>2</v>
      </c>
      <c r="O131" s="29" t="s">
        <v>30</v>
      </c>
      <c r="P131" s="29" t="s">
        <v>30</v>
      </c>
      <c r="Q131" s="29" t="s">
        <v>30</v>
      </c>
      <c r="R131" s="29" t="str">
        <f>VLOOKUP(WNBA_TeamSeasons[[#This Row],[Team]],$Y$3:$Y$17,1,FALSE)</f>
        <v>Minnesota Lynx</v>
      </c>
    </row>
    <row r="132" spans="1:18" x14ac:dyDescent="0.25">
      <c r="A132" s="27">
        <v>2015</v>
      </c>
      <c r="B132" t="s">
        <v>710</v>
      </c>
      <c r="C132" t="s">
        <v>730</v>
      </c>
      <c r="D132" s="27">
        <v>20</v>
      </c>
      <c r="E132" s="27">
        <v>14</v>
      </c>
      <c r="F132" s="24">
        <v>0.58799999999999997</v>
      </c>
      <c r="G132" s="26">
        <v>2</v>
      </c>
      <c r="H132" s="25">
        <v>75.099999999999994</v>
      </c>
      <c r="I132" s="25">
        <v>72.3</v>
      </c>
      <c r="J132" t="s">
        <v>30</v>
      </c>
      <c r="M132" s="33">
        <v>0</v>
      </c>
      <c r="N132" s="33">
        <v>0</v>
      </c>
      <c r="R132" s="29" t="str">
        <f>VLOOKUP(WNBA_TeamSeasons[[#This Row],[Team]],$Y$3:$Y$17,1,FALSE)</f>
        <v>Phoenix Mercury</v>
      </c>
    </row>
    <row r="133" spans="1:18" x14ac:dyDescent="0.25">
      <c r="A133" s="27">
        <v>2015</v>
      </c>
      <c r="B133" t="s">
        <v>734</v>
      </c>
      <c r="C133" t="s">
        <v>730</v>
      </c>
      <c r="D133" s="27">
        <v>18</v>
      </c>
      <c r="E133" s="27">
        <v>16</v>
      </c>
      <c r="F133" s="24">
        <v>0.52900000000000003</v>
      </c>
      <c r="G133" s="26">
        <v>4</v>
      </c>
      <c r="H133" s="25">
        <v>77.7</v>
      </c>
      <c r="I133" s="25">
        <v>77.099999999999994</v>
      </c>
      <c r="J133" t="s">
        <v>30</v>
      </c>
      <c r="M133" s="33">
        <v>0</v>
      </c>
      <c r="N133" s="33">
        <v>0</v>
      </c>
      <c r="R133" s="29" t="s">
        <v>732</v>
      </c>
    </row>
    <row r="134" spans="1:18" x14ac:dyDescent="0.25">
      <c r="A134" s="27">
        <v>2015</v>
      </c>
      <c r="B134" t="s">
        <v>717</v>
      </c>
      <c r="C134" t="s">
        <v>730</v>
      </c>
      <c r="D134" s="27">
        <v>14</v>
      </c>
      <c r="E134" s="27">
        <v>20</v>
      </c>
      <c r="F134" s="24">
        <v>0.41199999999999998</v>
      </c>
      <c r="G134" s="26">
        <v>8</v>
      </c>
      <c r="H134" s="25">
        <v>73.599999999999994</v>
      </c>
      <c r="I134" s="25">
        <v>74.599999999999994</v>
      </c>
      <c r="J134" t="s">
        <v>30</v>
      </c>
      <c r="M134" s="33">
        <v>0</v>
      </c>
      <c r="N134" s="33">
        <v>0</v>
      </c>
      <c r="R134" s="29" t="str">
        <f>VLOOKUP(WNBA_TeamSeasons[[#This Row],[Team]],$Y$3:$Y$17,1,FALSE)</f>
        <v>Los Angeles Sparks</v>
      </c>
    </row>
    <row r="135" spans="1:18" x14ac:dyDescent="0.25">
      <c r="A135" s="27">
        <v>2015</v>
      </c>
      <c r="B135" t="s">
        <v>715</v>
      </c>
      <c r="C135" t="s">
        <v>730</v>
      </c>
      <c r="D135" s="27">
        <v>10</v>
      </c>
      <c r="E135" s="27">
        <v>24</v>
      </c>
      <c r="F135" s="24">
        <v>0.29399999999999998</v>
      </c>
      <c r="G135" s="26">
        <v>12</v>
      </c>
      <c r="H135" s="25">
        <v>70.400000000000006</v>
      </c>
      <c r="I135" s="25">
        <v>76.099999999999994</v>
      </c>
      <c r="M135" s="33">
        <v>0</v>
      </c>
      <c r="N135" s="33">
        <v>0</v>
      </c>
      <c r="R135" s="29" t="str">
        <f>VLOOKUP(WNBA_TeamSeasons[[#This Row],[Team]],$Y$3:$Y$17,1,FALSE)</f>
        <v>Seattle Storm</v>
      </c>
    </row>
    <row r="136" spans="1:18" x14ac:dyDescent="0.25">
      <c r="A136" s="27">
        <v>2015</v>
      </c>
      <c r="B136" t="s">
        <v>733</v>
      </c>
      <c r="C136" t="s">
        <v>730</v>
      </c>
      <c r="D136" s="27">
        <v>8</v>
      </c>
      <c r="E136" s="27">
        <v>26</v>
      </c>
      <c r="F136" s="24">
        <v>0.23499999999999999</v>
      </c>
      <c r="G136" s="26">
        <v>14</v>
      </c>
      <c r="H136" s="25">
        <v>68.099999999999994</v>
      </c>
      <c r="I136" s="25">
        <v>76.7</v>
      </c>
      <c r="M136" s="33">
        <v>0</v>
      </c>
      <c r="N136" s="33">
        <v>0</v>
      </c>
      <c r="R136" s="29" t="s">
        <v>709</v>
      </c>
    </row>
    <row r="137" spans="1:18" x14ac:dyDescent="0.25">
      <c r="A137" s="27">
        <v>2014</v>
      </c>
      <c r="B137" t="s">
        <v>719</v>
      </c>
      <c r="C137" t="s">
        <v>729</v>
      </c>
      <c r="D137" s="27">
        <v>19</v>
      </c>
      <c r="E137" s="27">
        <v>15</v>
      </c>
      <c r="F137" s="24">
        <v>0.55900000000000005</v>
      </c>
      <c r="G137" s="26">
        <v>0</v>
      </c>
      <c r="H137" s="25">
        <v>80.599999999999994</v>
      </c>
      <c r="I137" s="25">
        <v>78.5</v>
      </c>
      <c r="J137" t="s">
        <v>30</v>
      </c>
      <c r="K137" s="29" t="s">
        <v>30</v>
      </c>
      <c r="M137" s="33">
        <v>0</v>
      </c>
      <c r="N137" s="33">
        <v>0</v>
      </c>
      <c r="R137" s="29" t="str">
        <f>VLOOKUP(WNBA_TeamSeasons[[#This Row],[Team]],$Y$3:$Y$17,1,FALSE)</f>
        <v>Atlanta Dream</v>
      </c>
    </row>
    <row r="138" spans="1:18" x14ac:dyDescent="0.25">
      <c r="A138" s="27">
        <v>2014</v>
      </c>
      <c r="B138" t="s">
        <v>718</v>
      </c>
      <c r="C138" t="s">
        <v>729</v>
      </c>
      <c r="D138" s="27">
        <v>16</v>
      </c>
      <c r="E138" s="27">
        <v>18</v>
      </c>
      <c r="F138" s="24">
        <v>0.47099999999999997</v>
      </c>
      <c r="G138" s="26">
        <v>3</v>
      </c>
      <c r="H138" s="25">
        <v>74.099999999999994</v>
      </c>
      <c r="I138" s="25">
        <v>75.099999999999994</v>
      </c>
      <c r="J138" t="s">
        <v>30</v>
      </c>
      <c r="M138" s="33">
        <v>0</v>
      </c>
      <c r="N138" s="33">
        <v>0</v>
      </c>
      <c r="R138" s="29" t="str">
        <f>VLOOKUP(WNBA_TeamSeasons[[#This Row],[Team]],$Y$3:$Y$17,1,FALSE)</f>
        <v>Indiana Fever</v>
      </c>
    </row>
    <row r="139" spans="1:18" x14ac:dyDescent="0.25">
      <c r="A139" s="27">
        <v>2014</v>
      </c>
      <c r="B139" t="s">
        <v>716</v>
      </c>
      <c r="C139" t="s">
        <v>729</v>
      </c>
      <c r="D139" s="27">
        <v>16</v>
      </c>
      <c r="E139" s="27">
        <v>18</v>
      </c>
      <c r="F139" s="24">
        <v>0.47099999999999997</v>
      </c>
      <c r="G139" s="26">
        <v>3</v>
      </c>
      <c r="H139" s="25">
        <v>74.3</v>
      </c>
      <c r="I139" s="25">
        <v>73.8</v>
      </c>
      <c r="J139" t="s">
        <v>30</v>
      </c>
      <c r="M139" s="33">
        <v>0</v>
      </c>
      <c r="N139" s="33">
        <v>0</v>
      </c>
      <c r="R139" s="29" t="str">
        <f>VLOOKUP(WNBA_TeamSeasons[[#This Row],[Team]],$Y$3:$Y$17,1,FALSE)</f>
        <v>Washington Mystics</v>
      </c>
    </row>
    <row r="140" spans="1:18" x14ac:dyDescent="0.25">
      <c r="A140" s="27">
        <v>2014</v>
      </c>
      <c r="B140" t="s">
        <v>714</v>
      </c>
      <c r="C140" t="s">
        <v>729</v>
      </c>
      <c r="D140" s="27">
        <v>15</v>
      </c>
      <c r="E140" s="27">
        <v>19</v>
      </c>
      <c r="F140" s="24">
        <v>0.441</v>
      </c>
      <c r="G140" s="26">
        <v>4</v>
      </c>
      <c r="H140" s="25">
        <v>76.2</v>
      </c>
      <c r="I140" s="25">
        <v>78.2</v>
      </c>
      <c r="J140" t="s">
        <v>30</v>
      </c>
      <c r="M140" s="33">
        <v>0</v>
      </c>
      <c r="N140" s="33">
        <v>3</v>
      </c>
      <c r="O140" s="29" t="s">
        <v>30</v>
      </c>
      <c r="P140" s="29" t="s">
        <v>30</v>
      </c>
      <c r="R140" s="29" t="str">
        <f>VLOOKUP(WNBA_TeamSeasons[[#This Row],[Team]],$Y$3:$Y$17,1,FALSE)</f>
        <v>Chicago Sky</v>
      </c>
    </row>
    <row r="141" spans="1:18" x14ac:dyDescent="0.25">
      <c r="A141" s="27">
        <v>2014</v>
      </c>
      <c r="B141" t="s">
        <v>711</v>
      </c>
      <c r="C141" t="s">
        <v>729</v>
      </c>
      <c r="D141" s="27">
        <v>15</v>
      </c>
      <c r="E141" s="27">
        <v>19</v>
      </c>
      <c r="F141" s="24">
        <v>0.441</v>
      </c>
      <c r="G141" s="26">
        <v>4</v>
      </c>
      <c r="H141" s="25">
        <v>72.099999999999994</v>
      </c>
      <c r="I141" s="25">
        <v>75.2</v>
      </c>
      <c r="M141" s="33">
        <v>0</v>
      </c>
      <c r="N141" s="33">
        <v>0</v>
      </c>
      <c r="R141" s="29" t="str">
        <f>VLOOKUP(WNBA_TeamSeasons[[#This Row],[Team]],$Y$3:$Y$17,1,FALSE)</f>
        <v>New York Liberty</v>
      </c>
    </row>
    <row r="142" spans="1:18" x14ac:dyDescent="0.25">
      <c r="A142" s="27">
        <v>2014</v>
      </c>
      <c r="B142" t="s">
        <v>713</v>
      </c>
      <c r="C142" t="s">
        <v>729</v>
      </c>
      <c r="D142" s="27">
        <v>13</v>
      </c>
      <c r="E142" s="27">
        <v>21</v>
      </c>
      <c r="F142" s="24">
        <v>0.38200000000000001</v>
      </c>
      <c r="G142" s="26">
        <v>6</v>
      </c>
      <c r="H142" s="25">
        <v>75.7</v>
      </c>
      <c r="I142" s="25">
        <v>77.5</v>
      </c>
      <c r="M142" s="33">
        <v>0</v>
      </c>
      <c r="N142" s="33">
        <v>0</v>
      </c>
      <c r="R142" s="29" t="str">
        <f>VLOOKUP(WNBA_TeamSeasons[[#This Row],[Team]],$Y$3:$Y$17,1,FALSE)</f>
        <v>Connecticut Sun</v>
      </c>
    </row>
    <row r="143" spans="1:18" x14ac:dyDescent="0.25">
      <c r="A143" s="27">
        <v>2014</v>
      </c>
      <c r="B143" t="s">
        <v>710</v>
      </c>
      <c r="C143" t="s">
        <v>730</v>
      </c>
      <c r="D143" s="27">
        <v>29</v>
      </c>
      <c r="E143" s="27">
        <v>5</v>
      </c>
      <c r="F143" s="24">
        <v>0.85299999999999998</v>
      </c>
      <c r="G143" s="26">
        <v>0</v>
      </c>
      <c r="H143" s="25">
        <v>83.5</v>
      </c>
      <c r="I143" s="25">
        <v>74.099999999999994</v>
      </c>
      <c r="J143" t="s">
        <v>30</v>
      </c>
      <c r="K143" s="29" t="s">
        <v>30</v>
      </c>
      <c r="L143" s="29" t="s">
        <v>30</v>
      </c>
      <c r="M143" s="33">
        <v>3</v>
      </c>
      <c r="N143" s="33">
        <v>0</v>
      </c>
      <c r="O143" s="29" t="s">
        <v>30</v>
      </c>
      <c r="P143" s="29" t="s">
        <v>30</v>
      </c>
      <c r="Q143" s="29" t="s">
        <v>30</v>
      </c>
      <c r="R143" s="29" t="str">
        <f>VLOOKUP(WNBA_TeamSeasons[[#This Row],[Team]],$Y$3:$Y$17,1,FALSE)</f>
        <v>Phoenix Mercury</v>
      </c>
    </row>
    <row r="144" spans="1:18" x14ac:dyDescent="0.25">
      <c r="A144" s="27">
        <v>2014</v>
      </c>
      <c r="B144" t="s">
        <v>712</v>
      </c>
      <c r="C144" t="s">
        <v>730</v>
      </c>
      <c r="D144" s="27">
        <v>25</v>
      </c>
      <c r="E144" s="27">
        <v>9</v>
      </c>
      <c r="F144" s="24">
        <v>0.73499999999999999</v>
      </c>
      <c r="G144" s="26">
        <v>4</v>
      </c>
      <c r="H144" s="25">
        <v>81.599999999999994</v>
      </c>
      <c r="I144" s="25">
        <v>77.2</v>
      </c>
      <c r="J144" t="s">
        <v>30</v>
      </c>
      <c r="M144" s="33">
        <v>0</v>
      </c>
      <c r="N144" s="33">
        <v>0</v>
      </c>
      <c r="R144" s="29" t="str">
        <f>VLOOKUP(WNBA_TeamSeasons[[#This Row],[Team]],$Y$3:$Y$17,1,FALSE)</f>
        <v>Minnesota Lynx</v>
      </c>
    </row>
    <row r="145" spans="1:18" x14ac:dyDescent="0.25">
      <c r="A145" s="27">
        <v>2014</v>
      </c>
      <c r="B145" t="s">
        <v>717</v>
      </c>
      <c r="C145" t="s">
        <v>730</v>
      </c>
      <c r="D145" s="27">
        <v>16</v>
      </c>
      <c r="E145" s="27">
        <v>18</v>
      </c>
      <c r="F145" s="24">
        <v>0.47099999999999997</v>
      </c>
      <c r="G145" s="26">
        <v>13</v>
      </c>
      <c r="H145" s="25">
        <v>77.400000000000006</v>
      </c>
      <c r="I145" s="25">
        <v>77.599999999999994</v>
      </c>
      <c r="J145" t="s">
        <v>30</v>
      </c>
      <c r="M145" s="33">
        <v>0</v>
      </c>
      <c r="N145" s="33">
        <v>0</v>
      </c>
      <c r="R145" s="29" t="str">
        <f>VLOOKUP(WNBA_TeamSeasons[[#This Row],[Team]],$Y$3:$Y$17,1,FALSE)</f>
        <v>Los Angeles Sparks</v>
      </c>
    </row>
    <row r="146" spans="1:18" x14ac:dyDescent="0.25">
      <c r="A146" s="27">
        <v>2014</v>
      </c>
      <c r="B146" t="s">
        <v>733</v>
      </c>
      <c r="C146" t="s">
        <v>730</v>
      </c>
      <c r="D146" s="27">
        <v>16</v>
      </c>
      <c r="E146" s="27">
        <v>18</v>
      </c>
      <c r="F146" s="24">
        <v>0.47099999999999997</v>
      </c>
      <c r="G146" s="26">
        <v>13</v>
      </c>
      <c r="H146" s="25">
        <v>77.8</v>
      </c>
      <c r="I146" s="25">
        <v>79.599999999999994</v>
      </c>
      <c r="J146" t="s">
        <v>30</v>
      </c>
      <c r="M146" s="33">
        <v>0</v>
      </c>
      <c r="N146" s="33">
        <v>0</v>
      </c>
      <c r="R146" s="29" t="s">
        <v>709</v>
      </c>
    </row>
    <row r="147" spans="1:18" x14ac:dyDescent="0.25">
      <c r="A147" s="27">
        <v>2014</v>
      </c>
      <c r="B147" t="s">
        <v>715</v>
      </c>
      <c r="C147" t="s">
        <v>730</v>
      </c>
      <c r="D147" s="27">
        <v>12</v>
      </c>
      <c r="E147" s="27">
        <v>22</v>
      </c>
      <c r="F147" s="24">
        <v>0.35299999999999998</v>
      </c>
      <c r="G147" s="26">
        <v>17</v>
      </c>
      <c r="H147" s="25">
        <v>70.900000000000006</v>
      </c>
      <c r="I147" s="25">
        <v>75.3</v>
      </c>
      <c r="M147" s="33">
        <v>0</v>
      </c>
      <c r="N147" s="33">
        <v>0</v>
      </c>
      <c r="R147" s="29" t="str">
        <f>VLOOKUP(WNBA_TeamSeasons[[#This Row],[Team]],$Y$3:$Y$17,1,FALSE)</f>
        <v>Seattle Storm</v>
      </c>
    </row>
    <row r="148" spans="1:18" x14ac:dyDescent="0.25">
      <c r="A148" s="27">
        <v>2014</v>
      </c>
      <c r="B148" t="s">
        <v>734</v>
      </c>
      <c r="C148" t="s">
        <v>730</v>
      </c>
      <c r="D148" s="27">
        <v>12</v>
      </c>
      <c r="E148" s="27">
        <v>22</v>
      </c>
      <c r="F148" s="24">
        <v>0.35299999999999998</v>
      </c>
      <c r="G148" s="26">
        <v>17</v>
      </c>
      <c r="H148" s="25">
        <v>81.2</v>
      </c>
      <c r="I148" s="25">
        <v>83.3</v>
      </c>
      <c r="M148" s="33">
        <v>0</v>
      </c>
      <c r="N148" s="33">
        <v>0</v>
      </c>
      <c r="R148" s="29" t="s">
        <v>732</v>
      </c>
    </row>
    <row r="149" spans="1:18" x14ac:dyDescent="0.25">
      <c r="A149" s="27">
        <v>2013</v>
      </c>
      <c r="B149" t="s">
        <v>714</v>
      </c>
      <c r="C149" t="s">
        <v>729</v>
      </c>
      <c r="D149" s="27">
        <v>24</v>
      </c>
      <c r="E149" s="27">
        <v>10</v>
      </c>
      <c r="F149" s="24">
        <v>0.70599999999999996</v>
      </c>
      <c r="G149" s="26">
        <v>0</v>
      </c>
      <c r="H149" s="25">
        <v>79.400000000000006</v>
      </c>
      <c r="I149" s="25">
        <v>73.599999999999994</v>
      </c>
      <c r="J149" t="s">
        <v>30</v>
      </c>
      <c r="K149" s="29" t="s">
        <v>30</v>
      </c>
      <c r="M149" s="33">
        <v>0</v>
      </c>
      <c r="N149" s="33">
        <v>0</v>
      </c>
      <c r="R149" s="29" t="str">
        <f>VLOOKUP(WNBA_TeamSeasons[[#This Row],[Team]],$Y$3:$Y$17,1,FALSE)</f>
        <v>Chicago Sky</v>
      </c>
    </row>
    <row r="150" spans="1:18" x14ac:dyDescent="0.25">
      <c r="A150" s="27">
        <v>2013</v>
      </c>
      <c r="B150" t="s">
        <v>719</v>
      </c>
      <c r="C150" t="s">
        <v>729</v>
      </c>
      <c r="D150" s="27">
        <v>17</v>
      </c>
      <c r="E150" s="27">
        <v>17</v>
      </c>
      <c r="F150" s="24">
        <v>0.5</v>
      </c>
      <c r="G150" s="26">
        <v>7</v>
      </c>
      <c r="H150" s="25">
        <v>76.900000000000006</v>
      </c>
      <c r="I150" s="25">
        <v>75.400000000000006</v>
      </c>
      <c r="J150" t="s">
        <v>30</v>
      </c>
      <c r="M150" s="33">
        <v>0</v>
      </c>
      <c r="N150" s="33">
        <v>3</v>
      </c>
      <c r="O150" s="29" t="s">
        <v>30</v>
      </c>
      <c r="P150" s="29" t="s">
        <v>30</v>
      </c>
      <c r="R150" s="29" t="str">
        <f>VLOOKUP(WNBA_TeamSeasons[[#This Row],[Team]],$Y$3:$Y$17,1,FALSE)</f>
        <v>Atlanta Dream</v>
      </c>
    </row>
    <row r="151" spans="1:18" x14ac:dyDescent="0.25">
      <c r="A151" s="27">
        <v>2013</v>
      </c>
      <c r="B151" t="s">
        <v>716</v>
      </c>
      <c r="C151" t="s">
        <v>729</v>
      </c>
      <c r="D151" s="27">
        <v>17</v>
      </c>
      <c r="E151" s="27">
        <v>17</v>
      </c>
      <c r="F151" s="24">
        <v>0.5</v>
      </c>
      <c r="G151" s="26">
        <v>7</v>
      </c>
      <c r="H151" s="25">
        <v>75.5</v>
      </c>
      <c r="I151" s="25">
        <v>75.400000000000006</v>
      </c>
      <c r="J151" t="s">
        <v>30</v>
      </c>
      <c r="M151" s="33">
        <v>0</v>
      </c>
      <c r="N151" s="33">
        <v>0</v>
      </c>
      <c r="R151" s="29" t="str">
        <f>VLOOKUP(WNBA_TeamSeasons[[#This Row],[Team]],$Y$3:$Y$17,1,FALSE)</f>
        <v>Washington Mystics</v>
      </c>
    </row>
    <row r="152" spans="1:18" x14ac:dyDescent="0.25">
      <c r="A152" s="27">
        <v>2013</v>
      </c>
      <c r="B152" t="s">
        <v>718</v>
      </c>
      <c r="C152" t="s">
        <v>729</v>
      </c>
      <c r="D152" s="27">
        <v>16</v>
      </c>
      <c r="E152" s="27">
        <v>18</v>
      </c>
      <c r="F152" s="24">
        <v>0.47099999999999997</v>
      </c>
      <c r="G152" s="26">
        <v>8</v>
      </c>
      <c r="H152" s="25">
        <v>70.8</v>
      </c>
      <c r="I152" s="25">
        <v>70.5</v>
      </c>
      <c r="J152" t="s">
        <v>30</v>
      </c>
      <c r="M152" s="33">
        <v>0</v>
      </c>
      <c r="N152" s="33">
        <v>0</v>
      </c>
      <c r="R152" s="29" t="str">
        <f>VLOOKUP(WNBA_TeamSeasons[[#This Row],[Team]],$Y$3:$Y$17,1,FALSE)</f>
        <v>Indiana Fever</v>
      </c>
    </row>
    <row r="153" spans="1:18" x14ac:dyDescent="0.25">
      <c r="A153" s="27">
        <v>2013</v>
      </c>
      <c r="B153" t="s">
        <v>711</v>
      </c>
      <c r="C153" t="s">
        <v>729</v>
      </c>
      <c r="D153" s="27">
        <v>11</v>
      </c>
      <c r="E153" s="27">
        <v>23</v>
      </c>
      <c r="F153" s="24">
        <v>0.32400000000000001</v>
      </c>
      <c r="G153" s="26">
        <v>13</v>
      </c>
      <c r="H153" s="25">
        <v>69.599999999999994</v>
      </c>
      <c r="I153" s="25">
        <v>77</v>
      </c>
      <c r="M153" s="33">
        <v>0</v>
      </c>
      <c r="N153" s="33">
        <v>0</v>
      </c>
      <c r="R153" s="29" t="str">
        <f>VLOOKUP(WNBA_TeamSeasons[[#This Row],[Team]],$Y$3:$Y$17,1,FALSE)</f>
        <v>New York Liberty</v>
      </c>
    </row>
    <row r="154" spans="1:18" x14ac:dyDescent="0.25">
      <c r="A154" s="27">
        <v>2013</v>
      </c>
      <c r="B154" t="s">
        <v>713</v>
      </c>
      <c r="C154" t="s">
        <v>729</v>
      </c>
      <c r="D154" s="27">
        <v>10</v>
      </c>
      <c r="E154" s="27">
        <v>24</v>
      </c>
      <c r="F154" s="24">
        <v>0.29399999999999998</v>
      </c>
      <c r="G154" s="26">
        <v>14</v>
      </c>
      <c r="H154" s="25">
        <v>71</v>
      </c>
      <c r="I154" s="25">
        <v>76.900000000000006</v>
      </c>
      <c r="M154" s="33">
        <v>0</v>
      </c>
      <c r="N154" s="33">
        <v>0</v>
      </c>
      <c r="R154" s="29" t="str">
        <f>VLOOKUP(WNBA_TeamSeasons[[#This Row],[Team]],$Y$3:$Y$17,1,FALSE)</f>
        <v>Connecticut Sun</v>
      </c>
    </row>
    <row r="155" spans="1:18" x14ac:dyDescent="0.25">
      <c r="A155" s="27">
        <v>2013</v>
      </c>
      <c r="B155" t="s">
        <v>712</v>
      </c>
      <c r="C155" t="s">
        <v>730</v>
      </c>
      <c r="D155" s="27">
        <v>26</v>
      </c>
      <c r="E155" s="27">
        <v>8</v>
      </c>
      <c r="F155" s="24">
        <v>0.76500000000000001</v>
      </c>
      <c r="G155" s="26">
        <v>0</v>
      </c>
      <c r="H155" s="25">
        <v>82.9</v>
      </c>
      <c r="I155" s="25">
        <v>73.5</v>
      </c>
      <c r="J155" t="s">
        <v>30</v>
      </c>
      <c r="K155" s="29" t="s">
        <v>30</v>
      </c>
      <c r="L155" s="29" t="s">
        <v>30</v>
      </c>
      <c r="M155" s="33">
        <v>3</v>
      </c>
      <c r="N155" s="33">
        <v>0</v>
      </c>
      <c r="O155" s="29" t="s">
        <v>30</v>
      </c>
      <c r="P155" s="29" t="s">
        <v>30</v>
      </c>
      <c r="Q155" s="29" t="s">
        <v>30</v>
      </c>
      <c r="R155" s="29" t="str">
        <f>VLOOKUP(WNBA_TeamSeasons[[#This Row],[Team]],$Y$3:$Y$17,1,FALSE)</f>
        <v>Minnesota Lynx</v>
      </c>
    </row>
    <row r="156" spans="1:18" x14ac:dyDescent="0.25">
      <c r="A156" s="27">
        <v>2013</v>
      </c>
      <c r="B156" t="s">
        <v>717</v>
      </c>
      <c r="C156" t="s">
        <v>730</v>
      </c>
      <c r="D156" s="27">
        <v>24</v>
      </c>
      <c r="E156" s="27">
        <v>10</v>
      </c>
      <c r="F156" s="24">
        <v>0.70599999999999996</v>
      </c>
      <c r="G156" s="26">
        <v>2</v>
      </c>
      <c r="H156" s="25">
        <v>81.900000000000006</v>
      </c>
      <c r="I156" s="25">
        <v>75</v>
      </c>
      <c r="J156" t="s">
        <v>30</v>
      </c>
      <c r="M156" s="33">
        <v>0</v>
      </c>
      <c r="N156" s="33">
        <v>0</v>
      </c>
      <c r="R156" s="29" t="str">
        <f>VLOOKUP(WNBA_TeamSeasons[[#This Row],[Team]],$Y$3:$Y$17,1,FALSE)</f>
        <v>Los Angeles Sparks</v>
      </c>
    </row>
    <row r="157" spans="1:18" x14ac:dyDescent="0.25">
      <c r="A157" s="27">
        <v>2013</v>
      </c>
      <c r="B157" t="s">
        <v>710</v>
      </c>
      <c r="C157" t="s">
        <v>730</v>
      </c>
      <c r="D157" s="27">
        <v>19</v>
      </c>
      <c r="E157" s="27">
        <v>15</v>
      </c>
      <c r="F157" s="24">
        <v>0.55900000000000005</v>
      </c>
      <c r="G157" s="26">
        <v>7</v>
      </c>
      <c r="H157" s="25">
        <v>79.7</v>
      </c>
      <c r="I157" s="25">
        <v>80.3</v>
      </c>
      <c r="J157" t="s">
        <v>30</v>
      </c>
      <c r="M157" s="33">
        <v>0</v>
      </c>
      <c r="N157" s="33">
        <v>0</v>
      </c>
      <c r="R157" s="29" t="str">
        <f>VLOOKUP(WNBA_TeamSeasons[[#This Row],[Team]],$Y$3:$Y$17,1,FALSE)</f>
        <v>Phoenix Mercury</v>
      </c>
    </row>
    <row r="158" spans="1:18" x14ac:dyDescent="0.25">
      <c r="A158" s="27">
        <v>2013</v>
      </c>
      <c r="B158" t="s">
        <v>715</v>
      </c>
      <c r="C158" t="s">
        <v>730</v>
      </c>
      <c r="D158" s="27">
        <v>17</v>
      </c>
      <c r="E158" s="27">
        <v>17</v>
      </c>
      <c r="F158" s="24">
        <v>0.5</v>
      </c>
      <c r="G158" s="26">
        <v>9</v>
      </c>
      <c r="H158" s="25">
        <v>70.900000000000006</v>
      </c>
      <c r="I158" s="25">
        <v>73.3</v>
      </c>
      <c r="J158" t="s">
        <v>30</v>
      </c>
      <c r="M158" s="33">
        <v>0</v>
      </c>
      <c r="N158" s="33">
        <v>0</v>
      </c>
      <c r="R158" s="29" t="str">
        <f>VLOOKUP(WNBA_TeamSeasons[[#This Row],[Team]],$Y$3:$Y$17,1,FALSE)</f>
        <v>Seattle Storm</v>
      </c>
    </row>
    <row r="159" spans="1:18" x14ac:dyDescent="0.25">
      <c r="A159" s="27">
        <v>2013</v>
      </c>
      <c r="B159" t="s">
        <v>721</v>
      </c>
      <c r="C159" t="s">
        <v>730</v>
      </c>
      <c r="D159" s="27">
        <v>12</v>
      </c>
      <c r="E159" s="27">
        <v>22</v>
      </c>
      <c r="F159" s="24">
        <v>0.35299999999999998</v>
      </c>
      <c r="G159" s="26">
        <v>14</v>
      </c>
      <c r="H159" s="25">
        <v>72.099999999999994</v>
      </c>
      <c r="I159" s="25">
        <v>77.900000000000006</v>
      </c>
      <c r="M159" s="33">
        <v>0</v>
      </c>
      <c r="N159" s="33">
        <v>0</v>
      </c>
      <c r="R159" s="29" t="s">
        <v>709</v>
      </c>
    </row>
    <row r="160" spans="1:18" x14ac:dyDescent="0.25">
      <c r="A160" s="27">
        <v>2013</v>
      </c>
      <c r="B160" t="s">
        <v>734</v>
      </c>
      <c r="C160" t="s">
        <v>730</v>
      </c>
      <c r="D160" s="27">
        <v>11</v>
      </c>
      <c r="E160" s="27">
        <v>23</v>
      </c>
      <c r="F160" s="24">
        <v>0.32400000000000001</v>
      </c>
      <c r="G160" s="26">
        <v>15</v>
      </c>
      <c r="H160" s="25">
        <v>77</v>
      </c>
      <c r="I160" s="25">
        <v>79.2</v>
      </c>
      <c r="M160" s="33">
        <v>0</v>
      </c>
      <c r="N160" s="33">
        <v>0</v>
      </c>
      <c r="R160" s="29" t="s">
        <v>732</v>
      </c>
    </row>
    <row r="161" spans="1:18" x14ac:dyDescent="0.25">
      <c r="A161" s="27">
        <v>2012</v>
      </c>
      <c r="B161" t="s">
        <v>713</v>
      </c>
      <c r="C161" t="s">
        <v>729</v>
      </c>
      <c r="D161" s="27">
        <v>25</v>
      </c>
      <c r="E161" s="27">
        <v>9</v>
      </c>
      <c r="F161" s="24">
        <v>0.73499999999999999</v>
      </c>
      <c r="G161" s="26">
        <v>0</v>
      </c>
      <c r="H161" s="25">
        <v>81.599999999999994</v>
      </c>
      <c r="I161" s="25">
        <v>77.400000000000006</v>
      </c>
      <c r="J161" t="s">
        <v>30</v>
      </c>
      <c r="K161" s="29" t="s">
        <v>30</v>
      </c>
      <c r="M161" s="33">
        <v>0</v>
      </c>
      <c r="N161" s="33">
        <v>0</v>
      </c>
      <c r="R161" s="29" t="str">
        <f>VLOOKUP(WNBA_TeamSeasons[[#This Row],[Team]],$Y$3:$Y$17,1,FALSE)</f>
        <v>Connecticut Sun</v>
      </c>
    </row>
    <row r="162" spans="1:18" x14ac:dyDescent="0.25">
      <c r="A162" s="27">
        <v>2012</v>
      </c>
      <c r="B162" t="s">
        <v>718</v>
      </c>
      <c r="C162" t="s">
        <v>729</v>
      </c>
      <c r="D162" s="27">
        <v>22</v>
      </c>
      <c r="E162" s="27">
        <v>12</v>
      </c>
      <c r="F162" s="24">
        <v>0.64700000000000002</v>
      </c>
      <c r="G162" s="26">
        <v>3</v>
      </c>
      <c r="H162" s="25">
        <v>78.3</v>
      </c>
      <c r="I162" s="25">
        <v>72.3</v>
      </c>
      <c r="J162" t="s">
        <v>30</v>
      </c>
      <c r="M162" s="33">
        <v>3</v>
      </c>
      <c r="N162" s="33">
        <v>1</v>
      </c>
      <c r="O162" s="29" t="s">
        <v>30</v>
      </c>
      <c r="P162" s="29" t="s">
        <v>30</v>
      </c>
      <c r="Q162" s="29" t="s">
        <v>30</v>
      </c>
      <c r="R162" s="29" t="str">
        <f>VLOOKUP(WNBA_TeamSeasons[[#This Row],[Team]],$Y$3:$Y$17,1,FALSE)</f>
        <v>Indiana Fever</v>
      </c>
    </row>
    <row r="163" spans="1:18" x14ac:dyDescent="0.25">
      <c r="A163" s="27">
        <v>2012</v>
      </c>
      <c r="B163" t="s">
        <v>719</v>
      </c>
      <c r="C163" t="s">
        <v>729</v>
      </c>
      <c r="D163" s="27">
        <v>19</v>
      </c>
      <c r="E163" s="27">
        <v>15</v>
      </c>
      <c r="F163" s="24">
        <v>0.55900000000000005</v>
      </c>
      <c r="G163" s="26">
        <v>6</v>
      </c>
      <c r="H163" s="25">
        <v>78.599999999999994</v>
      </c>
      <c r="I163" s="25">
        <v>75.8</v>
      </c>
      <c r="J163" t="s">
        <v>30</v>
      </c>
      <c r="M163" s="33">
        <v>0</v>
      </c>
      <c r="N163" s="33">
        <v>0</v>
      </c>
      <c r="R163" s="29" t="str">
        <f>VLOOKUP(WNBA_TeamSeasons[[#This Row],[Team]],$Y$3:$Y$17,1,FALSE)</f>
        <v>Atlanta Dream</v>
      </c>
    </row>
    <row r="164" spans="1:18" x14ac:dyDescent="0.25">
      <c r="A164" s="27">
        <v>2012</v>
      </c>
      <c r="B164" t="s">
        <v>711</v>
      </c>
      <c r="C164" t="s">
        <v>729</v>
      </c>
      <c r="D164" s="27">
        <v>15</v>
      </c>
      <c r="E164" s="27">
        <v>19</v>
      </c>
      <c r="F164" s="24">
        <v>0.441</v>
      </c>
      <c r="G164" s="26">
        <v>10</v>
      </c>
      <c r="H164" s="25">
        <v>73.099999999999994</v>
      </c>
      <c r="I164" s="25">
        <v>77.2</v>
      </c>
      <c r="J164" t="s">
        <v>30</v>
      </c>
      <c r="M164" s="33">
        <v>0</v>
      </c>
      <c r="N164" s="33">
        <v>0</v>
      </c>
      <c r="R164" s="29" t="str">
        <f>VLOOKUP(WNBA_TeamSeasons[[#This Row],[Team]],$Y$3:$Y$17,1,FALSE)</f>
        <v>New York Liberty</v>
      </c>
    </row>
    <row r="165" spans="1:18" x14ac:dyDescent="0.25">
      <c r="A165" s="27">
        <v>2012</v>
      </c>
      <c r="B165" t="s">
        <v>714</v>
      </c>
      <c r="C165" t="s">
        <v>729</v>
      </c>
      <c r="D165" s="27">
        <v>14</v>
      </c>
      <c r="E165" s="27">
        <v>20</v>
      </c>
      <c r="F165" s="24">
        <v>0.41199999999999998</v>
      </c>
      <c r="G165" s="26">
        <v>11</v>
      </c>
      <c r="H165" s="25">
        <v>75.2</v>
      </c>
      <c r="I165" s="25">
        <v>75.5</v>
      </c>
      <c r="M165" s="33">
        <v>0</v>
      </c>
      <c r="N165" s="33">
        <v>0</v>
      </c>
      <c r="R165" s="29" t="str">
        <f>VLOOKUP(WNBA_TeamSeasons[[#This Row],[Team]],$Y$3:$Y$17,1,FALSE)</f>
        <v>Chicago Sky</v>
      </c>
    </row>
    <row r="166" spans="1:18" x14ac:dyDescent="0.25">
      <c r="A166" s="27">
        <v>2012</v>
      </c>
      <c r="B166" t="s">
        <v>716</v>
      </c>
      <c r="C166" t="s">
        <v>729</v>
      </c>
      <c r="D166" s="27">
        <v>5</v>
      </c>
      <c r="E166" s="27">
        <v>29</v>
      </c>
      <c r="F166" s="24">
        <v>0.14699999999999999</v>
      </c>
      <c r="G166" s="26">
        <v>20</v>
      </c>
      <c r="H166" s="25">
        <v>68.599999999999994</v>
      </c>
      <c r="I166" s="25">
        <v>78.3</v>
      </c>
      <c r="M166" s="33">
        <v>0</v>
      </c>
      <c r="N166" s="33">
        <v>0</v>
      </c>
      <c r="R166" s="29" t="str">
        <f>VLOOKUP(WNBA_TeamSeasons[[#This Row],[Team]],$Y$3:$Y$17,1,FALSE)</f>
        <v>Washington Mystics</v>
      </c>
    </row>
    <row r="167" spans="1:18" x14ac:dyDescent="0.25">
      <c r="A167" s="27">
        <v>2012</v>
      </c>
      <c r="B167" t="s">
        <v>712</v>
      </c>
      <c r="C167" t="s">
        <v>730</v>
      </c>
      <c r="D167" s="27">
        <v>27</v>
      </c>
      <c r="E167" s="27">
        <v>7</v>
      </c>
      <c r="F167" s="24">
        <v>0.79400000000000004</v>
      </c>
      <c r="G167" s="26">
        <v>0</v>
      </c>
      <c r="H167" s="25">
        <v>86</v>
      </c>
      <c r="I167" s="25">
        <v>76.2</v>
      </c>
      <c r="J167" t="s">
        <v>30</v>
      </c>
      <c r="K167" s="29" t="s">
        <v>30</v>
      </c>
      <c r="L167" s="29" t="s">
        <v>30</v>
      </c>
      <c r="M167" s="33">
        <v>1</v>
      </c>
      <c r="N167" s="33">
        <v>3</v>
      </c>
      <c r="O167" s="29" t="s">
        <v>30</v>
      </c>
      <c r="P167" s="29" t="s">
        <v>30</v>
      </c>
      <c r="R167" s="29" t="str">
        <f>VLOOKUP(WNBA_TeamSeasons[[#This Row],[Team]],$Y$3:$Y$17,1,FALSE)</f>
        <v>Minnesota Lynx</v>
      </c>
    </row>
    <row r="168" spans="1:18" x14ac:dyDescent="0.25">
      <c r="A168" s="27">
        <v>2012</v>
      </c>
      <c r="B168" t="s">
        <v>717</v>
      </c>
      <c r="C168" t="s">
        <v>730</v>
      </c>
      <c r="D168" s="27">
        <v>24</v>
      </c>
      <c r="E168" s="27">
        <v>10</v>
      </c>
      <c r="F168" s="24">
        <v>0.70599999999999996</v>
      </c>
      <c r="G168" s="26">
        <v>3</v>
      </c>
      <c r="H168" s="25">
        <v>84</v>
      </c>
      <c r="I168" s="25">
        <v>78.3</v>
      </c>
      <c r="J168" t="s">
        <v>30</v>
      </c>
      <c r="M168" s="33">
        <v>0</v>
      </c>
      <c r="N168" s="33">
        <v>0</v>
      </c>
      <c r="R168" s="29" t="str">
        <f>VLOOKUP(WNBA_TeamSeasons[[#This Row],[Team]],$Y$3:$Y$17,1,FALSE)</f>
        <v>Los Angeles Sparks</v>
      </c>
    </row>
    <row r="169" spans="1:18" x14ac:dyDescent="0.25">
      <c r="A169" s="27">
        <v>2012</v>
      </c>
      <c r="B169" t="s">
        <v>721</v>
      </c>
      <c r="C169" t="s">
        <v>730</v>
      </c>
      <c r="D169" s="27">
        <v>21</v>
      </c>
      <c r="E169" s="27">
        <v>13</v>
      </c>
      <c r="F169" s="24">
        <v>0.61799999999999999</v>
      </c>
      <c r="G169" s="26">
        <v>6</v>
      </c>
      <c r="H169" s="25">
        <v>82.1</v>
      </c>
      <c r="I169" s="25">
        <v>76.900000000000006</v>
      </c>
      <c r="J169" t="s">
        <v>30</v>
      </c>
      <c r="M169" s="33">
        <v>0</v>
      </c>
      <c r="N169" s="33">
        <v>0</v>
      </c>
      <c r="R169" s="29" t="s">
        <v>709</v>
      </c>
    </row>
    <row r="170" spans="1:18" x14ac:dyDescent="0.25">
      <c r="A170" s="27">
        <v>2012</v>
      </c>
      <c r="B170" t="s">
        <v>715</v>
      </c>
      <c r="C170" t="s">
        <v>730</v>
      </c>
      <c r="D170" s="27">
        <v>16</v>
      </c>
      <c r="E170" s="27">
        <v>18</v>
      </c>
      <c r="F170" s="24">
        <v>0.47099999999999997</v>
      </c>
      <c r="G170" s="26">
        <v>11</v>
      </c>
      <c r="H170" s="25">
        <v>71.2</v>
      </c>
      <c r="I170" s="25">
        <v>71.599999999999994</v>
      </c>
      <c r="J170" t="s">
        <v>30</v>
      </c>
      <c r="M170" s="33">
        <v>0</v>
      </c>
      <c r="N170" s="33">
        <v>0</v>
      </c>
      <c r="R170" s="29" t="str">
        <f>VLOOKUP(WNBA_TeamSeasons[[#This Row],[Team]],$Y$3:$Y$17,1,FALSE)</f>
        <v>Seattle Storm</v>
      </c>
    </row>
    <row r="171" spans="1:18" x14ac:dyDescent="0.25">
      <c r="A171" s="27">
        <v>2012</v>
      </c>
      <c r="B171" t="s">
        <v>734</v>
      </c>
      <c r="C171" t="s">
        <v>730</v>
      </c>
      <c r="D171" s="27">
        <v>9</v>
      </c>
      <c r="E171" s="27">
        <v>25</v>
      </c>
      <c r="F171" s="24">
        <v>0.26500000000000001</v>
      </c>
      <c r="G171" s="26">
        <v>18</v>
      </c>
      <c r="H171" s="25">
        <v>77.2</v>
      </c>
      <c r="I171" s="25">
        <v>84.2</v>
      </c>
      <c r="M171" s="33">
        <v>0</v>
      </c>
      <c r="N171" s="33">
        <v>0</v>
      </c>
      <c r="R171" s="29" t="s">
        <v>732</v>
      </c>
    </row>
    <row r="172" spans="1:18" x14ac:dyDescent="0.25">
      <c r="A172" s="27">
        <v>2012</v>
      </c>
      <c r="B172" t="s">
        <v>710</v>
      </c>
      <c r="C172" t="s">
        <v>730</v>
      </c>
      <c r="D172" s="27">
        <v>7</v>
      </c>
      <c r="E172" s="27">
        <v>27</v>
      </c>
      <c r="F172" s="24">
        <v>0.20599999999999999</v>
      </c>
      <c r="G172" s="26">
        <v>20</v>
      </c>
      <c r="H172" s="25">
        <v>74.5</v>
      </c>
      <c r="I172" s="25">
        <v>86.7</v>
      </c>
      <c r="M172" s="33">
        <v>0</v>
      </c>
      <c r="N172" s="33">
        <v>0</v>
      </c>
      <c r="R172" s="29" t="str">
        <f>VLOOKUP(WNBA_TeamSeasons[[#This Row],[Team]],$Y$3:$Y$17,1,FALSE)</f>
        <v>Phoenix Mercury</v>
      </c>
    </row>
    <row r="173" spans="1:18" x14ac:dyDescent="0.25">
      <c r="A173" s="27">
        <v>2011</v>
      </c>
      <c r="B173" t="s">
        <v>713</v>
      </c>
      <c r="C173" t="s">
        <v>729</v>
      </c>
      <c r="D173" s="27">
        <v>21</v>
      </c>
      <c r="E173" s="27">
        <v>13</v>
      </c>
      <c r="F173" s="24">
        <v>0.61799999999999999</v>
      </c>
      <c r="G173" s="26">
        <v>0</v>
      </c>
      <c r="H173" s="25">
        <v>80.099999999999994</v>
      </c>
      <c r="I173" s="25">
        <v>76.8</v>
      </c>
      <c r="J173" t="s">
        <v>30</v>
      </c>
      <c r="K173" s="29" t="s">
        <v>30</v>
      </c>
      <c r="M173" s="33">
        <v>0</v>
      </c>
      <c r="N173" s="33">
        <v>0</v>
      </c>
      <c r="R173" s="29" t="str">
        <f>VLOOKUP(WNBA_TeamSeasons[[#This Row],[Team]],$Y$3:$Y$17,1,FALSE)</f>
        <v>Connecticut Sun</v>
      </c>
    </row>
    <row r="174" spans="1:18" x14ac:dyDescent="0.25">
      <c r="A174" s="27">
        <v>2011</v>
      </c>
      <c r="B174" t="s">
        <v>718</v>
      </c>
      <c r="C174" t="s">
        <v>729</v>
      </c>
      <c r="D174" s="27">
        <v>21</v>
      </c>
      <c r="E174" s="27">
        <v>13</v>
      </c>
      <c r="F174" s="24">
        <v>0.61799999999999999</v>
      </c>
      <c r="G174" s="26">
        <v>0</v>
      </c>
      <c r="H174" s="25">
        <v>77.7</v>
      </c>
      <c r="I174" s="25">
        <v>73.8</v>
      </c>
      <c r="J174" t="s">
        <v>30</v>
      </c>
      <c r="K174" s="29" t="s">
        <v>30</v>
      </c>
      <c r="M174" s="33">
        <v>0</v>
      </c>
      <c r="N174" s="33">
        <v>0</v>
      </c>
      <c r="R174" s="29" t="str">
        <f>VLOOKUP(WNBA_TeamSeasons[[#This Row],[Team]],$Y$3:$Y$17,1,FALSE)</f>
        <v>Indiana Fever</v>
      </c>
    </row>
    <row r="175" spans="1:18" x14ac:dyDescent="0.25">
      <c r="A175" s="27">
        <v>2011</v>
      </c>
      <c r="B175" t="s">
        <v>719</v>
      </c>
      <c r="C175" t="s">
        <v>729</v>
      </c>
      <c r="D175" s="27">
        <v>20</v>
      </c>
      <c r="E175" s="27">
        <v>14</v>
      </c>
      <c r="F175" s="24">
        <v>0.58799999999999997</v>
      </c>
      <c r="G175" s="26">
        <v>1</v>
      </c>
      <c r="H175" s="25">
        <v>82.5</v>
      </c>
      <c r="I175" s="25">
        <v>80.8</v>
      </c>
      <c r="J175" t="s">
        <v>30</v>
      </c>
      <c r="M175" s="33">
        <v>0</v>
      </c>
      <c r="N175" s="33">
        <v>3</v>
      </c>
      <c r="O175" s="29" t="s">
        <v>30</v>
      </c>
      <c r="P175" s="29" t="s">
        <v>30</v>
      </c>
      <c r="R175" s="29" t="str">
        <f>VLOOKUP(WNBA_TeamSeasons[[#This Row],[Team]],$Y$3:$Y$17,1,FALSE)</f>
        <v>Atlanta Dream</v>
      </c>
    </row>
    <row r="176" spans="1:18" x14ac:dyDescent="0.25">
      <c r="A176" s="27">
        <v>2011</v>
      </c>
      <c r="B176" t="s">
        <v>711</v>
      </c>
      <c r="C176" t="s">
        <v>729</v>
      </c>
      <c r="D176" s="27">
        <v>19</v>
      </c>
      <c r="E176" s="27">
        <v>15</v>
      </c>
      <c r="F176" s="24">
        <v>0.55900000000000005</v>
      </c>
      <c r="G176" s="26">
        <v>2</v>
      </c>
      <c r="H176" s="25">
        <v>76</v>
      </c>
      <c r="I176" s="25">
        <v>74.8</v>
      </c>
      <c r="J176" t="s">
        <v>30</v>
      </c>
      <c r="M176" s="33">
        <v>0</v>
      </c>
      <c r="N176" s="33">
        <v>0</v>
      </c>
      <c r="R176" s="29" t="str">
        <f>VLOOKUP(WNBA_TeamSeasons[[#This Row],[Team]],$Y$3:$Y$17,1,FALSE)</f>
        <v>New York Liberty</v>
      </c>
    </row>
    <row r="177" spans="1:18" x14ac:dyDescent="0.25">
      <c r="A177" s="27">
        <v>2011</v>
      </c>
      <c r="B177" t="s">
        <v>714</v>
      </c>
      <c r="C177" t="s">
        <v>729</v>
      </c>
      <c r="D177" s="27">
        <v>14</v>
      </c>
      <c r="E177" s="27">
        <v>20</v>
      </c>
      <c r="F177" s="24">
        <v>0.41199999999999998</v>
      </c>
      <c r="G177" s="26">
        <v>7</v>
      </c>
      <c r="H177" s="25">
        <v>74.2</v>
      </c>
      <c r="I177" s="25">
        <v>75.2</v>
      </c>
      <c r="M177" s="33">
        <v>0</v>
      </c>
      <c r="N177" s="33">
        <v>0</v>
      </c>
      <c r="R177" s="29" t="str">
        <f>VLOOKUP(WNBA_TeamSeasons[[#This Row],[Team]],$Y$3:$Y$17,1,FALSE)</f>
        <v>Chicago Sky</v>
      </c>
    </row>
    <row r="178" spans="1:18" x14ac:dyDescent="0.25">
      <c r="A178" s="27">
        <v>2011</v>
      </c>
      <c r="B178" t="s">
        <v>716</v>
      </c>
      <c r="C178" t="s">
        <v>729</v>
      </c>
      <c r="D178" s="27">
        <v>6</v>
      </c>
      <c r="E178" s="27">
        <v>28</v>
      </c>
      <c r="F178" s="24">
        <v>0.17599999999999999</v>
      </c>
      <c r="G178" s="26">
        <v>15</v>
      </c>
      <c r="H178" s="25">
        <v>70.8</v>
      </c>
      <c r="I178" s="25">
        <v>78.8</v>
      </c>
      <c r="M178" s="33">
        <v>0</v>
      </c>
      <c r="N178" s="33">
        <v>0</v>
      </c>
      <c r="R178" s="29" t="str">
        <f>VLOOKUP(WNBA_TeamSeasons[[#This Row],[Team]],$Y$3:$Y$17,1,FALSE)</f>
        <v>Washington Mystics</v>
      </c>
    </row>
    <row r="179" spans="1:18" x14ac:dyDescent="0.25">
      <c r="A179" s="27">
        <v>2011</v>
      </c>
      <c r="B179" t="s">
        <v>712</v>
      </c>
      <c r="C179" t="s">
        <v>730</v>
      </c>
      <c r="D179" s="27">
        <v>27</v>
      </c>
      <c r="E179" s="27">
        <v>7</v>
      </c>
      <c r="F179" s="24">
        <v>0.79400000000000004</v>
      </c>
      <c r="G179" s="26">
        <v>0</v>
      </c>
      <c r="H179" s="25">
        <v>81.5</v>
      </c>
      <c r="I179" s="25">
        <v>73.599999999999994</v>
      </c>
      <c r="J179" t="s">
        <v>30</v>
      </c>
      <c r="K179" s="29" t="s">
        <v>30</v>
      </c>
      <c r="L179" s="29" t="s">
        <v>30</v>
      </c>
      <c r="M179" s="33">
        <v>3</v>
      </c>
      <c r="N179" s="33">
        <v>0</v>
      </c>
      <c r="O179" s="29" t="s">
        <v>30</v>
      </c>
      <c r="P179" s="29" t="s">
        <v>30</v>
      </c>
      <c r="Q179" s="29" t="s">
        <v>30</v>
      </c>
      <c r="R179" s="29" t="str">
        <f>VLOOKUP(WNBA_TeamSeasons[[#This Row],[Team]],$Y$3:$Y$17,1,FALSE)</f>
        <v>Minnesota Lynx</v>
      </c>
    </row>
    <row r="180" spans="1:18" x14ac:dyDescent="0.25">
      <c r="A180" s="27">
        <v>2011</v>
      </c>
      <c r="B180" t="s">
        <v>715</v>
      </c>
      <c r="C180" t="s">
        <v>730</v>
      </c>
      <c r="D180" s="27">
        <v>21</v>
      </c>
      <c r="E180" s="27">
        <v>13</v>
      </c>
      <c r="F180" s="24">
        <v>0.61799999999999999</v>
      </c>
      <c r="G180" s="26">
        <v>6</v>
      </c>
      <c r="H180" s="25">
        <v>71.599999999999994</v>
      </c>
      <c r="I180" s="25">
        <v>69.900000000000006</v>
      </c>
      <c r="J180" t="s">
        <v>30</v>
      </c>
      <c r="M180" s="33">
        <v>0</v>
      </c>
      <c r="N180" s="33">
        <v>0</v>
      </c>
      <c r="R180" s="29" t="str">
        <f>VLOOKUP(WNBA_TeamSeasons[[#This Row],[Team]],$Y$3:$Y$17,1,FALSE)</f>
        <v>Seattle Storm</v>
      </c>
    </row>
    <row r="181" spans="1:18" x14ac:dyDescent="0.25">
      <c r="A181" s="27">
        <v>2011</v>
      </c>
      <c r="B181" t="s">
        <v>710</v>
      </c>
      <c r="C181" t="s">
        <v>730</v>
      </c>
      <c r="D181" s="27">
        <v>19</v>
      </c>
      <c r="E181" s="27">
        <v>15</v>
      </c>
      <c r="F181" s="24">
        <v>0.55900000000000005</v>
      </c>
      <c r="G181" s="26">
        <v>8</v>
      </c>
      <c r="H181" s="25">
        <v>89</v>
      </c>
      <c r="I181" s="25">
        <v>86</v>
      </c>
      <c r="J181" t="s">
        <v>30</v>
      </c>
      <c r="M181" s="33">
        <v>0</v>
      </c>
      <c r="N181" s="33">
        <v>0</v>
      </c>
      <c r="R181" s="29" t="str">
        <f>VLOOKUP(WNBA_TeamSeasons[[#This Row],[Team]],$Y$3:$Y$17,1,FALSE)</f>
        <v>Phoenix Mercury</v>
      </c>
    </row>
    <row r="182" spans="1:18" x14ac:dyDescent="0.25">
      <c r="A182" s="27">
        <v>2011</v>
      </c>
      <c r="B182" t="s">
        <v>721</v>
      </c>
      <c r="C182" t="s">
        <v>730</v>
      </c>
      <c r="D182" s="27">
        <v>18</v>
      </c>
      <c r="E182" s="27">
        <v>16</v>
      </c>
      <c r="F182" s="24">
        <v>0.52900000000000003</v>
      </c>
      <c r="G182" s="26">
        <v>9</v>
      </c>
      <c r="H182" s="25">
        <v>77.599999999999994</v>
      </c>
      <c r="I182" s="25">
        <v>75.5</v>
      </c>
      <c r="J182" t="s">
        <v>30</v>
      </c>
      <c r="M182" s="33">
        <v>0</v>
      </c>
      <c r="N182" s="33">
        <v>0</v>
      </c>
      <c r="R182" s="29" t="s">
        <v>709</v>
      </c>
    </row>
    <row r="183" spans="1:18" x14ac:dyDescent="0.25">
      <c r="A183" s="27">
        <v>2011</v>
      </c>
      <c r="B183" t="s">
        <v>717</v>
      </c>
      <c r="C183" t="s">
        <v>730</v>
      </c>
      <c r="D183" s="27">
        <v>15</v>
      </c>
      <c r="E183" s="27">
        <v>19</v>
      </c>
      <c r="F183" s="24">
        <v>0.441</v>
      </c>
      <c r="G183" s="26">
        <v>12</v>
      </c>
      <c r="H183" s="25">
        <v>77.099999999999994</v>
      </c>
      <c r="I183" s="25">
        <v>80.3</v>
      </c>
      <c r="M183" s="33">
        <v>0</v>
      </c>
      <c r="N183" s="33">
        <v>0</v>
      </c>
      <c r="R183" s="29" t="str">
        <f>VLOOKUP(WNBA_TeamSeasons[[#This Row],[Team]],$Y$3:$Y$17,1,FALSE)</f>
        <v>Los Angeles Sparks</v>
      </c>
    </row>
    <row r="184" spans="1:18" x14ac:dyDescent="0.25">
      <c r="A184" s="27">
        <v>2011</v>
      </c>
      <c r="B184" t="s">
        <v>734</v>
      </c>
      <c r="C184" t="s">
        <v>730</v>
      </c>
      <c r="D184" s="27">
        <v>3</v>
      </c>
      <c r="E184" s="27">
        <v>31</v>
      </c>
      <c r="F184" s="24">
        <v>8.7999999999999995E-2</v>
      </c>
      <c r="G184" s="26">
        <v>24</v>
      </c>
      <c r="H184" s="25">
        <v>69.2</v>
      </c>
      <c r="I184" s="25">
        <v>82.1</v>
      </c>
      <c r="M184" s="33">
        <v>0</v>
      </c>
      <c r="N184" s="33">
        <v>0</v>
      </c>
      <c r="R184" s="29" t="s">
        <v>732</v>
      </c>
    </row>
    <row r="185" spans="1:18" x14ac:dyDescent="0.25">
      <c r="A185" s="27">
        <v>2010</v>
      </c>
      <c r="B185" t="s">
        <v>711</v>
      </c>
      <c r="C185" t="s">
        <v>729</v>
      </c>
      <c r="D185" s="27">
        <v>22</v>
      </c>
      <c r="E185" s="27">
        <v>12</v>
      </c>
      <c r="F185" s="24">
        <v>0.64700000000000002</v>
      </c>
      <c r="G185" s="26">
        <v>0</v>
      </c>
      <c r="H185" s="25">
        <v>79.2</v>
      </c>
      <c r="I185" s="25">
        <v>76</v>
      </c>
      <c r="J185" t="s">
        <v>30</v>
      </c>
      <c r="K185" s="29" t="s">
        <v>30</v>
      </c>
      <c r="M185" s="33">
        <v>0</v>
      </c>
      <c r="N185" s="33">
        <v>0</v>
      </c>
      <c r="R185" s="29" t="str">
        <f>VLOOKUP(WNBA_TeamSeasons[[#This Row],[Team]],$Y$3:$Y$17,1,FALSE)</f>
        <v>New York Liberty</v>
      </c>
    </row>
    <row r="186" spans="1:18" x14ac:dyDescent="0.25">
      <c r="A186" s="27">
        <v>2010</v>
      </c>
      <c r="B186" t="s">
        <v>716</v>
      </c>
      <c r="C186" t="s">
        <v>729</v>
      </c>
      <c r="D186" s="27">
        <v>22</v>
      </c>
      <c r="E186" s="27">
        <v>12</v>
      </c>
      <c r="F186" s="24">
        <v>0.64700000000000002</v>
      </c>
      <c r="G186" s="26">
        <v>0</v>
      </c>
      <c r="H186" s="25">
        <v>76.900000000000006</v>
      </c>
      <c r="I186" s="25">
        <v>73.3</v>
      </c>
      <c r="J186" t="s">
        <v>30</v>
      </c>
      <c r="K186" s="29" t="s">
        <v>30</v>
      </c>
      <c r="M186" s="33">
        <v>0</v>
      </c>
      <c r="N186" s="33">
        <v>0</v>
      </c>
      <c r="R186" s="29" t="str">
        <f>VLOOKUP(WNBA_TeamSeasons[[#This Row],[Team]],$Y$3:$Y$17,1,FALSE)</f>
        <v>Washington Mystics</v>
      </c>
    </row>
    <row r="187" spans="1:18" x14ac:dyDescent="0.25">
      <c r="A187" s="27">
        <v>2010</v>
      </c>
      <c r="B187" t="s">
        <v>718</v>
      </c>
      <c r="C187" t="s">
        <v>729</v>
      </c>
      <c r="D187" s="27">
        <v>21</v>
      </c>
      <c r="E187" s="27">
        <v>13</v>
      </c>
      <c r="F187" s="24">
        <v>0.61799999999999999</v>
      </c>
      <c r="G187" s="26">
        <v>1</v>
      </c>
      <c r="H187" s="25">
        <v>78.3</v>
      </c>
      <c r="I187" s="25">
        <v>74.099999999999994</v>
      </c>
      <c r="J187" t="s">
        <v>30</v>
      </c>
      <c r="M187" s="33">
        <v>0</v>
      </c>
      <c r="N187" s="33">
        <v>0</v>
      </c>
      <c r="R187" s="29" t="str">
        <f>VLOOKUP(WNBA_TeamSeasons[[#This Row],[Team]],$Y$3:$Y$17,1,FALSE)</f>
        <v>Indiana Fever</v>
      </c>
    </row>
    <row r="188" spans="1:18" x14ac:dyDescent="0.25">
      <c r="A188" s="27">
        <v>2010</v>
      </c>
      <c r="B188" t="s">
        <v>719</v>
      </c>
      <c r="C188" t="s">
        <v>729</v>
      </c>
      <c r="D188" s="27">
        <v>19</v>
      </c>
      <c r="E188" s="27">
        <v>15</v>
      </c>
      <c r="F188" s="24">
        <v>0.55900000000000005</v>
      </c>
      <c r="G188" s="26">
        <v>3</v>
      </c>
      <c r="H188" s="25">
        <v>85.4</v>
      </c>
      <c r="I188" s="25">
        <v>83.1</v>
      </c>
      <c r="J188" t="s">
        <v>30</v>
      </c>
      <c r="M188" s="33">
        <v>0</v>
      </c>
      <c r="N188" s="33">
        <v>3</v>
      </c>
      <c r="O188" s="29" t="s">
        <v>30</v>
      </c>
      <c r="P188" s="29" t="s">
        <v>30</v>
      </c>
      <c r="R188" s="29" t="str">
        <f>VLOOKUP(WNBA_TeamSeasons[[#This Row],[Team]],$Y$3:$Y$17,1,FALSE)</f>
        <v>Atlanta Dream</v>
      </c>
    </row>
    <row r="189" spans="1:18" x14ac:dyDescent="0.25">
      <c r="A189" s="27">
        <v>2010</v>
      </c>
      <c r="B189" t="s">
        <v>713</v>
      </c>
      <c r="C189" t="s">
        <v>729</v>
      </c>
      <c r="D189" s="27">
        <v>17</v>
      </c>
      <c r="E189" s="27">
        <v>17</v>
      </c>
      <c r="F189" s="24">
        <v>0.5</v>
      </c>
      <c r="G189" s="26">
        <v>5</v>
      </c>
      <c r="H189" s="25">
        <v>81</v>
      </c>
      <c r="I189" s="25">
        <v>79.900000000000006</v>
      </c>
      <c r="M189" s="33">
        <v>0</v>
      </c>
      <c r="N189" s="33">
        <v>0</v>
      </c>
      <c r="R189" s="29" t="str">
        <f>VLOOKUP(WNBA_TeamSeasons[[#This Row],[Team]],$Y$3:$Y$17,1,FALSE)</f>
        <v>Connecticut Sun</v>
      </c>
    </row>
    <row r="190" spans="1:18" x14ac:dyDescent="0.25">
      <c r="A190" s="27">
        <v>2010</v>
      </c>
      <c r="B190" t="s">
        <v>714</v>
      </c>
      <c r="C190" t="s">
        <v>729</v>
      </c>
      <c r="D190" s="27">
        <v>14</v>
      </c>
      <c r="E190" s="27">
        <v>20</v>
      </c>
      <c r="F190" s="24">
        <v>0.41199999999999998</v>
      </c>
      <c r="G190" s="26">
        <v>8</v>
      </c>
      <c r="H190" s="25">
        <v>76.099999999999994</v>
      </c>
      <c r="I190" s="25">
        <v>76.8</v>
      </c>
      <c r="M190" s="33">
        <v>0</v>
      </c>
      <c r="N190" s="33">
        <v>0</v>
      </c>
      <c r="R190" s="29" t="str">
        <f>VLOOKUP(WNBA_TeamSeasons[[#This Row],[Team]],$Y$3:$Y$17,1,FALSE)</f>
        <v>Chicago Sky</v>
      </c>
    </row>
    <row r="191" spans="1:18" x14ac:dyDescent="0.25">
      <c r="A191" s="27">
        <v>2010</v>
      </c>
      <c r="B191" t="s">
        <v>715</v>
      </c>
      <c r="C191" t="s">
        <v>730</v>
      </c>
      <c r="D191" s="27">
        <v>28</v>
      </c>
      <c r="E191" s="27">
        <v>6</v>
      </c>
      <c r="F191" s="24">
        <v>0.82399999999999995</v>
      </c>
      <c r="G191" s="26">
        <v>0</v>
      </c>
      <c r="H191" s="25">
        <v>81.8</v>
      </c>
      <c r="I191" s="25">
        <v>73.900000000000006</v>
      </c>
      <c r="J191" t="s">
        <v>30</v>
      </c>
      <c r="K191" s="29" t="s">
        <v>30</v>
      </c>
      <c r="L191" s="29" t="s">
        <v>30</v>
      </c>
      <c r="M191" s="33">
        <v>3</v>
      </c>
      <c r="N191" s="33">
        <v>0</v>
      </c>
      <c r="O191" s="29" t="s">
        <v>30</v>
      </c>
      <c r="P191" s="29" t="s">
        <v>30</v>
      </c>
      <c r="Q191" s="29" t="s">
        <v>30</v>
      </c>
      <c r="R191" s="29" t="str">
        <f>VLOOKUP(WNBA_TeamSeasons[[#This Row],[Team]],$Y$3:$Y$17,1,FALSE)</f>
        <v>Seattle Storm</v>
      </c>
    </row>
    <row r="192" spans="1:18" x14ac:dyDescent="0.25">
      <c r="A192" s="27">
        <v>2010</v>
      </c>
      <c r="B192" t="s">
        <v>710</v>
      </c>
      <c r="C192" t="s">
        <v>730</v>
      </c>
      <c r="D192" s="27">
        <v>15</v>
      </c>
      <c r="E192" s="27">
        <v>19</v>
      </c>
      <c r="F192" s="24">
        <v>0.441</v>
      </c>
      <c r="G192" s="26">
        <v>13</v>
      </c>
      <c r="H192" s="25">
        <v>93.9</v>
      </c>
      <c r="I192" s="25">
        <v>93.8</v>
      </c>
      <c r="J192" t="s">
        <v>30</v>
      </c>
      <c r="M192" s="33">
        <v>0</v>
      </c>
      <c r="N192" s="33">
        <v>0</v>
      </c>
      <c r="R192" s="29" t="str">
        <f>VLOOKUP(WNBA_TeamSeasons[[#This Row],[Team]],$Y$3:$Y$17,1,FALSE)</f>
        <v>Phoenix Mercury</v>
      </c>
    </row>
    <row r="193" spans="1:18" x14ac:dyDescent="0.25">
      <c r="A193" s="27">
        <v>2010</v>
      </c>
      <c r="B193" t="s">
        <v>721</v>
      </c>
      <c r="C193" t="s">
        <v>730</v>
      </c>
      <c r="D193" s="27">
        <v>14</v>
      </c>
      <c r="E193" s="27">
        <v>20</v>
      </c>
      <c r="F193" s="24">
        <v>0.41199999999999998</v>
      </c>
      <c r="G193" s="26">
        <v>14</v>
      </c>
      <c r="H193" s="25">
        <v>76.8</v>
      </c>
      <c r="I193" s="25">
        <v>80.099999999999994</v>
      </c>
      <c r="J193" t="s">
        <v>30</v>
      </c>
      <c r="M193" s="33">
        <v>0</v>
      </c>
      <c r="N193" s="33">
        <v>0</v>
      </c>
      <c r="R193" s="29" t="s">
        <v>709</v>
      </c>
    </row>
    <row r="194" spans="1:18" x14ac:dyDescent="0.25">
      <c r="A194" s="27">
        <v>2010</v>
      </c>
      <c r="B194" t="s">
        <v>717</v>
      </c>
      <c r="C194" t="s">
        <v>730</v>
      </c>
      <c r="D194" s="27">
        <v>13</v>
      </c>
      <c r="E194" s="27">
        <v>21</v>
      </c>
      <c r="F194" s="24">
        <v>0.38200000000000001</v>
      </c>
      <c r="G194" s="26">
        <v>15</v>
      </c>
      <c r="H194" s="25">
        <v>77.900000000000006</v>
      </c>
      <c r="I194" s="25">
        <v>81.2</v>
      </c>
      <c r="J194" t="s">
        <v>30</v>
      </c>
      <c r="M194" s="33">
        <v>0</v>
      </c>
      <c r="N194" s="33">
        <v>0</v>
      </c>
      <c r="R194" s="29" t="str">
        <f>VLOOKUP(WNBA_TeamSeasons[[#This Row],[Team]],$Y$3:$Y$17,1,FALSE)</f>
        <v>Los Angeles Sparks</v>
      </c>
    </row>
    <row r="195" spans="1:18" x14ac:dyDescent="0.25">
      <c r="A195" s="27">
        <v>2010</v>
      </c>
      <c r="B195" t="s">
        <v>712</v>
      </c>
      <c r="C195" t="s">
        <v>730</v>
      </c>
      <c r="D195" s="27">
        <v>13</v>
      </c>
      <c r="E195" s="27">
        <v>21</v>
      </c>
      <c r="F195" s="24">
        <v>0.38200000000000001</v>
      </c>
      <c r="G195" s="26">
        <v>15</v>
      </c>
      <c r="H195" s="25">
        <v>78.7</v>
      </c>
      <c r="I195" s="25">
        <v>82.1</v>
      </c>
      <c r="M195" s="33">
        <v>0</v>
      </c>
      <c r="N195" s="33">
        <v>0</v>
      </c>
      <c r="R195" s="29" t="str">
        <f>VLOOKUP(WNBA_TeamSeasons[[#This Row],[Team]],$Y$3:$Y$17,1,FALSE)</f>
        <v>Minnesota Lynx</v>
      </c>
    </row>
    <row r="196" spans="1:18" x14ac:dyDescent="0.25">
      <c r="A196" s="27">
        <v>2010</v>
      </c>
      <c r="B196" t="s">
        <v>734</v>
      </c>
      <c r="C196" t="s">
        <v>730</v>
      </c>
      <c r="D196" s="27">
        <v>6</v>
      </c>
      <c r="E196" s="27">
        <v>28</v>
      </c>
      <c r="F196" s="24">
        <v>0.17599999999999999</v>
      </c>
      <c r="G196" s="26">
        <v>22</v>
      </c>
      <c r="H196" s="25">
        <v>78</v>
      </c>
      <c r="I196" s="25">
        <v>89.8</v>
      </c>
      <c r="M196" s="33">
        <v>0</v>
      </c>
      <c r="N196" s="33">
        <v>0</v>
      </c>
      <c r="R196" s="29" t="s">
        <v>732</v>
      </c>
    </row>
    <row r="197" spans="1:18" x14ac:dyDescent="0.25">
      <c r="A197" s="27">
        <v>2009</v>
      </c>
      <c r="B197" t="s">
        <v>718</v>
      </c>
      <c r="C197" t="s">
        <v>729</v>
      </c>
      <c r="D197" s="27">
        <v>22</v>
      </c>
      <c r="E197" s="27">
        <v>12</v>
      </c>
      <c r="F197" s="24">
        <v>0.64700000000000002</v>
      </c>
      <c r="G197" s="26">
        <v>0</v>
      </c>
      <c r="H197" s="25">
        <v>76.599999999999994</v>
      </c>
      <c r="I197" s="25">
        <v>73.599999999999994</v>
      </c>
      <c r="J197" t="s">
        <v>30</v>
      </c>
      <c r="K197" s="29" t="s">
        <v>30</v>
      </c>
      <c r="M197" s="33">
        <v>2</v>
      </c>
      <c r="N197" s="33">
        <v>3</v>
      </c>
      <c r="O197" s="29" t="s">
        <v>30</v>
      </c>
      <c r="P197" s="29" t="s">
        <v>30</v>
      </c>
      <c r="R197" s="29" t="str">
        <f>VLOOKUP(WNBA_TeamSeasons[[#This Row],[Team]],$Y$3:$Y$17,1,FALSE)</f>
        <v>Indiana Fever</v>
      </c>
    </row>
    <row r="198" spans="1:18" x14ac:dyDescent="0.25">
      <c r="A198" s="27">
        <v>2009</v>
      </c>
      <c r="B198" t="s">
        <v>719</v>
      </c>
      <c r="C198" t="s">
        <v>729</v>
      </c>
      <c r="D198" s="27">
        <v>18</v>
      </c>
      <c r="E198" s="27">
        <v>16</v>
      </c>
      <c r="F198" s="24">
        <v>0.52900000000000003</v>
      </c>
      <c r="G198" s="26">
        <v>4</v>
      </c>
      <c r="H198" s="25">
        <v>84.1</v>
      </c>
      <c r="I198" s="25">
        <v>82.3</v>
      </c>
      <c r="J198" t="s">
        <v>30</v>
      </c>
      <c r="M198" s="33">
        <v>0</v>
      </c>
      <c r="N198" s="33">
        <v>0</v>
      </c>
      <c r="R198" s="29" t="str">
        <f>VLOOKUP(WNBA_TeamSeasons[[#This Row],[Team]],$Y$3:$Y$17,1,FALSE)</f>
        <v>Atlanta Dream</v>
      </c>
    </row>
    <row r="199" spans="1:18" x14ac:dyDescent="0.25">
      <c r="A199" s="27">
        <v>2009</v>
      </c>
      <c r="B199" t="s">
        <v>720</v>
      </c>
      <c r="C199" t="s">
        <v>729</v>
      </c>
      <c r="D199" s="27">
        <v>18</v>
      </c>
      <c r="E199" s="27">
        <v>16</v>
      </c>
      <c r="F199" s="24">
        <v>0.52900000000000003</v>
      </c>
      <c r="G199" s="26">
        <v>4</v>
      </c>
      <c r="H199" s="25">
        <v>78</v>
      </c>
      <c r="I199" s="25">
        <v>77.8</v>
      </c>
      <c r="J199" t="s">
        <v>30</v>
      </c>
      <c r="M199" s="33">
        <v>0</v>
      </c>
      <c r="N199" s="33">
        <v>0</v>
      </c>
      <c r="R199" s="29" t="s">
        <v>732</v>
      </c>
    </row>
    <row r="200" spans="1:18" x14ac:dyDescent="0.25">
      <c r="A200" s="27">
        <v>2009</v>
      </c>
      <c r="B200" t="s">
        <v>716</v>
      </c>
      <c r="C200" t="s">
        <v>729</v>
      </c>
      <c r="D200" s="27">
        <v>16</v>
      </c>
      <c r="E200" s="27">
        <v>18</v>
      </c>
      <c r="F200" s="24">
        <v>0.47099999999999997</v>
      </c>
      <c r="G200" s="26">
        <v>6</v>
      </c>
      <c r="H200" s="25">
        <v>76</v>
      </c>
      <c r="I200" s="25">
        <v>77.099999999999994</v>
      </c>
      <c r="J200" t="s">
        <v>30</v>
      </c>
      <c r="M200" s="33">
        <v>0</v>
      </c>
      <c r="N200" s="33">
        <v>0</v>
      </c>
      <c r="R200" s="29" t="str">
        <f>VLOOKUP(WNBA_TeamSeasons[[#This Row],[Team]],$Y$3:$Y$17,1,FALSE)</f>
        <v>Washington Mystics</v>
      </c>
    </row>
    <row r="201" spans="1:18" x14ac:dyDescent="0.25">
      <c r="A201" s="27">
        <v>2009</v>
      </c>
      <c r="B201" t="s">
        <v>714</v>
      </c>
      <c r="C201" t="s">
        <v>729</v>
      </c>
      <c r="D201" s="27">
        <v>16</v>
      </c>
      <c r="E201" s="27">
        <v>18</v>
      </c>
      <c r="F201" s="24">
        <v>0.47099999999999997</v>
      </c>
      <c r="G201" s="26">
        <v>6</v>
      </c>
      <c r="H201" s="25">
        <v>75.7</v>
      </c>
      <c r="I201" s="25">
        <v>79.2</v>
      </c>
      <c r="M201" s="33">
        <v>0</v>
      </c>
      <c r="N201" s="33">
        <v>0</v>
      </c>
      <c r="R201" s="29" t="str">
        <f>VLOOKUP(WNBA_TeamSeasons[[#This Row],[Team]],$Y$3:$Y$17,1,FALSE)</f>
        <v>Chicago Sky</v>
      </c>
    </row>
    <row r="202" spans="1:18" x14ac:dyDescent="0.25">
      <c r="A202" s="27">
        <v>2009</v>
      </c>
      <c r="B202" t="s">
        <v>713</v>
      </c>
      <c r="C202" t="s">
        <v>729</v>
      </c>
      <c r="D202" s="27">
        <v>16</v>
      </c>
      <c r="E202" s="27">
        <v>18</v>
      </c>
      <c r="F202" s="24">
        <v>0.47099999999999997</v>
      </c>
      <c r="G202" s="26">
        <v>6</v>
      </c>
      <c r="H202" s="25">
        <v>78</v>
      </c>
      <c r="I202" s="25">
        <v>78.099999999999994</v>
      </c>
      <c r="M202" s="33">
        <v>0</v>
      </c>
      <c r="N202" s="33">
        <v>0</v>
      </c>
      <c r="R202" s="29" t="str">
        <f>VLOOKUP(WNBA_TeamSeasons[[#This Row],[Team]],$Y$3:$Y$17,1,FALSE)</f>
        <v>Connecticut Sun</v>
      </c>
    </row>
    <row r="203" spans="1:18" x14ac:dyDescent="0.25">
      <c r="A203" s="27">
        <v>2009</v>
      </c>
      <c r="B203" t="s">
        <v>711</v>
      </c>
      <c r="C203" t="s">
        <v>729</v>
      </c>
      <c r="D203" s="27">
        <v>13</v>
      </c>
      <c r="E203" s="27">
        <v>21</v>
      </c>
      <c r="F203" s="24">
        <v>0.38200000000000001</v>
      </c>
      <c r="G203" s="26">
        <v>9</v>
      </c>
      <c r="H203" s="25">
        <v>72.099999999999994</v>
      </c>
      <c r="I203" s="25">
        <v>72.5</v>
      </c>
      <c r="M203" s="33">
        <v>0</v>
      </c>
      <c r="N203" s="33">
        <v>0</v>
      </c>
      <c r="R203" s="29" t="str">
        <f>VLOOKUP(WNBA_TeamSeasons[[#This Row],[Team]],$Y$3:$Y$17,1,FALSE)</f>
        <v>New York Liberty</v>
      </c>
    </row>
    <row r="204" spans="1:18" x14ac:dyDescent="0.25">
      <c r="A204" s="27">
        <v>2009</v>
      </c>
      <c r="B204" t="s">
        <v>710</v>
      </c>
      <c r="C204" t="s">
        <v>730</v>
      </c>
      <c r="D204" s="27">
        <v>23</v>
      </c>
      <c r="E204" s="27">
        <v>11</v>
      </c>
      <c r="F204" s="24">
        <v>0.67600000000000005</v>
      </c>
      <c r="G204" s="26">
        <v>0</v>
      </c>
      <c r="H204" s="25">
        <v>92.8</v>
      </c>
      <c r="I204" s="25">
        <v>89.1</v>
      </c>
      <c r="J204" t="s">
        <v>30</v>
      </c>
      <c r="K204" s="29" t="s">
        <v>30</v>
      </c>
      <c r="L204" s="29" t="s">
        <v>30</v>
      </c>
      <c r="M204" s="33">
        <v>3</v>
      </c>
      <c r="N204" s="33">
        <v>2</v>
      </c>
      <c r="O204" s="29" t="s">
        <v>30</v>
      </c>
      <c r="P204" s="29" t="s">
        <v>30</v>
      </c>
      <c r="Q204" s="29" t="s">
        <v>30</v>
      </c>
      <c r="R204" s="29" t="str">
        <f>VLOOKUP(WNBA_TeamSeasons[[#This Row],[Team]],$Y$3:$Y$17,1,FALSE)</f>
        <v>Phoenix Mercury</v>
      </c>
    </row>
    <row r="205" spans="1:18" x14ac:dyDescent="0.25">
      <c r="A205" s="27">
        <v>2009</v>
      </c>
      <c r="B205" t="s">
        <v>715</v>
      </c>
      <c r="C205" t="s">
        <v>730</v>
      </c>
      <c r="D205" s="27">
        <v>20</v>
      </c>
      <c r="E205" s="27">
        <v>14</v>
      </c>
      <c r="F205" s="24">
        <v>0.58799999999999997</v>
      </c>
      <c r="G205" s="26">
        <v>3</v>
      </c>
      <c r="H205" s="25">
        <v>74.8</v>
      </c>
      <c r="I205" s="25">
        <v>72.8</v>
      </c>
      <c r="J205" t="s">
        <v>30</v>
      </c>
      <c r="M205" s="33">
        <v>0</v>
      </c>
      <c r="N205" s="33">
        <v>0</v>
      </c>
      <c r="R205" s="29" t="str">
        <f>VLOOKUP(WNBA_TeamSeasons[[#This Row],[Team]],$Y$3:$Y$17,1,FALSE)</f>
        <v>Seattle Storm</v>
      </c>
    </row>
    <row r="206" spans="1:18" x14ac:dyDescent="0.25">
      <c r="A206" s="27">
        <v>2009</v>
      </c>
      <c r="B206" t="s">
        <v>717</v>
      </c>
      <c r="C206" t="s">
        <v>730</v>
      </c>
      <c r="D206" s="27">
        <v>18</v>
      </c>
      <c r="E206" s="27">
        <v>16</v>
      </c>
      <c r="F206" s="24">
        <v>0.52900000000000003</v>
      </c>
      <c r="G206" s="26">
        <v>5</v>
      </c>
      <c r="H206" s="25">
        <v>72.5</v>
      </c>
      <c r="I206" s="25">
        <v>71.7</v>
      </c>
      <c r="J206" t="s">
        <v>30</v>
      </c>
      <c r="M206" s="33">
        <v>0</v>
      </c>
      <c r="N206" s="33">
        <v>0</v>
      </c>
      <c r="R206" s="29" t="str">
        <f>VLOOKUP(WNBA_TeamSeasons[[#This Row],[Team]],$Y$3:$Y$17,1,FALSE)</f>
        <v>Los Angeles Sparks</v>
      </c>
    </row>
    <row r="207" spans="1:18" x14ac:dyDescent="0.25">
      <c r="A207" s="27">
        <v>2009</v>
      </c>
      <c r="B207" t="s">
        <v>721</v>
      </c>
      <c r="C207" t="s">
        <v>730</v>
      </c>
      <c r="D207" s="27">
        <v>15</v>
      </c>
      <c r="E207" s="27">
        <v>19</v>
      </c>
      <c r="F207" s="24">
        <v>0.441</v>
      </c>
      <c r="G207" s="26">
        <v>8</v>
      </c>
      <c r="H207" s="25">
        <v>76.900000000000006</v>
      </c>
      <c r="I207" s="25">
        <v>78.3</v>
      </c>
      <c r="J207" t="s">
        <v>30</v>
      </c>
      <c r="M207" s="33">
        <v>0</v>
      </c>
      <c r="N207" s="33">
        <v>0</v>
      </c>
      <c r="R207" s="29" t="s">
        <v>709</v>
      </c>
    </row>
    <row r="208" spans="1:18" x14ac:dyDescent="0.25">
      <c r="A208" s="27">
        <v>2009</v>
      </c>
      <c r="B208" t="s">
        <v>712</v>
      </c>
      <c r="C208" t="s">
        <v>730</v>
      </c>
      <c r="D208" s="27">
        <v>14</v>
      </c>
      <c r="E208" s="27">
        <v>20</v>
      </c>
      <c r="F208" s="24">
        <v>0.41199999999999998</v>
      </c>
      <c r="G208" s="26">
        <v>9</v>
      </c>
      <c r="H208" s="25">
        <v>80.3</v>
      </c>
      <c r="I208" s="25">
        <v>83.1</v>
      </c>
      <c r="M208" s="33">
        <v>0</v>
      </c>
      <c r="N208" s="33">
        <v>0</v>
      </c>
      <c r="R208" s="29" t="str">
        <f>VLOOKUP(WNBA_TeamSeasons[[#This Row],[Team]],$Y$3:$Y$17,1,FALSE)</f>
        <v>Minnesota Lynx</v>
      </c>
    </row>
    <row r="209" spans="1:18" x14ac:dyDescent="0.25">
      <c r="A209" s="27">
        <v>2009</v>
      </c>
      <c r="B209" t="s">
        <v>722</v>
      </c>
      <c r="C209" t="s">
        <v>730</v>
      </c>
      <c r="D209" s="27">
        <v>12</v>
      </c>
      <c r="E209" s="27">
        <v>22</v>
      </c>
      <c r="F209" s="24">
        <v>0.35299999999999998</v>
      </c>
      <c r="G209" s="26">
        <v>11</v>
      </c>
      <c r="H209" s="25">
        <v>76.8</v>
      </c>
      <c r="I209" s="25">
        <v>79.099999999999994</v>
      </c>
      <c r="M209" s="33">
        <v>0</v>
      </c>
      <c r="N209" s="33">
        <v>0</v>
      </c>
      <c r="R209" s="29" t="str">
        <f>WNBA_TeamSeasons[[#This Row],[Team]]</f>
        <v>Sacramento Monarchs</v>
      </c>
    </row>
    <row r="210" spans="1:18" x14ac:dyDescent="0.25">
      <c r="A210" s="27">
        <v>2008</v>
      </c>
      <c r="B210" t="s">
        <v>720</v>
      </c>
      <c r="C210" t="s">
        <v>729</v>
      </c>
      <c r="D210" s="27">
        <v>22</v>
      </c>
      <c r="E210" s="27">
        <v>12</v>
      </c>
      <c r="F210" s="24">
        <v>0.64700000000000002</v>
      </c>
      <c r="G210" s="26">
        <v>0</v>
      </c>
      <c r="H210" s="25">
        <v>78.599999999999994</v>
      </c>
      <c r="I210" s="25">
        <v>74.2</v>
      </c>
      <c r="J210" t="s">
        <v>30</v>
      </c>
      <c r="K210" s="29" t="s">
        <v>30</v>
      </c>
      <c r="M210" s="33">
        <v>3</v>
      </c>
      <c r="N210" s="33">
        <v>0</v>
      </c>
      <c r="O210" s="29" t="s">
        <v>30</v>
      </c>
      <c r="P210" s="29" t="s">
        <v>30</v>
      </c>
      <c r="Q210" s="29" t="s">
        <v>30</v>
      </c>
      <c r="R210" s="29" t="s">
        <v>732</v>
      </c>
    </row>
    <row r="211" spans="1:18" x14ac:dyDescent="0.25">
      <c r="A211" s="27">
        <v>2008</v>
      </c>
      <c r="B211" t="s">
        <v>713</v>
      </c>
      <c r="C211" t="s">
        <v>729</v>
      </c>
      <c r="D211" s="27">
        <v>21</v>
      </c>
      <c r="E211" s="27">
        <v>13</v>
      </c>
      <c r="F211" s="24">
        <v>0.61799999999999999</v>
      </c>
      <c r="G211" s="26">
        <v>1</v>
      </c>
      <c r="H211" s="25">
        <v>79.099999999999994</v>
      </c>
      <c r="I211" s="25">
        <v>74.7</v>
      </c>
      <c r="J211" t="s">
        <v>30</v>
      </c>
      <c r="M211" s="33">
        <v>0</v>
      </c>
      <c r="N211" s="33">
        <v>0</v>
      </c>
      <c r="R211" s="29" t="str">
        <f>VLOOKUP(WNBA_TeamSeasons[[#This Row],[Team]],$Y$3:$Y$17,1,FALSE)</f>
        <v>Connecticut Sun</v>
      </c>
    </row>
    <row r="212" spans="1:18" x14ac:dyDescent="0.25">
      <c r="A212" s="27">
        <v>2008</v>
      </c>
      <c r="B212" t="s">
        <v>711</v>
      </c>
      <c r="C212" t="s">
        <v>729</v>
      </c>
      <c r="D212" s="27">
        <v>19</v>
      </c>
      <c r="E212" s="27">
        <v>15</v>
      </c>
      <c r="F212" s="24">
        <v>0.55900000000000005</v>
      </c>
      <c r="G212" s="26">
        <v>3</v>
      </c>
      <c r="H212" s="25">
        <v>75.7</v>
      </c>
      <c r="I212" s="25">
        <v>74.599999999999994</v>
      </c>
      <c r="J212" t="s">
        <v>30</v>
      </c>
      <c r="M212" s="33">
        <v>0</v>
      </c>
      <c r="N212" s="33">
        <v>0</v>
      </c>
      <c r="R212" s="29" t="str">
        <f>VLOOKUP(WNBA_TeamSeasons[[#This Row],[Team]],$Y$3:$Y$17,1,FALSE)</f>
        <v>New York Liberty</v>
      </c>
    </row>
    <row r="213" spans="1:18" x14ac:dyDescent="0.25">
      <c r="A213" s="27">
        <v>2008</v>
      </c>
      <c r="B213" t="s">
        <v>718</v>
      </c>
      <c r="C213" t="s">
        <v>729</v>
      </c>
      <c r="D213" s="27">
        <v>17</v>
      </c>
      <c r="E213" s="27">
        <v>17</v>
      </c>
      <c r="F213" s="24">
        <v>0.5</v>
      </c>
      <c r="G213" s="26">
        <v>5</v>
      </c>
      <c r="H213" s="25">
        <v>72.7</v>
      </c>
      <c r="I213" s="25">
        <v>72.3</v>
      </c>
      <c r="J213" t="s">
        <v>30</v>
      </c>
      <c r="M213" s="33">
        <v>0</v>
      </c>
      <c r="N213" s="33">
        <v>0</v>
      </c>
      <c r="R213" s="29" t="str">
        <f>VLOOKUP(WNBA_TeamSeasons[[#This Row],[Team]],$Y$3:$Y$17,1,FALSE)</f>
        <v>Indiana Fever</v>
      </c>
    </row>
    <row r="214" spans="1:18" x14ac:dyDescent="0.25">
      <c r="A214" s="27">
        <v>2008</v>
      </c>
      <c r="B214" t="s">
        <v>714</v>
      </c>
      <c r="C214" t="s">
        <v>729</v>
      </c>
      <c r="D214" s="27">
        <v>12</v>
      </c>
      <c r="E214" s="27">
        <v>22</v>
      </c>
      <c r="F214" s="24">
        <v>0.35299999999999998</v>
      </c>
      <c r="G214" s="26">
        <v>10</v>
      </c>
      <c r="H214" s="25">
        <v>72.7</v>
      </c>
      <c r="I214" s="25">
        <v>73.8</v>
      </c>
      <c r="M214" s="33">
        <v>0</v>
      </c>
      <c r="N214" s="33">
        <v>0</v>
      </c>
      <c r="R214" s="29" t="str">
        <f>VLOOKUP(WNBA_TeamSeasons[[#This Row],[Team]],$Y$3:$Y$17,1,FALSE)</f>
        <v>Chicago Sky</v>
      </c>
    </row>
    <row r="215" spans="1:18" x14ac:dyDescent="0.25">
      <c r="A215" s="27">
        <v>2008</v>
      </c>
      <c r="B215" t="s">
        <v>716</v>
      </c>
      <c r="C215" t="s">
        <v>729</v>
      </c>
      <c r="D215" s="27">
        <v>10</v>
      </c>
      <c r="E215" s="27">
        <v>24</v>
      </c>
      <c r="F215" s="24">
        <v>0.29399999999999998</v>
      </c>
      <c r="G215" s="26">
        <v>12</v>
      </c>
      <c r="H215" s="25">
        <v>69.599999999999994</v>
      </c>
      <c r="I215" s="25">
        <v>76.5</v>
      </c>
      <c r="M215" s="33">
        <v>0</v>
      </c>
      <c r="N215" s="33">
        <v>0</v>
      </c>
      <c r="R215" s="29" t="str">
        <f>VLOOKUP(WNBA_TeamSeasons[[#This Row],[Team]],$Y$3:$Y$17,1,FALSE)</f>
        <v>Washington Mystics</v>
      </c>
    </row>
    <row r="216" spans="1:18" x14ac:dyDescent="0.25">
      <c r="A216" s="27">
        <v>2008</v>
      </c>
      <c r="B216" t="s">
        <v>719</v>
      </c>
      <c r="C216" t="s">
        <v>729</v>
      </c>
      <c r="D216" s="27">
        <v>4</v>
      </c>
      <c r="E216" s="27">
        <v>30</v>
      </c>
      <c r="F216" s="24">
        <v>0.11799999999999999</v>
      </c>
      <c r="G216" s="26">
        <v>18</v>
      </c>
      <c r="H216" s="25">
        <v>74.5</v>
      </c>
      <c r="I216" s="25">
        <v>84.7</v>
      </c>
      <c r="M216" s="33">
        <v>0</v>
      </c>
      <c r="N216" s="33">
        <v>0</v>
      </c>
      <c r="R216" s="29" t="str">
        <f>VLOOKUP(WNBA_TeamSeasons[[#This Row],[Team]],$Y$3:$Y$17,1,FALSE)</f>
        <v>Atlanta Dream</v>
      </c>
    </row>
    <row r="217" spans="1:18" x14ac:dyDescent="0.25">
      <c r="A217" s="27">
        <v>2008</v>
      </c>
      <c r="B217" t="s">
        <v>721</v>
      </c>
      <c r="C217" t="s">
        <v>730</v>
      </c>
      <c r="D217" s="27">
        <v>24</v>
      </c>
      <c r="E217" s="27">
        <v>10</v>
      </c>
      <c r="F217" s="24">
        <v>0.70599999999999996</v>
      </c>
      <c r="G217" s="26">
        <v>0</v>
      </c>
      <c r="H217" s="25">
        <v>74.900000000000006</v>
      </c>
      <c r="I217" s="25">
        <v>71.099999999999994</v>
      </c>
      <c r="J217" t="s">
        <v>30</v>
      </c>
      <c r="K217" s="29" t="s">
        <v>30</v>
      </c>
      <c r="L217" s="29" t="s">
        <v>30</v>
      </c>
      <c r="M217" s="33">
        <v>0</v>
      </c>
      <c r="N217" s="33">
        <v>3</v>
      </c>
      <c r="O217" s="29" t="s">
        <v>30</v>
      </c>
      <c r="P217" s="29" t="s">
        <v>30</v>
      </c>
      <c r="R217" s="29" t="s">
        <v>709</v>
      </c>
    </row>
    <row r="218" spans="1:18" x14ac:dyDescent="0.25">
      <c r="A218" s="27">
        <v>2008</v>
      </c>
      <c r="B218" t="s">
        <v>715</v>
      </c>
      <c r="C218" t="s">
        <v>730</v>
      </c>
      <c r="D218" s="27">
        <v>22</v>
      </c>
      <c r="E218" s="27">
        <v>12</v>
      </c>
      <c r="F218" s="24">
        <v>0.64700000000000002</v>
      </c>
      <c r="G218" s="26">
        <v>2</v>
      </c>
      <c r="H218" s="25">
        <v>73.3</v>
      </c>
      <c r="I218" s="25">
        <v>70.8</v>
      </c>
      <c r="J218" t="s">
        <v>30</v>
      </c>
      <c r="M218" s="33">
        <v>0</v>
      </c>
      <c r="N218" s="33">
        <v>0</v>
      </c>
      <c r="R218" s="29" t="str">
        <f>VLOOKUP(WNBA_TeamSeasons[[#This Row],[Team]],$Y$3:$Y$17,1,FALSE)</f>
        <v>Seattle Storm</v>
      </c>
    </row>
    <row r="219" spans="1:18" x14ac:dyDescent="0.25">
      <c r="A219" s="27">
        <v>2008</v>
      </c>
      <c r="B219" t="s">
        <v>717</v>
      </c>
      <c r="C219" t="s">
        <v>730</v>
      </c>
      <c r="D219" s="27">
        <v>20</v>
      </c>
      <c r="E219" s="27">
        <v>14</v>
      </c>
      <c r="F219" s="24">
        <v>0.58799999999999997</v>
      </c>
      <c r="G219" s="26">
        <v>4</v>
      </c>
      <c r="H219" s="25">
        <v>76.400000000000006</v>
      </c>
      <c r="I219" s="25">
        <v>74.2</v>
      </c>
      <c r="J219" t="s">
        <v>30</v>
      </c>
      <c r="M219" s="33">
        <v>0</v>
      </c>
      <c r="N219" s="33">
        <v>0</v>
      </c>
      <c r="R219" s="29" t="str">
        <f>VLOOKUP(WNBA_TeamSeasons[[#This Row],[Team]],$Y$3:$Y$17,1,FALSE)</f>
        <v>Los Angeles Sparks</v>
      </c>
    </row>
    <row r="220" spans="1:18" x14ac:dyDescent="0.25">
      <c r="A220" s="27">
        <v>2008</v>
      </c>
      <c r="B220" t="s">
        <v>722</v>
      </c>
      <c r="C220" t="s">
        <v>730</v>
      </c>
      <c r="D220" s="27">
        <v>18</v>
      </c>
      <c r="E220" s="27">
        <v>16</v>
      </c>
      <c r="F220" s="24">
        <v>0.52900000000000003</v>
      </c>
      <c r="G220" s="26">
        <v>6</v>
      </c>
      <c r="H220" s="25">
        <v>74.900000000000006</v>
      </c>
      <c r="I220" s="25">
        <v>75.599999999999994</v>
      </c>
      <c r="J220" t="s">
        <v>30</v>
      </c>
      <c r="M220" s="33">
        <v>0</v>
      </c>
      <c r="N220" s="33">
        <v>0</v>
      </c>
      <c r="R220" s="29" t="str">
        <f>WNBA_TeamSeasons[[#This Row],[Team]]</f>
        <v>Sacramento Monarchs</v>
      </c>
    </row>
    <row r="221" spans="1:18" x14ac:dyDescent="0.25">
      <c r="A221" s="27">
        <v>2008</v>
      </c>
      <c r="B221" t="s">
        <v>724</v>
      </c>
      <c r="C221" t="s">
        <v>730</v>
      </c>
      <c r="D221" s="27">
        <v>17</v>
      </c>
      <c r="E221" s="27">
        <v>17</v>
      </c>
      <c r="F221" s="24">
        <v>0.5</v>
      </c>
      <c r="G221" s="26">
        <v>7</v>
      </c>
      <c r="H221" s="25">
        <v>75.3</v>
      </c>
      <c r="I221" s="25">
        <v>76.599999999999994</v>
      </c>
      <c r="M221" s="33">
        <v>0</v>
      </c>
      <c r="N221" s="33">
        <v>0</v>
      </c>
      <c r="R221" s="29" t="str">
        <f>WNBA_TeamSeasons[[#This Row],[Team]]</f>
        <v>Houston Comets</v>
      </c>
    </row>
    <row r="222" spans="1:18" x14ac:dyDescent="0.25">
      <c r="A222" s="27">
        <v>2008</v>
      </c>
      <c r="B222" t="s">
        <v>712</v>
      </c>
      <c r="C222" t="s">
        <v>730</v>
      </c>
      <c r="D222" s="27">
        <v>16</v>
      </c>
      <c r="E222" s="27">
        <v>18</v>
      </c>
      <c r="F222" s="24">
        <v>0.47099999999999997</v>
      </c>
      <c r="G222" s="26">
        <v>8</v>
      </c>
      <c r="H222" s="25">
        <v>81.400000000000006</v>
      </c>
      <c r="I222" s="25">
        <v>80</v>
      </c>
      <c r="M222" s="33">
        <v>0</v>
      </c>
      <c r="N222" s="33">
        <v>0</v>
      </c>
      <c r="R222" s="29" t="str">
        <f>VLOOKUP(WNBA_TeamSeasons[[#This Row],[Team]],$Y$3:$Y$17,1,FALSE)</f>
        <v>Minnesota Lynx</v>
      </c>
    </row>
    <row r="223" spans="1:18" x14ac:dyDescent="0.25">
      <c r="A223" s="27">
        <v>2008</v>
      </c>
      <c r="B223" t="s">
        <v>710</v>
      </c>
      <c r="C223" t="s">
        <v>730</v>
      </c>
      <c r="D223" s="27">
        <v>16</v>
      </c>
      <c r="E223" s="27">
        <v>18</v>
      </c>
      <c r="F223" s="24">
        <v>0.47099999999999997</v>
      </c>
      <c r="G223" s="26">
        <v>8</v>
      </c>
      <c r="H223" s="25">
        <v>88.5</v>
      </c>
      <c r="I223" s="25">
        <v>88.5</v>
      </c>
      <c r="M223" s="33">
        <v>0</v>
      </c>
      <c r="N223" s="33">
        <v>0</v>
      </c>
      <c r="R223" s="29" t="str">
        <f>VLOOKUP(WNBA_TeamSeasons[[#This Row],[Team]],$Y$3:$Y$17,1,FALSE)</f>
        <v>Phoenix Mercury</v>
      </c>
    </row>
    <row r="224" spans="1:18" x14ac:dyDescent="0.25">
      <c r="A224" s="27">
        <v>2007</v>
      </c>
      <c r="B224" t="s">
        <v>720</v>
      </c>
      <c r="C224" t="s">
        <v>729</v>
      </c>
      <c r="D224" s="27">
        <v>24</v>
      </c>
      <c r="E224" s="27">
        <v>10</v>
      </c>
      <c r="F224" s="24">
        <v>0.70599999999999996</v>
      </c>
      <c r="G224" s="26">
        <v>0</v>
      </c>
      <c r="H224" s="25">
        <v>79.3</v>
      </c>
      <c r="I224" s="25">
        <v>74.7</v>
      </c>
      <c r="J224" t="s">
        <v>30</v>
      </c>
      <c r="K224" s="29" t="s">
        <v>30</v>
      </c>
      <c r="L224" s="29" t="s">
        <v>30</v>
      </c>
      <c r="M224" s="33">
        <v>2</v>
      </c>
      <c r="N224" s="33">
        <v>3</v>
      </c>
      <c r="O224" s="29" t="s">
        <v>30</v>
      </c>
      <c r="P224" s="29" t="s">
        <v>30</v>
      </c>
      <c r="R224" s="29" t="s">
        <v>732</v>
      </c>
    </row>
    <row r="225" spans="1:18" x14ac:dyDescent="0.25">
      <c r="A225" s="27">
        <v>2007</v>
      </c>
      <c r="B225" t="s">
        <v>718</v>
      </c>
      <c r="C225" t="s">
        <v>729</v>
      </c>
      <c r="D225" s="27">
        <v>21</v>
      </c>
      <c r="E225" s="27">
        <v>13</v>
      </c>
      <c r="F225" s="24">
        <v>0.61799999999999999</v>
      </c>
      <c r="G225" s="26">
        <v>3</v>
      </c>
      <c r="H225" s="25">
        <v>72.900000000000006</v>
      </c>
      <c r="I225" s="25">
        <v>69.7</v>
      </c>
      <c r="J225" t="s">
        <v>30</v>
      </c>
      <c r="M225" s="33">
        <v>0</v>
      </c>
      <c r="N225" s="33">
        <v>0</v>
      </c>
      <c r="R225" s="29" t="str">
        <f>VLOOKUP(WNBA_TeamSeasons[[#This Row],[Team]],$Y$3:$Y$17,1,FALSE)</f>
        <v>Indiana Fever</v>
      </c>
    </row>
    <row r="226" spans="1:18" x14ac:dyDescent="0.25">
      <c r="A226" s="27">
        <v>2007</v>
      </c>
      <c r="B226" t="s">
        <v>713</v>
      </c>
      <c r="C226" t="s">
        <v>729</v>
      </c>
      <c r="D226" s="27">
        <v>18</v>
      </c>
      <c r="E226" s="27">
        <v>16</v>
      </c>
      <c r="F226" s="24">
        <v>0.52900000000000003</v>
      </c>
      <c r="G226" s="26">
        <v>6</v>
      </c>
      <c r="H226" s="25">
        <v>76.5</v>
      </c>
      <c r="I226" s="25">
        <v>74</v>
      </c>
      <c r="J226" t="s">
        <v>30</v>
      </c>
      <c r="M226" s="33">
        <v>0</v>
      </c>
      <c r="N226" s="33">
        <v>0</v>
      </c>
      <c r="R226" s="29" t="str">
        <f>VLOOKUP(WNBA_TeamSeasons[[#This Row],[Team]],$Y$3:$Y$17,1,FALSE)</f>
        <v>Connecticut Sun</v>
      </c>
    </row>
    <row r="227" spans="1:18" x14ac:dyDescent="0.25">
      <c r="A227" s="27">
        <v>2007</v>
      </c>
      <c r="B227" t="s">
        <v>711</v>
      </c>
      <c r="C227" t="s">
        <v>729</v>
      </c>
      <c r="D227" s="27">
        <v>16</v>
      </c>
      <c r="E227" s="27">
        <v>18</v>
      </c>
      <c r="F227" s="24">
        <v>0.47099999999999997</v>
      </c>
      <c r="G227" s="26">
        <v>8</v>
      </c>
      <c r="H227" s="25">
        <v>68.7</v>
      </c>
      <c r="I227" s="25">
        <v>71.400000000000006</v>
      </c>
      <c r="J227" t="s">
        <v>30</v>
      </c>
      <c r="M227" s="33">
        <v>0</v>
      </c>
      <c r="N227" s="33">
        <v>0</v>
      </c>
      <c r="R227" s="29" t="str">
        <f>VLOOKUP(WNBA_TeamSeasons[[#This Row],[Team]],$Y$3:$Y$17,1,FALSE)</f>
        <v>New York Liberty</v>
      </c>
    </row>
    <row r="228" spans="1:18" x14ac:dyDescent="0.25">
      <c r="A228" s="27">
        <v>2007</v>
      </c>
      <c r="B228" t="s">
        <v>716</v>
      </c>
      <c r="C228" t="s">
        <v>729</v>
      </c>
      <c r="D228" s="27">
        <v>16</v>
      </c>
      <c r="E228" s="27">
        <v>18</v>
      </c>
      <c r="F228" s="24">
        <v>0.47099999999999997</v>
      </c>
      <c r="G228" s="26">
        <v>8</v>
      </c>
      <c r="H228" s="25">
        <v>76</v>
      </c>
      <c r="I228" s="25">
        <v>77.599999999999994</v>
      </c>
      <c r="M228" s="33">
        <v>0</v>
      </c>
      <c r="N228" s="33">
        <v>0</v>
      </c>
      <c r="R228" s="29" t="str">
        <f>VLOOKUP(WNBA_TeamSeasons[[#This Row],[Team]],$Y$3:$Y$17,1,FALSE)</f>
        <v>Washington Mystics</v>
      </c>
    </row>
    <row r="229" spans="1:18" x14ac:dyDescent="0.25">
      <c r="A229" s="27">
        <v>2007</v>
      </c>
      <c r="B229" t="s">
        <v>714</v>
      </c>
      <c r="C229" t="s">
        <v>729</v>
      </c>
      <c r="D229" s="27">
        <v>14</v>
      </c>
      <c r="E229" s="27">
        <v>20</v>
      </c>
      <c r="F229" s="24">
        <v>0.41199999999999998</v>
      </c>
      <c r="G229" s="26">
        <v>10</v>
      </c>
      <c r="H229" s="25">
        <v>74.3</v>
      </c>
      <c r="I229" s="25">
        <v>76.8</v>
      </c>
      <c r="M229" s="33">
        <v>0</v>
      </c>
      <c r="N229" s="33">
        <v>0</v>
      </c>
      <c r="R229" s="29" t="str">
        <f>VLOOKUP(WNBA_TeamSeasons[[#This Row],[Team]],$Y$3:$Y$17,1,FALSE)</f>
        <v>Chicago Sky</v>
      </c>
    </row>
    <row r="230" spans="1:18" x14ac:dyDescent="0.25">
      <c r="A230" s="27">
        <v>2007</v>
      </c>
      <c r="B230" t="s">
        <v>710</v>
      </c>
      <c r="C230" t="s">
        <v>730</v>
      </c>
      <c r="D230" s="27">
        <v>23</v>
      </c>
      <c r="E230" s="27">
        <v>11</v>
      </c>
      <c r="F230" s="24">
        <v>0.67600000000000005</v>
      </c>
      <c r="G230" s="26">
        <v>0</v>
      </c>
      <c r="H230" s="25">
        <v>89</v>
      </c>
      <c r="I230" s="25">
        <v>85.4</v>
      </c>
      <c r="J230" t="s">
        <v>30</v>
      </c>
      <c r="K230" s="29" t="s">
        <v>30</v>
      </c>
      <c r="M230" s="33">
        <v>3</v>
      </c>
      <c r="N230" s="33">
        <v>2</v>
      </c>
      <c r="O230" s="29" t="s">
        <v>30</v>
      </c>
      <c r="P230" s="29" t="s">
        <v>30</v>
      </c>
      <c r="Q230" s="29" t="s">
        <v>30</v>
      </c>
      <c r="R230" s="29" t="str">
        <f>VLOOKUP(WNBA_TeamSeasons[[#This Row],[Team]],$Y$3:$Y$17,1,FALSE)</f>
        <v>Phoenix Mercury</v>
      </c>
    </row>
    <row r="231" spans="1:18" x14ac:dyDescent="0.25">
      <c r="A231" s="27">
        <v>2007</v>
      </c>
      <c r="B231" t="s">
        <v>721</v>
      </c>
      <c r="C231" t="s">
        <v>730</v>
      </c>
      <c r="D231" s="27">
        <v>20</v>
      </c>
      <c r="E231" s="27">
        <v>14</v>
      </c>
      <c r="F231" s="24">
        <v>0.58799999999999997</v>
      </c>
      <c r="G231" s="26">
        <v>3</v>
      </c>
      <c r="H231" s="25">
        <v>74</v>
      </c>
      <c r="I231" s="25">
        <v>73.099999999999994</v>
      </c>
      <c r="J231" t="s">
        <v>30</v>
      </c>
      <c r="M231" s="33">
        <v>0</v>
      </c>
      <c r="N231" s="33">
        <v>0</v>
      </c>
      <c r="R231" s="29" t="s">
        <v>709</v>
      </c>
    </row>
    <row r="232" spans="1:18" x14ac:dyDescent="0.25">
      <c r="A232" s="27">
        <v>2007</v>
      </c>
      <c r="B232" t="s">
        <v>722</v>
      </c>
      <c r="C232" t="s">
        <v>730</v>
      </c>
      <c r="D232" s="27">
        <v>19</v>
      </c>
      <c r="E232" s="27">
        <v>15</v>
      </c>
      <c r="F232" s="24">
        <v>0.55900000000000005</v>
      </c>
      <c r="G232" s="26">
        <v>4</v>
      </c>
      <c r="H232" s="25">
        <v>74.3</v>
      </c>
      <c r="I232" s="25">
        <v>72.900000000000006</v>
      </c>
      <c r="J232" t="s">
        <v>30</v>
      </c>
      <c r="M232" s="33">
        <v>0</v>
      </c>
      <c r="N232" s="33">
        <v>0</v>
      </c>
      <c r="R232" s="29" t="str">
        <f>WNBA_TeamSeasons[[#This Row],[Team]]</f>
        <v>Sacramento Monarchs</v>
      </c>
    </row>
    <row r="233" spans="1:18" x14ac:dyDescent="0.25">
      <c r="A233" s="27">
        <v>2007</v>
      </c>
      <c r="B233" t="s">
        <v>715</v>
      </c>
      <c r="C233" t="s">
        <v>730</v>
      </c>
      <c r="D233" s="27">
        <v>17</v>
      </c>
      <c r="E233" s="27">
        <v>17</v>
      </c>
      <c r="F233" s="24">
        <v>0.5</v>
      </c>
      <c r="G233" s="26">
        <v>6</v>
      </c>
      <c r="H233" s="25">
        <v>80.400000000000006</v>
      </c>
      <c r="I233" s="25">
        <v>77.900000000000006</v>
      </c>
      <c r="J233" t="s">
        <v>30</v>
      </c>
      <c r="M233" s="33">
        <v>0</v>
      </c>
      <c r="N233" s="33">
        <v>0</v>
      </c>
      <c r="R233" s="29" t="str">
        <f>VLOOKUP(WNBA_TeamSeasons[[#This Row],[Team]],$Y$3:$Y$17,1,FALSE)</f>
        <v>Seattle Storm</v>
      </c>
    </row>
    <row r="234" spans="1:18" x14ac:dyDescent="0.25">
      <c r="A234" s="27">
        <v>2007</v>
      </c>
      <c r="B234" t="s">
        <v>724</v>
      </c>
      <c r="C234" t="s">
        <v>730</v>
      </c>
      <c r="D234" s="27">
        <v>13</v>
      </c>
      <c r="E234" s="27">
        <v>21</v>
      </c>
      <c r="F234" s="24">
        <v>0.38200000000000001</v>
      </c>
      <c r="G234" s="26">
        <v>10</v>
      </c>
      <c r="H234" s="25">
        <v>73.8</v>
      </c>
      <c r="I234" s="25">
        <v>77.3</v>
      </c>
      <c r="M234" s="33">
        <v>0</v>
      </c>
      <c r="N234" s="33">
        <v>0</v>
      </c>
      <c r="R234" s="29" t="str">
        <f>WNBA_TeamSeasons[[#This Row],[Team]]</f>
        <v>Houston Comets</v>
      </c>
    </row>
    <row r="235" spans="1:18" x14ac:dyDescent="0.25">
      <c r="A235" s="27">
        <v>2007</v>
      </c>
      <c r="B235" t="s">
        <v>717</v>
      </c>
      <c r="C235" t="s">
        <v>730</v>
      </c>
      <c r="D235" s="27">
        <v>10</v>
      </c>
      <c r="E235" s="27">
        <v>24</v>
      </c>
      <c r="F235" s="24">
        <v>0.29399999999999998</v>
      </c>
      <c r="G235" s="26">
        <v>13</v>
      </c>
      <c r="H235" s="25">
        <v>74.5</v>
      </c>
      <c r="I235" s="25">
        <v>79.599999999999994</v>
      </c>
      <c r="M235" s="33">
        <v>0</v>
      </c>
      <c r="N235" s="33">
        <v>0</v>
      </c>
      <c r="R235" s="29" t="str">
        <f>VLOOKUP(WNBA_TeamSeasons[[#This Row],[Team]],$Y$3:$Y$17,1,FALSE)</f>
        <v>Los Angeles Sparks</v>
      </c>
    </row>
    <row r="236" spans="1:18" x14ac:dyDescent="0.25">
      <c r="A236" s="27">
        <v>2007</v>
      </c>
      <c r="B236" t="s">
        <v>712</v>
      </c>
      <c r="C236" t="s">
        <v>730</v>
      </c>
      <c r="D236" s="27">
        <v>10</v>
      </c>
      <c r="E236" s="27">
        <v>24</v>
      </c>
      <c r="F236" s="24">
        <v>0.29399999999999998</v>
      </c>
      <c r="G236" s="26">
        <v>13</v>
      </c>
      <c r="H236" s="25">
        <v>77.5</v>
      </c>
      <c r="I236" s="25">
        <v>80.900000000000006</v>
      </c>
      <c r="M236" s="33">
        <v>0</v>
      </c>
      <c r="N236" s="33">
        <v>0</v>
      </c>
      <c r="R236" s="29" t="str">
        <f>VLOOKUP(WNBA_TeamSeasons[[#This Row],[Team]],$Y$3:$Y$17,1,FALSE)</f>
        <v>Minnesota Lynx</v>
      </c>
    </row>
    <row r="237" spans="1:18" x14ac:dyDescent="0.25">
      <c r="A237" s="27">
        <v>2006</v>
      </c>
      <c r="B237" t="s">
        <v>713</v>
      </c>
      <c r="C237" t="s">
        <v>729</v>
      </c>
      <c r="D237" s="27">
        <v>26</v>
      </c>
      <c r="E237" s="27">
        <v>8</v>
      </c>
      <c r="F237" s="24">
        <v>0.76500000000000001</v>
      </c>
      <c r="G237" s="26">
        <v>0</v>
      </c>
      <c r="H237" s="25">
        <v>78.900000000000006</v>
      </c>
      <c r="I237" s="25">
        <v>71.099999999999994</v>
      </c>
      <c r="J237" t="s">
        <v>30</v>
      </c>
      <c r="K237" s="29" t="s">
        <v>30</v>
      </c>
      <c r="L237" s="29" t="s">
        <v>30</v>
      </c>
      <c r="M237" s="33">
        <v>0</v>
      </c>
      <c r="N237" s="33">
        <v>0</v>
      </c>
      <c r="R237" s="29" t="str">
        <f>VLOOKUP(WNBA_TeamSeasons[[#This Row],[Team]],$Y$3:$Y$17,1,FALSE)</f>
        <v>Connecticut Sun</v>
      </c>
    </row>
    <row r="238" spans="1:18" x14ac:dyDescent="0.25">
      <c r="A238" s="27">
        <v>2006</v>
      </c>
      <c r="B238" t="s">
        <v>720</v>
      </c>
      <c r="C238" t="s">
        <v>729</v>
      </c>
      <c r="D238" s="27">
        <v>23</v>
      </c>
      <c r="E238" s="27">
        <v>11</v>
      </c>
      <c r="F238" s="24">
        <v>0.67600000000000005</v>
      </c>
      <c r="G238" s="26">
        <v>3</v>
      </c>
      <c r="H238" s="25">
        <v>74.3</v>
      </c>
      <c r="I238" s="25">
        <v>70.099999999999994</v>
      </c>
      <c r="J238" t="s">
        <v>30</v>
      </c>
      <c r="M238" s="33">
        <v>3</v>
      </c>
      <c r="N238" s="33">
        <v>2</v>
      </c>
      <c r="O238" s="29" t="s">
        <v>30</v>
      </c>
      <c r="P238" s="29" t="s">
        <v>30</v>
      </c>
      <c r="Q238" s="29" t="s">
        <v>30</v>
      </c>
      <c r="R238" s="29" t="s">
        <v>732</v>
      </c>
    </row>
    <row r="239" spans="1:18" x14ac:dyDescent="0.25">
      <c r="A239" s="27">
        <v>2006</v>
      </c>
      <c r="B239" t="s">
        <v>718</v>
      </c>
      <c r="C239" t="s">
        <v>729</v>
      </c>
      <c r="D239" s="27">
        <v>21</v>
      </c>
      <c r="E239" s="27">
        <v>13</v>
      </c>
      <c r="F239" s="24">
        <v>0.61799999999999999</v>
      </c>
      <c r="G239" s="26">
        <v>5</v>
      </c>
      <c r="H239" s="25">
        <v>71.599999999999994</v>
      </c>
      <c r="I239" s="25">
        <v>68.099999999999994</v>
      </c>
      <c r="J239" t="s">
        <v>30</v>
      </c>
      <c r="M239" s="33">
        <v>0</v>
      </c>
      <c r="N239" s="33">
        <v>0</v>
      </c>
      <c r="R239" s="29" t="str">
        <f>VLOOKUP(WNBA_TeamSeasons[[#This Row],[Team]],$Y$3:$Y$17,1,FALSE)</f>
        <v>Indiana Fever</v>
      </c>
    </row>
    <row r="240" spans="1:18" x14ac:dyDescent="0.25">
      <c r="A240" s="27">
        <v>2006</v>
      </c>
      <c r="B240" t="s">
        <v>716</v>
      </c>
      <c r="C240" t="s">
        <v>729</v>
      </c>
      <c r="D240" s="27">
        <v>18</v>
      </c>
      <c r="E240" s="27">
        <v>16</v>
      </c>
      <c r="F240" s="24">
        <v>0.52900000000000003</v>
      </c>
      <c r="G240" s="26">
        <v>8</v>
      </c>
      <c r="H240" s="25">
        <v>80.8</v>
      </c>
      <c r="I240" s="25">
        <v>78.099999999999994</v>
      </c>
      <c r="J240" t="s">
        <v>30</v>
      </c>
      <c r="M240" s="33">
        <v>0</v>
      </c>
      <c r="N240" s="33">
        <v>0</v>
      </c>
      <c r="R240" s="29" t="str">
        <f>VLOOKUP(WNBA_TeamSeasons[[#This Row],[Team]],$Y$3:$Y$17,1,FALSE)</f>
        <v>Washington Mystics</v>
      </c>
    </row>
    <row r="241" spans="1:18" x14ac:dyDescent="0.25">
      <c r="A241" s="27">
        <v>2006</v>
      </c>
      <c r="B241" t="s">
        <v>723</v>
      </c>
      <c r="C241" t="s">
        <v>729</v>
      </c>
      <c r="D241" s="27">
        <v>11</v>
      </c>
      <c r="E241" s="27">
        <v>23</v>
      </c>
      <c r="F241" s="24">
        <v>0.32400000000000001</v>
      </c>
      <c r="G241" s="26">
        <v>15</v>
      </c>
      <c r="H241" s="25">
        <v>72.2</v>
      </c>
      <c r="I241" s="25">
        <v>75.599999999999994</v>
      </c>
      <c r="M241" s="33">
        <v>0</v>
      </c>
      <c r="N241" s="33">
        <v>0</v>
      </c>
      <c r="R241" s="29" t="str">
        <f>WNBA_TeamSeasons[[#This Row],[Team]]</f>
        <v>Charlotte Sting</v>
      </c>
    </row>
    <row r="242" spans="1:18" x14ac:dyDescent="0.25">
      <c r="A242" s="27">
        <v>2006</v>
      </c>
      <c r="B242" t="s">
        <v>711</v>
      </c>
      <c r="C242" t="s">
        <v>729</v>
      </c>
      <c r="D242" s="27">
        <v>11</v>
      </c>
      <c r="E242" s="27">
        <v>23</v>
      </c>
      <c r="F242" s="24">
        <v>0.32400000000000001</v>
      </c>
      <c r="G242" s="26">
        <v>15</v>
      </c>
      <c r="H242" s="25">
        <v>67.2</v>
      </c>
      <c r="I242" s="25">
        <v>75.400000000000006</v>
      </c>
      <c r="M242" s="33">
        <v>0</v>
      </c>
      <c r="N242" s="33">
        <v>0</v>
      </c>
      <c r="R242" s="29" t="str">
        <f>VLOOKUP(WNBA_TeamSeasons[[#This Row],[Team]],$Y$3:$Y$17,1,FALSE)</f>
        <v>New York Liberty</v>
      </c>
    </row>
    <row r="243" spans="1:18" x14ac:dyDescent="0.25">
      <c r="A243" s="27">
        <v>2006</v>
      </c>
      <c r="B243" t="s">
        <v>714</v>
      </c>
      <c r="C243" t="s">
        <v>729</v>
      </c>
      <c r="D243" s="27">
        <v>5</v>
      </c>
      <c r="E243" s="27">
        <v>29</v>
      </c>
      <c r="F243" s="24">
        <v>0.14699999999999999</v>
      </c>
      <c r="G243" s="26">
        <v>21</v>
      </c>
      <c r="H243" s="25">
        <v>68.3</v>
      </c>
      <c r="I243" s="25">
        <v>79</v>
      </c>
      <c r="M243" s="33">
        <v>0</v>
      </c>
      <c r="N243" s="33">
        <v>0</v>
      </c>
      <c r="R243" s="29" t="str">
        <f>VLOOKUP(WNBA_TeamSeasons[[#This Row],[Team]],$Y$3:$Y$17,1,FALSE)</f>
        <v>Chicago Sky</v>
      </c>
    </row>
    <row r="244" spans="1:18" x14ac:dyDescent="0.25">
      <c r="A244" s="27">
        <v>2006</v>
      </c>
      <c r="B244" t="s">
        <v>717</v>
      </c>
      <c r="C244" t="s">
        <v>730</v>
      </c>
      <c r="D244" s="27">
        <v>25</v>
      </c>
      <c r="E244" s="27">
        <v>9</v>
      </c>
      <c r="F244" s="24">
        <v>0.73499999999999999</v>
      </c>
      <c r="G244" s="26">
        <v>0</v>
      </c>
      <c r="H244" s="25">
        <v>75.7</v>
      </c>
      <c r="I244" s="25">
        <v>72.8</v>
      </c>
      <c r="J244" t="s">
        <v>30</v>
      </c>
      <c r="K244" s="29" t="s">
        <v>30</v>
      </c>
      <c r="M244" s="33">
        <v>0</v>
      </c>
      <c r="N244" s="33">
        <v>0</v>
      </c>
      <c r="R244" s="29" t="str">
        <f>VLOOKUP(WNBA_TeamSeasons[[#This Row],[Team]],$Y$3:$Y$17,1,FALSE)</f>
        <v>Los Angeles Sparks</v>
      </c>
    </row>
    <row r="245" spans="1:18" x14ac:dyDescent="0.25">
      <c r="A245" s="27">
        <v>2006</v>
      </c>
      <c r="B245" t="s">
        <v>722</v>
      </c>
      <c r="C245" t="s">
        <v>730</v>
      </c>
      <c r="D245" s="27">
        <v>21</v>
      </c>
      <c r="E245" s="27">
        <v>13</v>
      </c>
      <c r="F245" s="24">
        <v>0.61799999999999999</v>
      </c>
      <c r="G245" s="26">
        <v>4</v>
      </c>
      <c r="H245" s="25">
        <v>74.599999999999994</v>
      </c>
      <c r="I245" s="25">
        <v>70.7</v>
      </c>
      <c r="J245" t="s">
        <v>30</v>
      </c>
      <c r="M245" s="33">
        <v>2</v>
      </c>
      <c r="N245" s="33">
        <v>3</v>
      </c>
      <c r="O245" s="29" t="s">
        <v>30</v>
      </c>
      <c r="P245" s="29" t="s">
        <v>30</v>
      </c>
      <c r="R245" s="29" t="str">
        <f>WNBA_TeamSeasons[[#This Row],[Team]]</f>
        <v>Sacramento Monarchs</v>
      </c>
    </row>
    <row r="246" spans="1:18" x14ac:dyDescent="0.25">
      <c r="A246" s="27">
        <v>2006</v>
      </c>
      <c r="B246" t="s">
        <v>724</v>
      </c>
      <c r="C246" t="s">
        <v>730</v>
      </c>
      <c r="D246" s="27">
        <v>18</v>
      </c>
      <c r="E246" s="27">
        <v>16</v>
      </c>
      <c r="F246" s="24">
        <v>0.52900000000000003</v>
      </c>
      <c r="G246" s="26">
        <v>7</v>
      </c>
      <c r="H246" s="25">
        <v>73.7</v>
      </c>
      <c r="I246" s="25">
        <v>72</v>
      </c>
      <c r="J246" t="s">
        <v>30</v>
      </c>
      <c r="M246" s="33">
        <v>0</v>
      </c>
      <c r="N246" s="33">
        <v>0</v>
      </c>
      <c r="R246" s="29" t="str">
        <f>WNBA_TeamSeasons[[#This Row],[Team]]</f>
        <v>Houston Comets</v>
      </c>
    </row>
    <row r="247" spans="1:18" x14ac:dyDescent="0.25">
      <c r="A247" s="27">
        <v>2006</v>
      </c>
      <c r="B247" t="s">
        <v>715</v>
      </c>
      <c r="C247" t="s">
        <v>730</v>
      </c>
      <c r="D247" s="27">
        <v>18</v>
      </c>
      <c r="E247" s="27">
        <v>16</v>
      </c>
      <c r="F247" s="24">
        <v>0.52900000000000003</v>
      </c>
      <c r="G247" s="26">
        <v>7</v>
      </c>
      <c r="H247" s="25">
        <v>77.8</v>
      </c>
      <c r="I247" s="25">
        <v>75.7</v>
      </c>
      <c r="J247" t="s">
        <v>30</v>
      </c>
      <c r="M247" s="33">
        <v>0</v>
      </c>
      <c r="N247" s="33">
        <v>0</v>
      </c>
      <c r="R247" s="29" t="str">
        <f>VLOOKUP(WNBA_TeamSeasons[[#This Row],[Team]],$Y$3:$Y$17,1,FALSE)</f>
        <v>Seattle Storm</v>
      </c>
    </row>
    <row r="248" spans="1:18" x14ac:dyDescent="0.25">
      <c r="A248" s="27">
        <v>2006</v>
      </c>
      <c r="B248" t="s">
        <v>710</v>
      </c>
      <c r="C248" t="s">
        <v>730</v>
      </c>
      <c r="D248" s="27">
        <v>18</v>
      </c>
      <c r="E248" s="27">
        <v>16</v>
      </c>
      <c r="F248" s="24">
        <v>0.52900000000000003</v>
      </c>
      <c r="G248" s="26">
        <v>7</v>
      </c>
      <c r="H248" s="25">
        <v>84.3</v>
      </c>
      <c r="I248" s="25">
        <v>82.1</v>
      </c>
      <c r="M248" s="33">
        <v>0</v>
      </c>
      <c r="N248" s="33">
        <v>0</v>
      </c>
      <c r="R248" s="29" t="str">
        <f>VLOOKUP(WNBA_TeamSeasons[[#This Row],[Team]],$Y$3:$Y$17,1,FALSE)</f>
        <v>Phoenix Mercury</v>
      </c>
    </row>
    <row r="249" spans="1:18" x14ac:dyDescent="0.25">
      <c r="A249" s="27">
        <v>2006</v>
      </c>
      <c r="B249" t="s">
        <v>721</v>
      </c>
      <c r="C249" t="s">
        <v>730</v>
      </c>
      <c r="D249" s="27">
        <v>13</v>
      </c>
      <c r="E249" s="27">
        <v>21</v>
      </c>
      <c r="F249" s="24">
        <v>0.38200000000000001</v>
      </c>
      <c r="G249" s="26">
        <v>12</v>
      </c>
      <c r="H249" s="25">
        <v>74.2</v>
      </c>
      <c r="I249" s="25">
        <v>76.599999999999994</v>
      </c>
      <c r="M249" s="33">
        <v>0</v>
      </c>
      <c r="N249" s="33">
        <v>0</v>
      </c>
      <c r="R249" s="29" t="s">
        <v>709</v>
      </c>
    </row>
    <row r="250" spans="1:18" x14ac:dyDescent="0.25">
      <c r="A250" s="27">
        <v>2006</v>
      </c>
      <c r="B250" t="s">
        <v>712</v>
      </c>
      <c r="C250" t="s">
        <v>730</v>
      </c>
      <c r="D250" s="27">
        <v>10</v>
      </c>
      <c r="E250" s="27">
        <v>24</v>
      </c>
      <c r="F250" s="24">
        <v>0.29399999999999998</v>
      </c>
      <c r="G250" s="26">
        <v>15</v>
      </c>
      <c r="H250" s="25">
        <v>74.2</v>
      </c>
      <c r="I250" s="25">
        <v>80.400000000000006</v>
      </c>
      <c r="M250" s="33">
        <v>0</v>
      </c>
      <c r="N250" s="33">
        <v>0</v>
      </c>
      <c r="R250" s="29" t="str">
        <f>VLOOKUP(WNBA_TeamSeasons[[#This Row],[Team]],$Y$3:$Y$17,1,FALSE)</f>
        <v>Minnesota Lynx</v>
      </c>
    </row>
    <row r="251" spans="1:18" x14ac:dyDescent="0.25">
      <c r="A251" s="27">
        <v>2005</v>
      </c>
      <c r="B251" t="s">
        <v>713</v>
      </c>
      <c r="C251" t="s">
        <v>729</v>
      </c>
      <c r="D251" s="27">
        <v>26</v>
      </c>
      <c r="E251" s="27">
        <v>8</v>
      </c>
      <c r="F251" s="24">
        <v>0.76500000000000001</v>
      </c>
      <c r="G251" s="26">
        <v>0</v>
      </c>
      <c r="H251" s="25">
        <v>72.8</v>
      </c>
      <c r="I251" s="25">
        <v>66</v>
      </c>
      <c r="J251" t="s">
        <v>30</v>
      </c>
      <c r="K251" s="29" t="s">
        <v>30</v>
      </c>
      <c r="L251" s="29" t="s">
        <v>30</v>
      </c>
      <c r="M251" s="33">
        <v>1</v>
      </c>
      <c r="N251" s="33">
        <v>3</v>
      </c>
      <c r="O251" s="29" t="s">
        <v>30</v>
      </c>
      <c r="P251" s="29" t="s">
        <v>30</v>
      </c>
      <c r="R251" s="29" t="str">
        <f>VLOOKUP(WNBA_TeamSeasons[[#This Row],[Team]],$Y$3:$Y$17,1,FALSE)</f>
        <v>Connecticut Sun</v>
      </c>
    </row>
    <row r="252" spans="1:18" x14ac:dyDescent="0.25">
      <c r="A252" s="27">
        <v>2005</v>
      </c>
      <c r="B252" t="s">
        <v>718</v>
      </c>
      <c r="C252" t="s">
        <v>729</v>
      </c>
      <c r="D252" s="27">
        <v>21</v>
      </c>
      <c r="E252" s="27">
        <v>13</v>
      </c>
      <c r="F252" s="24">
        <v>0.61799999999999999</v>
      </c>
      <c r="G252" s="26">
        <v>5</v>
      </c>
      <c r="H252" s="25">
        <v>63.8</v>
      </c>
      <c r="I252" s="25">
        <v>62.7</v>
      </c>
      <c r="J252" t="s">
        <v>30</v>
      </c>
      <c r="M252" s="33">
        <v>0</v>
      </c>
      <c r="N252" s="33">
        <v>0</v>
      </c>
      <c r="R252" s="29" t="str">
        <f>VLOOKUP(WNBA_TeamSeasons[[#This Row],[Team]],$Y$3:$Y$17,1,FALSE)</f>
        <v>Indiana Fever</v>
      </c>
    </row>
    <row r="253" spans="1:18" x14ac:dyDescent="0.25">
      <c r="A253" s="27">
        <v>2005</v>
      </c>
      <c r="B253" t="s">
        <v>711</v>
      </c>
      <c r="C253" t="s">
        <v>729</v>
      </c>
      <c r="D253" s="27">
        <v>18</v>
      </c>
      <c r="E253" s="27">
        <v>16</v>
      </c>
      <c r="F253" s="24">
        <v>0.52900000000000003</v>
      </c>
      <c r="G253" s="26">
        <v>8</v>
      </c>
      <c r="H253" s="25">
        <v>68.099999999999994</v>
      </c>
      <c r="I253" s="25">
        <v>67.2</v>
      </c>
      <c r="J253" t="s">
        <v>30</v>
      </c>
      <c r="M253" s="33">
        <v>0</v>
      </c>
      <c r="N253" s="33">
        <v>0</v>
      </c>
      <c r="R253" s="29" t="str">
        <f>VLOOKUP(WNBA_TeamSeasons[[#This Row],[Team]],$Y$3:$Y$17,1,FALSE)</f>
        <v>New York Liberty</v>
      </c>
    </row>
    <row r="254" spans="1:18" x14ac:dyDescent="0.25">
      <c r="A254" s="27">
        <v>2005</v>
      </c>
      <c r="B254" t="s">
        <v>720</v>
      </c>
      <c r="C254" t="s">
        <v>729</v>
      </c>
      <c r="D254" s="27">
        <v>16</v>
      </c>
      <c r="E254" s="27">
        <v>18</v>
      </c>
      <c r="F254" s="24">
        <v>0.47099999999999997</v>
      </c>
      <c r="G254" s="26">
        <v>10</v>
      </c>
      <c r="H254" s="25">
        <v>66.099999999999994</v>
      </c>
      <c r="I254" s="25">
        <v>67.3</v>
      </c>
      <c r="J254" t="s">
        <v>30</v>
      </c>
      <c r="M254" s="33">
        <v>0</v>
      </c>
      <c r="N254" s="33">
        <v>0</v>
      </c>
      <c r="R254" s="29" t="s">
        <v>732</v>
      </c>
    </row>
    <row r="255" spans="1:18" x14ac:dyDescent="0.25">
      <c r="A255" s="27">
        <v>2005</v>
      </c>
      <c r="B255" t="s">
        <v>716</v>
      </c>
      <c r="C255" t="s">
        <v>729</v>
      </c>
      <c r="D255" s="27">
        <v>16</v>
      </c>
      <c r="E255" s="27">
        <v>18</v>
      </c>
      <c r="F255" s="24">
        <v>0.47099999999999997</v>
      </c>
      <c r="G255" s="26">
        <v>10</v>
      </c>
      <c r="H255" s="25">
        <v>66.599999999999994</v>
      </c>
      <c r="I255" s="25">
        <v>67.8</v>
      </c>
      <c r="M255" s="33">
        <v>0</v>
      </c>
      <c r="N255" s="33">
        <v>0</v>
      </c>
      <c r="R255" s="29" t="str">
        <f>VLOOKUP(WNBA_TeamSeasons[[#This Row],[Team]],$Y$3:$Y$17,1,FALSE)</f>
        <v>Washington Mystics</v>
      </c>
    </row>
    <row r="256" spans="1:18" x14ac:dyDescent="0.25">
      <c r="A256" s="27">
        <v>2005</v>
      </c>
      <c r="B256" t="s">
        <v>723</v>
      </c>
      <c r="C256" t="s">
        <v>729</v>
      </c>
      <c r="D256" s="27">
        <v>6</v>
      </c>
      <c r="E256" s="27">
        <v>28</v>
      </c>
      <c r="F256" s="24">
        <v>0.17599999999999999</v>
      </c>
      <c r="G256" s="26">
        <v>20</v>
      </c>
      <c r="H256" s="25">
        <v>61.6</v>
      </c>
      <c r="I256" s="25">
        <v>68.7</v>
      </c>
      <c r="M256" s="33">
        <v>0</v>
      </c>
      <c r="N256" s="33">
        <v>0</v>
      </c>
      <c r="R256" s="29" t="str">
        <f>WNBA_TeamSeasons[[#This Row],[Team]]</f>
        <v>Charlotte Sting</v>
      </c>
    </row>
    <row r="257" spans="1:18" x14ac:dyDescent="0.25">
      <c r="A257" s="27">
        <v>2005</v>
      </c>
      <c r="B257" t="s">
        <v>722</v>
      </c>
      <c r="C257" t="s">
        <v>730</v>
      </c>
      <c r="D257" s="27">
        <v>25</v>
      </c>
      <c r="E257" s="27">
        <v>9</v>
      </c>
      <c r="F257" s="24">
        <v>0.73499999999999999</v>
      </c>
      <c r="G257" s="26">
        <v>0</v>
      </c>
      <c r="H257" s="25">
        <v>68.5</v>
      </c>
      <c r="I257" s="25">
        <v>61.6</v>
      </c>
      <c r="J257" t="s">
        <v>30</v>
      </c>
      <c r="K257" s="29" t="s">
        <v>30</v>
      </c>
      <c r="M257" s="33">
        <v>3</v>
      </c>
      <c r="N257" s="33">
        <v>1</v>
      </c>
      <c r="O257" s="29" t="s">
        <v>30</v>
      </c>
      <c r="P257" s="29" t="s">
        <v>30</v>
      </c>
      <c r="Q257" s="29" t="s">
        <v>30</v>
      </c>
      <c r="R257" s="29" t="str">
        <f>WNBA_TeamSeasons[[#This Row],[Team]]</f>
        <v>Sacramento Monarchs</v>
      </c>
    </row>
    <row r="258" spans="1:18" x14ac:dyDescent="0.25">
      <c r="A258" s="27">
        <v>2005</v>
      </c>
      <c r="B258" t="s">
        <v>715</v>
      </c>
      <c r="C258" t="s">
        <v>730</v>
      </c>
      <c r="D258" s="27">
        <v>20</v>
      </c>
      <c r="E258" s="27">
        <v>14</v>
      </c>
      <c r="F258" s="24">
        <v>0.58799999999999997</v>
      </c>
      <c r="G258" s="26">
        <v>5</v>
      </c>
      <c r="H258" s="25">
        <v>73.5</v>
      </c>
      <c r="I258" s="25">
        <v>70.8</v>
      </c>
      <c r="J258" t="s">
        <v>30</v>
      </c>
      <c r="M258" s="33">
        <v>0</v>
      </c>
      <c r="N258" s="33">
        <v>0</v>
      </c>
      <c r="R258" s="29" t="str">
        <f>VLOOKUP(WNBA_TeamSeasons[[#This Row],[Team]],$Y$3:$Y$17,1,FALSE)</f>
        <v>Seattle Storm</v>
      </c>
    </row>
    <row r="259" spans="1:18" x14ac:dyDescent="0.25">
      <c r="A259" s="27">
        <v>2005</v>
      </c>
      <c r="B259" t="s">
        <v>724</v>
      </c>
      <c r="C259" t="s">
        <v>730</v>
      </c>
      <c r="D259" s="27">
        <v>19</v>
      </c>
      <c r="E259" s="27">
        <v>15</v>
      </c>
      <c r="F259" s="24">
        <v>0.55900000000000005</v>
      </c>
      <c r="G259" s="26">
        <v>6</v>
      </c>
      <c r="H259" s="25">
        <v>67.900000000000006</v>
      </c>
      <c r="I259" s="25">
        <v>66.599999999999994</v>
      </c>
      <c r="J259" t="s">
        <v>30</v>
      </c>
      <c r="M259" s="33">
        <v>0</v>
      </c>
      <c r="N259" s="33">
        <v>0</v>
      </c>
      <c r="R259" s="29" t="str">
        <f>WNBA_TeamSeasons[[#This Row],[Team]]</f>
        <v>Houston Comets</v>
      </c>
    </row>
    <row r="260" spans="1:18" x14ac:dyDescent="0.25">
      <c r="A260" s="27">
        <v>2005</v>
      </c>
      <c r="B260" t="s">
        <v>717</v>
      </c>
      <c r="C260" t="s">
        <v>730</v>
      </c>
      <c r="D260" s="27">
        <v>17</v>
      </c>
      <c r="E260" s="27">
        <v>17</v>
      </c>
      <c r="F260" s="24">
        <v>0.5</v>
      </c>
      <c r="G260" s="26">
        <v>8</v>
      </c>
      <c r="H260" s="25">
        <v>68.400000000000006</v>
      </c>
      <c r="I260" s="25">
        <v>69</v>
      </c>
      <c r="J260" t="s">
        <v>30</v>
      </c>
      <c r="M260" s="33">
        <v>0</v>
      </c>
      <c r="N260" s="33">
        <v>0</v>
      </c>
      <c r="R260" s="29" t="str">
        <f>VLOOKUP(WNBA_TeamSeasons[[#This Row],[Team]],$Y$3:$Y$17,1,FALSE)</f>
        <v>Los Angeles Sparks</v>
      </c>
    </row>
    <row r="261" spans="1:18" x14ac:dyDescent="0.25">
      <c r="A261" s="27">
        <v>2005</v>
      </c>
      <c r="B261" t="s">
        <v>710</v>
      </c>
      <c r="C261" t="s">
        <v>730</v>
      </c>
      <c r="D261" s="27">
        <v>16</v>
      </c>
      <c r="E261" s="27">
        <v>18</v>
      </c>
      <c r="F261" s="24">
        <v>0.47099999999999997</v>
      </c>
      <c r="G261" s="26">
        <v>9</v>
      </c>
      <c r="H261" s="25">
        <v>69.400000000000006</v>
      </c>
      <c r="I261" s="25">
        <v>69.2</v>
      </c>
      <c r="M261" s="33">
        <v>0</v>
      </c>
      <c r="N261" s="33">
        <v>0</v>
      </c>
      <c r="R261" s="29" t="str">
        <f>VLOOKUP(WNBA_TeamSeasons[[#This Row],[Team]],$Y$3:$Y$17,1,FALSE)</f>
        <v>Phoenix Mercury</v>
      </c>
    </row>
    <row r="262" spans="1:18" x14ac:dyDescent="0.25">
      <c r="A262" s="27">
        <v>2005</v>
      </c>
      <c r="B262" t="s">
        <v>712</v>
      </c>
      <c r="C262" t="s">
        <v>730</v>
      </c>
      <c r="D262" s="27">
        <v>14</v>
      </c>
      <c r="E262" s="27">
        <v>20</v>
      </c>
      <c r="F262" s="24">
        <v>0.41199999999999998</v>
      </c>
      <c r="G262" s="26">
        <v>11</v>
      </c>
      <c r="H262" s="25">
        <v>65</v>
      </c>
      <c r="I262" s="25">
        <v>67.3</v>
      </c>
      <c r="M262" s="33">
        <v>0</v>
      </c>
      <c r="N262" s="33">
        <v>0</v>
      </c>
      <c r="R262" s="29" t="str">
        <f>VLOOKUP(WNBA_TeamSeasons[[#This Row],[Team]],$Y$3:$Y$17,1,FALSE)</f>
        <v>Minnesota Lynx</v>
      </c>
    </row>
    <row r="263" spans="1:18" x14ac:dyDescent="0.25">
      <c r="A263" s="27">
        <v>2005</v>
      </c>
      <c r="B263" t="s">
        <v>721</v>
      </c>
      <c r="C263" t="s">
        <v>730</v>
      </c>
      <c r="D263" s="27">
        <v>7</v>
      </c>
      <c r="E263" s="27">
        <v>27</v>
      </c>
      <c r="F263" s="24">
        <v>0.20599999999999999</v>
      </c>
      <c r="G263" s="26">
        <v>18</v>
      </c>
      <c r="H263" s="25">
        <v>63</v>
      </c>
      <c r="I263" s="25">
        <v>70.599999999999994</v>
      </c>
      <c r="M263" s="33">
        <v>0</v>
      </c>
      <c r="N263" s="33">
        <v>0</v>
      </c>
      <c r="R263" s="29" t="s">
        <v>709</v>
      </c>
    </row>
    <row r="264" spans="1:18" x14ac:dyDescent="0.25">
      <c r="A264" s="27">
        <v>2004</v>
      </c>
      <c r="B264" t="s">
        <v>713</v>
      </c>
      <c r="C264" t="s">
        <v>729</v>
      </c>
      <c r="D264" s="27">
        <v>18</v>
      </c>
      <c r="E264" s="27">
        <v>16</v>
      </c>
      <c r="F264" s="24">
        <v>0.52900000000000003</v>
      </c>
      <c r="G264" s="26">
        <v>0</v>
      </c>
      <c r="H264" s="25">
        <v>68.7</v>
      </c>
      <c r="I264" s="25">
        <v>67.8</v>
      </c>
      <c r="J264" t="s">
        <v>30</v>
      </c>
      <c r="K264" s="29" t="s">
        <v>30</v>
      </c>
      <c r="M264" s="33">
        <v>1</v>
      </c>
      <c r="N264" s="33">
        <v>2</v>
      </c>
      <c r="O264" s="29" t="s">
        <v>30</v>
      </c>
      <c r="P264" s="29" t="s">
        <v>30</v>
      </c>
      <c r="R264" s="29" t="str">
        <f>VLOOKUP(WNBA_TeamSeasons[[#This Row],[Team]],$Y$3:$Y$17,1,FALSE)</f>
        <v>Connecticut Sun</v>
      </c>
    </row>
    <row r="265" spans="1:18" x14ac:dyDescent="0.25">
      <c r="A265" s="27">
        <v>2004</v>
      </c>
      <c r="B265" t="s">
        <v>711</v>
      </c>
      <c r="C265" t="s">
        <v>729</v>
      </c>
      <c r="D265" s="27">
        <v>18</v>
      </c>
      <c r="E265" s="27">
        <v>16</v>
      </c>
      <c r="F265" s="24">
        <v>0.52900000000000003</v>
      </c>
      <c r="G265" s="26">
        <v>0</v>
      </c>
      <c r="H265" s="25">
        <v>66.2</v>
      </c>
      <c r="I265" s="25">
        <v>67.599999999999994</v>
      </c>
      <c r="J265" t="s">
        <v>30</v>
      </c>
      <c r="K265" s="29" t="s">
        <v>30</v>
      </c>
      <c r="M265" s="33">
        <v>0</v>
      </c>
      <c r="N265" s="33">
        <v>0</v>
      </c>
      <c r="R265" s="29" t="str">
        <f>VLOOKUP(WNBA_TeamSeasons[[#This Row],[Team]],$Y$3:$Y$17,1,FALSE)</f>
        <v>New York Liberty</v>
      </c>
    </row>
    <row r="266" spans="1:18" x14ac:dyDescent="0.25">
      <c r="A266" s="27">
        <v>2004</v>
      </c>
      <c r="B266" t="s">
        <v>720</v>
      </c>
      <c r="C266" t="s">
        <v>729</v>
      </c>
      <c r="D266" s="27">
        <v>17</v>
      </c>
      <c r="E266" s="27">
        <v>17</v>
      </c>
      <c r="F266" s="24">
        <v>0.5</v>
      </c>
      <c r="G266" s="26">
        <v>1</v>
      </c>
      <c r="H266" s="25">
        <v>69.599999999999994</v>
      </c>
      <c r="I266" s="25">
        <v>70</v>
      </c>
      <c r="J266" t="s">
        <v>30</v>
      </c>
      <c r="M266" s="33">
        <v>0</v>
      </c>
      <c r="N266" s="33">
        <v>0</v>
      </c>
      <c r="R266" s="29" t="s">
        <v>732</v>
      </c>
    </row>
    <row r="267" spans="1:18" x14ac:dyDescent="0.25">
      <c r="A267" s="27">
        <v>2004</v>
      </c>
      <c r="B267" t="s">
        <v>716</v>
      </c>
      <c r="C267" t="s">
        <v>729</v>
      </c>
      <c r="D267" s="27">
        <v>17</v>
      </c>
      <c r="E267" s="27">
        <v>17</v>
      </c>
      <c r="F267" s="24">
        <v>0.5</v>
      </c>
      <c r="G267" s="26">
        <v>1</v>
      </c>
      <c r="H267" s="25">
        <v>68.400000000000006</v>
      </c>
      <c r="I267" s="25">
        <v>70.099999999999994</v>
      </c>
      <c r="J267" t="s">
        <v>30</v>
      </c>
      <c r="M267" s="33">
        <v>0</v>
      </c>
      <c r="N267" s="33">
        <v>0</v>
      </c>
      <c r="R267" s="29" t="str">
        <f>VLOOKUP(WNBA_TeamSeasons[[#This Row],[Team]],$Y$3:$Y$17,1,FALSE)</f>
        <v>Washington Mystics</v>
      </c>
    </row>
    <row r="268" spans="1:18" x14ac:dyDescent="0.25">
      <c r="A268" s="27">
        <v>2004</v>
      </c>
      <c r="B268" t="s">
        <v>723</v>
      </c>
      <c r="C268" t="s">
        <v>729</v>
      </c>
      <c r="D268" s="27">
        <v>16</v>
      </c>
      <c r="E268" s="27">
        <v>18</v>
      </c>
      <c r="F268" s="24">
        <v>0.47099999999999997</v>
      </c>
      <c r="G268" s="26">
        <v>2</v>
      </c>
      <c r="H268" s="25">
        <v>61.5</v>
      </c>
      <c r="I268" s="25">
        <v>63.8</v>
      </c>
      <c r="M268" s="33">
        <v>0</v>
      </c>
      <c r="N268" s="33">
        <v>0</v>
      </c>
      <c r="R268" s="29" t="str">
        <f>WNBA_TeamSeasons[[#This Row],[Team]]</f>
        <v>Charlotte Sting</v>
      </c>
    </row>
    <row r="269" spans="1:18" x14ac:dyDescent="0.25">
      <c r="A269" s="27">
        <v>2004</v>
      </c>
      <c r="B269" t="s">
        <v>718</v>
      </c>
      <c r="C269" t="s">
        <v>729</v>
      </c>
      <c r="D269" s="27">
        <v>15</v>
      </c>
      <c r="E269" s="27">
        <v>19</v>
      </c>
      <c r="F269" s="24">
        <v>0.441</v>
      </c>
      <c r="G269" s="26">
        <v>3</v>
      </c>
      <c r="H269" s="25">
        <v>64.599999999999994</v>
      </c>
      <c r="I269" s="25">
        <v>66</v>
      </c>
      <c r="M269" s="33">
        <v>0</v>
      </c>
      <c r="N269" s="33">
        <v>0</v>
      </c>
      <c r="R269" s="29" t="str">
        <f>VLOOKUP(WNBA_TeamSeasons[[#This Row],[Team]],$Y$3:$Y$17,1,FALSE)</f>
        <v>Indiana Fever</v>
      </c>
    </row>
    <row r="270" spans="1:18" x14ac:dyDescent="0.25">
      <c r="A270" s="27">
        <v>2004</v>
      </c>
      <c r="B270" t="s">
        <v>717</v>
      </c>
      <c r="C270" t="s">
        <v>730</v>
      </c>
      <c r="D270" s="27">
        <v>25</v>
      </c>
      <c r="E270" s="27">
        <v>9</v>
      </c>
      <c r="F270" s="24">
        <v>0.73499999999999999</v>
      </c>
      <c r="G270" s="26">
        <v>0</v>
      </c>
      <c r="H270" s="25">
        <v>73.400000000000006</v>
      </c>
      <c r="I270" s="25">
        <v>69.400000000000006</v>
      </c>
      <c r="J270" t="s">
        <v>30</v>
      </c>
      <c r="K270" s="29" t="s">
        <v>30</v>
      </c>
      <c r="L270" s="29" t="s">
        <v>30</v>
      </c>
      <c r="M270" s="33">
        <v>0</v>
      </c>
      <c r="N270" s="33">
        <v>0</v>
      </c>
      <c r="R270" s="29" t="str">
        <f>VLOOKUP(WNBA_TeamSeasons[[#This Row],[Team]],$Y$3:$Y$17,1,FALSE)</f>
        <v>Los Angeles Sparks</v>
      </c>
    </row>
    <row r="271" spans="1:18" x14ac:dyDescent="0.25">
      <c r="A271" s="27">
        <v>2004</v>
      </c>
      <c r="B271" t="s">
        <v>715</v>
      </c>
      <c r="C271" t="s">
        <v>730</v>
      </c>
      <c r="D271" s="27">
        <v>20</v>
      </c>
      <c r="E271" s="27">
        <v>14</v>
      </c>
      <c r="F271" s="24">
        <v>0.58799999999999997</v>
      </c>
      <c r="G271" s="26">
        <v>5</v>
      </c>
      <c r="H271" s="25">
        <v>71.7</v>
      </c>
      <c r="I271" s="25">
        <v>66.599999999999994</v>
      </c>
      <c r="J271" t="s">
        <v>30</v>
      </c>
      <c r="M271" s="33">
        <v>2</v>
      </c>
      <c r="N271" s="33">
        <v>1</v>
      </c>
      <c r="O271" s="29" t="s">
        <v>30</v>
      </c>
      <c r="P271" s="29" t="s">
        <v>30</v>
      </c>
      <c r="Q271" s="29" t="s">
        <v>30</v>
      </c>
      <c r="R271" s="29" t="str">
        <f>VLOOKUP(WNBA_TeamSeasons[[#This Row],[Team]],$Y$3:$Y$17,1,FALSE)</f>
        <v>Seattle Storm</v>
      </c>
    </row>
    <row r="272" spans="1:18" x14ac:dyDescent="0.25">
      <c r="A272" s="27">
        <v>2004</v>
      </c>
      <c r="B272" t="s">
        <v>712</v>
      </c>
      <c r="C272" t="s">
        <v>730</v>
      </c>
      <c r="D272" s="27">
        <v>18</v>
      </c>
      <c r="E272" s="27">
        <v>16</v>
      </c>
      <c r="F272" s="24">
        <v>0.52900000000000003</v>
      </c>
      <c r="G272" s="26">
        <v>7</v>
      </c>
      <c r="H272" s="25">
        <v>63.7</v>
      </c>
      <c r="I272" s="25">
        <v>64.400000000000006</v>
      </c>
      <c r="J272" t="s">
        <v>30</v>
      </c>
      <c r="M272" s="33">
        <v>0</v>
      </c>
      <c r="N272" s="33">
        <v>0</v>
      </c>
      <c r="R272" s="29" t="str">
        <f>VLOOKUP(WNBA_TeamSeasons[[#This Row],[Team]],$Y$3:$Y$17,1,FALSE)</f>
        <v>Minnesota Lynx</v>
      </c>
    </row>
    <row r="273" spans="1:18" x14ac:dyDescent="0.25">
      <c r="A273" s="27">
        <v>2004</v>
      </c>
      <c r="B273" t="s">
        <v>722</v>
      </c>
      <c r="C273" t="s">
        <v>730</v>
      </c>
      <c r="D273" s="27">
        <v>18</v>
      </c>
      <c r="E273" s="27">
        <v>16</v>
      </c>
      <c r="F273" s="24">
        <v>0.52900000000000003</v>
      </c>
      <c r="G273" s="26">
        <v>7</v>
      </c>
      <c r="H273" s="25">
        <v>68</v>
      </c>
      <c r="I273" s="25">
        <v>65.900000000000006</v>
      </c>
      <c r="J273" t="s">
        <v>30</v>
      </c>
      <c r="M273" s="33">
        <v>0</v>
      </c>
      <c r="N273" s="33">
        <v>0</v>
      </c>
      <c r="R273" s="29" t="str">
        <f>WNBA_TeamSeasons[[#This Row],[Team]]</f>
        <v>Sacramento Monarchs</v>
      </c>
    </row>
    <row r="274" spans="1:18" x14ac:dyDescent="0.25">
      <c r="A274" s="27">
        <v>2004</v>
      </c>
      <c r="B274" t="s">
        <v>710</v>
      </c>
      <c r="C274" t="s">
        <v>730</v>
      </c>
      <c r="D274" s="27">
        <v>17</v>
      </c>
      <c r="E274" s="27">
        <v>17</v>
      </c>
      <c r="F274" s="24">
        <v>0.5</v>
      </c>
      <c r="G274" s="26">
        <v>8</v>
      </c>
      <c r="H274" s="25">
        <v>67.599999999999994</v>
      </c>
      <c r="I274" s="25">
        <v>65.7</v>
      </c>
      <c r="M274" s="33">
        <v>0</v>
      </c>
      <c r="N274" s="33">
        <v>0</v>
      </c>
      <c r="R274" s="29" t="str">
        <f>VLOOKUP(WNBA_TeamSeasons[[#This Row],[Team]],$Y$3:$Y$17,1,FALSE)</f>
        <v>Phoenix Mercury</v>
      </c>
    </row>
    <row r="275" spans="1:18" x14ac:dyDescent="0.25">
      <c r="A275" s="27">
        <v>2004</v>
      </c>
      <c r="B275" t="s">
        <v>724</v>
      </c>
      <c r="C275" t="s">
        <v>730</v>
      </c>
      <c r="D275" s="27">
        <v>13</v>
      </c>
      <c r="E275" s="27">
        <v>21</v>
      </c>
      <c r="F275" s="24">
        <v>0.38200000000000001</v>
      </c>
      <c r="G275" s="26">
        <v>12</v>
      </c>
      <c r="H275" s="25">
        <v>64</v>
      </c>
      <c r="I275" s="25">
        <v>65</v>
      </c>
      <c r="M275" s="33">
        <v>0</v>
      </c>
      <c r="N275" s="33">
        <v>0</v>
      </c>
      <c r="R275" s="29" t="str">
        <f>WNBA_TeamSeasons[[#This Row],[Team]]</f>
        <v>Houston Comets</v>
      </c>
    </row>
    <row r="276" spans="1:18" x14ac:dyDescent="0.25">
      <c r="A276" s="27">
        <v>2004</v>
      </c>
      <c r="B276" t="s">
        <v>721</v>
      </c>
      <c r="C276" t="s">
        <v>730</v>
      </c>
      <c r="D276" s="27">
        <v>9</v>
      </c>
      <c r="E276" s="27">
        <v>25</v>
      </c>
      <c r="F276" s="24">
        <v>0.26500000000000001</v>
      </c>
      <c r="G276" s="26">
        <v>16</v>
      </c>
      <c r="H276" s="25">
        <v>64.400000000000006</v>
      </c>
      <c r="I276" s="25">
        <v>69.5</v>
      </c>
      <c r="M276" s="33">
        <v>0</v>
      </c>
      <c r="N276" s="33">
        <v>0</v>
      </c>
      <c r="R276" s="29" t="s">
        <v>709</v>
      </c>
    </row>
    <row r="277" spans="1:18" x14ac:dyDescent="0.25">
      <c r="A277" s="27">
        <v>2003</v>
      </c>
      <c r="B277" t="s">
        <v>720</v>
      </c>
      <c r="C277" t="s">
        <v>729</v>
      </c>
      <c r="D277" s="27">
        <v>25</v>
      </c>
      <c r="E277" s="27">
        <v>9</v>
      </c>
      <c r="F277" s="24">
        <v>0.73499999999999999</v>
      </c>
      <c r="G277" s="26">
        <v>0</v>
      </c>
      <c r="H277" s="25">
        <v>75.099999999999994</v>
      </c>
      <c r="I277" s="25">
        <v>70.400000000000006</v>
      </c>
      <c r="J277" t="s">
        <v>30</v>
      </c>
      <c r="K277" s="29" t="s">
        <v>30</v>
      </c>
      <c r="L277" s="29" t="s">
        <v>30</v>
      </c>
      <c r="M277" s="33">
        <v>2</v>
      </c>
      <c r="N277" s="33">
        <v>1</v>
      </c>
      <c r="O277" s="29" t="s">
        <v>30</v>
      </c>
      <c r="P277" s="29" t="s">
        <v>30</v>
      </c>
      <c r="Q277" s="29" t="s">
        <v>30</v>
      </c>
      <c r="R277" s="29" t="s">
        <v>732</v>
      </c>
    </row>
    <row r="278" spans="1:18" x14ac:dyDescent="0.25">
      <c r="A278" s="27">
        <v>2003</v>
      </c>
      <c r="B278" t="s">
        <v>723</v>
      </c>
      <c r="C278" t="s">
        <v>729</v>
      </c>
      <c r="D278" s="27">
        <v>18</v>
      </c>
      <c r="E278" s="27">
        <v>16</v>
      </c>
      <c r="F278" s="24">
        <v>0.52900000000000003</v>
      </c>
      <c r="G278" s="26">
        <v>7</v>
      </c>
      <c r="H278" s="25">
        <v>65.2</v>
      </c>
      <c r="I278" s="25">
        <v>64.599999999999994</v>
      </c>
      <c r="J278" t="s">
        <v>30</v>
      </c>
      <c r="M278" s="33">
        <v>0</v>
      </c>
      <c r="N278" s="33">
        <v>0</v>
      </c>
      <c r="R278" s="29" t="str">
        <f>WNBA_TeamSeasons[[#This Row],[Team]]</f>
        <v>Charlotte Sting</v>
      </c>
    </row>
    <row r="279" spans="1:18" x14ac:dyDescent="0.25">
      <c r="A279" s="27">
        <v>2003</v>
      </c>
      <c r="B279" t="s">
        <v>713</v>
      </c>
      <c r="C279" t="s">
        <v>729</v>
      </c>
      <c r="D279" s="27">
        <v>18</v>
      </c>
      <c r="E279" s="27">
        <v>16</v>
      </c>
      <c r="F279" s="24">
        <v>0.52900000000000003</v>
      </c>
      <c r="G279" s="26">
        <v>7</v>
      </c>
      <c r="H279" s="25">
        <v>70.099999999999994</v>
      </c>
      <c r="I279" s="25">
        <v>70.900000000000006</v>
      </c>
      <c r="J279" t="s">
        <v>30</v>
      </c>
      <c r="M279" s="33">
        <v>0</v>
      </c>
      <c r="N279" s="33">
        <v>0</v>
      </c>
      <c r="R279" s="29" t="str">
        <f>VLOOKUP(WNBA_TeamSeasons[[#This Row],[Team]],$Y$3:$Y$17,1,FALSE)</f>
        <v>Connecticut Sun</v>
      </c>
    </row>
    <row r="280" spans="1:18" x14ac:dyDescent="0.25">
      <c r="A280" s="27">
        <v>2003</v>
      </c>
      <c r="B280" t="s">
        <v>735</v>
      </c>
      <c r="C280" t="s">
        <v>729</v>
      </c>
      <c r="D280" s="27">
        <v>17</v>
      </c>
      <c r="E280" s="27">
        <v>17</v>
      </c>
      <c r="F280" s="24">
        <v>0.5</v>
      </c>
      <c r="G280" s="26">
        <v>8</v>
      </c>
      <c r="H280" s="25">
        <v>65.599999999999994</v>
      </c>
      <c r="I280" s="25">
        <v>65</v>
      </c>
      <c r="J280" t="s">
        <v>30</v>
      </c>
      <c r="M280" s="33">
        <v>0</v>
      </c>
      <c r="N280" s="33">
        <v>0</v>
      </c>
      <c r="R280" s="29" t="str">
        <f>WNBA_TeamSeasons[[#This Row],[Team]]</f>
        <v>Cleveland Rockers</v>
      </c>
    </row>
    <row r="281" spans="1:18" x14ac:dyDescent="0.25">
      <c r="A281" s="27">
        <v>2003</v>
      </c>
      <c r="B281" t="s">
        <v>718</v>
      </c>
      <c r="C281" t="s">
        <v>729</v>
      </c>
      <c r="D281" s="27">
        <v>16</v>
      </c>
      <c r="E281" s="27">
        <v>18</v>
      </c>
      <c r="F281" s="24">
        <v>0.47099999999999997</v>
      </c>
      <c r="G281" s="26">
        <v>9</v>
      </c>
      <c r="H281" s="25">
        <v>68.7</v>
      </c>
      <c r="I281" s="25">
        <v>68.3</v>
      </c>
      <c r="M281" s="33">
        <v>0</v>
      </c>
      <c r="N281" s="33">
        <v>0</v>
      </c>
      <c r="R281" s="29" t="str">
        <f>VLOOKUP(WNBA_TeamSeasons[[#This Row],[Team]],$Y$3:$Y$17,1,FALSE)</f>
        <v>Indiana Fever</v>
      </c>
    </row>
    <row r="282" spans="1:18" x14ac:dyDescent="0.25">
      <c r="A282" s="27">
        <v>2003</v>
      </c>
      <c r="B282" t="s">
        <v>711</v>
      </c>
      <c r="C282" t="s">
        <v>729</v>
      </c>
      <c r="D282" s="27">
        <v>16</v>
      </c>
      <c r="E282" s="27">
        <v>18</v>
      </c>
      <c r="F282" s="24">
        <v>0.47099999999999997</v>
      </c>
      <c r="G282" s="26">
        <v>9</v>
      </c>
      <c r="H282" s="25">
        <v>66</v>
      </c>
      <c r="I282" s="25">
        <v>66.400000000000006</v>
      </c>
      <c r="M282" s="33">
        <v>0</v>
      </c>
      <c r="N282" s="33">
        <v>0</v>
      </c>
      <c r="R282" s="29" t="str">
        <f>VLOOKUP(WNBA_TeamSeasons[[#This Row],[Team]],$Y$3:$Y$17,1,FALSE)</f>
        <v>New York Liberty</v>
      </c>
    </row>
    <row r="283" spans="1:18" x14ac:dyDescent="0.25">
      <c r="A283" s="27">
        <v>2003</v>
      </c>
      <c r="B283" t="s">
        <v>716</v>
      </c>
      <c r="C283" t="s">
        <v>729</v>
      </c>
      <c r="D283" s="27">
        <v>9</v>
      </c>
      <c r="E283" s="27">
        <v>25</v>
      </c>
      <c r="F283" s="24">
        <v>0.26500000000000001</v>
      </c>
      <c r="G283" s="26">
        <v>16</v>
      </c>
      <c r="H283" s="25">
        <v>68.5</v>
      </c>
      <c r="I283" s="25">
        <v>73.5</v>
      </c>
      <c r="M283" s="33">
        <v>0</v>
      </c>
      <c r="N283" s="33">
        <v>0</v>
      </c>
      <c r="R283" s="29" t="str">
        <f>VLOOKUP(WNBA_TeamSeasons[[#This Row],[Team]],$Y$3:$Y$17,1,FALSE)</f>
        <v>Washington Mystics</v>
      </c>
    </row>
    <row r="284" spans="1:18" x14ac:dyDescent="0.25">
      <c r="A284" s="27">
        <v>2003</v>
      </c>
      <c r="B284" t="s">
        <v>717</v>
      </c>
      <c r="C284" t="s">
        <v>730</v>
      </c>
      <c r="D284" s="27">
        <v>24</v>
      </c>
      <c r="E284" s="27">
        <v>10</v>
      </c>
      <c r="F284" s="24">
        <v>0.70599999999999996</v>
      </c>
      <c r="G284" s="26">
        <v>0</v>
      </c>
      <c r="H284" s="25">
        <v>73.5</v>
      </c>
      <c r="I284" s="25">
        <v>71.5</v>
      </c>
      <c r="J284" t="s">
        <v>30</v>
      </c>
      <c r="K284" s="29" t="s">
        <v>30</v>
      </c>
      <c r="M284" s="33">
        <v>1</v>
      </c>
      <c r="N284" s="33">
        <v>2</v>
      </c>
      <c r="O284" s="29" t="s">
        <v>30</v>
      </c>
      <c r="P284" s="29" t="s">
        <v>30</v>
      </c>
      <c r="R284" s="29" t="str">
        <f>VLOOKUP(WNBA_TeamSeasons[[#This Row],[Team]],$Y$3:$Y$17,1,FALSE)</f>
        <v>Los Angeles Sparks</v>
      </c>
    </row>
    <row r="285" spans="1:18" x14ac:dyDescent="0.25">
      <c r="A285" s="27">
        <v>2003</v>
      </c>
      <c r="B285" t="s">
        <v>724</v>
      </c>
      <c r="C285" t="s">
        <v>730</v>
      </c>
      <c r="D285" s="27">
        <v>20</v>
      </c>
      <c r="E285" s="27">
        <v>14</v>
      </c>
      <c r="F285" s="24">
        <v>0.58799999999999997</v>
      </c>
      <c r="G285" s="26">
        <v>4</v>
      </c>
      <c r="H285" s="25">
        <v>66</v>
      </c>
      <c r="I285" s="25">
        <v>63</v>
      </c>
      <c r="J285" t="s">
        <v>30</v>
      </c>
      <c r="M285" s="33">
        <v>0</v>
      </c>
      <c r="N285" s="33">
        <v>0</v>
      </c>
      <c r="R285" s="29" t="str">
        <f>WNBA_TeamSeasons[[#This Row],[Team]]</f>
        <v>Houston Comets</v>
      </c>
    </row>
    <row r="286" spans="1:18" x14ac:dyDescent="0.25">
      <c r="A286" s="27">
        <v>2003</v>
      </c>
      <c r="B286" t="s">
        <v>722</v>
      </c>
      <c r="C286" t="s">
        <v>730</v>
      </c>
      <c r="D286" s="27">
        <v>19</v>
      </c>
      <c r="E286" s="27">
        <v>15</v>
      </c>
      <c r="F286" s="24">
        <v>0.55900000000000005</v>
      </c>
      <c r="G286" s="26">
        <v>5</v>
      </c>
      <c r="H286" s="25">
        <v>67.599999999999994</v>
      </c>
      <c r="I286" s="25">
        <v>65.2</v>
      </c>
      <c r="J286" t="s">
        <v>30</v>
      </c>
      <c r="M286" s="33">
        <v>0</v>
      </c>
      <c r="N286" s="33">
        <v>0</v>
      </c>
      <c r="R286" s="29" t="str">
        <f>WNBA_TeamSeasons[[#This Row],[Team]]</f>
        <v>Sacramento Monarchs</v>
      </c>
    </row>
    <row r="287" spans="1:18" x14ac:dyDescent="0.25">
      <c r="A287" s="27">
        <v>2003</v>
      </c>
      <c r="B287" t="s">
        <v>712</v>
      </c>
      <c r="C287" t="s">
        <v>730</v>
      </c>
      <c r="D287" s="27">
        <v>18</v>
      </c>
      <c r="E287" s="27">
        <v>16</v>
      </c>
      <c r="F287" s="24">
        <v>0.52900000000000003</v>
      </c>
      <c r="G287" s="26">
        <v>6</v>
      </c>
      <c r="H287" s="25">
        <v>70</v>
      </c>
      <c r="I287" s="25">
        <v>69.7</v>
      </c>
      <c r="J287" t="s">
        <v>30</v>
      </c>
      <c r="M287" s="33">
        <v>0</v>
      </c>
      <c r="N287" s="33">
        <v>0</v>
      </c>
      <c r="R287" s="29" t="str">
        <f>VLOOKUP(WNBA_TeamSeasons[[#This Row],[Team]],$Y$3:$Y$17,1,FALSE)</f>
        <v>Minnesota Lynx</v>
      </c>
    </row>
    <row r="288" spans="1:18" x14ac:dyDescent="0.25">
      <c r="A288" s="27">
        <v>2003</v>
      </c>
      <c r="B288" t="s">
        <v>715</v>
      </c>
      <c r="C288" t="s">
        <v>730</v>
      </c>
      <c r="D288" s="27">
        <v>18</v>
      </c>
      <c r="E288" s="27">
        <v>16</v>
      </c>
      <c r="F288" s="24">
        <v>0.52900000000000003</v>
      </c>
      <c r="G288" s="26">
        <v>6</v>
      </c>
      <c r="H288" s="25">
        <v>70.2</v>
      </c>
      <c r="I288" s="25">
        <v>66.900000000000006</v>
      </c>
      <c r="M288" s="33">
        <v>0</v>
      </c>
      <c r="N288" s="33">
        <v>0</v>
      </c>
      <c r="R288" s="29" t="str">
        <f>VLOOKUP(WNBA_TeamSeasons[[#This Row],[Team]],$Y$3:$Y$17,1,FALSE)</f>
        <v>Seattle Storm</v>
      </c>
    </row>
    <row r="289" spans="1:18" x14ac:dyDescent="0.25">
      <c r="A289" s="27">
        <v>2003</v>
      </c>
      <c r="B289" t="s">
        <v>721</v>
      </c>
      <c r="C289" t="s">
        <v>730</v>
      </c>
      <c r="D289" s="27">
        <v>12</v>
      </c>
      <c r="E289" s="27">
        <v>22</v>
      </c>
      <c r="F289" s="24">
        <v>0.35299999999999998</v>
      </c>
      <c r="G289" s="26">
        <v>12</v>
      </c>
      <c r="H289" s="25">
        <v>65.099999999999994</v>
      </c>
      <c r="I289" s="25">
        <v>71.400000000000006</v>
      </c>
      <c r="M289" s="33">
        <v>0</v>
      </c>
      <c r="N289" s="33">
        <v>0</v>
      </c>
      <c r="R289" s="29" t="s">
        <v>709</v>
      </c>
    </row>
    <row r="290" spans="1:18" x14ac:dyDescent="0.25">
      <c r="A290" s="27">
        <v>2003</v>
      </c>
      <c r="B290" t="s">
        <v>710</v>
      </c>
      <c r="C290" t="s">
        <v>730</v>
      </c>
      <c r="D290" s="27">
        <v>8</v>
      </c>
      <c r="E290" s="27">
        <v>26</v>
      </c>
      <c r="F290" s="24">
        <v>0.23499999999999999</v>
      </c>
      <c r="G290" s="26">
        <v>16</v>
      </c>
      <c r="H290" s="25">
        <v>61.7</v>
      </c>
      <c r="I290" s="25">
        <v>66.8</v>
      </c>
      <c r="M290" s="33">
        <v>0</v>
      </c>
      <c r="N290" s="33">
        <v>0</v>
      </c>
      <c r="R290" s="29" t="str">
        <f>VLOOKUP(WNBA_TeamSeasons[[#This Row],[Team]],$Y$3:$Y$17,1,FALSE)</f>
        <v>Phoenix Mercury</v>
      </c>
    </row>
    <row r="291" spans="1:18" x14ac:dyDescent="0.25">
      <c r="A291" s="27">
        <v>2002</v>
      </c>
      <c r="B291" t="s">
        <v>723</v>
      </c>
      <c r="C291" t="s">
        <v>729</v>
      </c>
      <c r="D291" s="27">
        <v>18</v>
      </c>
      <c r="E291" s="27">
        <v>14</v>
      </c>
      <c r="F291" s="24">
        <v>0.56299999999999994</v>
      </c>
      <c r="G291" s="26">
        <v>0</v>
      </c>
      <c r="H291" s="25">
        <v>70</v>
      </c>
      <c r="I291" s="25">
        <v>66.7</v>
      </c>
      <c r="J291" t="s">
        <v>30</v>
      </c>
      <c r="K291" s="29" t="s">
        <v>30</v>
      </c>
      <c r="M291" s="33">
        <v>0</v>
      </c>
      <c r="N291" s="33">
        <v>0</v>
      </c>
      <c r="R291" s="29" t="str">
        <f>WNBA_TeamSeasons[[#This Row],[Team]]</f>
        <v>Charlotte Sting</v>
      </c>
    </row>
    <row r="292" spans="1:18" x14ac:dyDescent="0.25">
      <c r="A292" s="27">
        <v>2002</v>
      </c>
      <c r="B292" t="s">
        <v>711</v>
      </c>
      <c r="C292" t="s">
        <v>729</v>
      </c>
      <c r="D292" s="27">
        <v>18</v>
      </c>
      <c r="E292" s="27">
        <v>14</v>
      </c>
      <c r="F292" s="24">
        <v>0.56299999999999994</v>
      </c>
      <c r="G292" s="26">
        <v>0</v>
      </c>
      <c r="H292" s="25">
        <v>65.3</v>
      </c>
      <c r="I292" s="25">
        <v>63</v>
      </c>
      <c r="J292" t="s">
        <v>30</v>
      </c>
      <c r="K292" s="29" t="s">
        <v>30</v>
      </c>
      <c r="M292" s="33">
        <v>0</v>
      </c>
      <c r="N292" s="33">
        <v>2</v>
      </c>
      <c r="O292" s="29" t="s">
        <v>30</v>
      </c>
      <c r="P292" s="29" t="s">
        <v>30</v>
      </c>
      <c r="R292" s="29" t="str">
        <f>VLOOKUP(WNBA_TeamSeasons[[#This Row],[Team]],$Y$3:$Y$17,1,FALSE)</f>
        <v>New York Liberty</v>
      </c>
    </row>
    <row r="293" spans="1:18" x14ac:dyDescent="0.25">
      <c r="A293" s="27">
        <v>2002</v>
      </c>
      <c r="B293" t="s">
        <v>716</v>
      </c>
      <c r="C293" t="s">
        <v>729</v>
      </c>
      <c r="D293" s="27">
        <v>17</v>
      </c>
      <c r="E293" s="27">
        <v>15</v>
      </c>
      <c r="F293" s="24">
        <v>0.53100000000000003</v>
      </c>
      <c r="G293" s="26">
        <v>1</v>
      </c>
      <c r="H293" s="25">
        <v>66.7</v>
      </c>
      <c r="I293" s="25">
        <v>66.099999999999994</v>
      </c>
      <c r="J293" t="s">
        <v>30</v>
      </c>
      <c r="M293" s="33">
        <v>0</v>
      </c>
      <c r="N293" s="33">
        <v>0</v>
      </c>
      <c r="R293" s="29" t="str">
        <f>VLOOKUP(WNBA_TeamSeasons[[#This Row],[Team]],$Y$3:$Y$17,1,FALSE)</f>
        <v>Washington Mystics</v>
      </c>
    </row>
    <row r="294" spans="1:18" x14ac:dyDescent="0.25">
      <c r="A294" s="27">
        <v>2002</v>
      </c>
      <c r="B294" t="s">
        <v>718</v>
      </c>
      <c r="C294" t="s">
        <v>729</v>
      </c>
      <c r="D294" s="27">
        <v>16</v>
      </c>
      <c r="E294" s="27">
        <v>16</v>
      </c>
      <c r="F294" s="24">
        <v>0.5</v>
      </c>
      <c r="G294" s="26">
        <v>2</v>
      </c>
      <c r="H294" s="25">
        <v>65.5</v>
      </c>
      <c r="I294" s="25">
        <v>66.5</v>
      </c>
      <c r="J294" t="s">
        <v>30</v>
      </c>
      <c r="M294" s="33">
        <v>0</v>
      </c>
      <c r="N294" s="33">
        <v>0</v>
      </c>
      <c r="R294" s="29" t="str">
        <f>VLOOKUP(WNBA_TeamSeasons[[#This Row],[Team]],$Y$3:$Y$17,1,FALSE)</f>
        <v>Indiana Fever</v>
      </c>
    </row>
    <row r="295" spans="1:18" x14ac:dyDescent="0.25">
      <c r="A295" s="27">
        <v>2002</v>
      </c>
      <c r="B295" t="s">
        <v>736</v>
      </c>
      <c r="C295" t="s">
        <v>729</v>
      </c>
      <c r="D295" s="27">
        <v>16</v>
      </c>
      <c r="E295" s="27">
        <v>16</v>
      </c>
      <c r="F295" s="24">
        <v>0.5</v>
      </c>
      <c r="G295" s="26">
        <v>2</v>
      </c>
      <c r="H295" s="25">
        <v>70.400000000000006</v>
      </c>
      <c r="I295" s="25">
        <v>70.5</v>
      </c>
      <c r="M295" s="33">
        <v>0</v>
      </c>
      <c r="N295" s="33">
        <v>0</v>
      </c>
      <c r="R295" s="29" t="s">
        <v>713</v>
      </c>
    </row>
    <row r="296" spans="1:18" x14ac:dyDescent="0.25">
      <c r="A296" s="27">
        <v>2002</v>
      </c>
      <c r="B296" t="s">
        <v>737</v>
      </c>
      <c r="C296" t="s">
        <v>729</v>
      </c>
      <c r="D296" s="27">
        <v>15</v>
      </c>
      <c r="E296" s="27">
        <v>17</v>
      </c>
      <c r="F296" s="24">
        <v>0.46899999999999997</v>
      </c>
      <c r="G296" s="26">
        <v>3</v>
      </c>
      <c r="H296" s="25">
        <v>63.9</v>
      </c>
      <c r="I296" s="25">
        <v>65.3</v>
      </c>
      <c r="M296" s="33">
        <v>0</v>
      </c>
      <c r="N296" s="33">
        <v>0</v>
      </c>
      <c r="R296" s="29" t="str">
        <f>WNBA_TeamSeasons[[#This Row],[Team]]</f>
        <v>Miami Sol</v>
      </c>
    </row>
    <row r="297" spans="1:18" x14ac:dyDescent="0.25">
      <c r="A297" s="27">
        <v>2002</v>
      </c>
      <c r="B297" t="s">
        <v>735</v>
      </c>
      <c r="C297" t="s">
        <v>729</v>
      </c>
      <c r="D297" s="27">
        <v>10</v>
      </c>
      <c r="E297" s="27">
        <v>22</v>
      </c>
      <c r="F297" s="24">
        <v>0.313</v>
      </c>
      <c r="G297" s="26">
        <v>8</v>
      </c>
      <c r="H297" s="25">
        <v>64.7</v>
      </c>
      <c r="I297" s="25">
        <v>66.900000000000006</v>
      </c>
      <c r="M297" s="33">
        <v>0</v>
      </c>
      <c r="N297" s="33">
        <v>0</v>
      </c>
      <c r="R297" s="29" t="str">
        <f>WNBA_TeamSeasons[[#This Row],[Team]]</f>
        <v>Cleveland Rockers</v>
      </c>
    </row>
    <row r="298" spans="1:18" x14ac:dyDescent="0.25">
      <c r="A298" s="27">
        <v>2002</v>
      </c>
      <c r="B298" t="s">
        <v>720</v>
      </c>
      <c r="C298" t="s">
        <v>729</v>
      </c>
      <c r="D298" s="27">
        <v>9</v>
      </c>
      <c r="E298" s="27">
        <v>23</v>
      </c>
      <c r="F298" s="24">
        <v>0.28100000000000003</v>
      </c>
      <c r="G298" s="26">
        <v>9</v>
      </c>
      <c r="H298" s="25">
        <v>66.099999999999994</v>
      </c>
      <c r="I298" s="25">
        <v>70.8</v>
      </c>
      <c r="M298" s="33">
        <v>0</v>
      </c>
      <c r="N298" s="33">
        <v>0</v>
      </c>
      <c r="R298" s="29" t="s">
        <v>732</v>
      </c>
    </row>
    <row r="299" spans="1:18" x14ac:dyDescent="0.25">
      <c r="A299" s="27">
        <v>2002</v>
      </c>
      <c r="B299" t="s">
        <v>717</v>
      </c>
      <c r="C299" t="s">
        <v>730</v>
      </c>
      <c r="D299" s="27">
        <v>25</v>
      </c>
      <c r="E299" s="27">
        <v>7</v>
      </c>
      <c r="F299" s="24">
        <v>0.78100000000000003</v>
      </c>
      <c r="G299" s="26">
        <v>0</v>
      </c>
      <c r="H299" s="25">
        <v>76.599999999999994</v>
      </c>
      <c r="I299" s="25">
        <v>69.8</v>
      </c>
      <c r="J299" t="s">
        <v>30</v>
      </c>
      <c r="K299" s="29" t="s">
        <v>30</v>
      </c>
      <c r="L299" s="29" t="s">
        <v>30</v>
      </c>
      <c r="M299" s="33">
        <v>2</v>
      </c>
      <c r="N299" s="33">
        <v>0</v>
      </c>
      <c r="O299" s="29" t="s">
        <v>30</v>
      </c>
      <c r="P299" s="29" t="s">
        <v>30</v>
      </c>
      <c r="Q299" s="29" t="s">
        <v>30</v>
      </c>
      <c r="R299" s="29" t="str">
        <f>VLOOKUP(WNBA_TeamSeasons[[#This Row],[Team]],$Y$3:$Y$17,1,FALSE)</f>
        <v>Los Angeles Sparks</v>
      </c>
    </row>
    <row r="300" spans="1:18" x14ac:dyDescent="0.25">
      <c r="A300" s="27">
        <v>2002</v>
      </c>
      <c r="B300" t="s">
        <v>724</v>
      </c>
      <c r="C300" t="s">
        <v>730</v>
      </c>
      <c r="D300" s="27">
        <v>24</v>
      </c>
      <c r="E300" s="27">
        <v>8</v>
      </c>
      <c r="F300" s="24">
        <v>0.75</v>
      </c>
      <c r="G300" s="26">
        <v>1</v>
      </c>
      <c r="H300" s="25">
        <v>64.8</v>
      </c>
      <c r="I300" s="25">
        <v>59.1</v>
      </c>
      <c r="J300" t="s">
        <v>30</v>
      </c>
      <c r="M300" s="33">
        <v>0</v>
      </c>
      <c r="N300" s="33">
        <v>0</v>
      </c>
      <c r="R300" s="29" t="str">
        <f>WNBA_TeamSeasons[[#This Row],[Team]]</f>
        <v>Houston Comets</v>
      </c>
    </row>
    <row r="301" spans="1:18" x14ac:dyDescent="0.25">
      <c r="A301" s="27">
        <v>2002</v>
      </c>
      <c r="B301" t="s">
        <v>738</v>
      </c>
      <c r="C301" t="s">
        <v>730</v>
      </c>
      <c r="D301" s="27">
        <v>20</v>
      </c>
      <c r="E301" s="27">
        <v>12</v>
      </c>
      <c r="F301" s="24">
        <v>0.625</v>
      </c>
      <c r="G301" s="26">
        <v>5</v>
      </c>
      <c r="H301" s="25">
        <v>75.599999999999994</v>
      </c>
      <c r="I301" s="25">
        <v>73.3</v>
      </c>
      <c r="J301" t="s">
        <v>30</v>
      </c>
      <c r="M301" s="33">
        <v>0</v>
      </c>
      <c r="N301" s="33">
        <v>0</v>
      </c>
      <c r="R301" s="29" t="s">
        <v>709</v>
      </c>
    </row>
    <row r="302" spans="1:18" x14ac:dyDescent="0.25">
      <c r="A302" s="27">
        <v>2002</v>
      </c>
      <c r="B302" t="s">
        <v>715</v>
      </c>
      <c r="C302" t="s">
        <v>730</v>
      </c>
      <c r="D302" s="27">
        <v>17</v>
      </c>
      <c r="E302" s="27">
        <v>15</v>
      </c>
      <c r="F302" s="24">
        <v>0.53100000000000003</v>
      </c>
      <c r="G302" s="26">
        <v>8</v>
      </c>
      <c r="H302" s="25">
        <v>68.400000000000006</v>
      </c>
      <c r="I302" s="25">
        <v>65.7</v>
      </c>
      <c r="J302" t="s">
        <v>30</v>
      </c>
      <c r="M302" s="33">
        <v>0</v>
      </c>
      <c r="N302" s="33">
        <v>0</v>
      </c>
      <c r="R302" s="29" t="str">
        <f>VLOOKUP(WNBA_TeamSeasons[[#This Row],[Team]],$Y$3:$Y$17,1,FALSE)</f>
        <v>Seattle Storm</v>
      </c>
    </row>
    <row r="303" spans="1:18" x14ac:dyDescent="0.25">
      <c r="A303" s="27">
        <v>2002</v>
      </c>
      <c r="B303" t="s">
        <v>739</v>
      </c>
      <c r="C303" t="s">
        <v>730</v>
      </c>
      <c r="D303" s="27">
        <v>16</v>
      </c>
      <c r="E303" s="27">
        <v>16</v>
      </c>
      <c r="F303" s="24">
        <v>0.5</v>
      </c>
      <c r="G303" s="26">
        <v>9</v>
      </c>
      <c r="H303" s="25">
        <v>68.599999999999994</v>
      </c>
      <c r="I303" s="25">
        <v>69.599999999999994</v>
      </c>
      <c r="M303" s="33">
        <v>0</v>
      </c>
      <c r="N303" s="33">
        <v>0</v>
      </c>
      <c r="R303" s="29" t="str">
        <f>VLOOKUP(WNBA_TeamSeasons[[#This Row],[Team]],$Y$3:$Y$17,1,FALSE)</f>
        <v>Portland Fire</v>
      </c>
    </row>
    <row r="304" spans="1:18" x14ac:dyDescent="0.25">
      <c r="A304" s="27">
        <v>2002</v>
      </c>
      <c r="B304" t="s">
        <v>722</v>
      </c>
      <c r="C304" t="s">
        <v>730</v>
      </c>
      <c r="D304" s="27">
        <v>14</v>
      </c>
      <c r="E304" s="27">
        <v>18</v>
      </c>
      <c r="F304" s="24">
        <v>0.438</v>
      </c>
      <c r="G304" s="26">
        <v>11</v>
      </c>
      <c r="H304" s="25">
        <v>67.7</v>
      </c>
      <c r="I304" s="25">
        <v>71.7</v>
      </c>
      <c r="M304" s="33">
        <v>0</v>
      </c>
      <c r="N304" s="33">
        <v>0</v>
      </c>
      <c r="R304" s="29" t="str">
        <f>WNBA_TeamSeasons[[#This Row],[Team]]</f>
        <v>Sacramento Monarchs</v>
      </c>
    </row>
    <row r="305" spans="1:18" x14ac:dyDescent="0.25">
      <c r="A305" s="27">
        <v>2002</v>
      </c>
      <c r="B305" t="s">
        <v>710</v>
      </c>
      <c r="C305" t="s">
        <v>730</v>
      </c>
      <c r="D305" s="27">
        <v>11</v>
      </c>
      <c r="E305" s="27">
        <v>21</v>
      </c>
      <c r="F305" s="24">
        <v>0.34399999999999997</v>
      </c>
      <c r="G305" s="26">
        <v>14</v>
      </c>
      <c r="H305" s="25">
        <v>65.3</v>
      </c>
      <c r="I305" s="25">
        <v>71.599999999999994</v>
      </c>
      <c r="M305" s="33">
        <v>0</v>
      </c>
      <c r="N305" s="33">
        <v>0</v>
      </c>
      <c r="R305" s="29" t="str">
        <f>VLOOKUP(WNBA_TeamSeasons[[#This Row],[Team]],$Y$3:$Y$17,1,FALSE)</f>
        <v>Phoenix Mercury</v>
      </c>
    </row>
    <row r="306" spans="1:18" x14ac:dyDescent="0.25">
      <c r="A306" s="27">
        <v>2002</v>
      </c>
      <c r="B306" t="s">
        <v>712</v>
      </c>
      <c r="C306" t="s">
        <v>730</v>
      </c>
      <c r="D306" s="27">
        <v>10</v>
      </c>
      <c r="E306" s="27">
        <v>22</v>
      </c>
      <c r="F306" s="24">
        <v>0.313</v>
      </c>
      <c r="G306" s="26">
        <v>15</v>
      </c>
      <c r="H306" s="25">
        <v>62.6</v>
      </c>
      <c r="I306" s="25">
        <v>65.8</v>
      </c>
      <c r="M306" s="33">
        <v>0</v>
      </c>
      <c r="N306" s="33">
        <v>0</v>
      </c>
      <c r="R306" s="29" t="str">
        <f>VLOOKUP(WNBA_TeamSeasons[[#This Row],[Team]],$Y$3:$Y$17,1,FALSE)</f>
        <v>Minnesota Lynx</v>
      </c>
    </row>
    <row r="307" spans="1:18" x14ac:dyDescent="0.25">
      <c r="A307" s="27">
        <v>2001</v>
      </c>
      <c r="B307" t="s">
        <v>735</v>
      </c>
      <c r="C307" t="s">
        <v>729</v>
      </c>
      <c r="D307" s="27">
        <v>22</v>
      </c>
      <c r="E307" s="27">
        <v>10</v>
      </c>
      <c r="F307" s="24">
        <v>0.68799999999999994</v>
      </c>
      <c r="G307" s="26">
        <v>0</v>
      </c>
      <c r="H307" s="25">
        <v>62.6</v>
      </c>
      <c r="I307" s="25">
        <v>55.9</v>
      </c>
      <c r="J307" t="s">
        <v>30</v>
      </c>
      <c r="K307" s="29" t="s">
        <v>30</v>
      </c>
      <c r="M307" s="33">
        <v>0</v>
      </c>
      <c r="N307" s="33">
        <v>0</v>
      </c>
      <c r="R307" s="29" t="str">
        <f>WNBA_TeamSeasons[[#This Row],[Team]]</f>
        <v>Cleveland Rockers</v>
      </c>
    </row>
    <row r="308" spans="1:18" x14ac:dyDescent="0.25">
      <c r="A308" s="27">
        <v>2001</v>
      </c>
      <c r="B308" t="s">
        <v>711</v>
      </c>
      <c r="C308" t="s">
        <v>729</v>
      </c>
      <c r="D308" s="27">
        <v>21</v>
      </c>
      <c r="E308" s="27">
        <v>11</v>
      </c>
      <c r="F308" s="24">
        <v>0.65600000000000003</v>
      </c>
      <c r="G308" s="26">
        <v>1</v>
      </c>
      <c r="H308" s="25">
        <v>67.599999999999994</v>
      </c>
      <c r="I308" s="25">
        <v>65.099999999999994</v>
      </c>
      <c r="J308" t="s">
        <v>30</v>
      </c>
      <c r="M308" s="33">
        <v>0</v>
      </c>
      <c r="N308" s="33">
        <v>0</v>
      </c>
      <c r="R308" s="29" t="str">
        <f>VLOOKUP(WNBA_TeamSeasons[[#This Row],[Team]],$Y$3:$Y$17,1,FALSE)</f>
        <v>New York Liberty</v>
      </c>
    </row>
    <row r="309" spans="1:18" x14ac:dyDescent="0.25">
      <c r="A309" s="27">
        <v>2001</v>
      </c>
      <c r="B309" t="s">
        <v>737</v>
      </c>
      <c r="C309" t="s">
        <v>729</v>
      </c>
      <c r="D309" s="27">
        <v>20</v>
      </c>
      <c r="E309" s="27">
        <v>12</v>
      </c>
      <c r="F309" s="24">
        <v>0.625</v>
      </c>
      <c r="G309" s="26">
        <v>2</v>
      </c>
      <c r="H309" s="25">
        <v>61.2</v>
      </c>
      <c r="I309" s="25">
        <v>59.3</v>
      </c>
      <c r="J309" t="s">
        <v>30</v>
      </c>
      <c r="M309" s="33">
        <v>0</v>
      </c>
      <c r="N309" s="33">
        <v>0</v>
      </c>
      <c r="R309" s="29" t="str">
        <f>WNBA_TeamSeasons[[#This Row],[Team]]</f>
        <v>Miami Sol</v>
      </c>
    </row>
    <row r="310" spans="1:18" x14ac:dyDescent="0.25">
      <c r="A310" s="27">
        <v>2001</v>
      </c>
      <c r="B310" t="s">
        <v>723</v>
      </c>
      <c r="C310" t="s">
        <v>729</v>
      </c>
      <c r="D310" s="27">
        <v>18</v>
      </c>
      <c r="E310" s="27">
        <v>14</v>
      </c>
      <c r="F310" s="24">
        <v>0.56299999999999994</v>
      </c>
      <c r="G310" s="26">
        <v>4</v>
      </c>
      <c r="H310" s="25">
        <v>64.2</v>
      </c>
      <c r="I310" s="25">
        <v>62.8</v>
      </c>
      <c r="J310" t="s">
        <v>30</v>
      </c>
      <c r="M310" s="33">
        <v>0</v>
      </c>
      <c r="N310" s="33">
        <v>2</v>
      </c>
      <c r="O310" s="29" t="s">
        <v>30</v>
      </c>
      <c r="P310" s="29" t="s">
        <v>30</v>
      </c>
      <c r="R310" s="29" t="str">
        <f>WNBA_TeamSeasons[[#This Row],[Team]]</f>
        <v>Charlotte Sting</v>
      </c>
    </row>
    <row r="311" spans="1:18" x14ac:dyDescent="0.25">
      <c r="A311" s="27">
        <v>2001</v>
      </c>
      <c r="B311" t="s">
        <v>736</v>
      </c>
      <c r="C311" t="s">
        <v>729</v>
      </c>
      <c r="D311" s="27">
        <v>13</v>
      </c>
      <c r="E311" s="27">
        <v>19</v>
      </c>
      <c r="F311" s="24">
        <v>0.40600000000000003</v>
      </c>
      <c r="G311" s="26">
        <v>9</v>
      </c>
      <c r="H311" s="25">
        <v>66.900000000000006</v>
      </c>
      <c r="I311" s="25">
        <v>68.900000000000006</v>
      </c>
      <c r="M311" s="33">
        <v>0</v>
      </c>
      <c r="N311" s="33">
        <v>0</v>
      </c>
      <c r="R311" s="29" t="s">
        <v>713</v>
      </c>
    </row>
    <row r="312" spans="1:18" x14ac:dyDescent="0.25">
      <c r="A312" s="27">
        <v>2001</v>
      </c>
      <c r="B312" t="s">
        <v>720</v>
      </c>
      <c r="C312" t="s">
        <v>729</v>
      </c>
      <c r="D312" s="27">
        <v>10</v>
      </c>
      <c r="E312" s="27">
        <v>22</v>
      </c>
      <c r="F312" s="24">
        <v>0.313</v>
      </c>
      <c r="G312" s="26">
        <v>12</v>
      </c>
      <c r="H312" s="25">
        <v>65.7</v>
      </c>
      <c r="I312" s="25">
        <v>70.900000000000006</v>
      </c>
      <c r="M312" s="33">
        <v>0</v>
      </c>
      <c r="N312" s="33">
        <v>0</v>
      </c>
      <c r="R312" s="29" t="s">
        <v>732</v>
      </c>
    </row>
    <row r="313" spans="1:18" x14ac:dyDescent="0.25">
      <c r="A313" s="27">
        <v>2001</v>
      </c>
      <c r="B313" t="s">
        <v>718</v>
      </c>
      <c r="C313" t="s">
        <v>729</v>
      </c>
      <c r="D313" s="27">
        <v>10</v>
      </c>
      <c r="E313" s="27">
        <v>22</v>
      </c>
      <c r="F313" s="24">
        <v>0.313</v>
      </c>
      <c r="G313" s="26">
        <v>12</v>
      </c>
      <c r="H313" s="25">
        <v>67.3</v>
      </c>
      <c r="I313" s="25">
        <v>70.3</v>
      </c>
      <c r="M313" s="33">
        <v>0</v>
      </c>
      <c r="N313" s="33">
        <v>0</v>
      </c>
      <c r="R313" s="29" t="str">
        <f>VLOOKUP(WNBA_TeamSeasons[[#This Row],[Team]],$Y$3:$Y$17,1,FALSE)</f>
        <v>Indiana Fever</v>
      </c>
    </row>
    <row r="314" spans="1:18" x14ac:dyDescent="0.25">
      <c r="A314" s="27">
        <v>2001</v>
      </c>
      <c r="B314" t="s">
        <v>716</v>
      </c>
      <c r="C314" t="s">
        <v>729</v>
      </c>
      <c r="D314" s="27">
        <v>10</v>
      </c>
      <c r="E314" s="27">
        <v>22</v>
      </c>
      <c r="F314" s="24">
        <v>0.313</v>
      </c>
      <c r="G314" s="26">
        <v>12</v>
      </c>
      <c r="H314" s="25">
        <v>60.3</v>
      </c>
      <c r="I314" s="25">
        <v>64.8</v>
      </c>
      <c r="M314" s="33">
        <v>0</v>
      </c>
      <c r="N314" s="33">
        <v>0</v>
      </c>
      <c r="R314" s="29" t="str">
        <f>VLOOKUP(WNBA_TeamSeasons[[#This Row],[Team]],$Y$3:$Y$17,1,FALSE)</f>
        <v>Washington Mystics</v>
      </c>
    </row>
    <row r="315" spans="1:18" x14ac:dyDescent="0.25">
      <c r="A315" s="27">
        <v>2001</v>
      </c>
      <c r="B315" t="s">
        <v>717</v>
      </c>
      <c r="C315" t="s">
        <v>730</v>
      </c>
      <c r="D315" s="27">
        <v>28</v>
      </c>
      <c r="E315" s="27">
        <v>4</v>
      </c>
      <c r="F315" s="24">
        <v>0.875</v>
      </c>
      <c r="G315" s="26">
        <v>0</v>
      </c>
      <c r="H315" s="25">
        <v>76.3</v>
      </c>
      <c r="I315" s="25">
        <v>67.7</v>
      </c>
      <c r="J315" t="s">
        <v>30</v>
      </c>
      <c r="K315" s="29" t="s">
        <v>30</v>
      </c>
      <c r="L315" s="29" t="s">
        <v>30</v>
      </c>
      <c r="M315" s="33">
        <v>2</v>
      </c>
      <c r="N315" s="33">
        <v>0</v>
      </c>
      <c r="O315" s="29" t="s">
        <v>30</v>
      </c>
      <c r="P315" s="29" t="s">
        <v>30</v>
      </c>
      <c r="Q315" s="29" t="s">
        <v>30</v>
      </c>
      <c r="R315" s="29" t="str">
        <f>VLOOKUP(WNBA_TeamSeasons[[#This Row],[Team]],$Y$3:$Y$17,1,FALSE)</f>
        <v>Los Angeles Sparks</v>
      </c>
    </row>
    <row r="316" spans="1:18" x14ac:dyDescent="0.25">
      <c r="A316" s="27">
        <v>2001</v>
      </c>
      <c r="B316" t="s">
        <v>722</v>
      </c>
      <c r="C316" t="s">
        <v>730</v>
      </c>
      <c r="D316" s="27">
        <v>20</v>
      </c>
      <c r="E316" s="27">
        <v>12</v>
      </c>
      <c r="F316" s="24">
        <v>0.625</v>
      </c>
      <c r="G316" s="26">
        <v>8</v>
      </c>
      <c r="H316" s="25">
        <v>71.7</v>
      </c>
      <c r="I316" s="25">
        <v>66.8</v>
      </c>
      <c r="J316" t="s">
        <v>30</v>
      </c>
      <c r="M316" s="33">
        <v>0</v>
      </c>
      <c r="N316" s="33">
        <v>0</v>
      </c>
      <c r="R316" s="29" t="str">
        <f>WNBA_TeamSeasons[[#This Row],[Team]]</f>
        <v>Sacramento Monarchs</v>
      </c>
    </row>
    <row r="317" spans="1:18" x14ac:dyDescent="0.25">
      <c r="A317" s="27">
        <v>2001</v>
      </c>
      <c r="B317" t="s">
        <v>724</v>
      </c>
      <c r="C317" t="s">
        <v>730</v>
      </c>
      <c r="D317" s="27">
        <v>19</v>
      </c>
      <c r="E317" s="27">
        <v>13</v>
      </c>
      <c r="F317" s="24">
        <v>0.59399999999999997</v>
      </c>
      <c r="G317" s="26">
        <v>9</v>
      </c>
      <c r="H317" s="25">
        <v>64</v>
      </c>
      <c r="I317" s="25">
        <v>62.3</v>
      </c>
      <c r="J317" t="s">
        <v>30</v>
      </c>
      <c r="M317" s="33">
        <v>0</v>
      </c>
      <c r="N317" s="33">
        <v>0</v>
      </c>
      <c r="R317" s="29" t="str">
        <f>WNBA_TeamSeasons[[#This Row],[Team]]</f>
        <v>Houston Comets</v>
      </c>
    </row>
    <row r="318" spans="1:18" x14ac:dyDescent="0.25">
      <c r="A318" s="27">
        <v>2001</v>
      </c>
      <c r="B318" t="s">
        <v>738</v>
      </c>
      <c r="C318" t="s">
        <v>730</v>
      </c>
      <c r="D318" s="27">
        <v>19</v>
      </c>
      <c r="E318" s="27">
        <v>13</v>
      </c>
      <c r="F318" s="24">
        <v>0.59399999999999997</v>
      </c>
      <c r="G318" s="26">
        <v>9</v>
      </c>
      <c r="H318" s="25">
        <v>69</v>
      </c>
      <c r="I318" s="25">
        <v>68.5</v>
      </c>
      <c r="J318" t="s">
        <v>30</v>
      </c>
      <c r="M318" s="33">
        <v>0</v>
      </c>
      <c r="N318" s="33">
        <v>0</v>
      </c>
      <c r="R318" s="29" t="s">
        <v>709</v>
      </c>
    </row>
    <row r="319" spans="1:18" x14ac:dyDescent="0.25">
      <c r="A319" s="27">
        <v>2001</v>
      </c>
      <c r="B319" t="s">
        <v>710</v>
      </c>
      <c r="C319" t="s">
        <v>730</v>
      </c>
      <c r="D319" s="27">
        <v>13</v>
      </c>
      <c r="E319" s="27">
        <v>19</v>
      </c>
      <c r="F319" s="24">
        <v>0.40600000000000003</v>
      </c>
      <c r="G319" s="26">
        <v>15</v>
      </c>
      <c r="H319" s="25">
        <v>64.5</v>
      </c>
      <c r="I319" s="25">
        <v>67.8</v>
      </c>
      <c r="M319" s="33">
        <v>0</v>
      </c>
      <c r="N319" s="33">
        <v>0</v>
      </c>
      <c r="R319" s="29" t="str">
        <f>VLOOKUP(WNBA_TeamSeasons[[#This Row],[Team]],$Y$3:$Y$17,1,FALSE)</f>
        <v>Phoenix Mercury</v>
      </c>
    </row>
    <row r="320" spans="1:18" x14ac:dyDescent="0.25">
      <c r="A320" s="27">
        <v>2001</v>
      </c>
      <c r="B320" t="s">
        <v>712</v>
      </c>
      <c r="C320" t="s">
        <v>730</v>
      </c>
      <c r="D320" s="27">
        <v>12</v>
      </c>
      <c r="E320" s="27">
        <v>20</v>
      </c>
      <c r="F320" s="24">
        <v>0.375</v>
      </c>
      <c r="G320" s="26">
        <v>16</v>
      </c>
      <c r="H320" s="25">
        <v>64.900000000000006</v>
      </c>
      <c r="I320" s="25">
        <v>67.400000000000006</v>
      </c>
      <c r="M320" s="33">
        <v>0</v>
      </c>
      <c r="N320" s="33">
        <v>0</v>
      </c>
      <c r="R320" s="29" t="str">
        <f>VLOOKUP(WNBA_TeamSeasons[[#This Row],[Team]],$Y$3:$Y$17,1,FALSE)</f>
        <v>Minnesota Lynx</v>
      </c>
    </row>
    <row r="321" spans="1:18" x14ac:dyDescent="0.25">
      <c r="A321" s="27">
        <v>2001</v>
      </c>
      <c r="B321" t="s">
        <v>739</v>
      </c>
      <c r="C321" t="s">
        <v>730</v>
      </c>
      <c r="D321" s="27">
        <v>11</v>
      </c>
      <c r="E321" s="27">
        <v>21</v>
      </c>
      <c r="F321" s="24">
        <v>0.34399999999999997</v>
      </c>
      <c r="G321" s="26">
        <v>17</v>
      </c>
      <c r="H321" s="25">
        <v>65.3</v>
      </c>
      <c r="I321" s="25">
        <v>68.8</v>
      </c>
      <c r="M321" s="33">
        <v>0</v>
      </c>
      <c r="N321" s="33">
        <v>0</v>
      </c>
      <c r="R321" s="29" t="str">
        <f>VLOOKUP(WNBA_TeamSeasons[[#This Row],[Team]],$Y$3:$Y$17,1,FALSE)</f>
        <v>Portland Fire</v>
      </c>
    </row>
    <row r="322" spans="1:18" x14ac:dyDescent="0.25">
      <c r="A322" s="27">
        <v>2001</v>
      </c>
      <c r="B322" t="s">
        <v>715</v>
      </c>
      <c r="C322" t="s">
        <v>730</v>
      </c>
      <c r="D322" s="27">
        <v>10</v>
      </c>
      <c r="E322" s="27">
        <v>22</v>
      </c>
      <c r="F322" s="24">
        <v>0.313</v>
      </c>
      <c r="G322" s="26">
        <v>18</v>
      </c>
      <c r="H322" s="25">
        <v>60</v>
      </c>
      <c r="I322" s="25">
        <v>64</v>
      </c>
      <c r="M322" s="33">
        <v>0</v>
      </c>
      <c r="N322" s="33">
        <v>0</v>
      </c>
      <c r="R322" s="29" t="str">
        <f>VLOOKUP(WNBA_TeamSeasons[[#This Row],[Team]],$Y$3:$Y$17,1,FALSE)</f>
        <v>Seattle Storm</v>
      </c>
    </row>
    <row r="323" spans="1:18" x14ac:dyDescent="0.25">
      <c r="A323" s="27">
        <v>2000</v>
      </c>
      <c r="B323" t="s">
        <v>711</v>
      </c>
      <c r="C323" t="s">
        <v>729</v>
      </c>
      <c r="D323" s="27">
        <v>20</v>
      </c>
      <c r="E323" s="27">
        <v>12</v>
      </c>
      <c r="F323" s="24">
        <v>0.625</v>
      </c>
      <c r="G323" s="26">
        <v>0</v>
      </c>
      <c r="H323" s="25">
        <v>67.099999999999994</v>
      </c>
      <c r="I323" s="25">
        <v>63.6</v>
      </c>
      <c r="J323" t="s">
        <v>30</v>
      </c>
      <c r="K323" s="29" t="s">
        <v>30</v>
      </c>
      <c r="M323" s="33">
        <v>0</v>
      </c>
      <c r="N323" s="33">
        <v>2</v>
      </c>
      <c r="O323" s="29" t="s">
        <v>30</v>
      </c>
      <c r="P323" s="29" t="s">
        <v>30</v>
      </c>
      <c r="R323" s="29" t="str">
        <f>VLOOKUP(WNBA_TeamSeasons[[#This Row],[Team]],$Y$3:$Y$17,1,FALSE)</f>
        <v>New York Liberty</v>
      </c>
    </row>
    <row r="324" spans="1:18" x14ac:dyDescent="0.25">
      <c r="A324" s="27">
        <v>2000</v>
      </c>
      <c r="B324" t="s">
        <v>735</v>
      </c>
      <c r="C324" t="s">
        <v>729</v>
      </c>
      <c r="D324" s="27">
        <v>17</v>
      </c>
      <c r="E324" s="27">
        <v>15</v>
      </c>
      <c r="F324" s="24">
        <v>0.53100000000000003</v>
      </c>
      <c r="G324" s="26">
        <v>3</v>
      </c>
      <c r="H324" s="25">
        <v>68.3</v>
      </c>
      <c r="I324" s="25">
        <v>66.3</v>
      </c>
      <c r="J324" t="s">
        <v>30</v>
      </c>
      <c r="M324" s="33">
        <v>0</v>
      </c>
      <c r="N324" s="33">
        <v>0</v>
      </c>
      <c r="R324" s="29" t="str">
        <f>WNBA_TeamSeasons[[#This Row],[Team]]</f>
        <v>Cleveland Rockers</v>
      </c>
    </row>
    <row r="325" spans="1:18" x14ac:dyDescent="0.25">
      <c r="A325" s="27">
        <v>2000</v>
      </c>
      <c r="B325" t="s">
        <v>736</v>
      </c>
      <c r="C325" t="s">
        <v>729</v>
      </c>
      <c r="D325" s="27">
        <v>16</v>
      </c>
      <c r="E325" s="27">
        <v>16</v>
      </c>
      <c r="F325" s="24">
        <v>0.5</v>
      </c>
      <c r="G325" s="26">
        <v>4</v>
      </c>
      <c r="H325" s="25">
        <v>69</v>
      </c>
      <c r="I325" s="25">
        <v>69.8</v>
      </c>
      <c r="J325" t="s">
        <v>30</v>
      </c>
      <c r="M325" s="33">
        <v>0</v>
      </c>
      <c r="N325" s="33">
        <v>0</v>
      </c>
      <c r="R325" s="29" t="s">
        <v>713</v>
      </c>
    </row>
    <row r="326" spans="1:18" x14ac:dyDescent="0.25">
      <c r="A326" s="27">
        <v>2000</v>
      </c>
      <c r="B326" t="s">
        <v>716</v>
      </c>
      <c r="C326" t="s">
        <v>729</v>
      </c>
      <c r="D326" s="27">
        <v>14</v>
      </c>
      <c r="E326" s="27">
        <v>18</v>
      </c>
      <c r="F326" s="24">
        <v>0.438</v>
      </c>
      <c r="G326" s="26">
        <v>6</v>
      </c>
      <c r="H326" s="25">
        <v>68</v>
      </c>
      <c r="I326" s="25">
        <v>69.400000000000006</v>
      </c>
      <c r="J326" t="s">
        <v>30</v>
      </c>
      <c r="M326" s="33">
        <v>0</v>
      </c>
      <c r="N326" s="33">
        <v>0</v>
      </c>
      <c r="R326" s="29" t="str">
        <f>VLOOKUP(WNBA_TeamSeasons[[#This Row],[Team]],$Y$3:$Y$17,1,FALSE)</f>
        <v>Washington Mystics</v>
      </c>
    </row>
    <row r="327" spans="1:18" x14ac:dyDescent="0.25">
      <c r="A327" s="27">
        <v>2000</v>
      </c>
      <c r="B327" t="s">
        <v>720</v>
      </c>
      <c r="C327" t="s">
        <v>729</v>
      </c>
      <c r="D327" s="27">
        <v>14</v>
      </c>
      <c r="E327" s="27">
        <v>18</v>
      </c>
      <c r="F327" s="24">
        <v>0.438</v>
      </c>
      <c r="G327" s="26">
        <v>6</v>
      </c>
      <c r="H327" s="25">
        <v>72.8</v>
      </c>
      <c r="I327" s="25">
        <v>75.8</v>
      </c>
      <c r="M327" s="33">
        <v>0</v>
      </c>
      <c r="N327" s="33">
        <v>0</v>
      </c>
      <c r="R327" s="29" t="s">
        <v>732</v>
      </c>
    </row>
    <row r="328" spans="1:18" x14ac:dyDescent="0.25">
      <c r="A328" s="27">
        <v>2000</v>
      </c>
      <c r="B328" t="s">
        <v>737</v>
      </c>
      <c r="C328" t="s">
        <v>729</v>
      </c>
      <c r="D328" s="27">
        <v>13</v>
      </c>
      <c r="E328" s="27">
        <v>19</v>
      </c>
      <c r="F328" s="24">
        <v>0.40600000000000003</v>
      </c>
      <c r="G328" s="26">
        <v>7</v>
      </c>
      <c r="H328" s="25">
        <v>57.2</v>
      </c>
      <c r="I328" s="25">
        <v>62.5</v>
      </c>
      <c r="M328" s="33">
        <v>0</v>
      </c>
      <c r="N328" s="33">
        <v>0</v>
      </c>
      <c r="R328" s="29" t="str">
        <f>WNBA_TeamSeasons[[#This Row],[Team]]</f>
        <v>Miami Sol</v>
      </c>
    </row>
    <row r="329" spans="1:18" x14ac:dyDescent="0.25">
      <c r="A329" s="27">
        <v>2000</v>
      </c>
      <c r="B329" t="s">
        <v>718</v>
      </c>
      <c r="C329" t="s">
        <v>729</v>
      </c>
      <c r="D329" s="27">
        <v>9</v>
      </c>
      <c r="E329" s="27">
        <v>23</v>
      </c>
      <c r="F329" s="24">
        <v>0.28100000000000003</v>
      </c>
      <c r="G329" s="26">
        <v>11</v>
      </c>
      <c r="H329" s="25">
        <v>69.2</v>
      </c>
      <c r="I329" s="25">
        <v>71.599999999999994</v>
      </c>
      <c r="M329" s="33">
        <v>0</v>
      </c>
      <c r="N329" s="33">
        <v>0</v>
      </c>
      <c r="R329" s="29" t="str">
        <f>VLOOKUP(WNBA_TeamSeasons[[#This Row],[Team]],$Y$3:$Y$17,1,FALSE)</f>
        <v>Indiana Fever</v>
      </c>
    </row>
    <row r="330" spans="1:18" x14ac:dyDescent="0.25">
      <c r="A330" s="27">
        <v>2000</v>
      </c>
      <c r="B330" t="s">
        <v>723</v>
      </c>
      <c r="C330" t="s">
        <v>729</v>
      </c>
      <c r="D330" s="27">
        <v>8</v>
      </c>
      <c r="E330" s="27">
        <v>24</v>
      </c>
      <c r="F330" s="24">
        <v>0.25</v>
      </c>
      <c r="G330" s="26">
        <v>12</v>
      </c>
      <c r="H330" s="25">
        <v>68.3</v>
      </c>
      <c r="I330" s="25">
        <v>75.900000000000006</v>
      </c>
      <c r="M330" s="33">
        <v>0</v>
      </c>
      <c r="N330" s="33">
        <v>0</v>
      </c>
      <c r="R330" s="29" t="str">
        <f>WNBA_TeamSeasons[[#This Row],[Team]]</f>
        <v>Charlotte Sting</v>
      </c>
    </row>
    <row r="331" spans="1:18" x14ac:dyDescent="0.25">
      <c r="A331" s="27">
        <v>2000</v>
      </c>
      <c r="B331" t="s">
        <v>717</v>
      </c>
      <c r="C331" t="s">
        <v>730</v>
      </c>
      <c r="D331" s="27">
        <v>28</v>
      </c>
      <c r="E331" s="27">
        <v>4</v>
      </c>
      <c r="F331" s="24">
        <v>0.875</v>
      </c>
      <c r="G331" s="26">
        <v>0</v>
      </c>
      <c r="H331" s="25">
        <v>75.5</v>
      </c>
      <c r="I331" s="25">
        <v>67.8</v>
      </c>
      <c r="J331" t="s">
        <v>30</v>
      </c>
      <c r="K331" s="29" t="s">
        <v>30</v>
      </c>
      <c r="L331" s="29" t="s">
        <v>30</v>
      </c>
      <c r="M331" s="33">
        <v>0</v>
      </c>
      <c r="N331" s="33">
        <v>0</v>
      </c>
      <c r="R331" s="29" t="str">
        <f>VLOOKUP(WNBA_TeamSeasons[[#This Row],[Team]],$Y$3:$Y$17,1,FALSE)</f>
        <v>Los Angeles Sparks</v>
      </c>
    </row>
    <row r="332" spans="1:18" x14ac:dyDescent="0.25">
      <c r="A332" s="27">
        <v>2000</v>
      </c>
      <c r="B332" t="s">
        <v>724</v>
      </c>
      <c r="C332" t="s">
        <v>730</v>
      </c>
      <c r="D332" s="27">
        <v>27</v>
      </c>
      <c r="E332" s="27">
        <v>5</v>
      </c>
      <c r="F332" s="24">
        <v>0.84399999999999997</v>
      </c>
      <c r="G332" s="26">
        <v>1</v>
      </c>
      <c r="H332" s="25">
        <v>77.3</v>
      </c>
      <c r="I332" s="25">
        <v>64.599999999999994</v>
      </c>
      <c r="J332" t="s">
        <v>30</v>
      </c>
      <c r="M332" s="33">
        <v>2</v>
      </c>
      <c r="N332" s="33">
        <v>0</v>
      </c>
      <c r="O332" s="29" t="s">
        <v>30</v>
      </c>
      <c r="P332" s="29" t="s">
        <v>30</v>
      </c>
      <c r="Q332" s="29" t="s">
        <v>30</v>
      </c>
      <c r="R332" s="29" t="str">
        <f>WNBA_TeamSeasons[[#This Row],[Team]]</f>
        <v>Houston Comets</v>
      </c>
    </row>
    <row r="333" spans="1:18" x14ac:dyDescent="0.25">
      <c r="A333" s="27">
        <v>2000</v>
      </c>
      <c r="B333" t="s">
        <v>722</v>
      </c>
      <c r="C333" t="s">
        <v>730</v>
      </c>
      <c r="D333" s="27">
        <v>21</v>
      </c>
      <c r="E333" s="27">
        <v>11</v>
      </c>
      <c r="F333" s="24">
        <v>0.65600000000000003</v>
      </c>
      <c r="G333" s="26">
        <v>7</v>
      </c>
      <c r="H333" s="25">
        <v>73.2</v>
      </c>
      <c r="I333" s="25">
        <v>68</v>
      </c>
      <c r="J333" t="s">
        <v>30</v>
      </c>
      <c r="M333" s="33">
        <v>0</v>
      </c>
      <c r="N333" s="33">
        <v>0</v>
      </c>
      <c r="R333" s="29" t="str">
        <f>WNBA_TeamSeasons[[#This Row],[Team]]</f>
        <v>Sacramento Monarchs</v>
      </c>
    </row>
    <row r="334" spans="1:18" x14ac:dyDescent="0.25">
      <c r="A334" s="27">
        <v>2000</v>
      </c>
      <c r="B334" t="s">
        <v>710</v>
      </c>
      <c r="C334" t="s">
        <v>730</v>
      </c>
      <c r="D334" s="27">
        <v>20</v>
      </c>
      <c r="E334" s="27">
        <v>12</v>
      </c>
      <c r="F334" s="24">
        <v>0.625</v>
      </c>
      <c r="G334" s="26">
        <v>8</v>
      </c>
      <c r="H334" s="25">
        <v>70.099999999999994</v>
      </c>
      <c r="I334" s="25">
        <v>65.7</v>
      </c>
      <c r="J334" t="s">
        <v>30</v>
      </c>
      <c r="M334" s="33">
        <v>0</v>
      </c>
      <c r="N334" s="33">
        <v>0</v>
      </c>
      <c r="R334" s="29" t="str">
        <f>VLOOKUP(WNBA_TeamSeasons[[#This Row],[Team]],$Y$3:$Y$17,1,FALSE)</f>
        <v>Phoenix Mercury</v>
      </c>
    </row>
    <row r="335" spans="1:18" x14ac:dyDescent="0.25">
      <c r="A335" s="27">
        <v>2000</v>
      </c>
      <c r="B335" t="s">
        <v>738</v>
      </c>
      <c r="C335" t="s">
        <v>730</v>
      </c>
      <c r="D335" s="27">
        <v>18</v>
      </c>
      <c r="E335" s="27">
        <v>14</v>
      </c>
      <c r="F335" s="24">
        <v>0.56299999999999994</v>
      </c>
      <c r="G335" s="26">
        <v>10</v>
      </c>
      <c r="H335" s="25">
        <v>75.400000000000006</v>
      </c>
      <c r="I335" s="25">
        <v>75.2</v>
      </c>
      <c r="M335" s="33">
        <v>0</v>
      </c>
      <c r="N335" s="33">
        <v>0</v>
      </c>
      <c r="R335" s="29" t="s">
        <v>709</v>
      </c>
    </row>
    <row r="336" spans="1:18" x14ac:dyDescent="0.25">
      <c r="A336" s="27">
        <v>2000</v>
      </c>
      <c r="B336" t="s">
        <v>712</v>
      </c>
      <c r="C336" t="s">
        <v>730</v>
      </c>
      <c r="D336" s="27">
        <v>15</v>
      </c>
      <c r="E336" s="27">
        <v>17</v>
      </c>
      <c r="F336" s="24">
        <v>0.46899999999999997</v>
      </c>
      <c r="G336" s="26">
        <v>13</v>
      </c>
      <c r="H336" s="25">
        <v>68.5</v>
      </c>
      <c r="I336" s="25">
        <v>68.400000000000006</v>
      </c>
      <c r="M336" s="33">
        <v>0</v>
      </c>
      <c r="N336" s="33">
        <v>0</v>
      </c>
      <c r="R336" s="29" t="str">
        <f>VLOOKUP(WNBA_TeamSeasons[[#This Row],[Team]],$Y$3:$Y$17,1,FALSE)</f>
        <v>Minnesota Lynx</v>
      </c>
    </row>
    <row r="337" spans="1:18" x14ac:dyDescent="0.25">
      <c r="A337" s="27">
        <v>2000</v>
      </c>
      <c r="B337" t="s">
        <v>739</v>
      </c>
      <c r="C337" t="s">
        <v>730</v>
      </c>
      <c r="D337" s="27">
        <v>10</v>
      </c>
      <c r="E337" s="27">
        <v>22</v>
      </c>
      <c r="F337" s="24">
        <v>0.313</v>
      </c>
      <c r="G337" s="26">
        <v>18</v>
      </c>
      <c r="H337" s="25">
        <v>67.3</v>
      </c>
      <c r="I337" s="25">
        <v>72</v>
      </c>
      <c r="M337" s="33">
        <v>0</v>
      </c>
      <c r="N337" s="33">
        <v>0</v>
      </c>
      <c r="R337" s="29" t="str">
        <f>VLOOKUP(WNBA_TeamSeasons[[#This Row],[Team]],$Y$3:$Y$17,1,FALSE)</f>
        <v>Portland Fire</v>
      </c>
    </row>
    <row r="338" spans="1:18" x14ac:dyDescent="0.25">
      <c r="A338" s="27">
        <v>2000</v>
      </c>
      <c r="B338" t="s">
        <v>715</v>
      </c>
      <c r="C338" t="s">
        <v>730</v>
      </c>
      <c r="D338" s="27">
        <v>6</v>
      </c>
      <c r="E338" s="27">
        <v>26</v>
      </c>
      <c r="F338" s="24">
        <v>0.188</v>
      </c>
      <c r="G338" s="26">
        <v>22</v>
      </c>
      <c r="H338" s="25">
        <v>56.9</v>
      </c>
      <c r="I338" s="25">
        <v>67.8</v>
      </c>
      <c r="M338" s="33">
        <v>0</v>
      </c>
      <c r="N338" s="33">
        <v>0</v>
      </c>
      <c r="R338" s="29" t="str">
        <f>VLOOKUP(WNBA_TeamSeasons[[#This Row],[Team]],$Y$3:$Y$17,1,FALSE)</f>
        <v>Seattle Storm</v>
      </c>
    </row>
    <row r="339" spans="1:18" x14ac:dyDescent="0.25">
      <c r="A339" s="27">
        <v>1999</v>
      </c>
      <c r="B339" t="s">
        <v>711</v>
      </c>
      <c r="C339" t="s">
        <v>729</v>
      </c>
      <c r="D339" s="27">
        <v>18</v>
      </c>
      <c r="E339" s="27">
        <v>14</v>
      </c>
      <c r="F339" s="24">
        <v>0.56299999999999994</v>
      </c>
      <c r="G339" s="26">
        <v>0</v>
      </c>
      <c r="H339" s="25">
        <v>67.8</v>
      </c>
      <c r="I339" s="25">
        <v>65.3</v>
      </c>
      <c r="J339" t="s">
        <v>30</v>
      </c>
      <c r="K339" s="29" t="s">
        <v>30</v>
      </c>
      <c r="M339" s="33">
        <v>1</v>
      </c>
      <c r="N339" s="33">
        <v>2</v>
      </c>
      <c r="O339" s="29" t="s">
        <v>30</v>
      </c>
      <c r="P339" s="29" t="s">
        <v>30</v>
      </c>
      <c r="R339" s="29" t="str">
        <f>VLOOKUP(WNBA_TeamSeasons[[#This Row],[Team]],$Y$3:$Y$17,1,FALSE)</f>
        <v>New York Liberty</v>
      </c>
    </row>
    <row r="340" spans="1:18" x14ac:dyDescent="0.25">
      <c r="A340" s="27">
        <v>1999</v>
      </c>
      <c r="B340" t="s">
        <v>723</v>
      </c>
      <c r="C340" t="s">
        <v>729</v>
      </c>
      <c r="D340" s="27">
        <v>15</v>
      </c>
      <c r="E340" s="27">
        <v>17</v>
      </c>
      <c r="F340" s="24">
        <v>0.46899999999999997</v>
      </c>
      <c r="G340" s="26">
        <v>3</v>
      </c>
      <c r="H340" s="25">
        <v>65.8</v>
      </c>
      <c r="I340" s="25">
        <v>66.900000000000006</v>
      </c>
      <c r="J340" t="s">
        <v>30</v>
      </c>
      <c r="M340" s="33">
        <v>0</v>
      </c>
      <c r="N340" s="33">
        <v>0</v>
      </c>
      <c r="R340" s="29" t="str">
        <f>WNBA_TeamSeasons[[#This Row],[Team]]</f>
        <v>Charlotte Sting</v>
      </c>
    </row>
    <row r="341" spans="1:18" x14ac:dyDescent="0.25">
      <c r="A341" s="27">
        <v>1999</v>
      </c>
      <c r="B341" t="s">
        <v>720</v>
      </c>
      <c r="C341" t="s">
        <v>729</v>
      </c>
      <c r="D341" s="27">
        <v>15</v>
      </c>
      <c r="E341" s="27">
        <v>17</v>
      </c>
      <c r="F341" s="24">
        <v>0.46899999999999997</v>
      </c>
      <c r="G341" s="26">
        <v>3</v>
      </c>
      <c r="H341" s="25">
        <v>70</v>
      </c>
      <c r="I341" s="25">
        <v>72</v>
      </c>
      <c r="J341" t="s">
        <v>30</v>
      </c>
      <c r="M341" s="33">
        <v>0</v>
      </c>
      <c r="N341" s="33">
        <v>0</v>
      </c>
      <c r="R341" s="29" t="s">
        <v>732</v>
      </c>
    </row>
    <row r="342" spans="1:18" x14ac:dyDescent="0.25">
      <c r="A342" s="27">
        <v>1999</v>
      </c>
      <c r="B342" t="s">
        <v>736</v>
      </c>
      <c r="C342" t="s">
        <v>729</v>
      </c>
      <c r="D342" s="27">
        <v>15</v>
      </c>
      <c r="E342" s="27">
        <v>17</v>
      </c>
      <c r="F342" s="24">
        <v>0.46899999999999997</v>
      </c>
      <c r="G342" s="26">
        <v>3</v>
      </c>
      <c r="H342" s="25">
        <v>68.900000000000006</v>
      </c>
      <c r="I342" s="25">
        <v>69.3</v>
      </c>
      <c r="M342" s="33">
        <v>0</v>
      </c>
      <c r="N342" s="33">
        <v>0</v>
      </c>
      <c r="R342" s="29" t="s">
        <v>713</v>
      </c>
    </row>
    <row r="343" spans="1:18" x14ac:dyDescent="0.25">
      <c r="A343" s="27">
        <v>1999</v>
      </c>
      <c r="B343" t="s">
        <v>716</v>
      </c>
      <c r="C343" t="s">
        <v>729</v>
      </c>
      <c r="D343" s="27">
        <v>12</v>
      </c>
      <c r="E343" s="27">
        <v>20</v>
      </c>
      <c r="F343" s="24">
        <v>0.375</v>
      </c>
      <c r="G343" s="26">
        <v>6</v>
      </c>
      <c r="H343" s="25">
        <v>65.599999999999994</v>
      </c>
      <c r="I343" s="25">
        <v>70.2</v>
      </c>
      <c r="M343" s="33">
        <v>0</v>
      </c>
      <c r="N343" s="33">
        <v>0</v>
      </c>
      <c r="R343" s="29" t="str">
        <f>VLOOKUP(WNBA_TeamSeasons[[#This Row],[Team]],$Y$3:$Y$17,1,FALSE)</f>
        <v>Washington Mystics</v>
      </c>
    </row>
    <row r="344" spans="1:18" x14ac:dyDescent="0.25">
      <c r="A344" s="27">
        <v>1999</v>
      </c>
      <c r="B344" t="s">
        <v>735</v>
      </c>
      <c r="C344" t="s">
        <v>729</v>
      </c>
      <c r="D344" s="27">
        <v>7</v>
      </c>
      <c r="E344" s="27">
        <v>25</v>
      </c>
      <c r="F344" s="24">
        <v>0.219</v>
      </c>
      <c r="G344" s="26">
        <v>11</v>
      </c>
      <c r="H344" s="25">
        <v>62.9</v>
      </c>
      <c r="I344" s="25">
        <v>69.3</v>
      </c>
      <c r="M344" s="33">
        <v>0</v>
      </c>
      <c r="N344" s="33">
        <v>0</v>
      </c>
      <c r="R344" s="29" t="str">
        <f>WNBA_TeamSeasons[[#This Row],[Team]]</f>
        <v>Cleveland Rockers</v>
      </c>
    </row>
    <row r="345" spans="1:18" x14ac:dyDescent="0.25">
      <c r="A345" s="27">
        <v>1999</v>
      </c>
      <c r="B345" t="s">
        <v>724</v>
      </c>
      <c r="C345" t="s">
        <v>730</v>
      </c>
      <c r="D345" s="27">
        <v>26</v>
      </c>
      <c r="E345" s="27">
        <v>6</v>
      </c>
      <c r="F345" s="24">
        <v>0.81299999999999994</v>
      </c>
      <c r="G345" s="26">
        <v>0</v>
      </c>
      <c r="H345" s="25">
        <v>74</v>
      </c>
      <c r="I345" s="25">
        <v>64.7</v>
      </c>
      <c r="J345" t="s">
        <v>30</v>
      </c>
      <c r="K345" s="29" t="s">
        <v>30</v>
      </c>
      <c r="L345" s="29" t="s">
        <v>30</v>
      </c>
      <c r="M345" s="33">
        <v>2</v>
      </c>
      <c r="N345" s="33">
        <v>1</v>
      </c>
      <c r="O345" s="29" t="s">
        <v>30</v>
      </c>
      <c r="P345" s="29" t="s">
        <v>30</v>
      </c>
      <c r="Q345" s="29" t="s">
        <v>30</v>
      </c>
      <c r="R345" s="29" t="str">
        <f>WNBA_TeamSeasons[[#This Row],[Team]]</f>
        <v>Houston Comets</v>
      </c>
    </row>
    <row r="346" spans="1:18" x14ac:dyDescent="0.25">
      <c r="A346" s="27">
        <v>1999</v>
      </c>
      <c r="B346" t="s">
        <v>717</v>
      </c>
      <c r="C346" t="s">
        <v>730</v>
      </c>
      <c r="D346" s="27">
        <v>20</v>
      </c>
      <c r="E346" s="27">
        <v>12</v>
      </c>
      <c r="F346" s="24">
        <v>0.625</v>
      </c>
      <c r="G346" s="26">
        <v>6</v>
      </c>
      <c r="H346" s="25">
        <v>76.5</v>
      </c>
      <c r="I346" s="25">
        <v>72.400000000000006</v>
      </c>
      <c r="J346" t="s">
        <v>30</v>
      </c>
      <c r="M346" s="33">
        <v>0</v>
      </c>
      <c r="N346" s="33">
        <v>0</v>
      </c>
      <c r="R346" s="29" t="str">
        <f>VLOOKUP(WNBA_TeamSeasons[[#This Row],[Team]],$Y$3:$Y$17,1,FALSE)</f>
        <v>Los Angeles Sparks</v>
      </c>
    </row>
    <row r="347" spans="1:18" x14ac:dyDescent="0.25">
      <c r="A347" s="27">
        <v>1999</v>
      </c>
      <c r="B347" t="s">
        <v>722</v>
      </c>
      <c r="C347" t="s">
        <v>730</v>
      </c>
      <c r="D347" s="27">
        <v>19</v>
      </c>
      <c r="E347" s="27">
        <v>13</v>
      </c>
      <c r="F347" s="24">
        <v>0.59399999999999997</v>
      </c>
      <c r="G347" s="26">
        <v>7</v>
      </c>
      <c r="H347" s="25">
        <v>74.8</v>
      </c>
      <c r="I347" s="25">
        <v>70.599999999999994</v>
      </c>
      <c r="J347" t="s">
        <v>30</v>
      </c>
      <c r="M347" s="33">
        <v>0</v>
      </c>
      <c r="N347" s="33">
        <v>0</v>
      </c>
      <c r="R347" s="29" t="str">
        <f>WNBA_TeamSeasons[[#This Row],[Team]]</f>
        <v>Sacramento Monarchs</v>
      </c>
    </row>
    <row r="348" spans="1:18" x14ac:dyDescent="0.25">
      <c r="A348" s="27">
        <v>1999</v>
      </c>
      <c r="B348" t="s">
        <v>712</v>
      </c>
      <c r="C348" t="s">
        <v>730</v>
      </c>
      <c r="D348" s="27">
        <v>15</v>
      </c>
      <c r="E348" s="27">
        <v>17</v>
      </c>
      <c r="F348" s="24">
        <v>0.46899999999999997</v>
      </c>
      <c r="G348" s="26">
        <v>11</v>
      </c>
      <c r="H348" s="25">
        <v>63.6</v>
      </c>
      <c r="I348" s="25">
        <v>66</v>
      </c>
      <c r="M348" s="33">
        <v>0</v>
      </c>
      <c r="N348" s="33">
        <v>0</v>
      </c>
      <c r="R348" s="29" t="str">
        <f>VLOOKUP(WNBA_TeamSeasons[[#This Row],[Team]],$Y$3:$Y$17,1,FALSE)</f>
        <v>Minnesota Lynx</v>
      </c>
    </row>
    <row r="349" spans="1:18" x14ac:dyDescent="0.25">
      <c r="A349" s="27">
        <v>1999</v>
      </c>
      <c r="B349" t="s">
        <v>710</v>
      </c>
      <c r="C349" t="s">
        <v>730</v>
      </c>
      <c r="D349" s="27">
        <v>15</v>
      </c>
      <c r="E349" s="27">
        <v>17</v>
      </c>
      <c r="F349" s="24">
        <v>0.46899999999999997</v>
      </c>
      <c r="G349" s="26">
        <v>11</v>
      </c>
      <c r="H349" s="25">
        <v>68</v>
      </c>
      <c r="I349" s="25">
        <v>68.2</v>
      </c>
      <c r="M349" s="33">
        <v>0</v>
      </c>
      <c r="N349" s="33">
        <v>0</v>
      </c>
      <c r="R349" s="29" t="str">
        <f>VLOOKUP(WNBA_TeamSeasons[[#This Row],[Team]],$Y$3:$Y$17,1,FALSE)</f>
        <v>Phoenix Mercury</v>
      </c>
    </row>
    <row r="350" spans="1:18" x14ac:dyDescent="0.25">
      <c r="A350" s="27">
        <v>1999</v>
      </c>
      <c r="B350" t="s">
        <v>738</v>
      </c>
      <c r="C350" t="s">
        <v>730</v>
      </c>
      <c r="D350" s="27">
        <v>15</v>
      </c>
      <c r="E350" s="27">
        <v>17</v>
      </c>
      <c r="F350" s="24">
        <v>0.46899999999999997</v>
      </c>
      <c r="G350" s="26">
        <v>11</v>
      </c>
      <c r="H350" s="25">
        <v>74</v>
      </c>
      <c r="I350" s="25">
        <v>77.099999999999994</v>
      </c>
      <c r="M350" s="33">
        <v>0</v>
      </c>
      <c r="N350" s="33">
        <v>0</v>
      </c>
      <c r="R350" s="29" t="s">
        <v>709</v>
      </c>
    </row>
    <row r="351" spans="1:18" x14ac:dyDescent="0.25">
      <c r="A351" s="27">
        <v>1998</v>
      </c>
      <c r="B351" t="s">
        <v>735</v>
      </c>
      <c r="C351" t="s">
        <v>729</v>
      </c>
      <c r="D351" s="27">
        <v>20</v>
      </c>
      <c r="E351" s="27">
        <v>10</v>
      </c>
      <c r="F351" s="24">
        <v>0.66700000000000004</v>
      </c>
      <c r="G351" s="26">
        <v>0</v>
      </c>
      <c r="H351" s="25">
        <v>73.2</v>
      </c>
      <c r="I351" s="25">
        <v>70.3</v>
      </c>
      <c r="J351" t="s">
        <v>30</v>
      </c>
      <c r="K351" s="29" t="s">
        <v>30</v>
      </c>
      <c r="M351" s="33">
        <v>1</v>
      </c>
      <c r="N351" s="33">
        <v>2</v>
      </c>
      <c r="O351" s="29" t="s">
        <v>30</v>
      </c>
      <c r="R351" s="29" t="str">
        <f>WNBA_TeamSeasons[[#This Row],[Team]]</f>
        <v>Cleveland Rockers</v>
      </c>
    </row>
    <row r="352" spans="1:18" x14ac:dyDescent="0.25">
      <c r="A352" s="27">
        <v>1998</v>
      </c>
      <c r="B352" t="s">
        <v>723</v>
      </c>
      <c r="C352" t="s">
        <v>729</v>
      </c>
      <c r="D352" s="27">
        <v>18</v>
      </c>
      <c r="E352" s="27">
        <v>12</v>
      </c>
      <c r="F352" s="24">
        <v>0.6</v>
      </c>
      <c r="G352" s="26">
        <v>2</v>
      </c>
      <c r="H352" s="25">
        <v>71.400000000000006</v>
      </c>
      <c r="I352" s="25">
        <v>68.400000000000006</v>
      </c>
      <c r="J352" t="s">
        <v>30</v>
      </c>
      <c r="M352" s="33">
        <v>0</v>
      </c>
      <c r="N352" s="33">
        <v>2</v>
      </c>
      <c r="O352" s="29" t="s">
        <v>30</v>
      </c>
      <c r="R352" s="29" t="str">
        <f>WNBA_TeamSeasons[[#This Row],[Team]]</f>
        <v>Charlotte Sting</v>
      </c>
    </row>
    <row r="353" spans="1:18" x14ac:dyDescent="0.25">
      <c r="A353" s="27">
        <v>1998</v>
      </c>
      <c r="B353" t="s">
        <v>711</v>
      </c>
      <c r="C353" t="s">
        <v>729</v>
      </c>
      <c r="D353" s="27">
        <v>18</v>
      </c>
      <c r="E353" s="27">
        <v>12</v>
      </c>
      <c r="F353" s="24">
        <v>0.6</v>
      </c>
      <c r="G353" s="26">
        <v>2</v>
      </c>
      <c r="H353" s="25">
        <v>68.599999999999994</v>
      </c>
      <c r="I353" s="25">
        <v>65.5</v>
      </c>
      <c r="M353" s="33">
        <v>0</v>
      </c>
      <c r="N353" s="33">
        <v>0</v>
      </c>
      <c r="R353" s="29" t="str">
        <f>VLOOKUP(WNBA_TeamSeasons[[#This Row],[Team]],$Y$3:$Y$17,1,FALSE)</f>
        <v>New York Liberty</v>
      </c>
    </row>
    <row r="354" spans="1:18" x14ac:dyDescent="0.25">
      <c r="A354" s="27">
        <v>1998</v>
      </c>
      <c r="B354" t="s">
        <v>720</v>
      </c>
      <c r="C354" t="s">
        <v>729</v>
      </c>
      <c r="D354" s="27">
        <v>17</v>
      </c>
      <c r="E354" s="27">
        <v>13</v>
      </c>
      <c r="F354" s="24">
        <v>0.56699999999999995</v>
      </c>
      <c r="G354" s="26">
        <v>3</v>
      </c>
      <c r="H354" s="25">
        <v>69.599999999999994</v>
      </c>
      <c r="I354" s="25">
        <v>69.3</v>
      </c>
      <c r="M354" s="33">
        <v>0</v>
      </c>
      <c r="N354" s="33">
        <v>0</v>
      </c>
      <c r="R354" s="29" t="s">
        <v>732</v>
      </c>
    </row>
    <row r="355" spans="1:18" x14ac:dyDescent="0.25">
      <c r="A355" s="27">
        <v>1998</v>
      </c>
      <c r="B355" t="s">
        <v>716</v>
      </c>
      <c r="C355" t="s">
        <v>729</v>
      </c>
      <c r="D355" s="27">
        <v>3</v>
      </c>
      <c r="E355" s="27">
        <v>27</v>
      </c>
      <c r="F355" s="24">
        <v>0.1</v>
      </c>
      <c r="G355" s="26">
        <v>17</v>
      </c>
      <c r="H355" s="25">
        <v>65.099999999999994</v>
      </c>
      <c r="I355" s="25">
        <v>80.5</v>
      </c>
      <c r="M355" s="33">
        <v>0</v>
      </c>
      <c r="N355" s="33">
        <v>0</v>
      </c>
      <c r="R355" s="29" t="str">
        <f>VLOOKUP(WNBA_TeamSeasons[[#This Row],[Team]],$Y$3:$Y$17,1,FALSE)</f>
        <v>Washington Mystics</v>
      </c>
    </row>
    <row r="356" spans="1:18" x14ac:dyDescent="0.25">
      <c r="A356" s="27">
        <v>1998</v>
      </c>
      <c r="B356" t="s">
        <v>724</v>
      </c>
      <c r="C356" t="s">
        <v>730</v>
      </c>
      <c r="D356" s="27">
        <v>27</v>
      </c>
      <c r="E356" s="27">
        <v>3</v>
      </c>
      <c r="F356" s="24">
        <v>0.9</v>
      </c>
      <c r="G356" s="26">
        <v>0</v>
      </c>
      <c r="H356" s="25">
        <v>76.2</v>
      </c>
      <c r="I356" s="25">
        <v>63.6</v>
      </c>
      <c r="J356" t="s">
        <v>30</v>
      </c>
      <c r="K356" s="29" t="s">
        <v>30</v>
      </c>
      <c r="L356" s="29" t="s">
        <v>30</v>
      </c>
      <c r="M356" s="33">
        <v>4</v>
      </c>
      <c r="N356" s="33">
        <v>1</v>
      </c>
      <c r="O356" s="29" t="s">
        <v>30</v>
      </c>
      <c r="P356" s="29" t="s">
        <v>30</v>
      </c>
      <c r="Q356" s="29" t="s">
        <v>30</v>
      </c>
      <c r="R356" s="29" t="str">
        <f>WNBA_TeamSeasons[[#This Row],[Team]]</f>
        <v>Houston Comets</v>
      </c>
    </row>
    <row r="357" spans="1:18" x14ac:dyDescent="0.25">
      <c r="A357" s="27">
        <v>1998</v>
      </c>
      <c r="B357" t="s">
        <v>710</v>
      </c>
      <c r="C357" t="s">
        <v>730</v>
      </c>
      <c r="D357" s="27">
        <v>19</v>
      </c>
      <c r="E357" s="27">
        <v>11</v>
      </c>
      <c r="F357" s="24">
        <v>0.63300000000000001</v>
      </c>
      <c r="G357" s="26">
        <v>8</v>
      </c>
      <c r="H357" s="25">
        <v>73.900000000000006</v>
      </c>
      <c r="I357" s="25">
        <v>67.5</v>
      </c>
      <c r="J357" t="s">
        <v>30</v>
      </c>
      <c r="M357" s="33">
        <v>3</v>
      </c>
      <c r="N357" s="33">
        <v>3</v>
      </c>
      <c r="O357" s="29" t="s">
        <v>30</v>
      </c>
      <c r="P357" s="29" t="s">
        <v>30</v>
      </c>
      <c r="R357" s="29" t="str">
        <f>VLOOKUP(WNBA_TeamSeasons[[#This Row],[Team]],$Y$3:$Y$17,1,FALSE)</f>
        <v>Phoenix Mercury</v>
      </c>
    </row>
    <row r="358" spans="1:18" x14ac:dyDescent="0.25">
      <c r="A358" s="27">
        <v>1998</v>
      </c>
      <c r="B358" t="s">
        <v>717</v>
      </c>
      <c r="C358" t="s">
        <v>730</v>
      </c>
      <c r="D358" s="27">
        <v>12</v>
      </c>
      <c r="E358" s="27">
        <v>18</v>
      </c>
      <c r="F358" s="24">
        <v>0.4</v>
      </c>
      <c r="G358" s="26">
        <v>15</v>
      </c>
      <c r="H358" s="25">
        <v>71.599999999999994</v>
      </c>
      <c r="I358" s="25">
        <v>72.3</v>
      </c>
      <c r="M358" s="33">
        <v>0</v>
      </c>
      <c r="N358" s="33">
        <v>0</v>
      </c>
      <c r="R358" s="29" t="str">
        <f>VLOOKUP(WNBA_TeamSeasons[[#This Row],[Team]],$Y$3:$Y$17,1,FALSE)</f>
        <v>Los Angeles Sparks</v>
      </c>
    </row>
    <row r="359" spans="1:18" x14ac:dyDescent="0.25">
      <c r="A359" s="27">
        <v>1998</v>
      </c>
      <c r="B359" t="s">
        <v>722</v>
      </c>
      <c r="C359" t="s">
        <v>730</v>
      </c>
      <c r="D359" s="27">
        <v>8</v>
      </c>
      <c r="E359" s="27">
        <v>22</v>
      </c>
      <c r="F359" s="24">
        <v>0.26700000000000002</v>
      </c>
      <c r="G359" s="26">
        <v>19</v>
      </c>
      <c r="H359" s="25">
        <v>63.9</v>
      </c>
      <c r="I359" s="25">
        <v>69.400000000000006</v>
      </c>
      <c r="M359" s="33">
        <v>0</v>
      </c>
      <c r="N359" s="33">
        <v>0</v>
      </c>
      <c r="R359" s="29" t="str">
        <f>WNBA_TeamSeasons[[#This Row],[Team]]</f>
        <v>Sacramento Monarchs</v>
      </c>
    </row>
    <row r="360" spans="1:18" x14ac:dyDescent="0.25">
      <c r="A360" s="27">
        <v>1998</v>
      </c>
      <c r="B360" t="s">
        <v>738</v>
      </c>
      <c r="C360" t="s">
        <v>730</v>
      </c>
      <c r="D360" s="27">
        <v>8</v>
      </c>
      <c r="E360" s="27">
        <v>22</v>
      </c>
      <c r="F360" s="24">
        <v>0.26700000000000002</v>
      </c>
      <c r="G360" s="26">
        <v>19</v>
      </c>
      <c r="H360" s="25">
        <v>69.8</v>
      </c>
      <c r="I360" s="25">
        <v>76.5</v>
      </c>
      <c r="M360" s="33">
        <v>0</v>
      </c>
      <c r="N360" s="33">
        <v>0</v>
      </c>
      <c r="R360" s="29" t="s">
        <v>709</v>
      </c>
    </row>
    <row r="361" spans="1:18" x14ac:dyDescent="0.25">
      <c r="A361" s="27">
        <v>1997</v>
      </c>
      <c r="B361" t="s">
        <v>724</v>
      </c>
      <c r="C361" t="s">
        <v>729</v>
      </c>
      <c r="D361" s="27">
        <v>18</v>
      </c>
      <c r="E361" s="27">
        <v>10</v>
      </c>
      <c r="F361" s="24">
        <v>0.64300000000000002</v>
      </c>
      <c r="G361" s="26">
        <v>0</v>
      </c>
      <c r="H361" s="25">
        <v>71.8</v>
      </c>
      <c r="I361" s="25">
        <v>65.5</v>
      </c>
      <c r="J361" t="s">
        <v>30</v>
      </c>
      <c r="K361" s="29" t="s">
        <v>30</v>
      </c>
      <c r="L361" s="29" t="s">
        <v>30</v>
      </c>
      <c r="M361" s="33">
        <v>2</v>
      </c>
      <c r="N361" s="33">
        <v>0</v>
      </c>
      <c r="O361" s="29" t="s">
        <v>30</v>
      </c>
      <c r="P361" s="29" t="s">
        <v>30</v>
      </c>
      <c r="Q361" s="29" t="s">
        <v>30</v>
      </c>
      <c r="R361" s="29" t="str">
        <f>WNBA_TeamSeasons[[#This Row],[Team]]</f>
        <v>Houston Comets</v>
      </c>
    </row>
    <row r="362" spans="1:18" x14ac:dyDescent="0.25">
      <c r="A362" s="27">
        <v>1997</v>
      </c>
      <c r="B362" t="s">
        <v>711</v>
      </c>
      <c r="C362" t="s">
        <v>729</v>
      </c>
      <c r="D362" s="27">
        <v>17</v>
      </c>
      <c r="E362" s="27">
        <v>11</v>
      </c>
      <c r="F362" s="24">
        <v>0.60699999999999998</v>
      </c>
      <c r="G362" s="26">
        <v>1</v>
      </c>
      <c r="H362" s="25">
        <v>68.3</v>
      </c>
      <c r="I362" s="25">
        <v>65.900000000000006</v>
      </c>
      <c r="J362" t="s">
        <v>30</v>
      </c>
      <c r="M362" s="33">
        <v>1</v>
      </c>
      <c r="N362" s="33">
        <v>1</v>
      </c>
      <c r="O362" s="29" t="s">
        <v>30</v>
      </c>
      <c r="P362" s="29" t="s">
        <v>30</v>
      </c>
      <c r="R362" s="29" t="str">
        <f>VLOOKUP(WNBA_TeamSeasons[[#This Row],[Team]],$Y$3:$Y$17,1,FALSE)</f>
        <v>New York Liberty</v>
      </c>
    </row>
    <row r="363" spans="1:18" x14ac:dyDescent="0.25">
      <c r="A363" s="27">
        <v>1997</v>
      </c>
      <c r="B363" t="s">
        <v>723</v>
      </c>
      <c r="C363" t="s">
        <v>729</v>
      </c>
      <c r="D363" s="27">
        <v>15</v>
      </c>
      <c r="E363" s="27">
        <v>13</v>
      </c>
      <c r="F363" s="24">
        <v>0.53600000000000003</v>
      </c>
      <c r="G363" s="26">
        <v>3</v>
      </c>
      <c r="H363" s="25">
        <v>67.3</v>
      </c>
      <c r="I363" s="25">
        <v>66</v>
      </c>
      <c r="J363" t="s">
        <v>30</v>
      </c>
      <c r="M363" s="33">
        <v>0</v>
      </c>
      <c r="N363" s="33">
        <v>1</v>
      </c>
      <c r="O363" s="29" t="s">
        <v>30</v>
      </c>
      <c r="R363" s="29" t="str">
        <f>WNBA_TeamSeasons[[#This Row],[Team]]</f>
        <v>Charlotte Sting</v>
      </c>
    </row>
    <row r="364" spans="1:18" x14ac:dyDescent="0.25">
      <c r="A364" s="27">
        <v>1997</v>
      </c>
      <c r="B364" t="s">
        <v>735</v>
      </c>
      <c r="C364" t="s">
        <v>729</v>
      </c>
      <c r="D364" s="27">
        <v>15</v>
      </c>
      <c r="E364" s="27">
        <v>13</v>
      </c>
      <c r="F364" s="24">
        <v>0.53600000000000003</v>
      </c>
      <c r="G364" s="26">
        <v>3</v>
      </c>
      <c r="H364" s="25">
        <v>70.2</v>
      </c>
      <c r="I364" s="25">
        <v>68.400000000000006</v>
      </c>
      <c r="M364" s="33">
        <v>0</v>
      </c>
      <c r="N364" s="33">
        <v>0</v>
      </c>
      <c r="R364" s="29" t="str">
        <f>WNBA_TeamSeasons[[#This Row],[Team]]</f>
        <v>Cleveland Rockers</v>
      </c>
    </row>
    <row r="365" spans="1:18" x14ac:dyDescent="0.25">
      <c r="A365" s="27">
        <v>1997</v>
      </c>
      <c r="B365" t="s">
        <v>710</v>
      </c>
      <c r="C365" t="s">
        <v>730</v>
      </c>
      <c r="D365" s="27">
        <v>16</v>
      </c>
      <c r="E365" s="27">
        <v>12</v>
      </c>
      <c r="F365" s="24">
        <v>0.57099999999999995</v>
      </c>
      <c r="G365" s="26">
        <v>0</v>
      </c>
      <c r="H365" s="25">
        <v>69.2</v>
      </c>
      <c r="I365" s="25">
        <v>65.2</v>
      </c>
      <c r="J365" t="s">
        <v>30</v>
      </c>
      <c r="K365" s="29" t="s">
        <v>30</v>
      </c>
      <c r="M365" s="33">
        <v>0</v>
      </c>
      <c r="N365" s="33">
        <v>1</v>
      </c>
      <c r="O365" s="29" t="s">
        <v>30</v>
      </c>
      <c r="R365" s="29" t="str">
        <f>VLOOKUP(WNBA_TeamSeasons[[#This Row],[Team]],$Y$3:$Y$17,1,FALSE)</f>
        <v>Phoenix Mercury</v>
      </c>
    </row>
    <row r="366" spans="1:18" x14ac:dyDescent="0.25">
      <c r="A366" s="27">
        <v>1997</v>
      </c>
      <c r="B366" t="s">
        <v>717</v>
      </c>
      <c r="C366" t="s">
        <v>730</v>
      </c>
      <c r="D366" s="27">
        <v>14</v>
      </c>
      <c r="E366" s="27">
        <v>14</v>
      </c>
      <c r="F366" s="24">
        <v>0.5</v>
      </c>
      <c r="G366" s="26">
        <v>2</v>
      </c>
      <c r="H366" s="25">
        <v>74</v>
      </c>
      <c r="I366" s="25">
        <v>71.8</v>
      </c>
      <c r="M366" s="33">
        <v>0</v>
      </c>
      <c r="N366" s="33">
        <v>0</v>
      </c>
      <c r="R366" s="29" t="str">
        <f>VLOOKUP(WNBA_TeamSeasons[[#This Row],[Team]],$Y$3:$Y$17,1,FALSE)</f>
        <v>Los Angeles Sparks</v>
      </c>
    </row>
    <row r="367" spans="1:18" x14ac:dyDescent="0.25">
      <c r="A367" s="27">
        <v>1997</v>
      </c>
      <c r="B367" t="s">
        <v>722</v>
      </c>
      <c r="C367" t="s">
        <v>730</v>
      </c>
      <c r="D367" s="27">
        <v>10</v>
      </c>
      <c r="E367" s="27">
        <v>18</v>
      </c>
      <c r="F367" s="24">
        <v>0.35699999999999998</v>
      </c>
      <c r="G367" s="26">
        <v>6</v>
      </c>
      <c r="H367" s="25">
        <v>67.900000000000006</v>
      </c>
      <c r="I367" s="25">
        <v>75.400000000000006</v>
      </c>
      <c r="M367" s="33">
        <v>0</v>
      </c>
      <c r="N367" s="33">
        <v>0</v>
      </c>
      <c r="R367" s="29" t="str">
        <f>WNBA_TeamSeasons[[#This Row],[Team]]</f>
        <v>Sacramento Monarchs</v>
      </c>
    </row>
    <row r="368" spans="1:18" x14ac:dyDescent="0.25">
      <c r="A368" s="27">
        <v>1997</v>
      </c>
      <c r="B368" t="s">
        <v>738</v>
      </c>
      <c r="C368" t="s">
        <v>730</v>
      </c>
      <c r="D368" s="27">
        <v>7</v>
      </c>
      <c r="E368" s="27">
        <v>21</v>
      </c>
      <c r="F368" s="24">
        <v>0.25</v>
      </c>
      <c r="G368" s="26">
        <v>9</v>
      </c>
      <c r="H368" s="25">
        <v>64.599999999999994</v>
      </c>
      <c r="I368" s="25">
        <v>75.099999999999994</v>
      </c>
      <c r="M368" s="33">
        <v>0</v>
      </c>
      <c r="N368" s="33">
        <v>0</v>
      </c>
      <c r="R368" s="29" t="s">
        <v>709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9355A-DA33-493A-90CE-7FBEA6A424DB}">
  <dimension ref="A1:E188"/>
  <sheetViews>
    <sheetView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8" customWidth="1"/>
    <col min="2" max="2" width="32" customWidth="1"/>
    <col min="3" max="3" width="13.5703125" customWidth="1"/>
    <col min="4" max="4" width="13" style="34" customWidth="1"/>
    <col min="5" max="5" width="61.28515625" bestFit="1" customWidth="1"/>
  </cols>
  <sheetData>
    <row r="1" spans="1:5" x14ac:dyDescent="0.25">
      <c r="A1" s="38" t="s">
        <v>942</v>
      </c>
      <c r="B1" s="38" t="s">
        <v>1</v>
      </c>
      <c r="C1" s="38" t="s">
        <v>135</v>
      </c>
      <c r="D1" s="39" t="s">
        <v>941</v>
      </c>
      <c r="E1" s="38" t="s">
        <v>940</v>
      </c>
    </row>
    <row r="2" spans="1:5" x14ac:dyDescent="0.25">
      <c r="A2" s="37">
        <v>2025</v>
      </c>
      <c r="B2" s="35" t="s">
        <v>935</v>
      </c>
      <c r="C2" s="35" t="s">
        <v>906</v>
      </c>
      <c r="D2" s="36">
        <v>13000</v>
      </c>
      <c r="E2" s="35" t="s">
        <v>807</v>
      </c>
    </row>
    <row r="3" spans="1:5" x14ac:dyDescent="0.25">
      <c r="A3" s="37">
        <v>2025</v>
      </c>
      <c r="B3" s="35" t="s">
        <v>879</v>
      </c>
      <c r="C3" s="35" t="s">
        <v>865</v>
      </c>
      <c r="D3" s="36">
        <v>11000</v>
      </c>
      <c r="E3" s="35" t="s">
        <v>807</v>
      </c>
    </row>
    <row r="4" spans="1:5" x14ac:dyDescent="0.25">
      <c r="A4" s="37">
        <v>2025</v>
      </c>
      <c r="B4" s="35" t="s">
        <v>922</v>
      </c>
      <c r="C4" s="35" t="s">
        <v>906</v>
      </c>
      <c r="D4" s="36">
        <v>10500</v>
      </c>
      <c r="E4" s="35" t="s">
        <v>807</v>
      </c>
    </row>
    <row r="5" spans="1:5" x14ac:dyDescent="0.25">
      <c r="A5" s="37">
        <v>2025</v>
      </c>
      <c r="B5" s="35" t="s">
        <v>933</v>
      </c>
      <c r="C5" s="35" t="s">
        <v>906</v>
      </c>
      <c r="D5" s="36">
        <v>10100</v>
      </c>
      <c r="E5" s="35" t="s">
        <v>807</v>
      </c>
    </row>
    <row r="6" spans="1:5" x14ac:dyDescent="0.25">
      <c r="A6" s="37">
        <v>2025</v>
      </c>
      <c r="B6" s="35" t="s">
        <v>876</v>
      </c>
      <c r="C6" s="35" t="s">
        <v>865</v>
      </c>
      <c r="D6" s="36">
        <v>10000</v>
      </c>
      <c r="E6" s="35" t="s">
        <v>807</v>
      </c>
    </row>
    <row r="7" spans="1:5" x14ac:dyDescent="0.25">
      <c r="A7" s="37">
        <v>2025</v>
      </c>
      <c r="B7" s="35" t="s">
        <v>899</v>
      </c>
      <c r="C7" s="35" t="s">
        <v>865</v>
      </c>
      <c r="D7" s="36">
        <v>9750</v>
      </c>
      <c r="E7" s="35" t="s">
        <v>807</v>
      </c>
    </row>
    <row r="8" spans="1:5" x14ac:dyDescent="0.25">
      <c r="A8" s="37">
        <v>2025</v>
      </c>
      <c r="B8" s="35" t="s">
        <v>939</v>
      </c>
      <c r="C8" s="35" t="s">
        <v>906</v>
      </c>
      <c r="D8" s="36">
        <v>9000</v>
      </c>
      <c r="E8" s="35" t="s">
        <v>807</v>
      </c>
    </row>
    <row r="9" spans="1:5" x14ac:dyDescent="0.25">
      <c r="A9" s="37">
        <v>2025</v>
      </c>
      <c r="B9" s="35" t="s">
        <v>920</v>
      </c>
      <c r="C9" s="35" t="s">
        <v>906</v>
      </c>
      <c r="D9" s="36">
        <v>8600</v>
      </c>
      <c r="E9" s="35" t="s">
        <v>807</v>
      </c>
    </row>
    <row r="10" spans="1:5" x14ac:dyDescent="0.25">
      <c r="A10" s="37">
        <v>2025</v>
      </c>
      <c r="B10" s="35" t="s">
        <v>932</v>
      </c>
      <c r="C10" s="35" t="s">
        <v>906</v>
      </c>
      <c r="D10" s="36">
        <v>8300</v>
      </c>
      <c r="E10" s="35" t="s">
        <v>807</v>
      </c>
    </row>
    <row r="11" spans="1:5" x14ac:dyDescent="0.25">
      <c r="A11" s="37">
        <v>2025</v>
      </c>
      <c r="B11" s="35" t="s">
        <v>913</v>
      </c>
      <c r="C11" s="35" t="s">
        <v>808</v>
      </c>
      <c r="D11" s="36">
        <v>8200</v>
      </c>
      <c r="E11" s="35" t="s">
        <v>807</v>
      </c>
    </row>
    <row r="12" spans="1:5" x14ac:dyDescent="0.25">
      <c r="A12" s="37">
        <v>2025</v>
      </c>
      <c r="B12" s="35" t="s">
        <v>929</v>
      </c>
      <c r="C12" s="35" t="s">
        <v>906</v>
      </c>
      <c r="D12" s="36">
        <v>8200</v>
      </c>
      <c r="E12" s="35" t="s">
        <v>807</v>
      </c>
    </row>
    <row r="13" spans="1:5" x14ac:dyDescent="0.25">
      <c r="A13" s="37">
        <v>2025</v>
      </c>
      <c r="B13" s="35" t="s">
        <v>938</v>
      </c>
      <c r="C13" s="35" t="s">
        <v>906</v>
      </c>
      <c r="D13" s="36">
        <v>8100</v>
      </c>
      <c r="E13" s="35" t="s">
        <v>807</v>
      </c>
    </row>
    <row r="14" spans="1:5" x14ac:dyDescent="0.25">
      <c r="A14" s="37">
        <v>2025</v>
      </c>
      <c r="B14" s="35" t="s">
        <v>937</v>
      </c>
      <c r="C14" s="35" t="s">
        <v>906</v>
      </c>
      <c r="D14" s="36">
        <v>7700</v>
      </c>
      <c r="E14" s="35" t="s">
        <v>807</v>
      </c>
    </row>
    <row r="15" spans="1:5" x14ac:dyDescent="0.25">
      <c r="A15" s="37">
        <v>2026</v>
      </c>
      <c r="B15" s="35" t="s">
        <v>534</v>
      </c>
      <c r="C15" s="35" t="s">
        <v>154</v>
      </c>
      <c r="D15" s="36">
        <v>7700</v>
      </c>
      <c r="E15" s="35" t="s">
        <v>785</v>
      </c>
    </row>
    <row r="16" spans="1:5" x14ac:dyDescent="0.25">
      <c r="A16" s="37">
        <v>2025</v>
      </c>
      <c r="B16" s="35" t="s">
        <v>930</v>
      </c>
      <c r="C16" s="35" t="s">
        <v>906</v>
      </c>
      <c r="D16" s="36">
        <v>7600</v>
      </c>
      <c r="E16" s="35" t="s">
        <v>807</v>
      </c>
    </row>
    <row r="17" spans="1:5" x14ac:dyDescent="0.25">
      <c r="A17" s="37">
        <v>2025</v>
      </c>
      <c r="B17" s="35" t="s">
        <v>878</v>
      </c>
      <c r="C17" s="35" t="s">
        <v>865</v>
      </c>
      <c r="D17" s="36">
        <v>7500</v>
      </c>
      <c r="E17" s="35" t="s">
        <v>807</v>
      </c>
    </row>
    <row r="18" spans="1:5" x14ac:dyDescent="0.25">
      <c r="A18" s="37">
        <v>2025</v>
      </c>
      <c r="B18" s="35" t="s">
        <v>936</v>
      </c>
      <c r="C18" s="35" t="s">
        <v>906</v>
      </c>
      <c r="D18" s="36">
        <v>7500</v>
      </c>
      <c r="E18" s="35" t="s">
        <v>807</v>
      </c>
    </row>
    <row r="19" spans="1:5" x14ac:dyDescent="0.25">
      <c r="A19" s="37">
        <v>2025</v>
      </c>
      <c r="B19" s="35" t="s">
        <v>934</v>
      </c>
      <c r="C19" s="35" t="s">
        <v>906</v>
      </c>
      <c r="D19" s="36">
        <v>7400</v>
      </c>
      <c r="E19" s="35" t="s">
        <v>807</v>
      </c>
    </row>
    <row r="20" spans="1:5" x14ac:dyDescent="0.25">
      <c r="A20" s="37">
        <v>2025</v>
      </c>
      <c r="B20" s="35" t="s">
        <v>903</v>
      </c>
      <c r="C20" s="35" t="s">
        <v>808</v>
      </c>
      <c r="D20" s="36">
        <v>6800</v>
      </c>
      <c r="E20" s="35" t="s">
        <v>807</v>
      </c>
    </row>
    <row r="21" spans="1:5" x14ac:dyDescent="0.25">
      <c r="A21" s="37">
        <v>2025</v>
      </c>
      <c r="B21" s="35" t="s">
        <v>931</v>
      </c>
      <c r="C21" s="35" t="s">
        <v>906</v>
      </c>
      <c r="D21" s="36">
        <v>6800</v>
      </c>
      <c r="E21" s="35" t="s">
        <v>807</v>
      </c>
    </row>
    <row r="22" spans="1:5" x14ac:dyDescent="0.25">
      <c r="A22" s="37">
        <v>2025</v>
      </c>
      <c r="B22" s="35" t="s">
        <v>901</v>
      </c>
      <c r="C22" s="35" t="s">
        <v>865</v>
      </c>
      <c r="D22" s="36">
        <v>6700</v>
      </c>
      <c r="E22" s="35" t="s">
        <v>807</v>
      </c>
    </row>
    <row r="23" spans="1:5" x14ac:dyDescent="0.25">
      <c r="A23" s="37">
        <v>2025</v>
      </c>
      <c r="B23" s="35" t="s">
        <v>918</v>
      </c>
      <c r="C23" s="35" t="s">
        <v>906</v>
      </c>
      <c r="D23" s="36">
        <v>6700</v>
      </c>
      <c r="E23" s="35" t="s">
        <v>807</v>
      </c>
    </row>
    <row r="24" spans="1:5" x14ac:dyDescent="0.25">
      <c r="A24" s="37">
        <v>2025</v>
      </c>
      <c r="B24" s="35" t="s">
        <v>928</v>
      </c>
      <c r="C24" s="35" t="s">
        <v>906</v>
      </c>
      <c r="D24" s="36">
        <v>6650</v>
      </c>
      <c r="E24" s="35" t="s">
        <v>807</v>
      </c>
    </row>
    <row r="25" spans="1:5" x14ac:dyDescent="0.25">
      <c r="A25" s="37">
        <v>2026</v>
      </c>
      <c r="B25" s="35" t="s">
        <v>537</v>
      </c>
      <c r="C25" s="35" t="s">
        <v>154</v>
      </c>
      <c r="D25" s="36">
        <v>6650</v>
      </c>
      <c r="E25" s="35" t="s">
        <v>785</v>
      </c>
    </row>
    <row r="26" spans="1:5" x14ac:dyDescent="0.25">
      <c r="A26" s="37">
        <v>2025</v>
      </c>
      <c r="B26" s="35" t="s">
        <v>925</v>
      </c>
      <c r="C26" s="35" t="s">
        <v>906</v>
      </c>
      <c r="D26" s="36">
        <v>6600</v>
      </c>
      <c r="E26" s="35" t="s">
        <v>807</v>
      </c>
    </row>
    <row r="27" spans="1:5" x14ac:dyDescent="0.25">
      <c r="A27" s="37">
        <v>2025</v>
      </c>
      <c r="B27" s="35" t="s">
        <v>927</v>
      </c>
      <c r="C27" s="35" t="s">
        <v>906</v>
      </c>
      <c r="D27" s="36">
        <v>6500</v>
      </c>
      <c r="E27" s="35" t="s">
        <v>807</v>
      </c>
    </row>
    <row r="28" spans="1:5" x14ac:dyDescent="0.25">
      <c r="A28" s="37">
        <v>2026</v>
      </c>
      <c r="B28" s="35" t="s">
        <v>821</v>
      </c>
      <c r="C28" s="35" t="s">
        <v>376</v>
      </c>
      <c r="D28" s="36">
        <v>6470</v>
      </c>
      <c r="E28" s="35" t="s">
        <v>785</v>
      </c>
    </row>
    <row r="29" spans="1:5" x14ac:dyDescent="0.25">
      <c r="A29" s="37">
        <v>2025</v>
      </c>
      <c r="B29" s="35" t="s">
        <v>926</v>
      </c>
      <c r="C29" s="35" t="s">
        <v>906</v>
      </c>
      <c r="D29" s="36">
        <v>6400</v>
      </c>
      <c r="E29" s="35" t="s">
        <v>807</v>
      </c>
    </row>
    <row r="30" spans="1:5" x14ac:dyDescent="0.25">
      <c r="A30" s="37">
        <v>2025</v>
      </c>
      <c r="B30" s="35" t="s">
        <v>924</v>
      </c>
      <c r="C30" s="35" t="s">
        <v>906</v>
      </c>
      <c r="D30" s="36">
        <v>6350</v>
      </c>
      <c r="E30" s="35" t="s">
        <v>807</v>
      </c>
    </row>
    <row r="31" spans="1:5" x14ac:dyDescent="0.25">
      <c r="A31" s="37">
        <v>2025</v>
      </c>
      <c r="B31" s="35" t="s">
        <v>923</v>
      </c>
      <c r="C31" s="35" t="s">
        <v>906</v>
      </c>
      <c r="D31" s="36">
        <v>6300</v>
      </c>
      <c r="E31" s="35" t="s">
        <v>807</v>
      </c>
    </row>
    <row r="32" spans="1:5" x14ac:dyDescent="0.25">
      <c r="A32" s="37">
        <v>2025</v>
      </c>
      <c r="B32" s="35" t="s">
        <v>921</v>
      </c>
      <c r="C32" s="35" t="s">
        <v>906</v>
      </c>
      <c r="D32" s="36">
        <v>6250</v>
      </c>
      <c r="E32" s="35" t="s">
        <v>807</v>
      </c>
    </row>
    <row r="33" spans="1:5" x14ac:dyDescent="0.25">
      <c r="A33" s="37">
        <v>2025</v>
      </c>
      <c r="B33" s="35" t="s">
        <v>919</v>
      </c>
      <c r="C33" s="35" t="s">
        <v>906</v>
      </c>
      <c r="D33" s="36">
        <v>6200</v>
      </c>
      <c r="E33" s="35" t="s">
        <v>807</v>
      </c>
    </row>
    <row r="34" spans="1:5" x14ac:dyDescent="0.25">
      <c r="A34" s="37">
        <v>2025</v>
      </c>
      <c r="B34" s="35" t="s">
        <v>917</v>
      </c>
      <c r="C34" s="35" t="s">
        <v>906</v>
      </c>
      <c r="D34" s="36">
        <v>6100</v>
      </c>
      <c r="E34" s="35" t="s">
        <v>807</v>
      </c>
    </row>
    <row r="35" spans="1:5" x14ac:dyDescent="0.25">
      <c r="A35" s="37">
        <v>2025</v>
      </c>
      <c r="B35" s="35" t="s">
        <v>897</v>
      </c>
      <c r="C35" s="35" t="s">
        <v>865</v>
      </c>
      <c r="D35" s="36">
        <v>6000</v>
      </c>
      <c r="E35" s="35" t="s">
        <v>807</v>
      </c>
    </row>
    <row r="36" spans="1:5" x14ac:dyDescent="0.25">
      <c r="A36" s="37">
        <v>2025</v>
      </c>
      <c r="B36" s="35" t="s">
        <v>916</v>
      </c>
      <c r="C36" s="35" t="s">
        <v>906</v>
      </c>
      <c r="D36" s="36">
        <v>6000</v>
      </c>
      <c r="E36" s="35" t="s">
        <v>807</v>
      </c>
    </row>
    <row r="37" spans="1:5" x14ac:dyDescent="0.25">
      <c r="A37" s="37">
        <v>2025</v>
      </c>
      <c r="B37" s="35" t="s">
        <v>915</v>
      </c>
      <c r="C37" s="35" t="s">
        <v>906</v>
      </c>
      <c r="D37" s="36">
        <v>5950</v>
      </c>
      <c r="E37" s="35" t="s">
        <v>807</v>
      </c>
    </row>
    <row r="38" spans="1:5" x14ac:dyDescent="0.25">
      <c r="A38" s="37">
        <v>2025</v>
      </c>
      <c r="B38" s="35" t="s">
        <v>870</v>
      </c>
      <c r="C38" s="35" t="s">
        <v>865</v>
      </c>
      <c r="D38" s="36">
        <v>5900</v>
      </c>
      <c r="E38" s="35" t="s">
        <v>807</v>
      </c>
    </row>
    <row r="39" spans="1:5" x14ac:dyDescent="0.25">
      <c r="A39" s="37">
        <v>2025</v>
      </c>
      <c r="B39" s="35" t="s">
        <v>914</v>
      </c>
      <c r="C39" s="35" t="s">
        <v>906</v>
      </c>
      <c r="D39" s="36">
        <v>5900</v>
      </c>
      <c r="E39" s="35" t="s">
        <v>807</v>
      </c>
    </row>
    <row r="40" spans="1:5" x14ac:dyDescent="0.25">
      <c r="A40" s="37">
        <v>2026</v>
      </c>
      <c r="B40" s="35" t="s">
        <v>800</v>
      </c>
      <c r="C40" s="35" t="s">
        <v>173</v>
      </c>
      <c r="D40" s="36">
        <v>5780</v>
      </c>
      <c r="E40" s="35" t="s">
        <v>785</v>
      </c>
    </row>
    <row r="41" spans="1:5" x14ac:dyDescent="0.25">
      <c r="A41" s="37">
        <v>2026</v>
      </c>
      <c r="B41" s="35" t="s">
        <v>588</v>
      </c>
      <c r="C41" s="35" t="s">
        <v>376</v>
      </c>
      <c r="D41" s="36">
        <v>5740</v>
      </c>
      <c r="E41" s="35" t="s">
        <v>785</v>
      </c>
    </row>
    <row r="42" spans="1:5" x14ac:dyDescent="0.25">
      <c r="A42" s="37">
        <v>2025</v>
      </c>
      <c r="B42" s="35" t="s">
        <v>889</v>
      </c>
      <c r="C42" s="35" t="s">
        <v>865</v>
      </c>
      <c r="D42" s="36">
        <v>5700</v>
      </c>
      <c r="E42" s="35" t="s">
        <v>807</v>
      </c>
    </row>
    <row r="43" spans="1:5" x14ac:dyDescent="0.25">
      <c r="A43" s="37">
        <v>2025</v>
      </c>
      <c r="B43" s="35" t="s">
        <v>912</v>
      </c>
      <c r="C43" s="35" t="s">
        <v>906</v>
      </c>
      <c r="D43" s="36">
        <v>5700</v>
      </c>
      <c r="E43" s="35" t="s">
        <v>807</v>
      </c>
    </row>
    <row r="44" spans="1:5" x14ac:dyDescent="0.25">
      <c r="A44" s="37">
        <v>2026</v>
      </c>
      <c r="B44" s="35" t="s">
        <v>823</v>
      </c>
      <c r="C44" s="35" t="s">
        <v>376</v>
      </c>
      <c r="D44" s="36">
        <v>5700</v>
      </c>
      <c r="E44" s="35" t="s">
        <v>785</v>
      </c>
    </row>
    <row r="45" spans="1:5" x14ac:dyDescent="0.25">
      <c r="A45" s="37">
        <v>2025</v>
      </c>
      <c r="B45" s="35" t="s">
        <v>900</v>
      </c>
      <c r="C45" s="35" t="s">
        <v>865</v>
      </c>
      <c r="D45" s="36">
        <v>5600</v>
      </c>
      <c r="E45" s="35" t="s">
        <v>807</v>
      </c>
    </row>
    <row r="46" spans="1:5" x14ac:dyDescent="0.25">
      <c r="A46" s="37">
        <v>2025</v>
      </c>
      <c r="B46" s="35" t="s">
        <v>911</v>
      </c>
      <c r="C46" s="35" t="s">
        <v>906</v>
      </c>
      <c r="D46" s="36">
        <v>5600</v>
      </c>
      <c r="E46" s="35" t="s">
        <v>807</v>
      </c>
    </row>
    <row r="47" spans="1:5" x14ac:dyDescent="0.25">
      <c r="A47" s="37">
        <v>2025</v>
      </c>
      <c r="B47" s="35" t="s">
        <v>910</v>
      </c>
      <c r="C47" s="35" t="s">
        <v>906</v>
      </c>
      <c r="D47" s="36">
        <v>5500</v>
      </c>
      <c r="E47" s="35" t="s">
        <v>807</v>
      </c>
    </row>
    <row r="48" spans="1:5" x14ac:dyDescent="0.25">
      <c r="A48" s="37">
        <v>2025</v>
      </c>
      <c r="B48" s="35" t="s">
        <v>898</v>
      </c>
      <c r="C48" s="35" t="s">
        <v>865</v>
      </c>
      <c r="D48" s="36">
        <v>5450</v>
      </c>
      <c r="E48" s="35" t="s">
        <v>807</v>
      </c>
    </row>
    <row r="49" spans="1:5" x14ac:dyDescent="0.25">
      <c r="A49" s="37">
        <v>2026</v>
      </c>
      <c r="B49" s="35" t="s">
        <v>587</v>
      </c>
      <c r="C49" s="35" t="s">
        <v>376</v>
      </c>
      <c r="D49" s="36">
        <v>5430</v>
      </c>
      <c r="E49" s="35" t="s">
        <v>785</v>
      </c>
    </row>
    <row r="50" spans="1:5" x14ac:dyDescent="0.25">
      <c r="A50" s="37">
        <v>2025</v>
      </c>
      <c r="B50" s="35" t="s">
        <v>875</v>
      </c>
      <c r="C50" s="35" t="s">
        <v>865</v>
      </c>
      <c r="D50" s="36">
        <v>5425</v>
      </c>
      <c r="E50" s="35" t="s">
        <v>807</v>
      </c>
    </row>
    <row r="51" spans="1:5" x14ac:dyDescent="0.25">
      <c r="A51" s="37">
        <v>2025</v>
      </c>
      <c r="B51" s="35" t="s">
        <v>902</v>
      </c>
      <c r="C51" s="35" t="s">
        <v>865</v>
      </c>
      <c r="D51" s="36">
        <v>5400</v>
      </c>
      <c r="E51" s="35" t="s">
        <v>807</v>
      </c>
    </row>
    <row r="52" spans="1:5" x14ac:dyDescent="0.25">
      <c r="A52" s="37">
        <v>2025</v>
      </c>
      <c r="B52" s="35" t="s">
        <v>909</v>
      </c>
      <c r="C52" s="35" t="s">
        <v>906</v>
      </c>
      <c r="D52" s="36">
        <v>5400</v>
      </c>
      <c r="E52" s="35" t="s">
        <v>807</v>
      </c>
    </row>
    <row r="53" spans="1:5" x14ac:dyDescent="0.25">
      <c r="A53" s="37">
        <v>2025</v>
      </c>
      <c r="B53" s="35" t="s">
        <v>908</v>
      </c>
      <c r="C53" s="35" t="s">
        <v>906</v>
      </c>
      <c r="D53" s="36">
        <v>5300</v>
      </c>
      <c r="E53" s="35" t="s">
        <v>807</v>
      </c>
    </row>
    <row r="54" spans="1:5" x14ac:dyDescent="0.25">
      <c r="A54" s="37">
        <v>2025</v>
      </c>
      <c r="B54" s="35" t="s">
        <v>907</v>
      </c>
      <c r="C54" s="35" t="s">
        <v>906</v>
      </c>
      <c r="D54" s="36">
        <v>5250</v>
      </c>
      <c r="E54" s="35" t="s">
        <v>807</v>
      </c>
    </row>
    <row r="55" spans="1:5" x14ac:dyDescent="0.25">
      <c r="A55" s="37">
        <v>2025</v>
      </c>
      <c r="B55" s="35" t="s">
        <v>872</v>
      </c>
      <c r="C55" s="35" t="s">
        <v>865</v>
      </c>
      <c r="D55" s="36">
        <v>5100</v>
      </c>
      <c r="E55" s="35" t="s">
        <v>807</v>
      </c>
    </row>
    <row r="56" spans="1:5" x14ac:dyDescent="0.25">
      <c r="A56" s="37">
        <v>2025</v>
      </c>
      <c r="B56" s="35" t="s">
        <v>892</v>
      </c>
      <c r="C56" s="35" t="s">
        <v>865</v>
      </c>
      <c r="D56" s="36">
        <v>5000</v>
      </c>
      <c r="E56" s="35" t="s">
        <v>807</v>
      </c>
    </row>
    <row r="57" spans="1:5" x14ac:dyDescent="0.25">
      <c r="A57" s="37">
        <v>2026</v>
      </c>
      <c r="B57" s="35" t="s">
        <v>801</v>
      </c>
      <c r="C57" s="35" t="s">
        <v>164</v>
      </c>
      <c r="D57" s="36">
        <v>5000</v>
      </c>
      <c r="E57" s="35" t="s">
        <v>785</v>
      </c>
    </row>
    <row r="58" spans="1:5" x14ac:dyDescent="0.25">
      <c r="A58" s="37">
        <v>2025</v>
      </c>
      <c r="B58" s="35" t="s">
        <v>905</v>
      </c>
      <c r="C58" s="35" t="s">
        <v>808</v>
      </c>
      <c r="D58" s="36">
        <v>4800</v>
      </c>
      <c r="E58" s="35" t="s">
        <v>807</v>
      </c>
    </row>
    <row r="59" spans="1:5" x14ac:dyDescent="0.25">
      <c r="A59" s="37">
        <v>2025</v>
      </c>
      <c r="B59" s="35" t="s">
        <v>896</v>
      </c>
      <c r="C59" s="35" t="s">
        <v>865</v>
      </c>
      <c r="D59" s="36">
        <v>4800</v>
      </c>
      <c r="E59" s="35" t="s">
        <v>807</v>
      </c>
    </row>
    <row r="60" spans="1:5" x14ac:dyDescent="0.25">
      <c r="A60" s="37">
        <v>2025</v>
      </c>
      <c r="B60" s="35" t="s">
        <v>887</v>
      </c>
      <c r="C60" s="35" t="s">
        <v>865</v>
      </c>
      <c r="D60" s="36">
        <v>4700</v>
      </c>
      <c r="E60" s="35" t="s">
        <v>807</v>
      </c>
    </row>
    <row r="61" spans="1:5" x14ac:dyDescent="0.25">
      <c r="A61" s="37">
        <v>2025</v>
      </c>
      <c r="B61" s="35" t="s">
        <v>904</v>
      </c>
      <c r="C61" s="35" t="s">
        <v>808</v>
      </c>
      <c r="D61" s="36">
        <v>4600</v>
      </c>
      <c r="E61" s="35" t="s">
        <v>807</v>
      </c>
    </row>
    <row r="62" spans="1:5" x14ac:dyDescent="0.25">
      <c r="A62" s="37">
        <v>2025</v>
      </c>
      <c r="B62" s="35" t="s">
        <v>886</v>
      </c>
      <c r="C62" s="35" t="s">
        <v>865</v>
      </c>
      <c r="D62" s="36">
        <v>4600</v>
      </c>
      <c r="E62" s="35" t="s">
        <v>807</v>
      </c>
    </row>
    <row r="63" spans="1:5" x14ac:dyDescent="0.25">
      <c r="A63" s="37">
        <v>2025</v>
      </c>
      <c r="B63" s="35" t="s">
        <v>873</v>
      </c>
      <c r="C63" s="35" t="s">
        <v>865</v>
      </c>
      <c r="D63" s="36">
        <v>4450</v>
      </c>
      <c r="E63" s="35" t="s">
        <v>807</v>
      </c>
    </row>
    <row r="64" spans="1:5" x14ac:dyDescent="0.25">
      <c r="A64" s="37">
        <v>2025</v>
      </c>
      <c r="B64" s="35" t="s">
        <v>866</v>
      </c>
      <c r="C64" s="35" t="s">
        <v>865</v>
      </c>
      <c r="D64" s="36">
        <v>4400</v>
      </c>
      <c r="E64" s="35" t="s">
        <v>807</v>
      </c>
    </row>
    <row r="65" spans="1:5" x14ac:dyDescent="0.25">
      <c r="A65" s="37">
        <v>2025</v>
      </c>
      <c r="B65" s="35" t="s">
        <v>862</v>
      </c>
      <c r="C65" s="35" t="s">
        <v>811</v>
      </c>
      <c r="D65" s="36">
        <v>4400</v>
      </c>
      <c r="E65" s="35" t="s">
        <v>807</v>
      </c>
    </row>
    <row r="66" spans="1:5" x14ac:dyDescent="0.25">
      <c r="A66" s="37">
        <v>2025</v>
      </c>
      <c r="B66" s="35" t="s">
        <v>884</v>
      </c>
      <c r="C66" s="35" t="s">
        <v>865</v>
      </c>
      <c r="D66" s="36">
        <v>4350</v>
      </c>
      <c r="E66" s="35" t="s">
        <v>807</v>
      </c>
    </row>
    <row r="67" spans="1:5" x14ac:dyDescent="0.25">
      <c r="A67" s="37">
        <v>2025</v>
      </c>
      <c r="B67" s="35" t="s">
        <v>893</v>
      </c>
      <c r="C67" s="35" t="s">
        <v>865</v>
      </c>
      <c r="D67" s="36">
        <v>4300</v>
      </c>
      <c r="E67" s="35" t="s">
        <v>807</v>
      </c>
    </row>
    <row r="68" spans="1:5" x14ac:dyDescent="0.25">
      <c r="A68" s="37">
        <v>2025</v>
      </c>
      <c r="B68" s="35" t="s">
        <v>882</v>
      </c>
      <c r="C68" s="35" t="s">
        <v>865</v>
      </c>
      <c r="D68" s="36">
        <v>4250</v>
      </c>
      <c r="E68" s="35" t="s">
        <v>807</v>
      </c>
    </row>
    <row r="69" spans="1:5" x14ac:dyDescent="0.25">
      <c r="A69" s="37">
        <v>2025</v>
      </c>
      <c r="B69" s="35" t="s">
        <v>894</v>
      </c>
      <c r="C69" s="35" t="s">
        <v>865</v>
      </c>
      <c r="D69" s="36">
        <v>4200</v>
      </c>
      <c r="E69" s="35" t="s">
        <v>807</v>
      </c>
    </row>
    <row r="70" spans="1:5" x14ac:dyDescent="0.25">
      <c r="A70" s="37">
        <v>2025</v>
      </c>
      <c r="B70" s="35" t="s">
        <v>881</v>
      </c>
      <c r="C70" s="35" t="s">
        <v>865</v>
      </c>
      <c r="D70" s="36">
        <v>4100</v>
      </c>
      <c r="E70" s="35" t="s">
        <v>807</v>
      </c>
    </row>
    <row r="71" spans="1:5" x14ac:dyDescent="0.25">
      <c r="A71" s="37">
        <v>2025</v>
      </c>
      <c r="B71" s="35" t="s">
        <v>895</v>
      </c>
      <c r="C71" s="35" t="s">
        <v>808</v>
      </c>
      <c r="D71" s="36">
        <v>4000</v>
      </c>
      <c r="E71" s="35" t="s">
        <v>807</v>
      </c>
    </row>
    <row r="72" spans="1:5" x14ac:dyDescent="0.25">
      <c r="A72" s="37">
        <v>2025</v>
      </c>
      <c r="B72" s="35" t="s">
        <v>853</v>
      </c>
      <c r="C72" s="35" t="s">
        <v>811</v>
      </c>
      <c r="D72" s="36">
        <v>4000</v>
      </c>
      <c r="E72" s="35" t="s">
        <v>807</v>
      </c>
    </row>
    <row r="73" spans="1:5" x14ac:dyDescent="0.25">
      <c r="A73" s="37">
        <v>2026</v>
      </c>
      <c r="B73" s="35" t="s">
        <v>816</v>
      </c>
      <c r="C73" s="35" t="s">
        <v>376</v>
      </c>
      <c r="D73" s="36">
        <v>4000</v>
      </c>
      <c r="E73" s="35" t="s">
        <v>785</v>
      </c>
    </row>
    <row r="74" spans="1:5" x14ac:dyDescent="0.25">
      <c r="A74" s="37">
        <v>2025</v>
      </c>
      <c r="B74" s="35" t="s">
        <v>888</v>
      </c>
      <c r="C74" s="35" t="s">
        <v>865</v>
      </c>
      <c r="D74" s="36">
        <v>3900</v>
      </c>
      <c r="E74" s="35" t="s">
        <v>807</v>
      </c>
    </row>
    <row r="75" spans="1:5" x14ac:dyDescent="0.25">
      <c r="A75" s="37">
        <v>2025</v>
      </c>
      <c r="B75" s="35" t="s">
        <v>891</v>
      </c>
      <c r="C75" s="35" t="s">
        <v>865</v>
      </c>
      <c r="D75" s="36">
        <v>3800</v>
      </c>
      <c r="E75" s="35" t="s">
        <v>807</v>
      </c>
    </row>
    <row r="76" spans="1:5" x14ac:dyDescent="0.25">
      <c r="A76" s="37">
        <v>2025</v>
      </c>
      <c r="B76" s="35" t="s">
        <v>890</v>
      </c>
      <c r="C76" s="35" t="s">
        <v>865</v>
      </c>
      <c r="D76" s="36">
        <v>3650</v>
      </c>
      <c r="E76" s="35" t="s">
        <v>807</v>
      </c>
    </row>
    <row r="77" spans="1:5" x14ac:dyDescent="0.25">
      <c r="A77" s="37">
        <v>2025</v>
      </c>
      <c r="B77" s="35" t="s">
        <v>885</v>
      </c>
      <c r="C77" s="35" t="s">
        <v>865</v>
      </c>
      <c r="D77" s="36">
        <v>3600</v>
      </c>
      <c r="E77" s="35" t="s">
        <v>807</v>
      </c>
    </row>
    <row r="78" spans="1:5" x14ac:dyDescent="0.25">
      <c r="A78" s="37">
        <v>2025</v>
      </c>
      <c r="B78" s="35" t="s">
        <v>867</v>
      </c>
      <c r="C78" s="35" t="s">
        <v>865</v>
      </c>
      <c r="D78" s="36">
        <v>3550</v>
      </c>
      <c r="E78" s="35" t="s">
        <v>807</v>
      </c>
    </row>
    <row r="79" spans="1:5" x14ac:dyDescent="0.25">
      <c r="A79" s="37">
        <v>2025</v>
      </c>
      <c r="B79" s="35" t="s">
        <v>869</v>
      </c>
      <c r="C79" s="35" t="s">
        <v>865</v>
      </c>
      <c r="D79" s="36">
        <v>3500</v>
      </c>
      <c r="E79" s="35" t="s">
        <v>807</v>
      </c>
    </row>
    <row r="80" spans="1:5" x14ac:dyDescent="0.25">
      <c r="A80" s="37">
        <v>2026</v>
      </c>
      <c r="B80" s="35" t="s">
        <v>813</v>
      </c>
      <c r="C80" s="35" t="s">
        <v>376</v>
      </c>
      <c r="D80" s="36">
        <v>3500</v>
      </c>
      <c r="E80" s="35" t="s">
        <v>785</v>
      </c>
    </row>
    <row r="81" spans="1:5" x14ac:dyDescent="0.25">
      <c r="A81" s="37">
        <v>2025</v>
      </c>
      <c r="B81" s="35" t="s">
        <v>864</v>
      </c>
      <c r="C81" s="35" t="s">
        <v>811</v>
      </c>
      <c r="D81" s="36">
        <v>3400</v>
      </c>
      <c r="E81" s="35" t="s">
        <v>807</v>
      </c>
    </row>
    <row r="82" spans="1:5" x14ac:dyDescent="0.25">
      <c r="A82" s="37">
        <v>2025</v>
      </c>
      <c r="B82" s="35" t="s">
        <v>883</v>
      </c>
      <c r="C82" s="35" t="s">
        <v>808</v>
      </c>
      <c r="D82" s="36">
        <v>3200</v>
      </c>
      <c r="E82" s="35" t="s">
        <v>807</v>
      </c>
    </row>
    <row r="83" spans="1:5" x14ac:dyDescent="0.25">
      <c r="A83" s="37">
        <v>2025</v>
      </c>
      <c r="B83" s="35" t="s">
        <v>845</v>
      </c>
      <c r="C83" s="35" t="s">
        <v>811</v>
      </c>
      <c r="D83" s="36">
        <v>3200</v>
      </c>
      <c r="E83" s="35" t="s">
        <v>807</v>
      </c>
    </row>
    <row r="84" spans="1:5" x14ac:dyDescent="0.25">
      <c r="A84" s="37">
        <v>2025</v>
      </c>
      <c r="B84" s="35" t="s">
        <v>880</v>
      </c>
      <c r="C84" s="35" t="s">
        <v>808</v>
      </c>
      <c r="D84" s="36">
        <v>3100</v>
      </c>
      <c r="E84" s="35" t="s">
        <v>807</v>
      </c>
    </row>
    <row r="85" spans="1:5" x14ac:dyDescent="0.25">
      <c r="A85" s="37">
        <v>2025</v>
      </c>
      <c r="B85" s="35" t="s">
        <v>834</v>
      </c>
      <c r="C85" s="35" t="s">
        <v>811</v>
      </c>
      <c r="D85" s="36">
        <v>3100</v>
      </c>
      <c r="E85" s="35" t="s">
        <v>807</v>
      </c>
    </row>
    <row r="86" spans="1:5" x14ac:dyDescent="0.25">
      <c r="A86" s="37">
        <v>2025</v>
      </c>
      <c r="B86" s="35" t="s">
        <v>877</v>
      </c>
      <c r="C86" s="35" t="s">
        <v>808</v>
      </c>
      <c r="D86" s="36">
        <v>3000</v>
      </c>
      <c r="E86" s="35" t="s">
        <v>807</v>
      </c>
    </row>
    <row r="87" spans="1:5" x14ac:dyDescent="0.25">
      <c r="A87" s="37">
        <v>2025</v>
      </c>
      <c r="B87" s="35" t="s">
        <v>861</v>
      </c>
      <c r="C87" s="35" t="s">
        <v>811</v>
      </c>
      <c r="D87" s="36">
        <v>2900</v>
      </c>
      <c r="E87" s="35" t="s">
        <v>807</v>
      </c>
    </row>
    <row r="88" spans="1:5" x14ac:dyDescent="0.25">
      <c r="A88" s="37">
        <v>2025</v>
      </c>
      <c r="B88" s="35" t="s">
        <v>874</v>
      </c>
      <c r="C88" s="35" t="s">
        <v>808</v>
      </c>
      <c r="D88" s="36">
        <v>2800</v>
      </c>
      <c r="E88" s="35" t="s">
        <v>807</v>
      </c>
    </row>
    <row r="89" spans="1:5" x14ac:dyDescent="0.25">
      <c r="A89" s="37">
        <v>2025</v>
      </c>
      <c r="B89" s="35" t="s">
        <v>843</v>
      </c>
      <c r="C89" s="35" t="s">
        <v>811</v>
      </c>
      <c r="D89" s="36">
        <v>2800</v>
      </c>
      <c r="E89" s="35" t="s">
        <v>807</v>
      </c>
    </row>
    <row r="90" spans="1:5" x14ac:dyDescent="0.25">
      <c r="A90" s="37">
        <v>2025</v>
      </c>
      <c r="B90" s="35" t="s">
        <v>871</v>
      </c>
      <c r="C90" s="35" t="s">
        <v>808</v>
      </c>
      <c r="D90" s="36">
        <v>2750</v>
      </c>
      <c r="E90" s="35" t="s">
        <v>807</v>
      </c>
    </row>
    <row r="91" spans="1:5" x14ac:dyDescent="0.25">
      <c r="A91" s="37">
        <v>2025</v>
      </c>
      <c r="B91" s="35" t="s">
        <v>851</v>
      </c>
      <c r="C91" s="35" t="s">
        <v>811</v>
      </c>
      <c r="D91" s="36">
        <v>2700</v>
      </c>
      <c r="E91" s="35" t="s">
        <v>807</v>
      </c>
    </row>
    <row r="92" spans="1:5" x14ac:dyDescent="0.25">
      <c r="A92" s="37">
        <v>2025</v>
      </c>
      <c r="B92" s="35" t="s">
        <v>868</v>
      </c>
      <c r="C92" s="35" t="s">
        <v>808</v>
      </c>
      <c r="D92" s="36">
        <v>2550</v>
      </c>
      <c r="E92" s="35" t="s">
        <v>807</v>
      </c>
    </row>
    <row r="93" spans="1:5" x14ac:dyDescent="0.25">
      <c r="A93" s="37">
        <v>2025</v>
      </c>
      <c r="B93" s="35" t="s">
        <v>848</v>
      </c>
      <c r="C93" s="35" t="s">
        <v>811</v>
      </c>
      <c r="D93" s="36">
        <v>2550</v>
      </c>
      <c r="E93" s="35" t="s">
        <v>807</v>
      </c>
    </row>
    <row r="94" spans="1:5" x14ac:dyDescent="0.25">
      <c r="A94" s="37">
        <v>2025</v>
      </c>
      <c r="B94" s="35" t="s">
        <v>859</v>
      </c>
      <c r="C94" s="35" t="s">
        <v>811</v>
      </c>
      <c r="D94" s="36">
        <v>2500</v>
      </c>
      <c r="E94" s="35" t="s">
        <v>807</v>
      </c>
    </row>
    <row r="95" spans="1:5" x14ac:dyDescent="0.25">
      <c r="A95" s="37">
        <v>2026</v>
      </c>
      <c r="B95" s="35" t="s">
        <v>778</v>
      </c>
      <c r="C95" s="35" t="s">
        <v>154</v>
      </c>
      <c r="D95" s="36">
        <v>2500</v>
      </c>
      <c r="E95" s="35" t="s">
        <v>785</v>
      </c>
    </row>
    <row r="96" spans="1:5" x14ac:dyDescent="0.25">
      <c r="A96" s="37">
        <v>2025</v>
      </c>
      <c r="B96" s="35" t="s">
        <v>863</v>
      </c>
      <c r="C96" s="35" t="s">
        <v>808</v>
      </c>
      <c r="D96" s="36">
        <v>2450</v>
      </c>
      <c r="E96" s="35" t="s">
        <v>807</v>
      </c>
    </row>
    <row r="97" spans="1:5" x14ac:dyDescent="0.25">
      <c r="A97" s="37">
        <v>2025</v>
      </c>
      <c r="B97" s="35" t="s">
        <v>856</v>
      </c>
      <c r="C97" s="35" t="s">
        <v>811</v>
      </c>
      <c r="D97" s="36">
        <v>2400</v>
      </c>
      <c r="E97" s="35" t="s">
        <v>807</v>
      </c>
    </row>
    <row r="98" spans="1:5" x14ac:dyDescent="0.25">
      <c r="A98" s="37">
        <v>2025</v>
      </c>
      <c r="B98" s="35" t="s">
        <v>840</v>
      </c>
      <c r="C98" s="35" t="s">
        <v>811</v>
      </c>
      <c r="D98" s="36">
        <v>2300</v>
      </c>
      <c r="E98" s="35" t="s">
        <v>807</v>
      </c>
    </row>
    <row r="99" spans="1:5" x14ac:dyDescent="0.25">
      <c r="A99" s="37">
        <v>2025</v>
      </c>
      <c r="B99" s="35" t="s">
        <v>860</v>
      </c>
      <c r="C99" s="35" t="s">
        <v>808</v>
      </c>
      <c r="D99" s="36">
        <v>2200</v>
      </c>
      <c r="E99" s="35" t="s">
        <v>807</v>
      </c>
    </row>
    <row r="100" spans="1:5" x14ac:dyDescent="0.25">
      <c r="A100" s="37">
        <v>2025</v>
      </c>
      <c r="B100" s="35" t="s">
        <v>829</v>
      </c>
      <c r="C100" s="35" t="s">
        <v>811</v>
      </c>
      <c r="D100" s="36">
        <v>2200</v>
      </c>
      <c r="E100" s="35" t="s">
        <v>807</v>
      </c>
    </row>
    <row r="101" spans="1:5" x14ac:dyDescent="0.25">
      <c r="A101" s="37">
        <v>2026</v>
      </c>
      <c r="B101" s="35" t="s">
        <v>796</v>
      </c>
      <c r="C101" s="35" t="s">
        <v>173</v>
      </c>
      <c r="D101" s="36">
        <v>2170</v>
      </c>
      <c r="E101" s="35" t="s">
        <v>785</v>
      </c>
    </row>
    <row r="102" spans="1:5" x14ac:dyDescent="0.25">
      <c r="A102" s="37">
        <v>2025</v>
      </c>
      <c r="B102" s="35" t="s">
        <v>858</v>
      </c>
      <c r="C102" s="35" t="s">
        <v>808</v>
      </c>
      <c r="D102" s="36">
        <v>2150</v>
      </c>
      <c r="E102" s="35" t="s">
        <v>807</v>
      </c>
    </row>
    <row r="103" spans="1:5" x14ac:dyDescent="0.25">
      <c r="A103" s="37">
        <v>2025</v>
      </c>
      <c r="B103" s="35" t="s">
        <v>844</v>
      </c>
      <c r="C103" s="35" t="s">
        <v>811</v>
      </c>
      <c r="D103" s="36">
        <v>2150</v>
      </c>
      <c r="E103" s="35" t="s">
        <v>807</v>
      </c>
    </row>
    <row r="104" spans="1:5" x14ac:dyDescent="0.25">
      <c r="A104" s="37">
        <v>2025</v>
      </c>
      <c r="B104" s="35" t="s">
        <v>857</v>
      </c>
      <c r="C104" s="35" t="s">
        <v>808</v>
      </c>
      <c r="D104" s="36">
        <v>2100</v>
      </c>
      <c r="E104" s="35" t="s">
        <v>807</v>
      </c>
    </row>
    <row r="105" spans="1:5" x14ac:dyDescent="0.25">
      <c r="A105" s="37">
        <v>2025</v>
      </c>
      <c r="B105" s="35" t="s">
        <v>855</v>
      </c>
      <c r="C105" s="35" t="s">
        <v>811</v>
      </c>
      <c r="D105" s="36">
        <v>2100</v>
      </c>
      <c r="E105" s="35" t="s">
        <v>807</v>
      </c>
    </row>
    <row r="106" spans="1:5" x14ac:dyDescent="0.25">
      <c r="A106" s="37">
        <v>2025</v>
      </c>
      <c r="B106" s="35" t="s">
        <v>854</v>
      </c>
      <c r="C106" s="35" t="s">
        <v>811</v>
      </c>
      <c r="D106" s="36">
        <v>2050</v>
      </c>
      <c r="E106" s="35" t="s">
        <v>807</v>
      </c>
    </row>
    <row r="107" spans="1:5" x14ac:dyDescent="0.25">
      <c r="A107" s="37">
        <v>2025</v>
      </c>
      <c r="B107" s="35" t="s">
        <v>852</v>
      </c>
      <c r="C107" s="35" t="s">
        <v>808</v>
      </c>
      <c r="D107" s="36">
        <v>2000</v>
      </c>
      <c r="E107" s="35" t="s">
        <v>807</v>
      </c>
    </row>
    <row r="108" spans="1:5" x14ac:dyDescent="0.25">
      <c r="A108" s="37">
        <v>2025</v>
      </c>
      <c r="B108" s="35" t="s">
        <v>850</v>
      </c>
      <c r="C108" s="35" t="s">
        <v>811</v>
      </c>
      <c r="D108" s="36">
        <v>2000</v>
      </c>
      <c r="E108" s="35" t="s">
        <v>807</v>
      </c>
    </row>
    <row r="109" spans="1:5" x14ac:dyDescent="0.25">
      <c r="A109" s="37">
        <v>2025</v>
      </c>
      <c r="B109" s="35" t="s">
        <v>849</v>
      </c>
      <c r="C109" s="35" t="s">
        <v>808</v>
      </c>
      <c r="D109" s="36">
        <v>1950</v>
      </c>
      <c r="E109" s="35" t="s">
        <v>807</v>
      </c>
    </row>
    <row r="110" spans="1:5" x14ac:dyDescent="0.25">
      <c r="A110" s="37">
        <v>2025</v>
      </c>
      <c r="B110" s="35" t="s">
        <v>841</v>
      </c>
      <c r="C110" s="35" t="s">
        <v>811</v>
      </c>
      <c r="D110" s="36">
        <v>1950</v>
      </c>
      <c r="E110" s="35" t="s">
        <v>807</v>
      </c>
    </row>
    <row r="111" spans="1:5" x14ac:dyDescent="0.25">
      <c r="A111" s="37">
        <v>2025</v>
      </c>
      <c r="B111" s="35" t="s">
        <v>847</v>
      </c>
      <c r="C111" s="35" t="s">
        <v>808</v>
      </c>
      <c r="D111" s="36">
        <v>1900</v>
      </c>
      <c r="E111" s="35" t="s">
        <v>807</v>
      </c>
    </row>
    <row r="112" spans="1:5" x14ac:dyDescent="0.25">
      <c r="A112" s="37">
        <v>2025</v>
      </c>
      <c r="B112" s="35" t="s">
        <v>846</v>
      </c>
      <c r="C112" s="35" t="s">
        <v>811</v>
      </c>
      <c r="D112" s="36">
        <v>1900</v>
      </c>
      <c r="E112" s="35" t="s">
        <v>807</v>
      </c>
    </row>
    <row r="113" spans="1:5" x14ac:dyDescent="0.25">
      <c r="A113" s="37">
        <v>2025</v>
      </c>
      <c r="B113" s="35" t="s">
        <v>831</v>
      </c>
      <c r="C113" s="35" t="s">
        <v>811</v>
      </c>
      <c r="D113" s="36">
        <v>1850</v>
      </c>
      <c r="E113" s="35" t="s">
        <v>807</v>
      </c>
    </row>
    <row r="114" spans="1:5" x14ac:dyDescent="0.25">
      <c r="A114" s="37">
        <v>2026</v>
      </c>
      <c r="B114" s="35" t="s">
        <v>782</v>
      </c>
      <c r="C114" s="35" t="s">
        <v>171</v>
      </c>
      <c r="D114" s="36">
        <v>1840</v>
      </c>
      <c r="E114" s="35" t="s">
        <v>785</v>
      </c>
    </row>
    <row r="115" spans="1:5" x14ac:dyDescent="0.25">
      <c r="A115" s="37">
        <v>2025</v>
      </c>
      <c r="B115" s="35" t="s">
        <v>842</v>
      </c>
      <c r="C115" s="35" t="s">
        <v>808</v>
      </c>
      <c r="D115" s="36">
        <v>1800</v>
      </c>
      <c r="E115" s="35" t="s">
        <v>807</v>
      </c>
    </row>
    <row r="116" spans="1:5" x14ac:dyDescent="0.25">
      <c r="A116" s="37">
        <v>2025</v>
      </c>
      <c r="B116" s="35" t="s">
        <v>838</v>
      </c>
      <c r="C116" s="35" t="s">
        <v>811</v>
      </c>
      <c r="D116" s="36">
        <v>1800</v>
      </c>
      <c r="E116" s="35" t="s">
        <v>807</v>
      </c>
    </row>
    <row r="117" spans="1:5" x14ac:dyDescent="0.25">
      <c r="A117" s="37">
        <v>2025</v>
      </c>
      <c r="B117" s="35" t="s">
        <v>839</v>
      </c>
      <c r="C117" s="35" t="s">
        <v>811</v>
      </c>
      <c r="D117" s="36">
        <v>1750</v>
      </c>
      <c r="E117" s="35" t="s">
        <v>807</v>
      </c>
    </row>
    <row r="118" spans="1:5" x14ac:dyDescent="0.25">
      <c r="A118" s="37">
        <v>2025</v>
      </c>
      <c r="B118" s="35" t="s">
        <v>837</v>
      </c>
      <c r="C118" s="35" t="s">
        <v>808</v>
      </c>
      <c r="D118" s="36">
        <v>1700</v>
      </c>
      <c r="E118" s="35" t="s">
        <v>807</v>
      </c>
    </row>
    <row r="119" spans="1:5" x14ac:dyDescent="0.25">
      <c r="A119" s="37">
        <v>2025</v>
      </c>
      <c r="B119" s="35" t="s">
        <v>836</v>
      </c>
      <c r="C119" s="35" t="s">
        <v>811</v>
      </c>
      <c r="D119" s="36">
        <v>1700</v>
      </c>
      <c r="E119" s="35" t="s">
        <v>807</v>
      </c>
    </row>
    <row r="120" spans="1:5" x14ac:dyDescent="0.25">
      <c r="A120" s="37">
        <v>2026</v>
      </c>
      <c r="B120" s="35" t="s">
        <v>787</v>
      </c>
      <c r="C120" s="35" t="s">
        <v>171</v>
      </c>
      <c r="D120" s="36">
        <v>1660</v>
      </c>
      <c r="E120" s="35" t="s">
        <v>785</v>
      </c>
    </row>
    <row r="121" spans="1:5" x14ac:dyDescent="0.25">
      <c r="A121" s="37">
        <v>2026</v>
      </c>
      <c r="B121" s="35" t="s">
        <v>783</v>
      </c>
      <c r="C121" s="35" t="s">
        <v>171</v>
      </c>
      <c r="D121" s="36">
        <v>1620</v>
      </c>
      <c r="E121" s="35" t="s">
        <v>785</v>
      </c>
    </row>
    <row r="122" spans="1:5" x14ac:dyDescent="0.25">
      <c r="A122" s="37">
        <v>2025</v>
      </c>
      <c r="B122" s="35" t="s">
        <v>835</v>
      </c>
      <c r="C122" s="35" t="s">
        <v>808</v>
      </c>
      <c r="D122" s="36">
        <v>1600</v>
      </c>
      <c r="E122" s="35" t="s">
        <v>807</v>
      </c>
    </row>
    <row r="123" spans="1:5" x14ac:dyDescent="0.25">
      <c r="A123" s="37">
        <v>2025</v>
      </c>
      <c r="B123" s="35" t="s">
        <v>833</v>
      </c>
      <c r="C123" s="35" t="s">
        <v>811</v>
      </c>
      <c r="D123" s="36">
        <v>1600</v>
      </c>
      <c r="E123" s="35" t="s">
        <v>807</v>
      </c>
    </row>
    <row r="124" spans="1:5" x14ac:dyDescent="0.25">
      <c r="A124" s="37">
        <v>2025</v>
      </c>
      <c r="B124" s="35" t="s">
        <v>832</v>
      </c>
      <c r="C124" s="35" t="s">
        <v>808</v>
      </c>
      <c r="D124" s="36">
        <v>1550</v>
      </c>
      <c r="E124" s="35" t="s">
        <v>807</v>
      </c>
    </row>
    <row r="125" spans="1:5" x14ac:dyDescent="0.25">
      <c r="A125" s="37">
        <v>2025</v>
      </c>
      <c r="B125" s="35" t="s">
        <v>830</v>
      </c>
      <c r="C125" s="35" t="s">
        <v>811</v>
      </c>
      <c r="D125" s="36">
        <v>1550</v>
      </c>
      <c r="E125" s="35" t="s">
        <v>807</v>
      </c>
    </row>
    <row r="126" spans="1:5" x14ac:dyDescent="0.25">
      <c r="A126" s="37">
        <v>2025</v>
      </c>
      <c r="B126" s="35" t="s">
        <v>828</v>
      </c>
      <c r="C126" s="35" t="s">
        <v>808</v>
      </c>
      <c r="D126" s="36">
        <v>1500</v>
      </c>
      <c r="E126" s="35" t="s">
        <v>807</v>
      </c>
    </row>
    <row r="127" spans="1:5" x14ac:dyDescent="0.25">
      <c r="A127" s="37">
        <v>2025</v>
      </c>
      <c r="B127" s="35" t="s">
        <v>827</v>
      </c>
      <c r="C127" s="35" t="s">
        <v>811</v>
      </c>
      <c r="D127" s="36">
        <v>1500</v>
      </c>
      <c r="E127" s="35" t="s">
        <v>807</v>
      </c>
    </row>
    <row r="128" spans="1:5" x14ac:dyDescent="0.25">
      <c r="A128" s="37">
        <v>2025</v>
      </c>
      <c r="B128" s="35" t="s">
        <v>826</v>
      </c>
      <c r="C128" s="35" t="s">
        <v>808</v>
      </c>
      <c r="D128" s="36">
        <v>1475</v>
      </c>
      <c r="E128" s="35" t="s">
        <v>807</v>
      </c>
    </row>
    <row r="129" spans="1:5" x14ac:dyDescent="0.25">
      <c r="A129" s="37">
        <v>2025</v>
      </c>
      <c r="B129" s="35" t="s">
        <v>825</v>
      </c>
      <c r="C129" s="35" t="s">
        <v>811</v>
      </c>
      <c r="D129" s="36">
        <v>1450</v>
      </c>
      <c r="E129" s="35" t="s">
        <v>807</v>
      </c>
    </row>
    <row r="130" spans="1:5" x14ac:dyDescent="0.25">
      <c r="A130" s="37">
        <v>2026</v>
      </c>
      <c r="B130" s="35" t="s">
        <v>756</v>
      </c>
      <c r="C130" s="35" t="s">
        <v>660</v>
      </c>
      <c r="D130" s="36">
        <v>1450</v>
      </c>
      <c r="E130" s="35" t="s">
        <v>785</v>
      </c>
    </row>
    <row r="131" spans="1:5" x14ac:dyDescent="0.25">
      <c r="A131" s="37">
        <v>2025</v>
      </c>
      <c r="B131" s="35" t="s">
        <v>824</v>
      </c>
      <c r="C131" s="35" t="s">
        <v>808</v>
      </c>
      <c r="D131" s="36">
        <v>1400</v>
      </c>
      <c r="E131" s="35" t="s">
        <v>807</v>
      </c>
    </row>
    <row r="132" spans="1:5" x14ac:dyDescent="0.25">
      <c r="A132" s="37">
        <v>2025</v>
      </c>
      <c r="B132" s="35" t="s">
        <v>822</v>
      </c>
      <c r="C132" s="35" t="s">
        <v>811</v>
      </c>
      <c r="D132" s="36">
        <v>1400</v>
      </c>
      <c r="E132" s="35" t="s">
        <v>807</v>
      </c>
    </row>
    <row r="133" spans="1:5" x14ac:dyDescent="0.25">
      <c r="A133" s="37">
        <v>2026</v>
      </c>
      <c r="B133" s="35" t="s">
        <v>758</v>
      </c>
      <c r="C133" s="35" t="s">
        <v>660</v>
      </c>
      <c r="D133" s="36">
        <v>1400</v>
      </c>
      <c r="E133" s="35" t="s">
        <v>785</v>
      </c>
    </row>
    <row r="134" spans="1:5" x14ac:dyDescent="0.25">
      <c r="A134" s="37">
        <v>2025</v>
      </c>
      <c r="B134" s="35" t="s">
        <v>820</v>
      </c>
      <c r="C134" s="35" t="s">
        <v>811</v>
      </c>
      <c r="D134" s="36">
        <v>1375</v>
      </c>
      <c r="E134" s="35" t="s">
        <v>807</v>
      </c>
    </row>
    <row r="135" spans="1:5" x14ac:dyDescent="0.25">
      <c r="A135" s="37">
        <v>2025</v>
      </c>
      <c r="B135" s="35" t="s">
        <v>819</v>
      </c>
      <c r="C135" s="35" t="s">
        <v>808</v>
      </c>
      <c r="D135" s="36">
        <v>1350</v>
      </c>
      <c r="E135" s="35" t="s">
        <v>807</v>
      </c>
    </row>
    <row r="136" spans="1:5" x14ac:dyDescent="0.25">
      <c r="A136" s="37">
        <v>2025</v>
      </c>
      <c r="B136" s="35" t="s">
        <v>818</v>
      </c>
      <c r="C136" s="35" t="s">
        <v>811</v>
      </c>
      <c r="D136" s="36">
        <v>1350</v>
      </c>
      <c r="E136" s="35" t="s">
        <v>807</v>
      </c>
    </row>
    <row r="137" spans="1:5" x14ac:dyDescent="0.25">
      <c r="A137" s="37">
        <v>2025</v>
      </c>
      <c r="B137" s="35" t="s">
        <v>817</v>
      </c>
      <c r="C137" s="35" t="s">
        <v>808</v>
      </c>
      <c r="D137" s="36">
        <v>1325</v>
      </c>
      <c r="E137" s="35" t="s">
        <v>807</v>
      </c>
    </row>
    <row r="138" spans="1:5" x14ac:dyDescent="0.25">
      <c r="A138" s="37">
        <v>2025</v>
      </c>
      <c r="B138" s="35" t="s">
        <v>815</v>
      </c>
      <c r="C138" s="35" t="s">
        <v>811</v>
      </c>
      <c r="D138" s="36">
        <v>1325</v>
      </c>
      <c r="E138" s="35" t="s">
        <v>807</v>
      </c>
    </row>
    <row r="139" spans="1:5" x14ac:dyDescent="0.25">
      <c r="A139" s="37">
        <v>2025</v>
      </c>
      <c r="B139" s="35" t="s">
        <v>814</v>
      </c>
      <c r="C139" s="35" t="s">
        <v>808</v>
      </c>
      <c r="D139" s="36">
        <v>1300</v>
      </c>
      <c r="E139" s="35" t="s">
        <v>807</v>
      </c>
    </row>
    <row r="140" spans="1:5" x14ac:dyDescent="0.25">
      <c r="A140" s="37">
        <v>2025</v>
      </c>
      <c r="B140" s="35" t="s">
        <v>812</v>
      </c>
      <c r="C140" s="35" t="s">
        <v>811</v>
      </c>
      <c r="D140" s="36">
        <v>1300</v>
      </c>
      <c r="E140" s="35" t="s">
        <v>807</v>
      </c>
    </row>
    <row r="141" spans="1:5" x14ac:dyDescent="0.25">
      <c r="A141" s="37">
        <v>2025</v>
      </c>
      <c r="B141" s="35" t="s">
        <v>810</v>
      </c>
      <c r="C141" s="35" t="s">
        <v>808</v>
      </c>
      <c r="D141" s="36">
        <v>1250</v>
      </c>
      <c r="E141" s="35" t="s">
        <v>807</v>
      </c>
    </row>
    <row r="142" spans="1:5" x14ac:dyDescent="0.25">
      <c r="A142" s="37">
        <v>2026</v>
      </c>
      <c r="B142" s="35" t="s">
        <v>773</v>
      </c>
      <c r="C142" s="35" t="s">
        <v>660</v>
      </c>
      <c r="D142" s="36">
        <v>1170</v>
      </c>
      <c r="E142" s="35" t="s">
        <v>785</v>
      </c>
    </row>
    <row r="143" spans="1:5" x14ac:dyDescent="0.25">
      <c r="A143" s="37">
        <v>2026</v>
      </c>
      <c r="B143" s="35" t="s">
        <v>760</v>
      </c>
      <c r="C143" s="35" t="s">
        <v>660</v>
      </c>
      <c r="D143" s="36">
        <v>1140</v>
      </c>
      <c r="E143" s="35" t="s">
        <v>785</v>
      </c>
    </row>
    <row r="144" spans="1:5" x14ac:dyDescent="0.25">
      <c r="A144" s="37">
        <v>2026</v>
      </c>
      <c r="B144" s="35" t="s">
        <v>761</v>
      </c>
      <c r="C144" s="35" t="s">
        <v>660</v>
      </c>
      <c r="D144" s="36">
        <v>1120</v>
      </c>
      <c r="E144" s="35" t="s">
        <v>785</v>
      </c>
    </row>
    <row r="145" spans="1:5" x14ac:dyDescent="0.25">
      <c r="A145" s="37">
        <v>2025</v>
      </c>
      <c r="B145" s="35" t="s">
        <v>809</v>
      </c>
      <c r="C145" s="35" t="s">
        <v>808</v>
      </c>
      <c r="D145" s="36">
        <v>1050</v>
      </c>
      <c r="E145" s="35" t="s">
        <v>807</v>
      </c>
    </row>
    <row r="146" spans="1:5" x14ac:dyDescent="0.25">
      <c r="A146" s="37">
        <v>2026</v>
      </c>
      <c r="B146" s="35" t="s">
        <v>806</v>
      </c>
      <c r="C146" s="35" t="s">
        <v>376</v>
      </c>
      <c r="D146" s="36">
        <v>1040</v>
      </c>
      <c r="E146" s="35" t="s">
        <v>785</v>
      </c>
    </row>
    <row r="147" spans="1:5" x14ac:dyDescent="0.25">
      <c r="A147" s="37">
        <v>2026</v>
      </c>
      <c r="B147" s="35" t="s">
        <v>805</v>
      </c>
      <c r="C147" s="35" t="s">
        <v>376</v>
      </c>
      <c r="D147" s="36">
        <v>1020</v>
      </c>
      <c r="E147" s="35" t="s">
        <v>785</v>
      </c>
    </row>
    <row r="148" spans="1:5" x14ac:dyDescent="0.25">
      <c r="A148" s="37">
        <v>2026</v>
      </c>
      <c r="B148" s="35" t="s">
        <v>804</v>
      </c>
      <c r="C148" s="35" t="s">
        <v>376</v>
      </c>
      <c r="D148" s="36">
        <v>1000</v>
      </c>
      <c r="E148" s="35" t="s">
        <v>785</v>
      </c>
    </row>
    <row r="149" spans="1:5" x14ac:dyDescent="0.25">
      <c r="A149" s="37">
        <v>2026</v>
      </c>
      <c r="B149" s="35" t="s">
        <v>764</v>
      </c>
      <c r="C149" s="35" t="s">
        <v>660</v>
      </c>
      <c r="D149" s="36">
        <v>915</v>
      </c>
      <c r="E149" s="35" t="s">
        <v>785</v>
      </c>
    </row>
    <row r="150" spans="1:5" x14ac:dyDescent="0.25">
      <c r="A150" s="37">
        <v>2026</v>
      </c>
      <c r="B150" s="35" t="s">
        <v>754</v>
      </c>
      <c r="C150" s="35" t="s">
        <v>660</v>
      </c>
      <c r="D150" s="36">
        <v>910</v>
      </c>
      <c r="E150" s="35" t="s">
        <v>785</v>
      </c>
    </row>
    <row r="151" spans="1:5" x14ac:dyDescent="0.25">
      <c r="A151" s="37">
        <v>2026</v>
      </c>
      <c r="B151" s="35" t="s">
        <v>803</v>
      </c>
      <c r="C151" s="35" t="s">
        <v>376</v>
      </c>
      <c r="D151" s="36">
        <v>895</v>
      </c>
      <c r="E151" s="35" t="s">
        <v>785</v>
      </c>
    </row>
    <row r="152" spans="1:5" x14ac:dyDescent="0.25">
      <c r="A152" s="37">
        <v>2026</v>
      </c>
      <c r="B152" s="35" t="s">
        <v>788</v>
      </c>
      <c r="C152" s="35" t="s">
        <v>171</v>
      </c>
      <c r="D152" s="36">
        <v>840</v>
      </c>
      <c r="E152" s="35" t="s">
        <v>785</v>
      </c>
    </row>
    <row r="153" spans="1:5" x14ac:dyDescent="0.25">
      <c r="A153" s="37">
        <v>2026</v>
      </c>
      <c r="B153" s="35" t="s">
        <v>802</v>
      </c>
      <c r="C153" s="35" t="s">
        <v>376</v>
      </c>
      <c r="D153" s="36">
        <v>835</v>
      </c>
      <c r="E153" s="35" t="s">
        <v>785</v>
      </c>
    </row>
    <row r="154" spans="1:5" x14ac:dyDescent="0.25">
      <c r="A154" s="37">
        <v>2026</v>
      </c>
      <c r="B154" s="35" t="s">
        <v>769</v>
      </c>
      <c r="C154" s="35" t="s">
        <v>660</v>
      </c>
      <c r="D154" s="36">
        <v>800</v>
      </c>
      <c r="E154" s="35" t="s">
        <v>785</v>
      </c>
    </row>
    <row r="155" spans="1:5" x14ac:dyDescent="0.25">
      <c r="A155" s="37">
        <v>2026</v>
      </c>
      <c r="B155" s="35" t="s">
        <v>791</v>
      </c>
      <c r="C155" s="35" t="s">
        <v>171</v>
      </c>
      <c r="D155" s="36">
        <v>795</v>
      </c>
      <c r="E155" s="35" t="s">
        <v>785</v>
      </c>
    </row>
    <row r="156" spans="1:5" x14ac:dyDescent="0.25">
      <c r="A156" s="37">
        <v>2026</v>
      </c>
      <c r="B156" s="35" t="s">
        <v>757</v>
      </c>
      <c r="C156" s="35" t="s">
        <v>660</v>
      </c>
      <c r="D156" s="36">
        <v>790</v>
      </c>
      <c r="E156" s="35" t="s">
        <v>785</v>
      </c>
    </row>
    <row r="157" spans="1:5" x14ac:dyDescent="0.25">
      <c r="A157" s="37">
        <v>2026</v>
      </c>
      <c r="B157" s="35" t="s">
        <v>776</v>
      </c>
      <c r="C157" s="35" t="s">
        <v>774</v>
      </c>
      <c r="D157" s="36">
        <v>775</v>
      </c>
      <c r="E157" s="35" t="s">
        <v>785</v>
      </c>
    </row>
    <row r="158" spans="1:5" x14ac:dyDescent="0.25">
      <c r="A158" s="37">
        <v>2026</v>
      </c>
      <c r="B158" s="35" t="s">
        <v>751</v>
      </c>
      <c r="C158" s="35" t="s">
        <v>660</v>
      </c>
      <c r="D158" s="36">
        <v>765</v>
      </c>
      <c r="E158" s="35" t="s">
        <v>785</v>
      </c>
    </row>
    <row r="159" spans="1:5" x14ac:dyDescent="0.25">
      <c r="A159" s="37">
        <v>2026</v>
      </c>
      <c r="B159" s="35" t="s">
        <v>753</v>
      </c>
      <c r="C159" s="35" t="s">
        <v>660</v>
      </c>
      <c r="D159" s="36">
        <v>755</v>
      </c>
      <c r="E159" s="35" t="s">
        <v>785</v>
      </c>
    </row>
    <row r="160" spans="1:5" x14ac:dyDescent="0.25">
      <c r="A160" s="37">
        <v>2026</v>
      </c>
      <c r="B160" s="35" t="s">
        <v>772</v>
      </c>
      <c r="C160" s="35" t="s">
        <v>660</v>
      </c>
      <c r="D160" s="36">
        <v>750</v>
      </c>
      <c r="E160" s="35" t="s">
        <v>785</v>
      </c>
    </row>
    <row r="161" spans="1:5" x14ac:dyDescent="0.25">
      <c r="A161" s="37">
        <v>2026</v>
      </c>
      <c r="B161" s="35" t="s">
        <v>762</v>
      </c>
      <c r="C161" s="35" t="s">
        <v>660</v>
      </c>
      <c r="D161" s="36">
        <v>745</v>
      </c>
      <c r="E161" s="35" t="s">
        <v>785</v>
      </c>
    </row>
    <row r="162" spans="1:5" x14ac:dyDescent="0.25">
      <c r="A162" s="37">
        <v>2026</v>
      </c>
      <c r="B162" s="35" t="s">
        <v>763</v>
      </c>
      <c r="C162" s="35" t="s">
        <v>660</v>
      </c>
      <c r="D162" s="36">
        <v>740</v>
      </c>
      <c r="E162" s="35" t="s">
        <v>785</v>
      </c>
    </row>
    <row r="163" spans="1:5" x14ac:dyDescent="0.25">
      <c r="A163" s="37">
        <v>2026</v>
      </c>
      <c r="B163" s="35" t="s">
        <v>777</v>
      </c>
      <c r="C163" s="35" t="s">
        <v>774</v>
      </c>
      <c r="D163" s="36">
        <v>735</v>
      </c>
      <c r="E163" s="35" t="s">
        <v>785</v>
      </c>
    </row>
    <row r="164" spans="1:5" x14ac:dyDescent="0.25">
      <c r="A164" s="37">
        <v>2026</v>
      </c>
      <c r="B164" s="35" t="s">
        <v>765</v>
      </c>
      <c r="C164" s="35" t="s">
        <v>660</v>
      </c>
      <c r="D164" s="36">
        <v>730</v>
      </c>
      <c r="E164" s="35" t="s">
        <v>785</v>
      </c>
    </row>
    <row r="165" spans="1:5" x14ac:dyDescent="0.25">
      <c r="A165" s="37">
        <v>2026</v>
      </c>
      <c r="B165" s="35" t="s">
        <v>589</v>
      </c>
      <c r="C165" s="35" t="s">
        <v>376</v>
      </c>
      <c r="D165" s="36">
        <v>730</v>
      </c>
      <c r="E165" s="35" t="s">
        <v>785</v>
      </c>
    </row>
    <row r="166" spans="1:5" x14ac:dyDescent="0.25">
      <c r="A166" s="37">
        <v>2026</v>
      </c>
      <c r="B166" s="35" t="s">
        <v>797</v>
      </c>
      <c r="C166" s="35" t="s">
        <v>173</v>
      </c>
      <c r="D166" s="36">
        <v>720</v>
      </c>
      <c r="E166" s="35" t="s">
        <v>785</v>
      </c>
    </row>
    <row r="167" spans="1:5" x14ac:dyDescent="0.25">
      <c r="A167" s="37">
        <v>2026</v>
      </c>
      <c r="B167" s="35" t="s">
        <v>799</v>
      </c>
      <c r="C167" s="35" t="s">
        <v>393</v>
      </c>
      <c r="D167" s="36">
        <v>710</v>
      </c>
      <c r="E167" s="35" t="s">
        <v>785</v>
      </c>
    </row>
    <row r="168" spans="1:5" x14ac:dyDescent="0.25">
      <c r="A168" s="37">
        <v>2026</v>
      </c>
      <c r="B168" s="35" t="s">
        <v>798</v>
      </c>
      <c r="C168" s="35" t="s">
        <v>376</v>
      </c>
      <c r="D168" s="36">
        <v>705</v>
      </c>
      <c r="E168" s="35" t="s">
        <v>785</v>
      </c>
    </row>
    <row r="169" spans="1:5" x14ac:dyDescent="0.25">
      <c r="A169" s="37">
        <v>2026</v>
      </c>
      <c r="B169" s="35" t="s">
        <v>781</v>
      </c>
      <c r="C169" s="35" t="s">
        <v>326</v>
      </c>
      <c r="D169" s="36">
        <v>695</v>
      </c>
      <c r="E169" s="35" t="s">
        <v>785</v>
      </c>
    </row>
    <row r="170" spans="1:5" x14ac:dyDescent="0.25">
      <c r="A170" s="37">
        <v>2026</v>
      </c>
      <c r="B170" s="35" t="s">
        <v>767</v>
      </c>
      <c r="C170" s="35" t="s">
        <v>660</v>
      </c>
      <c r="D170" s="36">
        <v>690</v>
      </c>
      <c r="E170" s="35" t="s">
        <v>785</v>
      </c>
    </row>
    <row r="171" spans="1:5" x14ac:dyDescent="0.25">
      <c r="A171" s="37">
        <v>2026</v>
      </c>
      <c r="B171" s="35" t="s">
        <v>771</v>
      </c>
      <c r="C171" s="35" t="s">
        <v>660</v>
      </c>
      <c r="D171" s="36">
        <v>685</v>
      </c>
      <c r="E171" s="35" t="s">
        <v>785</v>
      </c>
    </row>
    <row r="172" spans="1:5" x14ac:dyDescent="0.25">
      <c r="A172" s="37">
        <v>2026</v>
      </c>
      <c r="B172" s="35" t="s">
        <v>795</v>
      </c>
      <c r="C172" s="35" t="s">
        <v>376</v>
      </c>
      <c r="D172" s="36">
        <v>680</v>
      </c>
      <c r="E172" s="35" t="s">
        <v>785</v>
      </c>
    </row>
    <row r="173" spans="1:5" x14ac:dyDescent="0.25">
      <c r="A173" s="37">
        <v>2026</v>
      </c>
      <c r="B173" s="35" t="s">
        <v>794</v>
      </c>
      <c r="C173" s="35" t="s">
        <v>376</v>
      </c>
      <c r="D173" s="36">
        <v>680</v>
      </c>
      <c r="E173" s="35" t="s">
        <v>785</v>
      </c>
    </row>
    <row r="174" spans="1:5" x14ac:dyDescent="0.25">
      <c r="A174" s="37">
        <v>2026</v>
      </c>
      <c r="B174" s="35" t="s">
        <v>752</v>
      </c>
      <c r="C174" s="35" t="s">
        <v>660</v>
      </c>
      <c r="D174" s="36">
        <v>675</v>
      </c>
      <c r="E174" s="35" t="s">
        <v>785</v>
      </c>
    </row>
    <row r="175" spans="1:5" x14ac:dyDescent="0.25">
      <c r="A175" s="37">
        <v>2026</v>
      </c>
      <c r="B175" s="35" t="s">
        <v>793</v>
      </c>
      <c r="C175" s="35" t="s">
        <v>376</v>
      </c>
      <c r="D175" s="36">
        <v>675</v>
      </c>
      <c r="E175" s="35" t="s">
        <v>785</v>
      </c>
    </row>
    <row r="176" spans="1:5" x14ac:dyDescent="0.25">
      <c r="A176">
        <v>2025</v>
      </c>
      <c r="B176" t="s">
        <v>792</v>
      </c>
      <c r="C176" t="s">
        <v>376</v>
      </c>
      <c r="D176" s="34">
        <v>630</v>
      </c>
      <c r="E176" s="35" t="s">
        <v>785</v>
      </c>
    </row>
    <row r="177" spans="1:5" x14ac:dyDescent="0.25">
      <c r="A177">
        <v>2024</v>
      </c>
      <c r="B177" t="s">
        <v>784</v>
      </c>
      <c r="C177" t="s">
        <v>171</v>
      </c>
      <c r="D177" s="34">
        <v>595</v>
      </c>
      <c r="E177" s="35" t="s">
        <v>785</v>
      </c>
    </row>
    <row r="178" spans="1:5" x14ac:dyDescent="0.25">
      <c r="A178">
        <v>2023</v>
      </c>
      <c r="B178" t="s">
        <v>780</v>
      </c>
      <c r="C178" t="s">
        <v>326</v>
      </c>
      <c r="D178" s="34">
        <v>590</v>
      </c>
      <c r="E178" s="35" t="s">
        <v>785</v>
      </c>
    </row>
    <row r="179" spans="1:5" x14ac:dyDescent="0.25">
      <c r="A179">
        <v>2024</v>
      </c>
      <c r="B179" t="s">
        <v>766</v>
      </c>
      <c r="C179" t="s">
        <v>660</v>
      </c>
      <c r="D179" s="34">
        <v>550</v>
      </c>
      <c r="E179" s="35" t="s">
        <v>785</v>
      </c>
    </row>
    <row r="180" spans="1:5" x14ac:dyDescent="0.25">
      <c r="A180">
        <v>2025</v>
      </c>
      <c r="B180" t="s">
        <v>759</v>
      </c>
      <c r="C180" t="s">
        <v>660</v>
      </c>
      <c r="D180" s="34">
        <v>655</v>
      </c>
      <c r="E180" s="35" t="s">
        <v>785</v>
      </c>
    </row>
    <row r="181" spans="1:5" x14ac:dyDescent="0.25">
      <c r="A181">
        <v>2024</v>
      </c>
      <c r="B181" t="s">
        <v>775</v>
      </c>
      <c r="C181" t="s">
        <v>774</v>
      </c>
      <c r="D181" s="34">
        <v>565</v>
      </c>
      <c r="E181" s="35" t="s">
        <v>785</v>
      </c>
    </row>
    <row r="182" spans="1:5" x14ac:dyDescent="0.25">
      <c r="A182">
        <v>2025</v>
      </c>
      <c r="B182" t="s">
        <v>755</v>
      </c>
      <c r="C182" t="s">
        <v>660</v>
      </c>
      <c r="D182" s="34">
        <v>640</v>
      </c>
      <c r="E182" s="35" t="s">
        <v>785</v>
      </c>
    </row>
    <row r="183" spans="1:5" x14ac:dyDescent="0.25">
      <c r="A183">
        <v>2025</v>
      </c>
      <c r="B183" t="s">
        <v>770</v>
      </c>
      <c r="C183" t="s">
        <v>660</v>
      </c>
      <c r="D183" s="34">
        <v>645</v>
      </c>
      <c r="E183" s="35" t="s">
        <v>785</v>
      </c>
    </row>
    <row r="184" spans="1:5" x14ac:dyDescent="0.25">
      <c r="A184">
        <v>2025</v>
      </c>
      <c r="B184" t="s">
        <v>790</v>
      </c>
      <c r="C184" t="s">
        <v>164</v>
      </c>
      <c r="D184" s="34">
        <v>750</v>
      </c>
      <c r="E184" s="35" t="s">
        <v>785</v>
      </c>
    </row>
    <row r="185" spans="1:5" x14ac:dyDescent="0.25">
      <c r="A185">
        <v>2024</v>
      </c>
      <c r="B185" t="s">
        <v>789</v>
      </c>
      <c r="C185" t="s">
        <v>173</v>
      </c>
      <c r="D185" s="34">
        <v>610</v>
      </c>
      <c r="E185" s="35" t="s">
        <v>785</v>
      </c>
    </row>
    <row r="186" spans="1:5" x14ac:dyDescent="0.25">
      <c r="A186">
        <v>2024</v>
      </c>
      <c r="B186" t="s">
        <v>768</v>
      </c>
      <c r="C186" t="s">
        <v>660</v>
      </c>
      <c r="D186" s="34">
        <v>560</v>
      </c>
      <c r="E186" s="35" t="s">
        <v>785</v>
      </c>
    </row>
    <row r="187" spans="1:5" x14ac:dyDescent="0.25">
      <c r="A187">
        <v>2023</v>
      </c>
      <c r="B187" t="s">
        <v>779</v>
      </c>
      <c r="C187" t="s">
        <v>154</v>
      </c>
      <c r="D187" s="34">
        <v>535</v>
      </c>
      <c r="E187" s="35" t="s">
        <v>785</v>
      </c>
    </row>
    <row r="188" spans="1:5" x14ac:dyDescent="0.25">
      <c r="A188">
        <v>2023</v>
      </c>
      <c r="B188" t="s">
        <v>786</v>
      </c>
      <c r="C188" t="s">
        <v>171</v>
      </c>
      <c r="D188" s="34">
        <v>530</v>
      </c>
      <c r="E188" s="35" t="s">
        <v>785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44C41-2004-4AF6-9A16-B31D45B80447}">
  <dimension ref="A1:CB1715"/>
  <sheetViews>
    <sheetView tabSelected="1" topLeftCell="BC1" zoomScale="85" zoomScaleNormal="85" workbookViewId="0">
      <selection activeCell="CA2" sqref="CA2"/>
    </sheetView>
  </sheetViews>
  <sheetFormatPr defaultColWidth="9" defaultRowHeight="15" x14ac:dyDescent="0.25"/>
  <cols>
    <col min="1" max="1" width="7" bestFit="1" customWidth="1"/>
    <col min="2" max="2" width="5" bestFit="1" customWidth="1"/>
    <col min="3" max="3" width="5.28515625" bestFit="1" customWidth="1"/>
    <col min="4" max="4" width="13.28515625" bestFit="1" customWidth="1"/>
    <col min="6" max="6" width="35.85546875" bestFit="1" customWidth="1"/>
    <col min="7" max="7" width="4.28515625" customWidth="1"/>
    <col min="8" max="8" width="19.85546875" customWidth="1"/>
    <col min="9" max="9" width="4.85546875" customWidth="1"/>
    <col min="10" max="10" width="11.28515625" bestFit="1" customWidth="1"/>
    <col min="11" max="11" width="27.28515625" bestFit="1" customWidth="1"/>
    <col min="12" max="12" width="4" customWidth="1"/>
    <col min="13" max="13" width="26.7109375" customWidth="1"/>
    <col min="14" max="14" width="4.28515625" customWidth="1"/>
    <col min="15" max="15" width="3.85546875" customWidth="1"/>
    <col min="16" max="16" width="31" customWidth="1"/>
    <col min="17" max="18" width="15.85546875" customWidth="1"/>
    <col min="19" max="19" width="3.28515625" customWidth="1"/>
    <col min="20" max="20" width="4" customWidth="1"/>
    <col min="21" max="21" width="3.28515625" customWidth="1"/>
    <col min="22" max="22" width="4" customWidth="1"/>
    <col min="23" max="23" width="3.85546875" customWidth="1"/>
    <col min="24" max="24" width="3.28515625" customWidth="1"/>
    <col min="25" max="25" width="3.42578125" bestFit="1" customWidth="1"/>
    <col min="26" max="26" width="5" customWidth="1"/>
    <col min="27" max="27" width="4" customWidth="1"/>
    <col min="28" max="28" width="3.7109375" customWidth="1"/>
    <col min="29" max="29" width="5.28515625" customWidth="1"/>
    <col min="30" max="30" width="6.28515625" customWidth="1"/>
    <col min="31" max="33" width="5.7109375" customWidth="1"/>
    <col min="34" max="34" width="15.7109375" customWidth="1"/>
    <col min="35" max="35" width="18" customWidth="1"/>
    <col min="36" max="39" width="14.28515625" customWidth="1"/>
    <col min="40" max="41" width="17.28515625" customWidth="1"/>
    <col min="42" max="42" width="6.28515625" customWidth="1"/>
    <col min="43" max="44" width="6" customWidth="1"/>
    <col min="45" max="45" width="7" customWidth="1"/>
    <col min="46" max="46" width="21" customWidth="1"/>
    <col min="47" max="47" width="13" customWidth="1"/>
    <col min="58" max="60" width="9.28515625" bestFit="1" customWidth="1"/>
    <col min="61" max="61" width="24.28515625" customWidth="1"/>
    <col min="62" max="62" width="26.7109375" customWidth="1"/>
    <col min="63" max="63" width="6" customWidth="1"/>
    <col min="64" max="64" width="5.85546875" customWidth="1"/>
    <col min="65" max="65" width="32.28515625" bestFit="1" customWidth="1"/>
    <col min="74" max="74" width="14.28515625" customWidth="1"/>
    <col min="75" max="75" width="17.28515625" customWidth="1"/>
    <col min="80" max="80" width="10.5703125" bestFit="1" customWidth="1"/>
  </cols>
  <sheetData>
    <row r="1" spans="1:80" s="46" customFormat="1" ht="12.95" customHeight="1" x14ac:dyDescent="0.2">
      <c r="A1" s="40" t="s">
        <v>943</v>
      </c>
      <c r="B1" s="40" t="s">
        <v>944</v>
      </c>
      <c r="C1" s="40" t="s">
        <v>942</v>
      </c>
      <c r="D1" s="41" t="s">
        <v>945</v>
      </c>
      <c r="E1" s="40" t="s">
        <v>27</v>
      </c>
      <c r="F1" s="40" t="s">
        <v>946</v>
      </c>
      <c r="G1" s="40" t="s">
        <v>947</v>
      </c>
      <c r="H1" s="40" t="s">
        <v>948</v>
      </c>
      <c r="I1" s="40" t="s">
        <v>949</v>
      </c>
      <c r="J1" s="42" t="s">
        <v>950</v>
      </c>
      <c r="K1" s="40" t="s">
        <v>1</v>
      </c>
      <c r="L1" s="40" t="s">
        <v>951</v>
      </c>
      <c r="M1" s="40" t="s">
        <v>952</v>
      </c>
      <c r="N1" s="40" t="s">
        <v>953</v>
      </c>
      <c r="O1" s="40" t="s">
        <v>954</v>
      </c>
      <c r="P1" s="40" t="s">
        <v>955</v>
      </c>
      <c r="Q1" s="40" t="s">
        <v>956</v>
      </c>
      <c r="R1" s="40" t="s">
        <v>957</v>
      </c>
      <c r="S1" s="40" t="s">
        <v>958</v>
      </c>
      <c r="T1" s="40" t="s">
        <v>959</v>
      </c>
      <c r="U1" s="40" t="s">
        <v>960</v>
      </c>
      <c r="V1" s="40" t="s">
        <v>961</v>
      </c>
      <c r="W1" s="40" t="s">
        <v>3</v>
      </c>
      <c r="X1" s="40" t="s">
        <v>207</v>
      </c>
      <c r="Y1" s="40" t="s">
        <v>4</v>
      </c>
      <c r="Z1" s="40" t="s">
        <v>962</v>
      </c>
      <c r="AA1" s="40" t="s">
        <v>963</v>
      </c>
      <c r="AB1" s="40" t="s">
        <v>964</v>
      </c>
      <c r="AC1" s="40" t="s">
        <v>965</v>
      </c>
      <c r="AD1" s="40" t="s">
        <v>966</v>
      </c>
      <c r="AE1" s="40" t="s">
        <v>967</v>
      </c>
      <c r="AF1" s="40" t="s">
        <v>968</v>
      </c>
      <c r="AG1" s="40" t="s">
        <v>969</v>
      </c>
      <c r="AH1" s="40" t="s">
        <v>128</v>
      </c>
      <c r="AI1" s="40" t="s">
        <v>970</v>
      </c>
      <c r="AJ1" s="40" t="s">
        <v>654</v>
      </c>
      <c r="AK1" s="41" t="s">
        <v>971</v>
      </c>
      <c r="AL1" s="40" t="s">
        <v>972</v>
      </c>
      <c r="AM1" s="40" t="s">
        <v>973</v>
      </c>
      <c r="AN1" s="40" t="s">
        <v>974</v>
      </c>
      <c r="AO1" s="41" t="s">
        <v>975</v>
      </c>
      <c r="AP1" s="41" t="s">
        <v>976</v>
      </c>
      <c r="AQ1" s="40" t="s">
        <v>977</v>
      </c>
      <c r="AR1" s="41" t="s">
        <v>136</v>
      </c>
      <c r="AS1" s="40" t="s">
        <v>978</v>
      </c>
      <c r="AT1" s="40" t="s">
        <v>979</v>
      </c>
      <c r="AU1" s="40" t="s">
        <v>135</v>
      </c>
      <c r="AV1" s="40" t="s">
        <v>980</v>
      </c>
      <c r="AW1" s="40" t="s">
        <v>981</v>
      </c>
      <c r="AX1" s="40" t="s">
        <v>982</v>
      </c>
      <c r="AY1" s="40" t="s">
        <v>983</v>
      </c>
      <c r="AZ1" s="40" t="s">
        <v>984</v>
      </c>
      <c r="BA1" s="40" t="s">
        <v>985</v>
      </c>
      <c r="BB1" s="43" t="s">
        <v>986</v>
      </c>
      <c r="BC1" s="44" t="s">
        <v>987</v>
      </c>
      <c r="BD1" s="40" t="s">
        <v>988</v>
      </c>
      <c r="BE1" s="45" t="s">
        <v>989</v>
      </c>
      <c r="BF1" s="45" t="s">
        <v>990</v>
      </c>
      <c r="BG1" s="40" t="s">
        <v>991</v>
      </c>
      <c r="BH1" s="40" t="s">
        <v>992</v>
      </c>
      <c r="BI1" s="40" t="s">
        <v>993</v>
      </c>
      <c r="BJ1" s="40" t="s">
        <v>994</v>
      </c>
      <c r="BK1" s="41" t="s">
        <v>995</v>
      </c>
      <c r="BL1" s="41" t="s">
        <v>996</v>
      </c>
      <c r="BM1" s="44" t="s">
        <v>997</v>
      </c>
      <c r="BN1" s="44" t="s">
        <v>998</v>
      </c>
      <c r="BO1" s="44" t="s">
        <v>999</v>
      </c>
      <c r="BP1" s="44" t="s">
        <v>1000</v>
      </c>
      <c r="BQ1" s="44" t="s">
        <v>1001</v>
      </c>
      <c r="BR1" s="44" t="s">
        <v>1002</v>
      </c>
      <c r="BS1" s="44" t="s">
        <v>1003</v>
      </c>
      <c r="BT1" s="44" t="s">
        <v>1004</v>
      </c>
      <c r="BU1" s="44" t="s">
        <v>1005</v>
      </c>
      <c r="BV1" s="41" t="s">
        <v>1006</v>
      </c>
      <c r="BW1" s="41" t="s">
        <v>1007</v>
      </c>
      <c r="BX1" s="40" t="s">
        <v>1008</v>
      </c>
      <c r="BY1" s="40">
        <v>1</v>
      </c>
      <c r="BZ1" s="46" t="s">
        <v>1434</v>
      </c>
      <c r="CA1" s="46" t="s">
        <v>1435</v>
      </c>
      <c r="CB1" s="92" t="s">
        <v>1433</v>
      </c>
    </row>
    <row r="2" spans="1:80" s="52" customFormat="1" ht="12.95" customHeight="1" x14ac:dyDescent="0.2">
      <c r="A2" s="46">
        <v>2</v>
      </c>
      <c r="B2" s="46">
        <v>17</v>
      </c>
      <c r="C2" s="46">
        <v>1872</v>
      </c>
      <c r="D2" s="46" t="s">
        <v>658</v>
      </c>
      <c r="E2" s="46" t="s">
        <v>1009</v>
      </c>
      <c r="F2" s="47" t="s">
        <v>1010</v>
      </c>
      <c r="G2" s="46"/>
      <c r="H2" s="47" t="s">
        <v>1011</v>
      </c>
      <c r="I2" s="47"/>
      <c r="J2" s="48" t="s">
        <v>1012</v>
      </c>
      <c r="K2" s="46" t="s">
        <v>1013</v>
      </c>
      <c r="L2" s="46" t="s">
        <v>1014</v>
      </c>
      <c r="M2" s="46" t="s">
        <v>1015</v>
      </c>
      <c r="N2" s="49">
        <v>0</v>
      </c>
      <c r="O2" s="49">
        <v>0</v>
      </c>
      <c r="P2" s="47" t="s">
        <v>1016</v>
      </c>
      <c r="Q2" s="47" t="s">
        <v>1017</v>
      </c>
      <c r="R2" s="47" t="s">
        <v>376</v>
      </c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50">
        <f>IF(L2="W",1,0)</f>
        <v>0</v>
      </c>
      <c r="AF2" s="50">
        <f>IF(L2="T",1,0)</f>
        <v>1</v>
      </c>
      <c r="AG2" s="50">
        <f>IF(L2="L",1,0)</f>
        <v>0</v>
      </c>
      <c r="AH2" s="46" t="s">
        <v>1017</v>
      </c>
      <c r="AI2" s="46" t="s">
        <v>1018</v>
      </c>
      <c r="AJ2" s="46" t="s">
        <v>376</v>
      </c>
      <c r="AK2" s="46" t="s">
        <v>658</v>
      </c>
      <c r="AL2" s="46" t="s">
        <v>1017</v>
      </c>
      <c r="AM2" s="46" t="s">
        <v>1018</v>
      </c>
      <c r="AN2" s="46" t="s">
        <v>376</v>
      </c>
      <c r="AO2" s="46" t="s">
        <v>658</v>
      </c>
      <c r="AP2" s="46"/>
      <c r="AQ2" s="46">
        <v>2</v>
      </c>
      <c r="AR2" s="46"/>
      <c r="AS2" s="46"/>
      <c r="AT2" s="46"/>
      <c r="AU2" s="46" t="s">
        <v>376</v>
      </c>
      <c r="AV2" s="46"/>
      <c r="AW2" s="46" t="s">
        <v>30</v>
      </c>
      <c r="AX2" s="46"/>
      <c r="AY2" s="46" t="s">
        <v>30</v>
      </c>
      <c r="AZ2" s="46"/>
      <c r="BA2" s="47"/>
      <c r="BB2" s="51"/>
      <c r="BC2" s="46"/>
      <c r="BD2" s="46"/>
      <c r="BE2" s="46"/>
      <c r="BF2" s="46">
        <v>1</v>
      </c>
      <c r="BG2" s="46"/>
      <c r="BH2" s="46"/>
      <c r="BI2" s="46" t="s">
        <v>1013</v>
      </c>
      <c r="BJ2" s="46" t="s">
        <v>1015</v>
      </c>
      <c r="BK2" s="46">
        <v>1872</v>
      </c>
      <c r="BL2" s="46" t="str">
        <f>BK2&amp;BI2</f>
        <v>1872Royal Engineers</v>
      </c>
      <c r="BM2" s="52" t="str">
        <f>IF(AD2="Home",BI2,IF(AD2="Away",BJ2,Q2))</f>
        <v>London</v>
      </c>
      <c r="BN2" s="46"/>
      <c r="BO2" s="46"/>
      <c r="BP2" s="46"/>
      <c r="BQ2" s="46"/>
      <c r="BR2" s="46"/>
      <c r="BS2" s="46"/>
      <c r="BT2" s="46"/>
      <c r="BU2" s="46"/>
      <c r="BV2" s="46" t="s">
        <v>376</v>
      </c>
      <c r="BW2" s="46" t="s">
        <v>376</v>
      </c>
      <c r="BX2" s="46"/>
      <c r="BZ2" s="53"/>
      <c r="CA2" s="53"/>
      <c r="CB2" s="93" t="str">
        <f>IF(OR(C2="",A2="",B2=""),"",TEXT(C2,"0000")&amp;TEXT(A2,"00")&amp;TEXT(B2,"00"))</f>
        <v>18720217</v>
      </c>
    </row>
    <row r="3" spans="1:80" s="52" customFormat="1" ht="12.95" customHeight="1" x14ac:dyDescent="0.2">
      <c r="A3" s="46">
        <v>2</v>
      </c>
      <c r="B3" s="46">
        <v>17</v>
      </c>
      <c r="C3" s="46">
        <v>1872</v>
      </c>
      <c r="D3" s="46" t="s">
        <v>658</v>
      </c>
      <c r="E3" s="46" t="s">
        <v>1009</v>
      </c>
      <c r="F3" s="47" t="s">
        <v>1010</v>
      </c>
      <c r="G3" s="46"/>
      <c r="H3" s="47" t="s">
        <v>1011</v>
      </c>
      <c r="I3" s="47"/>
      <c r="J3" s="48" t="s">
        <v>1012</v>
      </c>
      <c r="K3" s="46" t="s">
        <v>1015</v>
      </c>
      <c r="L3" s="46" t="s">
        <v>1014</v>
      </c>
      <c r="M3" s="46" t="s">
        <v>1013</v>
      </c>
      <c r="N3" s="49">
        <v>0</v>
      </c>
      <c r="O3" s="49">
        <v>0</v>
      </c>
      <c r="P3" s="47" t="s">
        <v>1016</v>
      </c>
      <c r="Q3" s="47" t="s">
        <v>1017</v>
      </c>
      <c r="R3" s="47" t="s">
        <v>376</v>
      </c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50">
        <f>IF(L3="W",1,0)</f>
        <v>0</v>
      </c>
      <c r="AF3" s="50">
        <f>IF(L3="T",1,0)</f>
        <v>1</v>
      </c>
      <c r="AG3" s="50">
        <f>IF(L3="L",1,0)</f>
        <v>0</v>
      </c>
      <c r="AH3" s="46" t="s">
        <v>1017</v>
      </c>
      <c r="AI3" s="46" t="s">
        <v>1018</v>
      </c>
      <c r="AJ3" s="46" t="s">
        <v>376</v>
      </c>
      <c r="AK3" s="46" t="s">
        <v>658</v>
      </c>
      <c r="AL3" s="46" t="s">
        <v>1017</v>
      </c>
      <c r="AM3" s="46" t="s">
        <v>1018</v>
      </c>
      <c r="AN3" s="46" t="s">
        <v>376</v>
      </c>
      <c r="AO3" s="46" t="s">
        <v>658</v>
      </c>
      <c r="AP3" s="46"/>
      <c r="AQ3" s="46">
        <v>2</v>
      </c>
      <c r="AR3" s="46"/>
      <c r="AS3" s="46"/>
      <c r="AT3" s="46"/>
      <c r="AU3" s="46" t="s">
        <v>376</v>
      </c>
      <c r="AV3" s="46"/>
      <c r="AW3" s="46" t="s">
        <v>30</v>
      </c>
      <c r="AX3" s="46"/>
      <c r="AY3" s="46" t="s">
        <v>30</v>
      </c>
      <c r="AZ3" s="46"/>
      <c r="BA3" s="47"/>
      <c r="BB3" s="51"/>
      <c r="BC3" s="46"/>
      <c r="BD3" s="46"/>
      <c r="BE3" s="46"/>
      <c r="BF3" s="46">
        <v>1</v>
      </c>
      <c r="BG3" s="46"/>
      <c r="BH3" s="46"/>
      <c r="BI3" s="46" t="s">
        <v>1015</v>
      </c>
      <c r="BJ3" s="46" t="s">
        <v>1013</v>
      </c>
      <c r="BK3" s="46">
        <v>1872</v>
      </c>
      <c r="BL3" s="46" t="str">
        <f>BK3&amp;BI3</f>
        <v>1872Crystal Palace (Old)</v>
      </c>
      <c r="BM3" s="52" t="str">
        <f>IF(AD3="Home",BI3,IF(AD3="Away",BJ3,Q3))</f>
        <v>London</v>
      </c>
      <c r="BN3" s="46"/>
      <c r="BO3" s="46"/>
      <c r="BP3" s="46"/>
      <c r="BQ3" s="46"/>
      <c r="BR3" s="46"/>
      <c r="BS3" s="46"/>
      <c r="BT3" s="46"/>
      <c r="BU3" s="46"/>
      <c r="BV3" s="46" t="s">
        <v>376</v>
      </c>
      <c r="BW3" s="46" t="s">
        <v>376</v>
      </c>
      <c r="BX3" s="46"/>
      <c r="BZ3" s="53"/>
      <c r="CA3" s="53"/>
      <c r="CB3" s="93" t="str">
        <f>IF(OR(C3="",A3="",B3=""),"",TEXT(C3,"0000")&amp;TEXT(A3,"00")&amp;TEXT(B3,"00"))</f>
        <v>18720217</v>
      </c>
    </row>
    <row r="4" spans="1:80" s="52" customFormat="1" ht="12.95" customHeight="1" x14ac:dyDescent="0.2">
      <c r="A4" s="46">
        <v>3</v>
      </c>
      <c r="B4" s="46">
        <v>5</v>
      </c>
      <c r="C4" s="46">
        <v>1872</v>
      </c>
      <c r="D4" s="46" t="s">
        <v>658</v>
      </c>
      <c r="E4" s="46" t="s">
        <v>1009</v>
      </c>
      <c r="F4" s="47" t="s">
        <v>1010</v>
      </c>
      <c r="G4" s="46"/>
      <c r="H4" s="47" t="s">
        <v>1011</v>
      </c>
      <c r="I4" s="47"/>
      <c r="J4" s="48" t="s">
        <v>1019</v>
      </c>
      <c r="K4" s="46" t="s">
        <v>1020</v>
      </c>
      <c r="L4" s="46" t="s">
        <v>1014</v>
      </c>
      <c r="M4" s="46" t="s">
        <v>1021</v>
      </c>
      <c r="N4" s="49">
        <v>0</v>
      </c>
      <c r="O4" s="49">
        <v>0</v>
      </c>
      <c r="P4" s="47" t="s">
        <v>1016</v>
      </c>
      <c r="Q4" s="47" t="s">
        <v>1017</v>
      </c>
      <c r="R4" s="47" t="s">
        <v>376</v>
      </c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50">
        <f>IF(L4="W",1,0)</f>
        <v>0</v>
      </c>
      <c r="AF4" s="50">
        <f>IF(L4="T",1,0)</f>
        <v>1</v>
      </c>
      <c r="AG4" s="50">
        <f>IF(L4="L",1,0)</f>
        <v>0</v>
      </c>
      <c r="AH4" s="46" t="s">
        <v>1017</v>
      </c>
      <c r="AI4" s="46" t="s">
        <v>1018</v>
      </c>
      <c r="AJ4" s="46" t="s">
        <v>376</v>
      </c>
      <c r="AK4" s="46" t="s">
        <v>658</v>
      </c>
      <c r="AL4" s="46" t="s">
        <v>1022</v>
      </c>
      <c r="AM4" s="46" t="s">
        <v>1022</v>
      </c>
      <c r="AN4" s="46" t="s">
        <v>376</v>
      </c>
      <c r="AO4" s="46" t="s">
        <v>658</v>
      </c>
      <c r="AP4" s="46"/>
      <c r="AQ4" s="46">
        <v>2</v>
      </c>
      <c r="AR4" s="46"/>
      <c r="AS4" s="46"/>
      <c r="AT4" s="46"/>
      <c r="AU4" s="46" t="s">
        <v>376</v>
      </c>
      <c r="AV4" s="46"/>
      <c r="AW4" s="46" t="s">
        <v>30</v>
      </c>
      <c r="AX4" s="46"/>
      <c r="AY4" s="46" t="s">
        <v>30</v>
      </c>
      <c r="AZ4" s="46"/>
      <c r="BA4" s="47"/>
      <c r="BB4" s="51"/>
      <c r="BC4" s="46"/>
      <c r="BD4" s="46"/>
      <c r="BE4" s="46"/>
      <c r="BF4" s="46">
        <v>1</v>
      </c>
      <c r="BG4" s="46"/>
      <c r="BH4" s="46"/>
      <c r="BI4" s="46" t="s">
        <v>1020</v>
      </c>
      <c r="BJ4" s="46" t="s">
        <v>1021</v>
      </c>
      <c r="BK4" s="46">
        <v>1872</v>
      </c>
      <c r="BL4" s="46" t="str">
        <f>BK4&amp;BI4</f>
        <v>1872Wanderers</v>
      </c>
      <c r="BM4" s="52" t="str">
        <f>IF(AD4="Home",BI4,IF(AD4="Away",BJ4,Q4))</f>
        <v>London</v>
      </c>
      <c r="BN4" s="46"/>
      <c r="BO4" s="46"/>
      <c r="BP4" s="46"/>
      <c r="BQ4" s="46"/>
      <c r="BR4" s="46"/>
      <c r="BS4" s="46"/>
      <c r="BT4" s="46"/>
      <c r="BU4" s="46"/>
      <c r="BV4" s="46" t="s">
        <v>376</v>
      </c>
      <c r="BW4" s="46" t="s">
        <v>376</v>
      </c>
      <c r="BX4" s="46"/>
      <c r="BZ4" s="53"/>
      <c r="CA4" s="53"/>
      <c r="CB4" s="93" t="str">
        <f>IF(OR(C4="",A4="",B4=""),"",TEXT(C4,"0000")&amp;TEXT(A4,"00")&amp;TEXT(B4,"00"))</f>
        <v>18720305</v>
      </c>
    </row>
    <row r="5" spans="1:80" s="52" customFormat="1" ht="12.95" customHeight="1" x14ac:dyDescent="0.2">
      <c r="A5" s="46">
        <v>3</v>
      </c>
      <c r="B5" s="46">
        <v>5</v>
      </c>
      <c r="C5" s="46">
        <v>1872</v>
      </c>
      <c r="D5" s="46" t="s">
        <v>658</v>
      </c>
      <c r="E5" s="46" t="s">
        <v>1009</v>
      </c>
      <c r="F5" s="47" t="s">
        <v>1010</v>
      </c>
      <c r="G5" s="46"/>
      <c r="H5" s="47" t="s">
        <v>1011</v>
      </c>
      <c r="I5" s="47"/>
      <c r="J5" s="48" t="s">
        <v>1019</v>
      </c>
      <c r="K5" s="46" t="s">
        <v>1021</v>
      </c>
      <c r="L5" s="46" t="s">
        <v>1014</v>
      </c>
      <c r="M5" s="46" t="s">
        <v>1020</v>
      </c>
      <c r="N5" s="49">
        <v>0</v>
      </c>
      <c r="O5" s="49">
        <v>0</v>
      </c>
      <c r="P5" s="47" t="s">
        <v>1016</v>
      </c>
      <c r="Q5" s="47" t="s">
        <v>1017</v>
      </c>
      <c r="R5" s="47" t="s">
        <v>376</v>
      </c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50">
        <f>IF(L5="W",1,0)</f>
        <v>0</v>
      </c>
      <c r="AF5" s="50">
        <f>IF(L5="T",1,0)</f>
        <v>1</v>
      </c>
      <c r="AG5" s="50">
        <f>IF(L5="L",1,0)</f>
        <v>0</v>
      </c>
      <c r="AH5" s="46" t="s">
        <v>1022</v>
      </c>
      <c r="AI5" s="46" t="s">
        <v>1022</v>
      </c>
      <c r="AJ5" s="46" t="s">
        <v>376</v>
      </c>
      <c r="AK5" s="46" t="s">
        <v>658</v>
      </c>
      <c r="AL5" s="46" t="s">
        <v>1017</v>
      </c>
      <c r="AM5" s="46" t="s">
        <v>1018</v>
      </c>
      <c r="AN5" s="46" t="s">
        <v>376</v>
      </c>
      <c r="AO5" s="46" t="s">
        <v>658</v>
      </c>
      <c r="AP5" s="46"/>
      <c r="AQ5" s="46">
        <v>2</v>
      </c>
      <c r="AR5" s="46"/>
      <c r="AS5" s="46"/>
      <c r="AT5" s="46"/>
      <c r="AU5" s="46" t="s">
        <v>376</v>
      </c>
      <c r="AV5" s="46"/>
      <c r="AW5" s="46" t="s">
        <v>30</v>
      </c>
      <c r="AX5" s="46"/>
      <c r="AY5" s="46" t="s">
        <v>30</v>
      </c>
      <c r="AZ5" s="46"/>
      <c r="BA5" s="47"/>
      <c r="BB5" s="51"/>
      <c r="BC5" s="46"/>
      <c r="BD5" s="46"/>
      <c r="BE5" s="46"/>
      <c r="BF5" s="46">
        <v>1</v>
      </c>
      <c r="BG5" s="46"/>
      <c r="BH5" s="46"/>
      <c r="BI5" s="46" t="s">
        <v>1021</v>
      </c>
      <c r="BJ5" s="46" t="s">
        <v>1020</v>
      </c>
      <c r="BK5" s="46">
        <v>1872</v>
      </c>
      <c r="BL5" s="46" t="str">
        <f>BK5&amp;BI5</f>
        <v>1872Queen's Park</v>
      </c>
      <c r="BM5" s="52" t="str">
        <f>IF(AD5="Home",BI5,IF(AD5="Away",BJ5,Q5))</f>
        <v>London</v>
      </c>
      <c r="BN5" s="46"/>
      <c r="BO5" s="46"/>
      <c r="BP5" s="46"/>
      <c r="BQ5" s="46"/>
      <c r="BR5" s="46"/>
      <c r="BS5" s="46"/>
      <c r="BT5" s="46"/>
      <c r="BU5" s="46"/>
      <c r="BV5" s="46" t="s">
        <v>376</v>
      </c>
      <c r="BW5" s="46" t="s">
        <v>376</v>
      </c>
      <c r="BX5" s="46"/>
      <c r="BZ5" s="53"/>
      <c r="CA5" s="53"/>
      <c r="CB5" s="93" t="str">
        <f>IF(OR(C5="",A5="",B5=""),"",TEXT(C5,"0000")&amp;TEXT(A5,"00")&amp;TEXT(B5,"00"))</f>
        <v>18720305</v>
      </c>
    </row>
    <row r="6" spans="1:80" s="52" customFormat="1" ht="12.95" customHeight="1" x14ac:dyDescent="0.2">
      <c r="A6" s="46">
        <v>3</v>
      </c>
      <c r="B6" s="46">
        <v>9</v>
      </c>
      <c r="C6" s="46">
        <v>1872</v>
      </c>
      <c r="D6" s="46" t="s">
        <v>658</v>
      </c>
      <c r="E6" s="46" t="s">
        <v>1009</v>
      </c>
      <c r="F6" s="47" t="s">
        <v>1010</v>
      </c>
      <c r="G6" s="46"/>
      <c r="H6" s="47" t="s">
        <v>1011</v>
      </c>
      <c r="I6" s="47" t="s">
        <v>1023</v>
      </c>
      <c r="J6" s="48" t="s">
        <v>1024</v>
      </c>
      <c r="K6" s="46" t="s">
        <v>1013</v>
      </c>
      <c r="L6" s="46" t="s">
        <v>3</v>
      </c>
      <c r="M6" s="46" t="s">
        <v>1015</v>
      </c>
      <c r="N6" s="49">
        <v>3</v>
      </c>
      <c r="O6" s="49">
        <v>0</v>
      </c>
      <c r="P6" s="47" t="s">
        <v>1016</v>
      </c>
      <c r="Q6" s="47" t="s">
        <v>1017</v>
      </c>
      <c r="R6" s="47" t="s">
        <v>376</v>
      </c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50">
        <f>IF(L6="W",1,0)</f>
        <v>1</v>
      </c>
      <c r="AF6" s="50">
        <f>IF(L6="T",1,0)</f>
        <v>0</v>
      </c>
      <c r="AG6" s="50">
        <f>IF(L6="L",1,0)</f>
        <v>0</v>
      </c>
      <c r="AH6" s="46" t="s">
        <v>1017</v>
      </c>
      <c r="AI6" s="46" t="s">
        <v>1018</v>
      </c>
      <c r="AJ6" s="46" t="s">
        <v>376</v>
      </c>
      <c r="AK6" s="46" t="s">
        <v>658</v>
      </c>
      <c r="AL6" s="46" t="s">
        <v>1017</v>
      </c>
      <c r="AM6" s="46" t="s">
        <v>1018</v>
      </c>
      <c r="AN6" s="46" t="s">
        <v>376</v>
      </c>
      <c r="AO6" s="46" t="s">
        <v>658</v>
      </c>
      <c r="AP6" s="46"/>
      <c r="AQ6" s="46">
        <v>2</v>
      </c>
      <c r="AR6" s="46"/>
      <c r="AS6" s="46"/>
      <c r="AT6" s="46"/>
      <c r="AU6" s="46" t="s">
        <v>376</v>
      </c>
      <c r="AV6" s="46"/>
      <c r="AW6" s="46" t="s">
        <v>30</v>
      </c>
      <c r="AX6" s="46"/>
      <c r="AY6" s="46" t="s">
        <v>30</v>
      </c>
      <c r="AZ6" s="46"/>
      <c r="BA6" s="47"/>
      <c r="BB6" s="51"/>
      <c r="BC6" s="46"/>
      <c r="BD6" s="46"/>
      <c r="BE6" s="46"/>
      <c r="BF6" s="46">
        <v>1</v>
      </c>
      <c r="BG6" s="46"/>
      <c r="BH6" s="46"/>
      <c r="BI6" s="46" t="s">
        <v>1013</v>
      </c>
      <c r="BJ6" s="46" t="s">
        <v>1015</v>
      </c>
      <c r="BK6" s="46">
        <v>1872</v>
      </c>
      <c r="BL6" s="46" t="str">
        <f>BK6&amp;BI6</f>
        <v>1872Royal Engineers</v>
      </c>
      <c r="BM6" s="52" t="str">
        <f>IF(AD6="Home",BI6,IF(AD6="Away",BJ6,Q6))</f>
        <v>London</v>
      </c>
      <c r="BN6" s="46"/>
      <c r="BO6" s="46"/>
      <c r="BP6" s="46"/>
      <c r="BQ6" s="46"/>
      <c r="BR6" s="46"/>
      <c r="BS6" s="46"/>
      <c r="BT6" s="46"/>
      <c r="BU6" s="46"/>
      <c r="BV6" s="46" t="s">
        <v>376</v>
      </c>
      <c r="BW6" s="46" t="s">
        <v>376</v>
      </c>
      <c r="BX6" s="46"/>
      <c r="BZ6" s="53"/>
      <c r="CA6" s="53"/>
      <c r="CB6" s="93" t="str">
        <f>IF(OR(C6="",A6="",B6=""),"",TEXT(C6,"0000")&amp;TEXT(A6,"00")&amp;TEXT(B6,"00"))</f>
        <v>18720309</v>
      </c>
    </row>
    <row r="7" spans="1:80" s="52" customFormat="1" ht="12.95" customHeight="1" x14ac:dyDescent="0.2">
      <c r="A7" s="46">
        <v>3</v>
      </c>
      <c r="B7" s="46">
        <v>9</v>
      </c>
      <c r="C7" s="46">
        <v>1872</v>
      </c>
      <c r="D7" s="46" t="s">
        <v>658</v>
      </c>
      <c r="E7" s="46" t="s">
        <v>1009</v>
      </c>
      <c r="F7" s="47" t="s">
        <v>1010</v>
      </c>
      <c r="G7" s="46"/>
      <c r="H7" s="47" t="s">
        <v>1011</v>
      </c>
      <c r="I7" s="47" t="s">
        <v>1023</v>
      </c>
      <c r="J7" s="48" t="s">
        <v>1024</v>
      </c>
      <c r="K7" s="46" t="s">
        <v>1015</v>
      </c>
      <c r="L7" s="46" t="s">
        <v>4</v>
      </c>
      <c r="M7" s="46" t="s">
        <v>1013</v>
      </c>
      <c r="N7" s="49">
        <v>0</v>
      </c>
      <c r="O7" s="49">
        <v>3</v>
      </c>
      <c r="P7" s="47" t="s">
        <v>1016</v>
      </c>
      <c r="Q7" s="47" t="s">
        <v>1017</v>
      </c>
      <c r="R7" s="47" t="s">
        <v>376</v>
      </c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50">
        <f>IF(L7="W",1,0)</f>
        <v>0</v>
      </c>
      <c r="AF7" s="50">
        <f>IF(L7="T",1,0)</f>
        <v>0</v>
      </c>
      <c r="AG7" s="50">
        <f>IF(L7="L",1,0)</f>
        <v>1</v>
      </c>
      <c r="AH7" s="46" t="s">
        <v>1017</v>
      </c>
      <c r="AI7" s="46" t="s">
        <v>1018</v>
      </c>
      <c r="AJ7" s="46" t="s">
        <v>376</v>
      </c>
      <c r="AK7" s="46" t="s">
        <v>658</v>
      </c>
      <c r="AL7" s="46" t="s">
        <v>1017</v>
      </c>
      <c r="AM7" s="46" t="s">
        <v>1018</v>
      </c>
      <c r="AN7" s="46" t="s">
        <v>376</v>
      </c>
      <c r="AO7" s="46" t="s">
        <v>658</v>
      </c>
      <c r="AP7" s="46"/>
      <c r="AQ7" s="46">
        <v>2</v>
      </c>
      <c r="AR7" s="46"/>
      <c r="AS7" s="46"/>
      <c r="AT7" s="46"/>
      <c r="AU7" s="46" t="s">
        <v>376</v>
      </c>
      <c r="AV7" s="46"/>
      <c r="AW7" s="46" t="s">
        <v>30</v>
      </c>
      <c r="AX7" s="46"/>
      <c r="AY7" s="46" t="s">
        <v>30</v>
      </c>
      <c r="AZ7" s="46"/>
      <c r="BA7" s="47"/>
      <c r="BB7" s="51"/>
      <c r="BC7" s="46"/>
      <c r="BD7" s="46"/>
      <c r="BE7" s="46"/>
      <c r="BF7" s="46">
        <v>1</v>
      </c>
      <c r="BG7" s="46"/>
      <c r="BH7" s="46"/>
      <c r="BI7" s="46" t="s">
        <v>1015</v>
      </c>
      <c r="BJ7" s="46" t="s">
        <v>1013</v>
      </c>
      <c r="BK7" s="46">
        <v>1872</v>
      </c>
      <c r="BL7" s="46" t="str">
        <f>BK7&amp;BI7</f>
        <v>1872Crystal Palace (Old)</v>
      </c>
      <c r="BM7" s="52" t="str">
        <f>IF(AD7="Home",BI7,IF(AD7="Away",BJ7,Q7))</f>
        <v>London</v>
      </c>
      <c r="BN7" s="46"/>
      <c r="BO7" s="46"/>
      <c r="BP7" s="46"/>
      <c r="BQ7" s="46"/>
      <c r="BR7" s="46"/>
      <c r="BS7" s="46"/>
      <c r="BT7" s="46"/>
      <c r="BU7" s="46"/>
      <c r="BV7" s="46" t="s">
        <v>376</v>
      </c>
      <c r="BW7" s="46" t="s">
        <v>376</v>
      </c>
      <c r="BX7" s="46"/>
      <c r="BZ7" s="53"/>
      <c r="CA7" s="53"/>
      <c r="CB7" s="93" t="str">
        <f>IF(OR(C7="",A7="",B7=""),"",TEXT(C7,"0000")&amp;TEXT(A7,"00")&amp;TEXT(B7,"00"))</f>
        <v>18720309</v>
      </c>
    </row>
    <row r="8" spans="1:80" s="52" customFormat="1" ht="12.95" customHeight="1" x14ac:dyDescent="0.2">
      <c r="A8" s="46">
        <v>3</v>
      </c>
      <c r="B8" s="46">
        <v>16</v>
      </c>
      <c r="C8" s="46">
        <v>1872</v>
      </c>
      <c r="D8" s="46" t="s">
        <v>658</v>
      </c>
      <c r="E8" s="46" t="s">
        <v>1009</v>
      </c>
      <c r="F8" s="47" t="s">
        <v>1010</v>
      </c>
      <c r="G8" s="46"/>
      <c r="H8" s="47" t="s">
        <v>1025</v>
      </c>
      <c r="I8" s="47"/>
      <c r="J8" s="48" t="s">
        <v>1026</v>
      </c>
      <c r="K8" s="46" t="s">
        <v>1020</v>
      </c>
      <c r="L8" s="46" t="s">
        <v>3</v>
      </c>
      <c r="M8" s="46" t="s">
        <v>1013</v>
      </c>
      <c r="N8" s="49">
        <v>1</v>
      </c>
      <c r="O8" s="49">
        <v>0</v>
      </c>
      <c r="P8" s="47" t="s">
        <v>1016</v>
      </c>
      <c r="Q8" s="47" t="s">
        <v>1017</v>
      </c>
      <c r="R8" s="47" t="s">
        <v>376</v>
      </c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50">
        <f>IF(L8="W",1,0)</f>
        <v>1</v>
      </c>
      <c r="AF8" s="50">
        <f>IF(L8="T",1,0)</f>
        <v>0</v>
      </c>
      <c r="AG8" s="50">
        <f>IF(L8="L",1,0)</f>
        <v>0</v>
      </c>
      <c r="AH8" s="46" t="s">
        <v>1017</v>
      </c>
      <c r="AI8" s="46" t="s">
        <v>1018</v>
      </c>
      <c r="AJ8" s="46" t="s">
        <v>376</v>
      </c>
      <c r="AK8" s="46" t="s">
        <v>658</v>
      </c>
      <c r="AL8" s="46" t="s">
        <v>1017</v>
      </c>
      <c r="AM8" s="46" t="s">
        <v>1018</v>
      </c>
      <c r="AN8" s="46" t="s">
        <v>376</v>
      </c>
      <c r="AO8" s="46" t="s">
        <v>658</v>
      </c>
      <c r="AP8" s="46"/>
      <c r="AQ8" s="46">
        <v>1</v>
      </c>
      <c r="AR8" s="46"/>
      <c r="AS8" s="46"/>
      <c r="AT8" s="46"/>
      <c r="AU8" s="46" t="s">
        <v>376</v>
      </c>
      <c r="AV8" s="46"/>
      <c r="AW8" s="46" t="s">
        <v>30</v>
      </c>
      <c r="AX8" s="46"/>
      <c r="AY8" s="46" t="s">
        <v>30</v>
      </c>
      <c r="AZ8" s="46"/>
      <c r="BA8" s="47"/>
      <c r="BB8" s="51" t="s">
        <v>30</v>
      </c>
      <c r="BC8" s="46" t="s">
        <v>30</v>
      </c>
      <c r="BD8" s="46"/>
      <c r="BE8" s="46"/>
      <c r="BF8" s="46">
        <v>1</v>
      </c>
      <c r="BG8" s="46"/>
      <c r="BH8" s="46"/>
      <c r="BI8" s="46" t="s">
        <v>1020</v>
      </c>
      <c r="BJ8" s="46" t="s">
        <v>1013</v>
      </c>
      <c r="BK8" s="46">
        <v>1872</v>
      </c>
      <c r="BL8" s="46" t="str">
        <f>BK8&amp;BI8</f>
        <v>1872Wanderers</v>
      </c>
      <c r="BM8" s="52" t="str">
        <f>IF(AD8="Home",BI8,IF(AD8="Away",BJ8,Q8))</f>
        <v>London</v>
      </c>
      <c r="BN8" s="46"/>
      <c r="BO8" s="46"/>
      <c r="BP8" s="46"/>
      <c r="BQ8" s="46"/>
      <c r="BR8" s="46"/>
      <c r="BS8" s="46"/>
      <c r="BT8" s="46"/>
      <c r="BU8" s="46"/>
      <c r="BV8" s="46" t="s">
        <v>376</v>
      </c>
      <c r="BW8" s="46" t="s">
        <v>376</v>
      </c>
      <c r="BX8" s="46"/>
      <c r="BZ8" s="53"/>
      <c r="CA8" s="53"/>
      <c r="CB8" s="93" t="str">
        <f>IF(OR(C8="",A8="",B8=""),"",TEXT(C8,"0000")&amp;TEXT(A8,"00")&amp;TEXT(B8,"00"))</f>
        <v>18720316</v>
      </c>
    </row>
    <row r="9" spans="1:80" s="52" customFormat="1" ht="12.95" customHeight="1" x14ac:dyDescent="0.2">
      <c r="A9" s="46">
        <v>3</v>
      </c>
      <c r="B9" s="46">
        <v>16</v>
      </c>
      <c r="C9" s="46">
        <v>1872</v>
      </c>
      <c r="D9" s="46" t="s">
        <v>658</v>
      </c>
      <c r="E9" s="46" t="s">
        <v>1009</v>
      </c>
      <c r="F9" s="47" t="s">
        <v>1010</v>
      </c>
      <c r="G9" s="46"/>
      <c r="H9" s="47" t="s">
        <v>1025</v>
      </c>
      <c r="I9" s="47"/>
      <c r="J9" s="48" t="s">
        <v>1026</v>
      </c>
      <c r="K9" s="46" t="s">
        <v>1013</v>
      </c>
      <c r="L9" s="46" t="s">
        <v>4</v>
      </c>
      <c r="M9" s="46" t="s">
        <v>1020</v>
      </c>
      <c r="N9" s="49">
        <v>0</v>
      </c>
      <c r="O9" s="49">
        <v>1</v>
      </c>
      <c r="P9" s="47" t="s">
        <v>1016</v>
      </c>
      <c r="Q9" s="47" t="s">
        <v>1017</v>
      </c>
      <c r="R9" s="47" t="s">
        <v>376</v>
      </c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50">
        <f>IF(L9="W",1,0)</f>
        <v>0</v>
      </c>
      <c r="AF9" s="50">
        <f>IF(L9="T",1,0)</f>
        <v>0</v>
      </c>
      <c r="AG9" s="50">
        <f>IF(L9="L",1,0)</f>
        <v>1</v>
      </c>
      <c r="AH9" s="46" t="s">
        <v>1017</v>
      </c>
      <c r="AI9" s="46" t="s">
        <v>1018</v>
      </c>
      <c r="AJ9" s="46" t="s">
        <v>376</v>
      </c>
      <c r="AK9" s="46" t="s">
        <v>658</v>
      </c>
      <c r="AL9" s="46" t="s">
        <v>1017</v>
      </c>
      <c r="AM9" s="46" t="s">
        <v>1018</v>
      </c>
      <c r="AN9" s="46" t="s">
        <v>376</v>
      </c>
      <c r="AO9" s="46" t="s">
        <v>658</v>
      </c>
      <c r="AP9" s="46"/>
      <c r="AQ9" s="46">
        <v>1</v>
      </c>
      <c r="AR9" s="46"/>
      <c r="AS9" s="46"/>
      <c r="AT9" s="46"/>
      <c r="AU9" s="46" t="s">
        <v>376</v>
      </c>
      <c r="AV9" s="46"/>
      <c r="AW9" s="46" t="s">
        <v>30</v>
      </c>
      <c r="AX9" s="46"/>
      <c r="AY9" s="46" t="s">
        <v>30</v>
      </c>
      <c r="AZ9" s="46"/>
      <c r="BA9" s="47"/>
      <c r="BB9" s="51"/>
      <c r="BC9" s="46" t="s">
        <v>30</v>
      </c>
      <c r="BD9" s="46"/>
      <c r="BE9" s="46"/>
      <c r="BF9" s="46">
        <v>1</v>
      </c>
      <c r="BG9" s="46"/>
      <c r="BH9" s="46"/>
      <c r="BI9" s="46" t="s">
        <v>1013</v>
      </c>
      <c r="BJ9" s="46" t="s">
        <v>1020</v>
      </c>
      <c r="BK9" s="46">
        <v>1872</v>
      </c>
      <c r="BL9" s="46" t="str">
        <f>BK9&amp;BI9</f>
        <v>1872Royal Engineers</v>
      </c>
      <c r="BM9" s="52" t="str">
        <f>IF(AD9="Home",BI9,IF(AD9="Away",BJ9,Q9))</f>
        <v>London</v>
      </c>
      <c r="BN9" s="46"/>
      <c r="BO9" s="46"/>
      <c r="BP9" s="46"/>
      <c r="BQ9" s="46"/>
      <c r="BR9" s="46"/>
      <c r="BS9" s="46"/>
      <c r="BT9" s="46"/>
      <c r="BU9" s="46"/>
      <c r="BV9" s="46" t="s">
        <v>376</v>
      </c>
      <c r="BW9" s="46" t="s">
        <v>376</v>
      </c>
      <c r="BX9" s="46"/>
      <c r="BZ9" s="53"/>
      <c r="CA9" s="53"/>
      <c r="CB9" s="93" t="str">
        <f>IF(OR(C9="",A9="",B9=""),"",TEXT(C9,"0000")&amp;TEXT(A9,"00")&amp;TEXT(B9,"00"))</f>
        <v>18720316</v>
      </c>
    </row>
    <row r="10" spans="1:80" s="52" customFormat="1" ht="12.95" customHeight="1" x14ac:dyDescent="0.2">
      <c r="A10" s="46">
        <v>2</v>
      </c>
      <c r="B10" s="46">
        <v>3</v>
      </c>
      <c r="C10" s="46">
        <v>1873</v>
      </c>
      <c r="D10" s="46" t="s">
        <v>658</v>
      </c>
      <c r="E10" s="46" t="s">
        <v>1027</v>
      </c>
      <c r="F10" s="47" t="s">
        <v>1010</v>
      </c>
      <c r="G10" s="46"/>
      <c r="H10" s="47" t="s">
        <v>1011</v>
      </c>
      <c r="I10" s="47"/>
      <c r="J10" s="48" t="s">
        <v>1028</v>
      </c>
      <c r="K10" s="46" t="s">
        <v>1029</v>
      </c>
      <c r="L10" s="46" t="s">
        <v>3</v>
      </c>
      <c r="M10" s="46" t="s">
        <v>1030</v>
      </c>
      <c r="N10" s="49">
        <v>4</v>
      </c>
      <c r="O10" s="49">
        <v>0</v>
      </c>
      <c r="P10" s="47" t="s">
        <v>1031</v>
      </c>
      <c r="Q10" s="47" t="s">
        <v>1032</v>
      </c>
      <c r="R10" s="47" t="s">
        <v>376</v>
      </c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 t="s">
        <v>1033</v>
      </c>
      <c r="AE10" s="50">
        <f>IF(L10="W",1,0)</f>
        <v>1</v>
      </c>
      <c r="AF10" s="50">
        <f>IF(L10="T",1,0)</f>
        <v>0</v>
      </c>
      <c r="AG10" s="50">
        <f>IF(L10="L",1,0)</f>
        <v>0</v>
      </c>
      <c r="AH10" s="46" t="s">
        <v>1032</v>
      </c>
      <c r="AI10" s="46" t="s">
        <v>1034</v>
      </c>
      <c r="AJ10" s="46" t="s">
        <v>376</v>
      </c>
      <c r="AK10" s="46" t="s">
        <v>658</v>
      </c>
      <c r="AL10" s="46" t="s">
        <v>1035</v>
      </c>
      <c r="AM10" s="46" t="s">
        <v>1036</v>
      </c>
      <c r="AN10" s="46" t="s">
        <v>376</v>
      </c>
      <c r="AO10" s="46" t="s">
        <v>658</v>
      </c>
      <c r="AP10" s="46"/>
      <c r="AQ10" s="46">
        <v>2</v>
      </c>
      <c r="AR10" s="46"/>
      <c r="AS10" s="46"/>
      <c r="AT10" s="46"/>
      <c r="AU10" s="46" t="s">
        <v>376</v>
      </c>
      <c r="AV10" s="46"/>
      <c r="AW10" s="46" t="s">
        <v>30</v>
      </c>
      <c r="AX10" s="46"/>
      <c r="AY10" s="46" t="s">
        <v>30</v>
      </c>
      <c r="AZ10" s="46"/>
      <c r="BA10" s="47"/>
      <c r="BB10" s="51"/>
      <c r="BC10" s="46"/>
      <c r="BD10" s="46"/>
      <c r="BE10" s="46"/>
      <c r="BF10" s="46">
        <v>1</v>
      </c>
      <c r="BG10" s="46"/>
      <c r="BH10" s="46"/>
      <c r="BI10" s="46" t="s">
        <v>1029</v>
      </c>
      <c r="BJ10" s="46" t="s">
        <v>1030</v>
      </c>
      <c r="BK10" s="46">
        <v>1873</v>
      </c>
      <c r="BL10" s="46" t="str">
        <f>BK10&amp;BI10</f>
        <v>1873Oxford University</v>
      </c>
      <c r="BM10" s="52" t="str">
        <f>IF(AD10="Home",BI10,IF(AD10="Away",BJ10,Q10))</f>
        <v>Oxford University</v>
      </c>
      <c r="BN10" s="46"/>
      <c r="BO10" s="46"/>
      <c r="BP10" s="46"/>
      <c r="BQ10" s="46"/>
      <c r="BR10" s="46"/>
      <c r="BS10" s="46"/>
      <c r="BT10" s="46"/>
      <c r="BU10" s="46"/>
      <c r="BV10" s="46" t="s">
        <v>376</v>
      </c>
      <c r="BW10" s="46" t="s">
        <v>376</v>
      </c>
      <c r="BX10" s="46"/>
      <c r="BY10" s="35"/>
      <c r="BZ10" s="53"/>
      <c r="CA10" s="53"/>
      <c r="CB10" s="93" t="str">
        <f>IF(OR(C10="",A10="",B10=""),"",TEXT(C10,"0000")&amp;TEXT(A10,"00")&amp;TEXT(B10,"00"))</f>
        <v>18730203</v>
      </c>
    </row>
    <row r="11" spans="1:80" s="52" customFormat="1" ht="12.95" customHeight="1" x14ac:dyDescent="0.2">
      <c r="A11" s="46">
        <v>2</v>
      </c>
      <c r="B11" s="46">
        <v>3</v>
      </c>
      <c r="C11" s="46">
        <v>1873</v>
      </c>
      <c r="D11" s="46" t="s">
        <v>658</v>
      </c>
      <c r="E11" s="46" t="s">
        <v>1027</v>
      </c>
      <c r="F11" s="47" t="s">
        <v>1010</v>
      </c>
      <c r="G11" s="46"/>
      <c r="H11" s="47" t="s">
        <v>1011</v>
      </c>
      <c r="I11" s="47"/>
      <c r="J11" s="48" t="s">
        <v>1028</v>
      </c>
      <c r="K11" s="46" t="s">
        <v>1030</v>
      </c>
      <c r="L11" s="46" t="s">
        <v>4</v>
      </c>
      <c r="M11" s="46" t="s">
        <v>1029</v>
      </c>
      <c r="N11" s="49">
        <v>0</v>
      </c>
      <c r="O11" s="49">
        <v>4</v>
      </c>
      <c r="P11" s="47" t="s">
        <v>1031</v>
      </c>
      <c r="Q11" s="47" t="s">
        <v>1032</v>
      </c>
      <c r="R11" s="47" t="s">
        <v>376</v>
      </c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 t="s">
        <v>1037</v>
      </c>
      <c r="AE11" s="50">
        <f>IF(L11="W",1,0)</f>
        <v>0</v>
      </c>
      <c r="AF11" s="50">
        <f>IF(L11="T",1,0)</f>
        <v>0</v>
      </c>
      <c r="AG11" s="50">
        <f>IF(L11="L",1,0)</f>
        <v>1</v>
      </c>
      <c r="AH11" s="46" t="s">
        <v>1035</v>
      </c>
      <c r="AI11" s="46" t="s">
        <v>1036</v>
      </c>
      <c r="AJ11" s="46" t="s">
        <v>376</v>
      </c>
      <c r="AK11" s="46" t="s">
        <v>658</v>
      </c>
      <c r="AL11" s="46" t="s">
        <v>1032</v>
      </c>
      <c r="AM11" s="46" t="s">
        <v>1034</v>
      </c>
      <c r="AN11" s="46" t="s">
        <v>376</v>
      </c>
      <c r="AO11" s="46" t="s">
        <v>658</v>
      </c>
      <c r="AP11" s="46"/>
      <c r="AQ11" s="46">
        <v>2</v>
      </c>
      <c r="AR11" s="46"/>
      <c r="AS11" s="46"/>
      <c r="AT11" s="46"/>
      <c r="AU11" s="46" t="s">
        <v>376</v>
      </c>
      <c r="AV11" s="46"/>
      <c r="AW11" s="46" t="s">
        <v>30</v>
      </c>
      <c r="AX11" s="46"/>
      <c r="AY11" s="46" t="s">
        <v>30</v>
      </c>
      <c r="AZ11" s="46"/>
      <c r="BA11" s="47"/>
      <c r="BB11" s="51"/>
      <c r="BC11" s="46"/>
      <c r="BD11" s="46"/>
      <c r="BE11" s="46"/>
      <c r="BF11" s="46">
        <v>1</v>
      </c>
      <c r="BG11" s="46"/>
      <c r="BH11" s="46"/>
      <c r="BI11" s="46" t="s">
        <v>1030</v>
      </c>
      <c r="BJ11" s="46" t="s">
        <v>1029</v>
      </c>
      <c r="BK11" s="46">
        <v>1873</v>
      </c>
      <c r="BL11" s="46" t="str">
        <f>BK11&amp;BI11</f>
        <v>1873Maidenhead United</v>
      </c>
      <c r="BM11" s="52" t="str">
        <f>IF(AD11="Home",BI11,IF(AD11="Away",BJ11,Q11))</f>
        <v>Oxford University</v>
      </c>
      <c r="BN11" s="46"/>
      <c r="BO11" s="46"/>
      <c r="BP11" s="46"/>
      <c r="BQ11" s="46"/>
      <c r="BR11" s="46"/>
      <c r="BS11" s="46"/>
      <c r="BT11" s="46"/>
      <c r="BU11" s="46"/>
      <c r="BV11" s="46" t="s">
        <v>376</v>
      </c>
      <c r="BW11" s="46" t="s">
        <v>376</v>
      </c>
      <c r="BX11" s="46"/>
      <c r="BY11" s="35"/>
      <c r="BZ11" s="53"/>
      <c r="CA11" s="53"/>
      <c r="CB11" s="93" t="str">
        <f>IF(OR(C11="",A11="",B11=""),"",TEXT(C11,"0000")&amp;TEXT(A11,"00")&amp;TEXT(B11,"00"))</f>
        <v>18730203</v>
      </c>
    </row>
    <row r="12" spans="1:80" s="52" customFormat="1" ht="12.95" customHeight="1" x14ac:dyDescent="0.2">
      <c r="A12" s="46">
        <v>3</v>
      </c>
      <c r="B12" s="46">
        <v>23</v>
      </c>
      <c r="C12" s="46">
        <v>1873</v>
      </c>
      <c r="D12" s="46" t="s">
        <v>658</v>
      </c>
      <c r="E12" s="46" t="s">
        <v>1027</v>
      </c>
      <c r="F12" s="47" t="s">
        <v>1010</v>
      </c>
      <c r="G12" s="46"/>
      <c r="H12" s="47" t="s">
        <v>1025</v>
      </c>
      <c r="I12" s="47"/>
      <c r="J12" s="48" t="s">
        <v>1038</v>
      </c>
      <c r="K12" s="46" t="s">
        <v>1020</v>
      </c>
      <c r="L12" s="46" t="s">
        <v>3</v>
      </c>
      <c r="M12" s="46" t="s">
        <v>1029</v>
      </c>
      <c r="N12" s="49">
        <v>2</v>
      </c>
      <c r="O12" s="49">
        <v>0</v>
      </c>
      <c r="P12" s="47" t="s">
        <v>1039</v>
      </c>
      <c r="Q12" s="47" t="s">
        <v>1017</v>
      </c>
      <c r="R12" s="47" t="s">
        <v>376</v>
      </c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50">
        <f>IF(L12="W",1,0)</f>
        <v>1</v>
      </c>
      <c r="AF12" s="50">
        <f>IF(L12="T",1,0)</f>
        <v>0</v>
      </c>
      <c r="AG12" s="50">
        <f>IF(L12="L",1,0)</f>
        <v>0</v>
      </c>
      <c r="AH12" s="46" t="s">
        <v>1017</v>
      </c>
      <c r="AI12" s="46" t="s">
        <v>1018</v>
      </c>
      <c r="AJ12" s="46" t="s">
        <v>376</v>
      </c>
      <c r="AK12" s="46" t="s">
        <v>658</v>
      </c>
      <c r="AL12" s="46" t="s">
        <v>1032</v>
      </c>
      <c r="AM12" s="46" t="s">
        <v>1034</v>
      </c>
      <c r="AN12" s="46" t="s">
        <v>376</v>
      </c>
      <c r="AO12" s="46" t="s">
        <v>658</v>
      </c>
      <c r="AP12" s="46"/>
      <c r="AQ12" s="46">
        <v>1</v>
      </c>
      <c r="AR12" s="46"/>
      <c r="AS12" s="46"/>
      <c r="AT12" s="46"/>
      <c r="AU12" s="46" t="s">
        <v>376</v>
      </c>
      <c r="AV12" s="46"/>
      <c r="AW12" s="46" t="s">
        <v>30</v>
      </c>
      <c r="AX12" s="46"/>
      <c r="AY12" s="46" t="s">
        <v>30</v>
      </c>
      <c r="AZ12" s="46"/>
      <c r="BA12" s="47"/>
      <c r="BB12" s="51" t="s">
        <v>30</v>
      </c>
      <c r="BC12" s="46" t="s">
        <v>30</v>
      </c>
      <c r="BD12" s="46"/>
      <c r="BE12" s="46"/>
      <c r="BF12" s="46">
        <v>1</v>
      </c>
      <c r="BG12" s="46"/>
      <c r="BH12" s="46"/>
      <c r="BI12" s="46" t="s">
        <v>1020</v>
      </c>
      <c r="BJ12" s="46" t="s">
        <v>1029</v>
      </c>
      <c r="BK12" s="46">
        <v>1873</v>
      </c>
      <c r="BL12" s="46" t="str">
        <f>BK12&amp;BI12</f>
        <v>1873Wanderers</v>
      </c>
      <c r="BM12" s="52" t="str">
        <f>IF(AD12="Home",BI12,IF(AD12="Away",BJ12,Q12))</f>
        <v>London</v>
      </c>
      <c r="BN12" s="46"/>
      <c r="BO12" s="46"/>
      <c r="BP12" s="46"/>
      <c r="BQ12" s="46"/>
      <c r="BR12" s="46"/>
      <c r="BS12" s="46"/>
      <c r="BT12" s="46"/>
      <c r="BU12" s="46"/>
      <c r="BV12" s="46" t="s">
        <v>376</v>
      </c>
      <c r="BW12" s="46" t="s">
        <v>376</v>
      </c>
      <c r="BX12" s="46"/>
      <c r="BZ12" s="53"/>
      <c r="CA12" s="53"/>
      <c r="CB12" s="93" t="str">
        <f>IF(OR(C12="",A12="",B12=""),"",TEXT(C12,"0000")&amp;TEXT(A12,"00")&amp;TEXT(B12,"00"))</f>
        <v>18730323</v>
      </c>
    </row>
    <row r="13" spans="1:80" s="52" customFormat="1" ht="12.95" customHeight="1" x14ac:dyDescent="0.2">
      <c r="A13" s="46">
        <v>3</v>
      </c>
      <c r="B13" s="46">
        <v>23</v>
      </c>
      <c r="C13" s="46">
        <v>1873</v>
      </c>
      <c r="D13" s="46" t="s">
        <v>658</v>
      </c>
      <c r="E13" s="46" t="s">
        <v>1027</v>
      </c>
      <c r="F13" s="47" t="s">
        <v>1010</v>
      </c>
      <c r="G13" s="46"/>
      <c r="H13" s="47" t="s">
        <v>1025</v>
      </c>
      <c r="I13" s="47"/>
      <c r="J13" s="48" t="s">
        <v>1038</v>
      </c>
      <c r="K13" s="46" t="s">
        <v>1029</v>
      </c>
      <c r="L13" s="46" t="s">
        <v>4</v>
      </c>
      <c r="M13" s="46" t="s">
        <v>1020</v>
      </c>
      <c r="N13" s="49">
        <v>0</v>
      </c>
      <c r="O13" s="49">
        <v>2</v>
      </c>
      <c r="P13" s="47" t="s">
        <v>1039</v>
      </c>
      <c r="Q13" s="47" t="s">
        <v>1017</v>
      </c>
      <c r="R13" s="47" t="s">
        <v>376</v>
      </c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50">
        <f>IF(L13="W",1,0)</f>
        <v>0</v>
      </c>
      <c r="AF13" s="50">
        <f>IF(L13="T",1,0)</f>
        <v>0</v>
      </c>
      <c r="AG13" s="50">
        <f>IF(L13="L",1,0)</f>
        <v>1</v>
      </c>
      <c r="AH13" s="46" t="s">
        <v>1032</v>
      </c>
      <c r="AI13" s="46" t="s">
        <v>1034</v>
      </c>
      <c r="AJ13" s="46" t="s">
        <v>376</v>
      </c>
      <c r="AK13" s="46" t="s">
        <v>658</v>
      </c>
      <c r="AL13" s="46" t="s">
        <v>1017</v>
      </c>
      <c r="AM13" s="46" t="s">
        <v>1018</v>
      </c>
      <c r="AN13" s="46" t="s">
        <v>376</v>
      </c>
      <c r="AO13" s="46" t="s">
        <v>658</v>
      </c>
      <c r="AP13" s="46"/>
      <c r="AQ13" s="46">
        <v>1</v>
      </c>
      <c r="AR13" s="46"/>
      <c r="AS13" s="46"/>
      <c r="AT13" s="46"/>
      <c r="AU13" s="46" t="s">
        <v>376</v>
      </c>
      <c r="AV13" s="46"/>
      <c r="AW13" s="46" t="s">
        <v>30</v>
      </c>
      <c r="AX13" s="46"/>
      <c r="AY13" s="46" t="s">
        <v>30</v>
      </c>
      <c r="AZ13" s="46"/>
      <c r="BA13" s="47"/>
      <c r="BB13" s="51"/>
      <c r="BC13" s="46" t="s">
        <v>30</v>
      </c>
      <c r="BD13" s="46"/>
      <c r="BE13" s="46"/>
      <c r="BF13" s="46">
        <v>1</v>
      </c>
      <c r="BG13" s="46"/>
      <c r="BH13" s="46"/>
      <c r="BI13" s="46" t="s">
        <v>1029</v>
      </c>
      <c r="BJ13" s="46" t="s">
        <v>1020</v>
      </c>
      <c r="BK13" s="46">
        <v>1873</v>
      </c>
      <c r="BL13" s="46" t="str">
        <f>BK13&amp;BI13</f>
        <v>1873Oxford University</v>
      </c>
      <c r="BM13" s="52" t="str">
        <f>IF(AD13="Home",BI13,IF(AD13="Away",BJ13,Q13))</f>
        <v>London</v>
      </c>
      <c r="BN13" s="46"/>
      <c r="BO13" s="46"/>
      <c r="BP13" s="46"/>
      <c r="BQ13" s="46"/>
      <c r="BR13" s="46"/>
      <c r="BS13" s="46"/>
      <c r="BT13" s="46"/>
      <c r="BU13" s="46"/>
      <c r="BV13" s="46" t="s">
        <v>376</v>
      </c>
      <c r="BW13" s="46" t="s">
        <v>376</v>
      </c>
      <c r="BX13" s="46"/>
      <c r="BZ13" s="53"/>
      <c r="CA13" s="53"/>
      <c r="CB13" s="93" t="str">
        <f>IF(OR(C13="",A13="",B13=""),"",TEXT(C13,"0000")&amp;TEXT(A13,"00")&amp;TEXT(B13,"00"))</f>
        <v>18730323</v>
      </c>
    </row>
    <row r="14" spans="1:80" s="52" customFormat="1" ht="12.95" customHeight="1" x14ac:dyDescent="0.2">
      <c r="A14" s="46">
        <v>1</v>
      </c>
      <c r="B14" s="46">
        <v>28</v>
      </c>
      <c r="C14" s="46">
        <v>1874</v>
      </c>
      <c r="D14" s="46" t="s">
        <v>658</v>
      </c>
      <c r="E14" s="46" t="s">
        <v>1040</v>
      </c>
      <c r="F14" s="47" t="s">
        <v>1010</v>
      </c>
      <c r="G14" s="46"/>
      <c r="H14" s="47" t="s">
        <v>1011</v>
      </c>
      <c r="I14" s="47"/>
      <c r="J14" s="48" t="s">
        <v>1041</v>
      </c>
      <c r="K14" s="46" t="s">
        <v>1013</v>
      </c>
      <c r="L14" s="46" t="s">
        <v>3</v>
      </c>
      <c r="M14" s="46" t="s">
        <v>1042</v>
      </c>
      <c r="N14" s="49">
        <v>2</v>
      </c>
      <c r="O14" s="49">
        <v>0</v>
      </c>
      <c r="P14" s="47" t="s">
        <v>1016</v>
      </c>
      <c r="Q14" s="47" t="s">
        <v>1017</v>
      </c>
      <c r="R14" s="47" t="s">
        <v>376</v>
      </c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50">
        <f>IF(L14="W",1,0)</f>
        <v>1</v>
      </c>
      <c r="AF14" s="50">
        <f>IF(L14="T",1,0)</f>
        <v>0</v>
      </c>
      <c r="AG14" s="50">
        <f>IF(L14="L",1,0)</f>
        <v>0</v>
      </c>
      <c r="AH14" s="46" t="s">
        <v>1017</v>
      </c>
      <c r="AI14" s="46" t="s">
        <v>1018</v>
      </c>
      <c r="AJ14" s="46" t="s">
        <v>376</v>
      </c>
      <c r="AK14" s="46" t="s">
        <v>658</v>
      </c>
      <c r="AL14" s="46" t="s">
        <v>1017</v>
      </c>
      <c r="AM14" s="46" t="s">
        <v>1018</v>
      </c>
      <c r="AN14" s="46" t="s">
        <v>376</v>
      </c>
      <c r="AO14" s="46" t="s">
        <v>658</v>
      </c>
      <c r="AP14" s="46"/>
      <c r="AQ14" s="46">
        <v>2</v>
      </c>
      <c r="AR14" s="46"/>
      <c r="AS14" s="46"/>
      <c r="AT14" s="46"/>
      <c r="AU14" s="46" t="s">
        <v>376</v>
      </c>
      <c r="AV14" s="46"/>
      <c r="AW14" s="46" t="s">
        <v>30</v>
      </c>
      <c r="AX14" s="46"/>
      <c r="AY14" s="46" t="s">
        <v>30</v>
      </c>
      <c r="AZ14" s="46"/>
      <c r="BA14" s="47"/>
      <c r="BB14" s="51"/>
      <c r="BC14" s="46"/>
      <c r="BD14" s="46"/>
      <c r="BE14" s="46"/>
      <c r="BF14" s="46">
        <v>1</v>
      </c>
      <c r="BG14" s="46"/>
      <c r="BH14" s="46"/>
      <c r="BI14" s="46" t="s">
        <v>1013</v>
      </c>
      <c r="BJ14" s="46" t="s">
        <v>1042</v>
      </c>
      <c r="BK14" s="46">
        <v>1874</v>
      </c>
      <c r="BL14" s="46" t="str">
        <f>BK14&amp;BI14</f>
        <v>1874Royal Engineers</v>
      </c>
      <c r="BM14" s="52" t="str">
        <f>IF(AD14="Home",BI14,IF(AD14="Away",BJ14,Q14))</f>
        <v>London</v>
      </c>
      <c r="BN14" s="46"/>
      <c r="BO14" s="46"/>
      <c r="BP14" s="46"/>
      <c r="BQ14" s="46"/>
      <c r="BR14" s="46"/>
      <c r="BS14" s="46"/>
      <c r="BT14" s="46"/>
      <c r="BU14" s="46"/>
      <c r="BV14" s="46" t="s">
        <v>376</v>
      </c>
      <c r="BW14" s="46" t="s">
        <v>376</v>
      </c>
      <c r="BX14" s="46"/>
      <c r="BZ14" s="53"/>
      <c r="CA14" s="53"/>
      <c r="CB14" s="93" t="str">
        <f>IF(OR(C14="",A14="",B14=""),"",TEXT(C14,"0000")&amp;TEXT(A14,"00")&amp;TEXT(B14,"00"))</f>
        <v>18740128</v>
      </c>
    </row>
    <row r="15" spans="1:80" s="52" customFormat="1" ht="12.95" customHeight="1" x14ac:dyDescent="0.2">
      <c r="A15" s="46">
        <v>1</v>
      </c>
      <c r="B15" s="46">
        <v>28</v>
      </c>
      <c r="C15" s="46">
        <v>1874</v>
      </c>
      <c r="D15" s="46" t="s">
        <v>658</v>
      </c>
      <c r="E15" s="46" t="s">
        <v>1040</v>
      </c>
      <c r="F15" s="47" t="s">
        <v>1010</v>
      </c>
      <c r="G15" s="46"/>
      <c r="H15" s="47" t="s">
        <v>1011</v>
      </c>
      <c r="I15" s="47"/>
      <c r="J15" s="48" t="s">
        <v>1041</v>
      </c>
      <c r="K15" s="46" t="s">
        <v>1042</v>
      </c>
      <c r="L15" s="46" t="s">
        <v>4</v>
      </c>
      <c r="M15" s="46" t="s">
        <v>1013</v>
      </c>
      <c r="N15" s="49">
        <v>0</v>
      </c>
      <c r="O15" s="49">
        <v>2</v>
      </c>
      <c r="P15" s="47" t="s">
        <v>1016</v>
      </c>
      <c r="Q15" s="47" t="s">
        <v>1017</v>
      </c>
      <c r="R15" s="47" t="s">
        <v>376</v>
      </c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50">
        <f>IF(L15="W",1,0)</f>
        <v>0</v>
      </c>
      <c r="AF15" s="50">
        <f>IF(L15="T",1,0)</f>
        <v>0</v>
      </c>
      <c r="AG15" s="50">
        <f>IF(L15="L",1,0)</f>
        <v>1</v>
      </c>
      <c r="AH15" s="46" t="s">
        <v>1017</v>
      </c>
      <c r="AI15" s="46" t="s">
        <v>1018</v>
      </c>
      <c r="AJ15" s="46" t="s">
        <v>376</v>
      </c>
      <c r="AK15" s="46" t="s">
        <v>658</v>
      </c>
      <c r="AL15" s="46" t="s">
        <v>1017</v>
      </c>
      <c r="AM15" s="46" t="s">
        <v>1018</v>
      </c>
      <c r="AN15" s="46" t="s">
        <v>376</v>
      </c>
      <c r="AO15" s="46" t="s">
        <v>658</v>
      </c>
      <c r="AP15" s="46"/>
      <c r="AQ15" s="46">
        <v>2</v>
      </c>
      <c r="AR15" s="46"/>
      <c r="AS15" s="46"/>
      <c r="AT15" s="46"/>
      <c r="AU15" s="46" t="s">
        <v>376</v>
      </c>
      <c r="AV15" s="46"/>
      <c r="AW15" s="46" t="s">
        <v>30</v>
      </c>
      <c r="AX15" s="46"/>
      <c r="AY15" s="46" t="s">
        <v>30</v>
      </c>
      <c r="AZ15" s="46"/>
      <c r="BA15" s="47"/>
      <c r="BB15" s="51"/>
      <c r="BC15" s="46"/>
      <c r="BD15" s="46"/>
      <c r="BE15" s="46"/>
      <c r="BF15" s="46">
        <v>1</v>
      </c>
      <c r="BG15" s="46"/>
      <c r="BH15" s="46"/>
      <c r="BI15" s="46" t="s">
        <v>1042</v>
      </c>
      <c r="BJ15" s="46" t="s">
        <v>1013</v>
      </c>
      <c r="BK15" s="46">
        <v>1874</v>
      </c>
      <c r="BL15" s="46" t="str">
        <f>BK15&amp;BI15</f>
        <v>1874Swifts</v>
      </c>
      <c r="BM15" s="52" t="str">
        <f>IF(AD15="Home",BI15,IF(AD15="Away",BJ15,Q15))</f>
        <v>London</v>
      </c>
      <c r="BN15" s="46"/>
      <c r="BO15" s="46"/>
      <c r="BP15" s="46"/>
      <c r="BQ15" s="46"/>
      <c r="BR15" s="46"/>
      <c r="BS15" s="46"/>
      <c r="BT15" s="46"/>
      <c r="BU15" s="46"/>
      <c r="BV15" s="46" t="s">
        <v>376</v>
      </c>
      <c r="BW15" s="46" t="s">
        <v>376</v>
      </c>
      <c r="BX15" s="46"/>
      <c r="BZ15" s="53"/>
      <c r="CA15" s="53"/>
      <c r="CB15" s="93" t="str">
        <f>IF(OR(C15="",A15="",B15=""),"",TEXT(C15,"0000")&amp;TEXT(A15,"00")&amp;TEXT(B15,"00"))</f>
        <v>18740128</v>
      </c>
    </row>
    <row r="16" spans="1:80" s="52" customFormat="1" ht="12.95" customHeight="1" x14ac:dyDescent="0.2">
      <c r="A16" s="46">
        <v>2</v>
      </c>
      <c r="B16" s="46">
        <v>28</v>
      </c>
      <c r="C16" s="46">
        <v>1874</v>
      </c>
      <c r="D16" s="46" t="s">
        <v>658</v>
      </c>
      <c r="E16" s="46" t="s">
        <v>1040</v>
      </c>
      <c r="F16" s="47" t="s">
        <v>1010</v>
      </c>
      <c r="G16" s="46"/>
      <c r="H16" s="47" t="s">
        <v>1011</v>
      </c>
      <c r="I16" s="47"/>
      <c r="J16" s="48" t="s">
        <v>1043</v>
      </c>
      <c r="K16" s="46" t="s">
        <v>1029</v>
      </c>
      <c r="L16" s="46" t="s">
        <v>3</v>
      </c>
      <c r="M16" s="46" t="s">
        <v>1044</v>
      </c>
      <c r="N16" s="49">
        <v>1</v>
      </c>
      <c r="O16" s="49">
        <v>0</v>
      </c>
      <c r="P16" s="47" t="s">
        <v>1016</v>
      </c>
      <c r="Q16" s="47" t="s">
        <v>1017</v>
      </c>
      <c r="R16" s="47" t="s">
        <v>376</v>
      </c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50">
        <f>IF(L16="W",1,0)</f>
        <v>1</v>
      </c>
      <c r="AF16" s="50">
        <f>IF(L16="T",1,0)</f>
        <v>0</v>
      </c>
      <c r="AG16" s="50">
        <f>IF(L16="L",1,0)</f>
        <v>0</v>
      </c>
      <c r="AH16" s="46" t="s">
        <v>1032</v>
      </c>
      <c r="AI16" s="46" t="s">
        <v>1034</v>
      </c>
      <c r="AJ16" s="46" t="s">
        <v>376</v>
      </c>
      <c r="AK16" s="46" t="s">
        <v>658</v>
      </c>
      <c r="AL16" s="46" t="s">
        <v>1017</v>
      </c>
      <c r="AM16" s="46" t="s">
        <v>1018</v>
      </c>
      <c r="AN16" s="46" t="s">
        <v>376</v>
      </c>
      <c r="AO16" s="46" t="s">
        <v>658</v>
      </c>
      <c r="AP16" s="46"/>
      <c r="AQ16" s="46">
        <v>2</v>
      </c>
      <c r="AR16" s="46"/>
      <c r="AS16" s="46"/>
      <c r="AT16" s="46"/>
      <c r="AU16" s="46" t="s">
        <v>376</v>
      </c>
      <c r="AV16" s="46"/>
      <c r="AW16" s="46" t="s">
        <v>30</v>
      </c>
      <c r="AX16" s="46"/>
      <c r="AY16" s="46" t="s">
        <v>30</v>
      </c>
      <c r="AZ16" s="46"/>
      <c r="BA16" s="47"/>
      <c r="BB16" s="51"/>
      <c r="BC16" s="46"/>
      <c r="BD16" s="46"/>
      <c r="BE16" s="46"/>
      <c r="BF16" s="46">
        <v>1</v>
      </c>
      <c r="BG16" s="46"/>
      <c r="BH16" s="46"/>
      <c r="BI16" s="46" t="s">
        <v>1029</v>
      </c>
      <c r="BJ16" s="46" t="s">
        <v>1044</v>
      </c>
      <c r="BK16" s="46">
        <v>1874</v>
      </c>
      <c r="BL16" s="46" t="str">
        <f>BK16&amp;BI16</f>
        <v>1874Oxford University</v>
      </c>
      <c r="BM16" s="52" t="str">
        <f>IF(AD16="Home",BI16,IF(AD16="Away",BJ16,Q16))</f>
        <v>London</v>
      </c>
      <c r="BN16" s="46"/>
      <c r="BO16" s="46"/>
      <c r="BP16" s="46"/>
      <c r="BQ16" s="46"/>
      <c r="BR16" s="46"/>
      <c r="BS16" s="46"/>
      <c r="BT16" s="46"/>
      <c r="BU16" s="46"/>
      <c r="BV16" s="46" t="s">
        <v>376</v>
      </c>
      <c r="BW16" s="46" t="s">
        <v>376</v>
      </c>
      <c r="BX16" s="46"/>
      <c r="BZ16" s="53"/>
      <c r="CA16" s="53"/>
      <c r="CB16" s="93" t="str">
        <f>IF(OR(C16="",A16="",B16=""),"",TEXT(C16,"0000")&amp;TEXT(A16,"00")&amp;TEXT(B16,"00"))</f>
        <v>18740228</v>
      </c>
    </row>
    <row r="17" spans="1:80" s="52" customFormat="1" ht="12.95" customHeight="1" x14ac:dyDescent="0.2">
      <c r="A17" s="46">
        <v>2</v>
      </c>
      <c r="B17" s="46">
        <v>28</v>
      </c>
      <c r="C17" s="46">
        <v>1874</v>
      </c>
      <c r="D17" s="46" t="s">
        <v>658</v>
      </c>
      <c r="E17" s="46" t="s">
        <v>1040</v>
      </c>
      <c r="F17" s="47" t="s">
        <v>1010</v>
      </c>
      <c r="G17" s="46"/>
      <c r="H17" s="47" t="s">
        <v>1011</v>
      </c>
      <c r="I17" s="47"/>
      <c r="J17" s="48" t="s">
        <v>1043</v>
      </c>
      <c r="K17" s="46" t="s">
        <v>1044</v>
      </c>
      <c r="L17" s="46" t="s">
        <v>4</v>
      </c>
      <c r="M17" s="46" t="s">
        <v>1029</v>
      </c>
      <c r="N17" s="49">
        <v>0</v>
      </c>
      <c r="O17" s="49">
        <v>1</v>
      </c>
      <c r="P17" s="47" t="s">
        <v>1016</v>
      </c>
      <c r="Q17" s="47" t="s">
        <v>1017</v>
      </c>
      <c r="R17" s="47" t="s">
        <v>376</v>
      </c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50">
        <f>IF(L17="W",1,0)</f>
        <v>0</v>
      </c>
      <c r="AF17" s="50">
        <f>IF(L17="T",1,0)</f>
        <v>0</v>
      </c>
      <c r="AG17" s="50">
        <f>IF(L17="L",1,0)</f>
        <v>1</v>
      </c>
      <c r="AH17" s="46" t="s">
        <v>1017</v>
      </c>
      <c r="AI17" s="46" t="s">
        <v>1018</v>
      </c>
      <c r="AJ17" s="46" t="s">
        <v>376</v>
      </c>
      <c r="AK17" s="46" t="s">
        <v>658</v>
      </c>
      <c r="AL17" s="46" t="s">
        <v>1032</v>
      </c>
      <c r="AM17" s="46" t="s">
        <v>1034</v>
      </c>
      <c r="AN17" s="46" t="s">
        <v>376</v>
      </c>
      <c r="AO17" s="46" t="s">
        <v>658</v>
      </c>
      <c r="AP17" s="46"/>
      <c r="AQ17" s="46">
        <v>2</v>
      </c>
      <c r="AR17" s="46"/>
      <c r="AS17" s="46"/>
      <c r="AT17" s="46"/>
      <c r="AU17" s="46" t="s">
        <v>376</v>
      </c>
      <c r="AV17" s="46"/>
      <c r="AW17" s="46" t="s">
        <v>30</v>
      </c>
      <c r="AX17" s="46"/>
      <c r="AY17" s="46" t="s">
        <v>30</v>
      </c>
      <c r="AZ17" s="46"/>
      <c r="BA17" s="47"/>
      <c r="BB17" s="51"/>
      <c r="BC17" s="46"/>
      <c r="BD17" s="46"/>
      <c r="BE17" s="46"/>
      <c r="BF17" s="46">
        <v>1</v>
      </c>
      <c r="BG17" s="46"/>
      <c r="BH17" s="46"/>
      <c r="BI17" s="46" t="s">
        <v>1044</v>
      </c>
      <c r="BJ17" s="46" t="s">
        <v>1029</v>
      </c>
      <c r="BK17" s="46">
        <v>1874</v>
      </c>
      <c r="BL17" s="46" t="str">
        <f>BK17&amp;BI17</f>
        <v>1874Clapham Rovers</v>
      </c>
      <c r="BM17" s="52" t="str">
        <f>IF(AD17="Home",BI17,IF(AD17="Away",BJ17,Q17))</f>
        <v>London</v>
      </c>
      <c r="BN17" s="46"/>
      <c r="BO17" s="46"/>
      <c r="BP17" s="46"/>
      <c r="BQ17" s="46"/>
      <c r="BR17" s="46"/>
      <c r="BS17" s="46"/>
      <c r="BT17" s="46"/>
      <c r="BU17" s="46"/>
      <c r="BV17" s="46" t="s">
        <v>376</v>
      </c>
      <c r="BW17" s="46" t="s">
        <v>376</v>
      </c>
      <c r="BX17" s="46"/>
      <c r="BZ17" s="53"/>
      <c r="CA17" s="53"/>
      <c r="CB17" s="93" t="str">
        <f>IF(OR(C17="",A17="",B17=""),"",TEXT(C17,"0000")&amp;TEXT(A17,"00")&amp;TEXT(B17,"00"))</f>
        <v>18740228</v>
      </c>
    </row>
    <row r="18" spans="1:80" s="52" customFormat="1" ht="12.95" customHeight="1" x14ac:dyDescent="0.2">
      <c r="A18" s="46">
        <v>3</v>
      </c>
      <c r="B18" s="46">
        <v>14</v>
      </c>
      <c r="C18" s="46">
        <v>1874</v>
      </c>
      <c r="D18" s="46" t="s">
        <v>658</v>
      </c>
      <c r="E18" s="46" t="s">
        <v>1040</v>
      </c>
      <c r="F18" s="47" t="s">
        <v>1010</v>
      </c>
      <c r="G18" s="46"/>
      <c r="H18" s="47" t="s">
        <v>1025</v>
      </c>
      <c r="I18" s="47"/>
      <c r="J18" s="48" t="s">
        <v>1045</v>
      </c>
      <c r="K18" s="46" t="s">
        <v>1029</v>
      </c>
      <c r="L18" s="46" t="s">
        <v>3</v>
      </c>
      <c r="M18" s="46" t="s">
        <v>1013</v>
      </c>
      <c r="N18" s="49">
        <v>2</v>
      </c>
      <c r="O18" s="49">
        <v>0</v>
      </c>
      <c r="P18" s="47" t="s">
        <v>1016</v>
      </c>
      <c r="Q18" s="47" t="s">
        <v>1017</v>
      </c>
      <c r="R18" s="47" t="s">
        <v>376</v>
      </c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50">
        <f>IF(L18="W",1,0)</f>
        <v>1</v>
      </c>
      <c r="AF18" s="50">
        <f>IF(L18="T",1,0)</f>
        <v>0</v>
      </c>
      <c r="AG18" s="50">
        <f>IF(L18="L",1,0)</f>
        <v>0</v>
      </c>
      <c r="AH18" s="46" t="s">
        <v>1032</v>
      </c>
      <c r="AI18" s="46" t="s">
        <v>1034</v>
      </c>
      <c r="AJ18" s="46" t="s">
        <v>376</v>
      </c>
      <c r="AK18" s="46" t="s">
        <v>658</v>
      </c>
      <c r="AL18" s="46" t="s">
        <v>1017</v>
      </c>
      <c r="AM18" s="46" t="s">
        <v>1018</v>
      </c>
      <c r="AN18" s="46" t="s">
        <v>376</v>
      </c>
      <c r="AO18" s="46" t="s">
        <v>658</v>
      </c>
      <c r="AP18" s="46"/>
      <c r="AQ18" s="46">
        <v>1</v>
      </c>
      <c r="AR18" s="46"/>
      <c r="AS18" s="46"/>
      <c r="AT18" s="46"/>
      <c r="AU18" s="46" t="s">
        <v>376</v>
      </c>
      <c r="AV18" s="46"/>
      <c r="AW18" s="46" t="s">
        <v>30</v>
      </c>
      <c r="AX18" s="46"/>
      <c r="AY18" s="46" t="s">
        <v>30</v>
      </c>
      <c r="AZ18" s="46"/>
      <c r="BA18" s="47"/>
      <c r="BB18" s="51" t="s">
        <v>30</v>
      </c>
      <c r="BC18" s="46" t="s">
        <v>30</v>
      </c>
      <c r="BD18" s="46"/>
      <c r="BE18" s="46"/>
      <c r="BF18" s="46">
        <v>1</v>
      </c>
      <c r="BG18" s="46"/>
      <c r="BH18" s="46"/>
      <c r="BI18" s="46" t="s">
        <v>1029</v>
      </c>
      <c r="BJ18" s="46" t="s">
        <v>1013</v>
      </c>
      <c r="BK18" s="46">
        <v>1874</v>
      </c>
      <c r="BL18" s="46" t="str">
        <f>BK18&amp;BI18</f>
        <v>1874Oxford University</v>
      </c>
      <c r="BM18" s="52" t="str">
        <f>IF(AD18="Home",BI18,IF(AD18="Away",BJ18,Q18))</f>
        <v>London</v>
      </c>
      <c r="BN18" s="46"/>
      <c r="BO18" s="46"/>
      <c r="BP18" s="46"/>
      <c r="BQ18" s="46"/>
      <c r="BR18" s="46"/>
      <c r="BS18" s="46"/>
      <c r="BT18" s="46"/>
      <c r="BU18" s="46"/>
      <c r="BV18" s="46" t="s">
        <v>376</v>
      </c>
      <c r="BW18" s="46" t="s">
        <v>376</v>
      </c>
      <c r="BX18" s="46"/>
      <c r="BZ18" s="53"/>
      <c r="CA18" s="53"/>
      <c r="CB18" s="93" t="str">
        <f>IF(OR(C18="",A18="",B18=""),"",TEXT(C18,"0000")&amp;TEXT(A18,"00")&amp;TEXT(B18,"00"))</f>
        <v>18740314</v>
      </c>
    </row>
    <row r="19" spans="1:80" s="52" customFormat="1" ht="12.95" customHeight="1" x14ac:dyDescent="0.2">
      <c r="A19" s="46">
        <v>3</v>
      </c>
      <c r="B19" s="46">
        <v>14</v>
      </c>
      <c r="C19" s="46">
        <v>1874</v>
      </c>
      <c r="D19" s="46" t="s">
        <v>658</v>
      </c>
      <c r="E19" s="46" t="s">
        <v>1040</v>
      </c>
      <c r="F19" s="47" t="s">
        <v>1010</v>
      </c>
      <c r="G19" s="46"/>
      <c r="H19" s="47" t="s">
        <v>1025</v>
      </c>
      <c r="I19" s="47"/>
      <c r="J19" s="48" t="s">
        <v>1045</v>
      </c>
      <c r="K19" s="46" t="s">
        <v>1013</v>
      </c>
      <c r="L19" s="46" t="s">
        <v>4</v>
      </c>
      <c r="M19" s="46" t="s">
        <v>1029</v>
      </c>
      <c r="N19" s="49">
        <v>0</v>
      </c>
      <c r="O19" s="49">
        <v>2</v>
      </c>
      <c r="P19" s="47" t="s">
        <v>1016</v>
      </c>
      <c r="Q19" s="47" t="s">
        <v>1017</v>
      </c>
      <c r="R19" s="47" t="s">
        <v>376</v>
      </c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50">
        <f>IF(L19="W",1,0)</f>
        <v>0</v>
      </c>
      <c r="AF19" s="50">
        <f>IF(L19="T",1,0)</f>
        <v>0</v>
      </c>
      <c r="AG19" s="50">
        <f>IF(L19="L",1,0)</f>
        <v>1</v>
      </c>
      <c r="AH19" s="46" t="s">
        <v>1017</v>
      </c>
      <c r="AI19" s="46" t="s">
        <v>1018</v>
      </c>
      <c r="AJ19" s="46" t="s">
        <v>376</v>
      </c>
      <c r="AK19" s="46" t="s">
        <v>658</v>
      </c>
      <c r="AL19" s="46" t="s">
        <v>1032</v>
      </c>
      <c r="AM19" s="46" t="s">
        <v>1034</v>
      </c>
      <c r="AN19" s="46" t="s">
        <v>376</v>
      </c>
      <c r="AO19" s="46" t="s">
        <v>658</v>
      </c>
      <c r="AP19" s="46"/>
      <c r="AQ19" s="46">
        <v>1</v>
      </c>
      <c r="AR19" s="46"/>
      <c r="AS19" s="46"/>
      <c r="AT19" s="46"/>
      <c r="AU19" s="46" t="s">
        <v>376</v>
      </c>
      <c r="AV19" s="46"/>
      <c r="AW19" s="46" t="s">
        <v>30</v>
      </c>
      <c r="AX19" s="46"/>
      <c r="AY19" s="46" t="s">
        <v>30</v>
      </c>
      <c r="AZ19" s="46"/>
      <c r="BA19" s="47"/>
      <c r="BB19" s="51"/>
      <c r="BC19" s="46" t="s">
        <v>30</v>
      </c>
      <c r="BD19" s="46"/>
      <c r="BE19" s="46"/>
      <c r="BF19" s="46">
        <v>1</v>
      </c>
      <c r="BG19" s="46"/>
      <c r="BH19" s="46"/>
      <c r="BI19" s="46" t="s">
        <v>1013</v>
      </c>
      <c r="BJ19" s="46" t="s">
        <v>1029</v>
      </c>
      <c r="BK19" s="46">
        <v>1874</v>
      </c>
      <c r="BL19" s="46" t="str">
        <f>BK19&amp;BI19</f>
        <v>1874Royal Engineers</v>
      </c>
      <c r="BM19" s="52" t="str">
        <f>IF(AD19="Home",BI19,IF(AD19="Away",BJ19,Q19))</f>
        <v>London</v>
      </c>
      <c r="BN19" s="46"/>
      <c r="BO19" s="46"/>
      <c r="BP19" s="46"/>
      <c r="BQ19" s="46"/>
      <c r="BR19" s="46"/>
      <c r="BS19" s="46"/>
      <c r="BT19" s="46"/>
      <c r="BU19" s="46"/>
      <c r="BV19" s="46" t="s">
        <v>376</v>
      </c>
      <c r="BW19" s="46" t="s">
        <v>376</v>
      </c>
      <c r="BX19" s="46"/>
      <c r="BZ19" s="53"/>
      <c r="CA19" s="53"/>
      <c r="CB19" s="93" t="str">
        <f>IF(OR(C19="",A19="",B19=""),"",TEXT(C19,"0000")&amp;TEXT(A19,"00")&amp;TEXT(B19,"00"))</f>
        <v>18740314</v>
      </c>
    </row>
    <row r="20" spans="1:80" s="52" customFormat="1" ht="12.95" customHeight="1" x14ac:dyDescent="0.2">
      <c r="A20" s="46">
        <v>2</v>
      </c>
      <c r="B20" s="46">
        <v>27</v>
      </c>
      <c r="C20" s="46">
        <v>1875</v>
      </c>
      <c r="D20" s="46" t="s">
        <v>658</v>
      </c>
      <c r="E20" s="46" t="s">
        <v>1046</v>
      </c>
      <c r="F20" s="47" t="s">
        <v>1010</v>
      </c>
      <c r="G20" s="46"/>
      <c r="H20" s="47" t="s">
        <v>1011</v>
      </c>
      <c r="I20" s="47"/>
      <c r="J20" s="48" t="s">
        <v>1047</v>
      </c>
      <c r="K20" s="46" t="s">
        <v>1048</v>
      </c>
      <c r="L20" s="46" t="s">
        <v>3</v>
      </c>
      <c r="M20" s="46" t="s">
        <v>1049</v>
      </c>
      <c r="N20" s="49">
        <v>1</v>
      </c>
      <c r="O20" s="49">
        <v>0</v>
      </c>
      <c r="P20" s="47" t="s">
        <v>1016</v>
      </c>
      <c r="Q20" s="47" t="s">
        <v>1017</v>
      </c>
      <c r="R20" s="47" t="s">
        <v>376</v>
      </c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50">
        <f>IF(L20="W",1,0)</f>
        <v>1</v>
      </c>
      <c r="AF20" s="50">
        <f>IF(L20="T",1,0)</f>
        <v>0</v>
      </c>
      <c r="AG20" s="50">
        <f>IF(L20="L",1,0)</f>
        <v>0</v>
      </c>
      <c r="AH20" s="46" t="s">
        <v>1050</v>
      </c>
      <c r="AI20" s="46" t="s">
        <v>1036</v>
      </c>
      <c r="AJ20" s="46" t="s">
        <v>376</v>
      </c>
      <c r="AK20" s="46" t="s">
        <v>658</v>
      </c>
      <c r="AL20" s="46"/>
      <c r="AM20" s="46" t="s">
        <v>1051</v>
      </c>
      <c r="AN20" s="46" t="s">
        <v>376</v>
      </c>
      <c r="AO20" s="46" t="s">
        <v>658</v>
      </c>
      <c r="AP20" s="46"/>
      <c r="AQ20" s="46">
        <v>2</v>
      </c>
      <c r="AR20" s="46"/>
      <c r="AS20" s="46"/>
      <c r="AT20" s="46"/>
      <c r="AU20" s="46" t="s">
        <v>376</v>
      </c>
      <c r="AV20" s="46"/>
      <c r="AW20" s="46" t="s">
        <v>30</v>
      </c>
      <c r="AX20" s="46"/>
      <c r="AY20" s="46" t="s">
        <v>30</v>
      </c>
      <c r="AZ20" s="46"/>
      <c r="BA20" s="47"/>
      <c r="BB20" s="51"/>
      <c r="BC20" s="46"/>
      <c r="BD20" s="46"/>
      <c r="BE20" s="46"/>
      <c r="BF20" s="46">
        <v>1</v>
      </c>
      <c r="BG20" s="46"/>
      <c r="BH20" s="46"/>
      <c r="BI20" s="46" t="s">
        <v>1048</v>
      </c>
      <c r="BJ20" s="46" t="s">
        <v>1049</v>
      </c>
      <c r="BK20" s="46">
        <v>1875</v>
      </c>
      <c r="BL20" s="46" t="str">
        <f>BK20&amp;BI20</f>
        <v>1875Old Etonians</v>
      </c>
      <c r="BM20" s="52" t="str">
        <f>IF(AD20="Home",BI20,IF(AD20="Away",BJ20,Q20))</f>
        <v>London</v>
      </c>
      <c r="BN20" s="46"/>
      <c r="BO20" s="46"/>
      <c r="BP20" s="46"/>
      <c r="BQ20" s="46"/>
      <c r="BR20" s="46"/>
      <c r="BS20" s="46"/>
      <c r="BT20" s="46"/>
      <c r="BU20" s="46"/>
      <c r="BV20" s="46" t="s">
        <v>376</v>
      </c>
      <c r="BW20" s="46" t="s">
        <v>376</v>
      </c>
      <c r="BX20" s="46"/>
      <c r="BZ20" s="53"/>
      <c r="CA20" s="53"/>
      <c r="CB20" s="93" t="str">
        <f>IF(OR(C20="",A20="",B20=""),"",TEXT(C20,"0000")&amp;TEXT(A20,"00")&amp;TEXT(B20,"00"))</f>
        <v>18750227</v>
      </c>
    </row>
    <row r="21" spans="1:80" s="52" customFormat="1" ht="12.95" customHeight="1" x14ac:dyDescent="0.2">
      <c r="A21" s="46">
        <v>2</v>
      </c>
      <c r="B21" s="46">
        <v>27</v>
      </c>
      <c r="C21" s="46">
        <v>1875</v>
      </c>
      <c r="D21" s="46" t="s">
        <v>658</v>
      </c>
      <c r="E21" s="46" t="s">
        <v>1046</v>
      </c>
      <c r="F21" s="47" t="s">
        <v>1010</v>
      </c>
      <c r="G21" s="46"/>
      <c r="H21" s="47" t="s">
        <v>1011</v>
      </c>
      <c r="I21" s="47"/>
      <c r="J21" s="48" t="s">
        <v>1047</v>
      </c>
      <c r="K21" s="46" t="s">
        <v>1013</v>
      </c>
      <c r="L21" s="46" t="s">
        <v>1014</v>
      </c>
      <c r="M21" s="46" t="s">
        <v>1029</v>
      </c>
      <c r="N21" s="49">
        <v>1</v>
      </c>
      <c r="O21" s="49">
        <v>1</v>
      </c>
      <c r="P21" s="47" t="s">
        <v>1016</v>
      </c>
      <c r="Q21" s="47" t="s">
        <v>1017</v>
      </c>
      <c r="R21" s="47" t="s">
        <v>376</v>
      </c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50">
        <f>IF(L21="W",1,0)</f>
        <v>0</v>
      </c>
      <c r="AF21" s="50">
        <f>IF(L21="T",1,0)</f>
        <v>1</v>
      </c>
      <c r="AG21" s="50">
        <f>IF(L21="L",1,0)</f>
        <v>0</v>
      </c>
      <c r="AH21" s="46" t="s">
        <v>1017</v>
      </c>
      <c r="AI21" s="46" t="s">
        <v>1018</v>
      </c>
      <c r="AJ21" s="46" t="s">
        <v>376</v>
      </c>
      <c r="AK21" s="46" t="s">
        <v>658</v>
      </c>
      <c r="AL21" s="46" t="s">
        <v>1032</v>
      </c>
      <c r="AM21" s="46" t="s">
        <v>1034</v>
      </c>
      <c r="AN21" s="46" t="s">
        <v>376</v>
      </c>
      <c r="AO21" s="46" t="s">
        <v>658</v>
      </c>
      <c r="AP21" s="46"/>
      <c r="AQ21" s="46">
        <v>2</v>
      </c>
      <c r="AR21" s="46"/>
      <c r="AS21" s="46"/>
      <c r="AT21" s="46"/>
      <c r="AU21" s="46" t="s">
        <v>376</v>
      </c>
      <c r="AV21" s="46"/>
      <c r="AW21" s="46" t="s">
        <v>30</v>
      </c>
      <c r="AX21" s="46"/>
      <c r="AY21" s="46" t="s">
        <v>30</v>
      </c>
      <c r="AZ21" s="46"/>
      <c r="BA21" s="47"/>
      <c r="BB21" s="51"/>
      <c r="BC21" s="46"/>
      <c r="BD21" s="46"/>
      <c r="BE21" s="46"/>
      <c r="BF21" s="46">
        <v>1</v>
      </c>
      <c r="BG21" s="46"/>
      <c r="BH21" s="46"/>
      <c r="BI21" s="46" t="s">
        <v>1013</v>
      </c>
      <c r="BJ21" s="46" t="s">
        <v>1029</v>
      </c>
      <c r="BK21" s="46">
        <v>1875</v>
      </c>
      <c r="BL21" s="46" t="str">
        <f>BK21&amp;BI21</f>
        <v>1875Royal Engineers</v>
      </c>
      <c r="BM21" s="52" t="str">
        <f>IF(AD21="Home",BI21,IF(AD21="Away",BJ21,Q21))</f>
        <v>London</v>
      </c>
      <c r="BN21" s="46"/>
      <c r="BO21" s="46"/>
      <c r="BP21" s="46"/>
      <c r="BQ21" s="46"/>
      <c r="BR21" s="46"/>
      <c r="BS21" s="46"/>
      <c r="BT21" s="46"/>
      <c r="BU21" s="46"/>
      <c r="BV21" s="46" t="s">
        <v>376</v>
      </c>
      <c r="BW21" s="46" t="s">
        <v>376</v>
      </c>
      <c r="BX21" s="46"/>
      <c r="BZ21" s="53"/>
      <c r="CA21" s="53"/>
      <c r="CB21" s="93" t="str">
        <f>IF(OR(C21="",A21="",B21=""),"",TEXT(C21,"0000")&amp;TEXT(A21,"00")&amp;TEXT(B21,"00"))</f>
        <v>18750227</v>
      </c>
    </row>
    <row r="22" spans="1:80" s="52" customFormat="1" ht="12.95" customHeight="1" x14ac:dyDescent="0.2">
      <c r="A22" s="46">
        <v>2</v>
      </c>
      <c r="B22" s="46">
        <v>27</v>
      </c>
      <c r="C22" s="46">
        <v>1875</v>
      </c>
      <c r="D22" s="46" t="s">
        <v>658</v>
      </c>
      <c r="E22" s="46" t="s">
        <v>1046</v>
      </c>
      <c r="F22" s="47" t="s">
        <v>1010</v>
      </c>
      <c r="G22" s="46"/>
      <c r="H22" s="47" t="s">
        <v>1011</v>
      </c>
      <c r="I22" s="47"/>
      <c r="J22" s="48" t="s">
        <v>1047</v>
      </c>
      <c r="K22" s="46" t="s">
        <v>1029</v>
      </c>
      <c r="L22" s="46" t="s">
        <v>1014</v>
      </c>
      <c r="M22" s="46" t="s">
        <v>1013</v>
      </c>
      <c r="N22" s="49">
        <v>1</v>
      </c>
      <c r="O22" s="49">
        <v>1</v>
      </c>
      <c r="P22" s="47" t="s">
        <v>1016</v>
      </c>
      <c r="Q22" s="47" t="s">
        <v>1017</v>
      </c>
      <c r="R22" s="47" t="s">
        <v>376</v>
      </c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50">
        <f>IF(L22="W",1,0)</f>
        <v>0</v>
      </c>
      <c r="AF22" s="50">
        <f>IF(L22="T",1,0)</f>
        <v>1</v>
      </c>
      <c r="AG22" s="50">
        <f>IF(L22="L",1,0)</f>
        <v>0</v>
      </c>
      <c r="AH22" s="46" t="s">
        <v>1032</v>
      </c>
      <c r="AI22" s="46" t="s">
        <v>1034</v>
      </c>
      <c r="AJ22" s="46" t="s">
        <v>376</v>
      </c>
      <c r="AK22" s="46" t="s">
        <v>658</v>
      </c>
      <c r="AL22" s="46" t="s">
        <v>1017</v>
      </c>
      <c r="AM22" s="46" t="s">
        <v>1018</v>
      </c>
      <c r="AN22" s="46" t="s">
        <v>376</v>
      </c>
      <c r="AO22" s="46" t="s">
        <v>658</v>
      </c>
      <c r="AP22" s="46"/>
      <c r="AQ22" s="46">
        <v>2</v>
      </c>
      <c r="AR22" s="46"/>
      <c r="AS22" s="46"/>
      <c r="AT22" s="46"/>
      <c r="AU22" s="46" t="s">
        <v>376</v>
      </c>
      <c r="AV22" s="46"/>
      <c r="AW22" s="46" t="s">
        <v>30</v>
      </c>
      <c r="AX22" s="46"/>
      <c r="AY22" s="46" t="s">
        <v>30</v>
      </c>
      <c r="AZ22" s="46"/>
      <c r="BA22" s="47"/>
      <c r="BB22" s="51"/>
      <c r="BC22" s="46"/>
      <c r="BD22" s="46"/>
      <c r="BE22" s="46"/>
      <c r="BF22" s="46">
        <v>1</v>
      </c>
      <c r="BG22" s="46"/>
      <c r="BH22" s="46"/>
      <c r="BI22" s="46" t="s">
        <v>1029</v>
      </c>
      <c r="BJ22" s="46" t="s">
        <v>1013</v>
      </c>
      <c r="BK22" s="46">
        <v>1875</v>
      </c>
      <c r="BL22" s="46" t="str">
        <f>BK22&amp;BI22</f>
        <v>1875Oxford University</v>
      </c>
      <c r="BM22" s="52" t="str">
        <f>IF(AD22="Home",BI22,IF(AD22="Away",BJ22,Q22))</f>
        <v>London</v>
      </c>
      <c r="BN22" s="46"/>
      <c r="BO22" s="46"/>
      <c r="BP22" s="46"/>
      <c r="BQ22" s="46"/>
      <c r="BR22" s="46"/>
      <c r="BS22" s="46"/>
      <c r="BT22" s="46"/>
      <c r="BU22" s="46"/>
      <c r="BV22" s="46" t="s">
        <v>376</v>
      </c>
      <c r="BW22" s="46" t="s">
        <v>376</v>
      </c>
      <c r="BX22" s="46"/>
      <c r="BZ22" s="53"/>
      <c r="CA22" s="53"/>
      <c r="CB22" s="93" t="str">
        <f>IF(OR(C22="",A22="",B22=""),"",TEXT(C22,"0000")&amp;TEXT(A22,"00")&amp;TEXT(B22,"00"))</f>
        <v>18750227</v>
      </c>
    </row>
    <row r="23" spans="1:80" s="52" customFormat="1" ht="12.95" customHeight="1" x14ac:dyDescent="0.2">
      <c r="A23" s="46">
        <v>2</v>
      </c>
      <c r="B23" s="46">
        <v>27</v>
      </c>
      <c r="C23" s="46">
        <v>1875</v>
      </c>
      <c r="D23" s="46" t="s">
        <v>658</v>
      </c>
      <c r="E23" s="46" t="s">
        <v>1046</v>
      </c>
      <c r="F23" s="47" t="s">
        <v>1010</v>
      </c>
      <c r="G23" s="46"/>
      <c r="H23" s="47" t="s">
        <v>1011</v>
      </c>
      <c r="I23" s="47"/>
      <c r="J23" s="48" t="s">
        <v>1047</v>
      </c>
      <c r="K23" s="46" t="s">
        <v>1049</v>
      </c>
      <c r="L23" s="46" t="s">
        <v>4</v>
      </c>
      <c r="M23" s="46" t="s">
        <v>1048</v>
      </c>
      <c r="N23" s="49">
        <v>0</v>
      </c>
      <c r="O23" s="49">
        <v>1</v>
      </c>
      <c r="P23" s="47" t="s">
        <v>1016</v>
      </c>
      <c r="Q23" s="47" t="s">
        <v>1017</v>
      </c>
      <c r="R23" s="47" t="s">
        <v>376</v>
      </c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50">
        <f>IF(L23="W",1,0)</f>
        <v>0</v>
      </c>
      <c r="AF23" s="50">
        <f>IF(L23="T",1,0)</f>
        <v>0</v>
      </c>
      <c r="AG23" s="50">
        <f>IF(L23="L",1,0)</f>
        <v>1</v>
      </c>
      <c r="AH23" s="46"/>
      <c r="AI23" s="46" t="s">
        <v>1051</v>
      </c>
      <c r="AJ23" s="46" t="s">
        <v>376</v>
      </c>
      <c r="AK23" s="46" t="s">
        <v>658</v>
      </c>
      <c r="AL23" s="46" t="s">
        <v>1050</v>
      </c>
      <c r="AM23" s="46" t="s">
        <v>1036</v>
      </c>
      <c r="AN23" s="46" t="s">
        <v>376</v>
      </c>
      <c r="AO23" s="46" t="s">
        <v>658</v>
      </c>
      <c r="AP23" s="46"/>
      <c r="AQ23" s="46">
        <v>2</v>
      </c>
      <c r="AR23" s="46"/>
      <c r="AS23" s="46"/>
      <c r="AT23" s="46"/>
      <c r="AU23" s="46" t="s">
        <v>376</v>
      </c>
      <c r="AV23" s="46"/>
      <c r="AW23" s="46" t="s">
        <v>30</v>
      </c>
      <c r="AX23" s="46"/>
      <c r="AY23" s="46" t="s">
        <v>30</v>
      </c>
      <c r="AZ23" s="46"/>
      <c r="BA23" s="47"/>
      <c r="BB23" s="51"/>
      <c r="BC23" s="46"/>
      <c r="BD23" s="46"/>
      <c r="BE23" s="46"/>
      <c r="BF23" s="46">
        <v>1</v>
      </c>
      <c r="BG23" s="46"/>
      <c r="BH23" s="46"/>
      <c r="BI23" s="46" t="s">
        <v>1049</v>
      </c>
      <c r="BJ23" s="46" t="s">
        <v>1048</v>
      </c>
      <c r="BK23" s="46">
        <v>1875</v>
      </c>
      <c r="BL23" s="46" t="str">
        <f>BK23&amp;BI23</f>
        <v>1875Shropshire Wanderers</v>
      </c>
      <c r="BM23" s="52" t="str">
        <f>IF(AD23="Home",BI23,IF(AD23="Away",BJ23,Q23))</f>
        <v>London</v>
      </c>
      <c r="BN23" s="46"/>
      <c r="BO23" s="46"/>
      <c r="BP23" s="46"/>
      <c r="BQ23" s="46"/>
      <c r="BR23" s="46"/>
      <c r="BS23" s="46"/>
      <c r="BT23" s="46"/>
      <c r="BU23" s="46"/>
      <c r="BV23" s="46" t="s">
        <v>376</v>
      </c>
      <c r="BW23" s="46" t="s">
        <v>376</v>
      </c>
      <c r="BX23" s="46"/>
      <c r="BZ23" s="53"/>
      <c r="CA23" s="53"/>
      <c r="CB23" s="93" t="str">
        <f>IF(OR(C23="",A23="",B23=""),"",TEXT(C23,"0000")&amp;TEXT(A23,"00")&amp;TEXT(B23,"00"))</f>
        <v>18750227</v>
      </c>
    </row>
    <row r="24" spans="1:80" s="52" customFormat="1" ht="12.95" customHeight="1" x14ac:dyDescent="0.2">
      <c r="A24" s="46">
        <v>3</v>
      </c>
      <c r="B24" s="46">
        <v>5</v>
      </c>
      <c r="C24" s="46">
        <v>1875</v>
      </c>
      <c r="D24" s="46" t="s">
        <v>658</v>
      </c>
      <c r="E24" s="46" t="s">
        <v>1046</v>
      </c>
      <c r="F24" s="47" t="s">
        <v>1010</v>
      </c>
      <c r="G24" s="46"/>
      <c r="H24" s="47" t="s">
        <v>1011</v>
      </c>
      <c r="I24" s="47" t="s">
        <v>1023</v>
      </c>
      <c r="J24" s="48" t="s">
        <v>1052</v>
      </c>
      <c r="K24" s="46" t="s">
        <v>1013</v>
      </c>
      <c r="L24" s="46" t="s">
        <v>3</v>
      </c>
      <c r="M24" s="46" t="s">
        <v>1029</v>
      </c>
      <c r="N24" s="49">
        <v>1</v>
      </c>
      <c r="O24" s="49">
        <v>0</v>
      </c>
      <c r="P24" s="47" t="s">
        <v>1016</v>
      </c>
      <c r="Q24" s="47" t="s">
        <v>1017</v>
      </c>
      <c r="R24" s="47" t="s">
        <v>376</v>
      </c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50">
        <f>IF(L24="W",1,0)</f>
        <v>1</v>
      </c>
      <c r="AF24" s="50">
        <f>IF(L24="T",1,0)</f>
        <v>0</v>
      </c>
      <c r="AG24" s="50">
        <f>IF(L24="L",1,0)</f>
        <v>0</v>
      </c>
      <c r="AH24" s="46" t="s">
        <v>1017</v>
      </c>
      <c r="AI24" s="46" t="s">
        <v>1018</v>
      </c>
      <c r="AJ24" s="46" t="s">
        <v>376</v>
      </c>
      <c r="AK24" s="46" t="s">
        <v>658</v>
      </c>
      <c r="AL24" s="46" t="s">
        <v>1032</v>
      </c>
      <c r="AM24" s="46" t="s">
        <v>1034</v>
      </c>
      <c r="AN24" s="46" t="s">
        <v>376</v>
      </c>
      <c r="AO24" s="46" t="s">
        <v>658</v>
      </c>
      <c r="AP24" s="46"/>
      <c r="AQ24" s="46">
        <v>2</v>
      </c>
      <c r="AR24" s="46"/>
      <c r="AS24" s="46"/>
      <c r="AT24" s="46"/>
      <c r="AU24" s="46" t="s">
        <v>376</v>
      </c>
      <c r="AV24" s="46"/>
      <c r="AW24" s="46" t="s">
        <v>30</v>
      </c>
      <c r="AX24" s="46"/>
      <c r="AY24" s="46" t="s">
        <v>30</v>
      </c>
      <c r="AZ24" s="46"/>
      <c r="BA24" s="47"/>
      <c r="BB24" s="51"/>
      <c r="BC24" s="46"/>
      <c r="BD24" s="46"/>
      <c r="BE24" s="46"/>
      <c r="BF24" s="46">
        <v>1</v>
      </c>
      <c r="BG24" s="46"/>
      <c r="BH24" s="46"/>
      <c r="BI24" s="46" t="s">
        <v>1013</v>
      </c>
      <c r="BJ24" s="46" t="s">
        <v>1029</v>
      </c>
      <c r="BK24" s="46">
        <v>1875</v>
      </c>
      <c r="BL24" s="46" t="str">
        <f>BK24&amp;BI24</f>
        <v>1875Royal Engineers</v>
      </c>
      <c r="BM24" s="52" t="str">
        <f>IF(AD24="Home",BI24,IF(AD24="Away",BJ24,Q24))</f>
        <v>London</v>
      </c>
      <c r="BN24" s="46"/>
      <c r="BO24" s="46"/>
      <c r="BP24" s="46"/>
      <c r="BQ24" s="46"/>
      <c r="BR24" s="46"/>
      <c r="BS24" s="46"/>
      <c r="BT24" s="46"/>
      <c r="BU24" s="46"/>
      <c r="BV24" s="46" t="s">
        <v>376</v>
      </c>
      <c r="BW24" s="46" t="s">
        <v>376</v>
      </c>
      <c r="BX24" s="46"/>
      <c r="BZ24" s="53"/>
      <c r="CA24" s="53"/>
      <c r="CB24" s="93" t="str">
        <f>IF(OR(C24="",A24="",B24=""),"",TEXT(C24,"0000")&amp;TEXT(A24,"00")&amp;TEXT(B24,"00"))</f>
        <v>18750305</v>
      </c>
    </row>
    <row r="25" spans="1:80" s="52" customFormat="1" ht="12.95" customHeight="1" x14ac:dyDescent="0.2">
      <c r="A25" s="46">
        <v>3</v>
      </c>
      <c r="B25" s="46">
        <v>5</v>
      </c>
      <c r="C25" s="46">
        <v>1875</v>
      </c>
      <c r="D25" s="46" t="s">
        <v>658</v>
      </c>
      <c r="E25" s="46" t="s">
        <v>1046</v>
      </c>
      <c r="F25" s="47" t="s">
        <v>1010</v>
      </c>
      <c r="G25" s="46"/>
      <c r="H25" s="47" t="s">
        <v>1011</v>
      </c>
      <c r="I25" s="47" t="s">
        <v>1023</v>
      </c>
      <c r="J25" s="48" t="s">
        <v>1052</v>
      </c>
      <c r="K25" s="46" t="s">
        <v>1029</v>
      </c>
      <c r="L25" s="46" t="s">
        <v>4</v>
      </c>
      <c r="M25" s="46" t="s">
        <v>1013</v>
      </c>
      <c r="N25" s="49">
        <v>0</v>
      </c>
      <c r="O25" s="49">
        <v>1</v>
      </c>
      <c r="P25" s="47" t="s">
        <v>1016</v>
      </c>
      <c r="Q25" s="47" t="s">
        <v>1017</v>
      </c>
      <c r="R25" s="47" t="s">
        <v>376</v>
      </c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50">
        <f>IF(L25="W",1,0)</f>
        <v>0</v>
      </c>
      <c r="AF25" s="50">
        <f>IF(L25="T",1,0)</f>
        <v>0</v>
      </c>
      <c r="AG25" s="50">
        <f>IF(L25="L",1,0)</f>
        <v>1</v>
      </c>
      <c r="AH25" s="46" t="s">
        <v>1032</v>
      </c>
      <c r="AI25" s="46" t="s">
        <v>1034</v>
      </c>
      <c r="AJ25" s="46" t="s">
        <v>376</v>
      </c>
      <c r="AK25" s="46" t="s">
        <v>658</v>
      </c>
      <c r="AL25" s="46" t="s">
        <v>1017</v>
      </c>
      <c r="AM25" s="46" t="s">
        <v>1018</v>
      </c>
      <c r="AN25" s="46" t="s">
        <v>376</v>
      </c>
      <c r="AO25" s="46" t="s">
        <v>658</v>
      </c>
      <c r="AP25" s="46"/>
      <c r="AQ25" s="46">
        <v>2</v>
      </c>
      <c r="AR25" s="46"/>
      <c r="AS25" s="46"/>
      <c r="AT25" s="46"/>
      <c r="AU25" s="46" t="s">
        <v>376</v>
      </c>
      <c r="AV25" s="46"/>
      <c r="AW25" s="46" t="s">
        <v>30</v>
      </c>
      <c r="AX25" s="46"/>
      <c r="AY25" s="46" t="s">
        <v>30</v>
      </c>
      <c r="AZ25" s="46"/>
      <c r="BA25" s="47"/>
      <c r="BB25" s="51"/>
      <c r="BC25" s="46"/>
      <c r="BD25" s="46"/>
      <c r="BE25" s="46"/>
      <c r="BF25" s="46">
        <v>1</v>
      </c>
      <c r="BG25" s="46"/>
      <c r="BH25" s="46"/>
      <c r="BI25" s="46" t="s">
        <v>1029</v>
      </c>
      <c r="BJ25" s="46" t="s">
        <v>1013</v>
      </c>
      <c r="BK25" s="46">
        <v>1875</v>
      </c>
      <c r="BL25" s="46" t="str">
        <f>BK25&amp;BI25</f>
        <v>1875Oxford University</v>
      </c>
      <c r="BM25" s="52" t="str">
        <f>IF(AD25="Home",BI25,IF(AD25="Away",BJ25,Q25))</f>
        <v>London</v>
      </c>
      <c r="BN25" s="46"/>
      <c r="BO25" s="46"/>
      <c r="BP25" s="46"/>
      <c r="BQ25" s="46"/>
      <c r="BR25" s="46"/>
      <c r="BS25" s="46"/>
      <c r="BT25" s="46"/>
      <c r="BU25" s="46"/>
      <c r="BV25" s="46" t="s">
        <v>376</v>
      </c>
      <c r="BW25" s="46" t="s">
        <v>376</v>
      </c>
      <c r="BX25" s="46"/>
      <c r="BZ25" s="53"/>
      <c r="CA25" s="53"/>
      <c r="CB25" s="93" t="str">
        <f>IF(OR(C25="",A25="",B25=""),"",TEXT(C25,"0000")&amp;TEXT(A25,"00")&amp;TEXT(B25,"00"))</f>
        <v>18750305</v>
      </c>
    </row>
    <row r="26" spans="1:80" s="52" customFormat="1" ht="12.95" customHeight="1" x14ac:dyDescent="0.2">
      <c r="A26" s="46">
        <v>3</v>
      </c>
      <c r="B26" s="46">
        <v>11</v>
      </c>
      <c r="C26" s="46">
        <v>1875</v>
      </c>
      <c r="D26" s="46" t="s">
        <v>658</v>
      </c>
      <c r="E26" s="46" t="s">
        <v>1046</v>
      </c>
      <c r="F26" s="47" t="s">
        <v>1010</v>
      </c>
      <c r="G26" s="46"/>
      <c r="H26" s="47" t="s">
        <v>1025</v>
      </c>
      <c r="I26" s="47"/>
      <c r="J26" s="48" t="s">
        <v>1053</v>
      </c>
      <c r="K26" s="46" t="s">
        <v>1013</v>
      </c>
      <c r="L26" s="46" t="s">
        <v>1014</v>
      </c>
      <c r="M26" s="46" t="s">
        <v>1048</v>
      </c>
      <c r="N26" s="49">
        <v>1</v>
      </c>
      <c r="O26" s="49">
        <v>1</v>
      </c>
      <c r="P26" s="47" t="s">
        <v>1016</v>
      </c>
      <c r="Q26" s="47" t="s">
        <v>1017</v>
      </c>
      <c r="R26" s="47" t="s">
        <v>376</v>
      </c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50">
        <f>IF(L26="W",1,0)</f>
        <v>0</v>
      </c>
      <c r="AF26" s="50">
        <f>IF(L26="T",1,0)</f>
        <v>1</v>
      </c>
      <c r="AG26" s="50">
        <f>IF(L26="L",1,0)</f>
        <v>0</v>
      </c>
      <c r="AH26" s="46" t="s">
        <v>1017</v>
      </c>
      <c r="AI26" s="46" t="s">
        <v>1018</v>
      </c>
      <c r="AJ26" s="46" t="s">
        <v>376</v>
      </c>
      <c r="AK26" s="46" t="s">
        <v>658</v>
      </c>
      <c r="AL26" s="46" t="s">
        <v>1050</v>
      </c>
      <c r="AM26" s="46" t="s">
        <v>1036</v>
      </c>
      <c r="AN26" s="46" t="s">
        <v>376</v>
      </c>
      <c r="AO26" s="46" t="s">
        <v>658</v>
      </c>
      <c r="AP26" s="46"/>
      <c r="AQ26" s="46">
        <v>1</v>
      </c>
      <c r="AR26" s="46"/>
      <c r="AS26" s="46"/>
      <c r="AT26" s="46"/>
      <c r="AU26" s="46" t="s">
        <v>376</v>
      </c>
      <c r="AV26" s="46"/>
      <c r="AW26" s="46" t="s">
        <v>30</v>
      </c>
      <c r="AX26" s="46"/>
      <c r="AY26" s="46" t="s">
        <v>30</v>
      </c>
      <c r="AZ26" s="46"/>
      <c r="BA26" s="47"/>
      <c r="BB26" s="51"/>
      <c r="BC26" s="46" t="s">
        <v>30</v>
      </c>
      <c r="BD26" s="46"/>
      <c r="BE26" s="46"/>
      <c r="BF26" s="46">
        <v>1</v>
      </c>
      <c r="BG26" s="46"/>
      <c r="BH26" s="46"/>
      <c r="BI26" s="46" t="s">
        <v>1013</v>
      </c>
      <c r="BJ26" s="46" t="s">
        <v>1048</v>
      </c>
      <c r="BK26" s="46">
        <v>1875</v>
      </c>
      <c r="BL26" s="46" t="str">
        <f>BK26&amp;BI26</f>
        <v>1875Royal Engineers</v>
      </c>
      <c r="BM26" s="52" t="str">
        <f>IF(AD26="Home",BI26,IF(AD26="Away",BJ26,Q26))</f>
        <v>London</v>
      </c>
      <c r="BN26" s="46"/>
      <c r="BO26" s="46"/>
      <c r="BP26" s="46"/>
      <c r="BQ26" s="46"/>
      <c r="BR26" s="46"/>
      <c r="BS26" s="46"/>
      <c r="BT26" s="46"/>
      <c r="BU26" s="46"/>
      <c r="BV26" s="46" t="s">
        <v>376</v>
      </c>
      <c r="BW26" s="46" t="s">
        <v>376</v>
      </c>
      <c r="BX26" s="46"/>
      <c r="BZ26" s="53"/>
      <c r="CA26" s="53"/>
      <c r="CB26" s="93" t="str">
        <f>IF(OR(C26="",A26="",B26=""),"",TEXT(C26,"0000")&amp;TEXT(A26,"00")&amp;TEXT(B26,"00"))</f>
        <v>18750311</v>
      </c>
    </row>
    <row r="27" spans="1:80" s="52" customFormat="1" ht="12.95" customHeight="1" x14ac:dyDescent="0.2">
      <c r="A27" s="46">
        <v>3</v>
      </c>
      <c r="B27" s="46">
        <v>11</v>
      </c>
      <c r="C27" s="46">
        <v>1875</v>
      </c>
      <c r="D27" s="46" t="s">
        <v>658</v>
      </c>
      <c r="E27" s="46" t="s">
        <v>1046</v>
      </c>
      <c r="F27" s="47" t="s">
        <v>1010</v>
      </c>
      <c r="G27" s="46"/>
      <c r="H27" s="47" t="s">
        <v>1025</v>
      </c>
      <c r="I27" s="47"/>
      <c r="J27" s="48" t="s">
        <v>1053</v>
      </c>
      <c r="K27" s="46" t="s">
        <v>1048</v>
      </c>
      <c r="L27" s="46" t="s">
        <v>1014</v>
      </c>
      <c r="M27" s="46" t="s">
        <v>1013</v>
      </c>
      <c r="N27" s="49">
        <v>1</v>
      </c>
      <c r="O27" s="49">
        <v>1</v>
      </c>
      <c r="P27" s="47" t="s">
        <v>1016</v>
      </c>
      <c r="Q27" s="47" t="s">
        <v>1017</v>
      </c>
      <c r="R27" s="47" t="s">
        <v>376</v>
      </c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50">
        <f>IF(L27="W",1,0)</f>
        <v>0</v>
      </c>
      <c r="AF27" s="50">
        <f>IF(L27="T",1,0)</f>
        <v>1</v>
      </c>
      <c r="AG27" s="50">
        <f>IF(L27="L",1,0)</f>
        <v>0</v>
      </c>
      <c r="AH27" s="46" t="s">
        <v>1050</v>
      </c>
      <c r="AI27" s="46" t="s">
        <v>1036</v>
      </c>
      <c r="AJ27" s="46" t="s">
        <v>376</v>
      </c>
      <c r="AK27" s="46" t="s">
        <v>658</v>
      </c>
      <c r="AL27" s="46" t="s">
        <v>1017</v>
      </c>
      <c r="AM27" s="46" t="s">
        <v>1018</v>
      </c>
      <c r="AN27" s="46" t="s">
        <v>376</v>
      </c>
      <c r="AO27" s="46" t="s">
        <v>658</v>
      </c>
      <c r="AP27" s="46"/>
      <c r="AQ27" s="46">
        <v>1</v>
      </c>
      <c r="AR27" s="46"/>
      <c r="AS27" s="46"/>
      <c r="AT27" s="46"/>
      <c r="AU27" s="46" t="s">
        <v>376</v>
      </c>
      <c r="AV27" s="46"/>
      <c r="AW27" s="46" t="s">
        <v>30</v>
      </c>
      <c r="AX27" s="46"/>
      <c r="AY27" s="46" t="s">
        <v>30</v>
      </c>
      <c r="AZ27" s="46"/>
      <c r="BA27" s="47"/>
      <c r="BB27" s="51"/>
      <c r="BC27" s="46" t="s">
        <v>30</v>
      </c>
      <c r="BD27" s="46"/>
      <c r="BE27" s="46"/>
      <c r="BF27" s="46">
        <v>1</v>
      </c>
      <c r="BG27" s="46"/>
      <c r="BH27" s="46"/>
      <c r="BI27" s="46" t="s">
        <v>1048</v>
      </c>
      <c r="BJ27" s="46" t="s">
        <v>1013</v>
      </c>
      <c r="BK27" s="46">
        <v>1875</v>
      </c>
      <c r="BL27" s="46" t="str">
        <f>BK27&amp;BI27</f>
        <v>1875Old Etonians</v>
      </c>
      <c r="BM27" s="52" t="str">
        <f>IF(AD27="Home",BI27,IF(AD27="Away",BJ27,Q27))</f>
        <v>London</v>
      </c>
      <c r="BN27" s="46"/>
      <c r="BO27" s="46"/>
      <c r="BP27" s="46"/>
      <c r="BQ27" s="46"/>
      <c r="BR27" s="46"/>
      <c r="BS27" s="46"/>
      <c r="BT27" s="46"/>
      <c r="BU27" s="46"/>
      <c r="BV27" s="46" t="s">
        <v>376</v>
      </c>
      <c r="BW27" s="46" t="s">
        <v>376</v>
      </c>
      <c r="BX27" s="46"/>
      <c r="BZ27" s="53"/>
      <c r="CA27" s="53"/>
      <c r="CB27" s="93" t="str">
        <f>IF(OR(C27="",A27="",B27=""),"",TEXT(C27,"0000")&amp;TEXT(A27,"00")&amp;TEXT(B27,"00"))</f>
        <v>18750311</v>
      </c>
    </row>
    <row r="28" spans="1:80" s="52" customFormat="1" ht="12.95" customHeight="1" x14ac:dyDescent="0.2">
      <c r="A28" s="46">
        <v>3</v>
      </c>
      <c r="B28" s="46">
        <v>16</v>
      </c>
      <c r="C28" s="46">
        <v>1875</v>
      </c>
      <c r="D28" s="46" t="s">
        <v>658</v>
      </c>
      <c r="E28" s="46" t="s">
        <v>1046</v>
      </c>
      <c r="F28" s="47" t="s">
        <v>1010</v>
      </c>
      <c r="G28" s="46"/>
      <c r="H28" s="47" t="s">
        <v>1025</v>
      </c>
      <c r="I28" s="47" t="s">
        <v>1023</v>
      </c>
      <c r="J28" s="48" t="s">
        <v>1054</v>
      </c>
      <c r="K28" s="46" t="s">
        <v>1013</v>
      </c>
      <c r="L28" s="46" t="s">
        <v>3</v>
      </c>
      <c r="M28" s="46" t="s">
        <v>1048</v>
      </c>
      <c r="N28" s="49">
        <v>2</v>
      </c>
      <c r="O28" s="49">
        <v>0</v>
      </c>
      <c r="P28" s="47" t="s">
        <v>1016</v>
      </c>
      <c r="Q28" s="47" t="s">
        <v>1017</v>
      </c>
      <c r="R28" s="47" t="s">
        <v>376</v>
      </c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50">
        <f>IF(L28="W",1,0)</f>
        <v>1</v>
      </c>
      <c r="AF28" s="50">
        <f>IF(L28="T",1,0)</f>
        <v>0</v>
      </c>
      <c r="AG28" s="50">
        <f>IF(L28="L",1,0)</f>
        <v>0</v>
      </c>
      <c r="AH28" s="46" t="s">
        <v>1017</v>
      </c>
      <c r="AI28" s="46" t="s">
        <v>1018</v>
      </c>
      <c r="AJ28" s="46" t="s">
        <v>376</v>
      </c>
      <c r="AK28" s="46" t="s">
        <v>658</v>
      </c>
      <c r="AL28" s="46" t="s">
        <v>1050</v>
      </c>
      <c r="AM28" s="46" t="s">
        <v>1036</v>
      </c>
      <c r="AN28" s="46" t="s">
        <v>376</v>
      </c>
      <c r="AO28" s="46" t="s">
        <v>658</v>
      </c>
      <c r="AP28" s="46"/>
      <c r="AQ28" s="46">
        <v>1</v>
      </c>
      <c r="AR28" s="46"/>
      <c r="AS28" s="46"/>
      <c r="AT28" s="46"/>
      <c r="AU28" s="46" t="s">
        <v>376</v>
      </c>
      <c r="AV28" s="46"/>
      <c r="AW28" s="46" t="s">
        <v>30</v>
      </c>
      <c r="AX28" s="46"/>
      <c r="AY28" s="46" t="s">
        <v>30</v>
      </c>
      <c r="AZ28" s="46"/>
      <c r="BA28" s="47"/>
      <c r="BB28" s="51" t="s">
        <v>30</v>
      </c>
      <c r="BC28" s="46" t="s">
        <v>30</v>
      </c>
      <c r="BD28" s="46"/>
      <c r="BE28" s="46"/>
      <c r="BF28" s="46">
        <v>1</v>
      </c>
      <c r="BG28" s="46"/>
      <c r="BH28" s="46"/>
      <c r="BI28" s="46" t="s">
        <v>1013</v>
      </c>
      <c r="BJ28" s="46" t="s">
        <v>1048</v>
      </c>
      <c r="BK28" s="46">
        <v>1875</v>
      </c>
      <c r="BL28" s="46" t="str">
        <f>BK28&amp;BI28</f>
        <v>1875Royal Engineers</v>
      </c>
      <c r="BM28" s="52" t="str">
        <f>IF(AD28="Home",BI28,IF(AD28="Away",BJ28,Q28))</f>
        <v>London</v>
      </c>
      <c r="BN28" s="46"/>
      <c r="BO28" s="46"/>
      <c r="BP28" s="46"/>
      <c r="BQ28" s="46"/>
      <c r="BR28" s="46"/>
      <c r="BS28" s="46"/>
      <c r="BT28" s="46"/>
      <c r="BU28" s="46"/>
      <c r="BV28" s="46" t="s">
        <v>376</v>
      </c>
      <c r="BW28" s="46" t="s">
        <v>376</v>
      </c>
      <c r="BX28" s="46"/>
      <c r="BZ28" s="53"/>
      <c r="CA28" s="53"/>
      <c r="CB28" s="93" t="str">
        <f>IF(OR(C28="",A28="",B28=""),"",TEXT(C28,"0000")&amp;TEXT(A28,"00")&amp;TEXT(B28,"00"))</f>
        <v>18750316</v>
      </c>
    </row>
    <row r="29" spans="1:80" s="52" customFormat="1" ht="12.95" customHeight="1" x14ac:dyDescent="0.2">
      <c r="A29" s="46">
        <v>3</v>
      </c>
      <c r="B29" s="46">
        <v>16</v>
      </c>
      <c r="C29" s="46">
        <v>1875</v>
      </c>
      <c r="D29" s="46" t="s">
        <v>658</v>
      </c>
      <c r="E29" s="46" t="s">
        <v>1046</v>
      </c>
      <c r="F29" s="47" t="s">
        <v>1010</v>
      </c>
      <c r="G29" s="46"/>
      <c r="H29" s="47" t="s">
        <v>1025</v>
      </c>
      <c r="I29" s="47" t="s">
        <v>1023</v>
      </c>
      <c r="J29" s="48" t="s">
        <v>1054</v>
      </c>
      <c r="K29" s="46" t="s">
        <v>1048</v>
      </c>
      <c r="L29" s="46" t="s">
        <v>4</v>
      </c>
      <c r="M29" s="46" t="s">
        <v>1013</v>
      </c>
      <c r="N29" s="49">
        <v>0</v>
      </c>
      <c r="O29" s="49">
        <v>2</v>
      </c>
      <c r="P29" s="47" t="s">
        <v>1016</v>
      </c>
      <c r="Q29" s="47" t="s">
        <v>1017</v>
      </c>
      <c r="R29" s="47" t="s">
        <v>376</v>
      </c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50">
        <f>IF(L29="W",1,0)</f>
        <v>0</v>
      </c>
      <c r="AF29" s="50">
        <f>IF(L29="T",1,0)</f>
        <v>0</v>
      </c>
      <c r="AG29" s="50">
        <f>IF(L29="L",1,0)</f>
        <v>1</v>
      </c>
      <c r="AH29" s="46" t="s">
        <v>1050</v>
      </c>
      <c r="AI29" s="46" t="s">
        <v>1036</v>
      </c>
      <c r="AJ29" s="46" t="s">
        <v>376</v>
      </c>
      <c r="AK29" s="46" t="s">
        <v>658</v>
      </c>
      <c r="AL29" s="46" t="s">
        <v>1017</v>
      </c>
      <c r="AM29" s="46" t="s">
        <v>1018</v>
      </c>
      <c r="AN29" s="46" t="s">
        <v>376</v>
      </c>
      <c r="AO29" s="46" t="s">
        <v>658</v>
      </c>
      <c r="AP29" s="46"/>
      <c r="AQ29" s="46">
        <v>1</v>
      </c>
      <c r="AR29" s="46"/>
      <c r="AS29" s="46"/>
      <c r="AT29" s="46"/>
      <c r="AU29" s="46" t="s">
        <v>376</v>
      </c>
      <c r="AV29" s="46"/>
      <c r="AW29" s="46" t="s">
        <v>30</v>
      </c>
      <c r="AX29" s="46"/>
      <c r="AY29" s="46" t="s">
        <v>30</v>
      </c>
      <c r="AZ29" s="46"/>
      <c r="BA29" s="47"/>
      <c r="BB29" s="51"/>
      <c r="BC29" s="46" t="s">
        <v>30</v>
      </c>
      <c r="BD29" s="46"/>
      <c r="BE29" s="46"/>
      <c r="BF29" s="46">
        <v>1</v>
      </c>
      <c r="BG29" s="46"/>
      <c r="BH29" s="46"/>
      <c r="BI29" s="46" t="s">
        <v>1048</v>
      </c>
      <c r="BJ29" s="46" t="s">
        <v>1013</v>
      </c>
      <c r="BK29" s="46">
        <v>1875</v>
      </c>
      <c r="BL29" s="46" t="str">
        <f>BK29&amp;BI29</f>
        <v>1875Old Etonians</v>
      </c>
      <c r="BM29" s="52" t="str">
        <f>IF(AD29="Home",BI29,IF(AD29="Away",BJ29,Q29))</f>
        <v>London</v>
      </c>
      <c r="BN29" s="46"/>
      <c r="BO29" s="46"/>
      <c r="BP29" s="46"/>
      <c r="BQ29" s="46"/>
      <c r="BR29" s="46"/>
      <c r="BS29" s="46"/>
      <c r="BT29" s="46"/>
      <c r="BU29" s="46"/>
      <c r="BV29" s="46" t="s">
        <v>376</v>
      </c>
      <c r="BW29" s="46" t="s">
        <v>376</v>
      </c>
      <c r="BX29" s="46"/>
      <c r="BZ29" s="53"/>
      <c r="CA29" s="53"/>
      <c r="CB29" s="93" t="str">
        <f>IF(OR(C29="",A29="",B29=""),"",TEXT(C29,"0000")&amp;TEXT(A29,"00")&amp;TEXT(B29,"00"))</f>
        <v>18750316</v>
      </c>
    </row>
    <row r="30" spans="1:80" s="52" customFormat="1" ht="12.95" customHeight="1" x14ac:dyDescent="0.2">
      <c r="A30" s="46">
        <v>2</v>
      </c>
      <c r="B30" s="46">
        <v>19</v>
      </c>
      <c r="C30" s="46">
        <v>1876</v>
      </c>
      <c r="D30" s="46" t="s">
        <v>658</v>
      </c>
      <c r="E30" s="46" t="s">
        <v>1055</v>
      </c>
      <c r="F30" s="47" t="s">
        <v>1010</v>
      </c>
      <c r="G30" s="46"/>
      <c r="H30" s="47" t="s">
        <v>1011</v>
      </c>
      <c r="I30" s="47"/>
      <c r="J30" s="48" t="s">
        <v>1056</v>
      </c>
      <c r="K30" s="46" t="s">
        <v>1029</v>
      </c>
      <c r="L30" s="46" t="s">
        <v>3</v>
      </c>
      <c r="M30" s="46" t="s">
        <v>1048</v>
      </c>
      <c r="N30" s="49">
        <v>1</v>
      </c>
      <c r="O30" s="49">
        <v>0</v>
      </c>
      <c r="P30" s="47" t="s">
        <v>1016</v>
      </c>
      <c r="Q30" s="47" t="s">
        <v>1017</v>
      </c>
      <c r="R30" s="47" t="s">
        <v>376</v>
      </c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50">
        <f>IF(L30="W",1,0)</f>
        <v>1</v>
      </c>
      <c r="AF30" s="50">
        <f>IF(L30="T",1,0)</f>
        <v>0</v>
      </c>
      <c r="AG30" s="50">
        <f>IF(L30="L",1,0)</f>
        <v>0</v>
      </c>
      <c r="AH30" s="46" t="s">
        <v>1032</v>
      </c>
      <c r="AI30" s="46" t="s">
        <v>1034</v>
      </c>
      <c r="AJ30" s="46" t="s">
        <v>376</v>
      </c>
      <c r="AK30" s="46" t="s">
        <v>658</v>
      </c>
      <c r="AL30" s="46" t="s">
        <v>1050</v>
      </c>
      <c r="AM30" s="46" t="s">
        <v>1036</v>
      </c>
      <c r="AN30" s="46" t="s">
        <v>376</v>
      </c>
      <c r="AO30" s="46" t="s">
        <v>658</v>
      </c>
      <c r="AP30" s="46"/>
      <c r="AQ30" s="46">
        <v>2</v>
      </c>
      <c r="AR30" s="46"/>
      <c r="AS30" s="46"/>
      <c r="AT30" s="46"/>
      <c r="AU30" s="46" t="s">
        <v>376</v>
      </c>
      <c r="AV30" s="46"/>
      <c r="AW30" s="46" t="s">
        <v>30</v>
      </c>
      <c r="AX30" s="46"/>
      <c r="AY30" s="46" t="s">
        <v>30</v>
      </c>
      <c r="AZ30" s="46"/>
      <c r="BA30" s="47"/>
      <c r="BB30" s="51"/>
      <c r="BC30" s="46"/>
      <c r="BD30" s="46"/>
      <c r="BE30" s="46"/>
      <c r="BF30" s="46">
        <v>1</v>
      </c>
      <c r="BG30" s="46"/>
      <c r="BH30" s="46"/>
      <c r="BI30" s="46" t="s">
        <v>1029</v>
      </c>
      <c r="BJ30" s="46" t="s">
        <v>1048</v>
      </c>
      <c r="BK30" s="46">
        <v>1876</v>
      </c>
      <c r="BL30" s="46" t="str">
        <f>BK30&amp;BI30</f>
        <v>1876Oxford University</v>
      </c>
      <c r="BM30" s="52" t="str">
        <f>IF(AD30="Home",BI30,IF(AD30="Away",BJ30,Q30))</f>
        <v>London</v>
      </c>
      <c r="BN30" s="46"/>
      <c r="BO30" s="46"/>
      <c r="BP30" s="46"/>
      <c r="BQ30" s="46"/>
      <c r="BR30" s="46"/>
      <c r="BS30" s="46"/>
      <c r="BT30" s="46"/>
      <c r="BU30" s="46"/>
      <c r="BV30" s="46" t="s">
        <v>376</v>
      </c>
      <c r="BW30" s="46" t="s">
        <v>376</v>
      </c>
      <c r="BX30" s="46"/>
      <c r="BZ30" s="53"/>
      <c r="CA30" s="53"/>
      <c r="CB30" s="93" t="str">
        <f>IF(OR(C30="",A30="",B30=""),"",TEXT(C30,"0000")&amp;TEXT(A30,"00")&amp;TEXT(B30,"00"))</f>
        <v>18760219</v>
      </c>
    </row>
    <row r="31" spans="1:80" s="52" customFormat="1" ht="12.95" customHeight="1" x14ac:dyDescent="0.2">
      <c r="A31" s="46">
        <v>2</v>
      </c>
      <c r="B31" s="46">
        <v>19</v>
      </c>
      <c r="C31" s="46">
        <v>1876</v>
      </c>
      <c r="D31" s="46" t="s">
        <v>658</v>
      </c>
      <c r="E31" s="46" t="s">
        <v>1055</v>
      </c>
      <c r="F31" s="47" t="s">
        <v>1010</v>
      </c>
      <c r="G31" s="46"/>
      <c r="H31" s="47" t="s">
        <v>1011</v>
      </c>
      <c r="I31" s="47"/>
      <c r="J31" s="48" t="s">
        <v>1056</v>
      </c>
      <c r="K31" s="46" t="s">
        <v>1048</v>
      </c>
      <c r="L31" s="46" t="s">
        <v>4</v>
      </c>
      <c r="M31" s="46" t="s">
        <v>1029</v>
      </c>
      <c r="N31" s="49">
        <v>0</v>
      </c>
      <c r="O31" s="49">
        <v>1</v>
      </c>
      <c r="P31" s="47" t="s">
        <v>1016</v>
      </c>
      <c r="Q31" s="47" t="s">
        <v>1017</v>
      </c>
      <c r="R31" s="47" t="s">
        <v>376</v>
      </c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50">
        <f>IF(L31="W",1,0)</f>
        <v>0</v>
      </c>
      <c r="AF31" s="50">
        <f>IF(L31="T",1,0)</f>
        <v>0</v>
      </c>
      <c r="AG31" s="50">
        <f>IF(L31="L",1,0)</f>
        <v>1</v>
      </c>
      <c r="AH31" s="46" t="s">
        <v>1050</v>
      </c>
      <c r="AI31" s="46" t="s">
        <v>1036</v>
      </c>
      <c r="AJ31" s="46" t="s">
        <v>376</v>
      </c>
      <c r="AK31" s="46" t="s">
        <v>658</v>
      </c>
      <c r="AL31" s="46" t="s">
        <v>1032</v>
      </c>
      <c r="AM31" s="46" t="s">
        <v>1034</v>
      </c>
      <c r="AN31" s="46" t="s">
        <v>376</v>
      </c>
      <c r="AO31" s="46" t="s">
        <v>658</v>
      </c>
      <c r="AP31" s="46"/>
      <c r="AQ31" s="46">
        <v>2</v>
      </c>
      <c r="AR31" s="46"/>
      <c r="AS31" s="46"/>
      <c r="AT31" s="46"/>
      <c r="AU31" s="46" t="s">
        <v>376</v>
      </c>
      <c r="AV31" s="46"/>
      <c r="AW31" s="46" t="s">
        <v>30</v>
      </c>
      <c r="AX31" s="46"/>
      <c r="AY31" s="46" t="s">
        <v>30</v>
      </c>
      <c r="AZ31" s="46"/>
      <c r="BA31" s="47"/>
      <c r="BB31" s="51"/>
      <c r="BC31" s="46"/>
      <c r="BD31" s="46"/>
      <c r="BE31" s="46"/>
      <c r="BF31" s="46">
        <v>1</v>
      </c>
      <c r="BG31" s="46"/>
      <c r="BH31" s="46"/>
      <c r="BI31" s="46" t="s">
        <v>1048</v>
      </c>
      <c r="BJ31" s="46" t="s">
        <v>1029</v>
      </c>
      <c r="BK31" s="46">
        <v>1876</v>
      </c>
      <c r="BL31" s="46" t="str">
        <f>BK31&amp;BI31</f>
        <v>1876Old Etonians</v>
      </c>
      <c r="BM31" s="52" t="str">
        <f>IF(AD31="Home",BI31,IF(AD31="Away",BJ31,Q31))</f>
        <v>London</v>
      </c>
      <c r="BN31" s="46"/>
      <c r="BO31" s="46"/>
      <c r="BP31" s="46"/>
      <c r="BQ31" s="46"/>
      <c r="BR31" s="46"/>
      <c r="BS31" s="46"/>
      <c r="BT31" s="46"/>
      <c r="BU31" s="46"/>
      <c r="BV31" s="46" t="s">
        <v>376</v>
      </c>
      <c r="BW31" s="46" t="s">
        <v>376</v>
      </c>
      <c r="BX31" s="46"/>
      <c r="BZ31" s="53"/>
      <c r="CA31" s="53"/>
      <c r="CB31" s="93" t="str">
        <f>IF(OR(C31="",A31="",B31=""),"",TEXT(C31,"0000")&amp;TEXT(A31,"00")&amp;TEXT(B31,"00"))</f>
        <v>18760219</v>
      </c>
    </row>
    <row r="32" spans="1:80" s="52" customFormat="1" ht="12.95" customHeight="1" x14ac:dyDescent="0.2">
      <c r="A32" s="46">
        <v>2</v>
      </c>
      <c r="B32" s="46">
        <v>26</v>
      </c>
      <c r="C32" s="46">
        <v>1876</v>
      </c>
      <c r="D32" s="46" t="s">
        <v>658</v>
      </c>
      <c r="E32" s="46" t="s">
        <v>1055</v>
      </c>
      <c r="F32" s="47" t="s">
        <v>1010</v>
      </c>
      <c r="G32" s="46"/>
      <c r="H32" s="47" t="s">
        <v>1011</v>
      </c>
      <c r="I32" s="47"/>
      <c r="J32" s="48" t="s">
        <v>1057</v>
      </c>
      <c r="K32" s="46" t="s">
        <v>1020</v>
      </c>
      <c r="L32" s="46" t="s">
        <v>3</v>
      </c>
      <c r="M32" s="46" t="s">
        <v>1042</v>
      </c>
      <c r="N32" s="49">
        <v>2</v>
      </c>
      <c r="O32" s="49">
        <v>1</v>
      </c>
      <c r="P32" s="47" t="s">
        <v>1016</v>
      </c>
      <c r="Q32" s="47" t="s">
        <v>1017</v>
      </c>
      <c r="R32" s="47" t="s">
        <v>376</v>
      </c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50">
        <f>IF(L32="W",1,0)</f>
        <v>1</v>
      </c>
      <c r="AF32" s="50">
        <f>IF(L32="T",1,0)</f>
        <v>0</v>
      </c>
      <c r="AG32" s="50">
        <f>IF(L32="L",1,0)</f>
        <v>0</v>
      </c>
      <c r="AH32" s="46" t="s">
        <v>1017</v>
      </c>
      <c r="AI32" s="46" t="s">
        <v>1018</v>
      </c>
      <c r="AJ32" s="46" t="s">
        <v>376</v>
      </c>
      <c r="AK32" s="46" t="s">
        <v>658</v>
      </c>
      <c r="AL32" s="46" t="s">
        <v>1017</v>
      </c>
      <c r="AM32" s="46" t="s">
        <v>1018</v>
      </c>
      <c r="AN32" s="46" t="s">
        <v>376</v>
      </c>
      <c r="AO32" s="46" t="s">
        <v>658</v>
      </c>
      <c r="AP32" s="46"/>
      <c r="AQ32" s="46">
        <v>2</v>
      </c>
      <c r="AR32" s="46"/>
      <c r="AS32" s="46"/>
      <c r="AT32" s="46"/>
      <c r="AU32" s="46" t="s">
        <v>376</v>
      </c>
      <c r="AV32" s="46"/>
      <c r="AW32" s="46" t="s">
        <v>30</v>
      </c>
      <c r="AX32" s="46"/>
      <c r="AY32" s="46" t="s">
        <v>30</v>
      </c>
      <c r="AZ32" s="46"/>
      <c r="BA32" s="47"/>
      <c r="BB32" s="51"/>
      <c r="BC32" s="46"/>
      <c r="BD32" s="46"/>
      <c r="BE32" s="46"/>
      <c r="BF32" s="46">
        <v>1</v>
      </c>
      <c r="BG32" s="46"/>
      <c r="BH32" s="46"/>
      <c r="BI32" s="46" t="s">
        <v>1020</v>
      </c>
      <c r="BJ32" s="46" t="s">
        <v>1042</v>
      </c>
      <c r="BK32" s="46">
        <v>1876</v>
      </c>
      <c r="BL32" s="46" t="str">
        <f>BK32&amp;BI32</f>
        <v>1876Wanderers</v>
      </c>
      <c r="BM32" s="52" t="str">
        <f>IF(AD32="Home",BI32,IF(AD32="Away",BJ32,Q32))</f>
        <v>London</v>
      </c>
      <c r="BN32" s="46"/>
      <c r="BO32" s="46"/>
      <c r="BP32" s="46"/>
      <c r="BQ32" s="46"/>
      <c r="BR32" s="46"/>
      <c r="BS32" s="46"/>
      <c r="BT32" s="46"/>
      <c r="BU32" s="46"/>
      <c r="BV32" s="46" t="s">
        <v>376</v>
      </c>
      <c r="BW32" s="46" t="s">
        <v>376</v>
      </c>
      <c r="BX32" s="46"/>
      <c r="BZ32" s="53"/>
      <c r="CA32" s="53"/>
      <c r="CB32" s="93" t="str">
        <f>IF(OR(C32="",A32="",B32=""),"",TEXT(C32,"0000")&amp;TEXT(A32,"00")&amp;TEXT(B32,"00"))</f>
        <v>18760226</v>
      </c>
    </row>
    <row r="33" spans="1:80" s="52" customFormat="1" ht="12.95" customHeight="1" x14ac:dyDescent="0.2">
      <c r="A33" s="46">
        <v>2</v>
      </c>
      <c r="B33" s="46">
        <v>26</v>
      </c>
      <c r="C33" s="46">
        <v>1876</v>
      </c>
      <c r="D33" s="46" t="s">
        <v>658</v>
      </c>
      <c r="E33" s="46" t="s">
        <v>1055</v>
      </c>
      <c r="F33" s="47" t="s">
        <v>1010</v>
      </c>
      <c r="G33" s="46"/>
      <c r="H33" s="47" t="s">
        <v>1011</v>
      </c>
      <c r="I33" s="47"/>
      <c r="J33" s="48" t="s">
        <v>1057</v>
      </c>
      <c r="K33" s="46" t="s">
        <v>1042</v>
      </c>
      <c r="L33" s="46" t="s">
        <v>4</v>
      </c>
      <c r="M33" s="46" t="s">
        <v>1020</v>
      </c>
      <c r="N33" s="49">
        <v>1</v>
      </c>
      <c r="O33" s="49">
        <v>2</v>
      </c>
      <c r="P33" s="47" t="s">
        <v>1016</v>
      </c>
      <c r="Q33" s="47" t="s">
        <v>1017</v>
      </c>
      <c r="R33" s="47" t="s">
        <v>376</v>
      </c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50">
        <f>IF(L33="W",1,0)</f>
        <v>0</v>
      </c>
      <c r="AF33" s="50">
        <f>IF(L33="T",1,0)</f>
        <v>0</v>
      </c>
      <c r="AG33" s="50">
        <f>IF(L33="L",1,0)</f>
        <v>1</v>
      </c>
      <c r="AH33" s="46" t="s">
        <v>1017</v>
      </c>
      <c r="AI33" s="46" t="s">
        <v>1018</v>
      </c>
      <c r="AJ33" s="46" t="s">
        <v>376</v>
      </c>
      <c r="AK33" s="46" t="s">
        <v>658</v>
      </c>
      <c r="AL33" s="46" t="s">
        <v>1017</v>
      </c>
      <c r="AM33" s="46" t="s">
        <v>1018</v>
      </c>
      <c r="AN33" s="46" t="s">
        <v>376</v>
      </c>
      <c r="AO33" s="46" t="s">
        <v>658</v>
      </c>
      <c r="AP33" s="46"/>
      <c r="AQ33" s="46">
        <v>2</v>
      </c>
      <c r="AR33" s="46"/>
      <c r="AS33" s="46"/>
      <c r="AT33" s="46"/>
      <c r="AU33" s="46" t="s">
        <v>376</v>
      </c>
      <c r="AV33" s="46"/>
      <c r="AW33" s="46" t="s">
        <v>30</v>
      </c>
      <c r="AX33" s="46"/>
      <c r="AY33" s="46" t="s">
        <v>30</v>
      </c>
      <c r="AZ33" s="46"/>
      <c r="BA33" s="47"/>
      <c r="BB33" s="51"/>
      <c r="BC33" s="46"/>
      <c r="BD33" s="46"/>
      <c r="BE33" s="46"/>
      <c r="BF33" s="46">
        <v>1</v>
      </c>
      <c r="BG33" s="46"/>
      <c r="BH33" s="46"/>
      <c r="BI33" s="46" t="s">
        <v>1042</v>
      </c>
      <c r="BJ33" s="46" t="s">
        <v>1020</v>
      </c>
      <c r="BK33" s="46">
        <v>1876</v>
      </c>
      <c r="BL33" s="46" t="str">
        <f>BK33&amp;BI33</f>
        <v>1876Swifts</v>
      </c>
      <c r="BM33" s="52" t="str">
        <f>IF(AD33="Home",BI33,IF(AD33="Away",BJ33,Q33))</f>
        <v>London</v>
      </c>
      <c r="BN33" s="46"/>
      <c r="BO33" s="46"/>
      <c r="BP33" s="46"/>
      <c r="BQ33" s="46"/>
      <c r="BR33" s="46"/>
      <c r="BS33" s="46"/>
      <c r="BT33" s="46"/>
      <c r="BU33" s="46"/>
      <c r="BV33" s="46" t="s">
        <v>376</v>
      </c>
      <c r="BW33" s="46" t="s">
        <v>376</v>
      </c>
      <c r="BX33" s="46"/>
      <c r="BZ33" s="53"/>
      <c r="CA33" s="53"/>
      <c r="CB33" s="93" t="str">
        <f>IF(OR(C33="",A33="",B33=""),"",TEXT(C33,"0000")&amp;TEXT(A33,"00")&amp;TEXT(B33,"00"))</f>
        <v>18760226</v>
      </c>
    </row>
    <row r="34" spans="1:80" s="52" customFormat="1" ht="12.95" customHeight="1" x14ac:dyDescent="0.2">
      <c r="A34" s="46">
        <v>3</v>
      </c>
      <c r="B34" s="46">
        <v>11</v>
      </c>
      <c r="C34" s="46">
        <v>1876</v>
      </c>
      <c r="D34" s="46" t="s">
        <v>658</v>
      </c>
      <c r="E34" s="46" t="s">
        <v>1055</v>
      </c>
      <c r="F34" s="47" t="s">
        <v>1010</v>
      </c>
      <c r="G34" s="46"/>
      <c r="H34" s="47" t="s">
        <v>1025</v>
      </c>
      <c r="I34" s="47"/>
      <c r="J34" s="48" t="s">
        <v>1058</v>
      </c>
      <c r="K34" s="46" t="s">
        <v>1020</v>
      </c>
      <c r="L34" s="46" t="s">
        <v>1014</v>
      </c>
      <c r="M34" s="46" t="s">
        <v>1048</v>
      </c>
      <c r="N34" s="49">
        <v>1</v>
      </c>
      <c r="O34" s="49">
        <v>1</v>
      </c>
      <c r="P34" s="47" t="s">
        <v>1016</v>
      </c>
      <c r="Q34" s="47" t="s">
        <v>1017</v>
      </c>
      <c r="R34" s="47" t="s">
        <v>376</v>
      </c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50">
        <f>IF(L34="W",1,0)</f>
        <v>0</v>
      </c>
      <c r="AF34" s="50">
        <f>IF(L34="T",1,0)</f>
        <v>1</v>
      </c>
      <c r="AG34" s="50">
        <f>IF(L34="L",1,0)</f>
        <v>0</v>
      </c>
      <c r="AH34" s="46" t="s">
        <v>1017</v>
      </c>
      <c r="AI34" s="46" t="s">
        <v>1018</v>
      </c>
      <c r="AJ34" s="46" t="s">
        <v>376</v>
      </c>
      <c r="AK34" s="46" t="s">
        <v>658</v>
      </c>
      <c r="AL34" s="46" t="s">
        <v>1050</v>
      </c>
      <c r="AM34" s="46" t="s">
        <v>1036</v>
      </c>
      <c r="AN34" s="46" t="s">
        <v>376</v>
      </c>
      <c r="AO34" s="46" t="s">
        <v>658</v>
      </c>
      <c r="AP34" s="46"/>
      <c r="AQ34" s="46">
        <v>1</v>
      </c>
      <c r="AR34" s="46"/>
      <c r="AS34" s="46"/>
      <c r="AT34" s="46"/>
      <c r="AU34" s="46" t="s">
        <v>376</v>
      </c>
      <c r="AV34" s="46"/>
      <c r="AW34" s="46" t="s">
        <v>30</v>
      </c>
      <c r="AX34" s="46"/>
      <c r="AY34" s="46" t="s">
        <v>30</v>
      </c>
      <c r="AZ34" s="46"/>
      <c r="BA34" s="47"/>
      <c r="BB34" s="51"/>
      <c r="BC34" s="46" t="s">
        <v>30</v>
      </c>
      <c r="BD34" s="46"/>
      <c r="BE34" s="46"/>
      <c r="BF34" s="46">
        <v>1</v>
      </c>
      <c r="BG34" s="46"/>
      <c r="BH34" s="46"/>
      <c r="BI34" s="46" t="s">
        <v>1020</v>
      </c>
      <c r="BJ34" s="46" t="s">
        <v>1048</v>
      </c>
      <c r="BK34" s="46">
        <v>1876</v>
      </c>
      <c r="BL34" s="46" t="str">
        <f>BK34&amp;BI34</f>
        <v>1876Wanderers</v>
      </c>
      <c r="BM34" s="52" t="str">
        <f>IF(AD34="Home",BI34,IF(AD34="Away",BJ34,Q34))</f>
        <v>London</v>
      </c>
      <c r="BN34" s="46"/>
      <c r="BO34" s="46"/>
      <c r="BP34" s="46"/>
      <c r="BQ34" s="46"/>
      <c r="BR34" s="46"/>
      <c r="BS34" s="46"/>
      <c r="BT34" s="46"/>
      <c r="BU34" s="46"/>
      <c r="BV34" s="46" t="s">
        <v>376</v>
      </c>
      <c r="BW34" s="46" t="s">
        <v>376</v>
      </c>
      <c r="BX34" s="46"/>
      <c r="BZ34" s="53"/>
      <c r="CA34" s="53"/>
      <c r="CB34" s="93" t="str">
        <f>IF(OR(C34="",A34="",B34=""),"",TEXT(C34,"0000")&amp;TEXT(A34,"00")&amp;TEXT(B34,"00"))</f>
        <v>18760311</v>
      </c>
    </row>
    <row r="35" spans="1:80" s="52" customFormat="1" ht="12.95" customHeight="1" x14ac:dyDescent="0.2">
      <c r="A35" s="46">
        <v>3</v>
      </c>
      <c r="B35" s="46">
        <v>11</v>
      </c>
      <c r="C35" s="46">
        <v>1876</v>
      </c>
      <c r="D35" s="46" t="s">
        <v>658</v>
      </c>
      <c r="E35" s="46" t="s">
        <v>1055</v>
      </c>
      <c r="F35" s="47" t="s">
        <v>1010</v>
      </c>
      <c r="G35" s="46"/>
      <c r="H35" s="47" t="s">
        <v>1025</v>
      </c>
      <c r="I35" s="47"/>
      <c r="J35" s="48" t="s">
        <v>1058</v>
      </c>
      <c r="K35" s="46" t="s">
        <v>1048</v>
      </c>
      <c r="L35" s="46" t="s">
        <v>1014</v>
      </c>
      <c r="M35" s="46" t="s">
        <v>1020</v>
      </c>
      <c r="N35" s="49">
        <v>1</v>
      </c>
      <c r="O35" s="49">
        <v>1</v>
      </c>
      <c r="P35" s="47" t="s">
        <v>1016</v>
      </c>
      <c r="Q35" s="47" t="s">
        <v>1017</v>
      </c>
      <c r="R35" s="47" t="s">
        <v>376</v>
      </c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50">
        <f>IF(L35="W",1,0)</f>
        <v>0</v>
      </c>
      <c r="AF35" s="50">
        <f>IF(L35="T",1,0)</f>
        <v>1</v>
      </c>
      <c r="AG35" s="50">
        <f>IF(L35="L",1,0)</f>
        <v>0</v>
      </c>
      <c r="AH35" s="46" t="s">
        <v>1050</v>
      </c>
      <c r="AI35" s="46" t="s">
        <v>1036</v>
      </c>
      <c r="AJ35" s="46" t="s">
        <v>376</v>
      </c>
      <c r="AK35" s="46" t="s">
        <v>658</v>
      </c>
      <c r="AL35" s="46" t="s">
        <v>1017</v>
      </c>
      <c r="AM35" s="46" t="s">
        <v>1018</v>
      </c>
      <c r="AN35" s="46" t="s">
        <v>376</v>
      </c>
      <c r="AO35" s="46" t="s">
        <v>658</v>
      </c>
      <c r="AP35" s="46"/>
      <c r="AQ35" s="46">
        <v>1</v>
      </c>
      <c r="AR35" s="46"/>
      <c r="AS35" s="46"/>
      <c r="AT35" s="46"/>
      <c r="AU35" s="46" t="s">
        <v>376</v>
      </c>
      <c r="AV35" s="46"/>
      <c r="AW35" s="46" t="s">
        <v>30</v>
      </c>
      <c r="AX35" s="46"/>
      <c r="AY35" s="46" t="s">
        <v>30</v>
      </c>
      <c r="AZ35" s="46"/>
      <c r="BA35" s="47"/>
      <c r="BB35" s="51"/>
      <c r="BC35" s="46" t="s">
        <v>30</v>
      </c>
      <c r="BD35" s="46"/>
      <c r="BE35" s="46"/>
      <c r="BF35" s="46">
        <v>1</v>
      </c>
      <c r="BG35" s="46"/>
      <c r="BH35" s="46"/>
      <c r="BI35" s="46" t="s">
        <v>1048</v>
      </c>
      <c r="BJ35" s="46" t="s">
        <v>1020</v>
      </c>
      <c r="BK35" s="46">
        <v>1876</v>
      </c>
      <c r="BL35" s="46" t="str">
        <f>BK35&amp;BI35</f>
        <v>1876Old Etonians</v>
      </c>
      <c r="BM35" s="52" t="str">
        <f>IF(AD35="Home",BI35,IF(AD35="Away",BJ35,Q35))</f>
        <v>London</v>
      </c>
      <c r="BN35" s="46"/>
      <c r="BO35" s="46"/>
      <c r="BP35" s="46"/>
      <c r="BQ35" s="46"/>
      <c r="BR35" s="46"/>
      <c r="BS35" s="46"/>
      <c r="BT35" s="46"/>
      <c r="BU35" s="46"/>
      <c r="BV35" s="46" t="s">
        <v>376</v>
      </c>
      <c r="BW35" s="46" t="s">
        <v>376</v>
      </c>
      <c r="BX35" s="46"/>
      <c r="BZ35" s="53"/>
      <c r="CA35" s="53"/>
      <c r="CB35" s="93" t="str">
        <f>IF(OR(C35="",A35="",B35=""),"",TEXT(C35,"0000")&amp;TEXT(A35,"00")&amp;TEXT(B35,"00"))</f>
        <v>18760311</v>
      </c>
    </row>
    <row r="36" spans="1:80" s="52" customFormat="1" ht="12.95" customHeight="1" x14ac:dyDescent="0.2">
      <c r="A36" s="46">
        <v>3</v>
      </c>
      <c r="B36" s="46">
        <v>18</v>
      </c>
      <c r="C36" s="46">
        <v>1876</v>
      </c>
      <c r="D36" s="46" t="s">
        <v>658</v>
      </c>
      <c r="E36" s="46" t="s">
        <v>1055</v>
      </c>
      <c r="F36" s="47" t="s">
        <v>1010</v>
      </c>
      <c r="G36" s="46"/>
      <c r="H36" s="47" t="s">
        <v>1025</v>
      </c>
      <c r="I36" s="47" t="s">
        <v>1023</v>
      </c>
      <c r="J36" s="48" t="s">
        <v>1059</v>
      </c>
      <c r="K36" s="46" t="s">
        <v>1020</v>
      </c>
      <c r="L36" s="46" t="s">
        <v>3</v>
      </c>
      <c r="M36" s="46" t="s">
        <v>1048</v>
      </c>
      <c r="N36" s="49">
        <v>3</v>
      </c>
      <c r="O36" s="49">
        <v>0</v>
      </c>
      <c r="P36" s="47" t="s">
        <v>1016</v>
      </c>
      <c r="Q36" s="47" t="s">
        <v>1017</v>
      </c>
      <c r="R36" s="47" t="s">
        <v>376</v>
      </c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50">
        <f>IF(L36="W",1,0)</f>
        <v>1</v>
      </c>
      <c r="AF36" s="50">
        <f>IF(L36="T",1,0)</f>
        <v>0</v>
      </c>
      <c r="AG36" s="50">
        <f>IF(L36="L",1,0)</f>
        <v>0</v>
      </c>
      <c r="AH36" s="46" t="s">
        <v>1017</v>
      </c>
      <c r="AI36" s="46" t="s">
        <v>1018</v>
      </c>
      <c r="AJ36" s="46" t="s">
        <v>376</v>
      </c>
      <c r="AK36" s="46" t="s">
        <v>658</v>
      </c>
      <c r="AL36" s="46" t="s">
        <v>1050</v>
      </c>
      <c r="AM36" s="46" t="s">
        <v>1036</v>
      </c>
      <c r="AN36" s="46" t="s">
        <v>376</v>
      </c>
      <c r="AO36" s="46" t="s">
        <v>658</v>
      </c>
      <c r="AP36" s="46"/>
      <c r="AQ36" s="46">
        <v>1</v>
      </c>
      <c r="AR36" s="46"/>
      <c r="AS36" s="46"/>
      <c r="AT36" s="46"/>
      <c r="AU36" s="46" t="s">
        <v>376</v>
      </c>
      <c r="AV36" s="46"/>
      <c r="AW36" s="46" t="s">
        <v>30</v>
      </c>
      <c r="AX36" s="46"/>
      <c r="AY36" s="46" t="s">
        <v>30</v>
      </c>
      <c r="AZ36" s="46"/>
      <c r="BA36" s="47"/>
      <c r="BB36" s="51" t="s">
        <v>30</v>
      </c>
      <c r="BC36" s="46" t="s">
        <v>30</v>
      </c>
      <c r="BD36" s="46"/>
      <c r="BE36" s="46"/>
      <c r="BF36" s="46">
        <v>1</v>
      </c>
      <c r="BG36" s="46"/>
      <c r="BH36" s="46"/>
      <c r="BI36" s="46" t="s">
        <v>1020</v>
      </c>
      <c r="BJ36" s="46" t="s">
        <v>1048</v>
      </c>
      <c r="BK36" s="46">
        <v>1876</v>
      </c>
      <c r="BL36" s="46" t="str">
        <f>BK36&amp;BI36</f>
        <v>1876Wanderers</v>
      </c>
      <c r="BM36" s="52" t="str">
        <f>IF(AD36="Home",BI36,IF(AD36="Away",BJ36,Q36))</f>
        <v>London</v>
      </c>
      <c r="BN36" s="46"/>
      <c r="BO36" s="46"/>
      <c r="BP36" s="46"/>
      <c r="BQ36" s="46"/>
      <c r="BR36" s="46"/>
      <c r="BS36" s="46"/>
      <c r="BT36" s="46"/>
      <c r="BU36" s="46"/>
      <c r="BV36" s="46" t="s">
        <v>376</v>
      </c>
      <c r="BW36" s="46" t="s">
        <v>376</v>
      </c>
      <c r="BX36" s="46"/>
      <c r="BZ36" s="53"/>
      <c r="CA36" s="53"/>
      <c r="CB36" s="93" t="str">
        <f>IF(OR(C36="",A36="",B36=""),"",TEXT(C36,"0000")&amp;TEXT(A36,"00")&amp;TEXT(B36,"00"))</f>
        <v>18760318</v>
      </c>
    </row>
    <row r="37" spans="1:80" s="52" customFormat="1" ht="12.95" customHeight="1" x14ac:dyDescent="0.2">
      <c r="A37" s="46">
        <v>3</v>
      </c>
      <c r="B37" s="46">
        <v>18</v>
      </c>
      <c r="C37" s="46">
        <v>1876</v>
      </c>
      <c r="D37" s="46" t="s">
        <v>658</v>
      </c>
      <c r="E37" s="46" t="s">
        <v>1055</v>
      </c>
      <c r="F37" s="47" t="s">
        <v>1010</v>
      </c>
      <c r="G37" s="46"/>
      <c r="H37" s="47" t="s">
        <v>1025</v>
      </c>
      <c r="I37" s="47" t="s">
        <v>1023</v>
      </c>
      <c r="J37" s="48" t="s">
        <v>1059</v>
      </c>
      <c r="K37" s="46" t="s">
        <v>1048</v>
      </c>
      <c r="L37" s="46" t="s">
        <v>4</v>
      </c>
      <c r="M37" s="46" t="s">
        <v>1020</v>
      </c>
      <c r="N37" s="49">
        <v>0</v>
      </c>
      <c r="O37" s="49">
        <v>3</v>
      </c>
      <c r="P37" s="47" t="s">
        <v>1016</v>
      </c>
      <c r="Q37" s="47" t="s">
        <v>1017</v>
      </c>
      <c r="R37" s="47" t="s">
        <v>376</v>
      </c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50">
        <f>IF(L37="W",1,0)</f>
        <v>0</v>
      </c>
      <c r="AF37" s="50">
        <f>IF(L37="T",1,0)</f>
        <v>0</v>
      </c>
      <c r="AG37" s="50">
        <f>IF(L37="L",1,0)</f>
        <v>1</v>
      </c>
      <c r="AH37" s="46" t="s">
        <v>1050</v>
      </c>
      <c r="AI37" s="46" t="s">
        <v>1036</v>
      </c>
      <c r="AJ37" s="46" t="s">
        <v>376</v>
      </c>
      <c r="AK37" s="46" t="s">
        <v>658</v>
      </c>
      <c r="AL37" s="46" t="s">
        <v>1017</v>
      </c>
      <c r="AM37" s="46" t="s">
        <v>1018</v>
      </c>
      <c r="AN37" s="46" t="s">
        <v>376</v>
      </c>
      <c r="AO37" s="46" t="s">
        <v>658</v>
      </c>
      <c r="AP37" s="46"/>
      <c r="AQ37" s="46">
        <v>1</v>
      </c>
      <c r="AR37" s="46"/>
      <c r="AS37" s="46"/>
      <c r="AT37" s="46"/>
      <c r="AU37" s="46" t="s">
        <v>376</v>
      </c>
      <c r="AV37" s="46"/>
      <c r="AW37" s="46" t="s">
        <v>30</v>
      </c>
      <c r="AX37" s="46"/>
      <c r="AY37" s="46" t="s">
        <v>30</v>
      </c>
      <c r="AZ37" s="46"/>
      <c r="BA37" s="47"/>
      <c r="BB37" s="51"/>
      <c r="BC37" s="46" t="s">
        <v>30</v>
      </c>
      <c r="BD37" s="46"/>
      <c r="BE37" s="46"/>
      <c r="BF37" s="46">
        <v>1</v>
      </c>
      <c r="BG37" s="46"/>
      <c r="BH37" s="46"/>
      <c r="BI37" s="46" t="s">
        <v>1048</v>
      </c>
      <c r="BJ37" s="46" t="s">
        <v>1020</v>
      </c>
      <c r="BK37" s="46">
        <v>1876</v>
      </c>
      <c r="BL37" s="46" t="str">
        <f>BK37&amp;BI37</f>
        <v>1876Old Etonians</v>
      </c>
      <c r="BM37" s="52" t="str">
        <f>IF(AD37="Home",BI37,IF(AD37="Away",BJ37,Q37))</f>
        <v>London</v>
      </c>
      <c r="BN37" s="46"/>
      <c r="BO37" s="46"/>
      <c r="BP37" s="46"/>
      <c r="BQ37" s="46"/>
      <c r="BR37" s="46"/>
      <c r="BS37" s="46"/>
      <c r="BT37" s="46"/>
      <c r="BU37" s="46"/>
      <c r="BV37" s="46" t="s">
        <v>376</v>
      </c>
      <c r="BW37" s="46" t="s">
        <v>376</v>
      </c>
      <c r="BX37" s="46"/>
      <c r="BZ37" s="53"/>
      <c r="CA37" s="53"/>
      <c r="CB37" s="93" t="str">
        <f>IF(OR(C37="",A37="",B37=""),"",TEXT(C37,"0000")&amp;TEXT(A37,"00")&amp;TEXT(B37,"00"))</f>
        <v>18760318</v>
      </c>
    </row>
    <row r="38" spans="1:80" s="52" customFormat="1" ht="12.95" customHeight="1" x14ac:dyDescent="0.2">
      <c r="A38" s="46">
        <v>3</v>
      </c>
      <c r="B38" s="46">
        <v>20</v>
      </c>
      <c r="C38" s="46">
        <v>1877</v>
      </c>
      <c r="D38" s="46" t="s">
        <v>658</v>
      </c>
      <c r="E38" s="46" t="s">
        <v>1060</v>
      </c>
      <c r="F38" s="47" t="s">
        <v>1010</v>
      </c>
      <c r="G38" s="46"/>
      <c r="H38" s="47" t="s">
        <v>1011</v>
      </c>
      <c r="I38" s="47"/>
      <c r="J38" s="48" t="s">
        <v>1061</v>
      </c>
      <c r="K38" s="46" t="s">
        <v>1020</v>
      </c>
      <c r="L38" s="46" t="s">
        <v>3</v>
      </c>
      <c r="M38" s="46" t="s">
        <v>1062</v>
      </c>
      <c r="N38" s="49">
        <v>1</v>
      </c>
      <c r="O38" s="49">
        <v>0</v>
      </c>
      <c r="P38" s="47" t="s">
        <v>1016</v>
      </c>
      <c r="Q38" s="47" t="s">
        <v>1017</v>
      </c>
      <c r="R38" s="47" t="s">
        <v>376</v>
      </c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50">
        <f>IF(L38="W",1,0)</f>
        <v>1</v>
      </c>
      <c r="AF38" s="50">
        <f>IF(L38="T",1,0)</f>
        <v>0</v>
      </c>
      <c r="AG38" s="50">
        <f>IF(L38="L",1,0)</f>
        <v>0</v>
      </c>
      <c r="AH38" s="46" t="s">
        <v>1017</v>
      </c>
      <c r="AI38" s="46" t="s">
        <v>1018</v>
      </c>
      <c r="AJ38" s="46" t="s">
        <v>376</v>
      </c>
      <c r="AK38" s="46" t="s">
        <v>658</v>
      </c>
      <c r="AL38" s="46" t="s">
        <v>1063</v>
      </c>
      <c r="AM38" s="46" t="s">
        <v>1064</v>
      </c>
      <c r="AN38" s="46" t="s">
        <v>376</v>
      </c>
      <c r="AO38" s="46" t="s">
        <v>658</v>
      </c>
      <c r="AP38" s="46"/>
      <c r="AQ38" s="46">
        <v>2</v>
      </c>
      <c r="AR38" s="46"/>
      <c r="AS38" s="46"/>
      <c r="AT38" s="46"/>
      <c r="AU38" s="46" t="s">
        <v>376</v>
      </c>
      <c r="AV38" s="46"/>
      <c r="AW38" s="46" t="s">
        <v>30</v>
      </c>
      <c r="AX38" s="46"/>
      <c r="AY38" s="46" t="s">
        <v>30</v>
      </c>
      <c r="AZ38" s="46"/>
      <c r="BA38" s="47"/>
      <c r="BB38" s="51"/>
      <c r="BC38" s="46"/>
      <c r="BD38" s="46"/>
      <c r="BE38" s="46"/>
      <c r="BF38" s="46">
        <v>1</v>
      </c>
      <c r="BG38" s="46"/>
      <c r="BH38" s="46"/>
      <c r="BI38" s="46" t="s">
        <v>1020</v>
      </c>
      <c r="BJ38" s="46" t="s">
        <v>1062</v>
      </c>
      <c r="BK38" s="46">
        <v>1877</v>
      </c>
      <c r="BL38" s="46" t="str">
        <f>BK38&amp;BI38</f>
        <v>1877Wanderers</v>
      </c>
      <c r="BM38" s="52" t="str">
        <f>IF(AD38="Home",BI38,IF(AD38="Away",BJ38,Q38))</f>
        <v>London</v>
      </c>
      <c r="BN38" s="46"/>
      <c r="BO38" s="46"/>
      <c r="BP38" s="46"/>
      <c r="BQ38" s="46"/>
      <c r="BR38" s="46"/>
      <c r="BS38" s="46"/>
      <c r="BT38" s="46"/>
      <c r="BU38" s="46"/>
      <c r="BV38" s="46" t="s">
        <v>376</v>
      </c>
      <c r="BW38" s="46" t="s">
        <v>376</v>
      </c>
      <c r="BX38" s="46"/>
      <c r="BZ38" s="53"/>
      <c r="CA38" s="53"/>
      <c r="CB38" s="93" t="str">
        <f>IF(OR(C38="",A38="",B38=""),"",TEXT(C38,"0000")&amp;TEXT(A38,"00")&amp;TEXT(B38,"00"))</f>
        <v>18770320</v>
      </c>
    </row>
    <row r="39" spans="1:80" s="52" customFormat="1" ht="12.95" customHeight="1" x14ac:dyDescent="0.2">
      <c r="A39" s="46">
        <v>3</v>
      </c>
      <c r="B39" s="46">
        <v>20</v>
      </c>
      <c r="C39" s="46">
        <v>1877</v>
      </c>
      <c r="D39" s="46" t="s">
        <v>658</v>
      </c>
      <c r="E39" s="46" t="s">
        <v>1060</v>
      </c>
      <c r="F39" s="47" t="s">
        <v>1010</v>
      </c>
      <c r="G39" s="46"/>
      <c r="H39" s="47" t="s">
        <v>1011</v>
      </c>
      <c r="I39" s="47"/>
      <c r="J39" s="48" t="s">
        <v>1061</v>
      </c>
      <c r="K39" s="46" t="s">
        <v>1062</v>
      </c>
      <c r="L39" s="46" t="s">
        <v>4</v>
      </c>
      <c r="M39" s="46" t="s">
        <v>1020</v>
      </c>
      <c r="N39" s="49">
        <v>0</v>
      </c>
      <c r="O39" s="49">
        <v>1</v>
      </c>
      <c r="P39" s="47" t="s">
        <v>1016</v>
      </c>
      <c r="Q39" s="47" t="s">
        <v>1017</v>
      </c>
      <c r="R39" s="47" t="s">
        <v>376</v>
      </c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50">
        <f>IF(L39="W",1,0)</f>
        <v>0</v>
      </c>
      <c r="AF39" s="50">
        <f>IF(L39="T",1,0)</f>
        <v>0</v>
      </c>
      <c r="AG39" s="50">
        <f>IF(L39="L",1,0)</f>
        <v>1</v>
      </c>
      <c r="AH39" s="46" t="s">
        <v>1063</v>
      </c>
      <c r="AI39" s="46" t="s">
        <v>1064</v>
      </c>
      <c r="AJ39" s="46" t="s">
        <v>376</v>
      </c>
      <c r="AK39" s="46" t="s">
        <v>658</v>
      </c>
      <c r="AL39" s="46" t="s">
        <v>1017</v>
      </c>
      <c r="AM39" s="46" t="s">
        <v>1018</v>
      </c>
      <c r="AN39" s="46" t="s">
        <v>376</v>
      </c>
      <c r="AO39" s="46" t="s">
        <v>658</v>
      </c>
      <c r="AP39" s="46"/>
      <c r="AQ39" s="46">
        <v>2</v>
      </c>
      <c r="AR39" s="46"/>
      <c r="AS39" s="46"/>
      <c r="AT39" s="46"/>
      <c r="AU39" s="46" t="s">
        <v>376</v>
      </c>
      <c r="AV39" s="46"/>
      <c r="AW39" s="46" t="s">
        <v>30</v>
      </c>
      <c r="AX39" s="46"/>
      <c r="AY39" s="46" t="s">
        <v>30</v>
      </c>
      <c r="AZ39" s="46"/>
      <c r="BA39" s="47"/>
      <c r="BB39" s="51"/>
      <c r="BC39" s="46"/>
      <c r="BD39" s="46"/>
      <c r="BE39" s="46"/>
      <c r="BF39" s="46">
        <v>1</v>
      </c>
      <c r="BG39" s="46"/>
      <c r="BH39" s="46"/>
      <c r="BI39" s="46" t="s">
        <v>1062</v>
      </c>
      <c r="BJ39" s="46" t="s">
        <v>1020</v>
      </c>
      <c r="BK39" s="46">
        <v>1877</v>
      </c>
      <c r="BL39" s="46" t="str">
        <f>BK39&amp;BI39</f>
        <v>1877Cambridge University</v>
      </c>
      <c r="BM39" s="52" t="str">
        <f>IF(AD39="Home",BI39,IF(AD39="Away",BJ39,Q39))</f>
        <v>London</v>
      </c>
      <c r="BN39" s="46"/>
      <c r="BO39" s="46"/>
      <c r="BP39" s="46"/>
      <c r="BQ39" s="46"/>
      <c r="BR39" s="46"/>
      <c r="BS39" s="46"/>
      <c r="BT39" s="46"/>
      <c r="BU39" s="46"/>
      <c r="BV39" s="46" t="s">
        <v>376</v>
      </c>
      <c r="BW39" s="46" t="s">
        <v>376</v>
      </c>
      <c r="BX39" s="46"/>
      <c r="BZ39" s="53"/>
      <c r="CA39" s="53"/>
      <c r="CB39" s="93" t="str">
        <f>IF(OR(C39="",A39="",B39=""),"",TEXT(C39,"0000")&amp;TEXT(A39,"00")&amp;TEXT(B39,"00"))</f>
        <v>18770320</v>
      </c>
    </row>
    <row r="40" spans="1:80" s="52" customFormat="1" ht="12.95" customHeight="1" x14ac:dyDescent="0.2">
      <c r="A40" s="46">
        <v>3</v>
      </c>
      <c r="B40" s="46">
        <v>24</v>
      </c>
      <c r="C40" s="46">
        <v>1877</v>
      </c>
      <c r="D40" s="46" t="s">
        <v>658</v>
      </c>
      <c r="E40" s="46" t="s">
        <v>1060</v>
      </c>
      <c r="F40" s="47" t="s">
        <v>1010</v>
      </c>
      <c r="G40" s="46"/>
      <c r="H40" s="47" t="s">
        <v>1025</v>
      </c>
      <c r="I40" s="47"/>
      <c r="J40" s="48" t="s">
        <v>1065</v>
      </c>
      <c r="K40" s="46" t="s">
        <v>1020</v>
      </c>
      <c r="L40" s="46" t="s">
        <v>3</v>
      </c>
      <c r="M40" s="46" t="s">
        <v>1029</v>
      </c>
      <c r="N40" s="49">
        <v>2</v>
      </c>
      <c r="O40" s="49">
        <v>1</v>
      </c>
      <c r="P40" s="47" t="s">
        <v>1016</v>
      </c>
      <c r="Q40" s="47" t="s">
        <v>1017</v>
      </c>
      <c r="R40" s="47" t="s">
        <v>376</v>
      </c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50">
        <f>IF(L40="W",1,0)</f>
        <v>1</v>
      </c>
      <c r="AF40" s="50">
        <f>IF(L40="T",1,0)</f>
        <v>0</v>
      </c>
      <c r="AG40" s="50">
        <f>IF(L40="L",1,0)</f>
        <v>0</v>
      </c>
      <c r="AH40" s="46" t="s">
        <v>1017</v>
      </c>
      <c r="AI40" s="46" t="s">
        <v>1018</v>
      </c>
      <c r="AJ40" s="46" t="s">
        <v>376</v>
      </c>
      <c r="AK40" s="46" t="s">
        <v>658</v>
      </c>
      <c r="AL40" s="46" t="s">
        <v>1032</v>
      </c>
      <c r="AM40" s="46" t="s">
        <v>1034</v>
      </c>
      <c r="AN40" s="46" t="s">
        <v>376</v>
      </c>
      <c r="AO40" s="46" t="s">
        <v>658</v>
      </c>
      <c r="AP40" s="46"/>
      <c r="AQ40" s="46">
        <v>1</v>
      </c>
      <c r="AR40" s="46"/>
      <c r="AS40" s="46"/>
      <c r="AT40" s="46"/>
      <c r="AU40" s="46" t="s">
        <v>376</v>
      </c>
      <c r="AV40" s="46"/>
      <c r="AW40" s="46" t="s">
        <v>30</v>
      </c>
      <c r="AX40" s="46"/>
      <c r="AY40" s="46" t="s">
        <v>30</v>
      </c>
      <c r="AZ40" s="46"/>
      <c r="BA40" s="47"/>
      <c r="BB40" s="51" t="s">
        <v>30</v>
      </c>
      <c r="BC40" s="46" t="s">
        <v>30</v>
      </c>
      <c r="BD40" s="46"/>
      <c r="BE40" s="46"/>
      <c r="BF40" s="46">
        <v>1</v>
      </c>
      <c r="BG40" s="46"/>
      <c r="BH40" s="46"/>
      <c r="BI40" s="46" t="s">
        <v>1020</v>
      </c>
      <c r="BJ40" s="46" t="s">
        <v>1029</v>
      </c>
      <c r="BK40" s="46">
        <v>1877</v>
      </c>
      <c r="BL40" s="46" t="str">
        <f>BK40&amp;BI40</f>
        <v>1877Wanderers</v>
      </c>
      <c r="BM40" s="52" t="str">
        <f>IF(AD40="Home",BI40,IF(AD40="Away",BJ40,Q40))</f>
        <v>London</v>
      </c>
      <c r="BN40" s="46"/>
      <c r="BO40" s="46"/>
      <c r="BP40" s="46"/>
      <c r="BQ40" s="46"/>
      <c r="BR40" s="46"/>
      <c r="BS40" s="46"/>
      <c r="BT40" s="46"/>
      <c r="BU40" s="46"/>
      <c r="BV40" s="46" t="s">
        <v>376</v>
      </c>
      <c r="BW40" s="46" t="s">
        <v>376</v>
      </c>
      <c r="BX40" s="46"/>
      <c r="BZ40" s="53"/>
      <c r="CA40" s="53"/>
      <c r="CB40" s="93" t="str">
        <f>IF(OR(C40="",A40="",B40=""),"",TEXT(C40,"0000")&amp;TEXT(A40,"00")&amp;TEXT(B40,"00"))</f>
        <v>18770324</v>
      </c>
    </row>
    <row r="41" spans="1:80" s="52" customFormat="1" ht="12.95" customHeight="1" x14ac:dyDescent="0.2">
      <c r="A41" s="46">
        <v>3</v>
      </c>
      <c r="B41" s="46">
        <v>24</v>
      </c>
      <c r="C41" s="46">
        <v>1877</v>
      </c>
      <c r="D41" s="46" t="s">
        <v>658</v>
      </c>
      <c r="E41" s="46" t="s">
        <v>1060</v>
      </c>
      <c r="F41" s="47" t="s">
        <v>1010</v>
      </c>
      <c r="G41" s="46"/>
      <c r="H41" s="47" t="s">
        <v>1025</v>
      </c>
      <c r="I41" s="47"/>
      <c r="J41" s="48" t="s">
        <v>1065</v>
      </c>
      <c r="K41" s="46" t="s">
        <v>1029</v>
      </c>
      <c r="L41" s="46" t="s">
        <v>4</v>
      </c>
      <c r="M41" s="46" t="s">
        <v>1020</v>
      </c>
      <c r="N41" s="49">
        <v>1</v>
      </c>
      <c r="O41" s="49">
        <v>2</v>
      </c>
      <c r="P41" s="47" t="s">
        <v>1016</v>
      </c>
      <c r="Q41" s="47" t="s">
        <v>1017</v>
      </c>
      <c r="R41" s="47" t="s">
        <v>376</v>
      </c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50">
        <f>IF(L41="W",1,0)</f>
        <v>0</v>
      </c>
      <c r="AF41" s="50">
        <f>IF(L41="T",1,0)</f>
        <v>0</v>
      </c>
      <c r="AG41" s="50">
        <f>IF(L41="L",1,0)</f>
        <v>1</v>
      </c>
      <c r="AH41" s="46" t="s">
        <v>1032</v>
      </c>
      <c r="AI41" s="46" t="s">
        <v>1034</v>
      </c>
      <c r="AJ41" s="46" t="s">
        <v>376</v>
      </c>
      <c r="AK41" s="46" t="s">
        <v>658</v>
      </c>
      <c r="AL41" s="46" t="s">
        <v>1017</v>
      </c>
      <c r="AM41" s="46" t="s">
        <v>1018</v>
      </c>
      <c r="AN41" s="46" t="s">
        <v>376</v>
      </c>
      <c r="AO41" s="46" t="s">
        <v>658</v>
      </c>
      <c r="AP41" s="46"/>
      <c r="AQ41" s="46">
        <v>1</v>
      </c>
      <c r="AR41" s="46"/>
      <c r="AS41" s="46"/>
      <c r="AT41" s="46"/>
      <c r="AU41" s="46" t="s">
        <v>376</v>
      </c>
      <c r="AV41" s="46"/>
      <c r="AW41" s="46" t="s">
        <v>30</v>
      </c>
      <c r="AX41" s="46"/>
      <c r="AY41" s="46" t="s">
        <v>30</v>
      </c>
      <c r="AZ41" s="46"/>
      <c r="BA41" s="47"/>
      <c r="BB41" s="51"/>
      <c r="BC41" s="46" t="s">
        <v>30</v>
      </c>
      <c r="BD41" s="46"/>
      <c r="BE41" s="46"/>
      <c r="BF41" s="46">
        <v>1</v>
      </c>
      <c r="BG41" s="46"/>
      <c r="BH41" s="46"/>
      <c r="BI41" s="46" t="s">
        <v>1029</v>
      </c>
      <c r="BJ41" s="46" t="s">
        <v>1020</v>
      </c>
      <c r="BK41" s="46">
        <v>1877</v>
      </c>
      <c r="BL41" s="46" t="str">
        <f>BK41&amp;BI41</f>
        <v>1877Oxford University</v>
      </c>
      <c r="BM41" s="52" t="str">
        <f>IF(AD41="Home",BI41,IF(AD41="Away",BJ41,Q41))</f>
        <v>London</v>
      </c>
      <c r="BN41" s="46"/>
      <c r="BO41" s="46"/>
      <c r="BP41" s="46"/>
      <c r="BQ41" s="46"/>
      <c r="BR41" s="46"/>
      <c r="BS41" s="46"/>
      <c r="BT41" s="46"/>
      <c r="BU41" s="46"/>
      <c r="BV41" s="46" t="s">
        <v>376</v>
      </c>
      <c r="BW41" s="46" t="s">
        <v>376</v>
      </c>
      <c r="BX41" s="46"/>
      <c r="BZ41" s="53"/>
      <c r="CA41" s="53"/>
      <c r="CB41" s="93" t="str">
        <f>IF(OR(C41="",A41="",B41=""),"",TEXT(C41,"0000")&amp;TEXT(A41,"00")&amp;TEXT(B41,"00"))</f>
        <v>18770324</v>
      </c>
    </row>
    <row r="42" spans="1:80" s="52" customFormat="1" ht="12.95" customHeight="1" x14ac:dyDescent="0.2">
      <c r="A42" s="46">
        <v>3</v>
      </c>
      <c r="B42" s="46">
        <v>16</v>
      </c>
      <c r="C42" s="46">
        <v>1878</v>
      </c>
      <c r="D42" s="46" t="s">
        <v>658</v>
      </c>
      <c r="E42" s="46" t="s">
        <v>1066</v>
      </c>
      <c r="F42" s="47" t="s">
        <v>1010</v>
      </c>
      <c r="G42" s="46"/>
      <c r="H42" s="47" t="s">
        <v>1011</v>
      </c>
      <c r="I42" s="47"/>
      <c r="J42" s="48" t="s">
        <v>1067</v>
      </c>
      <c r="K42" s="46" t="s">
        <v>1013</v>
      </c>
      <c r="L42" s="46" t="s">
        <v>3</v>
      </c>
      <c r="M42" s="46" t="s">
        <v>1068</v>
      </c>
      <c r="N42" s="49">
        <v>2</v>
      </c>
      <c r="O42" s="49">
        <v>1</v>
      </c>
      <c r="P42" s="47" t="s">
        <v>1016</v>
      </c>
      <c r="Q42" s="47" t="s">
        <v>1017</v>
      </c>
      <c r="R42" s="47" t="s">
        <v>376</v>
      </c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50">
        <f>IF(L42="W",1,0)</f>
        <v>1</v>
      </c>
      <c r="AF42" s="50">
        <f>IF(L42="T",1,0)</f>
        <v>0</v>
      </c>
      <c r="AG42" s="50">
        <f>IF(L42="L",1,0)</f>
        <v>0</v>
      </c>
      <c r="AH42" s="46" t="s">
        <v>1017</v>
      </c>
      <c r="AI42" s="46" t="s">
        <v>1018</v>
      </c>
      <c r="AJ42" s="46" t="s">
        <v>376</v>
      </c>
      <c r="AK42" s="46" t="s">
        <v>658</v>
      </c>
      <c r="AL42" s="46" t="s">
        <v>1017</v>
      </c>
      <c r="AM42" s="46" t="s">
        <v>1018</v>
      </c>
      <c r="AN42" s="46" t="s">
        <v>376</v>
      </c>
      <c r="AO42" s="46" t="s">
        <v>658</v>
      </c>
      <c r="AP42" s="46"/>
      <c r="AQ42" s="46">
        <v>2</v>
      </c>
      <c r="AR42" s="46"/>
      <c r="AS42" s="46"/>
      <c r="AT42" s="46"/>
      <c r="AU42" s="46" t="s">
        <v>376</v>
      </c>
      <c r="AV42" s="46"/>
      <c r="AW42" s="46" t="s">
        <v>30</v>
      </c>
      <c r="AX42" s="46"/>
      <c r="AY42" s="46" t="s">
        <v>30</v>
      </c>
      <c r="AZ42" s="46"/>
      <c r="BA42" s="47"/>
      <c r="BB42" s="51"/>
      <c r="BC42" s="46"/>
      <c r="BD42" s="46"/>
      <c r="BE42" s="46"/>
      <c r="BF42" s="46">
        <v>1</v>
      </c>
      <c r="BG42" s="46"/>
      <c r="BH42" s="46"/>
      <c r="BI42" s="46" t="s">
        <v>1013</v>
      </c>
      <c r="BJ42" s="46" t="s">
        <v>1068</v>
      </c>
      <c r="BK42" s="46">
        <v>1878</v>
      </c>
      <c r="BL42" s="46" t="str">
        <f>BK42&amp;BI42</f>
        <v>1878Royal Engineers</v>
      </c>
      <c r="BM42" s="52" t="str">
        <f>IF(AD42="Home",BI42,IF(AD42="Away",BJ42,Q42))</f>
        <v>London</v>
      </c>
      <c r="BN42" s="46"/>
      <c r="BO42" s="46"/>
      <c r="BP42" s="46"/>
      <c r="BQ42" s="46"/>
      <c r="BR42" s="46"/>
      <c r="BS42" s="46"/>
      <c r="BT42" s="46"/>
      <c r="BU42" s="46"/>
      <c r="BV42" s="46" t="s">
        <v>376</v>
      </c>
      <c r="BW42" s="46" t="s">
        <v>376</v>
      </c>
      <c r="BX42" s="46"/>
      <c r="BZ42" s="53"/>
      <c r="CA42" s="53"/>
      <c r="CB42" s="93" t="str">
        <f>IF(OR(C42="",A42="",B42=""),"",TEXT(C42,"0000")&amp;TEXT(A42,"00")&amp;TEXT(B42,"00"))</f>
        <v>18780316</v>
      </c>
    </row>
    <row r="43" spans="1:80" s="52" customFormat="1" ht="12.95" customHeight="1" x14ac:dyDescent="0.2">
      <c r="A43" s="46">
        <v>3</v>
      </c>
      <c r="B43" s="46">
        <v>16</v>
      </c>
      <c r="C43" s="46">
        <v>1878</v>
      </c>
      <c r="D43" s="46" t="s">
        <v>658</v>
      </c>
      <c r="E43" s="46" t="s">
        <v>1066</v>
      </c>
      <c r="F43" s="47" t="s">
        <v>1010</v>
      </c>
      <c r="G43" s="46"/>
      <c r="H43" s="47" t="s">
        <v>1011</v>
      </c>
      <c r="I43" s="47"/>
      <c r="J43" s="48" t="s">
        <v>1067</v>
      </c>
      <c r="K43" s="46" t="s">
        <v>1068</v>
      </c>
      <c r="L43" s="46" t="s">
        <v>4</v>
      </c>
      <c r="M43" s="46" t="s">
        <v>1013</v>
      </c>
      <c r="N43" s="49">
        <v>1</v>
      </c>
      <c r="O43" s="49">
        <v>2</v>
      </c>
      <c r="P43" s="47" t="s">
        <v>1016</v>
      </c>
      <c r="Q43" s="47" t="s">
        <v>1017</v>
      </c>
      <c r="R43" s="47" t="s">
        <v>376</v>
      </c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50">
        <f>IF(L43="W",1,0)</f>
        <v>0</v>
      </c>
      <c r="AF43" s="50">
        <f>IF(L43="T",1,0)</f>
        <v>0</v>
      </c>
      <c r="AG43" s="50">
        <f>IF(L43="L",1,0)</f>
        <v>1</v>
      </c>
      <c r="AH43" s="46" t="s">
        <v>1017</v>
      </c>
      <c r="AI43" s="46" t="s">
        <v>1018</v>
      </c>
      <c r="AJ43" s="46" t="s">
        <v>376</v>
      </c>
      <c r="AK43" s="46" t="s">
        <v>658</v>
      </c>
      <c r="AL43" s="46" t="s">
        <v>1017</v>
      </c>
      <c r="AM43" s="46" t="s">
        <v>1018</v>
      </c>
      <c r="AN43" s="46" t="s">
        <v>376</v>
      </c>
      <c r="AO43" s="46" t="s">
        <v>658</v>
      </c>
      <c r="AP43" s="46"/>
      <c r="AQ43" s="46">
        <v>2</v>
      </c>
      <c r="AR43" s="46"/>
      <c r="AS43" s="46"/>
      <c r="AT43" s="46"/>
      <c r="AU43" s="46" t="s">
        <v>376</v>
      </c>
      <c r="AV43" s="46"/>
      <c r="AW43" s="46" t="s">
        <v>30</v>
      </c>
      <c r="AX43" s="46"/>
      <c r="AY43" s="46" t="s">
        <v>30</v>
      </c>
      <c r="AZ43" s="46"/>
      <c r="BA43" s="47"/>
      <c r="BB43" s="51"/>
      <c r="BC43" s="46"/>
      <c r="BD43" s="46"/>
      <c r="BE43" s="46"/>
      <c r="BF43" s="46">
        <v>1</v>
      </c>
      <c r="BG43" s="46"/>
      <c r="BH43" s="46"/>
      <c r="BI43" s="46" t="s">
        <v>1068</v>
      </c>
      <c r="BJ43" s="46" t="s">
        <v>1013</v>
      </c>
      <c r="BK43" s="46">
        <v>1878</v>
      </c>
      <c r="BL43" s="46" t="str">
        <f>BK43&amp;BI43</f>
        <v>1878Old Harrovians</v>
      </c>
      <c r="BM43" s="52" t="str">
        <f>IF(AD43="Home",BI43,IF(AD43="Away",BJ43,Q43))</f>
        <v>London</v>
      </c>
      <c r="BN43" s="46"/>
      <c r="BO43" s="46"/>
      <c r="BP43" s="46"/>
      <c r="BQ43" s="46"/>
      <c r="BR43" s="46"/>
      <c r="BS43" s="46"/>
      <c r="BT43" s="46"/>
      <c r="BU43" s="46"/>
      <c r="BV43" s="46" t="s">
        <v>376</v>
      </c>
      <c r="BW43" s="46" t="s">
        <v>376</v>
      </c>
      <c r="BX43" s="46"/>
      <c r="BZ43" s="53"/>
      <c r="CA43" s="53"/>
      <c r="CB43" s="93" t="str">
        <f>IF(OR(C43="",A43="",B43=""),"",TEXT(C43,"0000")&amp;TEXT(A43,"00")&amp;TEXT(B43,"00"))</f>
        <v>18780316</v>
      </c>
    </row>
    <row r="44" spans="1:80" s="52" customFormat="1" ht="12.95" customHeight="1" x14ac:dyDescent="0.2">
      <c r="A44" s="46">
        <v>3</v>
      </c>
      <c r="B44" s="46">
        <v>23</v>
      </c>
      <c r="C44" s="46">
        <v>1878</v>
      </c>
      <c r="D44" s="46" t="s">
        <v>658</v>
      </c>
      <c r="E44" s="46" t="s">
        <v>1066</v>
      </c>
      <c r="F44" s="47" t="s">
        <v>1010</v>
      </c>
      <c r="G44" s="46"/>
      <c r="H44" s="47" t="s">
        <v>1025</v>
      </c>
      <c r="I44" s="47"/>
      <c r="J44" s="48" t="s">
        <v>1069</v>
      </c>
      <c r="K44" s="46" t="s">
        <v>1020</v>
      </c>
      <c r="L44" s="46" t="s">
        <v>3</v>
      </c>
      <c r="M44" s="46" t="s">
        <v>1013</v>
      </c>
      <c r="N44" s="49">
        <v>3</v>
      </c>
      <c r="O44" s="49">
        <v>1</v>
      </c>
      <c r="P44" s="47" t="s">
        <v>1016</v>
      </c>
      <c r="Q44" s="47" t="s">
        <v>1017</v>
      </c>
      <c r="R44" s="47" t="s">
        <v>376</v>
      </c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50">
        <f>IF(L44="W",1,0)</f>
        <v>1</v>
      </c>
      <c r="AF44" s="50">
        <f>IF(L44="T",1,0)</f>
        <v>0</v>
      </c>
      <c r="AG44" s="50">
        <f>IF(L44="L",1,0)</f>
        <v>0</v>
      </c>
      <c r="AH44" s="46" t="s">
        <v>1017</v>
      </c>
      <c r="AI44" s="46" t="s">
        <v>1018</v>
      </c>
      <c r="AJ44" s="46" t="s">
        <v>376</v>
      </c>
      <c r="AK44" s="46" t="s">
        <v>658</v>
      </c>
      <c r="AL44" s="46" t="s">
        <v>1017</v>
      </c>
      <c r="AM44" s="46" t="s">
        <v>1018</v>
      </c>
      <c r="AN44" s="46" t="s">
        <v>376</v>
      </c>
      <c r="AO44" s="46" t="s">
        <v>658</v>
      </c>
      <c r="AP44" s="46"/>
      <c r="AQ44" s="46">
        <v>1</v>
      </c>
      <c r="AR44" s="46"/>
      <c r="AS44" s="46"/>
      <c r="AT44" s="46"/>
      <c r="AU44" s="46" t="s">
        <v>376</v>
      </c>
      <c r="AV44" s="46"/>
      <c r="AW44" s="46" t="s">
        <v>30</v>
      </c>
      <c r="AX44" s="46"/>
      <c r="AY44" s="46" t="s">
        <v>30</v>
      </c>
      <c r="AZ44" s="46"/>
      <c r="BA44" s="47"/>
      <c r="BB44" s="51" t="s">
        <v>30</v>
      </c>
      <c r="BC44" s="46" t="s">
        <v>30</v>
      </c>
      <c r="BD44" s="46"/>
      <c r="BE44" s="46"/>
      <c r="BF44" s="46">
        <v>1</v>
      </c>
      <c r="BG44" s="46"/>
      <c r="BH44" s="46"/>
      <c r="BI44" s="46" t="s">
        <v>1020</v>
      </c>
      <c r="BJ44" s="46" t="s">
        <v>1013</v>
      </c>
      <c r="BK44" s="46">
        <v>1878</v>
      </c>
      <c r="BL44" s="46" t="str">
        <f>BK44&amp;BI44</f>
        <v>1878Wanderers</v>
      </c>
      <c r="BM44" s="52" t="str">
        <f>IF(AD44="Home",BI44,IF(AD44="Away",BJ44,Q44))</f>
        <v>London</v>
      </c>
      <c r="BN44" s="46"/>
      <c r="BO44" s="46"/>
      <c r="BP44" s="46"/>
      <c r="BQ44" s="46"/>
      <c r="BR44" s="46"/>
      <c r="BS44" s="46"/>
      <c r="BT44" s="46"/>
      <c r="BU44" s="46"/>
      <c r="BV44" s="46" t="s">
        <v>376</v>
      </c>
      <c r="BW44" s="46" t="s">
        <v>376</v>
      </c>
      <c r="BX44" s="46"/>
      <c r="BZ44" s="53"/>
      <c r="CA44" s="53"/>
      <c r="CB44" s="93" t="str">
        <f>IF(OR(C44="",A44="",B44=""),"",TEXT(C44,"0000")&amp;TEXT(A44,"00")&amp;TEXT(B44,"00"))</f>
        <v>18780323</v>
      </c>
    </row>
    <row r="45" spans="1:80" s="52" customFormat="1" ht="12.95" customHeight="1" x14ac:dyDescent="0.2">
      <c r="A45" s="46">
        <v>3</v>
      </c>
      <c r="B45" s="46">
        <v>23</v>
      </c>
      <c r="C45" s="46">
        <v>1878</v>
      </c>
      <c r="D45" s="46" t="s">
        <v>658</v>
      </c>
      <c r="E45" s="46" t="s">
        <v>1066</v>
      </c>
      <c r="F45" s="47" t="s">
        <v>1010</v>
      </c>
      <c r="G45" s="46"/>
      <c r="H45" s="47" t="s">
        <v>1025</v>
      </c>
      <c r="I45" s="47"/>
      <c r="J45" s="48" t="s">
        <v>1069</v>
      </c>
      <c r="K45" s="46" t="s">
        <v>1013</v>
      </c>
      <c r="L45" s="46" t="s">
        <v>4</v>
      </c>
      <c r="M45" s="46" t="s">
        <v>1020</v>
      </c>
      <c r="N45" s="49">
        <v>1</v>
      </c>
      <c r="O45" s="49">
        <v>3</v>
      </c>
      <c r="P45" s="47" t="s">
        <v>1016</v>
      </c>
      <c r="Q45" s="47" t="s">
        <v>1017</v>
      </c>
      <c r="R45" s="47" t="s">
        <v>376</v>
      </c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50">
        <f>IF(L45="W",1,0)</f>
        <v>0</v>
      </c>
      <c r="AF45" s="50">
        <f>IF(L45="T",1,0)</f>
        <v>0</v>
      </c>
      <c r="AG45" s="50">
        <f>IF(L45="L",1,0)</f>
        <v>1</v>
      </c>
      <c r="AH45" s="46" t="s">
        <v>1017</v>
      </c>
      <c r="AI45" s="46" t="s">
        <v>1018</v>
      </c>
      <c r="AJ45" s="46" t="s">
        <v>376</v>
      </c>
      <c r="AK45" s="46" t="s">
        <v>658</v>
      </c>
      <c r="AL45" s="46" t="s">
        <v>1017</v>
      </c>
      <c r="AM45" s="46" t="s">
        <v>1018</v>
      </c>
      <c r="AN45" s="46" t="s">
        <v>376</v>
      </c>
      <c r="AO45" s="46" t="s">
        <v>658</v>
      </c>
      <c r="AP45" s="46"/>
      <c r="AQ45" s="46">
        <v>1</v>
      </c>
      <c r="AR45" s="46"/>
      <c r="AS45" s="46"/>
      <c r="AT45" s="46"/>
      <c r="AU45" s="46" t="s">
        <v>376</v>
      </c>
      <c r="AV45" s="46"/>
      <c r="AW45" s="46" t="s">
        <v>30</v>
      </c>
      <c r="AX45" s="46"/>
      <c r="AY45" s="46" t="s">
        <v>30</v>
      </c>
      <c r="AZ45" s="46"/>
      <c r="BA45" s="47"/>
      <c r="BB45" s="51"/>
      <c r="BC45" s="46" t="s">
        <v>30</v>
      </c>
      <c r="BD45" s="46"/>
      <c r="BE45" s="46"/>
      <c r="BF45" s="46">
        <v>1</v>
      </c>
      <c r="BG45" s="46"/>
      <c r="BH45" s="46"/>
      <c r="BI45" s="46" t="s">
        <v>1013</v>
      </c>
      <c r="BJ45" s="46" t="s">
        <v>1020</v>
      </c>
      <c r="BK45" s="46">
        <v>1878</v>
      </c>
      <c r="BL45" s="46" t="str">
        <f>BK45&amp;BI45</f>
        <v>1878Royal Engineers</v>
      </c>
      <c r="BM45" s="52" t="str">
        <f>IF(AD45="Home",BI45,IF(AD45="Away",BJ45,Q45))</f>
        <v>London</v>
      </c>
      <c r="BN45" s="46"/>
      <c r="BO45" s="46"/>
      <c r="BP45" s="46"/>
      <c r="BQ45" s="46"/>
      <c r="BR45" s="46"/>
      <c r="BS45" s="46"/>
      <c r="BT45" s="46"/>
      <c r="BU45" s="46"/>
      <c r="BV45" s="46" t="s">
        <v>376</v>
      </c>
      <c r="BW45" s="46" t="s">
        <v>376</v>
      </c>
      <c r="BX45" s="46"/>
      <c r="BZ45" s="53"/>
      <c r="CA45" s="53"/>
      <c r="CB45" s="93" t="str">
        <f>IF(OR(C45="",A45="",B45=""),"",TEXT(C45,"0000")&amp;TEXT(A45,"00")&amp;TEXT(B45,"00"))</f>
        <v>18780323</v>
      </c>
    </row>
    <row r="46" spans="1:80" s="52" customFormat="1" ht="12.95" customHeight="1" x14ac:dyDescent="0.2">
      <c r="A46" s="46">
        <v>3</v>
      </c>
      <c r="B46" s="46">
        <v>22</v>
      </c>
      <c r="C46" s="46">
        <v>1879</v>
      </c>
      <c r="D46" s="46" t="s">
        <v>658</v>
      </c>
      <c r="E46" s="46" t="s">
        <v>1070</v>
      </c>
      <c r="F46" s="47" t="s">
        <v>1010</v>
      </c>
      <c r="G46" s="46"/>
      <c r="H46" s="47" t="s">
        <v>1011</v>
      </c>
      <c r="I46" s="47"/>
      <c r="J46" s="48" t="s">
        <v>1071</v>
      </c>
      <c r="K46" s="46" t="s">
        <v>1048</v>
      </c>
      <c r="L46" s="46" t="s">
        <v>3</v>
      </c>
      <c r="M46" s="46" t="s">
        <v>1072</v>
      </c>
      <c r="N46" s="49">
        <v>2</v>
      </c>
      <c r="O46" s="49">
        <v>1</v>
      </c>
      <c r="P46" s="47" t="s">
        <v>1016</v>
      </c>
      <c r="Q46" s="47" t="s">
        <v>1017</v>
      </c>
      <c r="R46" s="47" t="s">
        <v>376</v>
      </c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50">
        <f>IF(L46="W",1,0)</f>
        <v>1</v>
      </c>
      <c r="AF46" s="50">
        <f>IF(L46="T",1,0)</f>
        <v>0</v>
      </c>
      <c r="AG46" s="50">
        <f>IF(L46="L",1,0)</f>
        <v>0</v>
      </c>
      <c r="AH46" s="46" t="s">
        <v>1050</v>
      </c>
      <c r="AI46" s="46" t="s">
        <v>1036</v>
      </c>
      <c r="AJ46" s="46" t="s">
        <v>376</v>
      </c>
      <c r="AK46" s="46" t="s">
        <v>658</v>
      </c>
      <c r="AL46" s="46" t="s">
        <v>1073</v>
      </c>
      <c r="AM46" s="46" t="s">
        <v>1074</v>
      </c>
      <c r="AN46" s="46" t="s">
        <v>376</v>
      </c>
      <c r="AO46" s="46" t="s">
        <v>658</v>
      </c>
      <c r="AP46" s="46"/>
      <c r="AQ46" s="46">
        <v>2</v>
      </c>
      <c r="AR46" s="46"/>
      <c r="AS46" s="46"/>
      <c r="AT46" s="46"/>
      <c r="AU46" s="46" t="s">
        <v>376</v>
      </c>
      <c r="AV46" s="46"/>
      <c r="AW46" s="46" t="s">
        <v>30</v>
      </c>
      <c r="AX46" s="46"/>
      <c r="AY46" s="46" t="s">
        <v>30</v>
      </c>
      <c r="AZ46" s="46"/>
      <c r="BA46" s="47"/>
      <c r="BB46" s="51"/>
      <c r="BC46" s="46"/>
      <c r="BD46" s="46"/>
      <c r="BE46" s="46"/>
      <c r="BF46" s="46">
        <v>1</v>
      </c>
      <c r="BG46" s="46"/>
      <c r="BH46" s="46"/>
      <c r="BI46" s="46" t="s">
        <v>1048</v>
      </c>
      <c r="BJ46" s="46" t="s">
        <v>1072</v>
      </c>
      <c r="BK46" s="46">
        <v>1879</v>
      </c>
      <c r="BL46" s="46" t="str">
        <f>BK46&amp;BI46</f>
        <v>1879Old Etonians</v>
      </c>
      <c r="BM46" s="52" t="str">
        <f>IF(AD46="Home",BI46,IF(AD46="Away",BJ46,Q46))</f>
        <v>London</v>
      </c>
      <c r="BN46" s="46"/>
      <c r="BO46" s="46"/>
      <c r="BP46" s="46"/>
      <c r="BQ46" s="46"/>
      <c r="BR46" s="46"/>
      <c r="BS46" s="46"/>
      <c r="BT46" s="46"/>
      <c r="BU46" s="46"/>
      <c r="BV46" s="46" t="s">
        <v>376</v>
      </c>
      <c r="BW46" s="46" t="s">
        <v>376</v>
      </c>
      <c r="BX46" s="46"/>
      <c r="BZ46" s="53"/>
      <c r="CA46" s="53"/>
      <c r="CB46" s="93" t="str">
        <f>IF(OR(C46="",A46="",B46=""),"",TEXT(C46,"0000")&amp;TEXT(A46,"00")&amp;TEXT(B46,"00"))</f>
        <v>18790322</v>
      </c>
    </row>
    <row r="47" spans="1:80" s="52" customFormat="1" ht="12.95" customHeight="1" x14ac:dyDescent="0.2">
      <c r="A47" s="46">
        <v>3</v>
      </c>
      <c r="B47" s="46">
        <v>22</v>
      </c>
      <c r="C47" s="46">
        <v>1879</v>
      </c>
      <c r="D47" s="46" t="s">
        <v>658</v>
      </c>
      <c r="E47" s="46" t="s">
        <v>1070</v>
      </c>
      <c r="F47" s="47" t="s">
        <v>1010</v>
      </c>
      <c r="G47" s="46"/>
      <c r="H47" s="47" t="s">
        <v>1011</v>
      </c>
      <c r="I47" s="47"/>
      <c r="J47" s="48" t="s">
        <v>1071</v>
      </c>
      <c r="K47" s="46" t="s">
        <v>1072</v>
      </c>
      <c r="L47" s="46" t="s">
        <v>4</v>
      </c>
      <c r="M47" s="46" t="s">
        <v>1048</v>
      </c>
      <c r="N47" s="49">
        <v>1</v>
      </c>
      <c r="O47" s="49">
        <v>2</v>
      </c>
      <c r="P47" s="47" t="s">
        <v>1016</v>
      </c>
      <c r="Q47" s="47" t="s">
        <v>1017</v>
      </c>
      <c r="R47" s="47" t="s">
        <v>376</v>
      </c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50">
        <f>IF(L47="W",1,0)</f>
        <v>0</v>
      </c>
      <c r="AF47" s="50">
        <f>IF(L47="T",1,0)</f>
        <v>0</v>
      </c>
      <c r="AG47" s="50">
        <f>IF(L47="L",1,0)</f>
        <v>1</v>
      </c>
      <c r="AH47" s="46" t="s">
        <v>1073</v>
      </c>
      <c r="AI47" s="46" t="s">
        <v>1074</v>
      </c>
      <c r="AJ47" s="46" t="s">
        <v>376</v>
      </c>
      <c r="AK47" s="46" t="s">
        <v>658</v>
      </c>
      <c r="AL47" s="46" t="s">
        <v>1050</v>
      </c>
      <c r="AM47" s="46" t="s">
        <v>1036</v>
      </c>
      <c r="AN47" s="46" t="s">
        <v>376</v>
      </c>
      <c r="AO47" s="46" t="s">
        <v>658</v>
      </c>
      <c r="AP47" s="46"/>
      <c r="AQ47" s="46">
        <v>2</v>
      </c>
      <c r="AR47" s="46"/>
      <c r="AS47" s="46"/>
      <c r="AT47" s="46"/>
      <c r="AU47" s="46" t="s">
        <v>376</v>
      </c>
      <c r="AV47" s="46"/>
      <c r="AW47" s="46" t="s">
        <v>30</v>
      </c>
      <c r="AX47" s="46"/>
      <c r="AY47" s="46" t="s">
        <v>30</v>
      </c>
      <c r="AZ47" s="46"/>
      <c r="BA47" s="47"/>
      <c r="BB47" s="51"/>
      <c r="BC47" s="46"/>
      <c r="BD47" s="46"/>
      <c r="BE47" s="46"/>
      <c r="BF47" s="46">
        <v>1</v>
      </c>
      <c r="BG47" s="46"/>
      <c r="BH47" s="46"/>
      <c r="BI47" s="46" t="s">
        <v>1072</v>
      </c>
      <c r="BJ47" s="46" t="s">
        <v>1048</v>
      </c>
      <c r="BK47" s="46">
        <v>1879</v>
      </c>
      <c r="BL47" s="46" t="str">
        <f>BK47&amp;BI47</f>
        <v>1879Nottingham Forest</v>
      </c>
      <c r="BM47" s="52" t="str">
        <f>IF(AD47="Home",BI47,IF(AD47="Away",BJ47,Q47))</f>
        <v>London</v>
      </c>
      <c r="BN47" s="46"/>
      <c r="BO47" s="46"/>
      <c r="BP47" s="46"/>
      <c r="BQ47" s="46"/>
      <c r="BR47" s="46"/>
      <c r="BS47" s="46"/>
      <c r="BT47" s="46"/>
      <c r="BU47" s="46"/>
      <c r="BV47" s="46" t="s">
        <v>376</v>
      </c>
      <c r="BW47" s="46" t="s">
        <v>376</v>
      </c>
      <c r="BX47" s="46"/>
      <c r="BZ47" s="53"/>
      <c r="CA47" s="53"/>
      <c r="CB47" s="93" t="str">
        <f>IF(OR(C47="",A47="",B47=""),"",TEXT(C47,"0000")&amp;TEXT(A47,"00")&amp;TEXT(B47,"00"))</f>
        <v>18790322</v>
      </c>
    </row>
    <row r="48" spans="1:80" s="52" customFormat="1" ht="12.95" customHeight="1" x14ac:dyDescent="0.2">
      <c r="A48" s="46">
        <v>3</v>
      </c>
      <c r="B48" s="46">
        <v>29</v>
      </c>
      <c r="C48" s="46">
        <v>1879</v>
      </c>
      <c r="D48" s="46" t="s">
        <v>658</v>
      </c>
      <c r="E48" s="46" t="s">
        <v>1070</v>
      </c>
      <c r="F48" s="47" t="s">
        <v>1010</v>
      </c>
      <c r="G48" s="46"/>
      <c r="H48" s="47" t="s">
        <v>1025</v>
      </c>
      <c r="I48" s="47"/>
      <c r="J48" s="48" t="s">
        <v>1075</v>
      </c>
      <c r="K48" s="46" t="s">
        <v>1048</v>
      </c>
      <c r="L48" s="46" t="s">
        <v>3</v>
      </c>
      <c r="M48" s="46" t="s">
        <v>1044</v>
      </c>
      <c r="N48" s="49">
        <v>1</v>
      </c>
      <c r="O48" s="49">
        <v>0</v>
      </c>
      <c r="P48" s="47" t="s">
        <v>1016</v>
      </c>
      <c r="Q48" s="47" t="s">
        <v>1017</v>
      </c>
      <c r="R48" s="47" t="s">
        <v>376</v>
      </c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50">
        <f>IF(L48="W",1,0)</f>
        <v>1</v>
      </c>
      <c r="AF48" s="50">
        <f>IF(L48="T",1,0)</f>
        <v>0</v>
      </c>
      <c r="AG48" s="50">
        <f>IF(L48="L",1,0)</f>
        <v>0</v>
      </c>
      <c r="AH48" s="46" t="s">
        <v>1050</v>
      </c>
      <c r="AI48" s="46" t="s">
        <v>1036</v>
      </c>
      <c r="AJ48" s="46" t="s">
        <v>376</v>
      </c>
      <c r="AK48" s="46" t="s">
        <v>658</v>
      </c>
      <c r="AL48" s="46" t="s">
        <v>1017</v>
      </c>
      <c r="AM48" s="46" t="s">
        <v>1018</v>
      </c>
      <c r="AN48" s="46" t="s">
        <v>376</v>
      </c>
      <c r="AO48" s="46" t="s">
        <v>658</v>
      </c>
      <c r="AP48" s="46"/>
      <c r="AQ48" s="46">
        <v>1</v>
      </c>
      <c r="AR48" s="46"/>
      <c r="AS48" s="46"/>
      <c r="AT48" s="46"/>
      <c r="AU48" s="46" t="s">
        <v>376</v>
      </c>
      <c r="AV48" s="46"/>
      <c r="AW48" s="46" t="s">
        <v>30</v>
      </c>
      <c r="AX48" s="46"/>
      <c r="AY48" s="46" t="s">
        <v>30</v>
      </c>
      <c r="AZ48" s="46"/>
      <c r="BA48" s="47"/>
      <c r="BB48" s="51" t="s">
        <v>30</v>
      </c>
      <c r="BC48" s="46" t="s">
        <v>30</v>
      </c>
      <c r="BD48" s="46"/>
      <c r="BE48" s="46"/>
      <c r="BF48" s="46">
        <v>1</v>
      </c>
      <c r="BG48" s="46"/>
      <c r="BH48" s="46"/>
      <c r="BI48" s="46" t="s">
        <v>1048</v>
      </c>
      <c r="BJ48" s="46" t="s">
        <v>1044</v>
      </c>
      <c r="BK48" s="46">
        <v>1879</v>
      </c>
      <c r="BL48" s="46" t="str">
        <f>BK48&amp;BI48</f>
        <v>1879Old Etonians</v>
      </c>
      <c r="BM48" s="52" t="str">
        <f>IF(AD48="Home",BI48,IF(AD48="Away",BJ48,Q48))</f>
        <v>London</v>
      </c>
      <c r="BN48" s="46"/>
      <c r="BO48" s="46"/>
      <c r="BP48" s="46"/>
      <c r="BQ48" s="46"/>
      <c r="BR48" s="46"/>
      <c r="BS48" s="46"/>
      <c r="BT48" s="46"/>
      <c r="BU48" s="46"/>
      <c r="BV48" s="46" t="s">
        <v>376</v>
      </c>
      <c r="BW48" s="46" t="s">
        <v>376</v>
      </c>
      <c r="BX48" s="46"/>
      <c r="BZ48" s="53"/>
      <c r="CA48" s="53"/>
      <c r="CB48" s="93" t="str">
        <f>IF(OR(C48="",A48="",B48=""),"",TEXT(C48,"0000")&amp;TEXT(A48,"00")&amp;TEXT(B48,"00"))</f>
        <v>18790329</v>
      </c>
    </row>
    <row r="49" spans="1:80" s="52" customFormat="1" ht="12.95" customHeight="1" x14ac:dyDescent="0.2">
      <c r="A49" s="46">
        <v>3</v>
      </c>
      <c r="B49" s="46">
        <v>29</v>
      </c>
      <c r="C49" s="46">
        <v>1879</v>
      </c>
      <c r="D49" s="46" t="s">
        <v>658</v>
      </c>
      <c r="E49" s="46" t="s">
        <v>1070</v>
      </c>
      <c r="F49" s="47" t="s">
        <v>1010</v>
      </c>
      <c r="G49" s="46"/>
      <c r="H49" s="47" t="s">
        <v>1025</v>
      </c>
      <c r="I49" s="47"/>
      <c r="J49" s="48" t="s">
        <v>1075</v>
      </c>
      <c r="K49" s="46" t="s">
        <v>1044</v>
      </c>
      <c r="L49" s="46" t="s">
        <v>4</v>
      </c>
      <c r="M49" s="46" t="s">
        <v>1048</v>
      </c>
      <c r="N49" s="49">
        <v>0</v>
      </c>
      <c r="O49" s="49">
        <v>1</v>
      </c>
      <c r="P49" s="47" t="s">
        <v>1016</v>
      </c>
      <c r="Q49" s="47" t="s">
        <v>1017</v>
      </c>
      <c r="R49" s="47" t="s">
        <v>376</v>
      </c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50">
        <f>IF(L49="W",1,0)</f>
        <v>0</v>
      </c>
      <c r="AF49" s="50">
        <f>IF(L49="T",1,0)</f>
        <v>0</v>
      </c>
      <c r="AG49" s="50">
        <f>IF(L49="L",1,0)</f>
        <v>1</v>
      </c>
      <c r="AH49" s="46" t="s">
        <v>1017</v>
      </c>
      <c r="AI49" s="46" t="s">
        <v>1018</v>
      </c>
      <c r="AJ49" s="46" t="s">
        <v>376</v>
      </c>
      <c r="AK49" s="46" t="s">
        <v>658</v>
      </c>
      <c r="AL49" s="46" t="s">
        <v>1050</v>
      </c>
      <c r="AM49" s="46" t="s">
        <v>1036</v>
      </c>
      <c r="AN49" s="46" t="s">
        <v>376</v>
      </c>
      <c r="AO49" s="46" t="s">
        <v>658</v>
      </c>
      <c r="AP49" s="46"/>
      <c r="AQ49" s="46">
        <v>1</v>
      </c>
      <c r="AR49" s="46"/>
      <c r="AS49" s="46"/>
      <c r="AT49" s="46"/>
      <c r="AU49" s="46" t="s">
        <v>376</v>
      </c>
      <c r="AV49" s="46"/>
      <c r="AW49" s="46" t="s">
        <v>30</v>
      </c>
      <c r="AX49" s="46"/>
      <c r="AY49" s="46" t="s">
        <v>30</v>
      </c>
      <c r="AZ49" s="46"/>
      <c r="BA49" s="47"/>
      <c r="BB49" s="51"/>
      <c r="BC49" s="46" t="s">
        <v>30</v>
      </c>
      <c r="BD49" s="46"/>
      <c r="BE49" s="46"/>
      <c r="BF49" s="46">
        <v>1</v>
      </c>
      <c r="BG49" s="46"/>
      <c r="BH49" s="46"/>
      <c r="BI49" s="46" t="s">
        <v>1044</v>
      </c>
      <c r="BJ49" s="46" t="s">
        <v>1048</v>
      </c>
      <c r="BK49" s="46">
        <v>1879</v>
      </c>
      <c r="BL49" s="46" t="str">
        <f>BK49&amp;BI49</f>
        <v>1879Clapham Rovers</v>
      </c>
      <c r="BM49" s="52" t="str">
        <f>IF(AD49="Home",BI49,IF(AD49="Away",BJ49,Q49))</f>
        <v>London</v>
      </c>
      <c r="BN49" s="46"/>
      <c r="BO49" s="46"/>
      <c r="BP49" s="46"/>
      <c r="BQ49" s="46"/>
      <c r="BR49" s="46"/>
      <c r="BS49" s="46"/>
      <c r="BT49" s="46"/>
      <c r="BU49" s="46"/>
      <c r="BV49" s="46" t="s">
        <v>376</v>
      </c>
      <c r="BW49" s="46" t="s">
        <v>376</v>
      </c>
      <c r="BX49" s="46"/>
      <c r="BZ49" s="53"/>
      <c r="CA49" s="53"/>
      <c r="CB49" s="93" t="str">
        <f>IF(OR(C49="",A49="",B49=""),"",TEXT(C49,"0000")&amp;TEXT(A49,"00")&amp;TEXT(B49,"00"))</f>
        <v>18790329</v>
      </c>
    </row>
    <row r="50" spans="1:80" s="52" customFormat="1" ht="12.95" customHeight="1" x14ac:dyDescent="0.2">
      <c r="A50" s="46">
        <v>3</v>
      </c>
      <c r="B50" s="46">
        <v>27</v>
      </c>
      <c r="C50" s="46">
        <v>1880</v>
      </c>
      <c r="D50" s="46" t="s">
        <v>658</v>
      </c>
      <c r="E50" s="46" t="s">
        <v>1076</v>
      </c>
      <c r="F50" s="47" t="s">
        <v>1010</v>
      </c>
      <c r="G50" s="46"/>
      <c r="H50" s="47" t="s">
        <v>1011</v>
      </c>
      <c r="I50" s="47"/>
      <c r="J50" s="48" t="s">
        <v>1077</v>
      </c>
      <c r="K50" s="46" t="s">
        <v>1029</v>
      </c>
      <c r="L50" s="46" t="s">
        <v>3</v>
      </c>
      <c r="M50" s="46" t="s">
        <v>1072</v>
      </c>
      <c r="N50" s="49">
        <v>1</v>
      </c>
      <c r="O50" s="49">
        <v>0</v>
      </c>
      <c r="P50" s="47" t="s">
        <v>1016</v>
      </c>
      <c r="Q50" s="47" t="s">
        <v>1017</v>
      </c>
      <c r="R50" s="47" t="s">
        <v>376</v>
      </c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50">
        <f>IF(L50="W",1,0)</f>
        <v>1</v>
      </c>
      <c r="AF50" s="50">
        <f>IF(L50="T",1,0)</f>
        <v>0</v>
      </c>
      <c r="AG50" s="50">
        <f>IF(L50="L",1,0)</f>
        <v>0</v>
      </c>
      <c r="AH50" s="46" t="s">
        <v>1032</v>
      </c>
      <c r="AI50" s="46" t="s">
        <v>1034</v>
      </c>
      <c r="AJ50" s="46" t="s">
        <v>376</v>
      </c>
      <c r="AK50" s="46" t="s">
        <v>658</v>
      </c>
      <c r="AL50" s="46" t="s">
        <v>1073</v>
      </c>
      <c r="AM50" s="46" t="s">
        <v>1074</v>
      </c>
      <c r="AN50" s="46" t="s">
        <v>376</v>
      </c>
      <c r="AO50" s="46" t="s">
        <v>658</v>
      </c>
      <c r="AP50" s="46"/>
      <c r="AQ50" s="46">
        <v>2</v>
      </c>
      <c r="AR50" s="46"/>
      <c r="AS50" s="46"/>
      <c r="AT50" s="46"/>
      <c r="AU50" s="46" t="s">
        <v>376</v>
      </c>
      <c r="AV50" s="46"/>
      <c r="AW50" s="46" t="s">
        <v>30</v>
      </c>
      <c r="AX50" s="46"/>
      <c r="AY50" s="46" t="s">
        <v>30</v>
      </c>
      <c r="AZ50" s="46"/>
      <c r="BA50" s="47"/>
      <c r="BB50" s="51"/>
      <c r="BC50" s="46"/>
      <c r="BD50" s="46"/>
      <c r="BE50" s="46"/>
      <c r="BF50" s="46">
        <v>1</v>
      </c>
      <c r="BG50" s="46"/>
      <c r="BH50" s="46"/>
      <c r="BI50" s="46" t="s">
        <v>1029</v>
      </c>
      <c r="BJ50" s="46" t="s">
        <v>1072</v>
      </c>
      <c r="BK50" s="46">
        <v>1880</v>
      </c>
      <c r="BL50" s="46" t="str">
        <f>BK50&amp;BI50</f>
        <v>1880Oxford University</v>
      </c>
      <c r="BM50" s="52" t="str">
        <f>IF(AD50="Home",BI50,IF(AD50="Away",BJ50,Q50))</f>
        <v>London</v>
      </c>
      <c r="BN50" s="46"/>
      <c r="BO50" s="46"/>
      <c r="BP50" s="46"/>
      <c r="BQ50" s="46"/>
      <c r="BR50" s="46"/>
      <c r="BS50" s="46"/>
      <c r="BT50" s="46"/>
      <c r="BU50" s="46"/>
      <c r="BV50" s="46" t="s">
        <v>376</v>
      </c>
      <c r="BW50" s="46" t="s">
        <v>376</v>
      </c>
      <c r="BX50" s="46"/>
      <c r="BZ50" s="53"/>
      <c r="CA50" s="53"/>
      <c r="CB50" s="93" t="str">
        <f>IF(OR(C50="",A50="",B50=""),"",TEXT(C50,"0000")&amp;TEXT(A50,"00")&amp;TEXT(B50,"00"))</f>
        <v>18800327</v>
      </c>
    </row>
    <row r="51" spans="1:80" s="52" customFormat="1" ht="12.95" customHeight="1" x14ac:dyDescent="0.2">
      <c r="A51" s="46">
        <v>3</v>
      </c>
      <c r="B51" s="46">
        <v>27</v>
      </c>
      <c r="C51" s="46">
        <v>1880</v>
      </c>
      <c r="D51" s="46" t="s">
        <v>658</v>
      </c>
      <c r="E51" s="46" t="s">
        <v>1076</v>
      </c>
      <c r="F51" s="47" t="s">
        <v>1010</v>
      </c>
      <c r="G51" s="46"/>
      <c r="H51" s="47" t="s">
        <v>1011</v>
      </c>
      <c r="I51" s="47"/>
      <c r="J51" s="48" t="s">
        <v>1077</v>
      </c>
      <c r="K51" s="46" t="s">
        <v>1072</v>
      </c>
      <c r="L51" s="46" t="s">
        <v>4</v>
      </c>
      <c r="M51" s="46" t="s">
        <v>1029</v>
      </c>
      <c r="N51" s="49">
        <v>0</v>
      </c>
      <c r="O51" s="49">
        <v>1</v>
      </c>
      <c r="P51" s="47" t="s">
        <v>1016</v>
      </c>
      <c r="Q51" s="47" t="s">
        <v>1017</v>
      </c>
      <c r="R51" s="47" t="s">
        <v>376</v>
      </c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50">
        <f>IF(L51="W",1,0)</f>
        <v>0</v>
      </c>
      <c r="AF51" s="50">
        <f>IF(L51="T",1,0)</f>
        <v>0</v>
      </c>
      <c r="AG51" s="50">
        <f>IF(L51="L",1,0)</f>
        <v>1</v>
      </c>
      <c r="AH51" s="46" t="s">
        <v>1073</v>
      </c>
      <c r="AI51" s="46" t="s">
        <v>1074</v>
      </c>
      <c r="AJ51" s="46" t="s">
        <v>376</v>
      </c>
      <c r="AK51" s="46" t="s">
        <v>658</v>
      </c>
      <c r="AL51" s="46" t="s">
        <v>1032</v>
      </c>
      <c r="AM51" s="46" t="s">
        <v>1034</v>
      </c>
      <c r="AN51" s="46" t="s">
        <v>376</v>
      </c>
      <c r="AO51" s="46" t="s">
        <v>658</v>
      </c>
      <c r="AP51" s="46"/>
      <c r="AQ51" s="46">
        <v>2</v>
      </c>
      <c r="AR51" s="46"/>
      <c r="AS51" s="46"/>
      <c r="AT51" s="46"/>
      <c r="AU51" s="46" t="s">
        <v>376</v>
      </c>
      <c r="AV51" s="46"/>
      <c r="AW51" s="46" t="s">
        <v>30</v>
      </c>
      <c r="AX51" s="46"/>
      <c r="AY51" s="46" t="s">
        <v>30</v>
      </c>
      <c r="AZ51" s="46"/>
      <c r="BA51" s="47"/>
      <c r="BB51" s="51"/>
      <c r="BC51" s="46"/>
      <c r="BD51" s="46"/>
      <c r="BE51" s="46"/>
      <c r="BF51" s="46">
        <v>1</v>
      </c>
      <c r="BG51" s="46"/>
      <c r="BH51" s="46"/>
      <c r="BI51" s="46" t="s">
        <v>1072</v>
      </c>
      <c r="BJ51" s="46" t="s">
        <v>1029</v>
      </c>
      <c r="BK51" s="46">
        <v>1880</v>
      </c>
      <c r="BL51" s="46" t="str">
        <f>BK51&amp;BI51</f>
        <v>1880Nottingham Forest</v>
      </c>
      <c r="BM51" s="52" t="str">
        <f>IF(AD51="Home",BI51,IF(AD51="Away",BJ51,Q51))</f>
        <v>London</v>
      </c>
      <c r="BN51" s="46"/>
      <c r="BO51" s="46"/>
      <c r="BP51" s="46"/>
      <c r="BQ51" s="46"/>
      <c r="BR51" s="46"/>
      <c r="BS51" s="46"/>
      <c r="BT51" s="46"/>
      <c r="BU51" s="46"/>
      <c r="BV51" s="46" t="s">
        <v>376</v>
      </c>
      <c r="BW51" s="46" t="s">
        <v>376</v>
      </c>
      <c r="BX51" s="46"/>
      <c r="BZ51" s="53"/>
      <c r="CA51" s="53"/>
      <c r="CB51" s="93" t="str">
        <f>IF(OR(C51="",A51="",B51=""),"",TEXT(C51,"0000")&amp;TEXT(A51,"00")&amp;TEXT(B51,"00"))</f>
        <v>18800327</v>
      </c>
    </row>
    <row r="52" spans="1:80" s="52" customFormat="1" ht="12.95" customHeight="1" x14ac:dyDescent="0.2">
      <c r="A52" s="46">
        <v>4</v>
      </c>
      <c r="B52" s="46">
        <v>10</v>
      </c>
      <c r="C52" s="46">
        <v>1880</v>
      </c>
      <c r="D52" s="46" t="s">
        <v>658</v>
      </c>
      <c r="E52" s="46" t="s">
        <v>1076</v>
      </c>
      <c r="F52" s="47" t="s">
        <v>1010</v>
      </c>
      <c r="G52" s="46"/>
      <c r="H52" s="47" t="s">
        <v>1025</v>
      </c>
      <c r="I52" s="47"/>
      <c r="J52" s="48" t="s">
        <v>1078</v>
      </c>
      <c r="K52" s="46" t="s">
        <v>1044</v>
      </c>
      <c r="L52" s="46" t="s">
        <v>3</v>
      </c>
      <c r="M52" s="46" t="s">
        <v>1029</v>
      </c>
      <c r="N52" s="49">
        <v>1</v>
      </c>
      <c r="O52" s="49">
        <v>0</v>
      </c>
      <c r="P52" s="47" t="s">
        <v>1016</v>
      </c>
      <c r="Q52" s="47" t="s">
        <v>1017</v>
      </c>
      <c r="R52" s="47" t="s">
        <v>376</v>
      </c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50">
        <f>IF(L52="W",1,0)</f>
        <v>1</v>
      </c>
      <c r="AF52" s="50">
        <f>IF(L52="T",1,0)</f>
        <v>0</v>
      </c>
      <c r="AG52" s="50">
        <f>IF(L52="L",1,0)</f>
        <v>0</v>
      </c>
      <c r="AH52" s="46" t="s">
        <v>1017</v>
      </c>
      <c r="AI52" s="46" t="s">
        <v>1018</v>
      </c>
      <c r="AJ52" s="46" t="s">
        <v>376</v>
      </c>
      <c r="AK52" s="46" t="s">
        <v>658</v>
      </c>
      <c r="AL52" s="46" t="s">
        <v>1032</v>
      </c>
      <c r="AM52" s="46" t="s">
        <v>1034</v>
      </c>
      <c r="AN52" s="46" t="s">
        <v>376</v>
      </c>
      <c r="AO52" s="46" t="s">
        <v>658</v>
      </c>
      <c r="AP52" s="46"/>
      <c r="AQ52" s="46">
        <v>1</v>
      </c>
      <c r="AR52" s="46"/>
      <c r="AS52" s="46"/>
      <c r="AT52" s="46"/>
      <c r="AU52" s="46" t="s">
        <v>376</v>
      </c>
      <c r="AV52" s="46"/>
      <c r="AW52" s="46" t="s">
        <v>30</v>
      </c>
      <c r="AX52" s="46"/>
      <c r="AY52" s="46" t="s">
        <v>30</v>
      </c>
      <c r="AZ52" s="46"/>
      <c r="BA52" s="47"/>
      <c r="BB52" s="51" t="s">
        <v>30</v>
      </c>
      <c r="BC52" s="46" t="s">
        <v>30</v>
      </c>
      <c r="BD52" s="46"/>
      <c r="BE52" s="46"/>
      <c r="BF52" s="46">
        <v>1</v>
      </c>
      <c r="BG52" s="46"/>
      <c r="BH52" s="46"/>
      <c r="BI52" s="46" t="s">
        <v>1044</v>
      </c>
      <c r="BJ52" s="46" t="s">
        <v>1029</v>
      </c>
      <c r="BK52" s="46">
        <v>1880</v>
      </c>
      <c r="BL52" s="46" t="str">
        <f>BK52&amp;BI52</f>
        <v>1880Clapham Rovers</v>
      </c>
      <c r="BM52" s="52" t="str">
        <f>IF(AD52="Home",BI52,IF(AD52="Away",BJ52,Q52))</f>
        <v>London</v>
      </c>
      <c r="BN52" s="46"/>
      <c r="BO52" s="46"/>
      <c r="BP52" s="46"/>
      <c r="BQ52" s="46"/>
      <c r="BR52" s="46"/>
      <c r="BS52" s="46"/>
      <c r="BT52" s="46"/>
      <c r="BU52" s="46"/>
      <c r="BV52" s="46" t="s">
        <v>376</v>
      </c>
      <c r="BW52" s="46" t="s">
        <v>376</v>
      </c>
      <c r="BX52" s="46"/>
      <c r="BZ52" s="53"/>
      <c r="CA52" s="53"/>
      <c r="CB52" s="93" t="str">
        <f>IF(OR(C52="",A52="",B52=""),"",TEXT(C52,"0000")&amp;TEXT(A52,"00")&amp;TEXT(B52,"00"))</f>
        <v>18800410</v>
      </c>
    </row>
    <row r="53" spans="1:80" s="52" customFormat="1" ht="12.95" customHeight="1" x14ac:dyDescent="0.2">
      <c r="A53" s="46">
        <v>4</v>
      </c>
      <c r="B53" s="46">
        <v>10</v>
      </c>
      <c r="C53" s="46">
        <v>1880</v>
      </c>
      <c r="D53" s="46" t="s">
        <v>658</v>
      </c>
      <c r="E53" s="46" t="s">
        <v>1076</v>
      </c>
      <c r="F53" s="47" t="s">
        <v>1010</v>
      </c>
      <c r="G53" s="46"/>
      <c r="H53" s="47" t="s">
        <v>1025</v>
      </c>
      <c r="I53" s="47"/>
      <c r="J53" s="48" t="s">
        <v>1078</v>
      </c>
      <c r="K53" s="46" t="s">
        <v>1029</v>
      </c>
      <c r="L53" s="46" t="s">
        <v>4</v>
      </c>
      <c r="M53" s="46" t="s">
        <v>1044</v>
      </c>
      <c r="N53" s="49">
        <v>0</v>
      </c>
      <c r="O53" s="49">
        <v>1</v>
      </c>
      <c r="P53" s="47" t="s">
        <v>1016</v>
      </c>
      <c r="Q53" s="47" t="s">
        <v>1017</v>
      </c>
      <c r="R53" s="47" t="s">
        <v>376</v>
      </c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50">
        <f>IF(L53="W",1,0)</f>
        <v>0</v>
      </c>
      <c r="AF53" s="50">
        <f>IF(L53="T",1,0)</f>
        <v>0</v>
      </c>
      <c r="AG53" s="50">
        <f>IF(L53="L",1,0)</f>
        <v>1</v>
      </c>
      <c r="AH53" s="46" t="s">
        <v>1032</v>
      </c>
      <c r="AI53" s="46" t="s">
        <v>1034</v>
      </c>
      <c r="AJ53" s="46" t="s">
        <v>376</v>
      </c>
      <c r="AK53" s="46" t="s">
        <v>658</v>
      </c>
      <c r="AL53" s="46" t="s">
        <v>1017</v>
      </c>
      <c r="AM53" s="46" t="s">
        <v>1018</v>
      </c>
      <c r="AN53" s="46" t="s">
        <v>376</v>
      </c>
      <c r="AO53" s="46" t="s">
        <v>658</v>
      </c>
      <c r="AP53" s="46"/>
      <c r="AQ53" s="46">
        <v>1</v>
      </c>
      <c r="AR53" s="46"/>
      <c r="AS53" s="46"/>
      <c r="AT53" s="46"/>
      <c r="AU53" s="46" t="s">
        <v>376</v>
      </c>
      <c r="AV53" s="46"/>
      <c r="AW53" s="46" t="s">
        <v>30</v>
      </c>
      <c r="AX53" s="46"/>
      <c r="AY53" s="46" t="s">
        <v>30</v>
      </c>
      <c r="AZ53" s="46"/>
      <c r="BA53" s="47"/>
      <c r="BB53" s="51"/>
      <c r="BC53" s="46" t="s">
        <v>30</v>
      </c>
      <c r="BD53" s="46"/>
      <c r="BE53" s="46"/>
      <c r="BF53" s="46">
        <v>1</v>
      </c>
      <c r="BG53" s="46"/>
      <c r="BH53" s="46"/>
      <c r="BI53" s="46" t="s">
        <v>1029</v>
      </c>
      <c r="BJ53" s="46" t="s">
        <v>1044</v>
      </c>
      <c r="BK53" s="46">
        <v>1880</v>
      </c>
      <c r="BL53" s="46" t="str">
        <f>BK53&amp;BI53</f>
        <v>1880Oxford University</v>
      </c>
      <c r="BM53" s="52" t="str">
        <f>IF(AD53="Home",BI53,IF(AD53="Away",BJ53,Q53))</f>
        <v>London</v>
      </c>
      <c r="BN53" s="46"/>
      <c r="BO53" s="46"/>
      <c r="BP53" s="46"/>
      <c r="BQ53" s="46"/>
      <c r="BR53" s="46"/>
      <c r="BS53" s="46"/>
      <c r="BT53" s="46"/>
      <c r="BU53" s="46"/>
      <c r="BV53" s="46" t="s">
        <v>376</v>
      </c>
      <c r="BW53" s="46" t="s">
        <v>376</v>
      </c>
      <c r="BX53" s="46"/>
      <c r="BZ53" s="53"/>
      <c r="CA53" s="53"/>
      <c r="CB53" s="93" t="str">
        <f>IF(OR(C53="",A53="",B53=""),"",TEXT(C53,"0000")&amp;TEXT(A53,"00")&amp;TEXT(B53,"00"))</f>
        <v>18800410</v>
      </c>
    </row>
    <row r="54" spans="1:80" s="52" customFormat="1" ht="12.95" customHeight="1" x14ac:dyDescent="0.2">
      <c r="A54" s="46">
        <v>3</v>
      </c>
      <c r="B54" s="46">
        <v>26</v>
      </c>
      <c r="C54" s="46">
        <v>1881</v>
      </c>
      <c r="D54" s="46" t="s">
        <v>658</v>
      </c>
      <c r="E54" s="46" t="s">
        <v>1079</v>
      </c>
      <c r="F54" s="47" t="s">
        <v>1010</v>
      </c>
      <c r="G54" s="46"/>
      <c r="H54" s="47" t="s">
        <v>1011</v>
      </c>
      <c r="I54" s="47"/>
      <c r="J54" s="48" t="s">
        <v>1080</v>
      </c>
      <c r="K54" s="46" t="s">
        <v>1081</v>
      </c>
      <c r="L54" s="46" t="s">
        <v>3</v>
      </c>
      <c r="M54" s="46" t="s">
        <v>1082</v>
      </c>
      <c r="N54" s="49">
        <v>4</v>
      </c>
      <c r="O54" s="49">
        <v>1</v>
      </c>
      <c r="P54" s="47" t="s">
        <v>1016</v>
      </c>
      <c r="Q54" s="47" t="s">
        <v>1017</v>
      </c>
      <c r="R54" s="47" t="s">
        <v>376</v>
      </c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50">
        <f>IF(L54="W",1,0)</f>
        <v>1</v>
      </c>
      <c r="AF54" s="50">
        <f>IF(L54="T",1,0)</f>
        <v>0</v>
      </c>
      <c r="AG54" s="50">
        <f>IF(L54="L",1,0)</f>
        <v>0</v>
      </c>
      <c r="AH54" s="46" t="s">
        <v>1083</v>
      </c>
      <c r="AI54" s="46" t="s">
        <v>1084</v>
      </c>
      <c r="AJ54" s="46" t="s">
        <v>376</v>
      </c>
      <c r="AK54" s="46" t="s">
        <v>658</v>
      </c>
      <c r="AL54" s="46" t="s">
        <v>1085</v>
      </c>
      <c r="AM54" s="46" t="s">
        <v>1086</v>
      </c>
      <c r="AN54" s="46" t="s">
        <v>376</v>
      </c>
      <c r="AO54" s="46" t="s">
        <v>658</v>
      </c>
      <c r="AP54" s="46"/>
      <c r="AQ54" s="46">
        <v>2</v>
      </c>
      <c r="AR54" s="46"/>
      <c r="AS54" s="46"/>
      <c r="AT54" s="46"/>
      <c r="AU54" s="46" t="s">
        <v>376</v>
      </c>
      <c r="AV54" s="46"/>
      <c r="AW54" s="46" t="s">
        <v>30</v>
      </c>
      <c r="AX54" s="46"/>
      <c r="AY54" s="46" t="s">
        <v>30</v>
      </c>
      <c r="AZ54" s="46"/>
      <c r="BA54" s="47"/>
      <c r="BB54" s="51"/>
      <c r="BC54" s="46"/>
      <c r="BD54" s="46"/>
      <c r="BE54" s="46"/>
      <c r="BF54" s="46">
        <v>1</v>
      </c>
      <c r="BG54" s="46"/>
      <c r="BH54" s="46"/>
      <c r="BI54" s="46" t="s">
        <v>1081</v>
      </c>
      <c r="BJ54" s="46" t="s">
        <v>1082</v>
      </c>
      <c r="BK54" s="46">
        <v>1881</v>
      </c>
      <c r="BL54" s="46" t="str">
        <f>BK54&amp;BI54</f>
        <v>1881Old Carthusians</v>
      </c>
      <c r="BM54" s="52" t="str">
        <f>IF(AD54="Home",BI54,IF(AD54="Away",BJ54,Q54))</f>
        <v>London</v>
      </c>
      <c r="BN54" s="46"/>
      <c r="BO54" s="46"/>
      <c r="BP54" s="46"/>
      <c r="BQ54" s="46"/>
      <c r="BR54" s="46"/>
      <c r="BS54" s="46"/>
      <c r="BT54" s="46"/>
      <c r="BU54" s="46"/>
      <c r="BV54" s="46" t="s">
        <v>376</v>
      </c>
      <c r="BW54" s="46" t="s">
        <v>376</v>
      </c>
      <c r="BX54" s="46"/>
      <c r="BZ54" s="53"/>
      <c r="CA54" s="53"/>
      <c r="CB54" s="93" t="str">
        <f>IF(OR(C54="",A54="",B54=""),"",TEXT(C54,"0000")&amp;TEXT(A54,"00")&amp;TEXT(B54,"00"))</f>
        <v>18810326</v>
      </c>
    </row>
    <row r="55" spans="1:80" s="52" customFormat="1" ht="12.95" customHeight="1" x14ac:dyDescent="0.2">
      <c r="A55" s="46">
        <v>3</v>
      </c>
      <c r="B55" s="46">
        <v>26</v>
      </c>
      <c r="C55" s="46">
        <v>1881</v>
      </c>
      <c r="D55" s="46" t="s">
        <v>658</v>
      </c>
      <c r="E55" s="46" t="s">
        <v>1079</v>
      </c>
      <c r="F55" s="47" t="s">
        <v>1010</v>
      </c>
      <c r="G55" s="46"/>
      <c r="H55" s="47" t="s">
        <v>1011</v>
      </c>
      <c r="I55" s="47"/>
      <c r="J55" s="48" t="s">
        <v>1080</v>
      </c>
      <c r="K55" s="46" t="s">
        <v>1082</v>
      </c>
      <c r="L55" s="46" t="s">
        <v>4</v>
      </c>
      <c r="M55" s="46" t="s">
        <v>1081</v>
      </c>
      <c r="N55" s="49">
        <v>1</v>
      </c>
      <c r="O55" s="49">
        <v>4</v>
      </c>
      <c r="P55" s="47" t="s">
        <v>1016</v>
      </c>
      <c r="Q55" s="47" t="s">
        <v>1017</v>
      </c>
      <c r="R55" s="47" t="s">
        <v>376</v>
      </c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50">
        <f>IF(L55="W",1,0)</f>
        <v>0</v>
      </c>
      <c r="AF55" s="50">
        <f>IF(L55="T",1,0)</f>
        <v>0</v>
      </c>
      <c r="AG55" s="50">
        <f>IF(L55="L",1,0)</f>
        <v>1</v>
      </c>
      <c r="AH55" s="46" t="s">
        <v>1085</v>
      </c>
      <c r="AI55" s="46" t="s">
        <v>1086</v>
      </c>
      <c r="AJ55" s="46" t="s">
        <v>376</v>
      </c>
      <c r="AK55" s="46" t="s">
        <v>658</v>
      </c>
      <c r="AL55" s="46" t="s">
        <v>1083</v>
      </c>
      <c r="AM55" s="46" t="s">
        <v>1084</v>
      </c>
      <c r="AN55" s="46" t="s">
        <v>376</v>
      </c>
      <c r="AO55" s="46" t="s">
        <v>658</v>
      </c>
      <c r="AP55" s="46"/>
      <c r="AQ55" s="46">
        <v>2</v>
      </c>
      <c r="AR55" s="46"/>
      <c r="AS55" s="46"/>
      <c r="AT55" s="46"/>
      <c r="AU55" s="46" t="s">
        <v>376</v>
      </c>
      <c r="AV55" s="46"/>
      <c r="AW55" s="46" t="s">
        <v>30</v>
      </c>
      <c r="AX55" s="46"/>
      <c r="AY55" s="46" t="s">
        <v>30</v>
      </c>
      <c r="AZ55" s="46"/>
      <c r="BA55" s="47"/>
      <c r="BB55" s="51"/>
      <c r="BC55" s="46"/>
      <c r="BD55" s="46"/>
      <c r="BE55" s="46"/>
      <c r="BF55" s="46">
        <v>1</v>
      </c>
      <c r="BG55" s="46"/>
      <c r="BH55" s="46"/>
      <c r="BI55" s="46" t="s">
        <v>1082</v>
      </c>
      <c r="BJ55" s="46" t="s">
        <v>1081</v>
      </c>
      <c r="BK55" s="46">
        <v>1881</v>
      </c>
      <c r="BL55" s="46" t="str">
        <f>BK55&amp;BI55</f>
        <v>1881Darwen</v>
      </c>
      <c r="BM55" s="52" t="str">
        <f>IF(AD55="Home",BI55,IF(AD55="Away",BJ55,Q55))</f>
        <v>London</v>
      </c>
      <c r="BN55" s="46"/>
      <c r="BO55" s="46"/>
      <c r="BP55" s="46"/>
      <c r="BQ55" s="46"/>
      <c r="BR55" s="46"/>
      <c r="BS55" s="46"/>
      <c r="BT55" s="46"/>
      <c r="BU55" s="46"/>
      <c r="BV55" s="46" t="s">
        <v>376</v>
      </c>
      <c r="BW55" s="46" t="s">
        <v>376</v>
      </c>
      <c r="BX55" s="46"/>
      <c r="BZ55" s="53"/>
      <c r="CA55" s="53"/>
      <c r="CB55" s="93" t="str">
        <f>IF(OR(C55="",A55="",B55=""),"",TEXT(C55,"0000")&amp;TEXT(A55,"00")&amp;TEXT(B55,"00"))</f>
        <v>18810326</v>
      </c>
    </row>
    <row r="56" spans="1:80" s="52" customFormat="1" ht="12.95" customHeight="1" x14ac:dyDescent="0.2">
      <c r="A56" s="46">
        <v>4</v>
      </c>
      <c r="B56" s="46">
        <v>9</v>
      </c>
      <c r="C56" s="46">
        <v>1881</v>
      </c>
      <c r="D56" s="46" t="s">
        <v>658</v>
      </c>
      <c r="E56" s="46" t="s">
        <v>1079</v>
      </c>
      <c r="F56" s="47" t="s">
        <v>1010</v>
      </c>
      <c r="G56" s="46"/>
      <c r="H56" s="47" t="s">
        <v>1025</v>
      </c>
      <c r="I56" s="47"/>
      <c r="J56" s="48" t="s">
        <v>1087</v>
      </c>
      <c r="K56" s="46" t="s">
        <v>1081</v>
      </c>
      <c r="L56" s="46" t="s">
        <v>3</v>
      </c>
      <c r="M56" s="46" t="s">
        <v>1048</v>
      </c>
      <c r="N56" s="49">
        <v>3</v>
      </c>
      <c r="O56" s="49">
        <v>0</v>
      </c>
      <c r="P56" s="47" t="s">
        <v>1016</v>
      </c>
      <c r="Q56" s="47" t="s">
        <v>1017</v>
      </c>
      <c r="R56" s="47" t="s">
        <v>376</v>
      </c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50">
        <f>IF(L56="W",1,0)</f>
        <v>1</v>
      </c>
      <c r="AF56" s="50">
        <f>IF(L56="T",1,0)</f>
        <v>0</v>
      </c>
      <c r="AG56" s="50">
        <f>IF(L56="L",1,0)</f>
        <v>0</v>
      </c>
      <c r="AH56" s="46" t="s">
        <v>1083</v>
      </c>
      <c r="AI56" s="46" t="s">
        <v>1084</v>
      </c>
      <c r="AJ56" s="46" t="s">
        <v>376</v>
      </c>
      <c r="AK56" s="46" t="s">
        <v>658</v>
      </c>
      <c r="AL56" s="46" t="s">
        <v>1050</v>
      </c>
      <c r="AM56" s="46" t="s">
        <v>1036</v>
      </c>
      <c r="AN56" s="46" t="s">
        <v>376</v>
      </c>
      <c r="AO56" s="46" t="s">
        <v>658</v>
      </c>
      <c r="AP56" s="46"/>
      <c r="AQ56" s="46">
        <v>1</v>
      </c>
      <c r="AR56" s="46"/>
      <c r="AS56" s="46"/>
      <c r="AT56" s="46"/>
      <c r="AU56" s="46" t="s">
        <v>376</v>
      </c>
      <c r="AV56" s="46"/>
      <c r="AW56" s="46" t="s">
        <v>30</v>
      </c>
      <c r="AX56" s="46"/>
      <c r="AY56" s="46" t="s">
        <v>30</v>
      </c>
      <c r="AZ56" s="46"/>
      <c r="BA56" s="47"/>
      <c r="BB56" s="51" t="s">
        <v>30</v>
      </c>
      <c r="BC56" s="46" t="s">
        <v>30</v>
      </c>
      <c r="BD56" s="46"/>
      <c r="BE56" s="46"/>
      <c r="BF56" s="46">
        <v>1</v>
      </c>
      <c r="BG56" s="46"/>
      <c r="BH56" s="46"/>
      <c r="BI56" s="46" t="s">
        <v>1081</v>
      </c>
      <c r="BJ56" s="46" t="s">
        <v>1048</v>
      </c>
      <c r="BK56" s="46">
        <v>1881</v>
      </c>
      <c r="BL56" s="46" t="str">
        <f>BK56&amp;BI56</f>
        <v>1881Old Carthusians</v>
      </c>
      <c r="BM56" s="52" t="str">
        <f>IF(AD56="Home",BI56,IF(AD56="Away",BJ56,Q56))</f>
        <v>London</v>
      </c>
      <c r="BN56" s="46"/>
      <c r="BO56" s="46"/>
      <c r="BP56" s="46"/>
      <c r="BQ56" s="46"/>
      <c r="BR56" s="46"/>
      <c r="BS56" s="46"/>
      <c r="BT56" s="46"/>
      <c r="BU56" s="46"/>
      <c r="BV56" s="46" t="s">
        <v>376</v>
      </c>
      <c r="BW56" s="46" t="s">
        <v>376</v>
      </c>
      <c r="BX56" s="46"/>
      <c r="BZ56" s="53"/>
      <c r="CA56" s="53"/>
      <c r="CB56" s="93" t="str">
        <f>IF(OR(C56="",A56="",B56=""),"",TEXT(C56,"0000")&amp;TEXT(A56,"00")&amp;TEXT(B56,"00"))</f>
        <v>18810409</v>
      </c>
    </row>
    <row r="57" spans="1:80" s="52" customFormat="1" ht="12.95" customHeight="1" x14ac:dyDescent="0.2">
      <c r="A57" s="46">
        <v>4</v>
      </c>
      <c r="B57" s="46">
        <v>9</v>
      </c>
      <c r="C57" s="46">
        <v>1881</v>
      </c>
      <c r="D57" s="46" t="s">
        <v>658</v>
      </c>
      <c r="E57" s="46" t="s">
        <v>1079</v>
      </c>
      <c r="F57" s="47" t="s">
        <v>1010</v>
      </c>
      <c r="G57" s="46"/>
      <c r="H57" s="47" t="s">
        <v>1025</v>
      </c>
      <c r="I57" s="47"/>
      <c r="J57" s="48" t="s">
        <v>1087</v>
      </c>
      <c r="K57" s="46" t="s">
        <v>1048</v>
      </c>
      <c r="L57" s="46" t="s">
        <v>4</v>
      </c>
      <c r="M57" s="46" t="s">
        <v>1081</v>
      </c>
      <c r="N57" s="49">
        <v>0</v>
      </c>
      <c r="O57" s="49">
        <v>3</v>
      </c>
      <c r="P57" s="47" t="s">
        <v>1016</v>
      </c>
      <c r="Q57" s="47" t="s">
        <v>1017</v>
      </c>
      <c r="R57" s="47" t="s">
        <v>376</v>
      </c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50">
        <f>IF(L57="W",1,0)</f>
        <v>0</v>
      </c>
      <c r="AF57" s="50">
        <f>IF(L57="T",1,0)</f>
        <v>0</v>
      </c>
      <c r="AG57" s="50">
        <f>IF(L57="L",1,0)</f>
        <v>1</v>
      </c>
      <c r="AH57" s="46" t="s">
        <v>1050</v>
      </c>
      <c r="AI57" s="46" t="s">
        <v>1036</v>
      </c>
      <c r="AJ57" s="46" t="s">
        <v>376</v>
      </c>
      <c r="AK57" s="46" t="s">
        <v>658</v>
      </c>
      <c r="AL57" s="46" t="s">
        <v>1083</v>
      </c>
      <c r="AM57" s="46" t="s">
        <v>1084</v>
      </c>
      <c r="AN57" s="46" t="s">
        <v>376</v>
      </c>
      <c r="AO57" s="46" t="s">
        <v>658</v>
      </c>
      <c r="AP57" s="46"/>
      <c r="AQ57" s="46">
        <v>1</v>
      </c>
      <c r="AR57" s="46"/>
      <c r="AS57" s="46"/>
      <c r="AT57" s="46"/>
      <c r="AU57" s="46" t="s">
        <v>376</v>
      </c>
      <c r="AV57" s="46"/>
      <c r="AW57" s="46" t="s">
        <v>30</v>
      </c>
      <c r="AX57" s="46"/>
      <c r="AY57" s="46" t="s">
        <v>30</v>
      </c>
      <c r="AZ57" s="46"/>
      <c r="BA57" s="47"/>
      <c r="BB57" s="51"/>
      <c r="BC57" s="46" t="s">
        <v>30</v>
      </c>
      <c r="BD57" s="46"/>
      <c r="BE57" s="46"/>
      <c r="BF57" s="46">
        <v>1</v>
      </c>
      <c r="BG57" s="46"/>
      <c r="BH57" s="46"/>
      <c r="BI57" s="46" t="s">
        <v>1048</v>
      </c>
      <c r="BJ57" s="46" t="s">
        <v>1081</v>
      </c>
      <c r="BK57" s="46">
        <v>1881</v>
      </c>
      <c r="BL57" s="46" t="str">
        <f>BK57&amp;BI57</f>
        <v>1881Old Etonians</v>
      </c>
      <c r="BM57" s="52" t="str">
        <f>IF(AD57="Home",BI57,IF(AD57="Away",BJ57,Q57))</f>
        <v>London</v>
      </c>
      <c r="BN57" s="46"/>
      <c r="BO57" s="46"/>
      <c r="BP57" s="46"/>
      <c r="BQ57" s="46"/>
      <c r="BR57" s="46"/>
      <c r="BS57" s="46"/>
      <c r="BT57" s="46"/>
      <c r="BU57" s="46"/>
      <c r="BV57" s="46" t="s">
        <v>376</v>
      </c>
      <c r="BW57" s="46" t="s">
        <v>376</v>
      </c>
      <c r="BX57" s="46"/>
      <c r="BZ57" s="53"/>
      <c r="CA57" s="53"/>
      <c r="CB57" s="93" t="str">
        <f>IF(OR(C57="",A57="",B57=""),"",TEXT(C57,"0000")&amp;TEXT(A57,"00")&amp;TEXT(B57,"00"))</f>
        <v>18810409</v>
      </c>
    </row>
    <row r="58" spans="1:80" s="52" customFormat="1" ht="12.95" customHeight="1" x14ac:dyDescent="0.2">
      <c r="A58" s="46">
        <v>3</v>
      </c>
      <c r="B58" s="46">
        <v>4</v>
      </c>
      <c r="C58" s="46">
        <v>1882</v>
      </c>
      <c r="D58" s="46" t="s">
        <v>658</v>
      </c>
      <c r="E58" s="46" t="s">
        <v>1088</v>
      </c>
      <c r="F58" s="47" t="s">
        <v>1010</v>
      </c>
      <c r="G58" s="46"/>
      <c r="H58" s="47" t="s">
        <v>1011</v>
      </c>
      <c r="I58" s="47"/>
      <c r="J58" s="48" t="s">
        <v>1089</v>
      </c>
      <c r="K58" s="46" t="s">
        <v>1048</v>
      </c>
      <c r="L58" s="46" t="s">
        <v>3</v>
      </c>
      <c r="M58" s="46" t="s">
        <v>1090</v>
      </c>
      <c r="N58" s="49">
        <v>5</v>
      </c>
      <c r="O58" s="49">
        <v>0</v>
      </c>
      <c r="P58" s="47" t="s">
        <v>1016</v>
      </c>
      <c r="Q58" s="47" t="s">
        <v>1017</v>
      </c>
      <c r="R58" s="47" t="s">
        <v>376</v>
      </c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50">
        <f>IF(L58="W",1,0)</f>
        <v>1</v>
      </c>
      <c r="AF58" s="50">
        <f>IF(L58="T",1,0)</f>
        <v>0</v>
      </c>
      <c r="AG58" s="50">
        <f>IF(L58="L",1,0)</f>
        <v>0</v>
      </c>
      <c r="AH58" s="46" t="s">
        <v>1050</v>
      </c>
      <c r="AI58" s="46" t="s">
        <v>1036</v>
      </c>
      <c r="AJ58" s="46" t="s">
        <v>376</v>
      </c>
      <c r="AK58" s="46" t="s">
        <v>658</v>
      </c>
      <c r="AL58" s="46" t="s">
        <v>1090</v>
      </c>
      <c r="AM58" s="46" t="s">
        <v>1091</v>
      </c>
      <c r="AN58" s="46" t="s">
        <v>376</v>
      </c>
      <c r="AO58" s="46" t="s">
        <v>658</v>
      </c>
      <c r="AP58" s="46"/>
      <c r="AQ58" s="46">
        <v>2</v>
      </c>
      <c r="AR58" s="46"/>
      <c r="AS58" s="46"/>
      <c r="AT58" s="46"/>
      <c r="AU58" s="46" t="s">
        <v>376</v>
      </c>
      <c r="AV58" s="46"/>
      <c r="AW58" s="46" t="s">
        <v>30</v>
      </c>
      <c r="AX58" s="46"/>
      <c r="AY58" s="46" t="s">
        <v>30</v>
      </c>
      <c r="AZ58" s="46"/>
      <c r="BA58" s="47"/>
      <c r="BB58" s="51"/>
      <c r="BC58" s="46"/>
      <c r="BD58" s="46"/>
      <c r="BE58" s="46"/>
      <c r="BF58" s="46">
        <v>1</v>
      </c>
      <c r="BG58" s="46"/>
      <c r="BH58" s="46"/>
      <c r="BI58" s="46" t="s">
        <v>1048</v>
      </c>
      <c r="BJ58" s="46" t="s">
        <v>1090</v>
      </c>
      <c r="BK58" s="46">
        <v>1882</v>
      </c>
      <c r="BL58" s="46" t="str">
        <f>BK58&amp;BI58</f>
        <v>1882Old Etonians</v>
      </c>
      <c r="BM58" s="52" t="str">
        <f>IF(AD58="Home",BI58,IF(AD58="Away",BJ58,Q58))</f>
        <v>London</v>
      </c>
      <c r="BN58" s="46"/>
      <c r="BO58" s="46"/>
      <c r="BP58" s="46"/>
      <c r="BQ58" s="46"/>
      <c r="BR58" s="46"/>
      <c r="BS58" s="46"/>
      <c r="BT58" s="46"/>
      <c r="BU58" s="46"/>
      <c r="BV58" s="46" t="s">
        <v>376</v>
      </c>
      <c r="BW58" s="46" t="s">
        <v>376</v>
      </c>
      <c r="BX58" s="46"/>
      <c r="BZ58" s="53"/>
      <c r="CA58" s="53"/>
      <c r="CB58" s="93" t="str">
        <f>IF(OR(C58="",A58="",B58=""),"",TEXT(C58,"0000")&amp;TEXT(A58,"00")&amp;TEXT(B58,"00"))</f>
        <v>18820304</v>
      </c>
    </row>
    <row r="59" spans="1:80" s="52" customFormat="1" ht="12.95" customHeight="1" x14ac:dyDescent="0.2">
      <c r="A59" s="46">
        <v>3</v>
      </c>
      <c r="B59" s="46">
        <v>4</v>
      </c>
      <c r="C59" s="46">
        <v>1882</v>
      </c>
      <c r="D59" s="46" t="s">
        <v>658</v>
      </c>
      <c r="E59" s="46" t="s">
        <v>1088</v>
      </c>
      <c r="F59" s="47" t="s">
        <v>1010</v>
      </c>
      <c r="G59" s="46"/>
      <c r="H59" s="47" t="s">
        <v>1011</v>
      </c>
      <c r="I59" s="47"/>
      <c r="J59" s="48" t="s">
        <v>1089</v>
      </c>
      <c r="K59" s="46" t="s">
        <v>1090</v>
      </c>
      <c r="L59" s="46" t="s">
        <v>4</v>
      </c>
      <c r="M59" s="46" t="s">
        <v>1048</v>
      </c>
      <c r="N59" s="49">
        <v>0</v>
      </c>
      <c r="O59" s="49">
        <v>5</v>
      </c>
      <c r="P59" s="47" t="s">
        <v>1016</v>
      </c>
      <c r="Q59" s="47" t="s">
        <v>1017</v>
      </c>
      <c r="R59" s="47" t="s">
        <v>376</v>
      </c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50">
        <f>IF(L59="W",1,0)</f>
        <v>0</v>
      </c>
      <c r="AF59" s="50">
        <f>IF(L59="T",1,0)</f>
        <v>0</v>
      </c>
      <c r="AG59" s="50">
        <f>IF(L59="L",1,0)</f>
        <v>1</v>
      </c>
      <c r="AH59" s="46" t="s">
        <v>1090</v>
      </c>
      <c r="AI59" s="46" t="s">
        <v>1091</v>
      </c>
      <c r="AJ59" s="46" t="s">
        <v>376</v>
      </c>
      <c r="AK59" s="46" t="s">
        <v>658</v>
      </c>
      <c r="AL59" s="46" t="s">
        <v>1050</v>
      </c>
      <c r="AM59" s="46" t="s">
        <v>1036</v>
      </c>
      <c r="AN59" s="46" t="s">
        <v>376</v>
      </c>
      <c r="AO59" s="46" t="s">
        <v>658</v>
      </c>
      <c r="AP59" s="46"/>
      <c r="AQ59" s="46">
        <v>2</v>
      </c>
      <c r="AR59" s="46"/>
      <c r="AS59" s="46"/>
      <c r="AT59" s="46"/>
      <c r="AU59" s="46" t="s">
        <v>376</v>
      </c>
      <c r="AV59" s="46"/>
      <c r="AW59" s="46" t="s">
        <v>30</v>
      </c>
      <c r="AX59" s="46"/>
      <c r="AY59" s="46" t="s">
        <v>30</v>
      </c>
      <c r="AZ59" s="46"/>
      <c r="BA59" s="47"/>
      <c r="BB59" s="51"/>
      <c r="BC59" s="46"/>
      <c r="BD59" s="46"/>
      <c r="BE59" s="46"/>
      <c r="BF59" s="46">
        <v>1</v>
      </c>
      <c r="BG59" s="46"/>
      <c r="BH59" s="46"/>
      <c r="BI59" s="46" t="s">
        <v>1090</v>
      </c>
      <c r="BJ59" s="46" t="s">
        <v>1048</v>
      </c>
      <c r="BK59" s="46">
        <v>1882</v>
      </c>
      <c r="BL59" s="46" t="str">
        <f>BK59&amp;BI59</f>
        <v>1882Marlow</v>
      </c>
      <c r="BM59" s="52" t="str">
        <f>IF(AD59="Home",BI59,IF(AD59="Away",BJ59,Q59))</f>
        <v>London</v>
      </c>
      <c r="BN59" s="46"/>
      <c r="BO59" s="46"/>
      <c r="BP59" s="46"/>
      <c r="BQ59" s="46"/>
      <c r="BR59" s="46"/>
      <c r="BS59" s="46"/>
      <c r="BT59" s="46"/>
      <c r="BU59" s="46"/>
      <c r="BV59" s="46" t="s">
        <v>376</v>
      </c>
      <c r="BW59" s="46" t="s">
        <v>376</v>
      </c>
      <c r="BX59" s="46"/>
      <c r="BZ59" s="53"/>
      <c r="CA59" s="53"/>
      <c r="CB59" s="93" t="str">
        <f>IF(OR(C59="",A59="",B59=""),"",TEXT(C59,"0000")&amp;TEXT(A59,"00")&amp;TEXT(B59,"00"))</f>
        <v>18820304</v>
      </c>
    </row>
    <row r="60" spans="1:80" s="52" customFormat="1" ht="12.95" customHeight="1" x14ac:dyDescent="0.2">
      <c r="A60" s="46">
        <v>3</v>
      </c>
      <c r="B60" s="46">
        <v>6</v>
      </c>
      <c r="C60" s="46">
        <v>1882</v>
      </c>
      <c r="D60" s="46" t="s">
        <v>658</v>
      </c>
      <c r="E60" s="46" t="s">
        <v>1088</v>
      </c>
      <c r="F60" s="47" t="s">
        <v>1010</v>
      </c>
      <c r="G60" s="46"/>
      <c r="H60" s="47" t="s">
        <v>1011</v>
      </c>
      <c r="I60" s="47"/>
      <c r="J60" s="48" t="s">
        <v>1092</v>
      </c>
      <c r="K60" s="46" t="s">
        <v>1093</v>
      </c>
      <c r="L60" s="46" t="s">
        <v>1014</v>
      </c>
      <c r="M60" s="46" t="s">
        <v>1094</v>
      </c>
      <c r="N60" s="49">
        <v>0</v>
      </c>
      <c r="O60" s="49">
        <v>0</v>
      </c>
      <c r="P60" s="47" t="s">
        <v>1095</v>
      </c>
      <c r="Q60" s="46" t="s">
        <v>1096</v>
      </c>
      <c r="R60" s="47" t="s">
        <v>376</v>
      </c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50">
        <f>IF(L60="W",1,0)</f>
        <v>0</v>
      </c>
      <c r="AF60" s="50">
        <f>IF(L60="T",1,0)</f>
        <v>1</v>
      </c>
      <c r="AG60" s="50">
        <f>IF(L60="L",1,0)</f>
        <v>0</v>
      </c>
      <c r="AH60" s="46" t="s">
        <v>1097</v>
      </c>
      <c r="AI60" s="46" t="s">
        <v>1098</v>
      </c>
      <c r="AJ60" s="46" t="s">
        <v>376</v>
      </c>
      <c r="AK60" s="46" t="s">
        <v>658</v>
      </c>
      <c r="AL60" s="46" t="s">
        <v>1085</v>
      </c>
      <c r="AM60" s="46" t="s">
        <v>1086</v>
      </c>
      <c r="AN60" s="46" t="s">
        <v>376</v>
      </c>
      <c r="AO60" s="46" t="s">
        <v>658</v>
      </c>
      <c r="AP60" s="46"/>
      <c r="AQ60" s="46">
        <v>2</v>
      </c>
      <c r="AR60" s="46"/>
      <c r="AS60" s="46"/>
      <c r="AT60" s="46"/>
      <c r="AU60" s="46" t="s">
        <v>376</v>
      </c>
      <c r="AV60" s="46"/>
      <c r="AW60" s="46" t="s">
        <v>30</v>
      </c>
      <c r="AX60" s="46"/>
      <c r="AY60" s="46" t="s">
        <v>30</v>
      </c>
      <c r="AZ60" s="46"/>
      <c r="BA60" s="47"/>
      <c r="BB60" s="51"/>
      <c r="BC60" s="46"/>
      <c r="BD60" s="46"/>
      <c r="BE60" s="46"/>
      <c r="BF60" s="46">
        <v>1</v>
      </c>
      <c r="BG60" s="46"/>
      <c r="BH60" s="46"/>
      <c r="BI60" s="46" t="s">
        <v>1093</v>
      </c>
      <c r="BJ60" s="46" t="s">
        <v>1094</v>
      </c>
      <c r="BK60" s="46">
        <v>1882</v>
      </c>
      <c r="BL60" s="46" t="str">
        <f>BK60&amp;BI60</f>
        <v>1882Sheffield Wednesday</v>
      </c>
      <c r="BM60" s="52" t="str">
        <f>IF(AD60="Home",BI60,IF(AD60="Away",BJ60,Q60))</f>
        <v>Kirklees</v>
      </c>
      <c r="BN60" s="46"/>
      <c r="BO60" s="46"/>
      <c r="BP60" s="46"/>
      <c r="BQ60" s="46"/>
      <c r="BR60" s="46"/>
      <c r="BS60" s="46"/>
      <c r="BT60" s="46"/>
      <c r="BU60" s="46"/>
      <c r="BV60" s="46" t="s">
        <v>376</v>
      </c>
      <c r="BW60" s="46" t="s">
        <v>376</v>
      </c>
      <c r="BX60" s="46"/>
      <c r="BZ60" s="53"/>
      <c r="CA60" s="53"/>
      <c r="CB60" s="93" t="str">
        <f>IF(OR(C60="",A60="",B60=""),"",TEXT(C60,"0000")&amp;TEXT(A60,"00")&amp;TEXT(B60,"00"))</f>
        <v>18820306</v>
      </c>
    </row>
    <row r="61" spans="1:80" s="52" customFormat="1" ht="12.95" customHeight="1" x14ac:dyDescent="0.2">
      <c r="A61" s="46">
        <v>3</v>
      </c>
      <c r="B61" s="46">
        <v>6</v>
      </c>
      <c r="C61" s="46">
        <v>1882</v>
      </c>
      <c r="D61" s="46" t="s">
        <v>658</v>
      </c>
      <c r="E61" s="46" t="s">
        <v>1088</v>
      </c>
      <c r="F61" s="47" t="s">
        <v>1010</v>
      </c>
      <c r="G61" s="46"/>
      <c r="H61" s="47" t="s">
        <v>1011</v>
      </c>
      <c r="I61" s="47"/>
      <c r="J61" s="48" t="s">
        <v>1092</v>
      </c>
      <c r="K61" s="46" t="s">
        <v>1094</v>
      </c>
      <c r="L61" s="46" t="s">
        <v>1014</v>
      </c>
      <c r="M61" s="46" t="s">
        <v>1093</v>
      </c>
      <c r="N61" s="49">
        <v>0</v>
      </c>
      <c r="O61" s="49">
        <v>0</v>
      </c>
      <c r="P61" s="47" t="s">
        <v>1095</v>
      </c>
      <c r="Q61" s="46" t="s">
        <v>1096</v>
      </c>
      <c r="R61" s="47" t="s">
        <v>376</v>
      </c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50">
        <f>IF(L61="W",1,0)</f>
        <v>0</v>
      </c>
      <c r="AF61" s="50">
        <f>IF(L61="T",1,0)</f>
        <v>1</v>
      </c>
      <c r="AG61" s="50">
        <f>IF(L61="L",1,0)</f>
        <v>0</v>
      </c>
      <c r="AH61" s="46" t="s">
        <v>1085</v>
      </c>
      <c r="AI61" s="46" t="s">
        <v>1086</v>
      </c>
      <c r="AJ61" s="46" t="s">
        <v>376</v>
      </c>
      <c r="AK61" s="46" t="s">
        <v>658</v>
      </c>
      <c r="AL61" s="46" t="s">
        <v>1097</v>
      </c>
      <c r="AM61" s="46" t="s">
        <v>1098</v>
      </c>
      <c r="AN61" s="46" t="s">
        <v>376</v>
      </c>
      <c r="AO61" s="46" t="s">
        <v>658</v>
      </c>
      <c r="AP61" s="46"/>
      <c r="AQ61" s="46">
        <v>2</v>
      </c>
      <c r="AR61" s="46"/>
      <c r="AS61" s="46"/>
      <c r="AT61" s="46"/>
      <c r="AU61" s="46" t="s">
        <v>376</v>
      </c>
      <c r="AV61" s="46"/>
      <c r="AW61" s="46" t="s">
        <v>30</v>
      </c>
      <c r="AX61" s="46"/>
      <c r="AY61" s="46" t="s">
        <v>30</v>
      </c>
      <c r="AZ61" s="46"/>
      <c r="BA61" s="47"/>
      <c r="BB61" s="51"/>
      <c r="BC61" s="46"/>
      <c r="BD61" s="46"/>
      <c r="BE61" s="46"/>
      <c r="BF61" s="46">
        <v>1</v>
      </c>
      <c r="BG61" s="46"/>
      <c r="BH61" s="46"/>
      <c r="BI61" s="46" t="s">
        <v>1094</v>
      </c>
      <c r="BJ61" s="46" t="s">
        <v>1093</v>
      </c>
      <c r="BK61" s="46">
        <v>1882</v>
      </c>
      <c r="BL61" s="46" t="str">
        <f>BK61&amp;BI61</f>
        <v>1882Blackburn Rovers</v>
      </c>
      <c r="BM61" s="52" t="str">
        <f>IF(AD61="Home",BI61,IF(AD61="Away",BJ61,Q61))</f>
        <v>Kirklees</v>
      </c>
      <c r="BN61" s="46"/>
      <c r="BO61" s="46"/>
      <c r="BP61" s="46"/>
      <c r="BQ61" s="46"/>
      <c r="BR61" s="46"/>
      <c r="BS61" s="46"/>
      <c r="BT61" s="46"/>
      <c r="BU61" s="46"/>
      <c r="BV61" s="46" t="s">
        <v>376</v>
      </c>
      <c r="BW61" s="46" t="s">
        <v>376</v>
      </c>
      <c r="BX61" s="46"/>
      <c r="BZ61" s="53"/>
      <c r="CA61" s="53"/>
      <c r="CB61" s="93" t="str">
        <f>IF(OR(C61="",A61="",B61=""),"",TEXT(C61,"0000")&amp;TEXT(A61,"00")&amp;TEXT(B61,"00"))</f>
        <v>18820306</v>
      </c>
    </row>
    <row r="62" spans="1:80" s="52" customFormat="1" ht="12.95" customHeight="1" x14ac:dyDescent="0.2">
      <c r="A62" s="46">
        <v>3</v>
      </c>
      <c r="B62" s="46">
        <v>15</v>
      </c>
      <c r="C62" s="46">
        <v>1882</v>
      </c>
      <c r="D62" s="46" t="s">
        <v>658</v>
      </c>
      <c r="E62" s="46" t="s">
        <v>1088</v>
      </c>
      <c r="F62" s="47" t="s">
        <v>1010</v>
      </c>
      <c r="G62" s="46"/>
      <c r="H62" s="47" t="s">
        <v>1011</v>
      </c>
      <c r="I62" s="47" t="s">
        <v>1023</v>
      </c>
      <c r="J62" s="48" t="s">
        <v>1099</v>
      </c>
      <c r="K62" s="46" t="s">
        <v>1094</v>
      </c>
      <c r="L62" s="46" t="s">
        <v>3</v>
      </c>
      <c r="M62" s="46" t="s">
        <v>1093</v>
      </c>
      <c r="N62" s="49">
        <v>5</v>
      </c>
      <c r="O62" s="49">
        <v>1</v>
      </c>
      <c r="P62" s="47" t="s">
        <v>1100</v>
      </c>
      <c r="Q62" s="47" t="s">
        <v>1101</v>
      </c>
      <c r="R62" s="47" t="s">
        <v>376</v>
      </c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50">
        <f>IF(L62="W",1,0)</f>
        <v>1</v>
      </c>
      <c r="AF62" s="50">
        <f>IF(L62="T",1,0)</f>
        <v>0</v>
      </c>
      <c r="AG62" s="50">
        <f>IF(L62="L",1,0)</f>
        <v>0</v>
      </c>
      <c r="AH62" s="46" t="s">
        <v>1085</v>
      </c>
      <c r="AI62" s="46" t="s">
        <v>1086</v>
      </c>
      <c r="AJ62" s="46" t="s">
        <v>376</v>
      </c>
      <c r="AK62" s="46" t="s">
        <v>658</v>
      </c>
      <c r="AL62" s="46" t="s">
        <v>1097</v>
      </c>
      <c r="AM62" s="46" t="s">
        <v>1098</v>
      </c>
      <c r="AN62" s="46" t="s">
        <v>376</v>
      </c>
      <c r="AO62" s="46" t="s">
        <v>658</v>
      </c>
      <c r="AP62" s="46"/>
      <c r="AQ62" s="46">
        <v>2</v>
      </c>
      <c r="AR62" s="46"/>
      <c r="AS62" s="46"/>
      <c r="AT62" s="46"/>
      <c r="AU62" s="46" t="s">
        <v>376</v>
      </c>
      <c r="AV62" s="46"/>
      <c r="AW62" s="46" t="s">
        <v>30</v>
      </c>
      <c r="AX62" s="46"/>
      <c r="AY62" s="46" t="s">
        <v>30</v>
      </c>
      <c r="AZ62" s="46"/>
      <c r="BA62" s="47"/>
      <c r="BB62" s="51"/>
      <c r="BC62" s="46"/>
      <c r="BD62" s="46"/>
      <c r="BE62" s="46"/>
      <c r="BF62" s="46">
        <v>1</v>
      </c>
      <c r="BG62" s="46"/>
      <c r="BH62" s="46"/>
      <c r="BI62" s="46" t="s">
        <v>1094</v>
      </c>
      <c r="BJ62" s="46" t="s">
        <v>1093</v>
      </c>
      <c r="BK62" s="46">
        <v>1882</v>
      </c>
      <c r="BL62" s="46" t="str">
        <f>BK62&amp;BI62</f>
        <v>1882Blackburn Rovers</v>
      </c>
      <c r="BM62" s="52" t="str">
        <f>IF(AD62="Home",BI62,IF(AD62="Away",BJ62,Q62))</f>
        <v>Manchester</v>
      </c>
      <c r="BN62" s="46"/>
      <c r="BO62" s="46"/>
      <c r="BP62" s="46"/>
      <c r="BQ62" s="46"/>
      <c r="BR62" s="46"/>
      <c r="BS62" s="46"/>
      <c r="BT62" s="46"/>
      <c r="BU62" s="46"/>
      <c r="BV62" s="46" t="s">
        <v>376</v>
      </c>
      <c r="BW62" s="46" t="s">
        <v>376</v>
      </c>
      <c r="BX62" s="46"/>
      <c r="BZ62" s="53"/>
      <c r="CA62" s="53"/>
      <c r="CB62" s="93" t="str">
        <f>IF(OR(C62="",A62="",B62=""),"",TEXT(C62,"0000")&amp;TEXT(A62,"00")&amp;TEXT(B62,"00"))</f>
        <v>18820315</v>
      </c>
    </row>
    <row r="63" spans="1:80" s="52" customFormat="1" ht="12.95" customHeight="1" x14ac:dyDescent="0.2">
      <c r="A63" s="46">
        <v>3</v>
      </c>
      <c r="B63" s="46">
        <v>15</v>
      </c>
      <c r="C63" s="46">
        <v>1882</v>
      </c>
      <c r="D63" s="46" t="s">
        <v>658</v>
      </c>
      <c r="E63" s="46" t="s">
        <v>1088</v>
      </c>
      <c r="F63" s="47" t="s">
        <v>1010</v>
      </c>
      <c r="G63" s="46"/>
      <c r="H63" s="47" t="s">
        <v>1011</v>
      </c>
      <c r="I63" s="47" t="s">
        <v>1023</v>
      </c>
      <c r="J63" s="48" t="s">
        <v>1099</v>
      </c>
      <c r="K63" s="46" t="s">
        <v>1093</v>
      </c>
      <c r="L63" s="46" t="s">
        <v>4</v>
      </c>
      <c r="M63" s="46" t="s">
        <v>1094</v>
      </c>
      <c r="N63" s="49">
        <v>1</v>
      </c>
      <c r="O63" s="49">
        <v>5</v>
      </c>
      <c r="P63" s="47" t="s">
        <v>1100</v>
      </c>
      <c r="Q63" s="47" t="s">
        <v>1101</v>
      </c>
      <c r="R63" s="47" t="s">
        <v>376</v>
      </c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50">
        <f>IF(L63="W",1,0)</f>
        <v>0</v>
      </c>
      <c r="AF63" s="50">
        <f>IF(L63="T",1,0)</f>
        <v>0</v>
      </c>
      <c r="AG63" s="50">
        <f>IF(L63="L",1,0)</f>
        <v>1</v>
      </c>
      <c r="AH63" s="46" t="s">
        <v>1097</v>
      </c>
      <c r="AI63" s="46" t="s">
        <v>1098</v>
      </c>
      <c r="AJ63" s="46" t="s">
        <v>376</v>
      </c>
      <c r="AK63" s="46" t="s">
        <v>658</v>
      </c>
      <c r="AL63" s="46" t="s">
        <v>1085</v>
      </c>
      <c r="AM63" s="46" t="s">
        <v>1086</v>
      </c>
      <c r="AN63" s="46" t="s">
        <v>376</v>
      </c>
      <c r="AO63" s="46" t="s">
        <v>658</v>
      </c>
      <c r="AP63" s="46"/>
      <c r="AQ63" s="46">
        <v>2</v>
      </c>
      <c r="AR63" s="46"/>
      <c r="AS63" s="46"/>
      <c r="AT63" s="46"/>
      <c r="AU63" s="46" t="s">
        <v>376</v>
      </c>
      <c r="AV63" s="46"/>
      <c r="AW63" s="46" t="s">
        <v>30</v>
      </c>
      <c r="AX63" s="46"/>
      <c r="AY63" s="46" t="s">
        <v>30</v>
      </c>
      <c r="AZ63" s="46"/>
      <c r="BA63" s="47"/>
      <c r="BB63" s="51"/>
      <c r="BC63" s="46"/>
      <c r="BD63" s="46"/>
      <c r="BE63" s="46"/>
      <c r="BF63" s="46">
        <v>1</v>
      </c>
      <c r="BG63" s="46"/>
      <c r="BH63" s="46"/>
      <c r="BI63" s="46" t="s">
        <v>1093</v>
      </c>
      <c r="BJ63" s="46" t="s">
        <v>1094</v>
      </c>
      <c r="BK63" s="46">
        <v>1882</v>
      </c>
      <c r="BL63" s="46" t="str">
        <f>BK63&amp;BI63</f>
        <v>1882Sheffield Wednesday</v>
      </c>
      <c r="BM63" s="52" t="str">
        <f>IF(AD63="Home",BI63,IF(AD63="Away",BJ63,Q63))</f>
        <v>Manchester</v>
      </c>
      <c r="BN63" s="46"/>
      <c r="BO63" s="46"/>
      <c r="BP63" s="46"/>
      <c r="BQ63" s="46"/>
      <c r="BR63" s="46"/>
      <c r="BS63" s="46"/>
      <c r="BT63" s="46"/>
      <c r="BU63" s="46"/>
      <c r="BV63" s="46" t="s">
        <v>376</v>
      </c>
      <c r="BW63" s="46" t="s">
        <v>376</v>
      </c>
      <c r="BX63" s="46"/>
      <c r="BZ63" s="53"/>
      <c r="CA63" s="53"/>
      <c r="CB63" s="93" t="str">
        <f>IF(OR(C63="",A63="",B63=""),"",TEXT(C63,"0000")&amp;TEXT(A63,"00")&amp;TEXT(B63,"00"))</f>
        <v>18820315</v>
      </c>
    </row>
    <row r="64" spans="1:80" s="52" customFormat="1" ht="12.95" customHeight="1" x14ac:dyDescent="0.2">
      <c r="A64" s="46">
        <v>3</v>
      </c>
      <c r="B64" s="46">
        <v>25</v>
      </c>
      <c r="C64" s="46">
        <v>1882</v>
      </c>
      <c r="D64" s="46" t="s">
        <v>658</v>
      </c>
      <c r="E64" s="46" t="s">
        <v>1088</v>
      </c>
      <c r="F64" s="47" t="s">
        <v>1010</v>
      </c>
      <c r="G64" s="46"/>
      <c r="H64" s="47" t="s">
        <v>1025</v>
      </c>
      <c r="I64" s="47"/>
      <c r="J64" s="48" t="s">
        <v>1102</v>
      </c>
      <c r="K64" s="46" t="s">
        <v>1048</v>
      </c>
      <c r="L64" s="46" t="s">
        <v>3</v>
      </c>
      <c r="M64" s="46" t="s">
        <v>1094</v>
      </c>
      <c r="N64" s="49">
        <v>1</v>
      </c>
      <c r="O64" s="49">
        <v>0</v>
      </c>
      <c r="P64" s="47" t="s">
        <v>1016</v>
      </c>
      <c r="Q64" s="47" t="s">
        <v>1017</v>
      </c>
      <c r="R64" s="47" t="s">
        <v>376</v>
      </c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50">
        <f>IF(L64="W",1,0)</f>
        <v>1</v>
      </c>
      <c r="AF64" s="50">
        <f>IF(L64="T",1,0)</f>
        <v>0</v>
      </c>
      <c r="AG64" s="50">
        <f>IF(L64="L",1,0)</f>
        <v>0</v>
      </c>
      <c r="AH64" s="46" t="s">
        <v>1050</v>
      </c>
      <c r="AI64" s="46" t="s">
        <v>1036</v>
      </c>
      <c r="AJ64" s="46" t="s">
        <v>376</v>
      </c>
      <c r="AK64" s="46" t="s">
        <v>658</v>
      </c>
      <c r="AL64" s="46" t="s">
        <v>1085</v>
      </c>
      <c r="AM64" s="46" t="s">
        <v>1086</v>
      </c>
      <c r="AN64" s="46" t="s">
        <v>376</v>
      </c>
      <c r="AO64" s="46" t="s">
        <v>658</v>
      </c>
      <c r="AP64" s="46"/>
      <c r="AQ64" s="46">
        <v>1</v>
      </c>
      <c r="AR64" s="46"/>
      <c r="AS64" s="46"/>
      <c r="AT64" s="46"/>
      <c r="AU64" s="46" t="s">
        <v>376</v>
      </c>
      <c r="AV64" s="46"/>
      <c r="AW64" s="46" t="s">
        <v>30</v>
      </c>
      <c r="AX64" s="46"/>
      <c r="AY64" s="46" t="s">
        <v>30</v>
      </c>
      <c r="AZ64" s="46"/>
      <c r="BA64" s="47"/>
      <c r="BB64" s="51" t="s">
        <v>30</v>
      </c>
      <c r="BC64" s="46" t="s">
        <v>30</v>
      </c>
      <c r="BD64" s="46"/>
      <c r="BE64" s="46"/>
      <c r="BF64" s="46">
        <v>1</v>
      </c>
      <c r="BG64" s="46"/>
      <c r="BH64" s="46"/>
      <c r="BI64" s="46" t="s">
        <v>1048</v>
      </c>
      <c r="BJ64" s="46" t="s">
        <v>1094</v>
      </c>
      <c r="BK64" s="46">
        <v>1882</v>
      </c>
      <c r="BL64" s="46" t="str">
        <f>BK64&amp;BI64</f>
        <v>1882Old Etonians</v>
      </c>
      <c r="BM64" s="52" t="str">
        <f>IF(AD64="Home",BI64,IF(AD64="Away",BJ64,Q64))</f>
        <v>London</v>
      </c>
      <c r="BN64" s="46"/>
      <c r="BO64" s="46"/>
      <c r="BP64" s="46"/>
      <c r="BQ64" s="46"/>
      <c r="BR64" s="46"/>
      <c r="BS64" s="46"/>
      <c r="BT64" s="46"/>
      <c r="BU64" s="46"/>
      <c r="BV64" s="46" t="s">
        <v>376</v>
      </c>
      <c r="BW64" s="46" t="s">
        <v>376</v>
      </c>
      <c r="BX64" s="46"/>
      <c r="BZ64" s="53"/>
      <c r="CA64" s="53"/>
      <c r="CB64" s="93" t="str">
        <f>IF(OR(C64="",A64="",B64=""),"",TEXT(C64,"0000")&amp;TEXT(A64,"00")&amp;TEXT(B64,"00"))</f>
        <v>18820325</v>
      </c>
    </row>
    <row r="65" spans="1:80" s="52" customFormat="1" ht="12.95" customHeight="1" x14ac:dyDescent="0.2">
      <c r="A65" s="46">
        <v>3</v>
      </c>
      <c r="B65" s="46">
        <v>25</v>
      </c>
      <c r="C65" s="46">
        <v>1882</v>
      </c>
      <c r="D65" s="46" t="s">
        <v>658</v>
      </c>
      <c r="E65" s="46" t="s">
        <v>1088</v>
      </c>
      <c r="F65" s="47" t="s">
        <v>1010</v>
      </c>
      <c r="G65" s="46"/>
      <c r="H65" s="47" t="s">
        <v>1025</v>
      </c>
      <c r="I65" s="47"/>
      <c r="J65" s="48" t="s">
        <v>1102</v>
      </c>
      <c r="K65" s="46" t="s">
        <v>1094</v>
      </c>
      <c r="L65" s="46" t="s">
        <v>4</v>
      </c>
      <c r="M65" s="46" t="s">
        <v>1048</v>
      </c>
      <c r="N65" s="49">
        <v>0</v>
      </c>
      <c r="O65" s="49">
        <v>1</v>
      </c>
      <c r="P65" s="47" t="s">
        <v>1016</v>
      </c>
      <c r="Q65" s="47" t="s">
        <v>1017</v>
      </c>
      <c r="R65" s="47" t="s">
        <v>376</v>
      </c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50">
        <f>IF(L65="W",1,0)</f>
        <v>0</v>
      </c>
      <c r="AF65" s="50">
        <f>IF(L65="T",1,0)</f>
        <v>0</v>
      </c>
      <c r="AG65" s="50">
        <f>IF(L65="L",1,0)</f>
        <v>1</v>
      </c>
      <c r="AH65" s="46" t="s">
        <v>1085</v>
      </c>
      <c r="AI65" s="46" t="s">
        <v>1086</v>
      </c>
      <c r="AJ65" s="46" t="s">
        <v>376</v>
      </c>
      <c r="AK65" s="46" t="s">
        <v>658</v>
      </c>
      <c r="AL65" s="46" t="s">
        <v>1050</v>
      </c>
      <c r="AM65" s="46" t="s">
        <v>1036</v>
      </c>
      <c r="AN65" s="46" t="s">
        <v>376</v>
      </c>
      <c r="AO65" s="46" t="s">
        <v>658</v>
      </c>
      <c r="AP65" s="46"/>
      <c r="AQ65" s="46">
        <v>1</v>
      </c>
      <c r="AR65" s="46"/>
      <c r="AS65" s="46"/>
      <c r="AT65" s="46"/>
      <c r="AU65" s="46" t="s">
        <v>376</v>
      </c>
      <c r="AV65" s="46"/>
      <c r="AW65" s="46" t="s">
        <v>30</v>
      </c>
      <c r="AX65" s="46"/>
      <c r="AY65" s="46" t="s">
        <v>30</v>
      </c>
      <c r="AZ65" s="46"/>
      <c r="BA65" s="47"/>
      <c r="BB65" s="51"/>
      <c r="BC65" s="46" t="s">
        <v>30</v>
      </c>
      <c r="BD65" s="46"/>
      <c r="BE65" s="46"/>
      <c r="BF65" s="46">
        <v>1</v>
      </c>
      <c r="BG65" s="46"/>
      <c r="BH65" s="46"/>
      <c r="BI65" s="46" t="s">
        <v>1094</v>
      </c>
      <c r="BJ65" s="46" t="s">
        <v>1048</v>
      </c>
      <c r="BK65" s="46">
        <v>1882</v>
      </c>
      <c r="BL65" s="46" t="str">
        <f>BK65&amp;BI65</f>
        <v>1882Blackburn Rovers</v>
      </c>
      <c r="BM65" s="52" t="str">
        <f>IF(AD65="Home",BI65,IF(AD65="Away",BJ65,Q65))</f>
        <v>London</v>
      </c>
      <c r="BN65" s="46"/>
      <c r="BO65" s="46"/>
      <c r="BP65" s="46"/>
      <c r="BQ65" s="46"/>
      <c r="BR65" s="46"/>
      <c r="BS65" s="46"/>
      <c r="BT65" s="46"/>
      <c r="BU65" s="46"/>
      <c r="BV65" s="46" t="s">
        <v>376</v>
      </c>
      <c r="BW65" s="46" t="s">
        <v>376</v>
      </c>
      <c r="BX65" s="46"/>
      <c r="BZ65" s="53"/>
      <c r="CA65" s="53"/>
      <c r="CB65" s="93" t="str">
        <f>IF(OR(C65="",A65="",B65=""),"",TEXT(C65,"0000")&amp;TEXT(A65,"00")&amp;TEXT(B65,"00"))</f>
        <v>18820325</v>
      </c>
    </row>
    <row r="66" spans="1:80" s="52" customFormat="1" ht="12.95" customHeight="1" x14ac:dyDescent="0.2">
      <c r="A66" s="46">
        <v>3</v>
      </c>
      <c r="B66" s="46">
        <v>17</v>
      </c>
      <c r="C66" s="46">
        <v>1883</v>
      </c>
      <c r="D66" s="46" t="s">
        <v>658</v>
      </c>
      <c r="E66" s="46" t="s">
        <v>1103</v>
      </c>
      <c r="F66" s="47" t="s">
        <v>1010</v>
      </c>
      <c r="G66" s="46"/>
      <c r="H66" s="47" t="s">
        <v>1011</v>
      </c>
      <c r="I66" s="47"/>
      <c r="J66" s="48" t="s">
        <v>1104</v>
      </c>
      <c r="K66" s="46" t="s">
        <v>1048</v>
      </c>
      <c r="L66" s="46" t="s">
        <v>3</v>
      </c>
      <c r="M66" s="46" t="s">
        <v>1105</v>
      </c>
      <c r="N66" s="49">
        <v>2</v>
      </c>
      <c r="O66" s="49">
        <v>1</v>
      </c>
      <c r="P66" s="47" t="s">
        <v>1016</v>
      </c>
      <c r="Q66" s="47" t="s">
        <v>1017</v>
      </c>
      <c r="R66" s="47" t="s">
        <v>376</v>
      </c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50">
        <f>IF(L66="W",1,0)</f>
        <v>1</v>
      </c>
      <c r="AF66" s="50">
        <f>IF(L66="T",1,0)</f>
        <v>0</v>
      </c>
      <c r="AG66" s="50">
        <f>IF(L66="L",1,0)</f>
        <v>0</v>
      </c>
      <c r="AH66" s="46" t="s">
        <v>1050</v>
      </c>
      <c r="AI66" s="46" t="s">
        <v>1036</v>
      </c>
      <c r="AJ66" s="46" t="s">
        <v>376</v>
      </c>
      <c r="AK66" s="46" t="s">
        <v>658</v>
      </c>
      <c r="AL66" s="46" t="s">
        <v>1073</v>
      </c>
      <c r="AM66" s="46" t="s">
        <v>1074</v>
      </c>
      <c r="AN66" s="46" t="s">
        <v>376</v>
      </c>
      <c r="AO66" s="46" t="s">
        <v>658</v>
      </c>
      <c r="AP66" s="46"/>
      <c r="AQ66" s="46">
        <v>2</v>
      </c>
      <c r="AR66" s="46"/>
      <c r="AS66" s="46"/>
      <c r="AT66" s="46"/>
      <c r="AU66" s="46" t="s">
        <v>376</v>
      </c>
      <c r="AV66" s="46"/>
      <c r="AW66" s="46" t="s">
        <v>30</v>
      </c>
      <c r="AX66" s="46"/>
      <c r="AY66" s="46" t="s">
        <v>30</v>
      </c>
      <c r="AZ66" s="46"/>
      <c r="BA66" s="47"/>
      <c r="BB66" s="51"/>
      <c r="BC66" s="46"/>
      <c r="BD66" s="46"/>
      <c r="BE66" s="46"/>
      <c r="BF66" s="46">
        <v>1</v>
      </c>
      <c r="BG66" s="46"/>
      <c r="BH66" s="46"/>
      <c r="BI66" s="46" t="s">
        <v>1048</v>
      </c>
      <c r="BJ66" s="46" t="s">
        <v>1105</v>
      </c>
      <c r="BK66" s="46">
        <v>1883</v>
      </c>
      <c r="BL66" s="46" t="str">
        <f>BK66&amp;BI66</f>
        <v>1883Old Etonians</v>
      </c>
      <c r="BM66" s="52" t="str">
        <f>IF(AD66="Home",BI66,IF(AD66="Away",BJ66,Q66))</f>
        <v>London</v>
      </c>
      <c r="BN66" s="46"/>
      <c r="BO66" s="46"/>
      <c r="BP66" s="46"/>
      <c r="BQ66" s="46"/>
      <c r="BR66" s="46"/>
      <c r="BS66" s="46"/>
      <c r="BT66" s="46"/>
      <c r="BU66" s="46"/>
      <c r="BV66" s="46" t="s">
        <v>376</v>
      </c>
      <c r="BW66" s="46" t="s">
        <v>376</v>
      </c>
      <c r="BX66" s="46"/>
      <c r="BZ66" s="53"/>
      <c r="CA66" s="53"/>
      <c r="CB66" s="93" t="str">
        <f>IF(OR(C66="",A66="",B66=""),"",TEXT(C66,"0000")&amp;TEXT(A66,"00")&amp;TEXT(B66,"00"))</f>
        <v>18830317</v>
      </c>
    </row>
    <row r="67" spans="1:80" s="52" customFormat="1" ht="12.95" customHeight="1" x14ac:dyDescent="0.2">
      <c r="A67" s="46">
        <v>3</v>
      </c>
      <c r="B67" s="46">
        <v>17</v>
      </c>
      <c r="C67" s="46">
        <v>1883</v>
      </c>
      <c r="D67" s="46" t="s">
        <v>658</v>
      </c>
      <c r="E67" s="46" t="s">
        <v>1103</v>
      </c>
      <c r="F67" s="47" t="s">
        <v>1010</v>
      </c>
      <c r="G67" s="46"/>
      <c r="H67" s="47" t="s">
        <v>1011</v>
      </c>
      <c r="I67" s="47"/>
      <c r="J67" s="48" t="s">
        <v>1104</v>
      </c>
      <c r="K67" s="46" t="s">
        <v>1105</v>
      </c>
      <c r="L67" s="46" t="s">
        <v>4</v>
      </c>
      <c r="M67" s="46" t="s">
        <v>1048</v>
      </c>
      <c r="N67" s="49">
        <v>1</v>
      </c>
      <c r="O67" s="49">
        <v>2</v>
      </c>
      <c r="P67" s="47" t="s">
        <v>1016</v>
      </c>
      <c r="Q67" s="47" t="s">
        <v>1017</v>
      </c>
      <c r="R67" s="47" t="s">
        <v>376</v>
      </c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50">
        <f>IF(L67="W",1,0)</f>
        <v>0</v>
      </c>
      <c r="AF67" s="50">
        <f>IF(L67="T",1,0)</f>
        <v>0</v>
      </c>
      <c r="AG67" s="50">
        <f>IF(L67="L",1,0)</f>
        <v>1</v>
      </c>
      <c r="AH67" s="46" t="s">
        <v>1073</v>
      </c>
      <c r="AI67" s="46" t="s">
        <v>1074</v>
      </c>
      <c r="AJ67" s="46" t="s">
        <v>376</v>
      </c>
      <c r="AK67" s="46" t="s">
        <v>658</v>
      </c>
      <c r="AL67" s="46" t="s">
        <v>1050</v>
      </c>
      <c r="AM67" s="46" t="s">
        <v>1036</v>
      </c>
      <c r="AN67" s="46" t="s">
        <v>376</v>
      </c>
      <c r="AO67" s="46" t="s">
        <v>658</v>
      </c>
      <c r="AP67" s="46"/>
      <c r="AQ67" s="46">
        <v>2</v>
      </c>
      <c r="AR67" s="46"/>
      <c r="AS67" s="46"/>
      <c r="AT67" s="46"/>
      <c r="AU67" s="46" t="s">
        <v>376</v>
      </c>
      <c r="AV67" s="46"/>
      <c r="AW67" s="46" t="s">
        <v>30</v>
      </c>
      <c r="AX67" s="46"/>
      <c r="AY67" s="46" t="s">
        <v>30</v>
      </c>
      <c r="AZ67" s="46"/>
      <c r="BA67" s="47"/>
      <c r="BB67" s="51"/>
      <c r="BC67" s="46"/>
      <c r="BD67" s="46"/>
      <c r="BE67" s="46"/>
      <c r="BF67" s="46">
        <v>1</v>
      </c>
      <c r="BG67" s="46"/>
      <c r="BH67" s="46"/>
      <c r="BI67" s="46" t="s">
        <v>1105</v>
      </c>
      <c r="BJ67" s="46" t="s">
        <v>1048</v>
      </c>
      <c r="BK67" s="46">
        <v>1883</v>
      </c>
      <c r="BL67" s="46" t="str">
        <f>BK67&amp;BI67</f>
        <v>1883Notts County</v>
      </c>
      <c r="BM67" s="52" t="str">
        <f>IF(AD67="Home",BI67,IF(AD67="Away",BJ67,Q67))</f>
        <v>London</v>
      </c>
      <c r="BN67" s="46"/>
      <c r="BO67" s="46"/>
      <c r="BP67" s="46"/>
      <c r="BQ67" s="46"/>
      <c r="BR67" s="46"/>
      <c r="BS67" s="46"/>
      <c r="BT67" s="46"/>
      <c r="BU67" s="46"/>
      <c r="BV67" s="46" t="s">
        <v>376</v>
      </c>
      <c r="BW67" s="46" t="s">
        <v>376</v>
      </c>
      <c r="BX67" s="46"/>
      <c r="BZ67" s="53"/>
      <c r="CA67" s="53"/>
      <c r="CB67" s="93" t="str">
        <f>IF(OR(C67="",A67="",B67=""),"",TEXT(C67,"0000")&amp;TEXT(A67,"00")&amp;TEXT(B67,"00"))</f>
        <v>18830317</v>
      </c>
    </row>
    <row r="68" spans="1:80" s="52" customFormat="1" ht="12.95" customHeight="1" x14ac:dyDescent="0.2">
      <c r="A68" s="46">
        <v>3</v>
      </c>
      <c r="B68" s="46">
        <v>17</v>
      </c>
      <c r="C68" s="46">
        <v>1883</v>
      </c>
      <c r="D68" s="46" t="s">
        <v>658</v>
      </c>
      <c r="E68" s="46" t="s">
        <v>1103</v>
      </c>
      <c r="F68" s="47" t="s">
        <v>1010</v>
      </c>
      <c r="G68" s="46"/>
      <c r="H68" s="47" t="s">
        <v>1011</v>
      </c>
      <c r="I68" s="47"/>
      <c r="J68" s="48" t="s">
        <v>1104</v>
      </c>
      <c r="K68" s="46" t="s">
        <v>1106</v>
      </c>
      <c r="L68" s="46" t="s">
        <v>3</v>
      </c>
      <c r="M68" s="46" t="s">
        <v>1081</v>
      </c>
      <c r="N68" s="49">
        <v>4</v>
      </c>
      <c r="O68" s="49">
        <v>0</v>
      </c>
      <c r="P68" s="47" t="s">
        <v>1100</v>
      </c>
      <c r="Q68" s="47" t="s">
        <v>1101</v>
      </c>
      <c r="R68" s="47" t="s">
        <v>376</v>
      </c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50">
        <f>IF(L68="W",1,0)</f>
        <v>1</v>
      </c>
      <c r="AF68" s="50">
        <f>IF(L68="T",1,0)</f>
        <v>0</v>
      </c>
      <c r="AG68" s="50">
        <f>IF(L68="L",1,0)</f>
        <v>0</v>
      </c>
      <c r="AH68" s="46" t="s">
        <v>1085</v>
      </c>
      <c r="AI68" s="46" t="s">
        <v>1086</v>
      </c>
      <c r="AJ68" s="46" t="s">
        <v>376</v>
      </c>
      <c r="AK68" s="46" t="s">
        <v>658</v>
      </c>
      <c r="AL68" s="46" t="s">
        <v>1083</v>
      </c>
      <c r="AM68" s="46" t="s">
        <v>1084</v>
      </c>
      <c r="AN68" s="46" t="s">
        <v>376</v>
      </c>
      <c r="AO68" s="46" t="s">
        <v>658</v>
      </c>
      <c r="AP68" s="46"/>
      <c r="AQ68" s="46">
        <v>2</v>
      </c>
      <c r="AR68" s="46"/>
      <c r="AS68" s="46"/>
      <c r="AT68" s="46"/>
      <c r="AU68" s="46" t="s">
        <v>376</v>
      </c>
      <c r="AV68" s="46"/>
      <c r="AW68" s="46" t="s">
        <v>30</v>
      </c>
      <c r="AX68" s="46"/>
      <c r="AY68" s="46" t="s">
        <v>30</v>
      </c>
      <c r="AZ68" s="46"/>
      <c r="BA68" s="47"/>
      <c r="BB68" s="51"/>
      <c r="BC68" s="46"/>
      <c r="BD68" s="46"/>
      <c r="BE68" s="46"/>
      <c r="BF68" s="46">
        <v>1</v>
      </c>
      <c r="BG68" s="46"/>
      <c r="BH68" s="46"/>
      <c r="BI68" s="46" t="s">
        <v>1106</v>
      </c>
      <c r="BJ68" s="46" t="s">
        <v>1081</v>
      </c>
      <c r="BK68" s="46">
        <v>1883</v>
      </c>
      <c r="BL68" s="46" t="str">
        <f>BK68&amp;BI68</f>
        <v>1883Blackburn Olympic</v>
      </c>
      <c r="BM68" s="52" t="str">
        <f>IF(AD68="Home",BI68,IF(AD68="Away",BJ68,Q68))</f>
        <v>Manchester</v>
      </c>
      <c r="BN68" s="46"/>
      <c r="BO68" s="46"/>
      <c r="BP68" s="46"/>
      <c r="BQ68" s="46"/>
      <c r="BR68" s="46"/>
      <c r="BS68" s="46"/>
      <c r="BT68" s="46"/>
      <c r="BU68" s="46"/>
      <c r="BV68" s="46" t="s">
        <v>376</v>
      </c>
      <c r="BW68" s="46" t="s">
        <v>376</v>
      </c>
      <c r="BX68" s="46"/>
      <c r="BZ68" s="53"/>
      <c r="CA68" s="53"/>
      <c r="CB68" s="93" t="str">
        <f>IF(OR(C68="",A68="",B68=""),"",TEXT(C68,"0000")&amp;TEXT(A68,"00")&amp;TEXT(B68,"00"))</f>
        <v>18830317</v>
      </c>
    </row>
    <row r="69" spans="1:80" s="52" customFormat="1" ht="12.95" customHeight="1" x14ac:dyDescent="0.2">
      <c r="A69" s="46">
        <v>3</v>
      </c>
      <c r="B69" s="46">
        <v>17</v>
      </c>
      <c r="C69" s="46">
        <v>1883</v>
      </c>
      <c r="D69" s="46" t="s">
        <v>658</v>
      </c>
      <c r="E69" s="46" t="s">
        <v>1103</v>
      </c>
      <c r="F69" s="47" t="s">
        <v>1010</v>
      </c>
      <c r="G69" s="46"/>
      <c r="H69" s="47" t="s">
        <v>1011</v>
      </c>
      <c r="I69" s="47"/>
      <c r="J69" s="48" t="s">
        <v>1104</v>
      </c>
      <c r="K69" s="46" t="s">
        <v>1081</v>
      </c>
      <c r="L69" s="46" t="s">
        <v>4</v>
      </c>
      <c r="M69" s="46" t="s">
        <v>1106</v>
      </c>
      <c r="N69" s="49">
        <v>0</v>
      </c>
      <c r="O69" s="49">
        <v>4</v>
      </c>
      <c r="P69" s="47" t="s">
        <v>1100</v>
      </c>
      <c r="Q69" s="47" t="s">
        <v>1101</v>
      </c>
      <c r="R69" s="47" t="s">
        <v>376</v>
      </c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50">
        <f>IF(L69="W",1,0)</f>
        <v>0</v>
      </c>
      <c r="AF69" s="50">
        <f>IF(L69="T",1,0)</f>
        <v>0</v>
      </c>
      <c r="AG69" s="50">
        <f>IF(L69="L",1,0)</f>
        <v>1</v>
      </c>
      <c r="AH69" s="46" t="s">
        <v>1083</v>
      </c>
      <c r="AI69" s="46" t="s">
        <v>1084</v>
      </c>
      <c r="AJ69" s="46" t="s">
        <v>376</v>
      </c>
      <c r="AK69" s="46" t="s">
        <v>658</v>
      </c>
      <c r="AL69" s="46" t="s">
        <v>1085</v>
      </c>
      <c r="AM69" s="46" t="s">
        <v>1086</v>
      </c>
      <c r="AN69" s="46" t="s">
        <v>376</v>
      </c>
      <c r="AO69" s="46" t="s">
        <v>658</v>
      </c>
      <c r="AP69" s="46"/>
      <c r="AQ69" s="46">
        <v>2</v>
      </c>
      <c r="AR69" s="46"/>
      <c r="AS69" s="46"/>
      <c r="AT69" s="46"/>
      <c r="AU69" s="46" t="s">
        <v>376</v>
      </c>
      <c r="AV69" s="46"/>
      <c r="AW69" s="46" t="s">
        <v>30</v>
      </c>
      <c r="AX69" s="46"/>
      <c r="AY69" s="46" t="s">
        <v>30</v>
      </c>
      <c r="AZ69" s="46"/>
      <c r="BA69" s="47"/>
      <c r="BB69" s="51"/>
      <c r="BC69" s="46"/>
      <c r="BD69" s="46"/>
      <c r="BE69" s="46"/>
      <c r="BF69" s="46">
        <v>1</v>
      </c>
      <c r="BG69" s="46"/>
      <c r="BH69" s="46"/>
      <c r="BI69" s="46" t="s">
        <v>1081</v>
      </c>
      <c r="BJ69" s="46" t="s">
        <v>1106</v>
      </c>
      <c r="BK69" s="46">
        <v>1883</v>
      </c>
      <c r="BL69" s="46" t="str">
        <f>BK69&amp;BI69</f>
        <v>1883Old Carthusians</v>
      </c>
      <c r="BM69" s="52" t="str">
        <f>IF(AD69="Home",BI69,IF(AD69="Away",BJ69,Q69))</f>
        <v>Manchester</v>
      </c>
      <c r="BN69" s="46"/>
      <c r="BO69" s="46"/>
      <c r="BP69" s="46"/>
      <c r="BQ69" s="46"/>
      <c r="BR69" s="46"/>
      <c r="BS69" s="46"/>
      <c r="BT69" s="46"/>
      <c r="BU69" s="46"/>
      <c r="BV69" s="46" t="s">
        <v>376</v>
      </c>
      <c r="BW69" s="46" t="s">
        <v>376</v>
      </c>
      <c r="BX69" s="46"/>
      <c r="BZ69" s="53"/>
      <c r="CA69" s="53"/>
      <c r="CB69" s="93" t="str">
        <f>IF(OR(C69="",A69="",B69=""),"",TEXT(C69,"0000")&amp;TEXT(A69,"00")&amp;TEXT(B69,"00"))</f>
        <v>18830317</v>
      </c>
    </row>
    <row r="70" spans="1:80" s="52" customFormat="1" ht="12.95" customHeight="1" x14ac:dyDescent="0.2">
      <c r="A70" s="46">
        <v>3</v>
      </c>
      <c r="B70" s="46">
        <v>31</v>
      </c>
      <c r="C70" s="46">
        <v>1883</v>
      </c>
      <c r="D70" s="46" t="s">
        <v>658</v>
      </c>
      <c r="E70" s="46" t="s">
        <v>1103</v>
      </c>
      <c r="F70" s="47" t="s">
        <v>1010</v>
      </c>
      <c r="G70" s="46"/>
      <c r="H70" s="47" t="s">
        <v>1025</v>
      </c>
      <c r="I70" s="47"/>
      <c r="J70" s="48" t="s">
        <v>1107</v>
      </c>
      <c r="K70" s="46" t="s">
        <v>1106</v>
      </c>
      <c r="L70" s="46" t="s">
        <v>3</v>
      </c>
      <c r="M70" s="46" t="s">
        <v>1048</v>
      </c>
      <c r="N70" s="49">
        <v>2</v>
      </c>
      <c r="O70" s="49">
        <v>1</v>
      </c>
      <c r="P70" s="47" t="s">
        <v>1016</v>
      </c>
      <c r="Q70" s="47" t="s">
        <v>1017</v>
      </c>
      <c r="R70" s="47" t="s">
        <v>376</v>
      </c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50">
        <f>IF(L70="W",1,0)</f>
        <v>1</v>
      </c>
      <c r="AF70" s="50">
        <f>IF(L70="T",1,0)</f>
        <v>0</v>
      </c>
      <c r="AG70" s="50">
        <f>IF(L70="L",1,0)</f>
        <v>0</v>
      </c>
      <c r="AH70" s="46" t="s">
        <v>1085</v>
      </c>
      <c r="AI70" s="46" t="s">
        <v>1086</v>
      </c>
      <c r="AJ70" s="46" t="s">
        <v>376</v>
      </c>
      <c r="AK70" s="46" t="s">
        <v>658</v>
      </c>
      <c r="AL70" s="46" t="s">
        <v>1050</v>
      </c>
      <c r="AM70" s="46" t="s">
        <v>1036</v>
      </c>
      <c r="AN70" s="46" t="s">
        <v>376</v>
      </c>
      <c r="AO70" s="46" t="s">
        <v>658</v>
      </c>
      <c r="AP70" s="46"/>
      <c r="AQ70" s="46">
        <v>1</v>
      </c>
      <c r="AR70" s="46"/>
      <c r="AS70" s="46"/>
      <c r="AT70" s="46"/>
      <c r="AU70" s="46" t="s">
        <v>376</v>
      </c>
      <c r="AV70" s="46"/>
      <c r="AW70" s="46" t="s">
        <v>30</v>
      </c>
      <c r="AX70" s="46"/>
      <c r="AY70" s="46" t="s">
        <v>30</v>
      </c>
      <c r="AZ70" s="46"/>
      <c r="BA70" s="47"/>
      <c r="BB70" s="51" t="s">
        <v>30</v>
      </c>
      <c r="BC70" s="46" t="s">
        <v>30</v>
      </c>
      <c r="BD70" s="46"/>
      <c r="BE70" s="46"/>
      <c r="BF70" s="46">
        <v>1</v>
      </c>
      <c r="BG70" s="46"/>
      <c r="BH70" s="46"/>
      <c r="BI70" s="46" t="s">
        <v>1106</v>
      </c>
      <c r="BJ70" s="46" t="s">
        <v>1048</v>
      </c>
      <c r="BK70" s="46">
        <v>1883</v>
      </c>
      <c r="BL70" s="46" t="str">
        <f>BK70&amp;BI70</f>
        <v>1883Blackburn Olympic</v>
      </c>
      <c r="BM70" s="52" t="str">
        <f>IF(AD70="Home",BI70,IF(AD70="Away",BJ70,Q70))</f>
        <v>London</v>
      </c>
      <c r="BN70" s="46"/>
      <c r="BO70" s="46"/>
      <c r="BP70" s="46"/>
      <c r="BQ70" s="46"/>
      <c r="BR70" s="46"/>
      <c r="BS70" s="46"/>
      <c r="BT70" s="46"/>
      <c r="BU70" s="46"/>
      <c r="BV70" s="46" t="s">
        <v>376</v>
      </c>
      <c r="BW70" s="46" t="s">
        <v>376</v>
      </c>
      <c r="BX70" s="46"/>
      <c r="BZ70" s="53"/>
      <c r="CA70" s="53"/>
      <c r="CB70" s="93" t="str">
        <f>IF(OR(C70="",A70="",B70=""),"",TEXT(C70,"0000")&amp;TEXT(A70,"00")&amp;TEXT(B70,"00"))</f>
        <v>18830331</v>
      </c>
    </row>
    <row r="71" spans="1:80" s="52" customFormat="1" ht="12.95" customHeight="1" x14ac:dyDescent="0.2">
      <c r="A71" s="46">
        <v>3</v>
      </c>
      <c r="B71" s="46">
        <v>31</v>
      </c>
      <c r="C71" s="46">
        <v>1883</v>
      </c>
      <c r="D71" s="46" t="s">
        <v>658</v>
      </c>
      <c r="E71" s="46" t="s">
        <v>1103</v>
      </c>
      <c r="F71" s="47" t="s">
        <v>1010</v>
      </c>
      <c r="G71" s="46"/>
      <c r="H71" s="47" t="s">
        <v>1025</v>
      </c>
      <c r="I71" s="47"/>
      <c r="J71" s="48" t="s">
        <v>1107</v>
      </c>
      <c r="K71" s="46" t="s">
        <v>1048</v>
      </c>
      <c r="L71" s="46" t="s">
        <v>4</v>
      </c>
      <c r="M71" s="46" t="s">
        <v>1106</v>
      </c>
      <c r="N71" s="49">
        <v>1</v>
      </c>
      <c r="O71" s="49">
        <v>2</v>
      </c>
      <c r="P71" s="47" t="s">
        <v>1016</v>
      </c>
      <c r="Q71" s="47" t="s">
        <v>1017</v>
      </c>
      <c r="R71" s="47" t="s">
        <v>376</v>
      </c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50">
        <f>IF(L71="W",1,0)</f>
        <v>0</v>
      </c>
      <c r="AF71" s="50">
        <f>IF(L71="T",1,0)</f>
        <v>0</v>
      </c>
      <c r="AG71" s="50">
        <f>IF(L71="L",1,0)</f>
        <v>1</v>
      </c>
      <c r="AH71" s="46" t="s">
        <v>1050</v>
      </c>
      <c r="AI71" s="46" t="s">
        <v>1036</v>
      </c>
      <c r="AJ71" s="46" t="s">
        <v>376</v>
      </c>
      <c r="AK71" s="46" t="s">
        <v>658</v>
      </c>
      <c r="AL71" s="46" t="s">
        <v>1085</v>
      </c>
      <c r="AM71" s="46" t="s">
        <v>1086</v>
      </c>
      <c r="AN71" s="46" t="s">
        <v>376</v>
      </c>
      <c r="AO71" s="46" t="s">
        <v>658</v>
      </c>
      <c r="AP71" s="46"/>
      <c r="AQ71" s="46">
        <v>1</v>
      </c>
      <c r="AR71" s="46"/>
      <c r="AS71" s="46"/>
      <c r="AT71" s="46"/>
      <c r="AU71" s="46" t="s">
        <v>376</v>
      </c>
      <c r="AV71" s="46"/>
      <c r="AW71" s="46" t="s">
        <v>30</v>
      </c>
      <c r="AX71" s="46"/>
      <c r="AY71" s="46" t="s">
        <v>30</v>
      </c>
      <c r="AZ71" s="46"/>
      <c r="BA71" s="47"/>
      <c r="BB71" s="51"/>
      <c r="BC71" s="46" t="s">
        <v>30</v>
      </c>
      <c r="BD71" s="46"/>
      <c r="BE71" s="46"/>
      <c r="BF71" s="46">
        <v>1</v>
      </c>
      <c r="BG71" s="46"/>
      <c r="BH71" s="46"/>
      <c r="BI71" s="46" t="s">
        <v>1048</v>
      </c>
      <c r="BJ71" s="46" t="s">
        <v>1106</v>
      </c>
      <c r="BK71" s="46">
        <v>1883</v>
      </c>
      <c r="BL71" s="46" t="str">
        <f>BK71&amp;BI71</f>
        <v>1883Old Etonians</v>
      </c>
      <c r="BM71" s="52" t="str">
        <f>IF(AD71="Home",BI71,IF(AD71="Away",BJ71,Q71))</f>
        <v>London</v>
      </c>
      <c r="BN71" s="46"/>
      <c r="BO71" s="46"/>
      <c r="BP71" s="46"/>
      <c r="BQ71" s="46"/>
      <c r="BR71" s="46"/>
      <c r="BS71" s="46"/>
      <c r="BT71" s="46"/>
      <c r="BU71" s="46"/>
      <c r="BV71" s="46" t="s">
        <v>376</v>
      </c>
      <c r="BW71" s="46" t="s">
        <v>376</v>
      </c>
      <c r="BX71" s="46"/>
      <c r="BZ71" s="53"/>
      <c r="CA71" s="53"/>
      <c r="CB71" s="93" t="str">
        <f>IF(OR(C71="",A71="",B71=""),"",TEXT(C71,"0000")&amp;TEXT(A71,"00")&amp;TEXT(B71,"00"))</f>
        <v>18830331</v>
      </c>
    </row>
    <row r="72" spans="1:80" s="52" customFormat="1" ht="12.95" customHeight="1" x14ac:dyDescent="0.2">
      <c r="A72" s="46">
        <v>3</v>
      </c>
      <c r="B72" s="46">
        <v>1</v>
      </c>
      <c r="C72" s="46">
        <v>1884</v>
      </c>
      <c r="D72" s="46" t="s">
        <v>658</v>
      </c>
      <c r="E72" s="46" t="s">
        <v>1108</v>
      </c>
      <c r="F72" s="47" t="s">
        <v>1010</v>
      </c>
      <c r="G72" s="46"/>
      <c r="H72" s="47" t="s">
        <v>1011</v>
      </c>
      <c r="I72" s="47"/>
      <c r="J72" s="48" t="s">
        <v>1109</v>
      </c>
      <c r="K72" s="46" t="s">
        <v>1094</v>
      </c>
      <c r="L72" s="46" t="s">
        <v>3</v>
      </c>
      <c r="M72" s="46" t="s">
        <v>1105</v>
      </c>
      <c r="N72" s="49">
        <v>1</v>
      </c>
      <c r="O72" s="49">
        <v>0</v>
      </c>
      <c r="P72" s="47" t="s">
        <v>1110</v>
      </c>
      <c r="Q72" s="47" t="s">
        <v>1111</v>
      </c>
      <c r="R72" s="47" t="s">
        <v>376</v>
      </c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50">
        <f>IF(L72="W",1,0)</f>
        <v>1</v>
      </c>
      <c r="AF72" s="50">
        <f>IF(L72="T",1,0)</f>
        <v>0</v>
      </c>
      <c r="AG72" s="50">
        <f>IF(L72="L",1,0)</f>
        <v>0</v>
      </c>
      <c r="AH72" s="46" t="s">
        <v>1085</v>
      </c>
      <c r="AI72" s="46" t="s">
        <v>1086</v>
      </c>
      <c r="AJ72" s="46" t="s">
        <v>376</v>
      </c>
      <c r="AK72" s="46" t="s">
        <v>658</v>
      </c>
      <c r="AL72" s="46" t="s">
        <v>1073</v>
      </c>
      <c r="AM72" s="46" t="s">
        <v>1074</v>
      </c>
      <c r="AN72" s="46" t="s">
        <v>376</v>
      </c>
      <c r="AO72" s="46" t="s">
        <v>658</v>
      </c>
      <c r="AP72" s="46"/>
      <c r="AQ72" s="46">
        <v>2</v>
      </c>
      <c r="AR72" s="46"/>
      <c r="AS72" s="46"/>
      <c r="AT72" s="46"/>
      <c r="AU72" s="46" t="s">
        <v>376</v>
      </c>
      <c r="AV72" s="46"/>
      <c r="AW72" s="46" t="s">
        <v>30</v>
      </c>
      <c r="AX72" s="46"/>
      <c r="AY72" s="46" t="s">
        <v>30</v>
      </c>
      <c r="AZ72" s="46"/>
      <c r="BA72" s="47"/>
      <c r="BB72" s="51"/>
      <c r="BC72" s="46"/>
      <c r="BD72" s="46"/>
      <c r="BE72" s="46"/>
      <c r="BF72" s="46">
        <v>1</v>
      </c>
      <c r="BG72" s="46"/>
      <c r="BH72" s="46"/>
      <c r="BI72" s="46" t="s">
        <v>1094</v>
      </c>
      <c r="BJ72" s="46" t="s">
        <v>1105</v>
      </c>
      <c r="BK72" s="46">
        <v>1884</v>
      </c>
      <c r="BL72" s="46" t="str">
        <f>BK72&amp;BI72</f>
        <v>1884Blackburn Rovers</v>
      </c>
      <c r="BM72" s="52" t="str">
        <f>IF(AD72="Home",BI72,IF(AD72="Away",BJ72,Q72))</f>
        <v>Birmingham</v>
      </c>
      <c r="BN72" s="46"/>
      <c r="BO72" s="46"/>
      <c r="BP72" s="46"/>
      <c r="BQ72" s="46"/>
      <c r="BR72" s="46"/>
      <c r="BS72" s="46"/>
      <c r="BT72" s="46"/>
      <c r="BU72" s="46"/>
      <c r="BV72" s="46" t="s">
        <v>376</v>
      </c>
      <c r="BW72" s="46" t="s">
        <v>376</v>
      </c>
      <c r="BX72" s="46"/>
      <c r="BZ72" s="53"/>
      <c r="CA72" s="53"/>
      <c r="CB72" s="93" t="str">
        <f>IF(OR(C72="",A72="",B72=""),"",TEXT(C72,"0000")&amp;TEXT(A72,"00")&amp;TEXT(B72,"00"))</f>
        <v>18840301</v>
      </c>
    </row>
    <row r="73" spans="1:80" s="52" customFormat="1" ht="12.95" customHeight="1" x14ac:dyDescent="0.2">
      <c r="A73" s="46">
        <v>3</v>
      </c>
      <c r="B73" s="46">
        <v>1</v>
      </c>
      <c r="C73" s="46">
        <v>1884</v>
      </c>
      <c r="D73" s="46" t="s">
        <v>658</v>
      </c>
      <c r="E73" s="46" t="s">
        <v>1108</v>
      </c>
      <c r="F73" s="47" t="s">
        <v>1010</v>
      </c>
      <c r="G73" s="46"/>
      <c r="H73" s="47" t="s">
        <v>1011</v>
      </c>
      <c r="I73" s="47"/>
      <c r="J73" s="48" t="s">
        <v>1109</v>
      </c>
      <c r="K73" s="46" t="s">
        <v>1105</v>
      </c>
      <c r="L73" s="46" t="s">
        <v>4</v>
      </c>
      <c r="M73" s="46" t="s">
        <v>1094</v>
      </c>
      <c r="N73" s="49">
        <v>0</v>
      </c>
      <c r="O73" s="49">
        <v>1</v>
      </c>
      <c r="P73" s="47" t="s">
        <v>1110</v>
      </c>
      <c r="Q73" s="47" t="s">
        <v>1111</v>
      </c>
      <c r="R73" s="47" t="s">
        <v>376</v>
      </c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50">
        <f>IF(L73="W",1,0)</f>
        <v>0</v>
      </c>
      <c r="AF73" s="50">
        <f>IF(L73="T",1,0)</f>
        <v>0</v>
      </c>
      <c r="AG73" s="50">
        <f>IF(L73="L",1,0)</f>
        <v>1</v>
      </c>
      <c r="AH73" s="46" t="s">
        <v>1073</v>
      </c>
      <c r="AI73" s="46" t="s">
        <v>1074</v>
      </c>
      <c r="AJ73" s="46" t="s">
        <v>376</v>
      </c>
      <c r="AK73" s="46" t="s">
        <v>658</v>
      </c>
      <c r="AL73" s="46" t="s">
        <v>1085</v>
      </c>
      <c r="AM73" s="46" t="s">
        <v>1086</v>
      </c>
      <c r="AN73" s="46" t="s">
        <v>376</v>
      </c>
      <c r="AO73" s="46" t="s">
        <v>658</v>
      </c>
      <c r="AP73" s="46"/>
      <c r="AQ73" s="46">
        <v>2</v>
      </c>
      <c r="AR73" s="46"/>
      <c r="AS73" s="46"/>
      <c r="AT73" s="46"/>
      <c r="AU73" s="46" t="s">
        <v>376</v>
      </c>
      <c r="AV73" s="46"/>
      <c r="AW73" s="46" t="s">
        <v>30</v>
      </c>
      <c r="AX73" s="46"/>
      <c r="AY73" s="46" t="s">
        <v>30</v>
      </c>
      <c r="AZ73" s="46"/>
      <c r="BA73" s="47"/>
      <c r="BB73" s="51"/>
      <c r="BC73" s="46"/>
      <c r="BD73" s="46"/>
      <c r="BE73" s="46"/>
      <c r="BF73" s="46">
        <v>1</v>
      </c>
      <c r="BG73" s="46"/>
      <c r="BH73" s="46"/>
      <c r="BI73" s="46" t="s">
        <v>1105</v>
      </c>
      <c r="BJ73" s="46" t="s">
        <v>1094</v>
      </c>
      <c r="BK73" s="46">
        <v>1884</v>
      </c>
      <c r="BL73" s="46" t="str">
        <f>BK73&amp;BI73</f>
        <v>1884Notts County</v>
      </c>
      <c r="BM73" s="52" t="str">
        <f>IF(AD73="Home",BI73,IF(AD73="Away",BJ73,Q73))</f>
        <v>Birmingham</v>
      </c>
      <c r="BN73" s="46"/>
      <c r="BO73" s="46"/>
      <c r="BP73" s="46"/>
      <c r="BQ73" s="46"/>
      <c r="BR73" s="46"/>
      <c r="BS73" s="46"/>
      <c r="BT73" s="46"/>
      <c r="BU73" s="46"/>
      <c r="BV73" s="46" t="s">
        <v>376</v>
      </c>
      <c r="BW73" s="46" t="s">
        <v>376</v>
      </c>
      <c r="BX73" s="46"/>
      <c r="BZ73" s="53"/>
      <c r="CA73" s="53"/>
      <c r="CB73" s="93" t="str">
        <f>IF(OR(C73="",A73="",B73=""),"",TEXT(C73,"0000")&amp;TEXT(A73,"00")&amp;TEXT(B73,"00"))</f>
        <v>18840301</v>
      </c>
    </row>
    <row r="74" spans="1:80" s="52" customFormat="1" ht="12.95" customHeight="1" x14ac:dyDescent="0.2">
      <c r="A74" s="46">
        <v>3</v>
      </c>
      <c r="B74" s="46">
        <v>1</v>
      </c>
      <c r="C74" s="46">
        <v>1884</v>
      </c>
      <c r="D74" s="46" t="s">
        <v>658</v>
      </c>
      <c r="E74" s="46" t="s">
        <v>1108</v>
      </c>
      <c r="F74" s="47" t="s">
        <v>1010</v>
      </c>
      <c r="G74" s="46"/>
      <c r="H74" s="47" t="s">
        <v>1011</v>
      </c>
      <c r="I74" s="47"/>
      <c r="J74" s="48" t="s">
        <v>1109</v>
      </c>
      <c r="K74" s="46" t="s">
        <v>1021</v>
      </c>
      <c r="L74" s="46" t="s">
        <v>3</v>
      </c>
      <c r="M74" s="46" t="s">
        <v>1106</v>
      </c>
      <c r="N74" s="49">
        <v>4</v>
      </c>
      <c r="O74" s="49">
        <v>1</v>
      </c>
      <c r="P74" s="47" t="s">
        <v>1112</v>
      </c>
      <c r="Q74" s="47" t="s">
        <v>1073</v>
      </c>
      <c r="R74" s="47" t="s">
        <v>376</v>
      </c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50">
        <f>IF(L74="W",1,0)</f>
        <v>1</v>
      </c>
      <c r="AF74" s="50">
        <f>IF(L74="T",1,0)</f>
        <v>0</v>
      </c>
      <c r="AG74" s="50">
        <f>IF(L74="L",1,0)</f>
        <v>0</v>
      </c>
      <c r="AH74" s="46" t="s">
        <v>1022</v>
      </c>
      <c r="AI74" s="46" t="s">
        <v>1022</v>
      </c>
      <c r="AJ74" s="46" t="s">
        <v>376</v>
      </c>
      <c r="AK74" s="46" t="s">
        <v>658</v>
      </c>
      <c r="AL74" s="46" t="s">
        <v>1085</v>
      </c>
      <c r="AM74" s="46" t="s">
        <v>1086</v>
      </c>
      <c r="AN74" s="46" t="s">
        <v>376</v>
      </c>
      <c r="AO74" s="46" t="s">
        <v>658</v>
      </c>
      <c r="AP74" s="46"/>
      <c r="AQ74" s="46">
        <v>2</v>
      </c>
      <c r="AR74" s="46"/>
      <c r="AS74" s="46"/>
      <c r="AT74" s="46"/>
      <c r="AU74" s="46" t="s">
        <v>376</v>
      </c>
      <c r="AV74" s="46"/>
      <c r="AW74" s="46" t="s">
        <v>30</v>
      </c>
      <c r="AX74" s="46"/>
      <c r="AY74" s="46" t="s">
        <v>30</v>
      </c>
      <c r="AZ74" s="46"/>
      <c r="BA74" s="47"/>
      <c r="BB74" s="51"/>
      <c r="BC74" s="46"/>
      <c r="BD74" s="46"/>
      <c r="BE74" s="46"/>
      <c r="BF74" s="46">
        <v>1</v>
      </c>
      <c r="BG74" s="46"/>
      <c r="BH74" s="46"/>
      <c r="BI74" s="46" t="s">
        <v>1021</v>
      </c>
      <c r="BJ74" s="46" t="s">
        <v>1106</v>
      </c>
      <c r="BK74" s="46">
        <v>1884</v>
      </c>
      <c r="BL74" s="46" t="str">
        <f>BK74&amp;BI74</f>
        <v>1884Queen's Park</v>
      </c>
      <c r="BM74" s="52" t="str">
        <f>IF(AD74="Home",BI74,IF(AD74="Away",BJ74,Q74))</f>
        <v>Nottingham</v>
      </c>
      <c r="BN74" s="46"/>
      <c r="BO74" s="46"/>
      <c r="BP74" s="46"/>
      <c r="BQ74" s="46"/>
      <c r="BR74" s="46"/>
      <c r="BS74" s="46"/>
      <c r="BT74" s="46"/>
      <c r="BU74" s="46"/>
      <c r="BV74" s="46" t="s">
        <v>376</v>
      </c>
      <c r="BW74" s="46" t="s">
        <v>376</v>
      </c>
      <c r="BX74" s="46"/>
      <c r="BY74" s="35"/>
      <c r="BZ74" s="53"/>
      <c r="CA74" s="53"/>
      <c r="CB74" s="93" t="str">
        <f>IF(OR(C74="",A74="",B74=""),"",TEXT(C74,"0000")&amp;TEXT(A74,"00")&amp;TEXT(B74,"00"))</f>
        <v>18840301</v>
      </c>
    </row>
    <row r="75" spans="1:80" s="52" customFormat="1" ht="12.95" customHeight="1" x14ac:dyDescent="0.2">
      <c r="A75" s="46">
        <v>3</v>
      </c>
      <c r="B75" s="46">
        <v>1</v>
      </c>
      <c r="C75" s="46">
        <v>1884</v>
      </c>
      <c r="D75" s="46" t="s">
        <v>658</v>
      </c>
      <c r="E75" s="46" t="s">
        <v>1108</v>
      </c>
      <c r="F75" s="47" t="s">
        <v>1010</v>
      </c>
      <c r="G75" s="46"/>
      <c r="H75" s="47" t="s">
        <v>1011</v>
      </c>
      <c r="I75" s="47"/>
      <c r="J75" s="48" t="s">
        <v>1109</v>
      </c>
      <c r="K75" s="46" t="s">
        <v>1106</v>
      </c>
      <c r="L75" s="46" t="s">
        <v>4</v>
      </c>
      <c r="M75" s="46" t="s">
        <v>1021</v>
      </c>
      <c r="N75" s="49">
        <v>1</v>
      </c>
      <c r="O75" s="49">
        <v>4</v>
      </c>
      <c r="P75" s="47" t="s">
        <v>1112</v>
      </c>
      <c r="Q75" s="47" t="s">
        <v>1073</v>
      </c>
      <c r="R75" s="47" t="s">
        <v>376</v>
      </c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50">
        <f>IF(L75="W",1,0)</f>
        <v>0</v>
      </c>
      <c r="AF75" s="50">
        <f>IF(L75="T",1,0)</f>
        <v>0</v>
      </c>
      <c r="AG75" s="50">
        <f>IF(L75="L",1,0)</f>
        <v>1</v>
      </c>
      <c r="AH75" s="46" t="s">
        <v>1085</v>
      </c>
      <c r="AI75" s="46" t="s">
        <v>1086</v>
      </c>
      <c r="AJ75" s="46" t="s">
        <v>376</v>
      </c>
      <c r="AK75" s="46" t="s">
        <v>658</v>
      </c>
      <c r="AL75" s="46" t="s">
        <v>1022</v>
      </c>
      <c r="AM75" s="46" t="s">
        <v>1022</v>
      </c>
      <c r="AN75" s="46" t="s">
        <v>376</v>
      </c>
      <c r="AO75" s="46" t="s">
        <v>658</v>
      </c>
      <c r="AP75" s="46"/>
      <c r="AQ75" s="46">
        <v>2</v>
      </c>
      <c r="AR75" s="46"/>
      <c r="AS75" s="46"/>
      <c r="AT75" s="46"/>
      <c r="AU75" s="46" t="s">
        <v>376</v>
      </c>
      <c r="AV75" s="46"/>
      <c r="AW75" s="46" t="s">
        <v>30</v>
      </c>
      <c r="AX75" s="46"/>
      <c r="AY75" s="46" t="s">
        <v>30</v>
      </c>
      <c r="AZ75" s="46"/>
      <c r="BA75" s="47"/>
      <c r="BB75" s="51"/>
      <c r="BC75" s="46"/>
      <c r="BD75" s="46"/>
      <c r="BE75" s="46"/>
      <c r="BF75" s="46">
        <v>1</v>
      </c>
      <c r="BG75" s="46"/>
      <c r="BH75" s="46"/>
      <c r="BI75" s="46" t="s">
        <v>1106</v>
      </c>
      <c r="BJ75" s="46" t="s">
        <v>1021</v>
      </c>
      <c r="BK75" s="46">
        <v>1884</v>
      </c>
      <c r="BL75" s="46" t="str">
        <f>BK75&amp;BI75</f>
        <v>1884Blackburn Olympic</v>
      </c>
      <c r="BM75" s="52" t="str">
        <f>IF(AD75="Home",BI75,IF(AD75="Away",BJ75,Q75))</f>
        <v>Nottingham</v>
      </c>
      <c r="BN75" s="46"/>
      <c r="BO75" s="46"/>
      <c r="BP75" s="46"/>
      <c r="BQ75" s="46"/>
      <c r="BR75" s="46"/>
      <c r="BS75" s="46"/>
      <c r="BT75" s="46"/>
      <c r="BU75" s="46"/>
      <c r="BV75" s="46" t="s">
        <v>376</v>
      </c>
      <c r="BW75" s="46" t="s">
        <v>376</v>
      </c>
      <c r="BX75" s="46"/>
      <c r="BY75" s="35"/>
      <c r="BZ75" s="53"/>
      <c r="CA75" s="53"/>
      <c r="CB75" s="93" t="str">
        <f>IF(OR(C75="",A75="",B75=""),"",TEXT(C75,"0000")&amp;TEXT(A75,"00")&amp;TEXT(B75,"00"))</f>
        <v>18840301</v>
      </c>
    </row>
    <row r="76" spans="1:80" s="52" customFormat="1" ht="12.95" customHeight="1" x14ac:dyDescent="0.2">
      <c r="A76" s="46">
        <v>3</v>
      </c>
      <c r="B76" s="46">
        <v>29</v>
      </c>
      <c r="C76" s="46">
        <v>1884</v>
      </c>
      <c r="D76" s="46" t="s">
        <v>658</v>
      </c>
      <c r="E76" s="46" t="s">
        <v>1108</v>
      </c>
      <c r="F76" s="47" t="s">
        <v>1010</v>
      </c>
      <c r="G76" s="46"/>
      <c r="H76" s="47" t="s">
        <v>1025</v>
      </c>
      <c r="I76" s="47"/>
      <c r="J76" s="48" t="s">
        <v>1113</v>
      </c>
      <c r="K76" s="46" t="s">
        <v>1094</v>
      </c>
      <c r="L76" s="46" t="s">
        <v>3</v>
      </c>
      <c r="M76" s="46" t="s">
        <v>1021</v>
      </c>
      <c r="N76" s="49">
        <v>2</v>
      </c>
      <c r="O76" s="49">
        <v>1</v>
      </c>
      <c r="P76" s="47" t="s">
        <v>1016</v>
      </c>
      <c r="Q76" s="47" t="s">
        <v>1017</v>
      </c>
      <c r="R76" s="47" t="s">
        <v>376</v>
      </c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50">
        <f>IF(L76="W",1,0)</f>
        <v>1</v>
      </c>
      <c r="AF76" s="50">
        <f>IF(L76="T",1,0)</f>
        <v>0</v>
      </c>
      <c r="AG76" s="50">
        <f>IF(L76="L",1,0)</f>
        <v>0</v>
      </c>
      <c r="AH76" s="46" t="s">
        <v>1085</v>
      </c>
      <c r="AI76" s="46" t="s">
        <v>1086</v>
      </c>
      <c r="AJ76" s="46" t="s">
        <v>376</v>
      </c>
      <c r="AK76" s="46" t="s">
        <v>658</v>
      </c>
      <c r="AL76" s="46" t="s">
        <v>1022</v>
      </c>
      <c r="AM76" s="46" t="s">
        <v>1022</v>
      </c>
      <c r="AN76" s="46" t="s">
        <v>376</v>
      </c>
      <c r="AO76" s="46" t="s">
        <v>658</v>
      </c>
      <c r="AP76" s="46"/>
      <c r="AQ76" s="46">
        <v>1</v>
      </c>
      <c r="AR76" s="46"/>
      <c r="AS76" s="46"/>
      <c r="AT76" s="46"/>
      <c r="AU76" s="46" t="s">
        <v>376</v>
      </c>
      <c r="AV76" s="46"/>
      <c r="AW76" s="46" t="s">
        <v>30</v>
      </c>
      <c r="AX76" s="46"/>
      <c r="AY76" s="46" t="s">
        <v>30</v>
      </c>
      <c r="AZ76" s="46"/>
      <c r="BA76" s="47"/>
      <c r="BB76" s="51" t="s">
        <v>30</v>
      </c>
      <c r="BC76" s="46" t="s">
        <v>30</v>
      </c>
      <c r="BD76" s="46"/>
      <c r="BE76" s="46"/>
      <c r="BF76" s="46">
        <v>1</v>
      </c>
      <c r="BG76" s="46"/>
      <c r="BH76" s="46"/>
      <c r="BI76" s="46" t="s">
        <v>1094</v>
      </c>
      <c r="BJ76" s="46" t="s">
        <v>1021</v>
      </c>
      <c r="BK76" s="46">
        <v>1884</v>
      </c>
      <c r="BL76" s="46" t="str">
        <f>BK76&amp;BI76</f>
        <v>1884Blackburn Rovers</v>
      </c>
      <c r="BM76" s="52" t="str">
        <f>IF(AD76="Home",BI76,IF(AD76="Away",BJ76,Q76))</f>
        <v>London</v>
      </c>
      <c r="BN76" s="46"/>
      <c r="BO76" s="46"/>
      <c r="BP76" s="46"/>
      <c r="BQ76" s="46"/>
      <c r="BR76" s="46"/>
      <c r="BS76" s="46"/>
      <c r="BT76" s="46"/>
      <c r="BU76" s="46"/>
      <c r="BV76" s="46" t="s">
        <v>376</v>
      </c>
      <c r="BW76" s="46" t="s">
        <v>376</v>
      </c>
      <c r="BX76" s="46"/>
      <c r="BZ76" s="53"/>
      <c r="CA76" s="53"/>
      <c r="CB76" s="93" t="str">
        <f>IF(OR(C76="",A76="",B76=""),"",TEXT(C76,"0000")&amp;TEXT(A76,"00")&amp;TEXT(B76,"00"))</f>
        <v>18840329</v>
      </c>
    </row>
    <row r="77" spans="1:80" s="52" customFormat="1" ht="12.95" customHeight="1" x14ac:dyDescent="0.2">
      <c r="A77" s="46">
        <v>3</v>
      </c>
      <c r="B77" s="46">
        <v>29</v>
      </c>
      <c r="C77" s="46">
        <v>1884</v>
      </c>
      <c r="D77" s="46" t="s">
        <v>658</v>
      </c>
      <c r="E77" s="46" t="s">
        <v>1108</v>
      </c>
      <c r="F77" s="47" t="s">
        <v>1010</v>
      </c>
      <c r="G77" s="46"/>
      <c r="H77" s="47" t="s">
        <v>1025</v>
      </c>
      <c r="I77" s="47"/>
      <c r="J77" s="48" t="s">
        <v>1113</v>
      </c>
      <c r="K77" s="46" t="s">
        <v>1021</v>
      </c>
      <c r="L77" s="46" t="s">
        <v>4</v>
      </c>
      <c r="M77" s="46" t="s">
        <v>1094</v>
      </c>
      <c r="N77" s="49">
        <v>1</v>
      </c>
      <c r="O77" s="49">
        <v>2</v>
      </c>
      <c r="P77" s="47" t="s">
        <v>1016</v>
      </c>
      <c r="Q77" s="47" t="s">
        <v>1017</v>
      </c>
      <c r="R77" s="47" t="s">
        <v>376</v>
      </c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50">
        <f>IF(L77="W",1,0)</f>
        <v>0</v>
      </c>
      <c r="AF77" s="50">
        <f>IF(L77="T",1,0)</f>
        <v>0</v>
      </c>
      <c r="AG77" s="50">
        <f>IF(L77="L",1,0)</f>
        <v>1</v>
      </c>
      <c r="AH77" s="46" t="s">
        <v>1022</v>
      </c>
      <c r="AI77" s="46" t="s">
        <v>1022</v>
      </c>
      <c r="AJ77" s="46" t="s">
        <v>376</v>
      </c>
      <c r="AK77" s="46" t="s">
        <v>658</v>
      </c>
      <c r="AL77" s="46" t="s">
        <v>1085</v>
      </c>
      <c r="AM77" s="46" t="s">
        <v>1086</v>
      </c>
      <c r="AN77" s="46" t="s">
        <v>376</v>
      </c>
      <c r="AO77" s="46" t="s">
        <v>658</v>
      </c>
      <c r="AP77" s="46"/>
      <c r="AQ77" s="46">
        <v>1</v>
      </c>
      <c r="AR77" s="46"/>
      <c r="AS77" s="46"/>
      <c r="AT77" s="46"/>
      <c r="AU77" s="46" t="s">
        <v>376</v>
      </c>
      <c r="AV77" s="46"/>
      <c r="AW77" s="46" t="s">
        <v>30</v>
      </c>
      <c r="AX77" s="46"/>
      <c r="AY77" s="46" t="s">
        <v>30</v>
      </c>
      <c r="AZ77" s="46"/>
      <c r="BA77" s="47"/>
      <c r="BB77" s="51"/>
      <c r="BC77" s="46" t="s">
        <v>30</v>
      </c>
      <c r="BD77" s="46"/>
      <c r="BE77" s="46"/>
      <c r="BF77" s="46">
        <v>1</v>
      </c>
      <c r="BG77" s="46"/>
      <c r="BH77" s="46"/>
      <c r="BI77" s="46" t="s">
        <v>1021</v>
      </c>
      <c r="BJ77" s="46" t="s">
        <v>1094</v>
      </c>
      <c r="BK77" s="46">
        <v>1884</v>
      </c>
      <c r="BL77" s="46" t="str">
        <f>BK77&amp;BI77</f>
        <v>1884Queen's Park</v>
      </c>
      <c r="BM77" s="52" t="str">
        <f>IF(AD77="Home",BI77,IF(AD77="Away",BJ77,Q77))</f>
        <v>London</v>
      </c>
      <c r="BN77" s="46"/>
      <c r="BO77" s="46"/>
      <c r="BP77" s="46"/>
      <c r="BQ77" s="46"/>
      <c r="BR77" s="46"/>
      <c r="BS77" s="46"/>
      <c r="BT77" s="46"/>
      <c r="BU77" s="46"/>
      <c r="BV77" s="46" t="s">
        <v>376</v>
      </c>
      <c r="BW77" s="46" t="s">
        <v>376</v>
      </c>
      <c r="BX77" s="46"/>
      <c r="BZ77" s="53"/>
      <c r="CA77" s="53"/>
      <c r="CB77" s="93" t="str">
        <f>IF(OR(C77="",A77="",B77=""),"",TEXT(C77,"0000")&amp;TEXT(A77,"00")&amp;TEXT(B77,"00"))</f>
        <v>18840329</v>
      </c>
    </row>
    <row r="78" spans="1:80" s="52" customFormat="1" ht="12.95" customHeight="1" x14ac:dyDescent="0.2">
      <c r="A78" s="46">
        <v>3</v>
      </c>
      <c r="B78" s="46">
        <v>7</v>
      </c>
      <c r="C78" s="46">
        <v>1885</v>
      </c>
      <c r="D78" s="46" t="s">
        <v>658</v>
      </c>
      <c r="E78" s="46" t="s">
        <v>1114</v>
      </c>
      <c r="F78" s="47" t="s">
        <v>1010</v>
      </c>
      <c r="G78" s="46"/>
      <c r="H78" s="47" t="s">
        <v>1011</v>
      </c>
      <c r="I78" s="47"/>
      <c r="J78" s="48" t="s">
        <v>1115</v>
      </c>
      <c r="K78" s="46" t="s">
        <v>1094</v>
      </c>
      <c r="L78" s="46" t="s">
        <v>3</v>
      </c>
      <c r="M78" s="46" t="s">
        <v>1081</v>
      </c>
      <c r="N78" s="49">
        <v>5</v>
      </c>
      <c r="O78" s="49">
        <v>1</v>
      </c>
      <c r="P78" s="47" t="s">
        <v>1112</v>
      </c>
      <c r="Q78" s="47" t="s">
        <v>1073</v>
      </c>
      <c r="R78" s="47" t="s">
        <v>376</v>
      </c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50">
        <f>IF(L78="W",1,0)</f>
        <v>1</v>
      </c>
      <c r="AF78" s="50">
        <f>IF(L78="T",1,0)</f>
        <v>0</v>
      </c>
      <c r="AG78" s="50">
        <f>IF(L78="L",1,0)</f>
        <v>0</v>
      </c>
      <c r="AH78" s="46" t="s">
        <v>1085</v>
      </c>
      <c r="AI78" s="46" t="s">
        <v>1086</v>
      </c>
      <c r="AJ78" s="46" t="s">
        <v>376</v>
      </c>
      <c r="AK78" s="46" t="s">
        <v>658</v>
      </c>
      <c r="AL78" s="46" t="s">
        <v>1083</v>
      </c>
      <c r="AM78" s="46" t="s">
        <v>1084</v>
      </c>
      <c r="AN78" s="46" t="s">
        <v>376</v>
      </c>
      <c r="AO78" s="46" t="s">
        <v>658</v>
      </c>
      <c r="AP78" s="46"/>
      <c r="AQ78" s="46">
        <v>2</v>
      </c>
      <c r="AR78" s="46"/>
      <c r="AS78" s="46"/>
      <c r="AT78" s="46"/>
      <c r="AU78" s="46" t="s">
        <v>376</v>
      </c>
      <c r="AV78" s="46"/>
      <c r="AW78" s="46" t="s">
        <v>30</v>
      </c>
      <c r="AX78" s="46"/>
      <c r="AY78" s="46" t="s">
        <v>30</v>
      </c>
      <c r="AZ78" s="46"/>
      <c r="BA78" s="47"/>
      <c r="BB78" s="51"/>
      <c r="BC78" s="46"/>
      <c r="BD78" s="46"/>
      <c r="BE78" s="46"/>
      <c r="BF78" s="46">
        <v>1</v>
      </c>
      <c r="BG78" s="46"/>
      <c r="BH78" s="46"/>
      <c r="BI78" s="46" t="s">
        <v>1094</v>
      </c>
      <c r="BJ78" s="46" t="s">
        <v>1081</v>
      </c>
      <c r="BK78" s="46">
        <v>1885</v>
      </c>
      <c r="BL78" s="46" t="str">
        <f>BK78&amp;BI78</f>
        <v>1885Blackburn Rovers</v>
      </c>
      <c r="BM78" s="52" t="str">
        <f>IF(AD78="Home",BI78,IF(AD78="Away",BJ78,Q78))</f>
        <v>Nottingham</v>
      </c>
      <c r="BN78" s="46"/>
      <c r="BO78" s="46"/>
      <c r="BP78" s="46"/>
      <c r="BQ78" s="46"/>
      <c r="BR78" s="46"/>
      <c r="BS78" s="46"/>
      <c r="BT78" s="46"/>
      <c r="BU78" s="46"/>
      <c r="BV78" s="46" t="s">
        <v>376</v>
      </c>
      <c r="BW78" s="46" t="s">
        <v>376</v>
      </c>
      <c r="BX78" s="46"/>
      <c r="BY78" s="35"/>
      <c r="BZ78" s="53"/>
      <c r="CA78" s="53"/>
      <c r="CB78" s="93" t="str">
        <f>IF(OR(C78="",A78="",B78=""),"",TEXT(C78,"0000")&amp;TEXT(A78,"00")&amp;TEXT(B78,"00"))</f>
        <v>18850307</v>
      </c>
    </row>
    <row r="79" spans="1:80" s="52" customFormat="1" ht="12.95" customHeight="1" x14ac:dyDescent="0.2">
      <c r="A79" s="46">
        <v>3</v>
      </c>
      <c r="B79" s="46">
        <v>7</v>
      </c>
      <c r="C79" s="46">
        <v>1885</v>
      </c>
      <c r="D79" s="46" t="s">
        <v>658</v>
      </c>
      <c r="E79" s="46" t="s">
        <v>1114</v>
      </c>
      <c r="F79" s="47" t="s">
        <v>1010</v>
      </c>
      <c r="G79" s="46"/>
      <c r="H79" s="47" t="s">
        <v>1011</v>
      </c>
      <c r="I79" s="47"/>
      <c r="J79" s="48" t="s">
        <v>1115</v>
      </c>
      <c r="K79" s="46" t="s">
        <v>1081</v>
      </c>
      <c r="L79" s="46" t="s">
        <v>4</v>
      </c>
      <c r="M79" s="46" t="s">
        <v>1094</v>
      </c>
      <c r="N79" s="49">
        <v>1</v>
      </c>
      <c r="O79" s="49">
        <v>5</v>
      </c>
      <c r="P79" s="47" t="s">
        <v>1112</v>
      </c>
      <c r="Q79" s="47" t="s">
        <v>1073</v>
      </c>
      <c r="R79" s="47" t="s">
        <v>376</v>
      </c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50">
        <f>IF(L79="W",1,0)</f>
        <v>0</v>
      </c>
      <c r="AF79" s="50">
        <f>IF(L79="T",1,0)</f>
        <v>0</v>
      </c>
      <c r="AG79" s="50">
        <f>IF(L79="L",1,0)</f>
        <v>1</v>
      </c>
      <c r="AH79" s="46" t="s">
        <v>1083</v>
      </c>
      <c r="AI79" s="46" t="s">
        <v>1084</v>
      </c>
      <c r="AJ79" s="46" t="s">
        <v>376</v>
      </c>
      <c r="AK79" s="46" t="s">
        <v>658</v>
      </c>
      <c r="AL79" s="46" t="s">
        <v>1085</v>
      </c>
      <c r="AM79" s="46" t="s">
        <v>1086</v>
      </c>
      <c r="AN79" s="46" t="s">
        <v>376</v>
      </c>
      <c r="AO79" s="46" t="s">
        <v>658</v>
      </c>
      <c r="AP79" s="46"/>
      <c r="AQ79" s="46">
        <v>2</v>
      </c>
      <c r="AR79" s="46"/>
      <c r="AS79" s="46"/>
      <c r="AT79" s="46"/>
      <c r="AU79" s="46" t="s">
        <v>376</v>
      </c>
      <c r="AV79" s="46"/>
      <c r="AW79" s="46" t="s">
        <v>30</v>
      </c>
      <c r="AX79" s="46"/>
      <c r="AY79" s="46" t="s">
        <v>30</v>
      </c>
      <c r="AZ79" s="46"/>
      <c r="BA79" s="47"/>
      <c r="BB79" s="51"/>
      <c r="BC79" s="46"/>
      <c r="BD79" s="46"/>
      <c r="BE79" s="46"/>
      <c r="BF79" s="46">
        <v>1</v>
      </c>
      <c r="BG79" s="46"/>
      <c r="BH79" s="46"/>
      <c r="BI79" s="46" t="s">
        <v>1081</v>
      </c>
      <c r="BJ79" s="46" t="s">
        <v>1094</v>
      </c>
      <c r="BK79" s="46">
        <v>1885</v>
      </c>
      <c r="BL79" s="46" t="str">
        <f>BK79&amp;BI79</f>
        <v>1885Old Carthusians</v>
      </c>
      <c r="BM79" s="52" t="str">
        <f>IF(AD79="Home",BI79,IF(AD79="Away",BJ79,Q79))</f>
        <v>Nottingham</v>
      </c>
      <c r="BN79" s="46"/>
      <c r="BO79" s="46"/>
      <c r="BP79" s="46"/>
      <c r="BQ79" s="46"/>
      <c r="BR79" s="46"/>
      <c r="BS79" s="46"/>
      <c r="BT79" s="46"/>
      <c r="BU79" s="46"/>
      <c r="BV79" s="46" t="s">
        <v>376</v>
      </c>
      <c r="BW79" s="46" t="s">
        <v>376</v>
      </c>
      <c r="BX79" s="46"/>
      <c r="BY79" s="35"/>
      <c r="BZ79" s="53"/>
      <c r="CA79" s="53"/>
      <c r="CB79" s="93" t="str">
        <f>IF(OR(C79="",A79="",B79=""),"",TEXT(C79,"0000")&amp;TEXT(A79,"00")&amp;TEXT(B79,"00"))</f>
        <v>18850307</v>
      </c>
    </row>
    <row r="80" spans="1:80" s="52" customFormat="1" ht="12.95" customHeight="1" x14ac:dyDescent="0.2">
      <c r="A80" s="46">
        <v>3</v>
      </c>
      <c r="B80" s="46">
        <v>14</v>
      </c>
      <c r="C80" s="46">
        <v>1885</v>
      </c>
      <c r="D80" s="46" t="s">
        <v>658</v>
      </c>
      <c r="E80" s="46" t="s">
        <v>1114</v>
      </c>
      <c r="F80" s="47" t="s">
        <v>1010</v>
      </c>
      <c r="G80" s="46"/>
      <c r="H80" s="47" t="s">
        <v>1011</v>
      </c>
      <c r="I80" s="47"/>
      <c r="J80" s="48" t="s">
        <v>1116</v>
      </c>
      <c r="K80" s="46" t="s">
        <v>1021</v>
      </c>
      <c r="L80" s="46" t="s">
        <v>1014</v>
      </c>
      <c r="M80" s="46" t="s">
        <v>1072</v>
      </c>
      <c r="N80" s="49">
        <v>1</v>
      </c>
      <c r="O80" s="49">
        <v>1</v>
      </c>
      <c r="P80" s="46" t="s">
        <v>1117</v>
      </c>
      <c r="Q80" s="47" t="s">
        <v>979</v>
      </c>
      <c r="R80" s="47" t="s">
        <v>376</v>
      </c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50">
        <f>IF(L80="W",1,0)</f>
        <v>0</v>
      </c>
      <c r="AF80" s="50">
        <f>IF(L80="T",1,0)</f>
        <v>1</v>
      </c>
      <c r="AG80" s="50">
        <f>IF(L80="L",1,0)</f>
        <v>0</v>
      </c>
      <c r="AH80" s="46" t="s">
        <v>1022</v>
      </c>
      <c r="AI80" s="46" t="s">
        <v>1022</v>
      </c>
      <c r="AJ80" s="46" t="s">
        <v>376</v>
      </c>
      <c r="AK80" s="46" t="s">
        <v>658</v>
      </c>
      <c r="AL80" s="46" t="s">
        <v>1073</v>
      </c>
      <c r="AM80" s="46" t="s">
        <v>1074</v>
      </c>
      <c r="AN80" s="46" t="s">
        <v>376</v>
      </c>
      <c r="AO80" s="46" t="s">
        <v>658</v>
      </c>
      <c r="AP80" s="46"/>
      <c r="AQ80" s="46">
        <v>2</v>
      </c>
      <c r="AR80" s="46"/>
      <c r="AS80" s="46"/>
      <c r="AT80" s="46"/>
      <c r="AU80" s="46" t="s">
        <v>376</v>
      </c>
      <c r="AV80" s="46"/>
      <c r="AW80" s="46" t="s">
        <v>30</v>
      </c>
      <c r="AX80" s="46"/>
      <c r="AY80" s="46" t="s">
        <v>30</v>
      </c>
      <c r="AZ80" s="46"/>
      <c r="BA80" s="47"/>
      <c r="BB80" s="51"/>
      <c r="BC80" s="46"/>
      <c r="BD80" s="46"/>
      <c r="BE80" s="46"/>
      <c r="BF80" s="46">
        <v>1</v>
      </c>
      <c r="BG80" s="46"/>
      <c r="BH80" s="46"/>
      <c r="BI80" s="46" t="s">
        <v>1021</v>
      </c>
      <c r="BJ80" s="46" t="s">
        <v>1072</v>
      </c>
      <c r="BK80" s="46">
        <v>1885</v>
      </c>
      <c r="BL80" s="46" t="str">
        <f>BK80&amp;BI80</f>
        <v>1885Queen's Park</v>
      </c>
      <c r="BM80" s="52" t="str">
        <f>IF(AD80="Home",BI80,IF(AD80="Away",BJ80,Q80))</f>
        <v>Derby</v>
      </c>
      <c r="BN80" s="46"/>
      <c r="BO80" s="46"/>
      <c r="BP80" s="46"/>
      <c r="BQ80" s="46"/>
      <c r="BR80" s="46"/>
      <c r="BS80" s="46"/>
      <c r="BT80" s="46"/>
      <c r="BU80" s="46"/>
      <c r="BV80" s="46" t="s">
        <v>376</v>
      </c>
      <c r="BW80" s="46" t="s">
        <v>376</v>
      </c>
      <c r="BX80" s="46"/>
      <c r="BZ80" s="53"/>
      <c r="CA80" s="53"/>
      <c r="CB80" s="93" t="str">
        <f>IF(OR(C80="",A80="",B80=""),"",TEXT(C80,"0000")&amp;TEXT(A80,"00")&amp;TEXT(B80,"00"))</f>
        <v>18850314</v>
      </c>
    </row>
    <row r="81" spans="1:80" s="52" customFormat="1" ht="12.95" customHeight="1" x14ac:dyDescent="0.2">
      <c r="A81" s="46">
        <v>3</v>
      </c>
      <c r="B81" s="46">
        <v>14</v>
      </c>
      <c r="C81" s="46">
        <v>1885</v>
      </c>
      <c r="D81" s="46" t="s">
        <v>658</v>
      </c>
      <c r="E81" s="46" t="s">
        <v>1114</v>
      </c>
      <c r="F81" s="47" t="s">
        <v>1010</v>
      </c>
      <c r="G81" s="46"/>
      <c r="H81" s="47" t="s">
        <v>1011</v>
      </c>
      <c r="I81" s="47"/>
      <c r="J81" s="48" t="s">
        <v>1116</v>
      </c>
      <c r="K81" s="46" t="s">
        <v>1072</v>
      </c>
      <c r="L81" s="46" t="s">
        <v>1014</v>
      </c>
      <c r="M81" s="46" t="s">
        <v>1021</v>
      </c>
      <c r="N81" s="49">
        <v>1</v>
      </c>
      <c r="O81" s="49">
        <v>1</v>
      </c>
      <c r="P81" s="46" t="s">
        <v>1117</v>
      </c>
      <c r="Q81" s="47" t="s">
        <v>979</v>
      </c>
      <c r="R81" s="47" t="s">
        <v>376</v>
      </c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50">
        <f>IF(L81="W",1,0)</f>
        <v>0</v>
      </c>
      <c r="AF81" s="50">
        <f>IF(L81="T",1,0)</f>
        <v>1</v>
      </c>
      <c r="AG81" s="50">
        <f>IF(L81="L",1,0)</f>
        <v>0</v>
      </c>
      <c r="AH81" s="46" t="s">
        <v>1073</v>
      </c>
      <c r="AI81" s="46" t="s">
        <v>1074</v>
      </c>
      <c r="AJ81" s="46" t="s">
        <v>376</v>
      </c>
      <c r="AK81" s="46" t="s">
        <v>658</v>
      </c>
      <c r="AL81" s="46" t="s">
        <v>1022</v>
      </c>
      <c r="AM81" s="46" t="s">
        <v>1022</v>
      </c>
      <c r="AN81" s="46" t="s">
        <v>376</v>
      </c>
      <c r="AO81" s="46" t="s">
        <v>658</v>
      </c>
      <c r="AP81" s="46"/>
      <c r="AQ81" s="46">
        <v>2</v>
      </c>
      <c r="AR81" s="46"/>
      <c r="AS81" s="46"/>
      <c r="AT81" s="46"/>
      <c r="AU81" s="46" t="s">
        <v>376</v>
      </c>
      <c r="AV81" s="46"/>
      <c r="AW81" s="46" t="s">
        <v>30</v>
      </c>
      <c r="AX81" s="46"/>
      <c r="AY81" s="46" t="s">
        <v>30</v>
      </c>
      <c r="AZ81" s="46"/>
      <c r="BA81" s="47"/>
      <c r="BB81" s="51"/>
      <c r="BC81" s="46"/>
      <c r="BD81" s="46"/>
      <c r="BE81" s="46"/>
      <c r="BF81" s="46">
        <v>1</v>
      </c>
      <c r="BG81" s="46"/>
      <c r="BH81" s="46"/>
      <c r="BI81" s="46" t="s">
        <v>1072</v>
      </c>
      <c r="BJ81" s="46" t="s">
        <v>1021</v>
      </c>
      <c r="BK81" s="46">
        <v>1885</v>
      </c>
      <c r="BL81" s="46" t="str">
        <f>BK81&amp;BI81</f>
        <v>1885Nottingham Forest</v>
      </c>
      <c r="BM81" s="52" t="str">
        <f>IF(AD81="Home",BI81,IF(AD81="Away",BJ81,Q81))</f>
        <v>Derby</v>
      </c>
      <c r="BN81" s="46"/>
      <c r="BO81" s="46"/>
      <c r="BP81" s="46"/>
      <c r="BQ81" s="46"/>
      <c r="BR81" s="46"/>
      <c r="BS81" s="46"/>
      <c r="BT81" s="46"/>
      <c r="BU81" s="46"/>
      <c r="BV81" s="46" t="s">
        <v>376</v>
      </c>
      <c r="BW81" s="46" t="s">
        <v>376</v>
      </c>
      <c r="BX81" s="46"/>
      <c r="BZ81" s="53"/>
      <c r="CA81" s="53"/>
      <c r="CB81" s="93" t="str">
        <f>IF(OR(C81="",A81="",B81=""),"",TEXT(C81,"0000")&amp;TEXT(A81,"00")&amp;TEXT(B81,"00"))</f>
        <v>18850314</v>
      </c>
    </row>
    <row r="82" spans="1:80" s="52" customFormat="1" ht="12.95" customHeight="1" x14ac:dyDescent="0.2">
      <c r="A82" s="46">
        <v>3</v>
      </c>
      <c r="B82" s="46">
        <v>28</v>
      </c>
      <c r="C82" s="46">
        <v>1885</v>
      </c>
      <c r="D82" s="46" t="s">
        <v>658</v>
      </c>
      <c r="E82" s="46" t="s">
        <v>1114</v>
      </c>
      <c r="F82" s="47" t="s">
        <v>1010</v>
      </c>
      <c r="G82" s="46"/>
      <c r="H82" s="47" t="s">
        <v>1011</v>
      </c>
      <c r="I82" s="47" t="s">
        <v>1023</v>
      </c>
      <c r="J82" s="48" t="s">
        <v>1118</v>
      </c>
      <c r="K82" s="46" t="s">
        <v>1021</v>
      </c>
      <c r="L82" s="46" t="s">
        <v>3</v>
      </c>
      <c r="M82" s="46" t="s">
        <v>1072</v>
      </c>
      <c r="N82" s="49">
        <v>3</v>
      </c>
      <c r="O82" s="49">
        <v>0</v>
      </c>
      <c r="P82" s="47" t="s">
        <v>1119</v>
      </c>
      <c r="Q82" s="47" t="s">
        <v>1120</v>
      </c>
      <c r="R82" s="47" t="s">
        <v>503</v>
      </c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50">
        <f>IF(L82="W",1,0)</f>
        <v>1</v>
      </c>
      <c r="AF82" s="50">
        <f>IF(L82="T",1,0)</f>
        <v>0</v>
      </c>
      <c r="AG82" s="50">
        <f>IF(L82="L",1,0)</f>
        <v>0</v>
      </c>
      <c r="AH82" s="46" t="s">
        <v>1022</v>
      </c>
      <c r="AI82" s="46" t="s">
        <v>1022</v>
      </c>
      <c r="AJ82" s="46" t="s">
        <v>376</v>
      </c>
      <c r="AK82" s="46" t="s">
        <v>658</v>
      </c>
      <c r="AL82" s="46" t="s">
        <v>1073</v>
      </c>
      <c r="AM82" s="46" t="s">
        <v>1074</v>
      </c>
      <c r="AN82" s="46" t="s">
        <v>376</v>
      </c>
      <c r="AO82" s="46" t="s">
        <v>658</v>
      </c>
      <c r="AP82" s="46"/>
      <c r="AQ82" s="46">
        <v>2</v>
      </c>
      <c r="AR82" s="46"/>
      <c r="AS82" s="46"/>
      <c r="AT82" s="46"/>
      <c r="AU82" s="46" t="s">
        <v>376</v>
      </c>
      <c r="AV82" s="46"/>
      <c r="AW82" s="46" t="s">
        <v>30</v>
      </c>
      <c r="AX82" s="46"/>
      <c r="AY82" s="46" t="s">
        <v>30</v>
      </c>
      <c r="AZ82" s="46"/>
      <c r="BA82" s="47"/>
      <c r="BB82" s="51"/>
      <c r="BC82" s="46"/>
      <c r="BD82" s="46"/>
      <c r="BE82" s="46"/>
      <c r="BF82" s="46">
        <v>1</v>
      </c>
      <c r="BG82" s="46"/>
      <c r="BH82" s="46"/>
      <c r="BI82" s="46" t="s">
        <v>1021</v>
      </c>
      <c r="BJ82" s="46" t="s">
        <v>1072</v>
      </c>
      <c r="BK82" s="46">
        <v>1885</v>
      </c>
      <c r="BL82" s="46" t="str">
        <f>BK82&amp;BI82</f>
        <v>1885Queen's Park</v>
      </c>
      <c r="BM82" s="52" t="str">
        <f>IF(AD82="Home",BI82,IF(AD82="Away",BJ82,Q82))</f>
        <v>Edinburgh</v>
      </c>
      <c r="BN82" s="46"/>
      <c r="BO82" s="46"/>
      <c r="BP82" s="46"/>
      <c r="BQ82" s="46"/>
      <c r="BR82" s="46"/>
      <c r="BS82" s="46"/>
      <c r="BT82" s="46"/>
      <c r="BU82" s="46"/>
      <c r="BV82" s="46" t="s">
        <v>376</v>
      </c>
      <c r="BW82" s="46" t="s">
        <v>376</v>
      </c>
      <c r="BX82" s="46"/>
      <c r="BY82" s="46"/>
      <c r="BZ82" s="53"/>
      <c r="CA82" s="53"/>
      <c r="CB82" s="93" t="str">
        <f>IF(OR(C82="",A82="",B82=""),"",TEXT(C82,"0000")&amp;TEXT(A82,"00")&amp;TEXT(B82,"00"))</f>
        <v>18850328</v>
      </c>
    </row>
    <row r="83" spans="1:80" s="52" customFormat="1" ht="12.95" customHeight="1" x14ac:dyDescent="0.2">
      <c r="A83" s="46">
        <v>3</v>
      </c>
      <c r="B83" s="46">
        <v>28</v>
      </c>
      <c r="C83" s="46">
        <v>1885</v>
      </c>
      <c r="D83" s="46" t="s">
        <v>658</v>
      </c>
      <c r="E83" s="46" t="s">
        <v>1114</v>
      </c>
      <c r="F83" s="47" t="s">
        <v>1010</v>
      </c>
      <c r="G83" s="46"/>
      <c r="H83" s="47" t="s">
        <v>1011</v>
      </c>
      <c r="I83" s="47" t="s">
        <v>1023</v>
      </c>
      <c r="J83" s="48" t="s">
        <v>1118</v>
      </c>
      <c r="K83" s="46" t="s">
        <v>1072</v>
      </c>
      <c r="L83" s="46" t="s">
        <v>4</v>
      </c>
      <c r="M83" s="46" t="s">
        <v>1021</v>
      </c>
      <c r="N83" s="49">
        <v>0</v>
      </c>
      <c r="O83" s="49">
        <v>3</v>
      </c>
      <c r="P83" s="47" t="s">
        <v>1119</v>
      </c>
      <c r="Q83" s="47" t="s">
        <v>1120</v>
      </c>
      <c r="R83" s="47" t="s">
        <v>503</v>
      </c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50">
        <f>IF(L83="W",1,0)</f>
        <v>0</v>
      </c>
      <c r="AF83" s="50">
        <f>IF(L83="T",1,0)</f>
        <v>0</v>
      </c>
      <c r="AG83" s="50">
        <f>IF(L83="L",1,0)</f>
        <v>1</v>
      </c>
      <c r="AH83" s="46" t="s">
        <v>1073</v>
      </c>
      <c r="AI83" s="46" t="s">
        <v>1074</v>
      </c>
      <c r="AJ83" s="46" t="s">
        <v>376</v>
      </c>
      <c r="AK83" s="46" t="s">
        <v>658</v>
      </c>
      <c r="AL83" s="46" t="s">
        <v>1022</v>
      </c>
      <c r="AM83" s="46" t="s">
        <v>1022</v>
      </c>
      <c r="AN83" s="46" t="s">
        <v>376</v>
      </c>
      <c r="AO83" s="46" t="s">
        <v>658</v>
      </c>
      <c r="AP83" s="46"/>
      <c r="AQ83" s="46">
        <v>2</v>
      </c>
      <c r="AR83" s="46"/>
      <c r="AS83" s="46"/>
      <c r="AT83" s="46"/>
      <c r="AU83" s="46" t="s">
        <v>376</v>
      </c>
      <c r="AV83" s="46"/>
      <c r="AW83" s="46" t="s">
        <v>30</v>
      </c>
      <c r="AX83" s="46"/>
      <c r="AY83" s="46" t="s">
        <v>30</v>
      </c>
      <c r="AZ83" s="46"/>
      <c r="BA83" s="47"/>
      <c r="BB83" s="51"/>
      <c r="BC83" s="46"/>
      <c r="BD83" s="46"/>
      <c r="BE83" s="46"/>
      <c r="BF83" s="46">
        <v>1</v>
      </c>
      <c r="BG83" s="46"/>
      <c r="BH83" s="46"/>
      <c r="BI83" s="46" t="s">
        <v>1072</v>
      </c>
      <c r="BJ83" s="46" t="s">
        <v>1021</v>
      </c>
      <c r="BK83" s="46">
        <v>1885</v>
      </c>
      <c r="BL83" s="46" t="str">
        <f>BK83&amp;BI83</f>
        <v>1885Nottingham Forest</v>
      </c>
      <c r="BM83" s="52" t="str">
        <f>IF(AD83="Home",BI83,IF(AD83="Away",BJ83,Q83))</f>
        <v>Edinburgh</v>
      </c>
      <c r="BN83" s="46"/>
      <c r="BO83" s="46"/>
      <c r="BP83" s="46"/>
      <c r="BQ83" s="46"/>
      <c r="BR83" s="46"/>
      <c r="BS83" s="46"/>
      <c r="BT83" s="46"/>
      <c r="BU83" s="46"/>
      <c r="BV83" s="46" t="s">
        <v>376</v>
      </c>
      <c r="BW83" s="46" t="s">
        <v>376</v>
      </c>
      <c r="BX83" s="46"/>
      <c r="BY83" s="46"/>
      <c r="BZ83" s="53"/>
      <c r="CA83" s="53"/>
      <c r="CB83" s="93" t="str">
        <f>IF(OR(C83="",A83="",B83=""),"",TEXT(C83,"0000")&amp;TEXT(A83,"00")&amp;TEXT(B83,"00"))</f>
        <v>18850328</v>
      </c>
    </row>
    <row r="84" spans="1:80" s="52" customFormat="1" ht="12.95" customHeight="1" x14ac:dyDescent="0.2">
      <c r="A84" s="46">
        <v>4</v>
      </c>
      <c r="B84" s="46">
        <v>4</v>
      </c>
      <c r="C84" s="46">
        <v>1885</v>
      </c>
      <c r="D84" s="46" t="s">
        <v>658</v>
      </c>
      <c r="E84" s="46" t="s">
        <v>1114</v>
      </c>
      <c r="F84" s="47" t="s">
        <v>1010</v>
      </c>
      <c r="G84" s="46"/>
      <c r="H84" s="47" t="s">
        <v>1025</v>
      </c>
      <c r="I84" s="47"/>
      <c r="J84" s="48" t="s">
        <v>1121</v>
      </c>
      <c r="K84" s="46" t="s">
        <v>1094</v>
      </c>
      <c r="L84" s="46" t="s">
        <v>3</v>
      </c>
      <c r="M84" s="46" t="s">
        <v>1021</v>
      </c>
      <c r="N84" s="49">
        <v>2</v>
      </c>
      <c r="O84" s="49">
        <v>0</v>
      </c>
      <c r="P84" s="47" t="s">
        <v>1016</v>
      </c>
      <c r="Q84" s="47" t="s">
        <v>1017</v>
      </c>
      <c r="R84" s="47" t="s">
        <v>376</v>
      </c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50">
        <f>IF(L84="W",1,0)</f>
        <v>1</v>
      </c>
      <c r="AF84" s="50">
        <f>IF(L84="T",1,0)</f>
        <v>0</v>
      </c>
      <c r="AG84" s="50">
        <f>IF(L84="L",1,0)</f>
        <v>0</v>
      </c>
      <c r="AH84" s="46" t="s">
        <v>1085</v>
      </c>
      <c r="AI84" s="46" t="s">
        <v>1086</v>
      </c>
      <c r="AJ84" s="46" t="s">
        <v>376</v>
      </c>
      <c r="AK84" s="46" t="s">
        <v>658</v>
      </c>
      <c r="AL84" s="46" t="s">
        <v>1022</v>
      </c>
      <c r="AM84" s="46" t="s">
        <v>1022</v>
      </c>
      <c r="AN84" s="46" t="s">
        <v>376</v>
      </c>
      <c r="AO84" s="46" t="s">
        <v>658</v>
      </c>
      <c r="AP84" s="46"/>
      <c r="AQ84" s="46">
        <v>1</v>
      </c>
      <c r="AR84" s="46"/>
      <c r="AS84" s="46"/>
      <c r="AT84" s="46"/>
      <c r="AU84" s="46" t="s">
        <v>376</v>
      </c>
      <c r="AV84" s="46"/>
      <c r="AW84" s="46" t="s">
        <v>30</v>
      </c>
      <c r="AX84" s="46"/>
      <c r="AY84" s="46" t="s">
        <v>30</v>
      </c>
      <c r="AZ84" s="46"/>
      <c r="BA84" s="47"/>
      <c r="BB84" s="51" t="s">
        <v>30</v>
      </c>
      <c r="BC84" s="46" t="s">
        <v>30</v>
      </c>
      <c r="BD84" s="46"/>
      <c r="BE84" s="46"/>
      <c r="BF84" s="46">
        <v>1</v>
      </c>
      <c r="BG84" s="46"/>
      <c r="BH84" s="46"/>
      <c r="BI84" s="46" t="s">
        <v>1094</v>
      </c>
      <c r="BJ84" s="46" t="s">
        <v>1021</v>
      </c>
      <c r="BK84" s="46">
        <v>1885</v>
      </c>
      <c r="BL84" s="46" t="str">
        <f>BK84&amp;BI84</f>
        <v>1885Blackburn Rovers</v>
      </c>
      <c r="BM84" s="52" t="str">
        <f>IF(AD84="Home",BI84,IF(AD84="Away",BJ84,Q84))</f>
        <v>London</v>
      </c>
      <c r="BN84" s="46"/>
      <c r="BO84" s="46"/>
      <c r="BP84" s="46"/>
      <c r="BQ84" s="46"/>
      <c r="BR84" s="46"/>
      <c r="BS84" s="46"/>
      <c r="BT84" s="46"/>
      <c r="BU84" s="46"/>
      <c r="BV84" s="46" t="s">
        <v>376</v>
      </c>
      <c r="BW84" s="46" t="s">
        <v>376</v>
      </c>
      <c r="BX84" s="46"/>
      <c r="BZ84" s="53"/>
      <c r="CA84" s="53"/>
      <c r="CB84" s="93" t="str">
        <f>IF(OR(C84="",A84="",B84=""),"",TEXT(C84,"0000")&amp;TEXT(A84,"00")&amp;TEXT(B84,"00"))</f>
        <v>18850404</v>
      </c>
    </row>
    <row r="85" spans="1:80" s="52" customFormat="1" ht="12.95" customHeight="1" x14ac:dyDescent="0.2">
      <c r="A85" s="46">
        <v>4</v>
      </c>
      <c r="B85" s="46">
        <v>4</v>
      </c>
      <c r="C85" s="46">
        <v>1885</v>
      </c>
      <c r="D85" s="46" t="s">
        <v>658</v>
      </c>
      <c r="E85" s="46" t="s">
        <v>1114</v>
      </c>
      <c r="F85" s="47" t="s">
        <v>1010</v>
      </c>
      <c r="G85" s="46"/>
      <c r="H85" s="47" t="s">
        <v>1025</v>
      </c>
      <c r="I85" s="47"/>
      <c r="J85" s="48" t="s">
        <v>1121</v>
      </c>
      <c r="K85" s="46" t="s">
        <v>1021</v>
      </c>
      <c r="L85" s="46" t="s">
        <v>4</v>
      </c>
      <c r="M85" s="46" t="s">
        <v>1094</v>
      </c>
      <c r="N85" s="49">
        <v>0</v>
      </c>
      <c r="O85" s="49">
        <v>2</v>
      </c>
      <c r="P85" s="47" t="s">
        <v>1016</v>
      </c>
      <c r="Q85" s="47" t="s">
        <v>1017</v>
      </c>
      <c r="R85" s="47" t="s">
        <v>376</v>
      </c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50">
        <f>IF(L85="W",1,0)</f>
        <v>0</v>
      </c>
      <c r="AF85" s="50">
        <f>IF(L85="T",1,0)</f>
        <v>0</v>
      </c>
      <c r="AG85" s="50">
        <f>IF(L85="L",1,0)</f>
        <v>1</v>
      </c>
      <c r="AH85" s="46" t="s">
        <v>1022</v>
      </c>
      <c r="AI85" s="46" t="s">
        <v>1022</v>
      </c>
      <c r="AJ85" s="46" t="s">
        <v>376</v>
      </c>
      <c r="AK85" s="46" t="s">
        <v>658</v>
      </c>
      <c r="AL85" s="46" t="s">
        <v>1085</v>
      </c>
      <c r="AM85" s="46" t="s">
        <v>1086</v>
      </c>
      <c r="AN85" s="46" t="s">
        <v>376</v>
      </c>
      <c r="AO85" s="46" t="s">
        <v>658</v>
      </c>
      <c r="AP85" s="46"/>
      <c r="AQ85" s="46">
        <v>1</v>
      </c>
      <c r="AR85" s="46"/>
      <c r="AS85" s="46"/>
      <c r="AT85" s="46"/>
      <c r="AU85" s="46" t="s">
        <v>376</v>
      </c>
      <c r="AV85" s="46"/>
      <c r="AW85" s="46" t="s">
        <v>30</v>
      </c>
      <c r="AX85" s="46"/>
      <c r="AY85" s="46" t="s">
        <v>30</v>
      </c>
      <c r="AZ85" s="46"/>
      <c r="BA85" s="47"/>
      <c r="BB85" s="51"/>
      <c r="BC85" s="46" t="s">
        <v>30</v>
      </c>
      <c r="BD85" s="46"/>
      <c r="BE85" s="46"/>
      <c r="BF85" s="46">
        <v>1</v>
      </c>
      <c r="BG85" s="46"/>
      <c r="BH85" s="46"/>
      <c r="BI85" s="46" t="s">
        <v>1021</v>
      </c>
      <c r="BJ85" s="46" t="s">
        <v>1094</v>
      </c>
      <c r="BK85" s="46">
        <v>1885</v>
      </c>
      <c r="BL85" s="46" t="str">
        <f>BK85&amp;BI85</f>
        <v>1885Queen's Park</v>
      </c>
      <c r="BM85" s="52" t="str">
        <f>IF(AD85="Home",BI85,IF(AD85="Away",BJ85,Q85))</f>
        <v>London</v>
      </c>
      <c r="BN85" s="46"/>
      <c r="BO85" s="46"/>
      <c r="BP85" s="46"/>
      <c r="BQ85" s="46"/>
      <c r="BR85" s="46"/>
      <c r="BS85" s="46"/>
      <c r="BT85" s="46"/>
      <c r="BU85" s="46"/>
      <c r="BV85" s="46" t="s">
        <v>376</v>
      </c>
      <c r="BW85" s="46" t="s">
        <v>376</v>
      </c>
      <c r="BX85" s="46"/>
      <c r="BZ85" s="53"/>
      <c r="CA85" s="53"/>
      <c r="CB85" s="93" t="str">
        <f>IF(OR(C85="",A85="",B85=""),"",TEXT(C85,"0000")&amp;TEXT(A85,"00")&amp;TEXT(B85,"00"))</f>
        <v>18850404</v>
      </c>
    </row>
    <row r="86" spans="1:80" s="52" customFormat="1" ht="12.95" customHeight="1" x14ac:dyDescent="0.2">
      <c r="A86" s="46">
        <v>3</v>
      </c>
      <c r="B86" s="46">
        <v>6</v>
      </c>
      <c r="C86" s="46">
        <v>1886</v>
      </c>
      <c r="D86" s="46" t="s">
        <v>658</v>
      </c>
      <c r="E86" s="46" t="s">
        <v>1122</v>
      </c>
      <c r="F86" s="47" t="s">
        <v>1010</v>
      </c>
      <c r="G86" s="46"/>
      <c r="H86" s="47" t="s">
        <v>1011</v>
      </c>
      <c r="I86" s="47"/>
      <c r="J86" s="48" t="s">
        <v>1123</v>
      </c>
      <c r="K86" s="46" t="s">
        <v>1124</v>
      </c>
      <c r="L86" s="46" t="s">
        <v>3</v>
      </c>
      <c r="M86" s="46" t="s">
        <v>1125</v>
      </c>
      <c r="N86" s="49">
        <v>4</v>
      </c>
      <c r="O86" s="49">
        <v>0</v>
      </c>
      <c r="P86" s="47" t="s">
        <v>1110</v>
      </c>
      <c r="Q86" s="47" t="s">
        <v>1111</v>
      </c>
      <c r="R86" s="47" t="s">
        <v>376</v>
      </c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50">
        <f>IF(L86="W",1,0)</f>
        <v>1</v>
      </c>
      <c r="AF86" s="50">
        <f>IF(L86="T",1,0)</f>
        <v>0</v>
      </c>
      <c r="AG86" s="50">
        <f>IF(L86="L",1,0)</f>
        <v>0</v>
      </c>
      <c r="AH86" s="46" t="s">
        <v>1111</v>
      </c>
      <c r="AI86" s="46" t="s">
        <v>1126</v>
      </c>
      <c r="AJ86" s="46" t="s">
        <v>376</v>
      </c>
      <c r="AK86" s="46" t="s">
        <v>658</v>
      </c>
      <c r="AL86" s="46" t="s">
        <v>1111</v>
      </c>
      <c r="AM86" s="46" t="s">
        <v>1126</v>
      </c>
      <c r="AN86" s="46" t="s">
        <v>376</v>
      </c>
      <c r="AO86" s="46" t="s">
        <v>658</v>
      </c>
      <c r="AP86" s="46"/>
      <c r="AQ86" s="46">
        <v>2</v>
      </c>
      <c r="AR86" s="46"/>
      <c r="AS86" s="46"/>
      <c r="AT86" s="46"/>
      <c r="AU86" s="46" t="s">
        <v>376</v>
      </c>
      <c r="AV86" s="46"/>
      <c r="AW86" s="46" t="s">
        <v>30</v>
      </c>
      <c r="AX86" s="46"/>
      <c r="AY86" s="46" t="s">
        <v>30</v>
      </c>
      <c r="AZ86" s="46"/>
      <c r="BA86" s="47"/>
      <c r="BB86" s="51"/>
      <c r="BC86" s="46"/>
      <c r="BD86" s="46"/>
      <c r="BE86" s="46"/>
      <c r="BF86" s="46">
        <v>1</v>
      </c>
      <c r="BG86" s="46"/>
      <c r="BH86" s="46"/>
      <c r="BI86" s="46" t="s">
        <v>1124</v>
      </c>
      <c r="BJ86" s="46" t="s">
        <v>1125</v>
      </c>
      <c r="BK86" s="46">
        <v>1886</v>
      </c>
      <c r="BL86" s="46" t="str">
        <f>BK86&amp;BI86</f>
        <v>1886West Bromwich Albion</v>
      </c>
      <c r="BM86" s="52" t="str">
        <f>IF(AD86="Home",BI86,IF(AD86="Away",BJ86,Q86))</f>
        <v>Birmingham</v>
      </c>
      <c r="BN86" s="46"/>
      <c r="BO86" s="46"/>
      <c r="BP86" s="46"/>
      <c r="BQ86" s="46"/>
      <c r="BR86" s="46"/>
      <c r="BS86" s="46"/>
      <c r="BT86" s="46"/>
      <c r="BU86" s="46"/>
      <c r="BV86" s="46" t="s">
        <v>376</v>
      </c>
      <c r="BW86" s="46" t="s">
        <v>376</v>
      </c>
      <c r="BX86" s="46"/>
      <c r="BZ86" s="53"/>
      <c r="CA86" s="53"/>
      <c r="CB86" s="93" t="str">
        <f>IF(OR(C86="",A86="",B86=""),"",TEXT(C86,"0000")&amp;TEXT(A86,"00")&amp;TEXT(B86,"00"))</f>
        <v>18860306</v>
      </c>
    </row>
    <row r="87" spans="1:80" s="52" customFormat="1" ht="12.95" customHeight="1" x14ac:dyDescent="0.2">
      <c r="A87" s="46">
        <v>3</v>
      </c>
      <c r="B87" s="46">
        <v>6</v>
      </c>
      <c r="C87" s="46">
        <v>1886</v>
      </c>
      <c r="D87" s="46" t="s">
        <v>658</v>
      </c>
      <c r="E87" s="46" t="s">
        <v>1122</v>
      </c>
      <c r="F87" s="47" t="s">
        <v>1010</v>
      </c>
      <c r="G87" s="46"/>
      <c r="H87" s="47" t="s">
        <v>1011</v>
      </c>
      <c r="I87" s="47"/>
      <c r="J87" s="48" t="s">
        <v>1123</v>
      </c>
      <c r="K87" s="46" t="s">
        <v>1125</v>
      </c>
      <c r="L87" s="46" t="s">
        <v>4</v>
      </c>
      <c r="M87" s="46" t="s">
        <v>1124</v>
      </c>
      <c r="N87" s="49">
        <v>0</v>
      </c>
      <c r="O87" s="49">
        <v>4</v>
      </c>
      <c r="P87" s="47" t="s">
        <v>1110</v>
      </c>
      <c r="Q87" s="47" t="s">
        <v>1111</v>
      </c>
      <c r="R87" s="47" t="s">
        <v>376</v>
      </c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50">
        <f>IF(L87="W",1,0)</f>
        <v>0</v>
      </c>
      <c r="AF87" s="50">
        <f>IF(L87="T",1,0)</f>
        <v>0</v>
      </c>
      <c r="AG87" s="50">
        <f>IF(L87="L",1,0)</f>
        <v>1</v>
      </c>
      <c r="AH87" s="46" t="s">
        <v>1111</v>
      </c>
      <c r="AI87" s="46" t="s">
        <v>1126</v>
      </c>
      <c r="AJ87" s="46" t="s">
        <v>376</v>
      </c>
      <c r="AK87" s="46" t="s">
        <v>658</v>
      </c>
      <c r="AL87" s="46" t="s">
        <v>1111</v>
      </c>
      <c r="AM87" s="46" t="s">
        <v>1126</v>
      </c>
      <c r="AN87" s="46" t="s">
        <v>376</v>
      </c>
      <c r="AO87" s="46" t="s">
        <v>658</v>
      </c>
      <c r="AP87" s="46"/>
      <c r="AQ87" s="46">
        <v>2</v>
      </c>
      <c r="AR87" s="46"/>
      <c r="AS87" s="46"/>
      <c r="AT87" s="46"/>
      <c r="AU87" s="46" t="s">
        <v>376</v>
      </c>
      <c r="AV87" s="46"/>
      <c r="AW87" s="46" t="s">
        <v>30</v>
      </c>
      <c r="AX87" s="46"/>
      <c r="AY87" s="46" t="s">
        <v>30</v>
      </c>
      <c r="AZ87" s="46"/>
      <c r="BA87" s="47"/>
      <c r="BB87" s="51"/>
      <c r="BC87" s="46"/>
      <c r="BD87" s="46"/>
      <c r="BE87" s="46"/>
      <c r="BF87" s="46">
        <v>1</v>
      </c>
      <c r="BG87" s="46"/>
      <c r="BH87" s="46"/>
      <c r="BI87" s="46" t="s">
        <v>1125</v>
      </c>
      <c r="BJ87" s="46" t="s">
        <v>1124</v>
      </c>
      <c r="BK87" s="46">
        <v>1886</v>
      </c>
      <c r="BL87" s="46" t="str">
        <f>BK87&amp;BI87</f>
        <v>1886Birmingham City</v>
      </c>
      <c r="BM87" s="52" t="str">
        <f>IF(AD87="Home",BI87,IF(AD87="Away",BJ87,Q87))</f>
        <v>Birmingham</v>
      </c>
      <c r="BN87" s="46"/>
      <c r="BO87" s="46"/>
      <c r="BP87" s="46"/>
      <c r="BQ87" s="46"/>
      <c r="BR87" s="46"/>
      <c r="BS87" s="46"/>
      <c r="BT87" s="46"/>
      <c r="BU87" s="46"/>
      <c r="BV87" s="46" t="s">
        <v>376</v>
      </c>
      <c r="BW87" s="46" t="s">
        <v>376</v>
      </c>
      <c r="BX87" s="46"/>
      <c r="BZ87" s="53"/>
      <c r="CA87" s="53"/>
      <c r="CB87" s="93" t="str">
        <f>IF(OR(C87="",A87="",B87=""),"",TEXT(C87,"0000")&amp;TEXT(A87,"00")&amp;TEXT(B87,"00"))</f>
        <v>18860306</v>
      </c>
    </row>
    <row r="88" spans="1:80" s="52" customFormat="1" ht="12.95" customHeight="1" x14ac:dyDescent="0.2">
      <c r="A88" s="46">
        <v>3</v>
      </c>
      <c r="B88" s="46">
        <v>13</v>
      </c>
      <c r="C88" s="46">
        <v>1886</v>
      </c>
      <c r="D88" s="46" t="s">
        <v>658</v>
      </c>
      <c r="E88" s="46" t="s">
        <v>1122</v>
      </c>
      <c r="F88" s="47" t="s">
        <v>1010</v>
      </c>
      <c r="G88" s="46"/>
      <c r="H88" s="47" t="s">
        <v>1011</v>
      </c>
      <c r="I88" s="47"/>
      <c r="J88" s="48" t="s">
        <v>1127</v>
      </c>
      <c r="K88" s="46" t="s">
        <v>1094</v>
      </c>
      <c r="L88" s="46" t="s">
        <v>3</v>
      </c>
      <c r="M88" s="46" t="s">
        <v>1042</v>
      </c>
      <c r="N88" s="49">
        <v>2</v>
      </c>
      <c r="O88" s="49">
        <v>1</v>
      </c>
      <c r="P88" s="46" t="s">
        <v>1117</v>
      </c>
      <c r="Q88" s="47" t="s">
        <v>979</v>
      </c>
      <c r="R88" s="47" t="s">
        <v>376</v>
      </c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50">
        <f>IF(L88="W",1,0)</f>
        <v>1</v>
      </c>
      <c r="AF88" s="50">
        <f>IF(L88="T",1,0)</f>
        <v>0</v>
      </c>
      <c r="AG88" s="50">
        <f>IF(L88="L",1,0)</f>
        <v>0</v>
      </c>
      <c r="AH88" s="46" t="s">
        <v>1085</v>
      </c>
      <c r="AI88" s="46" t="s">
        <v>1086</v>
      </c>
      <c r="AJ88" s="46" t="s">
        <v>376</v>
      </c>
      <c r="AK88" s="46" t="s">
        <v>658</v>
      </c>
      <c r="AL88" s="46" t="s">
        <v>1017</v>
      </c>
      <c r="AM88" s="46" t="s">
        <v>1018</v>
      </c>
      <c r="AN88" s="46" t="s">
        <v>376</v>
      </c>
      <c r="AO88" s="46" t="s">
        <v>658</v>
      </c>
      <c r="AP88" s="46"/>
      <c r="AQ88" s="46">
        <v>2</v>
      </c>
      <c r="AR88" s="46"/>
      <c r="AS88" s="46"/>
      <c r="AT88" s="46"/>
      <c r="AU88" s="46" t="s">
        <v>376</v>
      </c>
      <c r="AV88" s="46"/>
      <c r="AW88" s="46" t="s">
        <v>30</v>
      </c>
      <c r="AX88" s="46"/>
      <c r="AY88" s="46" t="s">
        <v>30</v>
      </c>
      <c r="AZ88" s="46"/>
      <c r="BA88" s="47"/>
      <c r="BB88" s="51"/>
      <c r="BC88" s="46"/>
      <c r="BD88" s="46"/>
      <c r="BE88" s="46"/>
      <c r="BF88" s="46">
        <v>1</v>
      </c>
      <c r="BG88" s="46"/>
      <c r="BH88" s="46"/>
      <c r="BI88" s="46" t="s">
        <v>1094</v>
      </c>
      <c r="BJ88" s="46" t="s">
        <v>1042</v>
      </c>
      <c r="BK88" s="46">
        <v>1886</v>
      </c>
      <c r="BL88" s="46" t="str">
        <f>BK88&amp;BI88</f>
        <v>1886Blackburn Rovers</v>
      </c>
      <c r="BM88" s="52" t="str">
        <f>IF(AD88="Home",BI88,IF(AD88="Away",BJ88,Q88))</f>
        <v>Derby</v>
      </c>
      <c r="BN88" s="46"/>
      <c r="BO88" s="46"/>
      <c r="BP88" s="46"/>
      <c r="BQ88" s="46"/>
      <c r="BR88" s="46"/>
      <c r="BS88" s="46"/>
      <c r="BT88" s="46"/>
      <c r="BU88" s="46"/>
      <c r="BV88" s="46" t="s">
        <v>376</v>
      </c>
      <c r="BW88" s="46" t="s">
        <v>376</v>
      </c>
      <c r="BX88" s="46"/>
      <c r="BZ88" s="53"/>
      <c r="CA88" s="53"/>
      <c r="CB88" s="93" t="str">
        <f>IF(OR(C88="",A88="",B88=""),"",TEXT(C88,"0000")&amp;TEXT(A88,"00")&amp;TEXT(B88,"00"))</f>
        <v>18860313</v>
      </c>
    </row>
    <row r="89" spans="1:80" s="52" customFormat="1" ht="12.95" customHeight="1" x14ac:dyDescent="0.2">
      <c r="A89" s="46">
        <v>3</v>
      </c>
      <c r="B89" s="46">
        <v>13</v>
      </c>
      <c r="C89" s="46">
        <v>1886</v>
      </c>
      <c r="D89" s="46" t="s">
        <v>658</v>
      </c>
      <c r="E89" s="46" t="s">
        <v>1122</v>
      </c>
      <c r="F89" s="47" t="s">
        <v>1010</v>
      </c>
      <c r="G89" s="46"/>
      <c r="H89" s="47" t="s">
        <v>1011</v>
      </c>
      <c r="I89" s="47"/>
      <c r="J89" s="48" t="s">
        <v>1127</v>
      </c>
      <c r="K89" s="46" t="s">
        <v>1042</v>
      </c>
      <c r="L89" s="46" t="s">
        <v>4</v>
      </c>
      <c r="M89" s="46" t="s">
        <v>1094</v>
      </c>
      <c r="N89" s="49">
        <v>1</v>
      </c>
      <c r="O89" s="49">
        <v>2</v>
      </c>
      <c r="P89" s="46" t="s">
        <v>1117</v>
      </c>
      <c r="Q89" s="47" t="s">
        <v>979</v>
      </c>
      <c r="R89" s="47" t="s">
        <v>376</v>
      </c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50">
        <f>IF(L89="W",1,0)</f>
        <v>0</v>
      </c>
      <c r="AF89" s="50">
        <f>IF(L89="T",1,0)</f>
        <v>0</v>
      </c>
      <c r="AG89" s="50">
        <f>IF(L89="L",1,0)</f>
        <v>1</v>
      </c>
      <c r="AH89" s="46" t="s">
        <v>1017</v>
      </c>
      <c r="AI89" s="46" t="s">
        <v>1018</v>
      </c>
      <c r="AJ89" s="46" t="s">
        <v>376</v>
      </c>
      <c r="AK89" s="46" t="s">
        <v>658</v>
      </c>
      <c r="AL89" s="46" t="s">
        <v>1085</v>
      </c>
      <c r="AM89" s="46" t="s">
        <v>1086</v>
      </c>
      <c r="AN89" s="46" t="s">
        <v>376</v>
      </c>
      <c r="AO89" s="46" t="s">
        <v>658</v>
      </c>
      <c r="AP89" s="46"/>
      <c r="AQ89" s="46">
        <v>2</v>
      </c>
      <c r="AR89" s="46"/>
      <c r="AS89" s="46"/>
      <c r="AT89" s="46"/>
      <c r="AU89" s="46" t="s">
        <v>376</v>
      </c>
      <c r="AV89" s="46"/>
      <c r="AW89" s="46" t="s">
        <v>30</v>
      </c>
      <c r="AX89" s="46"/>
      <c r="AY89" s="46" t="s">
        <v>30</v>
      </c>
      <c r="AZ89" s="46"/>
      <c r="BA89" s="47"/>
      <c r="BB89" s="51"/>
      <c r="BC89" s="46"/>
      <c r="BD89" s="46"/>
      <c r="BE89" s="46"/>
      <c r="BF89" s="46">
        <v>1</v>
      </c>
      <c r="BG89" s="46"/>
      <c r="BH89" s="46"/>
      <c r="BI89" s="46" t="s">
        <v>1042</v>
      </c>
      <c r="BJ89" s="46" t="s">
        <v>1094</v>
      </c>
      <c r="BK89" s="46">
        <v>1886</v>
      </c>
      <c r="BL89" s="46" t="str">
        <f>BK89&amp;BI89</f>
        <v>1886Swifts</v>
      </c>
      <c r="BM89" s="52" t="str">
        <f>IF(AD89="Home",BI89,IF(AD89="Away",BJ89,Q89))</f>
        <v>Derby</v>
      </c>
      <c r="BN89" s="46"/>
      <c r="BO89" s="46"/>
      <c r="BP89" s="46"/>
      <c r="BQ89" s="46"/>
      <c r="BR89" s="46"/>
      <c r="BS89" s="46"/>
      <c r="BT89" s="46"/>
      <c r="BU89" s="46"/>
      <c r="BV89" s="46" t="s">
        <v>376</v>
      </c>
      <c r="BW89" s="46" t="s">
        <v>376</v>
      </c>
      <c r="BX89" s="46"/>
      <c r="BZ89" s="53"/>
      <c r="CA89" s="53"/>
      <c r="CB89" s="93" t="str">
        <f>IF(OR(C89="",A89="",B89=""),"",TEXT(C89,"0000")&amp;TEXT(A89,"00")&amp;TEXT(B89,"00"))</f>
        <v>18860313</v>
      </c>
    </row>
    <row r="90" spans="1:80" s="52" customFormat="1" ht="12.95" customHeight="1" x14ac:dyDescent="0.2">
      <c r="A90" s="46">
        <v>4</v>
      </c>
      <c r="B90" s="46">
        <v>3</v>
      </c>
      <c r="C90" s="46">
        <v>1886</v>
      </c>
      <c r="D90" s="46" t="s">
        <v>658</v>
      </c>
      <c r="E90" s="46" t="s">
        <v>1122</v>
      </c>
      <c r="F90" s="47" t="s">
        <v>1010</v>
      </c>
      <c r="G90" s="46"/>
      <c r="H90" s="47" t="s">
        <v>1025</v>
      </c>
      <c r="I90" s="47"/>
      <c r="J90" s="48" t="s">
        <v>1128</v>
      </c>
      <c r="K90" s="46" t="s">
        <v>1124</v>
      </c>
      <c r="L90" s="46" t="s">
        <v>1014</v>
      </c>
      <c r="M90" s="46" t="s">
        <v>1094</v>
      </c>
      <c r="N90" s="49">
        <v>0</v>
      </c>
      <c r="O90" s="49">
        <v>0</v>
      </c>
      <c r="P90" s="47" t="s">
        <v>1016</v>
      </c>
      <c r="Q90" s="47" t="s">
        <v>1017</v>
      </c>
      <c r="R90" s="47" t="s">
        <v>376</v>
      </c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50">
        <f>IF(L90="W",1,0)</f>
        <v>0</v>
      </c>
      <c r="AF90" s="50">
        <f>IF(L90="T",1,0)</f>
        <v>1</v>
      </c>
      <c r="AG90" s="50">
        <f>IF(L90="L",1,0)</f>
        <v>0</v>
      </c>
      <c r="AH90" s="46" t="s">
        <v>1111</v>
      </c>
      <c r="AI90" s="46" t="s">
        <v>1126</v>
      </c>
      <c r="AJ90" s="46" t="s">
        <v>376</v>
      </c>
      <c r="AK90" s="46" t="s">
        <v>658</v>
      </c>
      <c r="AL90" s="46" t="s">
        <v>1085</v>
      </c>
      <c r="AM90" s="46" t="s">
        <v>1086</v>
      </c>
      <c r="AN90" s="46" t="s">
        <v>376</v>
      </c>
      <c r="AO90" s="46" t="s">
        <v>658</v>
      </c>
      <c r="AP90" s="46"/>
      <c r="AQ90" s="46">
        <v>1</v>
      </c>
      <c r="AR90" s="46"/>
      <c r="AS90" s="46"/>
      <c r="AT90" s="46"/>
      <c r="AU90" s="46" t="s">
        <v>376</v>
      </c>
      <c r="AV90" s="46"/>
      <c r="AW90" s="46" t="s">
        <v>30</v>
      </c>
      <c r="AX90" s="46"/>
      <c r="AY90" s="46" t="s">
        <v>30</v>
      </c>
      <c r="AZ90" s="46"/>
      <c r="BA90" s="47"/>
      <c r="BB90" s="51"/>
      <c r="BC90" s="46" t="s">
        <v>30</v>
      </c>
      <c r="BD90" s="46"/>
      <c r="BE90" s="46"/>
      <c r="BF90" s="46">
        <v>1</v>
      </c>
      <c r="BG90" s="46"/>
      <c r="BH90" s="46"/>
      <c r="BI90" s="46" t="s">
        <v>1124</v>
      </c>
      <c r="BJ90" s="46" t="s">
        <v>1094</v>
      </c>
      <c r="BK90" s="46">
        <v>1886</v>
      </c>
      <c r="BL90" s="46" t="str">
        <f>BK90&amp;BI90</f>
        <v>1886West Bromwich Albion</v>
      </c>
      <c r="BM90" s="52" t="str">
        <f>IF(AD90="Home",BI90,IF(AD90="Away",BJ90,Q90))</f>
        <v>London</v>
      </c>
      <c r="BN90" s="46"/>
      <c r="BO90" s="46"/>
      <c r="BP90" s="46"/>
      <c r="BQ90" s="46"/>
      <c r="BR90" s="46"/>
      <c r="BS90" s="46"/>
      <c r="BT90" s="46"/>
      <c r="BU90" s="46"/>
      <c r="BV90" s="46" t="s">
        <v>376</v>
      </c>
      <c r="BW90" s="46" t="s">
        <v>376</v>
      </c>
      <c r="BX90" s="46"/>
      <c r="BZ90" s="53"/>
      <c r="CA90" s="53"/>
      <c r="CB90" s="93" t="str">
        <f>IF(OR(C90="",A90="",B90=""),"",TEXT(C90,"0000")&amp;TEXT(A90,"00")&amp;TEXT(B90,"00"))</f>
        <v>18860403</v>
      </c>
    </row>
    <row r="91" spans="1:80" s="52" customFormat="1" ht="12.95" customHeight="1" x14ac:dyDescent="0.2">
      <c r="A91" s="46">
        <v>4</v>
      </c>
      <c r="B91" s="46">
        <v>3</v>
      </c>
      <c r="C91" s="46">
        <v>1886</v>
      </c>
      <c r="D91" s="46" t="s">
        <v>658</v>
      </c>
      <c r="E91" s="46" t="s">
        <v>1122</v>
      </c>
      <c r="F91" s="47" t="s">
        <v>1010</v>
      </c>
      <c r="G91" s="46"/>
      <c r="H91" s="47" t="s">
        <v>1025</v>
      </c>
      <c r="I91" s="47"/>
      <c r="J91" s="48" t="s">
        <v>1128</v>
      </c>
      <c r="K91" s="46" t="s">
        <v>1094</v>
      </c>
      <c r="L91" s="46" t="s">
        <v>1014</v>
      </c>
      <c r="M91" s="46" t="s">
        <v>1124</v>
      </c>
      <c r="N91" s="49">
        <v>0</v>
      </c>
      <c r="O91" s="49">
        <v>0</v>
      </c>
      <c r="P91" s="47" t="s">
        <v>1016</v>
      </c>
      <c r="Q91" s="47" t="s">
        <v>1017</v>
      </c>
      <c r="R91" s="47" t="s">
        <v>376</v>
      </c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50">
        <f>IF(L91="W",1,0)</f>
        <v>0</v>
      </c>
      <c r="AF91" s="50">
        <f>IF(L91="T",1,0)</f>
        <v>1</v>
      </c>
      <c r="AG91" s="50">
        <f>IF(L91="L",1,0)</f>
        <v>0</v>
      </c>
      <c r="AH91" s="46" t="s">
        <v>1085</v>
      </c>
      <c r="AI91" s="46" t="s">
        <v>1086</v>
      </c>
      <c r="AJ91" s="46" t="s">
        <v>376</v>
      </c>
      <c r="AK91" s="46" t="s">
        <v>658</v>
      </c>
      <c r="AL91" s="46" t="s">
        <v>1111</v>
      </c>
      <c r="AM91" s="46" t="s">
        <v>1126</v>
      </c>
      <c r="AN91" s="46" t="s">
        <v>376</v>
      </c>
      <c r="AO91" s="46" t="s">
        <v>658</v>
      </c>
      <c r="AP91" s="46"/>
      <c r="AQ91" s="46">
        <v>1</v>
      </c>
      <c r="AR91" s="46"/>
      <c r="AS91" s="46"/>
      <c r="AT91" s="46"/>
      <c r="AU91" s="46" t="s">
        <v>376</v>
      </c>
      <c r="AV91" s="46"/>
      <c r="AW91" s="46" t="s">
        <v>30</v>
      </c>
      <c r="AX91" s="46"/>
      <c r="AY91" s="46" t="s">
        <v>30</v>
      </c>
      <c r="AZ91" s="46"/>
      <c r="BA91" s="47"/>
      <c r="BB91" s="51"/>
      <c r="BC91" s="46" t="s">
        <v>30</v>
      </c>
      <c r="BD91" s="46"/>
      <c r="BE91" s="46"/>
      <c r="BF91" s="46">
        <v>1</v>
      </c>
      <c r="BG91" s="46"/>
      <c r="BH91" s="46"/>
      <c r="BI91" s="46" t="s">
        <v>1094</v>
      </c>
      <c r="BJ91" s="46" t="s">
        <v>1124</v>
      </c>
      <c r="BK91" s="46">
        <v>1886</v>
      </c>
      <c r="BL91" s="46" t="str">
        <f>BK91&amp;BI91</f>
        <v>1886Blackburn Rovers</v>
      </c>
      <c r="BM91" s="52" t="str">
        <f>IF(AD91="Home",BI91,IF(AD91="Away",BJ91,Q91))</f>
        <v>London</v>
      </c>
      <c r="BN91" s="46"/>
      <c r="BO91" s="46"/>
      <c r="BP91" s="46"/>
      <c r="BQ91" s="46"/>
      <c r="BR91" s="46"/>
      <c r="BS91" s="46"/>
      <c r="BT91" s="46"/>
      <c r="BU91" s="46"/>
      <c r="BV91" s="46" t="s">
        <v>376</v>
      </c>
      <c r="BW91" s="46" t="s">
        <v>376</v>
      </c>
      <c r="BX91" s="46"/>
      <c r="BZ91" s="53"/>
      <c r="CA91" s="53"/>
      <c r="CB91" s="93" t="str">
        <f>IF(OR(C91="",A91="",B91=""),"",TEXT(C91,"0000")&amp;TEXT(A91,"00")&amp;TEXT(B91,"00"))</f>
        <v>18860403</v>
      </c>
    </row>
    <row r="92" spans="1:80" s="52" customFormat="1" ht="12.95" customHeight="1" x14ac:dyDescent="0.2">
      <c r="A92" s="46">
        <v>4</v>
      </c>
      <c r="B92" s="46">
        <v>10</v>
      </c>
      <c r="C92" s="46">
        <v>1886</v>
      </c>
      <c r="D92" s="46" t="s">
        <v>658</v>
      </c>
      <c r="E92" s="46" t="s">
        <v>1122</v>
      </c>
      <c r="F92" s="47" t="s">
        <v>1010</v>
      </c>
      <c r="G92" s="46"/>
      <c r="H92" s="47" t="s">
        <v>1025</v>
      </c>
      <c r="I92" s="47" t="s">
        <v>1023</v>
      </c>
      <c r="J92" s="48" t="s">
        <v>1129</v>
      </c>
      <c r="K92" s="46" t="s">
        <v>1094</v>
      </c>
      <c r="L92" s="46" t="s">
        <v>3</v>
      </c>
      <c r="M92" s="46" t="s">
        <v>1124</v>
      </c>
      <c r="N92" s="49">
        <v>2</v>
      </c>
      <c r="O92" s="49">
        <v>0</v>
      </c>
      <c r="P92" s="46" t="s">
        <v>1117</v>
      </c>
      <c r="Q92" s="47" t="s">
        <v>979</v>
      </c>
      <c r="R92" s="47" t="s">
        <v>376</v>
      </c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50">
        <f>IF(L92="W",1,0)</f>
        <v>1</v>
      </c>
      <c r="AF92" s="50">
        <f>IF(L92="T",1,0)</f>
        <v>0</v>
      </c>
      <c r="AG92" s="50">
        <f>IF(L92="L",1,0)</f>
        <v>0</v>
      </c>
      <c r="AH92" s="46" t="s">
        <v>1085</v>
      </c>
      <c r="AI92" s="46" t="s">
        <v>1086</v>
      </c>
      <c r="AJ92" s="46" t="s">
        <v>376</v>
      </c>
      <c r="AK92" s="46" t="s">
        <v>658</v>
      </c>
      <c r="AL92" s="46" t="s">
        <v>1111</v>
      </c>
      <c r="AM92" s="46" t="s">
        <v>1126</v>
      </c>
      <c r="AN92" s="46" t="s">
        <v>376</v>
      </c>
      <c r="AO92" s="46" t="s">
        <v>658</v>
      </c>
      <c r="AP92" s="46"/>
      <c r="AQ92" s="46">
        <v>1</v>
      </c>
      <c r="AR92" s="46"/>
      <c r="AS92" s="46"/>
      <c r="AT92" s="46"/>
      <c r="AU92" s="46" t="s">
        <v>376</v>
      </c>
      <c r="AV92" s="46"/>
      <c r="AW92" s="46" t="s">
        <v>30</v>
      </c>
      <c r="AX92" s="46"/>
      <c r="AY92" s="46" t="s">
        <v>30</v>
      </c>
      <c r="AZ92" s="46"/>
      <c r="BA92" s="47"/>
      <c r="BB92" s="51" t="s">
        <v>30</v>
      </c>
      <c r="BC92" s="46" t="s">
        <v>30</v>
      </c>
      <c r="BD92" s="46"/>
      <c r="BE92" s="46"/>
      <c r="BF92" s="46">
        <v>1</v>
      </c>
      <c r="BG92" s="46"/>
      <c r="BH92" s="46"/>
      <c r="BI92" s="46" t="s">
        <v>1094</v>
      </c>
      <c r="BJ92" s="46" t="s">
        <v>1124</v>
      </c>
      <c r="BK92" s="46">
        <v>1886</v>
      </c>
      <c r="BL92" s="46" t="str">
        <f>BK92&amp;BI92</f>
        <v>1886Blackburn Rovers</v>
      </c>
      <c r="BM92" s="52" t="str">
        <f>IF(AD92="Home",BI92,IF(AD92="Away",BJ92,Q92))</f>
        <v>Derby</v>
      </c>
      <c r="BN92" s="46"/>
      <c r="BO92" s="46"/>
      <c r="BP92" s="46"/>
      <c r="BQ92" s="46"/>
      <c r="BR92" s="46"/>
      <c r="BS92" s="46"/>
      <c r="BT92" s="46"/>
      <c r="BU92" s="46"/>
      <c r="BV92" s="46" t="s">
        <v>376</v>
      </c>
      <c r="BW92" s="46" t="s">
        <v>376</v>
      </c>
      <c r="BX92" s="46"/>
      <c r="BZ92" s="53"/>
      <c r="CA92" s="53"/>
      <c r="CB92" s="93" t="str">
        <f>IF(OR(C92="",A92="",B92=""),"",TEXT(C92,"0000")&amp;TEXT(A92,"00")&amp;TEXT(B92,"00"))</f>
        <v>18860410</v>
      </c>
    </row>
    <row r="93" spans="1:80" s="52" customFormat="1" ht="12.95" customHeight="1" x14ac:dyDescent="0.2">
      <c r="A93" s="46">
        <v>4</v>
      </c>
      <c r="B93" s="46">
        <v>10</v>
      </c>
      <c r="C93" s="46">
        <v>1886</v>
      </c>
      <c r="D93" s="46" t="s">
        <v>658</v>
      </c>
      <c r="E93" s="46" t="s">
        <v>1122</v>
      </c>
      <c r="F93" s="47" t="s">
        <v>1010</v>
      </c>
      <c r="G93" s="46"/>
      <c r="H93" s="47" t="s">
        <v>1025</v>
      </c>
      <c r="I93" s="47" t="s">
        <v>1023</v>
      </c>
      <c r="J93" s="48" t="s">
        <v>1129</v>
      </c>
      <c r="K93" s="46" t="s">
        <v>1124</v>
      </c>
      <c r="L93" s="46" t="s">
        <v>4</v>
      </c>
      <c r="M93" s="46" t="s">
        <v>1094</v>
      </c>
      <c r="N93" s="49">
        <v>0</v>
      </c>
      <c r="O93" s="49">
        <v>2</v>
      </c>
      <c r="P93" s="46" t="s">
        <v>1117</v>
      </c>
      <c r="Q93" s="47" t="s">
        <v>979</v>
      </c>
      <c r="R93" s="47" t="s">
        <v>376</v>
      </c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50">
        <f>IF(L93="W",1,0)</f>
        <v>0</v>
      </c>
      <c r="AF93" s="50">
        <f>IF(L93="T",1,0)</f>
        <v>0</v>
      </c>
      <c r="AG93" s="50">
        <f>IF(L93="L",1,0)</f>
        <v>1</v>
      </c>
      <c r="AH93" s="46" t="s">
        <v>1111</v>
      </c>
      <c r="AI93" s="46" t="s">
        <v>1126</v>
      </c>
      <c r="AJ93" s="46" t="s">
        <v>376</v>
      </c>
      <c r="AK93" s="46" t="s">
        <v>658</v>
      </c>
      <c r="AL93" s="46" t="s">
        <v>1085</v>
      </c>
      <c r="AM93" s="46" t="s">
        <v>1086</v>
      </c>
      <c r="AN93" s="46" t="s">
        <v>376</v>
      </c>
      <c r="AO93" s="46" t="s">
        <v>658</v>
      </c>
      <c r="AP93" s="46"/>
      <c r="AQ93" s="46">
        <v>1</v>
      </c>
      <c r="AR93" s="46"/>
      <c r="AS93" s="46"/>
      <c r="AT93" s="46"/>
      <c r="AU93" s="46" t="s">
        <v>376</v>
      </c>
      <c r="AV93" s="46"/>
      <c r="AW93" s="46" t="s">
        <v>30</v>
      </c>
      <c r="AX93" s="46"/>
      <c r="AY93" s="46" t="s">
        <v>30</v>
      </c>
      <c r="AZ93" s="46"/>
      <c r="BA93" s="47"/>
      <c r="BB93" s="51"/>
      <c r="BC93" s="46" t="s">
        <v>30</v>
      </c>
      <c r="BD93" s="46"/>
      <c r="BE93" s="46"/>
      <c r="BF93" s="46">
        <v>1</v>
      </c>
      <c r="BG93" s="46"/>
      <c r="BH93" s="46"/>
      <c r="BI93" s="46" t="s">
        <v>1124</v>
      </c>
      <c r="BJ93" s="46" t="s">
        <v>1094</v>
      </c>
      <c r="BK93" s="46">
        <v>1886</v>
      </c>
      <c r="BL93" s="46" t="str">
        <f>BK93&amp;BI93</f>
        <v>1886West Bromwich Albion</v>
      </c>
      <c r="BM93" s="52" t="str">
        <f>IF(AD93="Home",BI93,IF(AD93="Away",BJ93,Q93))</f>
        <v>Derby</v>
      </c>
      <c r="BN93" s="46"/>
      <c r="BO93" s="46"/>
      <c r="BP93" s="46"/>
      <c r="BQ93" s="46"/>
      <c r="BR93" s="46"/>
      <c r="BS93" s="46"/>
      <c r="BT93" s="46"/>
      <c r="BU93" s="46"/>
      <c r="BV93" s="46" t="s">
        <v>376</v>
      </c>
      <c r="BW93" s="46" t="s">
        <v>376</v>
      </c>
      <c r="BX93" s="46"/>
      <c r="BZ93" s="53"/>
      <c r="CA93" s="53"/>
      <c r="CB93" s="93" t="str">
        <f>IF(OR(C93="",A93="",B93=""),"",TEXT(C93,"0000")&amp;TEXT(A93,"00")&amp;TEXT(B93,"00"))</f>
        <v>18860410</v>
      </c>
    </row>
    <row r="94" spans="1:80" s="52" customFormat="1" ht="12.95" customHeight="1" x14ac:dyDescent="0.2">
      <c r="A94" s="46">
        <v>3</v>
      </c>
      <c r="B94" s="46">
        <v>5</v>
      </c>
      <c r="C94" s="46">
        <v>1887</v>
      </c>
      <c r="D94" s="46" t="s">
        <v>658</v>
      </c>
      <c r="E94" s="46" t="s">
        <v>1130</v>
      </c>
      <c r="F94" s="47" t="s">
        <v>1010</v>
      </c>
      <c r="G94" s="46"/>
      <c r="H94" s="47" t="s">
        <v>1011</v>
      </c>
      <c r="I94" s="47"/>
      <c r="J94" s="48" t="s">
        <v>1131</v>
      </c>
      <c r="K94" s="46" t="s">
        <v>1124</v>
      </c>
      <c r="L94" s="46" t="s">
        <v>3</v>
      </c>
      <c r="M94" s="46" t="s">
        <v>640</v>
      </c>
      <c r="N94" s="49">
        <v>3</v>
      </c>
      <c r="O94" s="49">
        <v>1</v>
      </c>
      <c r="P94" s="47" t="s">
        <v>1135</v>
      </c>
      <c r="Q94" s="47" t="s">
        <v>1073</v>
      </c>
      <c r="R94" s="47" t="s">
        <v>376</v>
      </c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50">
        <f>IF(L94="W",1,0)</f>
        <v>1</v>
      </c>
      <c r="AF94" s="50">
        <f>IF(L94="T",1,0)</f>
        <v>0</v>
      </c>
      <c r="AG94" s="50">
        <f>IF(L94="L",1,0)</f>
        <v>0</v>
      </c>
      <c r="AH94" s="46" t="s">
        <v>1111</v>
      </c>
      <c r="AI94" s="46" t="s">
        <v>1126</v>
      </c>
      <c r="AJ94" s="46" t="s">
        <v>376</v>
      </c>
      <c r="AK94" s="46" t="s">
        <v>658</v>
      </c>
      <c r="AL94" s="46" t="s">
        <v>1136</v>
      </c>
      <c r="AM94" s="46" t="s">
        <v>1086</v>
      </c>
      <c r="AN94" s="46" t="s">
        <v>376</v>
      </c>
      <c r="AO94" s="46" t="s">
        <v>658</v>
      </c>
      <c r="AP94" s="46"/>
      <c r="AQ94" s="46">
        <v>2</v>
      </c>
      <c r="AR94" s="46"/>
      <c r="AS94" s="46"/>
      <c r="AT94" s="46"/>
      <c r="AU94" s="46" t="s">
        <v>376</v>
      </c>
      <c r="AV94" s="46"/>
      <c r="AW94" s="46" t="s">
        <v>30</v>
      </c>
      <c r="AX94" s="46"/>
      <c r="AY94" s="46" t="s">
        <v>30</v>
      </c>
      <c r="AZ94" s="46"/>
      <c r="BA94" s="47"/>
      <c r="BB94" s="51"/>
      <c r="BC94" s="46"/>
      <c r="BD94" s="46"/>
      <c r="BE94" s="46"/>
      <c r="BF94" s="46">
        <v>1</v>
      </c>
      <c r="BG94" s="46"/>
      <c r="BH94" s="46"/>
      <c r="BI94" s="46" t="s">
        <v>1124</v>
      </c>
      <c r="BJ94" s="46" t="s">
        <v>640</v>
      </c>
      <c r="BK94" s="46">
        <v>1887</v>
      </c>
      <c r="BL94" s="46" t="str">
        <f>BK94&amp;BI94</f>
        <v>1887West Bromwich Albion</v>
      </c>
      <c r="BM94" s="52" t="str">
        <f>IF(AD94="Home",BI94,IF(AD94="Away",BJ94,Q94))</f>
        <v>Nottingham</v>
      </c>
      <c r="BN94" s="46"/>
      <c r="BO94" s="46"/>
      <c r="BP94" s="46"/>
      <c r="BQ94" s="46"/>
      <c r="BR94" s="46"/>
      <c r="BS94" s="46"/>
      <c r="BT94" s="46"/>
      <c r="BU94" s="46"/>
      <c r="BV94" s="46" t="s">
        <v>376</v>
      </c>
      <c r="BW94" s="46" t="s">
        <v>376</v>
      </c>
      <c r="BX94" s="46"/>
      <c r="BY94" s="35"/>
      <c r="BZ94" s="53"/>
      <c r="CA94" s="53"/>
      <c r="CB94" s="93" t="str">
        <f>IF(OR(C94="",A94="",B94=""),"",TEXT(C94,"0000")&amp;TEXT(A94,"00")&amp;TEXT(B94,"00"))</f>
        <v>18870305</v>
      </c>
    </row>
    <row r="95" spans="1:80" s="52" customFormat="1" ht="12.95" customHeight="1" x14ac:dyDescent="0.2">
      <c r="A95" s="46">
        <v>3</v>
      </c>
      <c r="B95" s="46">
        <v>5</v>
      </c>
      <c r="C95" s="46">
        <v>1887</v>
      </c>
      <c r="D95" s="46" t="s">
        <v>658</v>
      </c>
      <c r="E95" s="46" t="s">
        <v>1130</v>
      </c>
      <c r="F95" s="47" t="s">
        <v>1010</v>
      </c>
      <c r="G95" s="46"/>
      <c r="H95" s="47" t="s">
        <v>1011</v>
      </c>
      <c r="I95" s="47"/>
      <c r="J95" s="48" t="s">
        <v>1131</v>
      </c>
      <c r="K95" s="46" t="s">
        <v>640</v>
      </c>
      <c r="L95" s="46" t="s">
        <v>4</v>
      </c>
      <c r="M95" s="46" t="s">
        <v>1124</v>
      </c>
      <c r="N95" s="49">
        <v>1</v>
      </c>
      <c r="O95" s="49">
        <v>3</v>
      </c>
      <c r="P95" s="47" t="s">
        <v>1135</v>
      </c>
      <c r="Q95" s="47" t="s">
        <v>1073</v>
      </c>
      <c r="R95" s="47" t="s">
        <v>376</v>
      </c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50">
        <f>IF(L95="W",1,0)</f>
        <v>0</v>
      </c>
      <c r="AF95" s="50">
        <f>IF(L95="T",1,0)</f>
        <v>0</v>
      </c>
      <c r="AG95" s="50">
        <f>IF(L95="L",1,0)</f>
        <v>1</v>
      </c>
      <c r="AH95" s="46" t="s">
        <v>1136</v>
      </c>
      <c r="AI95" s="46" t="s">
        <v>1086</v>
      </c>
      <c r="AJ95" s="46" t="s">
        <v>376</v>
      </c>
      <c r="AK95" s="46" t="s">
        <v>658</v>
      </c>
      <c r="AL95" s="46" t="s">
        <v>1111</v>
      </c>
      <c r="AM95" s="46" t="s">
        <v>1126</v>
      </c>
      <c r="AN95" s="46" t="s">
        <v>376</v>
      </c>
      <c r="AO95" s="46" t="s">
        <v>658</v>
      </c>
      <c r="AP95" s="46"/>
      <c r="AQ95" s="46">
        <v>2</v>
      </c>
      <c r="AR95" s="46"/>
      <c r="AS95" s="46"/>
      <c r="AT95" s="46"/>
      <c r="AU95" s="46" t="s">
        <v>376</v>
      </c>
      <c r="AV95" s="46"/>
      <c r="AW95" s="46" t="s">
        <v>30</v>
      </c>
      <c r="AX95" s="46"/>
      <c r="AY95" s="46" t="s">
        <v>30</v>
      </c>
      <c r="AZ95" s="46"/>
      <c r="BA95" s="47"/>
      <c r="BB95" s="51"/>
      <c r="BC95" s="46"/>
      <c r="BD95" s="46"/>
      <c r="BE95" s="46"/>
      <c r="BF95" s="46">
        <v>1</v>
      </c>
      <c r="BG95" s="46"/>
      <c r="BH95" s="46"/>
      <c r="BI95" s="46" t="s">
        <v>640</v>
      </c>
      <c r="BJ95" s="46" t="s">
        <v>1124</v>
      </c>
      <c r="BK95" s="46">
        <v>1887</v>
      </c>
      <c r="BL95" s="46" t="str">
        <f>BK95&amp;BI95</f>
        <v>1887Preston North End</v>
      </c>
      <c r="BM95" s="52" t="str">
        <f>IF(AD95="Home",BI95,IF(AD95="Away",BJ95,Q95))</f>
        <v>Nottingham</v>
      </c>
      <c r="BN95" s="46"/>
      <c r="BO95" s="46"/>
      <c r="BP95" s="46"/>
      <c r="BQ95" s="46"/>
      <c r="BR95" s="46"/>
      <c r="BS95" s="46"/>
      <c r="BT95" s="46"/>
      <c r="BU95" s="46"/>
      <c r="BV95" s="46" t="s">
        <v>376</v>
      </c>
      <c r="BW95" s="46" t="s">
        <v>376</v>
      </c>
      <c r="BX95" s="46"/>
      <c r="BY95" s="35"/>
      <c r="BZ95" s="53"/>
      <c r="CA95" s="53"/>
      <c r="CB95" s="93" t="str">
        <f>IF(OR(C95="",A95="",B95=""),"",TEXT(C95,"0000")&amp;TEXT(A95,"00")&amp;TEXT(B95,"00"))</f>
        <v>18870305</v>
      </c>
    </row>
    <row r="96" spans="1:80" s="52" customFormat="1" ht="12.95" customHeight="1" x14ac:dyDescent="0.2">
      <c r="A96" s="46">
        <v>3</v>
      </c>
      <c r="B96" s="46">
        <v>5</v>
      </c>
      <c r="C96" s="46">
        <v>1887</v>
      </c>
      <c r="D96" s="46" t="s">
        <v>658</v>
      </c>
      <c r="E96" s="46" t="s">
        <v>1130</v>
      </c>
      <c r="F96" s="47" t="s">
        <v>1010</v>
      </c>
      <c r="G96" s="46"/>
      <c r="H96" s="47" t="s">
        <v>1011</v>
      </c>
      <c r="I96" s="47"/>
      <c r="J96" s="48" t="s">
        <v>1131</v>
      </c>
      <c r="K96" s="46" t="s">
        <v>806</v>
      </c>
      <c r="L96" s="46" t="s">
        <v>3</v>
      </c>
      <c r="M96" s="46" t="s">
        <v>1132</v>
      </c>
      <c r="N96" s="49">
        <v>3</v>
      </c>
      <c r="O96" s="49">
        <v>1</v>
      </c>
      <c r="P96" s="47" t="s">
        <v>1133</v>
      </c>
      <c r="Q96" s="47" t="s">
        <v>1134</v>
      </c>
      <c r="R96" s="47" t="s">
        <v>376</v>
      </c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50">
        <f>IF(L96="W",1,0)</f>
        <v>1</v>
      </c>
      <c r="AF96" s="50">
        <f>IF(L96="T",1,0)</f>
        <v>0</v>
      </c>
      <c r="AG96" s="50">
        <f>IF(L96="L",1,0)</f>
        <v>0</v>
      </c>
      <c r="AH96" s="46" t="s">
        <v>1111</v>
      </c>
      <c r="AI96" s="46" t="s">
        <v>1126</v>
      </c>
      <c r="AJ96" s="46" t="s">
        <v>376</v>
      </c>
      <c r="AK96" s="46" t="s">
        <v>658</v>
      </c>
      <c r="AL96" s="46" t="s">
        <v>1022</v>
      </c>
      <c r="AM96" s="46" t="s">
        <v>1022</v>
      </c>
      <c r="AN96" s="46" t="s">
        <v>376</v>
      </c>
      <c r="AO96" s="46" t="s">
        <v>658</v>
      </c>
      <c r="AP96" s="46"/>
      <c r="AQ96" s="46">
        <v>2</v>
      </c>
      <c r="AR96" s="46"/>
      <c r="AS96" s="46"/>
      <c r="AT96" s="46"/>
      <c r="AU96" s="46" t="s">
        <v>376</v>
      </c>
      <c r="AV96" s="46"/>
      <c r="AW96" s="46" t="s">
        <v>30</v>
      </c>
      <c r="AX96" s="46"/>
      <c r="AY96" s="46" t="s">
        <v>30</v>
      </c>
      <c r="AZ96" s="46"/>
      <c r="BA96" s="47"/>
      <c r="BB96" s="51"/>
      <c r="BC96" s="46"/>
      <c r="BD96" s="46"/>
      <c r="BE96" s="46"/>
      <c r="BF96" s="46">
        <v>1</v>
      </c>
      <c r="BG96" s="46"/>
      <c r="BH96" s="46"/>
      <c r="BI96" s="46" t="s">
        <v>806</v>
      </c>
      <c r="BJ96" s="46" t="s">
        <v>1132</v>
      </c>
      <c r="BK96" s="46">
        <v>1887</v>
      </c>
      <c r="BL96" s="46" t="str">
        <f>BK96&amp;BI96</f>
        <v>1887Aston Villa</v>
      </c>
      <c r="BM96" s="52" t="str">
        <f>IF(AD96="Home",BI96,IF(AD96="Away",BJ96,Q96))</f>
        <v>Crewe</v>
      </c>
      <c r="BN96" s="46"/>
      <c r="BO96" s="46"/>
      <c r="BP96" s="46"/>
      <c r="BQ96" s="46"/>
      <c r="BR96" s="46"/>
      <c r="BS96" s="46"/>
      <c r="BT96" s="46"/>
      <c r="BU96" s="46"/>
      <c r="BV96" s="46" t="s">
        <v>376</v>
      </c>
      <c r="BW96" s="46" t="s">
        <v>376</v>
      </c>
      <c r="BX96" s="46"/>
      <c r="BZ96" s="53"/>
      <c r="CA96" s="53"/>
      <c r="CB96" s="93" t="str">
        <f>IF(OR(C96="",A96="",B96=""),"",TEXT(C96,"0000")&amp;TEXT(A96,"00")&amp;TEXT(B96,"00"))</f>
        <v>18870305</v>
      </c>
    </row>
    <row r="97" spans="1:80" s="52" customFormat="1" ht="12.95" customHeight="1" x14ac:dyDescent="0.2">
      <c r="A97" s="46">
        <v>3</v>
      </c>
      <c r="B97" s="46">
        <v>5</v>
      </c>
      <c r="C97" s="46">
        <v>1887</v>
      </c>
      <c r="D97" s="46" t="s">
        <v>658</v>
      </c>
      <c r="E97" s="46" t="s">
        <v>1130</v>
      </c>
      <c r="F97" s="47" t="s">
        <v>1010</v>
      </c>
      <c r="G97" s="46"/>
      <c r="H97" s="47" t="s">
        <v>1011</v>
      </c>
      <c r="I97" s="47"/>
      <c r="J97" s="48" t="s">
        <v>1131</v>
      </c>
      <c r="K97" s="46" t="s">
        <v>1132</v>
      </c>
      <c r="L97" s="46" t="s">
        <v>4</v>
      </c>
      <c r="M97" s="46" t="s">
        <v>806</v>
      </c>
      <c r="N97" s="49">
        <v>1</v>
      </c>
      <c r="O97" s="49">
        <v>3</v>
      </c>
      <c r="P97" s="47" t="s">
        <v>1133</v>
      </c>
      <c r="Q97" s="47" t="s">
        <v>1134</v>
      </c>
      <c r="R97" s="47" t="s">
        <v>376</v>
      </c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50">
        <f>IF(L97="W",1,0)</f>
        <v>0</v>
      </c>
      <c r="AF97" s="50">
        <f>IF(L97="T",1,0)</f>
        <v>0</v>
      </c>
      <c r="AG97" s="50">
        <f>IF(L97="L",1,0)</f>
        <v>1</v>
      </c>
      <c r="AH97" s="46" t="s">
        <v>1022</v>
      </c>
      <c r="AI97" s="46" t="s">
        <v>1022</v>
      </c>
      <c r="AJ97" s="46" t="s">
        <v>376</v>
      </c>
      <c r="AK97" s="46" t="s">
        <v>658</v>
      </c>
      <c r="AL97" s="46" t="s">
        <v>1111</v>
      </c>
      <c r="AM97" s="46" t="s">
        <v>1126</v>
      </c>
      <c r="AN97" s="46" t="s">
        <v>376</v>
      </c>
      <c r="AO97" s="46" t="s">
        <v>658</v>
      </c>
      <c r="AP97" s="46"/>
      <c r="AQ97" s="46">
        <v>2</v>
      </c>
      <c r="AR97" s="46"/>
      <c r="AS97" s="46"/>
      <c r="AT97" s="46"/>
      <c r="AU97" s="46" t="s">
        <v>376</v>
      </c>
      <c r="AV97" s="46"/>
      <c r="AW97" s="46" t="s">
        <v>30</v>
      </c>
      <c r="AX97" s="46"/>
      <c r="AY97" s="46" t="s">
        <v>30</v>
      </c>
      <c r="AZ97" s="46"/>
      <c r="BA97" s="47"/>
      <c r="BB97" s="51"/>
      <c r="BC97" s="46"/>
      <c r="BD97" s="46"/>
      <c r="BE97" s="46"/>
      <c r="BF97" s="46">
        <v>1</v>
      </c>
      <c r="BG97" s="46"/>
      <c r="BH97" s="46"/>
      <c r="BI97" s="46" t="s">
        <v>1132</v>
      </c>
      <c r="BJ97" s="46" t="s">
        <v>806</v>
      </c>
      <c r="BK97" s="46">
        <v>1887</v>
      </c>
      <c r="BL97" s="46" t="str">
        <f>BK97&amp;BI97</f>
        <v>1887Rangers</v>
      </c>
      <c r="BM97" s="52" t="str">
        <f>IF(AD97="Home",BI97,IF(AD97="Away",BJ97,Q97))</f>
        <v>Crewe</v>
      </c>
      <c r="BN97" s="46"/>
      <c r="BO97" s="46"/>
      <c r="BP97" s="46"/>
      <c r="BQ97" s="46"/>
      <c r="BR97" s="46"/>
      <c r="BS97" s="46"/>
      <c r="BT97" s="46"/>
      <c r="BU97" s="46"/>
      <c r="BV97" s="46" t="s">
        <v>376</v>
      </c>
      <c r="BW97" s="46" t="s">
        <v>376</v>
      </c>
      <c r="BX97" s="46"/>
      <c r="BZ97" s="53"/>
      <c r="CA97" s="53"/>
      <c r="CB97" s="93" t="str">
        <f>IF(OR(C97="",A97="",B97=""),"",TEXT(C97,"0000")&amp;TEXT(A97,"00")&amp;TEXT(B97,"00"))</f>
        <v>18870305</v>
      </c>
    </row>
    <row r="98" spans="1:80" s="52" customFormat="1" ht="12.95" customHeight="1" x14ac:dyDescent="0.2">
      <c r="A98" s="46">
        <v>4</v>
      </c>
      <c r="B98" s="46">
        <v>2</v>
      </c>
      <c r="C98" s="46">
        <v>1887</v>
      </c>
      <c r="D98" s="46" t="s">
        <v>658</v>
      </c>
      <c r="E98" s="46" t="s">
        <v>1130</v>
      </c>
      <c r="F98" s="47" t="s">
        <v>1010</v>
      </c>
      <c r="G98" s="46"/>
      <c r="H98" s="47" t="s">
        <v>1025</v>
      </c>
      <c r="I98" s="47"/>
      <c r="J98" s="48" t="s">
        <v>1137</v>
      </c>
      <c r="K98" s="46" t="s">
        <v>806</v>
      </c>
      <c r="L98" s="46" t="s">
        <v>3</v>
      </c>
      <c r="M98" s="46" t="s">
        <v>1124</v>
      </c>
      <c r="N98" s="49">
        <v>2</v>
      </c>
      <c r="O98" s="49">
        <v>0</v>
      </c>
      <c r="P98" s="47" t="s">
        <v>1016</v>
      </c>
      <c r="Q98" s="47" t="s">
        <v>1017</v>
      </c>
      <c r="R98" s="47" t="s">
        <v>376</v>
      </c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50">
        <f>IF(L98="W",1,0)</f>
        <v>1</v>
      </c>
      <c r="AF98" s="50">
        <f>IF(L98="T",1,0)</f>
        <v>0</v>
      </c>
      <c r="AG98" s="50">
        <f>IF(L98="L",1,0)</f>
        <v>0</v>
      </c>
      <c r="AH98" s="46" t="s">
        <v>1111</v>
      </c>
      <c r="AI98" s="46" t="s">
        <v>1126</v>
      </c>
      <c r="AJ98" s="46" t="s">
        <v>376</v>
      </c>
      <c r="AK98" s="46" t="s">
        <v>658</v>
      </c>
      <c r="AL98" s="46" t="s">
        <v>1111</v>
      </c>
      <c r="AM98" s="46" t="s">
        <v>1126</v>
      </c>
      <c r="AN98" s="46" t="s">
        <v>376</v>
      </c>
      <c r="AO98" s="46" t="s">
        <v>658</v>
      </c>
      <c r="AP98" s="46"/>
      <c r="AQ98" s="46">
        <v>1</v>
      </c>
      <c r="AR98" s="46"/>
      <c r="AS98" s="46"/>
      <c r="AT98" s="46"/>
      <c r="AU98" s="46" t="s">
        <v>376</v>
      </c>
      <c r="AV98" s="46"/>
      <c r="AW98" s="46" t="s">
        <v>30</v>
      </c>
      <c r="AX98" s="46"/>
      <c r="AY98" s="46" t="s">
        <v>30</v>
      </c>
      <c r="AZ98" s="46"/>
      <c r="BA98" s="47"/>
      <c r="BB98" s="51" t="s">
        <v>30</v>
      </c>
      <c r="BC98" s="46" t="s">
        <v>30</v>
      </c>
      <c r="BD98" s="46"/>
      <c r="BE98" s="46"/>
      <c r="BF98" s="46">
        <v>1</v>
      </c>
      <c r="BG98" s="46"/>
      <c r="BH98" s="46"/>
      <c r="BI98" s="46" t="s">
        <v>806</v>
      </c>
      <c r="BJ98" s="46" t="s">
        <v>1124</v>
      </c>
      <c r="BK98" s="46">
        <v>1887</v>
      </c>
      <c r="BL98" s="46" t="str">
        <f>BK98&amp;BI98</f>
        <v>1887Aston Villa</v>
      </c>
      <c r="BM98" s="52" t="str">
        <f>IF(AD98="Home",BI98,IF(AD98="Away",BJ98,Q98))</f>
        <v>London</v>
      </c>
      <c r="BN98" s="46"/>
      <c r="BO98" s="46"/>
      <c r="BP98" s="46"/>
      <c r="BQ98" s="46"/>
      <c r="BR98" s="46"/>
      <c r="BS98" s="46"/>
      <c r="BT98" s="46"/>
      <c r="BU98" s="46"/>
      <c r="BV98" s="46" t="s">
        <v>376</v>
      </c>
      <c r="BW98" s="46" t="s">
        <v>376</v>
      </c>
      <c r="BX98" s="46"/>
      <c r="BZ98" s="53"/>
      <c r="CA98" s="53"/>
      <c r="CB98" s="93" t="str">
        <f>IF(OR(C98="",A98="",B98=""),"",TEXT(C98,"0000")&amp;TEXT(A98,"00")&amp;TEXT(B98,"00"))</f>
        <v>18870402</v>
      </c>
    </row>
    <row r="99" spans="1:80" s="52" customFormat="1" ht="12.95" customHeight="1" x14ac:dyDescent="0.2">
      <c r="A99" s="46">
        <v>4</v>
      </c>
      <c r="B99" s="46">
        <v>2</v>
      </c>
      <c r="C99" s="46">
        <v>1887</v>
      </c>
      <c r="D99" s="46" t="s">
        <v>658</v>
      </c>
      <c r="E99" s="46" t="s">
        <v>1130</v>
      </c>
      <c r="F99" s="47" t="s">
        <v>1010</v>
      </c>
      <c r="G99" s="46"/>
      <c r="H99" s="47" t="s">
        <v>1025</v>
      </c>
      <c r="I99" s="47"/>
      <c r="J99" s="48" t="s">
        <v>1137</v>
      </c>
      <c r="K99" s="46" t="s">
        <v>1124</v>
      </c>
      <c r="L99" s="46" t="s">
        <v>4</v>
      </c>
      <c r="M99" s="46" t="s">
        <v>806</v>
      </c>
      <c r="N99" s="49">
        <v>0</v>
      </c>
      <c r="O99" s="49">
        <v>2</v>
      </c>
      <c r="P99" s="47" t="s">
        <v>1016</v>
      </c>
      <c r="Q99" s="47" t="s">
        <v>1017</v>
      </c>
      <c r="R99" s="47" t="s">
        <v>376</v>
      </c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50">
        <f>IF(L99="W",1,0)</f>
        <v>0</v>
      </c>
      <c r="AF99" s="50">
        <f>IF(L99="T",1,0)</f>
        <v>0</v>
      </c>
      <c r="AG99" s="50">
        <f>IF(L99="L",1,0)</f>
        <v>1</v>
      </c>
      <c r="AH99" s="46" t="s">
        <v>1111</v>
      </c>
      <c r="AI99" s="46" t="s">
        <v>1126</v>
      </c>
      <c r="AJ99" s="46" t="s">
        <v>376</v>
      </c>
      <c r="AK99" s="46" t="s">
        <v>658</v>
      </c>
      <c r="AL99" s="46" t="s">
        <v>1111</v>
      </c>
      <c r="AM99" s="46" t="s">
        <v>1126</v>
      </c>
      <c r="AN99" s="46" t="s">
        <v>376</v>
      </c>
      <c r="AO99" s="46" t="s">
        <v>658</v>
      </c>
      <c r="AP99" s="46"/>
      <c r="AQ99" s="46">
        <v>1</v>
      </c>
      <c r="AR99" s="46"/>
      <c r="AS99" s="46"/>
      <c r="AT99" s="46"/>
      <c r="AU99" s="46" t="s">
        <v>376</v>
      </c>
      <c r="AV99" s="46"/>
      <c r="AW99" s="46" t="s">
        <v>30</v>
      </c>
      <c r="AX99" s="46"/>
      <c r="AY99" s="46" t="s">
        <v>30</v>
      </c>
      <c r="AZ99" s="46"/>
      <c r="BA99" s="47"/>
      <c r="BB99" s="51"/>
      <c r="BC99" s="46" t="s">
        <v>30</v>
      </c>
      <c r="BD99" s="46"/>
      <c r="BE99" s="46"/>
      <c r="BF99" s="46">
        <v>1</v>
      </c>
      <c r="BG99" s="46"/>
      <c r="BH99" s="46"/>
      <c r="BI99" s="46" t="s">
        <v>1124</v>
      </c>
      <c r="BJ99" s="46" t="s">
        <v>806</v>
      </c>
      <c r="BK99" s="46">
        <v>1887</v>
      </c>
      <c r="BL99" s="46" t="str">
        <f>BK99&amp;BI99</f>
        <v>1887West Bromwich Albion</v>
      </c>
      <c r="BM99" s="52" t="str">
        <f>IF(AD99="Home",BI99,IF(AD99="Away",BJ99,Q99))</f>
        <v>London</v>
      </c>
      <c r="BN99" s="46"/>
      <c r="BO99" s="46"/>
      <c r="BP99" s="46"/>
      <c r="BQ99" s="46"/>
      <c r="BR99" s="46"/>
      <c r="BS99" s="46"/>
      <c r="BT99" s="46"/>
      <c r="BU99" s="46"/>
      <c r="BV99" s="46" t="s">
        <v>376</v>
      </c>
      <c r="BW99" s="46" t="s">
        <v>376</v>
      </c>
      <c r="BX99" s="46"/>
      <c r="BZ99" s="53"/>
      <c r="CA99" s="53"/>
      <c r="CB99" s="93" t="str">
        <f>IF(OR(C99="",A99="",B99=""),"",TEXT(C99,"0000")&amp;TEXT(A99,"00")&amp;TEXT(B99,"00"))</f>
        <v>18870402</v>
      </c>
    </row>
    <row r="100" spans="1:80" s="52" customFormat="1" ht="12.95" customHeight="1" x14ac:dyDescent="0.2">
      <c r="A100" s="46">
        <v>2</v>
      </c>
      <c r="B100" s="46">
        <v>18</v>
      </c>
      <c r="C100" s="46">
        <v>1888</v>
      </c>
      <c r="D100" s="46" t="s">
        <v>658</v>
      </c>
      <c r="E100" s="46" t="s">
        <v>1138</v>
      </c>
      <c r="F100" s="47" t="s">
        <v>1010</v>
      </c>
      <c r="G100" s="46"/>
      <c r="H100" s="47" t="s">
        <v>1011</v>
      </c>
      <c r="I100" s="47"/>
      <c r="J100" s="48" t="s">
        <v>1139</v>
      </c>
      <c r="K100" s="46" t="s">
        <v>640</v>
      </c>
      <c r="L100" s="46" t="s">
        <v>3</v>
      </c>
      <c r="M100" s="46" t="s">
        <v>1140</v>
      </c>
      <c r="N100" s="49">
        <v>4</v>
      </c>
      <c r="O100" s="49">
        <v>0</v>
      </c>
      <c r="P100" s="47" t="s">
        <v>1141</v>
      </c>
      <c r="Q100" s="47" t="s">
        <v>588</v>
      </c>
      <c r="R100" s="47" t="s">
        <v>376</v>
      </c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50">
        <f>IF(L100="W",1,0)</f>
        <v>1</v>
      </c>
      <c r="AF100" s="50">
        <f>IF(L100="T",1,0)</f>
        <v>0</v>
      </c>
      <c r="AG100" s="50">
        <f>IF(L100="L",1,0)</f>
        <v>0</v>
      </c>
      <c r="AH100" s="46" t="s">
        <v>1136</v>
      </c>
      <c r="AI100" s="46" t="s">
        <v>1086</v>
      </c>
      <c r="AJ100" s="46" t="s">
        <v>376</v>
      </c>
      <c r="AK100" s="46" t="s">
        <v>658</v>
      </c>
      <c r="AL100" s="46" t="s">
        <v>1134</v>
      </c>
      <c r="AM100" s="46" t="s">
        <v>1142</v>
      </c>
      <c r="AN100" s="46" t="s">
        <v>376</v>
      </c>
      <c r="AO100" s="46" t="s">
        <v>658</v>
      </c>
      <c r="AP100" s="46"/>
      <c r="AQ100" s="46">
        <v>2</v>
      </c>
      <c r="AR100" s="46"/>
      <c r="AS100" s="46"/>
      <c r="AT100" s="46"/>
      <c r="AU100" s="46" t="s">
        <v>376</v>
      </c>
      <c r="AV100" s="46"/>
      <c r="AW100" s="46" t="s">
        <v>30</v>
      </c>
      <c r="AX100" s="46"/>
      <c r="AY100" s="46" t="s">
        <v>30</v>
      </c>
      <c r="AZ100" s="46"/>
      <c r="BA100" s="47"/>
      <c r="BB100" s="51"/>
      <c r="BC100" s="46"/>
      <c r="BD100" s="46"/>
      <c r="BE100" s="46"/>
      <c r="BF100" s="46">
        <v>1</v>
      </c>
      <c r="BG100" s="46"/>
      <c r="BH100" s="46"/>
      <c r="BI100" s="46" t="s">
        <v>640</v>
      </c>
      <c r="BJ100" s="46" t="s">
        <v>1140</v>
      </c>
      <c r="BK100" s="46">
        <v>1888</v>
      </c>
      <c r="BL100" s="46" t="str">
        <f>BK100&amp;BI100</f>
        <v>1888Preston North End</v>
      </c>
      <c r="BM100" s="52" t="str">
        <f>IF(AD100="Home",BI100,IF(AD100="Away",BJ100,Q100))</f>
        <v>Liverpool</v>
      </c>
      <c r="BN100" s="46"/>
      <c r="BO100" s="46"/>
      <c r="BP100" s="46"/>
      <c r="BQ100" s="46"/>
      <c r="BR100" s="46"/>
      <c r="BS100" s="46"/>
      <c r="BT100" s="46"/>
      <c r="BU100" s="46"/>
      <c r="BV100" s="46" t="s">
        <v>376</v>
      </c>
      <c r="BW100" s="46" t="s">
        <v>376</v>
      </c>
      <c r="BX100" s="46"/>
      <c r="BZ100" s="53"/>
      <c r="CA100" s="53"/>
      <c r="CB100" s="93" t="str">
        <f>IF(OR(C100="",A100="",B100=""),"",TEXT(C100,"0000")&amp;TEXT(A100,"00")&amp;TEXT(B100,"00"))</f>
        <v>18880218</v>
      </c>
    </row>
    <row r="101" spans="1:80" s="52" customFormat="1" ht="12.95" customHeight="1" x14ac:dyDescent="0.2">
      <c r="A101" s="46">
        <v>2</v>
      </c>
      <c r="B101" s="46">
        <v>18</v>
      </c>
      <c r="C101" s="46">
        <v>1888</v>
      </c>
      <c r="D101" s="46" t="s">
        <v>658</v>
      </c>
      <c r="E101" s="46" t="s">
        <v>1138</v>
      </c>
      <c r="F101" s="47" t="s">
        <v>1010</v>
      </c>
      <c r="G101" s="46"/>
      <c r="H101" s="47" t="s">
        <v>1011</v>
      </c>
      <c r="I101" s="47"/>
      <c r="J101" s="48" t="s">
        <v>1139</v>
      </c>
      <c r="K101" s="46" t="s">
        <v>1140</v>
      </c>
      <c r="L101" s="46" t="s">
        <v>4</v>
      </c>
      <c r="M101" s="46" t="s">
        <v>640</v>
      </c>
      <c r="N101" s="49">
        <v>0</v>
      </c>
      <c r="O101" s="49">
        <v>4</v>
      </c>
      <c r="P101" s="47" t="s">
        <v>1141</v>
      </c>
      <c r="Q101" s="47" t="s">
        <v>588</v>
      </c>
      <c r="R101" s="47" t="s">
        <v>376</v>
      </c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50">
        <f>IF(L101="W",1,0)</f>
        <v>0</v>
      </c>
      <c r="AF101" s="50">
        <f>IF(L101="T",1,0)</f>
        <v>0</v>
      </c>
      <c r="AG101" s="50">
        <f>IF(L101="L",1,0)</f>
        <v>1</v>
      </c>
      <c r="AH101" s="46" t="s">
        <v>1134</v>
      </c>
      <c r="AI101" s="46" t="s">
        <v>1142</v>
      </c>
      <c r="AJ101" s="46" t="s">
        <v>376</v>
      </c>
      <c r="AK101" s="46" t="s">
        <v>658</v>
      </c>
      <c r="AL101" s="46" t="s">
        <v>1136</v>
      </c>
      <c r="AM101" s="46" t="s">
        <v>1086</v>
      </c>
      <c r="AN101" s="46" t="s">
        <v>376</v>
      </c>
      <c r="AO101" s="46" t="s">
        <v>658</v>
      </c>
      <c r="AP101" s="46"/>
      <c r="AQ101" s="46">
        <v>2</v>
      </c>
      <c r="AR101" s="46"/>
      <c r="AS101" s="46"/>
      <c r="AT101" s="46"/>
      <c r="AU101" s="46" t="s">
        <v>376</v>
      </c>
      <c r="AV101" s="46"/>
      <c r="AW101" s="46" t="s">
        <v>30</v>
      </c>
      <c r="AX101" s="46"/>
      <c r="AY101" s="46" t="s">
        <v>30</v>
      </c>
      <c r="AZ101" s="46"/>
      <c r="BA101" s="47"/>
      <c r="BB101" s="51"/>
      <c r="BC101" s="46"/>
      <c r="BD101" s="46"/>
      <c r="BE101" s="46"/>
      <c r="BF101" s="46">
        <v>1</v>
      </c>
      <c r="BG101" s="46"/>
      <c r="BH101" s="46"/>
      <c r="BI101" s="46" t="s">
        <v>1140</v>
      </c>
      <c r="BJ101" s="46" t="s">
        <v>640</v>
      </c>
      <c r="BK101" s="46">
        <v>1888</v>
      </c>
      <c r="BL101" s="46" t="str">
        <f>BK101&amp;BI101</f>
        <v>1888Crewe Alexandra</v>
      </c>
      <c r="BM101" s="52" t="str">
        <f>IF(AD101="Home",BI101,IF(AD101="Away",BJ101,Q101))</f>
        <v>Liverpool</v>
      </c>
      <c r="BN101" s="46"/>
      <c r="BO101" s="46"/>
      <c r="BP101" s="46"/>
      <c r="BQ101" s="46"/>
      <c r="BR101" s="46"/>
      <c r="BS101" s="46"/>
      <c r="BT101" s="46"/>
      <c r="BU101" s="46"/>
      <c r="BV101" s="46" t="s">
        <v>376</v>
      </c>
      <c r="BW101" s="46" t="s">
        <v>376</v>
      </c>
      <c r="BX101" s="46"/>
      <c r="BZ101" s="53"/>
      <c r="CA101" s="53"/>
      <c r="CB101" s="93" t="str">
        <f>IF(OR(C101="",A101="",B101=""),"",TEXT(C101,"0000")&amp;TEXT(A101,"00")&amp;TEXT(B101,"00"))</f>
        <v>18880218</v>
      </c>
    </row>
    <row r="102" spans="1:80" s="52" customFormat="1" ht="12.95" customHeight="1" x14ac:dyDescent="0.2">
      <c r="A102" s="46">
        <v>2</v>
      </c>
      <c r="B102" s="46">
        <v>18</v>
      </c>
      <c r="C102" s="46">
        <v>1888</v>
      </c>
      <c r="D102" s="46" t="s">
        <v>658</v>
      </c>
      <c r="E102" s="46" t="s">
        <v>1138</v>
      </c>
      <c r="F102" s="47" t="s">
        <v>1010</v>
      </c>
      <c r="G102" s="46"/>
      <c r="H102" s="47" t="s">
        <v>1011</v>
      </c>
      <c r="I102" s="47"/>
      <c r="J102" s="48" t="s">
        <v>1139</v>
      </c>
      <c r="K102" s="46" t="s">
        <v>1124</v>
      </c>
      <c r="L102" s="46" t="s">
        <v>3</v>
      </c>
      <c r="M102" s="46" t="s">
        <v>1143</v>
      </c>
      <c r="N102" s="49">
        <v>3</v>
      </c>
      <c r="O102" s="49">
        <v>0</v>
      </c>
      <c r="P102" s="47" t="s">
        <v>1144</v>
      </c>
      <c r="Q102" s="47" t="s">
        <v>1145</v>
      </c>
      <c r="R102" s="47" t="s">
        <v>376</v>
      </c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50">
        <f>IF(L102="W",1,0)</f>
        <v>1</v>
      </c>
      <c r="AF102" s="50">
        <f>IF(L102="T",1,0)</f>
        <v>0</v>
      </c>
      <c r="AG102" s="50">
        <f>IF(L102="L",1,0)</f>
        <v>0</v>
      </c>
      <c r="AH102" s="46" t="s">
        <v>1111</v>
      </c>
      <c r="AI102" s="46" t="s">
        <v>1126</v>
      </c>
      <c r="AJ102" s="46" t="s">
        <v>376</v>
      </c>
      <c r="AK102" s="46" t="s">
        <v>658</v>
      </c>
      <c r="AL102" s="46" t="s">
        <v>979</v>
      </c>
      <c r="AM102" s="46" t="s">
        <v>1146</v>
      </c>
      <c r="AN102" s="46" t="s">
        <v>376</v>
      </c>
      <c r="AO102" s="46" t="s">
        <v>658</v>
      </c>
      <c r="AP102" s="46"/>
      <c r="AQ102" s="46">
        <v>2</v>
      </c>
      <c r="AR102" s="46"/>
      <c r="AS102" s="46"/>
      <c r="AT102" s="46"/>
      <c r="AU102" s="46" t="s">
        <v>376</v>
      </c>
      <c r="AV102" s="46"/>
      <c r="AW102" s="46" t="s">
        <v>30</v>
      </c>
      <c r="AX102" s="46"/>
      <c r="AY102" s="46" t="s">
        <v>30</v>
      </c>
      <c r="AZ102" s="46"/>
      <c r="BA102" s="47"/>
      <c r="BB102" s="51"/>
      <c r="BC102" s="46"/>
      <c r="BD102" s="46"/>
      <c r="BE102" s="46"/>
      <c r="BF102" s="46">
        <v>1</v>
      </c>
      <c r="BG102" s="46"/>
      <c r="BH102" s="46"/>
      <c r="BI102" s="46" t="s">
        <v>1124</v>
      </c>
      <c r="BJ102" s="46" t="s">
        <v>1143</v>
      </c>
      <c r="BK102" s="46">
        <v>1888</v>
      </c>
      <c r="BL102" s="46" t="str">
        <f>BK102&amp;BI102</f>
        <v>1888West Bromwich Albion</v>
      </c>
      <c r="BM102" s="52" t="str">
        <f>IF(AD102="Home",BI102,IF(AD102="Away",BJ102,Q102))</f>
        <v>Stoke-on-Trent</v>
      </c>
      <c r="BN102" s="46"/>
      <c r="BO102" s="46"/>
      <c r="BP102" s="46"/>
      <c r="BQ102" s="46"/>
      <c r="BR102" s="46"/>
      <c r="BS102" s="46"/>
      <c r="BT102" s="46"/>
      <c r="BU102" s="46"/>
      <c r="BV102" s="46" t="s">
        <v>376</v>
      </c>
      <c r="BW102" s="46" t="s">
        <v>376</v>
      </c>
      <c r="BX102" s="46"/>
      <c r="BY102" s="50"/>
      <c r="BZ102" s="53"/>
      <c r="CA102" s="53"/>
      <c r="CB102" s="93" t="str">
        <f>IF(OR(C102="",A102="",B102=""),"",TEXT(C102,"0000")&amp;TEXT(A102,"00")&amp;TEXT(B102,"00"))</f>
        <v>18880218</v>
      </c>
    </row>
    <row r="103" spans="1:80" s="52" customFormat="1" ht="12.95" customHeight="1" x14ac:dyDescent="0.2">
      <c r="A103" s="46">
        <v>2</v>
      </c>
      <c r="B103" s="46">
        <v>18</v>
      </c>
      <c r="C103" s="46">
        <v>1888</v>
      </c>
      <c r="D103" s="46" t="s">
        <v>658</v>
      </c>
      <c r="E103" s="46" t="s">
        <v>1138</v>
      </c>
      <c r="F103" s="47" t="s">
        <v>1010</v>
      </c>
      <c r="G103" s="46"/>
      <c r="H103" s="47" t="s">
        <v>1011</v>
      </c>
      <c r="I103" s="47"/>
      <c r="J103" s="48" t="s">
        <v>1139</v>
      </c>
      <c r="K103" s="46" t="s">
        <v>1143</v>
      </c>
      <c r="L103" s="46" t="s">
        <v>4</v>
      </c>
      <c r="M103" s="46" t="s">
        <v>1124</v>
      </c>
      <c r="N103" s="49">
        <v>0</v>
      </c>
      <c r="O103" s="49">
        <v>3</v>
      </c>
      <c r="P103" s="47" t="s">
        <v>1144</v>
      </c>
      <c r="Q103" s="47" t="s">
        <v>1145</v>
      </c>
      <c r="R103" s="47" t="s">
        <v>376</v>
      </c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50">
        <f>IF(L103="W",1,0)</f>
        <v>0</v>
      </c>
      <c r="AF103" s="50">
        <f>IF(L103="T",1,0)</f>
        <v>0</v>
      </c>
      <c r="AG103" s="50">
        <f>IF(L103="L",1,0)</f>
        <v>1</v>
      </c>
      <c r="AH103" s="46" t="s">
        <v>979</v>
      </c>
      <c r="AI103" s="46" t="s">
        <v>1146</v>
      </c>
      <c r="AJ103" s="46" t="s">
        <v>376</v>
      </c>
      <c r="AK103" s="46" t="s">
        <v>658</v>
      </c>
      <c r="AL103" s="46" t="s">
        <v>1111</v>
      </c>
      <c r="AM103" s="46" t="s">
        <v>1126</v>
      </c>
      <c r="AN103" s="46" t="s">
        <v>376</v>
      </c>
      <c r="AO103" s="46" t="s">
        <v>658</v>
      </c>
      <c r="AP103" s="46"/>
      <c r="AQ103" s="46">
        <v>2</v>
      </c>
      <c r="AR103" s="46"/>
      <c r="AS103" s="46"/>
      <c r="AT103" s="46"/>
      <c r="AU103" s="46" t="s">
        <v>376</v>
      </c>
      <c r="AV103" s="46"/>
      <c r="AW103" s="46" t="s">
        <v>30</v>
      </c>
      <c r="AX103" s="46"/>
      <c r="AY103" s="46" t="s">
        <v>30</v>
      </c>
      <c r="AZ103" s="46"/>
      <c r="BA103" s="47"/>
      <c r="BB103" s="51"/>
      <c r="BC103" s="46"/>
      <c r="BD103" s="46"/>
      <c r="BE103" s="46"/>
      <c r="BF103" s="46">
        <v>1</v>
      </c>
      <c r="BG103" s="46"/>
      <c r="BH103" s="46"/>
      <c r="BI103" s="46" t="s">
        <v>1143</v>
      </c>
      <c r="BJ103" s="46" t="s">
        <v>1124</v>
      </c>
      <c r="BK103" s="46">
        <v>1888</v>
      </c>
      <c r="BL103" s="46" t="str">
        <f>BK103&amp;BI103</f>
        <v>1888Derby Junction</v>
      </c>
      <c r="BM103" s="52" t="str">
        <f>IF(AD103="Home",BI103,IF(AD103="Away",BJ103,Q103))</f>
        <v>Stoke-on-Trent</v>
      </c>
      <c r="BN103" s="46"/>
      <c r="BO103" s="46"/>
      <c r="BP103" s="46"/>
      <c r="BQ103" s="46"/>
      <c r="BR103" s="46"/>
      <c r="BS103" s="46"/>
      <c r="BT103" s="46"/>
      <c r="BU103" s="46"/>
      <c r="BV103" s="46" t="s">
        <v>376</v>
      </c>
      <c r="BW103" s="46" t="s">
        <v>376</v>
      </c>
      <c r="BX103" s="46"/>
      <c r="BY103" s="50"/>
      <c r="BZ103" s="53"/>
      <c r="CA103" s="53"/>
      <c r="CB103" s="93" t="str">
        <f>IF(OR(C103="",A103="",B103=""),"",TEXT(C103,"0000")&amp;TEXT(A103,"00")&amp;TEXT(B103,"00"))</f>
        <v>18880218</v>
      </c>
    </row>
    <row r="104" spans="1:80" s="52" customFormat="1" ht="12.95" customHeight="1" x14ac:dyDescent="0.2">
      <c r="A104" s="46">
        <v>3</v>
      </c>
      <c r="B104" s="46">
        <v>24</v>
      </c>
      <c r="C104" s="46">
        <v>1888</v>
      </c>
      <c r="D104" s="46" t="s">
        <v>658</v>
      </c>
      <c r="E104" s="46" t="s">
        <v>1138</v>
      </c>
      <c r="F104" s="47" t="s">
        <v>1010</v>
      </c>
      <c r="G104" s="46"/>
      <c r="H104" s="47" t="s">
        <v>1025</v>
      </c>
      <c r="I104" s="47"/>
      <c r="J104" s="48" t="s">
        <v>1147</v>
      </c>
      <c r="K104" s="46" t="s">
        <v>1124</v>
      </c>
      <c r="L104" s="46" t="s">
        <v>3</v>
      </c>
      <c r="M104" s="46" t="s">
        <v>640</v>
      </c>
      <c r="N104" s="49">
        <v>2</v>
      </c>
      <c r="O104" s="49">
        <v>1</v>
      </c>
      <c r="P104" s="47" t="s">
        <v>1016</v>
      </c>
      <c r="Q104" s="47" t="s">
        <v>1017</v>
      </c>
      <c r="R104" s="47" t="s">
        <v>376</v>
      </c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50">
        <f>IF(L104="W",1,0)</f>
        <v>1</v>
      </c>
      <c r="AF104" s="50">
        <f>IF(L104="T",1,0)</f>
        <v>0</v>
      </c>
      <c r="AG104" s="50">
        <f>IF(L104="L",1,0)</f>
        <v>0</v>
      </c>
      <c r="AH104" s="46" t="s">
        <v>1111</v>
      </c>
      <c r="AI104" s="46" t="s">
        <v>1126</v>
      </c>
      <c r="AJ104" s="46" t="s">
        <v>376</v>
      </c>
      <c r="AK104" s="46" t="s">
        <v>658</v>
      </c>
      <c r="AL104" s="46" t="s">
        <v>1136</v>
      </c>
      <c r="AM104" s="46" t="s">
        <v>1086</v>
      </c>
      <c r="AN104" s="46" t="s">
        <v>376</v>
      </c>
      <c r="AO104" s="46" t="s">
        <v>658</v>
      </c>
      <c r="AP104" s="46"/>
      <c r="AQ104" s="46">
        <v>1</v>
      </c>
      <c r="AR104" s="46"/>
      <c r="AS104" s="46"/>
      <c r="AT104" s="46"/>
      <c r="AU104" s="46" t="s">
        <v>376</v>
      </c>
      <c r="AV104" s="46"/>
      <c r="AW104" s="46" t="s">
        <v>30</v>
      </c>
      <c r="AX104" s="46"/>
      <c r="AY104" s="46" t="s">
        <v>30</v>
      </c>
      <c r="AZ104" s="46"/>
      <c r="BA104" s="47"/>
      <c r="BB104" s="51" t="s">
        <v>30</v>
      </c>
      <c r="BC104" s="46" t="s">
        <v>30</v>
      </c>
      <c r="BD104" s="46"/>
      <c r="BE104" s="46"/>
      <c r="BF104" s="46">
        <v>1</v>
      </c>
      <c r="BG104" s="46"/>
      <c r="BH104" s="46"/>
      <c r="BI104" s="46" t="s">
        <v>1124</v>
      </c>
      <c r="BJ104" s="46" t="s">
        <v>640</v>
      </c>
      <c r="BK104" s="46">
        <v>1888</v>
      </c>
      <c r="BL104" s="46" t="str">
        <f>BK104&amp;BI104</f>
        <v>1888West Bromwich Albion</v>
      </c>
      <c r="BM104" s="52" t="str">
        <f>IF(AD104="Home",BI104,IF(AD104="Away",BJ104,Q104))</f>
        <v>London</v>
      </c>
      <c r="BN104" s="46"/>
      <c r="BO104" s="46"/>
      <c r="BP104" s="46"/>
      <c r="BQ104" s="46"/>
      <c r="BR104" s="46"/>
      <c r="BS104" s="46"/>
      <c r="BT104" s="46"/>
      <c r="BU104" s="46"/>
      <c r="BV104" s="46" t="s">
        <v>376</v>
      </c>
      <c r="BW104" s="46" t="s">
        <v>376</v>
      </c>
      <c r="BX104" s="46"/>
      <c r="BZ104" s="53"/>
      <c r="CA104" s="53"/>
      <c r="CB104" s="93" t="str">
        <f>IF(OR(C104="",A104="",B104=""),"",TEXT(C104,"0000")&amp;TEXT(A104,"00")&amp;TEXT(B104,"00"))</f>
        <v>18880324</v>
      </c>
    </row>
    <row r="105" spans="1:80" s="52" customFormat="1" ht="12.95" customHeight="1" x14ac:dyDescent="0.2">
      <c r="A105" s="46">
        <v>3</v>
      </c>
      <c r="B105" s="46">
        <v>24</v>
      </c>
      <c r="C105" s="46">
        <v>1888</v>
      </c>
      <c r="D105" s="46" t="s">
        <v>658</v>
      </c>
      <c r="E105" s="46" t="s">
        <v>1138</v>
      </c>
      <c r="F105" s="47" t="s">
        <v>1010</v>
      </c>
      <c r="G105" s="46"/>
      <c r="H105" s="47" t="s">
        <v>1025</v>
      </c>
      <c r="I105" s="47"/>
      <c r="J105" s="48" t="s">
        <v>1147</v>
      </c>
      <c r="K105" s="46" t="s">
        <v>640</v>
      </c>
      <c r="L105" s="46" t="s">
        <v>4</v>
      </c>
      <c r="M105" s="46" t="s">
        <v>1124</v>
      </c>
      <c r="N105" s="49">
        <v>1</v>
      </c>
      <c r="O105" s="49">
        <v>2</v>
      </c>
      <c r="P105" s="47" t="s">
        <v>1016</v>
      </c>
      <c r="Q105" s="47" t="s">
        <v>1017</v>
      </c>
      <c r="R105" s="47" t="s">
        <v>376</v>
      </c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50">
        <f>IF(L105="W",1,0)</f>
        <v>0</v>
      </c>
      <c r="AF105" s="50">
        <f>IF(L105="T",1,0)</f>
        <v>0</v>
      </c>
      <c r="AG105" s="50">
        <f>IF(L105="L",1,0)</f>
        <v>1</v>
      </c>
      <c r="AH105" s="46" t="s">
        <v>1136</v>
      </c>
      <c r="AI105" s="46" t="s">
        <v>1086</v>
      </c>
      <c r="AJ105" s="46" t="s">
        <v>376</v>
      </c>
      <c r="AK105" s="46" t="s">
        <v>658</v>
      </c>
      <c r="AL105" s="46" t="s">
        <v>1111</v>
      </c>
      <c r="AM105" s="46" t="s">
        <v>1126</v>
      </c>
      <c r="AN105" s="46" t="s">
        <v>376</v>
      </c>
      <c r="AO105" s="46" t="s">
        <v>658</v>
      </c>
      <c r="AP105" s="46"/>
      <c r="AQ105" s="46">
        <v>1</v>
      </c>
      <c r="AR105" s="46"/>
      <c r="AS105" s="46"/>
      <c r="AT105" s="46"/>
      <c r="AU105" s="46" t="s">
        <v>376</v>
      </c>
      <c r="AV105" s="46"/>
      <c r="AW105" s="46" t="s">
        <v>30</v>
      </c>
      <c r="AX105" s="46"/>
      <c r="AY105" s="46" t="s">
        <v>30</v>
      </c>
      <c r="AZ105" s="46"/>
      <c r="BA105" s="47"/>
      <c r="BB105" s="51"/>
      <c r="BC105" s="46" t="s">
        <v>30</v>
      </c>
      <c r="BD105" s="46"/>
      <c r="BE105" s="46"/>
      <c r="BF105" s="46">
        <v>1</v>
      </c>
      <c r="BG105" s="46"/>
      <c r="BH105" s="46"/>
      <c r="BI105" s="46" t="s">
        <v>640</v>
      </c>
      <c r="BJ105" s="46" t="s">
        <v>1124</v>
      </c>
      <c r="BK105" s="46">
        <v>1888</v>
      </c>
      <c r="BL105" s="46" t="str">
        <f>BK105&amp;BI105</f>
        <v>1888Preston North End</v>
      </c>
      <c r="BM105" s="52" t="str">
        <f>IF(AD105="Home",BI105,IF(AD105="Away",BJ105,Q105))</f>
        <v>London</v>
      </c>
      <c r="BN105" s="46"/>
      <c r="BO105" s="46"/>
      <c r="BP105" s="46"/>
      <c r="BQ105" s="46"/>
      <c r="BR105" s="46"/>
      <c r="BS105" s="46"/>
      <c r="BT105" s="46"/>
      <c r="BU105" s="46"/>
      <c r="BV105" s="46" t="s">
        <v>376</v>
      </c>
      <c r="BW105" s="46" t="s">
        <v>376</v>
      </c>
      <c r="BX105" s="46"/>
      <c r="BZ105" s="53"/>
      <c r="CA105" s="53"/>
      <c r="CB105" s="93" t="str">
        <f>IF(OR(C105="",A105="",B105=""),"",TEXT(C105,"0000")&amp;TEXT(A105,"00")&amp;TEXT(B105,"00"))</f>
        <v>18880324</v>
      </c>
    </row>
    <row r="106" spans="1:80" s="52" customFormat="1" ht="12.95" customHeight="1" x14ac:dyDescent="0.2">
      <c r="A106" s="46">
        <v>3</v>
      </c>
      <c r="B106" s="46">
        <v>16</v>
      </c>
      <c r="C106" s="46">
        <v>1889</v>
      </c>
      <c r="D106" s="46" t="s">
        <v>658</v>
      </c>
      <c r="E106" s="46" t="s">
        <v>1148</v>
      </c>
      <c r="F106" s="47" t="s">
        <v>1010</v>
      </c>
      <c r="G106" s="46"/>
      <c r="H106" s="47" t="s">
        <v>1011</v>
      </c>
      <c r="I106" s="47"/>
      <c r="J106" s="48" t="s">
        <v>1149</v>
      </c>
      <c r="K106" s="46" t="s">
        <v>640</v>
      </c>
      <c r="L106" s="46" t="s">
        <v>3</v>
      </c>
      <c r="M106" s="46" t="s">
        <v>1124</v>
      </c>
      <c r="N106" s="49">
        <v>1</v>
      </c>
      <c r="O106" s="49">
        <v>0</v>
      </c>
      <c r="P106" s="47" t="s">
        <v>1150</v>
      </c>
      <c r="Q106" s="47" t="s">
        <v>1136</v>
      </c>
      <c r="R106" s="47" t="s">
        <v>376</v>
      </c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 t="s">
        <v>1033</v>
      </c>
      <c r="AE106" s="50">
        <f>IF(L106="W",1,0)</f>
        <v>1</v>
      </c>
      <c r="AF106" s="50">
        <f>IF(L106="T",1,0)</f>
        <v>0</v>
      </c>
      <c r="AG106" s="50">
        <f>IF(L106="L",1,0)</f>
        <v>0</v>
      </c>
      <c r="AH106" s="46" t="s">
        <v>1136</v>
      </c>
      <c r="AI106" s="46" t="s">
        <v>1086</v>
      </c>
      <c r="AJ106" s="46" t="s">
        <v>376</v>
      </c>
      <c r="AK106" s="46" t="s">
        <v>658</v>
      </c>
      <c r="AL106" s="46" t="s">
        <v>1111</v>
      </c>
      <c r="AM106" s="46" t="s">
        <v>1126</v>
      </c>
      <c r="AN106" s="46" t="s">
        <v>376</v>
      </c>
      <c r="AO106" s="46" t="s">
        <v>658</v>
      </c>
      <c r="AP106" s="46"/>
      <c r="AQ106" s="46">
        <v>2</v>
      </c>
      <c r="AR106" s="46"/>
      <c r="AS106" s="46"/>
      <c r="AT106" s="46"/>
      <c r="AU106" s="46" t="s">
        <v>376</v>
      </c>
      <c r="AV106" s="46"/>
      <c r="AW106" s="46" t="s">
        <v>30</v>
      </c>
      <c r="AX106" s="46"/>
      <c r="AY106" s="46" t="s">
        <v>30</v>
      </c>
      <c r="AZ106" s="46"/>
      <c r="BA106" s="47"/>
      <c r="BB106" s="51"/>
      <c r="BC106" s="46"/>
      <c r="BD106" s="46"/>
      <c r="BE106" s="46"/>
      <c r="BF106" s="46">
        <v>1</v>
      </c>
      <c r="BG106" s="46">
        <v>1</v>
      </c>
      <c r="BH106" s="46">
        <v>1</v>
      </c>
      <c r="BI106" s="46" t="s">
        <v>640</v>
      </c>
      <c r="BJ106" s="46" t="s">
        <v>1124</v>
      </c>
      <c r="BK106" s="46">
        <v>1889</v>
      </c>
      <c r="BL106" s="46" t="str">
        <f>BK106&amp;BI106</f>
        <v>1889Preston North End</v>
      </c>
      <c r="BM106" s="52" t="str">
        <f>IF(AD106="Home",BI106,IF(AD106="Away",BJ106,Q106))</f>
        <v>Preston North End</v>
      </c>
      <c r="BN106" s="46"/>
      <c r="BO106" s="46"/>
      <c r="BP106" s="46"/>
      <c r="BQ106" s="46"/>
      <c r="BR106" s="46"/>
      <c r="BS106" s="46"/>
      <c r="BT106" s="46"/>
      <c r="BU106" s="46"/>
      <c r="BV106" s="46" t="s">
        <v>376</v>
      </c>
      <c r="BW106" s="46" t="s">
        <v>376</v>
      </c>
      <c r="BX106" s="46"/>
      <c r="BY106" s="35"/>
      <c r="BZ106" s="53"/>
      <c r="CA106" s="53"/>
      <c r="CB106" s="93" t="str">
        <f>IF(OR(C106="",A106="",B106=""),"",TEXT(C106,"0000")&amp;TEXT(A106,"00")&amp;TEXT(B106,"00"))</f>
        <v>18890316</v>
      </c>
    </row>
    <row r="107" spans="1:80" s="52" customFormat="1" ht="12.95" customHeight="1" x14ac:dyDescent="0.2">
      <c r="A107" s="46">
        <v>3</v>
      </c>
      <c r="B107" s="46">
        <v>16</v>
      </c>
      <c r="C107" s="46">
        <v>1889</v>
      </c>
      <c r="D107" s="46" t="s">
        <v>658</v>
      </c>
      <c r="E107" s="46" t="s">
        <v>1148</v>
      </c>
      <c r="F107" s="47" t="s">
        <v>1010</v>
      </c>
      <c r="G107" s="46"/>
      <c r="H107" s="47" t="s">
        <v>1011</v>
      </c>
      <c r="I107" s="47"/>
      <c r="J107" s="48" t="s">
        <v>1149</v>
      </c>
      <c r="K107" s="46" t="s">
        <v>1124</v>
      </c>
      <c r="L107" s="46" t="s">
        <v>4</v>
      </c>
      <c r="M107" s="46" t="s">
        <v>640</v>
      </c>
      <c r="N107" s="49">
        <v>0</v>
      </c>
      <c r="O107" s="49">
        <v>1</v>
      </c>
      <c r="P107" s="47" t="s">
        <v>1150</v>
      </c>
      <c r="Q107" s="47" t="s">
        <v>1136</v>
      </c>
      <c r="R107" s="47" t="s">
        <v>376</v>
      </c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 t="s">
        <v>1037</v>
      </c>
      <c r="AE107" s="50">
        <f>IF(L107="W",1,0)</f>
        <v>0</v>
      </c>
      <c r="AF107" s="50">
        <f>IF(L107="T",1,0)</f>
        <v>0</v>
      </c>
      <c r="AG107" s="50">
        <f>IF(L107="L",1,0)</f>
        <v>1</v>
      </c>
      <c r="AH107" s="46" t="s">
        <v>1111</v>
      </c>
      <c r="AI107" s="46" t="s">
        <v>1126</v>
      </c>
      <c r="AJ107" s="46" t="s">
        <v>376</v>
      </c>
      <c r="AK107" s="46" t="s">
        <v>658</v>
      </c>
      <c r="AL107" s="46" t="s">
        <v>1136</v>
      </c>
      <c r="AM107" s="46" t="s">
        <v>1086</v>
      </c>
      <c r="AN107" s="46" t="s">
        <v>376</v>
      </c>
      <c r="AO107" s="46" t="s">
        <v>658</v>
      </c>
      <c r="AP107" s="46"/>
      <c r="AQ107" s="46">
        <v>2</v>
      </c>
      <c r="AR107" s="46"/>
      <c r="AS107" s="46"/>
      <c r="AT107" s="46"/>
      <c r="AU107" s="46" t="s">
        <v>376</v>
      </c>
      <c r="AV107" s="46"/>
      <c r="AW107" s="46" t="s">
        <v>30</v>
      </c>
      <c r="AX107" s="46"/>
      <c r="AY107" s="46" t="s">
        <v>30</v>
      </c>
      <c r="AZ107" s="46"/>
      <c r="BA107" s="47"/>
      <c r="BB107" s="51"/>
      <c r="BC107" s="46"/>
      <c r="BD107" s="46"/>
      <c r="BE107" s="46"/>
      <c r="BF107" s="46">
        <v>1</v>
      </c>
      <c r="BG107" s="46">
        <v>1</v>
      </c>
      <c r="BH107" s="46">
        <v>1</v>
      </c>
      <c r="BI107" s="46" t="s">
        <v>1124</v>
      </c>
      <c r="BJ107" s="46" t="s">
        <v>640</v>
      </c>
      <c r="BK107" s="46">
        <v>1889</v>
      </c>
      <c r="BL107" s="46" t="str">
        <f>BK107&amp;BI107</f>
        <v>1889West Bromwich Albion</v>
      </c>
      <c r="BM107" s="52" t="str">
        <f>IF(AD107="Home",BI107,IF(AD107="Away",BJ107,Q107))</f>
        <v>Preston North End</v>
      </c>
      <c r="BN107" s="46"/>
      <c r="BO107" s="46"/>
      <c r="BP107" s="46"/>
      <c r="BQ107" s="46"/>
      <c r="BR107" s="46"/>
      <c r="BS107" s="46"/>
      <c r="BT107" s="46"/>
      <c r="BU107" s="46"/>
      <c r="BV107" s="46" t="s">
        <v>376</v>
      </c>
      <c r="BW107" s="46" t="s">
        <v>376</v>
      </c>
      <c r="BX107" s="46"/>
      <c r="BY107" s="35"/>
      <c r="BZ107" s="53"/>
      <c r="CA107" s="53"/>
      <c r="CB107" s="93" t="str">
        <f>IF(OR(C107="",A107="",B107=""),"",TEXT(C107,"0000")&amp;TEXT(A107,"00")&amp;TEXT(B107,"00"))</f>
        <v>18890316</v>
      </c>
    </row>
    <row r="108" spans="1:80" s="52" customFormat="1" ht="12.95" customHeight="1" x14ac:dyDescent="0.2">
      <c r="A108" s="46">
        <v>3</v>
      </c>
      <c r="B108" s="46">
        <v>16</v>
      </c>
      <c r="C108" s="46">
        <v>1889</v>
      </c>
      <c r="D108" s="46" t="s">
        <v>658</v>
      </c>
      <c r="E108" s="46" t="s">
        <v>1148</v>
      </c>
      <c r="F108" s="47" t="s">
        <v>1010</v>
      </c>
      <c r="G108" s="46"/>
      <c r="H108" s="47" t="s">
        <v>1011</v>
      </c>
      <c r="I108" s="47"/>
      <c r="J108" s="48" t="s">
        <v>1149</v>
      </c>
      <c r="K108" s="46" t="s">
        <v>1151</v>
      </c>
      <c r="L108" s="46" t="s">
        <v>1014</v>
      </c>
      <c r="M108" s="46" t="s">
        <v>1094</v>
      </c>
      <c r="N108" s="49">
        <v>1</v>
      </c>
      <c r="O108" s="49">
        <v>1</v>
      </c>
      <c r="P108" s="47" t="s">
        <v>1152</v>
      </c>
      <c r="Q108" s="47" t="s">
        <v>1111</v>
      </c>
      <c r="R108" s="47" t="s">
        <v>376</v>
      </c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 t="s">
        <v>1033</v>
      </c>
      <c r="AE108" s="50">
        <f>IF(L108="W",1,0)</f>
        <v>0</v>
      </c>
      <c r="AF108" s="50">
        <f>IF(L108="T",1,0)</f>
        <v>1</v>
      </c>
      <c r="AG108" s="50">
        <f>IF(L108="L",1,0)</f>
        <v>0</v>
      </c>
      <c r="AH108" s="46" t="s">
        <v>1111</v>
      </c>
      <c r="AI108" s="46" t="s">
        <v>1126</v>
      </c>
      <c r="AJ108" s="46" t="s">
        <v>376</v>
      </c>
      <c r="AK108" s="46" t="s">
        <v>658</v>
      </c>
      <c r="AL108" s="46" t="s">
        <v>1085</v>
      </c>
      <c r="AM108" s="46" t="s">
        <v>1086</v>
      </c>
      <c r="AN108" s="46" t="s">
        <v>376</v>
      </c>
      <c r="AO108" s="46" t="s">
        <v>658</v>
      </c>
      <c r="AP108" s="46"/>
      <c r="AQ108" s="46">
        <v>2</v>
      </c>
      <c r="AR108" s="46"/>
      <c r="AS108" s="46"/>
      <c r="AT108" s="46"/>
      <c r="AU108" s="46" t="s">
        <v>376</v>
      </c>
      <c r="AV108" s="46"/>
      <c r="AW108" s="46" t="s">
        <v>30</v>
      </c>
      <c r="AX108" s="46"/>
      <c r="AY108" s="46" t="s">
        <v>30</v>
      </c>
      <c r="AZ108" s="46"/>
      <c r="BA108" s="47"/>
      <c r="BB108" s="51"/>
      <c r="BC108" s="46"/>
      <c r="BD108" s="46"/>
      <c r="BE108" s="46"/>
      <c r="BF108" s="46">
        <v>1</v>
      </c>
      <c r="BG108" s="46">
        <v>1</v>
      </c>
      <c r="BH108" s="46">
        <v>1</v>
      </c>
      <c r="BI108" s="46" t="s">
        <v>1151</v>
      </c>
      <c r="BJ108" s="46" t="s">
        <v>1094</v>
      </c>
      <c r="BK108" s="46">
        <v>1889</v>
      </c>
      <c r="BL108" s="46" t="str">
        <f>BK108&amp;BI108</f>
        <v>1889Wolverhampton Wanderers</v>
      </c>
      <c r="BM108" s="52" t="str">
        <f>IF(AD108="Home",BI108,IF(AD108="Away",BJ108,Q108))</f>
        <v>Wolverhampton Wanderers</v>
      </c>
      <c r="BN108" s="46"/>
      <c r="BO108" s="46"/>
      <c r="BP108" s="46"/>
      <c r="BQ108" s="46"/>
      <c r="BR108" s="46"/>
      <c r="BS108" s="46"/>
      <c r="BT108" s="46"/>
      <c r="BU108" s="46"/>
      <c r="BV108" s="46" t="s">
        <v>376</v>
      </c>
      <c r="BW108" s="46" t="s">
        <v>376</v>
      </c>
      <c r="BX108" s="46"/>
      <c r="BZ108" s="53"/>
      <c r="CA108" s="53"/>
      <c r="CB108" s="93" t="str">
        <f>IF(OR(C108="",A108="",B108=""),"",TEXT(C108,"0000")&amp;TEXT(A108,"00")&amp;TEXT(B108,"00"))</f>
        <v>18890316</v>
      </c>
    </row>
    <row r="109" spans="1:80" s="52" customFormat="1" ht="12.95" customHeight="1" x14ac:dyDescent="0.2">
      <c r="A109" s="46">
        <v>3</v>
      </c>
      <c r="B109" s="46">
        <v>16</v>
      </c>
      <c r="C109" s="46">
        <v>1889</v>
      </c>
      <c r="D109" s="46" t="s">
        <v>658</v>
      </c>
      <c r="E109" s="46" t="s">
        <v>1148</v>
      </c>
      <c r="F109" s="47" t="s">
        <v>1010</v>
      </c>
      <c r="G109" s="46"/>
      <c r="H109" s="47" t="s">
        <v>1011</v>
      </c>
      <c r="I109" s="47"/>
      <c r="J109" s="48" t="s">
        <v>1149</v>
      </c>
      <c r="K109" s="46" t="s">
        <v>1094</v>
      </c>
      <c r="L109" s="46" t="s">
        <v>1014</v>
      </c>
      <c r="M109" s="46" t="s">
        <v>1151</v>
      </c>
      <c r="N109" s="49">
        <v>1</v>
      </c>
      <c r="O109" s="49">
        <v>1</v>
      </c>
      <c r="P109" s="47" t="s">
        <v>1152</v>
      </c>
      <c r="Q109" s="47" t="s">
        <v>1111</v>
      </c>
      <c r="R109" s="47" t="s">
        <v>376</v>
      </c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 t="s">
        <v>1037</v>
      </c>
      <c r="AE109" s="50">
        <f>IF(L109="W",1,0)</f>
        <v>0</v>
      </c>
      <c r="AF109" s="50">
        <f>IF(L109="T",1,0)</f>
        <v>1</v>
      </c>
      <c r="AG109" s="50">
        <f>IF(L109="L",1,0)</f>
        <v>0</v>
      </c>
      <c r="AH109" s="46" t="s">
        <v>1085</v>
      </c>
      <c r="AI109" s="46" t="s">
        <v>1086</v>
      </c>
      <c r="AJ109" s="46" t="s">
        <v>376</v>
      </c>
      <c r="AK109" s="46" t="s">
        <v>658</v>
      </c>
      <c r="AL109" s="46" t="s">
        <v>1111</v>
      </c>
      <c r="AM109" s="46" t="s">
        <v>1126</v>
      </c>
      <c r="AN109" s="46" t="s">
        <v>376</v>
      </c>
      <c r="AO109" s="46" t="s">
        <v>658</v>
      </c>
      <c r="AP109" s="46"/>
      <c r="AQ109" s="46">
        <v>2</v>
      </c>
      <c r="AR109" s="46"/>
      <c r="AS109" s="46"/>
      <c r="AT109" s="46"/>
      <c r="AU109" s="46" t="s">
        <v>376</v>
      </c>
      <c r="AV109" s="46"/>
      <c r="AW109" s="46" t="s">
        <v>30</v>
      </c>
      <c r="AX109" s="46"/>
      <c r="AY109" s="46" t="s">
        <v>30</v>
      </c>
      <c r="AZ109" s="46"/>
      <c r="BA109" s="47"/>
      <c r="BB109" s="51"/>
      <c r="BC109" s="46"/>
      <c r="BD109" s="46"/>
      <c r="BE109" s="46"/>
      <c r="BF109" s="46">
        <v>1</v>
      </c>
      <c r="BG109" s="46">
        <v>1</v>
      </c>
      <c r="BH109" s="46">
        <v>1</v>
      </c>
      <c r="BI109" s="46" t="s">
        <v>1094</v>
      </c>
      <c r="BJ109" s="46" t="s">
        <v>1151</v>
      </c>
      <c r="BK109" s="46">
        <v>1889</v>
      </c>
      <c r="BL109" s="46" t="str">
        <f>BK109&amp;BI109</f>
        <v>1889Blackburn Rovers</v>
      </c>
      <c r="BM109" s="52" t="str">
        <f>IF(AD109="Home",BI109,IF(AD109="Away",BJ109,Q109))</f>
        <v>Wolverhampton Wanderers</v>
      </c>
      <c r="BN109" s="46"/>
      <c r="BO109" s="46"/>
      <c r="BP109" s="46"/>
      <c r="BQ109" s="46"/>
      <c r="BR109" s="46"/>
      <c r="BS109" s="46"/>
      <c r="BT109" s="46"/>
      <c r="BU109" s="46"/>
      <c r="BV109" s="46" t="s">
        <v>376</v>
      </c>
      <c r="BW109" s="46" t="s">
        <v>376</v>
      </c>
      <c r="BX109" s="46"/>
      <c r="BZ109" s="53"/>
      <c r="CA109" s="53"/>
      <c r="CB109" s="93" t="str">
        <f>IF(OR(C109="",A109="",B109=""),"",TEXT(C109,"0000")&amp;TEXT(A109,"00")&amp;TEXT(B109,"00"))</f>
        <v>18890316</v>
      </c>
    </row>
    <row r="110" spans="1:80" s="52" customFormat="1" ht="12.95" customHeight="1" x14ac:dyDescent="0.2">
      <c r="A110" s="46">
        <v>3</v>
      </c>
      <c r="B110" s="46">
        <v>23</v>
      </c>
      <c r="C110" s="46">
        <v>1889</v>
      </c>
      <c r="D110" s="46" t="s">
        <v>658</v>
      </c>
      <c r="E110" s="46" t="s">
        <v>1148</v>
      </c>
      <c r="F110" s="47" t="s">
        <v>1010</v>
      </c>
      <c r="G110" s="46"/>
      <c r="H110" s="47" t="s">
        <v>1011</v>
      </c>
      <c r="I110" s="47" t="s">
        <v>1023</v>
      </c>
      <c r="J110" s="48" t="s">
        <v>1153</v>
      </c>
      <c r="K110" s="46" t="s">
        <v>1151</v>
      </c>
      <c r="L110" s="46" t="s">
        <v>3</v>
      </c>
      <c r="M110" s="46" t="s">
        <v>1094</v>
      </c>
      <c r="N110" s="49">
        <v>3</v>
      </c>
      <c r="O110" s="49">
        <v>1</v>
      </c>
      <c r="P110" s="47" t="s">
        <v>1133</v>
      </c>
      <c r="Q110" s="47" t="s">
        <v>1134</v>
      </c>
      <c r="R110" s="47" t="s">
        <v>376</v>
      </c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50">
        <f>IF(L110="W",1,0)</f>
        <v>1</v>
      </c>
      <c r="AF110" s="50">
        <f>IF(L110="T",1,0)</f>
        <v>0</v>
      </c>
      <c r="AG110" s="50">
        <f>IF(L110="L",1,0)</f>
        <v>0</v>
      </c>
      <c r="AH110" s="46" t="s">
        <v>1111</v>
      </c>
      <c r="AI110" s="46" t="s">
        <v>1126</v>
      </c>
      <c r="AJ110" s="46" t="s">
        <v>376</v>
      </c>
      <c r="AK110" s="46" t="s">
        <v>658</v>
      </c>
      <c r="AL110" s="46" t="s">
        <v>1085</v>
      </c>
      <c r="AM110" s="46" t="s">
        <v>1086</v>
      </c>
      <c r="AN110" s="46" t="s">
        <v>376</v>
      </c>
      <c r="AO110" s="46" t="s">
        <v>658</v>
      </c>
      <c r="AP110" s="46"/>
      <c r="AQ110" s="46">
        <v>2</v>
      </c>
      <c r="AR110" s="46"/>
      <c r="AS110" s="46"/>
      <c r="AT110" s="46"/>
      <c r="AU110" s="46" t="s">
        <v>376</v>
      </c>
      <c r="AV110" s="46"/>
      <c r="AW110" s="46" t="s">
        <v>30</v>
      </c>
      <c r="AX110" s="46"/>
      <c r="AY110" s="46" t="s">
        <v>30</v>
      </c>
      <c r="AZ110" s="46"/>
      <c r="BA110" s="47"/>
      <c r="BB110" s="51"/>
      <c r="BC110" s="46"/>
      <c r="BD110" s="46"/>
      <c r="BE110" s="46"/>
      <c r="BF110" s="46">
        <v>1</v>
      </c>
      <c r="BG110" s="46">
        <v>1</v>
      </c>
      <c r="BH110" s="46">
        <v>1</v>
      </c>
      <c r="BI110" s="46" t="s">
        <v>1151</v>
      </c>
      <c r="BJ110" s="46" t="s">
        <v>1094</v>
      </c>
      <c r="BK110" s="46">
        <v>1889</v>
      </c>
      <c r="BL110" s="46" t="str">
        <f>BK110&amp;BI110</f>
        <v>1889Wolverhampton Wanderers</v>
      </c>
      <c r="BM110" s="52" t="str">
        <f>IF(AD110="Home",BI110,IF(AD110="Away",BJ110,Q110))</f>
        <v>Crewe</v>
      </c>
      <c r="BN110" s="46"/>
      <c r="BO110" s="46"/>
      <c r="BP110" s="46"/>
      <c r="BQ110" s="46"/>
      <c r="BR110" s="46"/>
      <c r="BS110" s="46"/>
      <c r="BT110" s="46"/>
      <c r="BU110" s="46"/>
      <c r="BV110" s="46" t="s">
        <v>376</v>
      </c>
      <c r="BW110" s="46" t="s">
        <v>376</v>
      </c>
      <c r="BX110" s="46"/>
      <c r="BZ110" s="53"/>
      <c r="CA110" s="53"/>
      <c r="CB110" s="93" t="str">
        <f>IF(OR(C110="",A110="",B110=""),"",TEXT(C110,"0000")&amp;TEXT(A110,"00")&amp;TEXT(B110,"00"))</f>
        <v>18890323</v>
      </c>
    </row>
    <row r="111" spans="1:80" s="52" customFormat="1" ht="12.95" customHeight="1" x14ac:dyDescent="0.2">
      <c r="A111" s="46">
        <v>3</v>
      </c>
      <c r="B111" s="46">
        <v>23</v>
      </c>
      <c r="C111" s="46">
        <v>1889</v>
      </c>
      <c r="D111" s="46" t="s">
        <v>658</v>
      </c>
      <c r="E111" s="46" t="s">
        <v>1148</v>
      </c>
      <c r="F111" s="47" t="s">
        <v>1010</v>
      </c>
      <c r="G111" s="46"/>
      <c r="H111" s="47" t="s">
        <v>1011</v>
      </c>
      <c r="I111" s="47" t="s">
        <v>1023</v>
      </c>
      <c r="J111" s="48" t="s">
        <v>1153</v>
      </c>
      <c r="K111" s="46" t="s">
        <v>1094</v>
      </c>
      <c r="L111" s="46" t="s">
        <v>4</v>
      </c>
      <c r="M111" s="46" t="s">
        <v>1151</v>
      </c>
      <c r="N111" s="49">
        <v>1</v>
      </c>
      <c r="O111" s="49">
        <v>3</v>
      </c>
      <c r="P111" s="47" t="s">
        <v>1133</v>
      </c>
      <c r="Q111" s="47" t="s">
        <v>1134</v>
      </c>
      <c r="R111" s="47" t="s">
        <v>376</v>
      </c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50">
        <f>IF(L111="W",1,0)</f>
        <v>0</v>
      </c>
      <c r="AF111" s="50">
        <f>IF(L111="T",1,0)</f>
        <v>0</v>
      </c>
      <c r="AG111" s="50">
        <f>IF(L111="L",1,0)</f>
        <v>1</v>
      </c>
      <c r="AH111" s="46" t="s">
        <v>1085</v>
      </c>
      <c r="AI111" s="46" t="s">
        <v>1086</v>
      </c>
      <c r="AJ111" s="46" t="s">
        <v>376</v>
      </c>
      <c r="AK111" s="46" t="s">
        <v>658</v>
      </c>
      <c r="AL111" s="46" t="s">
        <v>1111</v>
      </c>
      <c r="AM111" s="46" t="s">
        <v>1126</v>
      </c>
      <c r="AN111" s="46" t="s">
        <v>376</v>
      </c>
      <c r="AO111" s="46" t="s">
        <v>658</v>
      </c>
      <c r="AP111" s="46"/>
      <c r="AQ111" s="46">
        <v>2</v>
      </c>
      <c r="AR111" s="46"/>
      <c r="AS111" s="46"/>
      <c r="AT111" s="46"/>
      <c r="AU111" s="46" t="s">
        <v>376</v>
      </c>
      <c r="AV111" s="46"/>
      <c r="AW111" s="46" t="s">
        <v>30</v>
      </c>
      <c r="AX111" s="46"/>
      <c r="AY111" s="46" t="s">
        <v>30</v>
      </c>
      <c r="AZ111" s="46"/>
      <c r="BA111" s="47"/>
      <c r="BB111" s="51"/>
      <c r="BC111" s="46"/>
      <c r="BD111" s="46"/>
      <c r="BE111" s="46"/>
      <c r="BF111" s="46">
        <v>1</v>
      </c>
      <c r="BG111" s="46">
        <v>1</v>
      </c>
      <c r="BH111" s="46">
        <v>1</v>
      </c>
      <c r="BI111" s="46" t="s">
        <v>1094</v>
      </c>
      <c r="BJ111" s="46" t="s">
        <v>1151</v>
      </c>
      <c r="BK111" s="46">
        <v>1889</v>
      </c>
      <c r="BL111" s="46" t="str">
        <f>BK111&amp;BI111</f>
        <v>1889Blackburn Rovers</v>
      </c>
      <c r="BM111" s="52" t="str">
        <f>IF(AD111="Home",BI111,IF(AD111="Away",BJ111,Q111))</f>
        <v>Crewe</v>
      </c>
      <c r="BN111" s="46"/>
      <c r="BO111" s="46"/>
      <c r="BP111" s="46"/>
      <c r="BQ111" s="46"/>
      <c r="BR111" s="46"/>
      <c r="BS111" s="46"/>
      <c r="BT111" s="46"/>
      <c r="BU111" s="46"/>
      <c r="BV111" s="46" t="s">
        <v>376</v>
      </c>
      <c r="BW111" s="46" t="s">
        <v>376</v>
      </c>
      <c r="BX111" s="46"/>
      <c r="BZ111" s="53"/>
      <c r="CA111" s="53"/>
      <c r="CB111" s="93" t="str">
        <f>IF(OR(C111="",A111="",B111=""),"",TEXT(C111,"0000")&amp;TEXT(A111,"00")&amp;TEXT(B111,"00"))</f>
        <v>18890323</v>
      </c>
    </row>
    <row r="112" spans="1:80" s="52" customFormat="1" ht="12.95" customHeight="1" x14ac:dyDescent="0.2">
      <c r="A112" s="46">
        <v>3</v>
      </c>
      <c r="B112" s="46">
        <v>30</v>
      </c>
      <c r="C112" s="46">
        <v>1889</v>
      </c>
      <c r="D112" s="46" t="s">
        <v>658</v>
      </c>
      <c r="E112" s="46" t="s">
        <v>1148</v>
      </c>
      <c r="F112" s="47" t="s">
        <v>1010</v>
      </c>
      <c r="G112" s="46"/>
      <c r="H112" s="47" t="s">
        <v>1025</v>
      </c>
      <c r="I112" s="47"/>
      <c r="J112" s="48" t="s">
        <v>1154</v>
      </c>
      <c r="K112" s="46" t="s">
        <v>640</v>
      </c>
      <c r="L112" s="46" t="s">
        <v>3</v>
      </c>
      <c r="M112" s="46" t="s">
        <v>1151</v>
      </c>
      <c r="N112" s="49">
        <v>3</v>
      </c>
      <c r="O112" s="49">
        <v>0</v>
      </c>
      <c r="P112" s="47" t="s">
        <v>1016</v>
      </c>
      <c r="Q112" s="47" t="s">
        <v>1017</v>
      </c>
      <c r="R112" s="47" t="s">
        <v>376</v>
      </c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50">
        <f>IF(L112="W",1,0)</f>
        <v>1</v>
      </c>
      <c r="AF112" s="50">
        <f>IF(L112="T",1,0)</f>
        <v>0</v>
      </c>
      <c r="AG112" s="50">
        <f>IF(L112="L",1,0)</f>
        <v>0</v>
      </c>
      <c r="AH112" s="46" t="s">
        <v>1136</v>
      </c>
      <c r="AI112" s="46" t="s">
        <v>1086</v>
      </c>
      <c r="AJ112" s="46" t="s">
        <v>376</v>
      </c>
      <c r="AK112" s="46" t="s">
        <v>658</v>
      </c>
      <c r="AL112" s="46" t="s">
        <v>1111</v>
      </c>
      <c r="AM112" s="46" t="s">
        <v>1126</v>
      </c>
      <c r="AN112" s="46" t="s">
        <v>376</v>
      </c>
      <c r="AO112" s="46" t="s">
        <v>658</v>
      </c>
      <c r="AP112" s="46"/>
      <c r="AQ112" s="46">
        <v>1</v>
      </c>
      <c r="AR112" s="46"/>
      <c r="AS112" s="46"/>
      <c r="AT112" s="46"/>
      <c r="AU112" s="46" t="s">
        <v>376</v>
      </c>
      <c r="AV112" s="46"/>
      <c r="AW112" s="46" t="s">
        <v>30</v>
      </c>
      <c r="AX112" s="46"/>
      <c r="AY112" s="46" t="s">
        <v>30</v>
      </c>
      <c r="AZ112" s="46"/>
      <c r="BA112" s="47"/>
      <c r="BB112" s="51" t="s">
        <v>30</v>
      </c>
      <c r="BC112" s="46" t="s">
        <v>30</v>
      </c>
      <c r="BD112" s="46"/>
      <c r="BE112" s="46"/>
      <c r="BF112" s="46">
        <v>1</v>
      </c>
      <c r="BG112" s="46">
        <v>1</v>
      </c>
      <c r="BH112" s="46">
        <v>1</v>
      </c>
      <c r="BI112" s="46" t="s">
        <v>640</v>
      </c>
      <c r="BJ112" s="46" t="s">
        <v>1151</v>
      </c>
      <c r="BK112" s="46">
        <v>1889</v>
      </c>
      <c r="BL112" s="46" t="str">
        <f>BK112&amp;BI112</f>
        <v>1889Preston North End</v>
      </c>
      <c r="BM112" s="52" t="str">
        <f>IF(AD112="Home",BI112,IF(AD112="Away",BJ112,Q112))</f>
        <v>London</v>
      </c>
      <c r="BN112" s="46"/>
      <c r="BO112" s="46"/>
      <c r="BP112" s="46"/>
      <c r="BQ112" s="46"/>
      <c r="BR112" s="46"/>
      <c r="BS112" s="46"/>
      <c r="BT112" s="46"/>
      <c r="BU112" s="46"/>
      <c r="BV112" s="46" t="s">
        <v>376</v>
      </c>
      <c r="BW112" s="46" t="s">
        <v>376</v>
      </c>
      <c r="BX112" s="46"/>
      <c r="BZ112" s="53"/>
      <c r="CA112" s="53"/>
      <c r="CB112" s="93" t="str">
        <f>IF(OR(C112="",A112="",B112=""),"",TEXT(C112,"0000")&amp;TEXT(A112,"00")&amp;TEXT(B112,"00"))</f>
        <v>18890330</v>
      </c>
    </row>
    <row r="113" spans="1:80" s="52" customFormat="1" ht="12.95" customHeight="1" x14ac:dyDescent="0.2">
      <c r="A113" s="46">
        <v>3</v>
      </c>
      <c r="B113" s="46">
        <v>30</v>
      </c>
      <c r="C113" s="46">
        <v>1889</v>
      </c>
      <c r="D113" s="46" t="s">
        <v>658</v>
      </c>
      <c r="E113" s="46" t="s">
        <v>1148</v>
      </c>
      <c r="F113" s="47" t="s">
        <v>1010</v>
      </c>
      <c r="G113" s="46"/>
      <c r="H113" s="47" t="s">
        <v>1025</v>
      </c>
      <c r="I113" s="47"/>
      <c r="J113" s="48" t="s">
        <v>1154</v>
      </c>
      <c r="K113" s="46" t="s">
        <v>1151</v>
      </c>
      <c r="L113" s="46" t="s">
        <v>4</v>
      </c>
      <c r="M113" s="46" t="s">
        <v>640</v>
      </c>
      <c r="N113" s="49">
        <v>0</v>
      </c>
      <c r="O113" s="49">
        <v>3</v>
      </c>
      <c r="P113" s="47" t="s">
        <v>1016</v>
      </c>
      <c r="Q113" s="47" t="s">
        <v>1017</v>
      </c>
      <c r="R113" s="47" t="s">
        <v>376</v>
      </c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50">
        <f>IF(L113="W",1,0)</f>
        <v>0</v>
      </c>
      <c r="AF113" s="50">
        <f>IF(L113="T",1,0)</f>
        <v>0</v>
      </c>
      <c r="AG113" s="50">
        <f>IF(L113="L",1,0)</f>
        <v>1</v>
      </c>
      <c r="AH113" s="46" t="s">
        <v>1111</v>
      </c>
      <c r="AI113" s="46" t="s">
        <v>1126</v>
      </c>
      <c r="AJ113" s="46" t="s">
        <v>376</v>
      </c>
      <c r="AK113" s="46" t="s">
        <v>658</v>
      </c>
      <c r="AL113" s="46" t="s">
        <v>1136</v>
      </c>
      <c r="AM113" s="46" t="s">
        <v>1086</v>
      </c>
      <c r="AN113" s="46" t="s">
        <v>376</v>
      </c>
      <c r="AO113" s="46" t="s">
        <v>658</v>
      </c>
      <c r="AP113" s="46"/>
      <c r="AQ113" s="46">
        <v>1</v>
      </c>
      <c r="AR113" s="46"/>
      <c r="AS113" s="46"/>
      <c r="AT113" s="46"/>
      <c r="AU113" s="46" t="s">
        <v>376</v>
      </c>
      <c r="AV113" s="46"/>
      <c r="AW113" s="46" t="s">
        <v>30</v>
      </c>
      <c r="AX113" s="46"/>
      <c r="AY113" s="46" t="s">
        <v>30</v>
      </c>
      <c r="AZ113" s="46"/>
      <c r="BA113" s="47"/>
      <c r="BB113" s="51"/>
      <c r="BC113" s="46" t="s">
        <v>30</v>
      </c>
      <c r="BD113" s="46"/>
      <c r="BE113" s="46"/>
      <c r="BF113" s="46">
        <v>1</v>
      </c>
      <c r="BG113" s="46">
        <v>1</v>
      </c>
      <c r="BH113" s="46">
        <v>1</v>
      </c>
      <c r="BI113" s="46" t="s">
        <v>1151</v>
      </c>
      <c r="BJ113" s="46" t="s">
        <v>640</v>
      </c>
      <c r="BK113" s="46">
        <v>1889</v>
      </c>
      <c r="BL113" s="46" t="str">
        <f>BK113&amp;BI113</f>
        <v>1889Wolverhampton Wanderers</v>
      </c>
      <c r="BM113" s="52" t="str">
        <f>IF(AD113="Home",BI113,IF(AD113="Away",BJ113,Q113))</f>
        <v>London</v>
      </c>
      <c r="BN113" s="46"/>
      <c r="BO113" s="46"/>
      <c r="BP113" s="46"/>
      <c r="BQ113" s="46"/>
      <c r="BR113" s="46"/>
      <c r="BS113" s="46"/>
      <c r="BT113" s="46"/>
      <c r="BU113" s="46"/>
      <c r="BV113" s="46" t="s">
        <v>376</v>
      </c>
      <c r="BW113" s="46" t="s">
        <v>376</v>
      </c>
      <c r="BX113" s="46"/>
      <c r="BZ113" s="53"/>
      <c r="CA113" s="53"/>
      <c r="CB113" s="93" t="str">
        <f>IF(OR(C113="",A113="",B113=""),"",TEXT(C113,"0000")&amp;TEXT(A113,"00")&amp;TEXT(B113,"00"))</f>
        <v>18890330</v>
      </c>
    </row>
    <row r="114" spans="1:80" s="52" customFormat="1" ht="12.95" customHeight="1" x14ac:dyDescent="0.2">
      <c r="A114" s="46">
        <v>3</v>
      </c>
      <c r="B114" s="46">
        <v>8</v>
      </c>
      <c r="C114" s="46">
        <v>1890</v>
      </c>
      <c r="D114" s="46" t="s">
        <v>658</v>
      </c>
      <c r="E114" s="46" t="s">
        <v>1155</v>
      </c>
      <c r="F114" s="47" t="s">
        <v>1010</v>
      </c>
      <c r="G114" s="46"/>
      <c r="H114" s="47" t="s">
        <v>1011</v>
      </c>
      <c r="I114" s="47"/>
      <c r="J114" s="48" t="s">
        <v>1156</v>
      </c>
      <c r="K114" s="46" t="s">
        <v>1094</v>
      </c>
      <c r="L114" s="46" t="s">
        <v>3</v>
      </c>
      <c r="M114" s="46" t="s">
        <v>1151</v>
      </c>
      <c r="N114" s="49">
        <v>1</v>
      </c>
      <c r="O114" s="49">
        <v>0</v>
      </c>
      <c r="P114" s="46" t="s">
        <v>1117</v>
      </c>
      <c r="Q114" s="47" t="s">
        <v>979</v>
      </c>
      <c r="R114" s="47" t="s">
        <v>376</v>
      </c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50">
        <f>IF(L114="W",1,0)</f>
        <v>1</v>
      </c>
      <c r="AF114" s="50">
        <f>IF(L114="T",1,0)</f>
        <v>0</v>
      </c>
      <c r="AG114" s="50">
        <f>IF(L114="L",1,0)</f>
        <v>0</v>
      </c>
      <c r="AH114" s="46" t="s">
        <v>1085</v>
      </c>
      <c r="AI114" s="46" t="s">
        <v>1086</v>
      </c>
      <c r="AJ114" s="46" t="s">
        <v>376</v>
      </c>
      <c r="AK114" s="46" t="s">
        <v>658</v>
      </c>
      <c r="AL114" s="46" t="s">
        <v>1111</v>
      </c>
      <c r="AM114" s="46" t="s">
        <v>1126</v>
      </c>
      <c r="AN114" s="46" t="s">
        <v>376</v>
      </c>
      <c r="AO114" s="46" t="s">
        <v>658</v>
      </c>
      <c r="AP114" s="46"/>
      <c r="AQ114" s="46">
        <v>2</v>
      </c>
      <c r="AR114" s="46"/>
      <c r="AS114" s="46"/>
      <c r="AT114" s="46"/>
      <c r="AU114" s="46" t="s">
        <v>376</v>
      </c>
      <c r="AV114" s="46"/>
      <c r="AW114" s="46" t="s">
        <v>30</v>
      </c>
      <c r="AX114" s="46"/>
      <c r="AY114" s="46" t="s">
        <v>30</v>
      </c>
      <c r="AZ114" s="46"/>
      <c r="BA114" s="47"/>
      <c r="BB114" s="51"/>
      <c r="BC114" s="46"/>
      <c r="BD114" s="46"/>
      <c r="BE114" s="46"/>
      <c r="BF114" s="46">
        <v>1</v>
      </c>
      <c r="BG114" s="46">
        <v>1</v>
      </c>
      <c r="BH114" s="46">
        <v>1</v>
      </c>
      <c r="BI114" s="46" t="s">
        <v>1094</v>
      </c>
      <c r="BJ114" s="46" t="s">
        <v>1151</v>
      </c>
      <c r="BK114" s="46">
        <v>1890</v>
      </c>
      <c r="BL114" s="46" t="str">
        <f>BK114&amp;BI114</f>
        <v>1890Blackburn Rovers</v>
      </c>
      <c r="BM114" s="52" t="str">
        <f>IF(AD114="Home",BI114,IF(AD114="Away",BJ114,Q114))</f>
        <v>Derby</v>
      </c>
      <c r="BN114" s="46"/>
      <c r="BO114" s="46"/>
      <c r="BP114" s="46"/>
      <c r="BQ114" s="46"/>
      <c r="BR114" s="46"/>
      <c r="BS114" s="46"/>
      <c r="BT114" s="46"/>
      <c r="BU114" s="46"/>
      <c r="BV114" s="46" t="s">
        <v>376</v>
      </c>
      <c r="BW114" s="46" t="s">
        <v>376</v>
      </c>
      <c r="BX114" s="46"/>
      <c r="BZ114" s="53"/>
      <c r="CA114" s="53"/>
      <c r="CB114" s="93" t="str">
        <f>IF(OR(C114="",A114="",B114=""),"",TEXT(C114,"0000")&amp;TEXT(A114,"00")&amp;TEXT(B114,"00"))</f>
        <v>18900308</v>
      </c>
    </row>
    <row r="115" spans="1:80" s="52" customFormat="1" ht="12.95" customHeight="1" x14ac:dyDescent="0.2">
      <c r="A115" s="46">
        <v>3</v>
      </c>
      <c r="B115" s="46">
        <v>8</v>
      </c>
      <c r="C115" s="46">
        <v>1890</v>
      </c>
      <c r="D115" s="46" t="s">
        <v>658</v>
      </c>
      <c r="E115" s="46" t="s">
        <v>1155</v>
      </c>
      <c r="F115" s="47" t="s">
        <v>1010</v>
      </c>
      <c r="G115" s="46"/>
      <c r="H115" s="47" t="s">
        <v>1011</v>
      </c>
      <c r="I115" s="47"/>
      <c r="J115" s="48" t="s">
        <v>1156</v>
      </c>
      <c r="K115" s="46" t="s">
        <v>1151</v>
      </c>
      <c r="L115" s="46" t="s">
        <v>4</v>
      </c>
      <c r="M115" s="46" t="s">
        <v>1094</v>
      </c>
      <c r="N115" s="49">
        <v>0</v>
      </c>
      <c r="O115" s="49">
        <v>1</v>
      </c>
      <c r="P115" s="46" t="s">
        <v>1117</v>
      </c>
      <c r="Q115" s="47" t="s">
        <v>979</v>
      </c>
      <c r="R115" s="47" t="s">
        <v>376</v>
      </c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50">
        <f>IF(L115="W",1,0)</f>
        <v>0</v>
      </c>
      <c r="AF115" s="50">
        <f>IF(L115="T",1,0)</f>
        <v>0</v>
      </c>
      <c r="AG115" s="50">
        <f>IF(L115="L",1,0)</f>
        <v>1</v>
      </c>
      <c r="AH115" s="46" t="s">
        <v>1111</v>
      </c>
      <c r="AI115" s="46" t="s">
        <v>1126</v>
      </c>
      <c r="AJ115" s="46" t="s">
        <v>376</v>
      </c>
      <c r="AK115" s="46" t="s">
        <v>658</v>
      </c>
      <c r="AL115" s="46" t="s">
        <v>1085</v>
      </c>
      <c r="AM115" s="46" t="s">
        <v>1086</v>
      </c>
      <c r="AN115" s="46" t="s">
        <v>376</v>
      </c>
      <c r="AO115" s="46" t="s">
        <v>658</v>
      </c>
      <c r="AP115" s="46"/>
      <c r="AQ115" s="46">
        <v>2</v>
      </c>
      <c r="AR115" s="46"/>
      <c r="AS115" s="46"/>
      <c r="AT115" s="46"/>
      <c r="AU115" s="46" t="s">
        <v>376</v>
      </c>
      <c r="AV115" s="46"/>
      <c r="AW115" s="46" t="s">
        <v>30</v>
      </c>
      <c r="AX115" s="46"/>
      <c r="AY115" s="46" t="s">
        <v>30</v>
      </c>
      <c r="AZ115" s="46"/>
      <c r="BA115" s="47"/>
      <c r="BB115" s="51"/>
      <c r="BC115" s="46"/>
      <c r="BD115" s="46"/>
      <c r="BE115" s="46"/>
      <c r="BF115" s="46">
        <v>1</v>
      </c>
      <c r="BG115" s="46">
        <v>1</v>
      </c>
      <c r="BH115" s="46">
        <v>1</v>
      </c>
      <c r="BI115" s="46" t="s">
        <v>1151</v>
      </c>
      <c r="BJ115" s="46" t="s">
        <v>1094</v>
      </c>
      <c r="BK115" s="46">
        <v>1890</v>
      </c>
      <c r="BL115" s="46" t="str">
        <f>BK115&amp;BI115</f>
        <v>1890Wolverhampton Wanderers</v>
      </c>
      <c r="BM115" s="52" t="str">
        <f>IF(AD115="Home",BI115,IF(AD115="Away",BJ115,Q115))</f>
        <v>Derby</v>
      </c>
      <c r="BN115" s="46"/>
      <c r="BO115" s="46"/>
      <c r="BP115" s="46"/>
      <c r="BQ115" s="46"/>
      <c r="BR115" s="46"/>
      <c r="BS115" s="46"/>
      <c r="BT115" s="46"/>
      <c r="BU115" s="46"/>
      <c r="BV115" s="46" t="s">
        <v>376</v>
      </c>
      <c r="BW115" s="46" t="s">
        <v>376</v>
      </c>
      <c r="BX115" s="46"/>
      <c r="BZ115" s="53"/>
      <c r="CA115" s="53"/>
      <c r="CB115" s="93" t="str">
        <f>IF(OR(C115="",A115="",B115=""),"",TEXT(C115,"0000")&amp;TEXT(A115,"00")&amp;TEXT(B115,"00"))</f>
        <v>18900308</v>
      </c>
    </row>
    <row r="116" spans="1:80" s="52" customFormat="1" ht="12.95" customHeight="1" x14ac:dyDescent="0.2">
      <c r="A116" s="46">
        <v>3</v>
      </c>
      <c r="B116" s="46">
        <v>8</v>
      </c>
      <c r="C116" s="46">
        <v>1890</v>
      </c>
      <c r="D116" s="46" t="s">
        <v>658</v>
      </c>
      <c r="E116" s="46" t="s">
        <v>1155</v>
      </c>
      <c r="F116" s="47" t="s">
        <v>1010</v>
      </c>
      <c r="G116" s="46"/>
      <c r="H116" s="47" t="s">
        <v>1011</v>
      </c>
      <c r="I116" s="47"/>
      <c r="J116" s="48" t="s">
        <v>1156</v>
      </c>
      <c r="K116" s="46" t="s">
        <v>1093</v>
      </c>
      <c r="L116" s="46" t="s">
        <v>3</v>
      </c>
      <c r="M116" s="46" t="s">
        <v>1157</v>
      </c>
      <c r="N116" s="49">
        <v>2</v>
      </c>
      <c r="O116" s="49">
        <v>1</v>
      </c>
      <c r="P116" s="47" t="s">
        <v>1158</v>
      </c>
      <c r="Q116" s="47" t="s">
        <v>1111</v>
      </c>
      <c r="R116" s="47" t="s">
        <v>376</v>
      </c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50">
        <f>IF(L116="W",1,0)</f>
        <v>1</v>
      </c>
      <c r="AF116" s="50">
        <f>IF(L116="T",1,0)</f>
        <v>0</v>
      </c>
      <c r="AG116" s="50">
        <f>IF(L116="L",1,0)</f>
        <v>0</v>
      </c>
      <c r="AH116" s="46" t="s">
        <v>1097</v>
      </c>
      <c r="AI116" s="46" t="s">
        <v>1098</v>
      </c>
      <c r="AJ116" s="46" t="s">
        <v>376</v>
      </c>
      <c r="AK116" s="46" t="s">
        <v>658</v>
      </c>
      <c r="AL116" s="46" t="s">
        <v>1101</v>
      </c>
      <c r="AM116" s="46" t="s">
        <v>1159</v>
      </c>
      <c r="AN116" s="46" t="s">
        <v>376</v>
      </c>
      <c r="AO116" s="46" t="s">
        <v>658</v>
      </c>
      <c r="AP116" s="46"/>
      <c r="AQ116" s="46">
        <v>2</v>
      </c>
      <c r="AR116" s="46"/>
      <c r="AS116" s="46"/>
      <c r="AT116" s="46"/>
      <c r="AU116" s="46" t="s">
        <v>376</v>
      </c>
      <c r="AV116" s="46"/>
      <c r="AW116" s="46" t="s">
        <v>30</v>
      </c>
      <c r="AX116" s="46"/>
      <c r="AY116" s="46" t="s">
        <v>30</v>
      </c>
      <c r="AZ116" s="46"/>
      <c r="BA116" s="47"/>
      <c r="BB116" s="51"/>
      <c r="BC116" s="46"/>
      <c r="BD116" s="46"/>
      <c r="BE116" s="46"/>
      <c r="BF116" s="46">
        <v>1</v>
      </c>
      <c r="BG116" s="46"/>
      <c r="BH116" s="46">
        <v>1</v>
      </c>
      <c r="BI116" s="46" t="s">
        <v>1093</v>
      </c>
      <c r="BJ116" s="46" t="s">
        <v>1157</v>
      </c>
      <c r="BK116" s="46">
        <v>1890</v>
      </c>
      <c r="BL116" s="46" t="str">
        <f>BK116&amp;BI116</f>
        <v>1890Sheffield Wednesday</v>
      </c>
      <c r="BM116" s="52" t="str">
        <f>IF(AD116="Home",BI116,IF(AD116="Away",BJ116,Q116))</f>
        <v>Birmingham</v>
      </c>
      <c r="BN116" s="46"/>
      <c r="BO116" s="46"/>
      <c r="BP116" s="46"/>
      <c r="BQ116" s="46"/>
      <c r="BR116" s="46"/>
      <c r="BS116" s="46"/>
      <c r="BT116" s="46"/>
      <c r="BU116" s="46"/>
      <c r="BV116" s="46" t="s">
        <v>376</v>
      </c>
      <c r="BW116" s="46" t="s">
        <v>376</v>
      </c>
      <c r="BX116" s="46"/>
      <c r="BZ116" s="53"/>
      <c r="CA116" s="53"/>
      <c r="CB116" s="93" t="str">
        <f>IF(OR(C116="",A116="",B116=""),"",TEXT(C116,"0000")&amp;TEXT(A116,"00")&amp;TEXT(B116,"00"))</f>
        <v>18900308</v>
      </c>
    </row>
    <row r="117" spans="1:80" s="52" customFormat="1" ht="12.95" customHeight="1" x14ac:dyDescent="0.2">
      <c r="A117" s="46">
        <v>3</v>
      </c>
      <c r="B117" s="46">
        <v>8</v>
      </c>
      <c r="C117" s="46">
        <v>1890</v>
      </c>
      <c r="D117" s="46" t="s">
        <v>658</v>
      </c>
      <c r="E117" s="46" t="s">
        <v>1155</v>
      </c>
      <c r="F117" s="47" t="s">
        <v>1010</v>
      </c>
      <c r="G117" s="46"/>
      <c r="H117" s="47" t="s">
        <v>1011</v>
      </c>
      <c r="I117" s="47"/>
      <c r="J117" s="48" t="s">
        <v>1156</v>
      </c>
      <c r="K117" s="46" t="s">
        <v>1157</v>
      </c>
      <c r="L117" s="46" t="s">
        <v>4</v>
      </c>
      <c r="M117" s="46" t="s">
        <v>1093</v>
      </c>
      <c r="N117" s="49">
        <v>1</v>
      </c>
      <c r="O117" s="49">
        <v>2</v>
      </c>
      <c r="P117" s="47" t="s">
        <v>1158</v>
      </c>
      <c r="Q117" s="47" t="s">
        <v>1111</v>
      </c>
      <c r="R117" s="47" t="s">
        <v>376</v>
      </c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50">
        <f>IF(L117="W",1,0)</f>
        <v>0</v>
      </c>
      <c r="AF117" s="50">
        <f>IF(L117="T",1,0)</f>
        <v>0</v>
      </c>
      <c r="AG117" s="50">
        <f>IF(L117="L",1,0)</f>
        <v>1</v>
      </c>
      <c r="AH117" s="46" t="s">
        <v>1101</v>
      </c>
      <c r="AI117" s="46" t="s">
        <v>1159</v>
      </c>
      <c r="AJ117" s="46" t="s">
        <v>376</v>
      </c>
      <c r="AK117" s="46" t="s">
        <v>658</v>
      </c>
      <c r="AL117" s="46" t="s">
        <v>1097</v>
      </c>
      <c r="AM117" s="46" t="s">
        <v>1098</v>
      </c>
      <c r="AN117" s="46" t="s">
        <v>376</v>
      </c>
      <c r="AO117" s="46" t="s">
        <v>658</v>
      </c>
      <c r="AP117" s="46"/>
      <c r="AQ117" s="46">
        <v>2</v>
      </c>
      <c r="AR117" s="46"/>
      <c r="AS117" s="46"/>
      <c r="AT117" s="46"/>
      <c r="AU117" s="46" t="s">
        <v>376</v>
      </c>
      <c r="AV117" s="46"/>
      <c r="AW117" s="46" t="s">
        <v>30</v>
      </c>
      <c r="AX117" s="46"/>
      <c r="AY117" s="46" t="s">
        <v>30</v>
      </c>
      <c r="AZ117" s="46"/>
      <c r="BA117" s="47"/>
      <c r="BB117" s="51"/>
      <c r="BC117" s="46"/>
      <c r="BD117" s="46"/>
      <c r="BE117" s="46"/>
      <c r="BF117" s="46">
        <v>1</v>
      </c>
      <c r="BG117" s="46">
        <v>1</v>
      </c>
      <c r="BH117" s="46"/>
      <c r="BI117" s="46" t="s">
        <v>1157</v>
      </c>
      <c r="BJ117" s="46" t="s">
        <v>1093</v>
      </c>
      <c r="BK117" s="46">
        <v>1890</v>
      </c>
      <c r="BL117" s="46" t="str">
        <f>BK117&amp;BI117</f>
        <v>1890Bolton Wanderers</v>
      </c>
      <c r="BM117" s="52" t="str">
        <f>IF(AD117="Home",BI117,IF(AD117="Away",BJ117,Q117))</f>
        <v>Birmingham</v>
      </c>
      <c r="BN117" s="46"/>
      <c r="BO117" s="46"/>
      <c r="BP117" s="46"/>
      <c r="BQ117" s="46"/>
      <c r="BR117" s="46"/>
      <c r="BS117" s="46"/>
      <c r="BT117" s="46"/>
      <c r="BU117" s="46"/>
      <c r="BV117" s="46" t="s">
        <v>376</v>
      </c>
      <c r="BW117" s="46" t="s">
        <v>376</v>
      </c>
      <c r="BX117" s="46"/>
      <c r="BZ117" s="53"/>
      <c r="CA117" s="53"/>
      <c r="CB117" s="93" t="str">
        <f>IF(OR(C117="",A117="",B117=""),"",TEXT(C117,"0000")&amp;TEXT(A117,"00")&amp;TEXT(B117,"00"))</f>
        <v>18900308</v>
      </c>
    </row>
    <row r="118" spans="1:80" s="52" customFormat="1" ht="12.95" customHeight="1" x14ac:dyDescent="0.2">
      <c r="A118" s="46">
        <v>3</v>
      </c>
      <c r="B118" s="46">
        <v>29</v>
      </c>
      <c r="C118" s="46">
        <v>1890</v>
      </c>
      <c r="D118" s="46" t="s">
        <v>658</v>
      </c>
      <c r="E118" s="46" t="s">
        <v>1155</v>
      </c>
      <c r="F118" s="47" t="s">
        <v>1010</v>
      </c>
      <c r="G118" s="46"/>
      <c r="H118" s="47" t="s">
        <v>1025</v>
      </c>
      <c r="I118" s="47"/>
      <c r="J118" s="48" t="s">
        <v>1160</v>
      </c>
      <c r="K118" s="46" t="s">
        <v>1094</v>
      </c>
      <c r="L118" s="46" t="s">
        <v>3</v>
      </c>
      <c r="M118" s="46" t="s">
        <v>1093</v>
      </c>
      <c r="N118" s="49">
        <v>6</v>
      </c>
      <c r="O118" s="49">
        <v>1</v>
      </c>
      <c r="P118" s="47" t="s">
        <v>1016</v>
      </c>
      <c r="Q118" s="47" t="s">
        <v>1017</v>
      </c>
      <c r="R118" s="47" t="s">
        <v>376</v>
      </c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50">
        <f>IF(L118="W",1,0)</f>
        <v>1</v>
      </c>
      <c r="AF118" s="50">
        <f>IF(L118="T",1,0)</f>
        <v>0</v>
      </c>
      <c r="AG118" s="50">
        <f>IF(L118="L",1,0)</f>
        <v>0</v>
      </c>
      <c r="AH118" s="46" t="s">
        <v>1085</v>
      </c>
      <c r="AI118" s="46" t="s">
        <v>1086</v>
      </c>
      <c r="AJ118" s="46" t="s">
        <v>376</v>
      </c>
      <c r="AK118" s="46" t="s">
        <v>658</v>
      </c>
      <c r="AL118" s="46" t="s">
        <v>1097</v>
      </c>
      <c r="AM118" s="46" t="s">
        <v>1098</v>
      </c>
      <c r="AN118" s="46" t="s">
        <v>376</v>
      </c>
      <c r="AO118" s="46" t="s">
        <v>658</v>
      </c>
      <c r="AP118" s="46"/>
      <c r="AQ118" s="46">
        <v>1</v>
      </c>
      <c r="AR118" s="46"/>
      <c r="AS118" s="46"/>
      <c r="AT118" s="46"/>
      <c r="AU118" s="46" t="s">
        <v>376</v>
      </c>
      <c r="AV118" s="46"/>
      <c r="AW118" s="46" t="s">
        <v>30</v>
      </c>
      <c r="AX118" s="46"/>
      <c r="AY118" s="46" t="s">
        <v>30</v>
      </c>
      <c r="AZ118" s="46"/>
      <c r="BA118" s="47"/>
      <c r="BB118" s="51" t="s">
        <v>30</v>
      </c>
      <c r="BC118" s="46" t="s">
        <v>30</v>
      </c>
      <c r="BD118" s="46"/>
      <c r="BE118" s="46"/>
      <c r="BF118" s="46">
        <v>1</v>
      </c>
      <c r="BG118" s="46">
        <v>1</v>
      </c>
      <c r="BH118" s="46"/>
      <c r="BI118" s="46" t="s">
        <v>1094</v>
      </c>
      <c r="BJ118" s="46" t="s">
        <v>1093</v>
      </c>
      <c r="BK118" s="46">
        <v>1890</v>
      </c>
      <c r="BL118" s="46" t="str">
        <f>BK118&amp;BI118</f>
        <v>1890Blackburn Rovers</v>
      </c>
      <c r="BM118" s="52" t="str">
        <f>IF(AD118="Home",BI118,IF(AD118="Away",BJ118,Q118))</f>
        <v>London</v>
      </c>
      <c r="BN118" s="46"/>
      <c r="BO118" s="46"/>
      <c r="BP118" s="46"/>
      <c r="BQ118" s="46"/>
      <c r="BR118" s="46"/>
      <c r="BS118" s="46"/>
      <c r="BT118" s="46"/>
      <c r="BU118" s="46"/>
      <c r="BV118" s="46" t="s">
        <v>376</v>
      </c>
      <c r="BW118" s="46" t="s">
        <v>376</v>
      </c>
      <c r="BX118" s="46"/>
      <c r="BZ118" s="53"/>
      <c r="CA118" s="53"/>
      <c r="CB118" s="93" t="str">
        <f>IF(OR(C118="",A118="",B118=""),"",TEXT(C118,"0000")&amp;TEXT(A118,"00")&amp;TEXT(B118,"00"))</f>
        <v>18900329</v>
      </c>
    </row>
    <row r="119" spans="1:80" s="52" customFormat="1" ht="12.95" customHeight="1" x14ac:dyDescent="0.2">
      <c r="A119" s="46">
        <v>3</v>
      </c>
      <c r="B119" s="46">
        <v>29</v>
      </c>
      <c r="C119" s="46">
        <v>1890</v>
      </c>
      <c r="D119" s="46" t="s">
        <v>658</v>
      </c>
      <c r="E119" s="46" t="s">
        <v>1155</v>
      </c>
      <c r="F119" s="47" t="s">
        <v>1010</v>
      </c>
      <c r="G119" s="46"/>
      <c r="H119" s="47" t="s">
        <v>1025</v>
      </c>
      <c r="I119" s="47"/>
      <c r="J119" s="48" t="s">
        <v>1160</v>
      </c>
      <c r="K119" s="46" t="s">
        <v>1093</v>
      </c>
      <c r="L119" s="46" t="s">
        <v>4</v>
      </c>
      <c r="M119" s="46" t="s">
        <v>1094</v>
      </c>
      <c r="N119" s="49">
        <v>1</v>
      </c>
      <c r="O119" s="49">
        <v>6</v>
      </c>
      <c r="P119" s="47" t="s">
        <v>1016</v>
      </c>
      <c r="Q119" s="47" t="s">
        <v>1017</v>
      </c>
      <c r="R119" s="47" t="s">
        <v>376</v>
      </c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50">
        <f>IF(L119="W",1,0)</f>
        <v>0</v>
      </c>
      <c r="AF119" s="50">
        <f>IF(L119="T",1,0)</f>
        <v>0</v>
      </c>
      <c r="AG119" s="50">
        <f>IF(L119="L",1,0)</f>
        <v>1</v>
      </c>
      <c r="AH119" s="46" t="s">
        <v>1097</v>
      </c>
      <c r="AI119" s="46" t="s">
        <v>1098</v>
      </c>
      <c r="AJ119" s="46" t="s">
        <v>376</v>
      </c>
      <c r="AK119" s="46" t="s">
        <v>658</v>
      </c>
      <c r="AL119" s="46" t="s">
        <v>1085</v>
      </c>
      <c r="AM119" s="46" t="s">
        <v>1086</v>
      </c>
      <c r="AN119" s="46" t="s">
        <v>376</v>
      </c>
      <c r="AO119" s="46" t="s">
        <v>658</v>
      </c>
      <c r="AP119" s="46"/>
      <c r="AQ119" s="46">
        <v>1</v>
      </c>
      <c r="AR119" s="46"/>
      <c r="AS119" s="46"/>
      <c r="AT119" s="46"/>
      <c r="AU119" s="46" t="s">
        <v>376</v>
      </c>
      <c r="AV119" s="46"/>
      <c r="AW119" s="46" t="s">
        <v>30</v>
      </c>
      <c r="AX119" s="46"/>
      <c r="AY119" s="46" t="s">
        <v>30</v>
      </c>
      <c r="AZ119" s="46"/>
      <c r="BA119" s="47"/>
      <c r="BB119" s="51"/>
      <c r="BC119" s="46" t="s">
        <v>30</v>
      </c>
      <c r="BD119" s="46"/>
      <c r="BE119" s="46"/>
      <c r="BF119" s="46">
        <v>1</v>
      </c>
      <c r="BG119" s="46"/>
      <c r="BH119" s="46">
        <v>1</v>
      </c>
      <c r="BI119" s="46" t="s">
        <v>1093</v>
      </c>
      <c r="BJ119" s="46" t="s">
        <v>1094</v>
      </c>
      <c r="BK119" s="46">
        <v>1890</v>
      </c>
      <c r="BL119" s="46" t="str">
        <f>BK119&amp;BI119</f>
        <v>1890Sheffield Wednesday</v>
      </c>
      <c r="BM119" s="52" t="str">
        <f>IF(AD119="Home",BI119,IF(AD119="Away",BJ119,Q119))</f>
        <v>London</v>
      </c>
      <c r="BN119" s="46"/>
      <c r="BO119" s="46"/>
      <c r="BP119" s="46"/>
      <c r="BQ119" s="46"/>
      <c r="BR119" s="46"/>
      <c r="BS119" s="46"/>
      <c r="BT119" s="46"/>
      <c r="BU119" s="46"/>
      <c r="BV119" s="46" t="s">
        <v>376</v>
      </c>
      <c r="BW119" s="46" t="s">
        <v>376</v>
      </c>
      <c r="BX119" s="46"/>
      <c r="BZ119" s="53"/>
      <c r="CA119" s="53"/>
      <c r="CB119" s="93" t="str">
        <f>IF(OR(C119="",A119="",B119=""),"",TEXT(C119,"0000")&amp;TEXT(A119,"00")&amp;TEXT(B119,"00"))</f>
        <v>18900329</v>
      </c>
    </row>
    <row r="120" spans="1:80" s="52" customFormat="1" ht="12.95" customHeight="1" x14ac:dyDescent="0.2">
      <c r="A120" s="46">
        <v>2</v>
      </c>
      <c r="B120" s="46">
        <v>28</v>
      </c>
      <c r="C120" s="46">
        <v>1891</v>
      </c>
      <c r="D120" s="46" t="s">
        <v>658</v>
      </c>
      <c r="E120" s="46" t="s">
        <v>1161</v>
      </c>
      <c r="F120" s="47" t="s">
        <v>1010</v>
      </c>
      <c r="G120" s="46"/>
      <c r="H120" s="47" t="s">
        <v>1011</v>
      </c>
      <c r="I120" s="47"/>
      <c r="J120" s="48" t="s">
        <v>1162</v>
      </c>
      <c r="K120" s="46" t="s">
        <v>793</v>
      </c>
      <c r="L120" s="46" t="s">
        <v>1014</v>
      </c>
      <c r="M120" s="46" t="s">
        <v>1105</v>
      </c>
      <c r="N120" s="49">
        <v>3</v>
      </c>
      <c r="O120" s="49">
        <v>3</v>
      </c>
      <c r="P120" s="47" t="s">
        <v>1163</v>
      </c>
      <c r="Q120" s="47" t="s">
        <v>1097</v>
      </c>
      <c r="R120" s="47" t="s">
        <v>376</v>
      </c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50">
        <f>IF(L120="W",1,0)</f>
        <v>0</v>
      </c>
      <c r="AF120" s="50">
        <f>IF(L120="T",1,0)</f>
        <v>1</v>
      </c>
      <c r="AG120" s="50">
        <f>IF(L120="L",1,0)</f>
        <v>0</v>
      </c>
      <c r="AH120" s="46" t="s">
        <v>793</v>
      </c>
      <c r="AI120" s="46" t="s">
        <v>1164</v>
      </c>
      <c r="AJ120" s="46" t="s">
        <v>376</v>
      </c>
      <c r="AK120" s="46" t="s">
        <v>658</v>
      </c>
      <c r="AL120" s="46" t="s">
        <v>1073</v>
      </c>
      <c r="AM120" s="46" t="s">
        <v>1074</v>
      </c>
      <c r="AN120" s="46" t="s">
        <v>376</v>
      </c>
      <c r="AO120" s="46" t="s">
        <v>658</v>
      </c>
      <c r="AP120" s="46"/>
      <c r="AQ120" s="46">
        <v>2</v>
      </c>
      <c r="AR120" s="46"/>
      <c r="AS120" s="46"/>
      <c r="AT120" s="46"/>
      <c r="AU120" s="46" t="s">
        <v>376</v>
      </c>
      <c r="AV120" s="46"/>
      <c r="AW120" s="46" t="s">
        <v>30</v>
      </c>
      <c r="AX120" s="46"/>
      <c r="AY120" s="46" t="s">
        <v>30</v>
      </c>
      <c r="AZ120" s="46"/>
      <c r="BA120" s="47"/>
      <c r="BB120" s="51"/>
      <c r="BC120" s="46"/>
      <c r="BD120" s="46"/>
      <c r="BE120" s="46"/>
      <c r="BF120" s="46">
        <v>1</v>
      </c>
      <c r="BG120" s="46">
        <v>1</v>
      </c>
      <c r="BH120" s="46">
        <v>1</v>
      </c>
      <c r="BI120" s="46" t="s">
        <v>793</v>
      </c>
      <c r="BJ120" s="46" t="s">
        <v>1105</v>
      </c>
      <c r="BK120" s="46">
        <v>1891</v>
      </c>
      <c r="BL120" s="46" t="str">
        <f>BK120&amp;BI120</f>
        <v>1891Sunderland</v>
      </c>
      <c r="BM120" s="52" t="str">
        <f>IF(AD120="Home",BI120,IF(AD120="Away",BJ120,Q120))</f>
        <v>Sheffield</v>
      </c>
      <c r="BN120" s="46"/>
      <c r="BO120" s="46"/>
      <c r="BP120" s="46"/>
      <c r="BQ120" s="46"/>
      <c r="BR120" s="46"/>
      <c r="BS120" s="46"/>
      <c r="BT120" s="46"/>
      <c r="BU120" s="46"/>
      <c r="BV120" s="46" t="s">
        <v>376</v>
      </c>
      <c r="BW120" s="46" t="s">
        <v>376</v>
      </c>
      <c r="BX120" s="46"/>
      <c r="BY120" s="50"/>
      <c r="BZ120" s="53"/>
      <c r="CA120" s="53"/>
      <c r="CB120" s="93" t="str">
        <f>IF(OR(C120="",A120="",B120=""),"",TEXT(C120,"0000")&amp;TEXT(A120,"00")&amp;TEXT(B120,"00"))</f>
        <v>18910228</v>
      </c>
    </row>
    <row r="121" spans="1:80" s="52" customFormat="1" ht="12.95" customHeight="1" x14ac:dyDescent="0.2">
      <c r="A121" s="46">
        <v>2</v>
      </c>
      <c r="B121" s="46">
        <v>28</v>
      </c>
      <c r="C121" s="46">
        <v>1891</v>
      </c>
      <c r="D121" s="46" t="s">
        <v>658</v>
      </c>
      <c r="E121" s="46" t="s">
        <v>1161</v>
      </c>
      <c r="F121" s="47" t="s">
        <v>1010</v>
      </c>
      <c r="G121" s="46"/>
      <c r="H121" s="47" t="s">
        <v>1011</v>
      </c>
      <c r="I121" s="47"/>
      <c r="J121" s="48" t="s">
        <v>1162</v>
      </c>
      <c r="K121" s="46" t="s">
        <v>1105</v>
      </c>
      <c r="L121" s="46" t="s">
        <v>1014</v>
      </c>
      <c r="M121" s="46" t="s">
        <v>793</v>
      </c>
      <c r="N121" s="49">
        <v>3</v>
      </c>
      <c r="O121" s="49">
        <v>3</v>
      </c>
      <c r="P121" s="47" t="s">
        <v>1163</v>
      </c>
      <c r="Q121" s="47" t="s">
        <v>1097</v>
      </c>
      <c r="R121" s="47" t="s">
        <v>376</v>
      </c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50">
        <f>IF(L121="W",1,0)</f>
        <v>0</v>
      </c>
      <c r="AF121" s="50">
        <f>IF(L121="T",1,0)</f>
        <v>1</v>
      </c>
      <c r="AG121" s="50">
        <f>IF(L121="L",1,0)</f>
        <v>0</v>
      </c>
      <c r="AH121" s="46" t="s">
        <v>1073</v>
      </c>
      <c r="AI121" s="46" t="s">
        <v>1074</v>
      </c>
      <c r="AJ121" s="46" t="s">
        <v>376</v>
      </c>
      <c r="AK121" s="46" t="s">
        <v>658</v>
      </c>
      <c r="AL121" s="46" t="s">
        <v>793</v>
      </c>
      <c r="AM121" s="46" t="s">
        <v>1164</v>
      </c>
      <c r="AN121" s="46" t="s">
        <v>376</v>
      </c>
      <c r="AO121" s="46" t="s">
        <v>658</v>
      </c>
      <c r="AP121" s="46"/>
      <c r="AQ121" s="46">
        <v>2</v>
      </c>
      <c r="AR121" s="46"/>
      <c r="AS121" s="46"/>
      <c r="AT121" s="46"/>
      <c r="AU121" s="46" t="s">
        <v>376</v>
      </c>
      <c r="AV121" s="46"/>
      <c r="AW121" s="46" t="s">
        <v>30</v>
      </c>
      <c r="AX121" s="46"/>
      <c r="AY121" s="46" t="s">
        <v>30</v>
      </c>
      <c r="AZ121" s="46"/>
      <c r="BA121" s="47"/>
      <c r="BB121" s="51"/>
      <c r="BC121" s="46"/>
      <c r="BD121" s="46"/>
      <c r="BE121" s="46"/>
      <c r="BF121" s="46">
        <v>1</v>
      </c>
      <c r="BG121" s="46">
        <v>1</v>
      </c>
      <c r="BH121" s="46">
        <v>1</v>
      </c>
      <c r="BI121" s="46" t="s">
        <v>1105</v>
      </c>
      <c r="BJ121" s="46" t="s">
        <v>793</v>
      </c>
      <c r="BK121" s="46">
        <v>1891</v>
      </c>
      <c r="BL121" s="46" t="str">
        <f>BK121&amp;BI121</f>
        <v>1891Notts County</v>
      </c>
      <c r="BM121" s="52" t="str">
        <f>IF(AD121="Home",BI121,IF(AD121="Away",BJ121,Q121))</f>
        <v>Sheffield</v>
      </c>
      <c r="BN121" s="46"/>
      <c r="BO121" s="46"/>
      <c r="BP121" s="46"/>
      <c r="BQ121" s="46"/>
      <c r="BR121" s="46"/>
      <c r="BS121" s="46"/>
      <c r="BT121" s="46"/>
      <c r="BU121" s="46"/>
      <c r="BV121" s="46" t="s">
        <v>376</v>
      </c>
      <c r="BW121" s="46" t="s">
        <v>376</v>
      </c>
      <c r="BX121" s="46"/>
      <c r="BY121" s="50"/>
      <c r="BZ121" s="53"/>
      <c r="CA121" s="53"/>
      <c r="CB121" s="93" t="str">
        <f>IF(OR(C121="",A121="",B121=""),"",TEXT(C121,"0000")&amp;TEXT(A121,"00")&amp;TEXT(B121,"00"))</f>
        <v>18910228</v>
      </c>
    </row>
    <row r="122" spans="1:80" s="52" customFormat="1" ht="12.95" customHeight="1" x14ac:dyDescent="0.2">
      <c r="A122" s="46">
        <v>2</v>
      </c>
      <c r="B122" s="46">
        <v>28</v>
      </c>
      <c r="C122" s="46">
        <v>1891</v>
      </c>
      <c r="D122" s="46" t="s">
        <v>658</v>
      </c>
      <c r="E122" s="46" t="s">
        <v>1161</v>
      </c>
      <c r="F122" s="47" t="s">
        <v>1010</v>
      </c>
      <c r="G122" s="46"/>
      <c r="H122" s="47" t="s">
        <v>1011</v>
      </c>
      <c r="I122" s="47"/>
      <c r="J122" s="48" t="s">
        <v>1162</v>
      </c>
      <c r="K122" s="46" t="s">
        <v>1094</v>
      </c>
      <c r="L122" s="46" t="s">
        <v>3</v>
      </c>
      <c r="M122" s="46" t="s">
        <v>1124</v>
      </c>
      <c r="N122" s="49">
        <v>3</v>
      </c>
      <c r="O122" s="49">
        <v>2</v>
      </c>
      <c r="P122" s="47" t="s">
        <v>1144</v>
      </c>
      <c r="Q122" s="47" t="s">
        <v>1145</v>
      </c>
      <c r="R122" s="47" t="s">
        <v>376</v>
      </c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50">
        <f>IF(L122="W",1,0)</f>
        <v>1</v>
      </c>
      <c r="AF122" s="50">
        <f>IF(L122="T",1,0)</f>
        <v>0</v>
      </c>
      <c r="AG122" s="50">
        <f>IF(L122="L",1,0)</f>
        <v>0</v>
      </c>
      <c r="AH122" s="46" t="s">
        <v>1085</v>
      </c>
      <c r="AI122" s="46" t="s">
        <v>1086</v>
      </c>
      <c r="AJ122" s="46" t="s">
        <v>376</v>
      </c>
      <c r="AK122" s="46" t="s">
        <v>658</v>
      </c>
      <c r="AL122" s="46" t="s">
        <v>1111</v>
      </c>
      <c r="AM122" s="46" t="s">
        <v>1126</v>
      </c>
      <c r="AN122" s="46" t="s">
        <v>376</v>
      </c>
      <c r="AO122" s="46" t="s">
        <v>658</v>
      </c>
      <c r="AP122" s="46"/>
      <c r="AQ122" s="46">
        <v>2</v>
      </c>
      <c r="AR122" s="46"/>
      <c r="AS122" s="46"/>
      <c r="AT122" s="46"/>
      <c r="AU122" s="46" t="s">
        <v>376</v>
      </c>
      <c r="AV122" s="46"/>
      <c r="AW122" s="46" t="s">
        <v>30</v>
      </c>
      <c r="AX122" s="46"/>
      <c r="AY122" s="46" t="s">
        <v>30</v>
      </c>
      <c r="AZ122" s="46"/>
      <c r="BA122" s="47"/>
      <c r="BB122" s="51"/>
      <c r="BC122" s="46"/>
      <c r="BD122" s="46"/>
      <c r="BE122" s="46"/>
      <c r="BF122" s="46">
        <v>1</v>
      </c>
      <c r="BG122" s="46">
        <v>1</v>
      </c>
      <c r="BH122" s="46">
        <v>1</v>
      </c>
      <c r="BI122" s="46" t="s">
        <v>1094</v>
      </c>
      <c r="BJ122" s="46" t="s">
        <v>1124</v>
      </c>
      <c r="BK122" s="46">
        <v>1891</v>
      </c>
      <c r="BL122" s="46" t="str">
        <f>BK122&amp;BI122</f>
        <v>1891Blackburn Rovers</v>
      </c>
      <c r="BM122" s="52" t="str">
        <f>IF(AD122="Home",BI122,IF(AD122="Away",BJ122,Q122))</f>
        <v>Stoke-on-Trent</v>
      </c>
      <c r="BN122" s="46"/>
      <c r="BO122" s="46"/>
      <c r="BP122" s="46"/>
      <c r="BQ122" s="46"/>
      <c r="BR122" s="46"/>
      <c r="BS122" s="46"/>
      <c r="BT122" s="46"/>
      <c r="BU122" s="46"/>
      <c r="BV122" s="46" t="s">
        <v>376</v>
      </c>
      <c r="BW122" s="46" t="s">
        <v>376</v>
      </c>
      <c r="BX122" s="46"/>
      <c r="BY122" s="50"/>
      <c r="BZ122" s="53"/>
      <c r="CA122" s="53"/>
      <c r="CB122" s="93" t="str">
        <f>IF(OR(C122="",A122="",B122=""),"",TEXT(C122,"0000")&amp;TEXT(A122,"00")&amp;TEXT(B122,"00"))</f>
        <v>18910228</v>
      </c>
    </row>
    <row r="123" spans="1:80" s="52" customFormat="1" ht="12.95" customHeight="1" x14ac:dyDescent="0.2">
      <c r="A123" s="46">
        <v>2</v>
      </c>
      <c r="B123" s="46">
        <v>28</v>
      </c>
      <c r="C123" s="46">
        <v>1891</v>
      </c>
      <c r="D123" s="46" t="s">
        <v>658</v>
      </c>
      <c r="E123" s="46" t="s">
        <v>1161</v>
      </c>
      <c r="F123" s="47" t="s">
        <v>1010</v>
      </c>
      <c r="G123" s="46"/>
      <c r="H123" s="47" t="s">
        <v>1011</v>
      </c>
      <c r="I123" s="47"/>
      <c r="J123" s="48" t="s">
        <v>1162</v>
      </c>
      <c r="K123" s="46" t="s">
        <v>1124</v>
      </c>
      <c r="L123" s="46" t="s">
        <v>4</v>
      </c>
      <c r="M123" s="46" t="s">
        <v>1094</v>
      </c>
      <c r="N123" s="49">
        <v>2</v>
      </c>
      <c r="O123" s="49">
        <v>3</v>
      </c>
      <c r="P123" s="47" t="s">
        <v>1144</v>
      </c>
      <c r="Q123" s="47" t="s">
        <v>1145</v>
      </c>
      <c r="R123" s="47" t="s">
        <v>376</v>
      </c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50">
        <f>IF(L123="W",1,0)</f>
        <v>0</v>
      </c>
      <c r="AF123" s="50">
        <f>IF(L123="T",1,0)</f>
        <v>0</v>
      </c>
      <c r="AG123" s="50">
        <f>IF(L123="L",1,0)</f>
        <v>1</v>
      </c>
      <c r="AH123" s="46" t="s">
        <v>1111</v>
      </c>
      <c r="AI123" s="46" t="s">
        <v>1126</v>
      </c>
      <c r="AJ123" s="46" t="s">
        <v>376</v>
      </c>
      <c r="AK123" s="46" t="s">
        <v>658</v>
      </c>
      <c r="AL123" s="46" t="s">
        <v>1085</v>
      </c>
      <c r="AM123" s="46" t="s">
        <v>1086</v>
      </c>
      <c r="AN123" s="46" t="s">
        <v>376</v>
      </c>
      <c r="AO123" s="46" t="s">
        <v>658</v>
      </c>
      <c r="AP123" s="46"/>
      <c r="AQ123" s="46">
        <v>2</v>
      </c>
      <c r="AR123" s="46"/>
      <c r="AS123" s="46"/>
      <c r="AT123" s="46"/>
      <c r="AU123" s="46" t="s">
        <v>376</v>
      </c>
      <c r="AV123" s="46"/>
      <c r="AW123" s="46" t="s">
        <v>30</v>
      </c>
      <c r="AX123" s="46"/>
      <c r="AY123" s="46" t="s">
        <v>30</v>
      </c>
      <c r="AZ123" s="46"/>
      <c r="BA123" s="47"/>
      <c r="BB123" s="51"/>
      <c r="BC123" s="46"/>
      <c r="BD123" s="46"/>
      <c r="BE123" s="46"/>
      <c r="BF123" s="46">
        <v>1</v>
      </c>
      <c r="BG123" s="46">
        <v>1</v>
      </c>
      <c r="BH123" s="46">
        <v>1</v>
      </c>
      <c r="BI123" s="46" t="s">
        <v>1124</v>
      </c>
      <c r="BJ123" s="46" t="s">
        <v>1094</v>
      </c>
      <c r="BK123" s="46">
        <v>1891</v>
      </c>
      <c r="BL123" s="46" t="str">
        <f>BK123&amp;BI123</f>
        <v>1891West Bromwich Albion</v>
      </c>
      <c r="BM123" s="52" t="str">
        <f>IF(AD123="Home",BI123,IF(AD123="Away",BJ123,Q123))</f>
        <v>Stoke-on-Trent</v>
      </c>
      <c r="BN123" s="46"/>
      <c r="BO123" s="46"/>
      <c r="BP123" s="46"/>
      <c r="BQ123" s="46"/>
      <c r="BR123" s="46"/>
      <c r="BS123" s="46"/>
      <c r="BT123" s="46"/>
      <c r="BU123" s="46"/>
      <c r="BV123" s="46" t="s">
        <v>376</v>
      </c>
      <c r="BW123" s="46" t="s">
        <v>376</v>
      </c>
      <c r="BX123" s="46"/>
      <c r="BY123" s="50"/>
      <c r="BZ123" s="53"/>
      <c r="CA123" s="53"/>
      <c r="CB123" s="93" t="str">
        <f>IF(OR(C123="",A123="",B123=""),"",TEXT(C123,"0000")&amp;TEXT(A123,"00")&amp;TEXT(B123,"00"))</f>
        <v>18910228</v>
      </c>
    </row>
    <row r="124" spans="1:80" s="52" customFormat="1" ht="12.95" customHeight="1" x14ac:dyDescent="0.2">
      <c r="A124" s="46">
        <v>3</v>
      </c>
      <c r="B124" s="46">
        <v>11</v>
      </c>
      <c r="C124" s="46">
        <v>1891</v>
      </c>
      <c r="D124" s="46" t="s">
        <v>658</v>
      </c>
      <c r="E124" s="46" t="s">
        <v>1161</v>
      </c>
      <c r="F124" s="47" t="s">
        <v>1010</v>
      </c>
      <c r="G124" s="46"/>
      <c r="H124" s="47" t="s">
        <v>1011</v>
      </c>
      <c r="I124" s="47" t="s">
        <v>1023</v>
      </c>
      <c r="J124" s="48" t="s">
        <v>1165</v>
      </c>
      <c r="K124" s="46" t="s">
        <v>1105</v>
      </c>
      <c r="L124" s="46" t="s">
        <v>3</v>
      </c>
      <c r="M124" s="46" t="s">
        <v>793</v>
      </c>
      <c r="N124" s="49">
        <v>2</v>
      </c>
      <c r="O124" s="49">
        <v>0</v>
      </c>
      <c r="P124" s="47" t="s">
        <v>1163</v>
      </c>
      <c r="Q124" s="47" t="s">
        <v>1097</v>
      </c>
      <c r="R124" s="47" t="s">
        <v>376</v>
      </c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50">
        <f>IF(L124="W",1,0)</f>
        <v>1</v>
      </c>
      <c r="AF124" s="50">
        <f>IF(L124="T",1,0)</f>
        <v>0</v>
      </c>
      <c r="AG124" s="50">
        <f>IF(L124="L",1,0)</f>
        <v>0</v>
      </c>
      <c r="AH124" s="46" t="s">
        <v>1073</v>
      </c>
      <c r="AI124" s="46" t="s">
        <v>1074</v>
      </c>
      <c r="AJ124" s="46" t="s">
        <v>376</v>
      </c>
      <c r="AK124" s="46" t="s">
        <v>658</v>
      </c>
      <c r="AL124" s="46" t="s">
        <v>793</v>
      </c>
      <c r="AM124" s="46" t="s">
        <v>1164</v>
      </c>
      <c r="AN124" s="46" t="s">
        <v>376</v>
      </c>
      <c r="AO124" s="46" t="s">
        <v>658</v>
      </c>
      <c r="AP124" s="46"/>
      <c r="AQ124" s="46">
        <v>2</v>
      </c>
      <c r="AR124" s="46"/>
      <c r="AS124" s="46"/>
      <c r="AT124" s="46"/>
      <c r="AU124" s="46" t="s">
        <v>376</v>
      </c>
      <c r="AV124" s="46"/>
      <c r="AW124" s="46" t="s">
        <v>30</v>
      </c>
      <c r="AX124" s="46"/>
      <c r="AY124" s="46" t="s">
        <v>30</v>
      </c>
      <c r="AZ124" s="46"/>
      <c r="BA124" s="47"/>
      <c r="BB124" s="51"/>
      <c r="BC124" s="46"/>
      <c r="BD124" s="46"/>
      <c r="BE124" s="46"/>
      <c r="BF124" s="46">
        <v>1</v>
      </c>
      <c r="BG124" s="46">
        <v>1</v>
      </c>
      <c r="BH124" s="46">
        <v>1</v>
      </c>
      <c r="BI124" s="46" t="s">
        <v>1105</v>
      </c>
      <c r="BJ124" s="46" t="s">
        <v>793</v>
      </c>
      <c r="BK124" s="46">
        <v>1891</v>
      </c>
      <c r="BL124" s="46" t="str">
        <f>BK124&amp;BI124</f>
        <v>1891Notts County</v>
      </c>
      <c r="BM124" s="52" t="str">
        <f>IF(AD124="Home",BI124,IF(AD124="Away",BJ124,Q124))</f>
        <v>Sheffield</v>
      </c>
      <c r="BN124" s="46"/>
      <c r="BO124" s="46"/>
      <c r="BP124" s="46"/>
      <c r="BQ124" s="46"/>
      <c r="BR124" s="46"/>
      <c r="BS124" s="46"/>
      <c r="BT124" s="46"/>
      <c r="BU124" s="46"/>
      <c r="BV124" s="46" t="s">
        <v>376</v>
      </c>
      <c r="BW124" s="46" t="s">
        <v>376</v>
      </c>
      <c r="BX124" s="46"/>
      <c r="BY124" s="50"/>
      <c r="BZ124" s="53"/>
      <c r="CA124" s="53"/>
      <c r="CB124" s="93" t="str">
        <f>IF(OR(C124="",A124="",B124=""),"",TEXT(C124,"0000")&amp;TEXT(A124,"00")&amp;TEXT(B124,"00"))</f>
        <v>18910311</v>
      </c>
    </row>
    <row r="125" spans="1:80" s="52" customFormat="1" ht="12.95" customHeight="1" x14ac:dyDescent="0.2">
      <c r="A125" s="46">
        <v>3</v>
      </c>
      <c r="B125" s="46">
        <v>11</v>
      </c>
      <c r="C125" s="46">
        <v>1891</v>
      </c>
      <c r="D125" s="46" t="s">
        <v>658</v>
      </c>
      <c r="E125" s="46" t="s">
        <v>1161</v>
      </c>
      <c r="F125" s="47" t="s">
        <v>1010</v>
      </c>
      <c r="G125" s="46"/>
      <c r="H125" s="47" t="s">
        <v>1011</v>
      </c>
      <c r="I125" s="47" t="s">
        <v>1023</v>
      </c>
      <c r="J125" s="48" t="s">
        <v>1165</v>
      </c>
      <c r="K125" s="46" t="s">
        <v>793</v>
      </c>
      <c r="L125" s="46" t="s">
        <v>4</v>
      </c>
      <c r="M125" s="46" t="s">
        <v>1105</v>
      </c>
      <c r="N125" s="49">
        <v>0</v>
      </c>
      <c r="O125" s="49">
        <v>2</v>
      </c>
      <c r="P125" s="47" t="s">
        <v>1163</v>
      </c>
      <c r="Q125" s="47" t="s">
        <v>1097</v>
      </c>
      <c r="R125" s="47" t="s">
        <v>376</v>
      </c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50">
        <f>IF(L125="W",1,0)</f>
        <v>0</v>
      </c>
      <c r="AF125" s="50">
        <f>IF(L125="T",1,0)</f>
        <v>0</v>
      </c>
      <c r="AG125" s="50">
        <f>IF(L125="L",1,0)</f>
        <v>1</v>
      </c>
      <c r="AH125" s="46" t="s">
        <v>793</v>
      </c>
      <c r="AI125" s="46" t="s">
        <v>1164</v>
      </c>
      <c r="AJ125" s="46" t="s">
        <v>376</v>
      </c>
      <c r="AK125" s="46" t="s">
        <v>658</v>
      </c>
      <c r="AL125" s="46" t="s">
        <v>1073</v>
      </c>
      <c r="AM125" s="46" t="s">
        <v>1074</v>
      </c>
      <c r="AN125" s="46" t="s">
        <v>376</v>
      </c>
      <c r="AO125" s="46" t="s">
        <v>658</v>
      </c>
      <c r="AP125" s="46"/>
      <c r="AQ125" s="46">
        <v>2</v>
      </c>
      <c r="AR125" s="46"/>
      <c r="AS125" s="46"/>
      <c r="AT125" s="46"/>
      <c r="AU125" s="46" t="s">
        <v>376</v>
      </c>
      <c r="AV125" s="46"/>
      <c r="AW125" s="46" t="s">
        <v>30</v>
      </c>
      <c r="AX125" s="46"/>
      <c r="AY125" s="46" t="s">
        <v>30</v>
      </c>
      <c r="AZ125" s="46"/>
      <c r="BA125" s="47"/>
      <c r="BB125" s="51"/>
      <c r="BC125" s="46"/>
      <c r="BD125" s="46"/>
      <c r="BE125" s="46"/>
      <c r="BF125" s="46">
        <v>1</v>
      </c>
      <c r="BG125" s="46">
        <v>1</v>
      </c>
      <c r="BH125" s="46">
        <v>1</v>
      </c>
      <c r="BI125" s="46" t="s">
        <v>793</v>
      </c>
      <c r="BJ125" s="46" t="s">
        <v>1105</v>
      </c>
      <c r="BK125" s="46">
        <v>1891</v>
      </c>
      <c r="BL125" s="46" t="str">
        <f>BK125&amp;BI125</f>
        <v>1891Sunderland</v>
      </c>
      <c r="BM125" s="52" t="str">
        <f>IF(AD125="Home",BI125,IF(AD125="Away",BJ125,Q125))</f>
        <v>Sheffield</v>
      </c>
      <c r="BN125" s="46"/>
      <c r="BO125" s="46"/>
      <c r="BP125" s="46"/>
      <c r="BQ125" s="46"/>
      <c r="BR125" s="46"/>
      <c r="BS125" s="46"/>
      <c r="BT125" s="46"/>
      <c r="BU125" s="46"/>
      <c r="BV125" s="46" t="s">
        <v>376</v>
      </c>
      <c r="BW125" s="46" t="s">
        <v>376</v>
      </c>
      <c r="BX125" s="46"/>
      <c r="BY125" s="50"/>
      <c r="BZ125" s="53"/>
      <c r="CA125" s="53"/>
      <c r="CB125" s="93" t="str">
        <f>IF(OR(C125="",A125="",B125=""),"",TEXT(C125,"0000")&amp;TEXT(A125,"00")&amp;TEXT(B125,"00"))</f>
        <v>18910311</v>
      </c>
    </row>
    <row r="126" spans="1:80" s="52" customFormat="1" ht="12.95" customHeight="1" x14ac:dyDescent="0.2">
      <c r="A126" s="46">
        <v>3</v>
      </c>
      <c r="B126" s="46">
        <v>21</v>
      </c>
      <c r="C126" s="46">
        <v>1891</v>
      </c>
      <c r="D126" s="46" t="s">
        <v>658</v>
      </c>
      <c r="E126" s="46" t="s">
        <v>1161</v>
      </c>
      <c r="F126" s="47" t="s">
        <v>1010</v>
      </c>
      <c r="G126" s="46"/>
      <c r="H126" s="47" t="s">
        <v>1025</v>
      </c>
      <c r="I126" s="47"/>
      <c r="J126" s="48" t="s">
        <v>1166</v>
      </c>
      <c r="K126" s="46" t="s">
        <v>1094</v>
      </c>
      <c r="L126" s="46" t="s">
        <v>3</v>
      </c>
      <c r="M126" s="46" t="s">
        <v>1105</v>
      </c>
      <c r="N126" s="49">
        <v>3</v>
      </c>
      <c r="O126" s="49">
        <v>1</v>
      </c>
      <c r="P126" s="47" t="s">
        <v>1016</v>
      </c>
      <c r="Q126" s="47" t="s">
        <v>1017</v>
      </c>
      <c r="R126" s="47" t="s">
        <v>376</v>
      </c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50">
        <f>IF(L126="W",1,0)</f>
        <v>1</v>
      </c>
      <c r="AF126" s="50">
        <f>IF(L126="T",1,0)</f>
        <v>0</v>
      </c>
      <c r="AG126" s="50">
        <f>IF(L126="L",1,0)</f>
        <v>0</v>
      </c>
      <c r="AH126" s="46" t="s">
        <v>1085</v>
      </c>
      <c r="AI126" s="46" t="s">
        <v>1086</v>
      </c>
      <c r="AJ126" s="46" t="s">
        <v>376</v>
      </c>
      <c r="AK126" s="46" t="s">
        <v>658</v>
      </c>
      <c r="AL126" s="46" t="s">
        <v>1073</v>
      </c>
      <c r="AM126" s="46" t="s">
        <v>1074</v>
      </c>
      <c r="AN126" s="46" t="s">
        <v>376</v>
      </c>
      <c r="AO126" s="46" t="s">
        <v>658</v>
      </c>
      <c r="AP126" s="46"/>
      <c r="AQ126" s="46">
        <v>1</v>
      </c>
      <c r="AR126" s="46"/>
      <c r="AS126" s="46"/>
      <c r="AT126" s="46"/>
      <c r="AU126" s="46" t="s">
        <v>376</v>
      </c>
      <c r="AV126" s="46"/>
      <c r="AW126" s="46" t="s">
        <v>30</v>
      </c>
      <c r="AX126" s="46"/>
      <c r="AY126" s="46" t="s">
        <v>30</v>
      </c>
      <c r="AZ126" s="46"/>
      <c r="BA126" s="47"/>
      <c r="BB126" s="51" t="s">
        <v>30</v>
      </c>
      <c r="BC126" s="46" t="s">
        <v>30</v>
      </c>
      <c r="BD126" s="46"/>
      <c r="BE126" s="46"/>
      <c r="BF126" s="46">
        <v>1</v>
      </c>
      <c r="BG126" s="46">
        <v>1</v>
      </c>
      <c r="BH126" s="46">
        <v>1</v>
      </c>
      <c r="BI126" s="46" t="s">
        <v>1094</v>
      </c>
      <c r="BJ126" s="46" t="s">
        <v>1105</v>
      </c>
      <c r="BK126" s="46">
        <v>1891</v>
      </c>
      <c r="BL126" s="46" t="str">
        <f>BK126&amp;BI126</f>
        <v>1891Blackburn Rovers</v>
      </c>
      <c r="BM126" s="52" t="str">
        <f>IF(AD126="Home",BI126,IF(AD126="Away",BJ126,Q126))</f>
        <v>London</v>
      </c>
      <c r="BN126" s="46"/>
      <c r="BO126" s="46"/>
      <c r="BP126" s="46"/>
      <c r="BQ126" s="46"/>
      <c r="BR126" s="46"/>
      <c r="BS126" s="46"/>
      <c r="BT126" s="46"/>
      <c r="BU126" s="46"/>
      <c r="BV126" s="46" t="s">
        <v>376</v>
      </c>
      <c r="BW126" s="46" t="s">
        <v>376</v>
      </c>
      <c r="BX126" s="46"/>
      <c r="BZ126" s="53"/>
      <c r="CA126" s="53"/>
      <c r="CB126" s="93" t="str">
        <f>IF(OR(C126="",A126="",B126=""),"",TEXT(C126,"0000")&amp;TEXT(A126,"00")&amp;TEXT(B126,"00"))</f>
        <v>18910321</v>
      </c>
    </row>
    <row r="127" spans="1:80" s="52" customFormat="1" ht="12.95" customHeight="1" x14ac:dyDescent="0.2">
      <c r="A127" s="46">
        <v>3</v>
      </c>
      <c r="B127" s="46">
        <v>21</v>
      </c>
      <c r="C127" s="46">
        <v>1891</v>
      </c>
      <c r="D127" s="46" t="s">
        <v>658</v>
      </c>
      <c r="E127" s="46" t="s">
        <v>1161</v>
      </c>
      <c r="F127" s="47" t="s">
        <v>1010</v>
      </c>
      <c r="G127" s="46"/>
      <c r="H127" s="47" t="s">
        <v>1025</v>
      </c>
      <c r="I127" s="47"/>
      <c r="J127" s="48" t="s">
        <v>1166</v>
      </c>
      <c r="K127" s="46" t="s">
        <v>1105</v>
      </c>
      <c r="L127" s="46" t="s">
        <v>4</v>
      </c>
      <c r="M127" s="46" t="s">
        <v>1094</v>
      </c>
      <c r="N127" s="49">
        <v>1</v>
      </c>
      <c r="O127" s="49">
        <v>3</v>
      </c>
      <c r="P127" s="47" t="s">
        <v>1016</v>
      </c>
      <c r="Q127" s="47" t="s">
        <v>1017</v>
      </c>
      <c r="R127" s="47" t="s">
        <v>376</v>
      </c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50">
        <f>IF(L127="W",1,0)</f>
        <v>0</v>
      </c>
      <c r="AF127" s="50">
        <f>IF(L127="T",1,0)</f>
        <v>0</v>
      </c>
      <c r="AG127" s="50">
        <f>IF(L127="L",1,0)</f>
        <v>1</v>
      </c>
      <c r="AH127" s="46" t="s">
        <v>1073</v>
      </c>
      <c r="AI127" s="46" t="s">
        <v>1074</v>
      </c>
      <c r="AJ127" s="46" t="s">
        <v>376</v>
      </c>
      <c r="AK127" s="46" t="s">
        <v>658</v>
      </c>
      <c r="AL127" s="46" t="s">
        <v>1085</v>
      </c>
      <c r="AM127" s="46" t="s">
        <v>1086</v>
      </c>
      <c r="AN127" s="46" t="s">
        <v>376</v>
      </c>
      <c r="AO127" s="46" t="s">
        <v>658</v>
      </c>
      <c r="AP127" s="46"/>
      <c r="AQ127" s="46">
        <v>1</v>
      </c>
      <c r="AR127" s="46"/>
      <c r="AS127" s="46"/>
      <c r="AT127" s="46"/>
      <c r="AU127" s="46" t="s">
        <v>376</v>
      </c>
      <c r="AV127" s="46"/>
      <c r="AW127" s="46" t="s">
        <v>30</v>
      </c>
      <c r="AX127" s="46"/>
      <c r="AY127" s="46" t="s">
        <v>30</v>
      </c>
      <c r="AZ127" s="46"/>
      <c r="BA127" s="47"/>
      <c r="BB127" s="51"/>
      <c r="BC127" s="46" t="s">
        <v>30</v>
      </c>
      <c r="BD127" s="46"/>
      <c r="BE127" s="46"/>
      <c r="BF127" s="46">
        <v>1</v>
      </c>
      <c r="BG127" s="46">
        <v>1</v>
      </c>
      <c r="BH127" s="46">
        <v>1</v>
      </c>
      <c r="BI127" s="46" t="s">
        <v>1105</v>
      </c>
      <c r="BJ127" s="46" t="s">
        <v>1094</v>
      </c>
      <c r="BK127" s="46">
        <v>1891</v>
      </c>
      <c r="BL127" s="46" t="str">
        <f>BK127&amp;BI127</f>
        <v>1891Notts County</v>
      </c>
      <c r="BM127" s="52" t="str">
        <f>IF(AD127="Home",BI127,IF(AD127="Away",BJ127,Q127))</f>
        <v>London</v>
      </c>
      <c r="BN127" s="46"/>
      <c r="BO127" s="46"/>
      <c r="BP127" s="46"/>
      <c r="BQ127" s="46"/>
      <c r="BR127" s="46"/>
      <c r="BS127" s="46"/>
      <c r="BT127" s="46"/>
      <c r="BU127" s="46"/>
      <c r="BV127" s="46" t="s">
        <v>376</v>
      </c>
      <c r="BW127" s="46" t="s">
        <v>376</v>
      </c>
      <c r="BX127" s="46"/>
      <c r="BZ127" s="53"/>
      <c r="CA127" s="53"/>
      <c r="CB127" s="93" t="str">
        <f>IF(OR(C127="",A127="",B127=""),"",TEXT(C127,"0000")&amp;TEXT(A127,"00")&amp;TEXT(B127,"00"))</f>
        <v>18910321</v>
      </c>
    </row>
    <row r="128" spans="1:80" s="52" customFormat="1" ht="12.95" customHeight="1" x14ac:dyDescent="0.2">
      <c r="A128" s="46">
        <v>2</v>
      </c>
      <c r="B128" s="46">
        <v>27</v>
      </c>
      <c r="C128" s="46">
        <v>1892</v>
      </c>
      <c r="D128" s="46" t="s">
        <v>658</v>
      </c>
      <c r="E128" s="46" t="s">
        <v>1167</v>
      </c>
      <c r="F128" s="47" t="s">
        <v>1010</v>
      </c>
      <c r="G128" s="46"/>
      <c r="H128" s="47" t="s">
        <v>1011</v>
      </c>
      <c r="I128" s="47"/>
      <c r="J128" s="48" t="s">
        <v>1168</v>
      </c>
      <c r="K128" s="46" t="s">
        <v>806</v>
      </c>
      <c r="L128" s="46" t="s">
        <v>3</v>
      </c>
      <c r="M128" s="46" t="s">
        <v>793</v>
      </c>
      <c r="N128" s="49">
        <v>4</v>
      </c>
      <c r="O128" s="49">
        <v>1</v>
      </c>
      <c r="P128" s="47" t="s">
        <v>1163</v>
      </c>
      <c r="Q128" s="47" t="s">
        <v>1097</v>
      </c>
      <c r="R128" s="47" t="s">
        <v>376</v>
      </c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50">
        <f>IF(L128="W",1,0)</f>
        <v>1</v>
      </c>
      <c r="AF128" s="50">
        <f>IF(L128="T",1,0)</f>
        <v>0</v>
      </c>
      <c r="AG128" s="50">
        <f>IF(L128="L",1,0)</f>
        <v>0</v>
      </c>
      <c r="AH128" s="46" t="s">
        <v>1111</v>
      </c>
      <c r="AI128" s="46" t="s">
        <v>1126</v>
      </c>
      <c r="AJ128" s="46" t="s">
        <v>376</v>
      </c>
      <c r="AK128" s="46" t="s">
        <v>658</v>
      </c>
      <c r="AL128" s="46" t="s">
        <v>793</v>
      </c>
      <c r="AM128" s="46" t="s">
        <v>1164</v>
      </c>
      <c r="AN128" s="46" t="s">
        <v>376</v>
      </c>
      <c r="AO128" s="46" t="s">
        <v>658</v>
      </c>
      <c r="AP128" s="46"/>
      <c r="AQ128" s="46">
        <v>2</v>
      </c>
      <c r="AR128" s="46"/>
      <c r="AS128" s="46"/>
      <c r="AT128" s="46"/>
      <c r="AU128" s="46" t="s">
        <v>376</v>
      </c>
      <c r="AV128" s="46"/>
      <c r="AW128" s="46" t="s">
        <v>30</v>
      </c>
      <c r="AX128" s="46"/>
      <c r="AY128" s="46" t="s">
        <v>30</v>
      </c>
      <c r="AZ128" s="46"/>
      <c r="BA128" s="47"/>
      <c r="BB128" s="51"/>
      <c r="BC128" s="46"/>
      <c r="BD128" s="46"/>
      <c r="BE128" s="46"/>
      <c r="BF128" s="46">
        <v>1</v>
      </c>
      <c r="BG128" s="46">
        <v>1</v>
      </c>
      <c r="BH128" s="46">
        <v>1</v>
      </c>
      <c r="BI128" s="46" t="s">
        <v>806</v>
      </c>
      <c r="BJ128" s="46" t="s">
        <v>793</v>
      </c>
      <c r="BK128" s="46">
        <v>1892</v>
      </c>
      <c r="BL128" s="46" t="str">
        <f>BK128&amp;BI128</f>
        <v>1892Aston Villa</v>
      </c>
      <c r="BM128" s="52" t="str">
        <f>IF(AD128="Home",BI128,IF(AD128="Away",BJ128,Q128))</f>
        <v>Sheffield</v>
      </c>
      <c r="BN128" s="46"/>
      <c r="BO128" s="46"/>
      <c r="BP128" s="46"/>
      <c r="BQ128" s="46"/>
      <c r="BR128" s="46"/>
      <c r="BS128" s="46"/>
      <c r="BT128" s="46"/>
      <c r="BU128" s="46"/>
      <c r="BV128" s="46" t="s">
        <v>376</v>
      </c>
      <c r="BW128" s="46" t="s">
        <v>376</v>
      </c>
      <c r="BX128" s="46"/>
      <c r="BY128" s="50"/>
      <c r="BZ128" s="53"/>
      <c r="CA128" s="53"/>
      <c r="CB128" s="93" t="str">
        <f>IF(OR(C128="",A128="",B128=""),"",TEXT(C128,"0000")&amp;TEXT(A128,"00")&amp;TEXT(B128,"00"))</f>
        <v>18920227</v>
      </c>
    </row>
    <row r="129" spans="1:80" s="52" customFormat="1" ht="12.95" customHeight="1" x14ac:dyDescent="0.2">
      <c r="A129" s="46">
        <v>2</v>
      </c>
      <c r="B129" s="46">
        <v>27</v>
      </c>
      <c r="C129" s="46">
        <v>1892</v>
      </c>
      <c r="D129" s="46" t="s">
        <v>658</v>
      </c>
      <c r="E129" s="46" t="s">
        <v>1167</v>
      </c>
      <c r="F129" s="47" t="s">
        <v>1010</v>
      </c>
      <c r="G129" s="46"/>
      <c r="H129" s="47" t="s">
        <v>1011</v>
      </c>
      <c r="I129" s="47"/>
      <c r="J129" s="48" t="s">
        <v>1168</v>
      </c>
      <c r="K129" s="46" t="s">
        <v>793</v>
      </c>
      <c r="L129" s="46" t="s">
        <v>4</v>
      </c>
      <c r="M129" s="46" t="s">
        <v>806</v>
      </c>
      <c r="N129" s="49">
        <v>1</v>
      </c>
      <c r="O129" s="49">
        <v>4</v>
      </c>
      <c r="P129" s="47" t="s">
        <v>1163</v>
      </c>
      <c r="Q129" s="47" t="s">
        <v>1097</v>
      </c>
      <c r="R129" s="47" t="s">
        <v>376</v>
      </c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50">
        <f>IF(L129="W",1,0)</f>
        <v>0</v>
      </c>
      <c r="AF129" s="50">
        <f>IF(L129="T",1,0)</f>
        <v>0</v>
      </c>
      <c r="AG129" s="50">
        <f>IF(L129="L",1,0)</f>
        <v>1</v>
      </c>
      <c r="AH129" s="46" t="s">
        <v>793</v>
      </c>
      <c r="AI129" s="46" t="s">
        <v>1164</v>
      </c>
      <c r="AJ129" s="46" t="s">
        <v>376</v>
      </c>
      <c r="AK129" s="46" t="s">
        <v>658</v>
      </c>
      <c r="AL129" s="46" t="s">
        <v>1111</v>
      </c>
      <c r="AM129" s="46" t="s">
        <v>1126</v>
      </c>
      <c r="AN129" s="46" t="s">
        <v>376</v>
      </c>
      <c r="AO129" s="46" t="s">
        <v>658</v>
      </c>
      <c r="AP129" s="46"/>
      <c r="AQ129" s="46">
        <v>2</v>
      </c>
      <c r="AR129" s="46"/>
      <c r="AS129" s="46"/>
      <c r="AT129" s="46"/>
      <c r="AU129" s="46" t="s">
        <v>376</v>
      </c>
      <c r="AV129" s="46"/>
      <c r="AW129" s="46" t="s">
        <v>30</v>
      </c>
      <c r="AX129" s="46"/>
      <c r="AY129" s="46" t="s">
        <v>30</v>
      </c>
      <c r="AZ129" s="46"/>
      <c r="BA129" s="47"/>
      <c r="BB129" s="51"/>
      <c r="BC129" s="46"/>
      <c r="BD129" s="46"/>
      <c r="BE129" s="46"/>
      <c r="BF129" s="46">
        <v>1</v>
      </c>
      <c r="BG129" s="46">
        <v>1</v>
      </c>
      <c r="BH129" s="46">
        <v>1</v>
      </c>
      <c r="BI129" s="46" t="s">
        <v>793</v>
      </c>
      <c r="BJ129" s="46" t="s">
        <v>806</v>
      </c>
      <c r="BK129" s="46">
        <v>1892</v>
      </c>
      <c r="BL129" s="46" t="str">
        <f>BK129&amp;BI129</f>
        <v>1892Sunderland</v>
      </c>
      <c r="BM129" s="52" t="str">
        <f>IF(AD129="Home",BI129,IF(AD129="Away",BJ129,Q129))</f>
        <v>Sheffield</v>
      </c>
      <c r="BN129" s="46"/>
      <c r="BO129" s="46"/>
      <c r="BP129" s="46"/>
      <c r="BQ129" s="46"/>
      <c r="BR129" s="46"/>
      <c r="BS129" s="46"/>
      <c r="BT129" s="46"/>
      <c r="BU129" s="46"/>
      <c r="BV129" s="46" t="s">
        <v>376</v>
      </c>
      <c r="BW129" s="46" t="s">
        <v>376</v>
      </c>
      <c r="BX129" s="46"/>
      <c r="BY129" s="50"/>
      <c r="BZ129" s="53"/>
      <c r="CA129" s="53"/>
      <c r="CB129" s="93" t="str">
        <f>IF(OR(C129="",A129="",B129=""),"",TEXT(C129,"0000")&amp;TEXT(A129,"00")&amp;TEXT(B129,"00"))</f>
        <v>18920227</v>
      </c>
    </row>
    <row r="130" spans="1:80" s="52" customFormat="1" ht="12.95" customHeight="1" x14ac:dyDescent="0.2">
      <c r="A130" s="46">
        <v>2</v>
      </c>
      <c r="B130" s="46">
        <v>27</v>
      </c>
      <c r="C130" s="46">
        <v>1892</v>
      </c>
      <c r="D130" s="46" t="s">
        <v>658</v>
      </c>
      <c r="E130" s="46" t="s">
        <v>1167</v>
      </c>
      <c r="F130" s="47" t="s">
        <v>1010</v>
      </c>
      <c r="G130" s="46"/>
      <c r="H130" s="47" t="s">
        <v>1011</v>
      </c>
      <c r="I130" s="47"/>
      <c r="J130" s="48" t="s">
        <v>1168</v>
      </c>
      <c r="K130" s="46" t="s">
        <v>1124</v>
      </c>
      <c r="L130" s="46" t="s">
        <v>1014</v>
      </c>
      <c r="M130" s="46" t="s">
        <v>1072</v>
      </c>
      <c r="N130" s="49">
        <v>1</v>
      </c>
      <c r="O130" s="49">
        <v>1</v>
      </c>
      <c r="P130" s="46" t="s">
        <v>1152</v>
      </c>
      <c r="Q130" s="46" t="s">
        <v>1111</v>
      </c>
      <c r="R130" s="46" t="s">
        <v>376</v>
      </c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50">
        <f>IF(L130="W",1,0)</f>
        <v>0</v>
      </c>
      <c r="AF130" s="50">
        <f>IF(L130="T",1,0)</f>
        <v>1</v>
      </c>
      <c r="AG130" s="50">
        <f>IF(L130="L",1,0)</f>
        <v>0</v>
      </c>
      <c r="AH130" s="46" t="s">
        <v>1111</v>
      </c>
      <c r="AI130" s="46" t="s">
        <v>1126</v>
      </c>
      <c r="AJ130" s="46" t="s">
        <v>376</v>
      </c>
      <c r="AK130" s="46" t="s">
        <v>658</v>
      </c>
      <c r="AL130" s="46" t="s">
        <v>1073</v>
      </c>
      <c r="AM130" s="46" t="s">
        <v>1074</v>
      </c>
      <c r="AN130" s="46" t="s">
        <v>376</v>
      </c>
      <c r="AO130" s="46" t="s">
        <v>658</v>
      </c>
      <c r="AP130" s="46"/>
      <c r="AQ130" s="46">
        <v>2</v>
      </c>
      <c r="AR130" s="46"/>
      <c r="AS130" s="46"/>
      <c r="AT130" s="46"/>
      <c r="AU130" s="46" t="s">
        <v>376</v>
      </c>
      <c r="AV130" s="46"/>
      <c r="AW130" s="46" t="s">
        <v>30</v>
      </c>
      <c r="AX130" s="46"/>
      <c r="AY130" s="46" t="s">
        <v>30</v>
      </c>
      <c r="AZ130" s="46"/>
      <c r="BA130" s="47"/>
      <c r="BB130" s="51"/>
      <c r="BC130" s="46"/>
      <c r="BD130" s="46"/>
      <c r="BE130" s="46"/>
      <c r="BF130" s="46">
        <v>1</v>
      </c>
      <c r="BG130" s="46">
        <v>1</v>
      </c>
      <c r="BH130" s="46"/>
      <c r="BI130" s="46" t="s">
        <v>1124</v>
      </c>
      <c r="BJ130" s="46" t="s">
        <v>1072</v>
      </c>
      <c r="BK130" s="46">
        <v>1892</v>
      </c>
      <c r="BL130" s="46" t="str">
        <f>BK130&amp;BI130</f>
        <v>1892West Bromwich Albion</v>
      </c>
      <c r="BM130" s="52" t="str">
        <f>IF(AD130="Home",BI130,IF(AD130="Away",BJ130,Q130))</f>
        <v>Birmingham</v>
      </c>
      <c r="BN130" s="46"/>
      <c r="BO130" s="46"/>
      <c r="BP130" s="46"/>
      <c r="BQ130" s="46"/>
      <c r="BR130" s="46"/>
      <c r="BS130" s="46"/>
      <c r="BT130" s="46"/>
      <c r="BU130" s="46"/>
      <c r="BV130" s="46" t="s">
        <v>376</v>
      </c>
      <c r="BW130" s="46" t="s">
        <v>376</v>
      </c>
      <c r="BX130" s="46"/>
      <c r="BZ130" s="53"/>
      <c r="CA130" s="53"/>
      <c r="CB130" s="93" t="str">
        <f>IF(OR(C130="",A130="",B130=""),"",TEXT(C130,"0000")&amp;TEXT(A130,"00")&amp;TEXT(B130,"00"))</f>
        <v>18920227</v>
      </c>
    </row>
    <row r="131" spans="1:80" s="52" customFormat="1" ht="12.95" customHeight="1" x14ac:dyDescent="0.2">
      <c r="A131" s="46">
        <v>2</v>
      </c>
      <c r="B131" s="46">
        <v>27</v>
      </c>
      <c r="C131" s="46">
        <v>1892</v>
      </c>
      <c r="D131" s="46" t="s">
        <v>658</v>
      </c>
      <c r="E131" s="46" t="s">
        <v>1167</v>
      </c>
      <c r="F131" s="47" t="s">
        <v>1010</v>
      </c>
      <c r="G131" s="46"/>
      <c r="H131" s="47" t="s">
        <v>1011</v>
      </c>
      <c r="I131" s="47"/>
      <c r="J131" s="48" t="s">
        <v>1168</v>
      </c>
      <c r="K131" s="46" t="s">
        <v>1072</v>
      </c>
      <c r="L131" s="46" t="s">
        <v>1014</v>
      </c>
      <c r="M131" s="46" t="s">
        <v>1124</v>
      </c>
      <c r="N131" s="49">
        <v>1</v>
      </c>
      <c r="O131" s="49">
        <v>1</v>
      </c>
      <c r="P131" s="46" t="s">
        <v>1152</v>
      </c>
      <c r="Q131" s="46" t="s">
        <v>1111</v>
      </c>
      <c r="R131" s="46" t="s">
        <v>376</v>
      </c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50">
        <f>IF(L131="W",1,0)</f>
        <v>0</v>
      </c>
      <c r="AF131" s="50">
        <f>IF(L131="T",1,0)</f>
        <v>1</v>
      </c>
      <c r="AG131" s="50">
        <f>IF(L131="L",1,0)</f>
        <v>0</v>
      </c>
      <c r="AH131" s="46" t="s">
        <v>1073</v>
      </c>
      <c r="AI131" s="46" t="s">
        <v>1074</v>
      </c>
      <c r="AJ131" s="46" t="s">
        <v>376</v>
      </c>
      <c r="AK131" s="46" t="s">
        <v>658</v>
      </c>
      <c r="AL131" s="46" t="s">
        <v>1111</v>
      </c>
      <c r="AM131" s="46" t="s">
        <v>1126</v>
      </c>
      <c r="AN131" s="46" t="s">
        <v>376</v>
      </c>
      <c r="AO131" s="46" t="s">
        <v>658</v>
      </c>
      <c r="AP131" s="46"/>
      <c r="AQ131" s="46">
        <v>2</v>
      </c>
      <c r="AR131" s="46"/>
      <c r="AS131" s="46"/>
      <c r="AT131" s="46"/>
      <c r="AU131" s="46" t="s">
        <v>376</v>
      </c>
      <c r="AV131" s="46"/>
      <c r="AW131" s="46" t="s">
        <v>30</v>
      </c>
      <c r="AX131" s="46"/>
      <c r="AY131" s="46" t="s">
        <v>30</v>
      </c>
      <c r="AZ131" s="46"/>
      <c r="BA131" s="47"/>
      <c r="BB131" s="51"/>
      <c r="BC131" s="46"/>
      <c r="BD131" s="46"/>
      <c r="BE131" s="46"/>
      <c r="BF131" s="46">
        <v>1</v>
      </c>
      <c r="BG131" s="46"/>
      <c r="BH131" s="46">
        <v>1</v>
      </c>
      <c r="BI131" s="46" t="s">
        <v>1072</v>
      </c>
      <c r="BJ131" s="46" t="s">
        <v>1124</v>
      </c>
      <c r="BK131" s="46">
        <v>1892</v>
      </c>
      <c r="BL131" s="46" t="str">
        <f>BK131&amp;BI131</f>
        <v>1892Nottingham Forest</v>
      </c>
      <c r="BM131" s="52" t="str">
        <f>IF(AD131="Home",BI131,IF(AD131="Away",BJ131,Q131))</f>
        <v>Birmingham</v>
      </c>
      <c r="BN131" s="46"/>
      <c r="BO131" s="46"/>
      <c r="BP131" s="46"/>
      <c r="BQ131" s="46"/>
      <c r="BR131" s="46"/>
      <c r="BS131" s="46"/>
      <c r="BT131" s="46"/>
      <c r="BU131" s="46"/>
      <c r="BV131" s="46" t="s">
        <v>376</v>
      </c>
      <c r="BW131" s="46" t="s">
        <v>376</v>
      </c>
      <c r="BX131" s="46"/>
      <c r="BZ131" s="53"/>
      <c r="CA131" s="53"/>
      <c r="CB131" s="93" t="str">
        <f>IF(OR(C131="",A131="",B131=""),"",TEXT(C131,"0000")&amp;TEXT(A131,"00")&amp;TEXT(B131,"00"))</f>
        <v>18920227</v>
      </c>
    </row>
    <row r="132" spans="1:80" s="52" customFormat="1" ht="12.95" customHeight="1" x14ac:dyDescent="0.2">
      <c r="A132" s="46">
        <v>3</v>
      </c>
      <c r="B132" s="46">
        <v>5</v>
      </c>
      <c r="C132" s="46">
        <v>1892</v>
      </c>
      <c r="D132" s="46" t="s">
        <v>658</v>
      </c>
      <c r="E132" s="46" t="s">
        <v>1167</v>
      </c>
      <c r="F132" s="47" t="s">
        <v>1010</v>
      </c>
      <c r="G132" s="46"/>
      <c r="H132" s="47" t="s">
        <v>1011</v>
      </c>
      <c r="I132" s="47" t="s">
        <v>1023</v>
      </c>
      <c r="J132" s="48" t="s">
        <v>1169</v>
      </c>
      <c r="K132" s="46" t="s">
        <v>1124</v>
      </c>
      <c r="L132" s="46" t="s">
        <v>1014</v>
      </c>
      <c r="M132" s="46" t="s">
        <v>1072</v>
      </c>
      <c r="N132" s="49">
        <v>1</v>
      </c>
      <c r="O132" s="49">
        <v>1</v>
      </c>
      <c r="P132" s="46" t="s">
        <v>1152</v>
      </c>
      <c r="Q132" s="46" t="s">
        <v>1111</v>
      </c>
      <c r="R132" s="46" t="s">
        <v>376</v>
      </c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50">
        <f>IF(L132="W",1,0)</f>
        <v>0</v>
      </c>
      <c r="AF132" s="50">
        <f>IF(L132="T",1,0)</f>
        <v>1</v>
      </c>
      <c r="AG132" s="50">
        <f>IF(L132="L",1,0)</f>
        <v>0</v>
      </c>
      <c r="AH132" s="46" t="s">
        <v>1111</v>
      </c>
      <c r="AI132" s="46" t="s">
        <v>1126</v>
      </c>
      <c r="AJ132" s="46" t="s">
        <v>376</v>
      </c>
      <c r="AK132" s="46" t="s">
        <v>658</v>
      </c>
      <c r="AL132" s="46" t="s">
        <v>1073</v>
      </c>
      <c r="AM132" s="46" t="s">
        <v>1074</v>
      </c>
      <c r="AN132" s="46" t="s">
        <v>376</v>
      </c>
      <c r="AO132" s="46" t="s">
        <v>658</v>
      </c>
      <c r="AP132" s="46"/>
      <c r="AQ132" s="46">
        <v>2</v>
      </c>
      <c r="AR132" s="46"/>
      <c r="AS132" s="46"/>
      <c r="AT132" s="46"/>
      <c r="AU132" s="46" t="s">
        <v>376</v>
      </c>
      <c r="AV132" s="46"/>
      <c r="AW132" s="46" t="s">
        <v>30</v>
      </c>
      <c r="AX132" s="46"/>
      <c r="AY132" s="46" t="s">
        <v>30</v>
      </c>
      <c r="AZ132" s="46"/>
      <c r="BA132" s="47"/>
      <c r="BB132" s="51"/>
      <c r="BC132" s="46"/>
      <c r="BD132" s="46"/>
      <c r="BE132" s="46"/>
      <c r="BF132" s="46">
        <v>1</v>
      </c>
      <c r="BG132" s="46">
        <v>1</v>
      </c>
      <c r="BH132" s="46"/>
      <c r="BI132" s="46" t="s">
        <v>1124</v>
      </c>
      <c r="BJ132" s="46" t="s">
        <v>1072</v>
      </c>
      <c r="BK132" s="46">
        <v>1892</v>
      </c>
      <c r="BL132" s="46" t="str">
        <f>BK132&amp;BI132</f>
        <v>1892West Bromwich Albion</v>
      </c>
      <c r="BM132" s="52" t="str">
        <f>IF(AD132="Home",BI132,IF(AD132="Away",BJ132,Q132))</f>
        <v>Birmingham</v>
      </c>
      <c r="BN132" s="46"/>
      <c r="BO132" s="46"/>
      <c r="BP132" s="46"/>
      <c r="BQ132" s="46"/>
      <c r="BR132" s="46"/>
      <c r="BS132" s="46"/>
      <c r="BT132" s="46"/>
      <c r="BU132" s="46"/>
      <c r="BV132" s="46" t="s">
        <v>376</v>
      </c>
      <c r="BW132" s="46" t="s">
        <v>376</v>
      </c>
      <c r="BX132" s="46"/>
      <c r="BZ132" s="53"/>
      <c r="CA132" s="53"/>
      <c r="CB132" s="93" t="str">
        <f>IF(OR(C132="",A132="",B132=""),"",TEXT(C132,"0000")&amp;TEXT(A132,"00")&amp;TEXT(B132,"00"))</f>
        <v>18920305</v>
      </c>
    </row>
    <row r="133" spans="1:80" s="52" customFormat="1" ht="12.95" customHeight="1" x14ac:dyDescent="0.2">
      <c r="A133" s="46">
        <v>3</v>
      </c>
      <c r="B133" s="46">
        <v>5</v>
      </c>
      <c r="C133" s="46">
        <v>1892</v>
      </c>
      <c r="D133" s="46" t="s">
        <v>658</v>
      </c>
      <c r="E133" s="46" t="s">
        <v>1167</v>
      </c>
      <c r="F133" s="47" t="s">
        <v>1010</v>
      </c>
      <c r="G133" s="46"/>
      <c r="H133" s="47" t="s">
        <v>1011</v>
      </c>
      <c r="I133" s="47" t="s">
        <v>1023</v>
      </c>
      <c r="J133" s="48" t="s">
        <v>1169</v>
      </c>
      <c r="K133" s="46" t="s">
        <v>1072</v>
      </c>
      <c r="L133" s="46" t="s">
        <v>1014</v>
      </c>
      <c r="M133" s="46" t="s">
        <v>1124</v>
      </c>
      <c r="N133" s="49">
        <v>1</v>
      </c>
      <c r="O133" s="49">
        <v>1</v>
      </c>
      <c r="P133" s="46" t="s">
        <v>1152</v>
      </c>
      <c r="Q133" s="46" t="s">
        <v>1111</v>
      </c>
      <c r="R133" s="46" t="s">
        <v>376</v>
      </c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50">
        <f>IF(L133="W",1,0)</f>
        <v>0</v>
      </c>
      <c r="AF133" s="50">
        <f>IF(L133="T",1,0)</f>
        <v>1</v>
      </c>
      <c r="AG133" s="50">
        <f>IF(L133="L",1,0)</f>
        <v>0</v>
      </c>
      <c r="AH133" s="46" t="s">
        <v>1073</v>
      </c>
      <c r="AI133" s="46" t="s">
        <v>1074</v>
      </c>
      <c r="AJ133" s="46" t="s">
        <v>376</v>
      </c>
      <c r="AK133" s="46" t="s">
        <v>658</v>
      </c>
      <c r="AL133" s="46" t="s">
        <v>1111</v>
      </c>
      <c r="AM133" s="46" t="s">
        <v>1126</v>
      </c>
      <c r="AN133" s="46" t="s">
        <v>376</v>
      </c>
      <c r="AO133" s="46" t="s">
        <v>658</v>
      </c>
      <c r="AP133" s="46"/>
      <c r="AQ133" s="46">
        <v>2</v>
      </c>
      <c r="AR133" s="46"/>
      <c r="AS133" s="46"/>
      <c r="AT133" s="46"/>
      <c r="AU133" s="46" t="s">
        <v>376</v>
      </c>
      <c r="AV133" s="46"/>
      <c r="AW133" s="46" t="s">
        <v>30</v>
      </c>
      <c r="AX133" s="46"/>
      <c r="AY133" s="46" t="s">
        <v>30</v>
      </c>
      <c r="AZ133" s="46"/>
      <c r="BA133" s="47"/>
      <c r="BB133" s="51"/>
      <c r="BC133" s="46"/>
      <c r="BD133" s="46"/>
      <c r="BE133" s="46"/>
      <c r="BF133" s="46">
        <v>1</v>
      </c>
      <c r="BG133" s="46"/>
      <c r="BH133" s="46">
        <v>1</v>
      </c>
      <c r="BI133" s="46" t="s">
        <v>1072</v>
      </c>
      <c r="BJ133" s="46" t="s">
        <v>1124</v>
      </c>
      <c r="BK133" s="46">
        <v>1892</v>
      </c>
      <c r="BL133" s="46" t="str">
        <f>BK133&amp;BI133</f>
        <v>1892Nottingham Forest</v>
      </c>
      <c r="BM133" s="52" t="str">
        <f>IF(AD133="Home",BI133,IF(AD133="Away",BJ133,Q133))</f>
        <v>Birmingham</v>
      </c>
      <c r="BN133" s="46"/>
      <c r="BO133" s="46"/>
      <c r="BP133" s="46"/>
      <c r="BQ133" s="46"/>
      <c r="BR133" s="46"/>
      <c r="BS133" s="46"/>
      <c r="BT133" s="46"/>
      <c r="BU133" s="46"/>
      <c r="BV133" s="46" t="s">
        <v>376</v>
      </c>
      <c r="BW133" s="46" t="s">
        <v>376</v>
      </c>
      <c r="BX133" s="46"/>
      <c r="BZ133" s="53"/>
      <c r="CA133" s="53"/>
      <c r="CB133" s="93" t="str">
        <f>IF(OR(C133="",A133="",B133=""),"",TEXT(C133,"0000")&amp;TEXT(A133,"00")&amp;TEXT(B133,"00"))</f>
        <v>18920305</v>
      </c>
    </row>
    <row r="134" spans="1:80" s="52" customFormat="1" ht="12.95" customHeight="1" x14ac:dyDescent="0.2">
      <c r="A134" s="46">
        <v>3</v>
      </c>
      <c r="B134" s="46">
        <v>9</v>
      </c>
      <c r="C134" s="46">
        <v>1892</v>
      </c>
      <c r="D134" s="46" t="s">
        <v>658</v>
      </c>
      <c r="E134" s="46" t="s">
        <v>1167</v>
      </c>
      <c r="F134" s="47" t="s">
        <v>1010</v>
      </c>
      <c r="G134" s="46"/>
      <c r="H134" s="47" t="s">
        <v>1011</v>
      </c>
      <c r="I134" s="47" t="s">
        <v>1170</v>
      </c>
      <c r="J134" s="48" t="s">
        <v>1171</v>
      </c>
      <c r="K134" s="46" t="s">
        <v>1124</v>
      </c>
      <c r="L134" s="46" t="s">
        <v>3</v>
      </c>
      <c r="M134" s="46" t="s">
        <v>1072</v>
      </c>
      <c r="N134" s="49">
        <v>6</v>
      </c>
      <c r="O134" s="49">
        <v>2</v>
      </c>
      <c r="P134" s="46" t="s">
        <v>1117</v>
      </c>
      <c r="Q134" s="47" t="s">
        <v>979</v>
      </c>
      <c r="R134" s="47" t="s">
        <v>376</v>
      </c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50">
        <f>IF(L134="W",1,0)</f>
        <v>1</v>
      </c>
      <c r="AF134" s="50">
        <f>IF(L134="T",1,0)</f>
        <v>0</v>
      </c>
      <c r="AG134" s="50">
        <f>IF(L134="L",1,0)</f>
        <v>0</v>
      </c>
      <c r="AH134" s="46" t="s">
        <v>1111</v>
      </c>
      <c r="AI134" s="46" t="s">
        <v>1126</v>
      </c>
      <c r="AJ134" s="46" t="s">
        <v>376</v>
      </c>
      <c r="AK134" s="46" t="s">
        <v>658</v>
      </c>
      <c r="AL134" s="46" t="s">
        <v>1073</v>
      </c>
      <c r="AM134" s="46" t="s">
        <v>1074</v>
      </c>
      <c r="AN134" s="46" t="s">
        <v>376</v>
      </c>
      <c r="AO134" s="46" t="s">
        <v>658</v>
      </c>
      <c r="AP134" s="46"/>
      <c r="AQ134" s="46">
        <v>2</v>
      </c>
      <c r="AR134" s="46"/>
      <c r="AS134" s="46"/>
      <c r="AT134" s="46"/>
      <c r="AU134" s="46" t="s">
        <v>376</v>
      </c>
      <c r="AV134" s="46"/>
      <c r="AW134" s="46" t="s">
        <v>30</v>
      </c>
      <c r="AX134" s="46"/>
      <c r="AY134" s="46" t="s">
        <v>30</v>
      </c>
      <c r="AZ134" s="46"/>
      <c r="BA134" s="47"/>
      <c r="BB134" s="51"/>
      <c r="BC134" s="46"/>
      <c r="BD134" s="46"/>
      <c r="BE134" s="46"/>
      <c r="BF134" s="46">
        <v>1</v>
      </c>
      <c r="BG134" s="46">
        <v>1</v>
      </c>
      <c r="BH134" s="46"/>
      <c r="BI134" s="46" t="s">
        <v>1124</v>
      </c>
      <c r="BJ134" s="46" t="s">
        <v>1072</v>
      </c>
      <c r="BK134" s="46">
        <v>1892</v>
      </c>
      <c r="BL134" s="46" t="str">
        <f>BK134&amp;BI134</f>
        <v>1892West Bromwich Albion</v>
      </c>
      <c r="BM134" s="52" t="str">
        <f>IF(AD134="Home",BI134,IF(AD134="Away",BJ134,Q134))</f>
        <v>Derby</v>
      </c>
      <c r="BN134" s="46"/>
      <c r="BO134" s="46"/>
      <c r="BP134" s="46"/>
      <c r="BQ134" s="46"/>
      <c r="BR134" s="46"/>
      <c r="BS134" s="46"/>
      <c r="BT134" s="46"/>
      <c r="BU134" s="46"/>
      <c r="BV134" s="46" t="s">
        <v>376</v>
      </c>
      <c r="BW134" s="46" t="s">
        <v>376</v>
      </c>
      <c r="BX134" s="46"/>
      <c r="BZ134" s="53"/>
      <c r="CA134" s="53"/>
      <c r="CB134" s="93" t="str">
        <f>IF(OR(C134="",A134="",B134=""),"",TEXT(C134,"0000")&amp;TEXT(A134,"00")&amp;TEXT(B134,"00"))</f>
        <v>18920309</v>
      </c>
    </row>
    <row r="135" spans="1:80" s="52" customFormat="1" ht="12.95" customHeight="1" x14ac:dyDescent="0.2">
      <c r="A135" s="46">
        <v>3</v>
      </c>
      <c r="B135" s="46">
        <v>9</v>
      </c>
      <c r="C135" s="46">
        <v>1892</v>
      </c>
      <c r="D135" s="46" t="s">
        <v>658</v>
      </c>
      <c r="E135" s="46" t="s">
        <v>1167</v>
      </c>
      <c r="F135" s="47" t="s">
        <v>1010</v>
      </c>
      <c r="G135" s="46"/>
      <c r="H135" s="47" t="s">
        <v>1011</v>
      </c>
      <c r="I135" s="47" t="s">
        <v>1170</v>
      </c>
      <c r="J135" s="48" t="s">
        <v>1171</v>
      </c>
      <c r="K135" s="46" t="s">
        <v>1072</v>
      </c>
      <c r="L135" s="46" t="s">
        <v>4</v>
      </c>
      <c r="M135" s="46" t="s">
        <v>1124</v>
      </c>
      <c r="N135" s="49">
        <v>2</v>
      </c>
      <c r="O135" s="49">
        <v>6</v>
      </c>
      <c r="P135" s="46" t="s">
        <v>1117</v>
      </c>
      <c r="Q135" s="47" t="s">
        <v>979</v>
      </c>
      <c r="R135" s="47" t="s">
        <v>376</v>
      </c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50">
        <f>IF(L135="W",1,0)</f>
        <v>0</v>
      </c>
      <c r="AF135" s="50">
        <f>IF(L135="T",1,0)</f>
        <v>0</v>
      </c>
      <c r="AG135" s="50">
        <f>IF(L135="L",1,0)</f>
        <v>1</v>
      </c>
      <c r="AH135" s="46" t="s">
        <v>1073</v>
      </c>
      <c r="AI135" s="46" t="s">
        <v>1074</v>
      </c>
      <c r="AJ135" s="46" t="s">
        <v>376</v>
      </c>
      <c r="AK135" s="46" t="s">
        <v>658</v>
      </c>
      <c r="AL135" s="46" t="s">
        <v>1111</v>
      </c>
      <c r="AM135" s="46" t="s">
        <v>1126</v>
      </c>
      <c r="AN135" s="46" t="s">
        <v>376</v>
      </c>
      <c r="AO135" s="46" t="s">
        <v>658</v>
      </c>
      <c r="AP135" s="46"/>
      <c r="AQ135" s="46">
        <v>2</v>
      </c>
      <c r="AR135" s="46"/>
      <c r="AS135" s="46"/>
      <c r="AT135" s="46"/>
      <c r="AU135" s="46" t="s">
        <v>376</v>
      </c>
      <c r="AV135" s="46"/>
      <c r="AW135" s="46" t="s">
        <v>30</v>
      </c>
      <c r="AX135" s="46"/>
      <c r="AY135" s="46" t="s">
        <v>30</v>
      </c>
      <c r="AZ135" s="46"/>
      <c r="BA135" s="47"/>
      <c r="BB135" s="51"/>
      <c r="BC135" s="46"/>
      <c r="BD135" s="46"/>
      <c r="BE135" s="46"/>
      <c r="BF135" s="46">
        <v>1</v>
      </c>
      <c r="BG135" s="46"/>
      <c r="BH135" s="46">
        <v>1</v>
      </c>
      <c r="BI135" s="46" t="s">
        <v>1072</v>
      </c>
      <c r="BJ135" s="46" t="s">
        <v>1124</v>
      </c>
      <c r="BK135" s="46">
        <v>1892</v>
      </c>
      <c r="BL135" s="46" t="str">
        <f>BK135&amp;BI135</f>
        <v>1892Nottingham Forest</v>
      </c>
      <c r="BM135" s="52" t="str">
        <f>IF(AD135="Home",BI135,IF(AD135="Away",BJ135,Q135))</f>
        <v>Derby</v>
      </c>
      <c r="BN135" s="46"/>
      <c r="BO135" s="46"/>
      <c r="BP135" s="46"/>
      <c r="BQ135" s="46"/>
      <c r="BR135" s="46"/>
      <c r="BS135" s="46"/>
      <c r="BT135" s="46"/>
      <c r="BU135" s="46"/>
      <c r="BV135" s="46" t="s">
        <v>376</v>
      </c>
      <c r="BW135" s="46" t="s">
        <v>376</v>
      </c>
      <c r="BX135" s="46"/>
      <c r="BZ135" s="53"/>
      <c r="CA135" s="53"/>
      <c r="CB135" s="93" t="str">
        <f>IF(OR(C135="",A135="",B135=""),"",TEXT(C135,"0000")&amp;TEXT(A135,"00")&amp;TEXT(B135,"00"))</f>
        <v>18920309</v>
      </c>
    </row>
    <row r="136" spans="1:80" s="52" customFormat="1" ht="12.95" customHeight="1" x14ac:dyDescent="0.2">
      <c r="A136" s="46">
        <v>3</v>
      </c>
      <c r="B136" s="46">
        <v>19</v>
      </c>
      <c r="C136" s="46">
        <v>1892</v>
      </c>
      <c r="D136" s="46" t="s">
        <v>658</v>
      </c>
      <c r="E136" s="46" t="s">
        <v>1167</v>
      </c>
      <c r="F136" s="47" t="s">
        <v>1010</v>
      </c>
      <c r="G136" s="46"/>
      <c r="H136" s="47" t="s">
        <v>1025</v>
      </c>
      <c r="I136" s="47"/>
      <c r="J136" s="48" t="s">
        <v>1172</v>
      </c>
      <c r="K136" s="46" t="s">
        <v>1124</v>
      </c>
      <c r="L136" s="46" t="s">
        <v>3</v>
      </c>
      <c r="M136" s="46" t="s">
        <v>806</v>
      </c>
      <c r="N136" s="49">
        <v>3</v>
      </c>
      <c r="O136" s="49">
        <v>0</v>
      </c>
      <c r="P136" s="47" t="s">
        <v>1016</v>
      </c>
      <c r="Q136" s="47" t="s">
        <v>1017</v>
      </c>
      <c r="R136" s="47" t="s">
        <v>376</v>
      </c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50">
        <f>IF(L136="W",1,0)</f>
        <v>1</v>
      </c>
      <c r="AF136" s="50">
        <f>IF(L136="T",1,0)</f>
        <v>0</v>
      </c>
      <c r="AG136" s="50">
        <f>IF(L136="L",1,0)</f>
        <v>0</v>
      </c>
      <c r="AH136" s="46" t="s">
        <v>1111</v>
      </c>
      <c r="AI136" s="46" t="s">
        <v>1126</v>
      </c>
      <c r="AJ136" s="46" t="s">
        <v>376</v>
      </c>
      <c r="AK136" s="46" t="s">
        <v>658</v>
      </c>
      <c r="AL136" s="46" t="s">
        <v>1111</v>
      </c>
      <c r="AM136" s="46" t="s">
        <v>1126</v>
      </c>
      <c r="AN136" s="46" t="s">
        <v>376</v>
      </c>
      <c r="AO136" s="46" t="s">
        <v>658</v>
      </c>
      <c r="AP136" s="46"/>
      <c r="AQ136" s="46">
        <v>1</v>
      </c>
      <c r="AR136" s="46"/>
      <c r="AS136" s="46"/>
      <c r="AT136" s="46"/>
      <c r="AU136" s="46" t="s">
        <v>376</v>
      </c>
      <c r="AV136" s="46"/>
      <c r="AW136" s="46" t="s">
        <v>30</v>
      </c>
      <c r="AX136" s="46"/>
      <c r="AY136" s="46" t="s">
        <v>30</v>
      </c>
      <c r="AZ136" s="46"/>
      <c r="BA136" s="47"/>
      <c r="BB136" s="51" t="s">
        <v>30</v>
      </c>
      <c r="BC136" s="46" t="s">
        <v>30</v>
      </c>
      <c r="BD136" s="46"/>
      <c r="BE136" s="46"/>
      <c r="BF136" s="46">
        <v>1</v>
      </c>
      <c r="BG136" s="46">
        <v>1</v>
      </c>
      <c r="BH136" s="46">
        <v>1</v>
      </c>
      <c r="BI136" s="46" t="s">
        <v>1124</v>
      </c>
      <c r="BJ136" s="46" t="s">
        <v>806</v>
      </c>
      <c r="BK136" s="46">
        <v>1892</v>
      </c>
      <c r="BL136" s="46" t="str">
        <f>BK136&amp;BI136</f>
        <v>1892West Bromwich Albion</v>
      </c>
      <c r="BM136" s="52" t="str">
        <f>IF(AD136="Home",BI136,IF(AD136="Away",BJ136,Q136))</f>
        <v>London</v>
      </c>
      <c r="BN136" s="46"/>
      <c r="BO136" s="46"/>
      <c r="BP136" s="46"/>
      <c r="BQ136" s="46"/>
      <c r="BR136" s="46"/>
      <c r="BS136" s="46"/>
      <c r="BT136" s="46"/>
      <c r="BU136" s="46"/>
      <c r="BV136" s="46" t="s">
        <v>376</v>
      </c>
      <c r="BW136" s="46" t="s">
        <v>376</v>
      </c>
      <c r="BX136" s="46"/>
      <c r="BZ136" s="53"/>
      <c r="CA136" s="53"/>
      <c r="CB136" s="93" t="str">
        <f>IF(OR(C136="",A136="",B136=""),"",TEXT(C136,"0000")&amp;TEXT(A136,"00")&amp;TEXT(B136,"00"))</f>
        <v>18920319</v>
      </c>
    </row>
    <row r="137" spans="1:80" s="52" customFormat="1" ht="12.95" customHeight="1" x14ac:dyDescent="0.2">
      <c r="A137" s="46">
        <v>3</v>
      </c>
      <c r="B137" s="46">
        <v>19</v>
      </c>
      <c r="C137" s="46">
        <v>1892</v>
      </c>
      <c r="D137" s="46" t="s">
        <v>658</v>
      </c>
      <c r="E137" s="46" t="s">
        <v>1167</v>
      </c>
      <c r="F137" s="47" t="s">
        <v>1010</v>
      </c>
      <c r="G137" s="46"/>
      <c r="H137" s="47" t="s">
        <v>1025</v>
      </c>
      <c r="I137" s="47"/>
      <c r="J137" s="48" t="s">
        <v>1172</v>
      </c>
      <c r="K137" s="46" t="s">
        <v>806</v>
      </c>
      <c r="L137" s="46" t="s">
        <v>4</v>
      </c>
      <c r="M137" s="46" t="s">
        <v>1124</v>
      </c>
      <c r="N137" s="49">
        <v>0</v>
      </c>
      <c r="O137" s="49">
        <v>3</v>
      </c>
      <c r="P137" s="47" t="s">
        <v>1016</v>
      </c>
      <c r="Q137" s="47" t="s">
        <v>1017</v>
      </c>
      <c r="R137" s="47" t="s">
        <v>376</v>
      </c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50">
        <f>IF(L137="W",1,0)</f>
        <v>0</v>
      </c>
      <c r="AF137" s="50">
        <f>IF(L137="T",1,0)</f>
        <v>0</v>
      </c>
      <c r="AG137" s="50">
        <f>IF(L137="L",1,0)</f>
        <v>1</v>
      </c>
      <c r="AH137" s="46" t="s">
        <v>1111</v>
      </c>
      <c r="AI137" s="46" t="s">
        <v>1126</v>
      </c>
      <c r="AJ137" s="46" t="s">
        <v>376</v>
      </c>
      <c r="AK137" s="46" t="s">
        <v>658</v>
      </c>
      <c r="AL137" s="46" t="s">
        <v>1111</v>
      </c>
      <c r="AM137" s="46" t="s">
        <v>1126</v>
      </c>
      <c r="AN137" s="46" t="s">
        <v>376</v>
      </c>
      <c r="AO137" s="46" t="s">
        <v>658</v>
      </c>
      <c r="AP137" s="46"/>
      <c r="AQ137" s="46">
        <v>1</v>
      </c>
      <c r="AR137" s="46"/>
      <c r="AS137" s="46"/>
      <c r="AT137" s="46"/>
      <c r="AU137" s="46" t="s">
        <v>376</v>
      </c>
      <c r="AV137" s="46"/>
      <c r="AW137" s="46" t="s">
        <v>30</v>
      </c>
      <c r="AX137" s="46"/>
      <c r="AY137" s="46" t="s">
        <v>30</v>
      </c>
      <c r="AZ137" s="46"/>
      <c r="BA137" s="47"/>
      <c r="BB137" s="51"/>
      <c r="BC137" s="46" t="s">
        <v>30</v>
      </c>
      <c r="BD137" s="46"/>
      <c r="BE137" s="46"/>
      <c r="BF137" s="46">
        <v>1</v>
      </c>
      <c r="BG137" s="46">
        <v>1</v>
      </c>
      <c r="BH137" s="46">
        <v>1</v>
      </c>
      <c r="BI137" s="46" t="s">
        <v>806</v>
      </c>
      <c r="BJ137" s="46" t="s">
        <v>1124</v>
      </c>
      <c r="BK137" s="46">
        <v>1892</v>
      </c>
      <c r="BL137" s="46" t="str">
        <f>BK137&amp;BI137</f>
        <v>1892Aston Villa</v>
      </c>
      <c r="BM137" s="52" t="str">
        <f>IF(AD137="Home",BI137,IF(AD137="Away",BJ137,Q137))</f>
        <v>London</v>
      </c>
      <c r="BN137" s="46"/>
      <c r="BO137" s="46"/>
      <c r="BP137" s="46"/>
      <c r="BQ137" s="46"/>
      <c r="BR137" s="46"/>
      <c r="BS137" s="46"/>
      <c r="BT137" s="46"/>
      <c r="BU137" s="46"/>
      <c r="BV137" s="46" t="s">
        <v>376</v>
      </c>
      <c r="BW137" s="46" t="s">
        <v>376</v>
      </c>
      <c r="BX137" s="46"/>
      <c r="BZ137" s="53"/>
      <c r="CA137" s="53"/>
      <c r="CB137" s="93" t="str">
        <f>IF(OR(C137="",A137="",B137=""),"",TEXT(C137,"0000")&amp;TEXT(A137,"00")&amp;TEXT(B137,"00"))</f>
        <v>18920319</v>
      </c>
    </row>
    <row r="138" spans="1:80" s="52" customFormat="1" ht="12.95" customHeight="1" x14ac:dyDescent="0.2">
      <c r="A138" s="46">
        <v>3</v>
      </c>
      <c r="B138" s="46">
        <v>4</v>
      </c>
      <c r="C138" s="46">
        <v>1893</v>
      </c>
      <c r="D138" s="46" t="s">
        <v>658</v>
      </c>
      <c r="E138" s="46" t="s">
        <v>1173</v>
      </c>
      <c r="F138" s="47" t="s">
        <v>1010</v>
      </c>
      <c r="G138" s="46"/>
      <c r="H138" s="47" t="s">
        <v>1011</v>
      </c>
      <c r="I138" s="47"/>
      <c r="J138" s="48" t="s">
        <v>1174</v>
      </c>
      <c r="K138" s="46" t="s">
        <v>640</v>
      </c>
      <c r="L138" s="46" t="s">
        <v>1014</v>
      </c>
      <c r="M138" s="46" t="s">
        <v>804</v>
      </c>
      <c r="N138" s="49">
        <v>2</v>
      </c>
      <c r="O138" s="49">
        <v>2</v>
      </c>
      <c r="P138" s="47" t="s">
        <v>1163</v>
      </c>
      <c r="Q138" s="47" t="s">
        <v>1097</v>
      </c>
      <c r="R138" s="47" t="s">
        <v>376</v>
      </c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50">
        <f>IF(L138="W",1,0)</f>
        <v>0</v>
      </c>
      <c r="AF138" s="50">
        <f>IF(L138="T",1,0)</f>
        <v>1</v>
      </c>
      <c r="AG138" s="50">
        <f>IF(L138="L",1,0)</f>
        <v>0</v>
      </c>
      <c r="AH138" s="46" t="s">
        <v>1136</v>
      </c>
      <c r="AI138" s="46" t="s">
        <v>1086</v>
      </c>
      <c r="AJ138" s="46" t="s">
        <v>376</v>
      </c>
      <c r="AK138" s="46" t="s">
        <v>658</v>
      </c>
      <c r="AL138" s="46" t="s">
        <v>588</v>
      </c>
      <c r="AM138" s="46" t="s">
        <v>1175</v>
      </c>
      <c r="AN138" s="46" t="s">
        <v>376</v>
      </c>
      <c r="AO138" s="46" t="s">
        <v>658</v>
      </c>
      <c r="AP138" s="46"/>
      <c r="AQ138" s="46">
        <v>2</v>
      </c>
      <c r="AR138" s="46"/>
      <c r="AS138" s="46"/>
      <c r="AT138" s="46"/>
      <c r="AU138" s="46" t="s">
        <v>376</v>
      </c>
      <c r="AV138" s="46"/>
      <c r="AW138" s="46" t="s">
        <v>30</v>
      </c>
      <c r="AX138" s="46"/>
      <c r="AY138" s="46" t="s">
        <v>30</v>
      </c>
      <c r="AZ138" s="46"/>
      <c r="BA138" s="47"/>
      <c r="BB138" s="51"/>
      <c r="BC138" s="46"/>
      <c r="BD138" s="46"/>
      <c r="BE138" s="46"/>
      <c r="BF138" s="46">
        <v>1</v>
      </c>
      <c r="BG138" s="46">
        <v>1</v>
      </c>
      <c r="BH138" s="46">
        <v>1</v>
      </c>
      <c r="BI138" s="46" t="s">
        <v>640</v>
      </c>
      <c r="BJ138" s="46" t="s">
        <v>804</v>
      </c>
      <c r="BK138" s="46">
        <v>1893</v>
      </c>
      <c r="BL138" s="46" t="str">
        <f>BK138&amp;BI138</f>
        <v>1893Preston North End</v>
      </c>
      <c r="BM138" s="52" t="str">
        <f>IF(AD138="Home",BI138,IF(AD138="Away",BJ138,Q138))</f>
        <v>Sheffield</v>
      </c>
      <c r="BN138" s="46"/>
      <c r="BO138" s="46"/>
      <c r="BP138" s="46"/>
      <c r="BQ138" s="46"/>
      <c r="BR138" s="46"/>
      <c r="BS138" s="46"/>
      <c r="BT138" s="46"/>
      <c r="BU138" s="46"/>
      <c r="BV138" s="46" t="s">
        <v>376</v>
      </c>
      <c r="BW138" s="46" t="s">
        <v>376</v>
      </c>
      <c r="BX138" s="46"/>
      <c r="BY138" s="50"/>
      <c r="BZ138" s="53"/>
      <c r="CA138" s="53"/>
      <c r="CB138" s="93" t="str">
        <f>IF(OR(C138="",A138="",B138=""),"",TEXT(C138,"0000")&amp;TEXT(A138,"00")&amp;TEXT(B138,"00"))</f>
        <v>18930304</v>
      </c>
    </row>
    <row r="139" spans="1:80" s="52" customFormat="1" ht="12.95" customHeight="1" x14ac:dyDescent="0.2">
      <c r="A139" s="46">
        <v>3</v>
      </c>
      <c r="B139" s="46">
        <v>4</v>
      </c>
      <c r="C139" s="46">
        <v>1893</v>
      </c>
      <c r="D139" s="46" t="s">
        <v>658</v>
      </c>
      <c r="E139" s="46" t="s">
        <v>1173</v>
      </c>
      <c r="F139" s="47" t="s">
        <v>1010</v>
      </c>
      <c r="G139" s="46"/>
      <c r="H139" s="47" t="s">
        <v>1011</v>
      </c>
      <c r="I139" s="47"/>
      <c r="J139" s="48" t="s">
        <v>1174</v>
      </c>
      <c r="K139" s="46" t="s">
        <v>804</v>
      </c>
      <c r="L139" s="46" t="s">
        <v>1014</v>
      </c>
      <c r="M139" s="46" t="s">
        <v>640</v>
      </c>
      <c r="N139" s="49">
        <v>2</v>
      </c>
      <c r="O139" s="49">
        <v>2</v>
      </c>
      <c r="P139" s="47" t="s">
        <v>1163</v>
      </c>
      <c r="Q139" s="47" t="s">
        <v>1097</v>
      </c>
      <c r="R139" s="47" t="s">
        <v>376</v>
      </c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50">
        <f>IF(L139="W",1,0)</f>
        <v>0</v>
      </c>
      <c r="AF139" s="50">
        <f>IF(L139="T",1,0)</f>
        <v>1</v>
      </c>
      <c r="AG139" s="50">
        <f>IF(L139="L",1,0)</f>
        <v>0</v>
      </c>
      <c r="AH139" s="46" t="s">
        <v>588</v>
      </c>
      <c r="AI139" s="46" t="s">
        <v>1175</v>
      </c>
      <c r="AJ139" s="46" t="s">
        <v>376</v>
      </c>
      <c r="AK139" s="46" t="s">
        <v>658</v>
      </c>
      <c r="AL139" s="46" t="s">
        <v>1136</v>
      </c>
      <c r="AM139" s="46" t="s">
        <v>1086</v>
      </c>
      <c r="AN139" s="46" t="s">
        <v>376</v>
      </c>
      <c r="AO139" s="46" t="s">
        <v>658</v>
      </c>
      <c r="AP139" s="46"/>
      <c r="AQ139" s="46">
        <v>2</v>
      </c>
      <c r="AR139" s="46"/>
      <c r="AS139" s="46"/>
      <c r="AT139" s="46"/>
      <c r="AU139" s="46" t="s">
        <v>376</v>
      </c>
      <c r="AV139" s="46"/>
      <c r="AW139" s="46" t="s">
        <v>30</v>
      </c>
      <c r="AX139" s="46"/>
      <c r="AY139" s="46" t="s">
        <v>30</v>
      </c>
      <c r="AZ139" s="46"/>
      <c r="BA139" s="47"/>
      <c r="BB139" s="51"/>
      <c r="BC139" s="46"/>
      <c r="BD139" s="46"/>
      <c r="BE139" s="46"/>
      <c r="BF139" s="46">
        <v>1</v>
      </c>
      <c r="BG139" s="46">
        <v>1</v>
      </c>
      <c r="BH139" s="46">
        <v>1</v>
      </c>
      <c r="BI139" s="46" t="s">
        <v>804</v>
      </c>
      <c r="BJ139" s="46" t="s">
        <v>640</v>
      </c>
      <c r="BK139" s="46">
        <v>1893</v>
      </c>
      <c r="BL139" s="46" t="str">
        <f>BK139&amp;BI139</f>
        <v>1893Everton</v>
      </c>
      <c r="BM139" s="52" t="str">
        <f>IF(AD139="Home",BI139,IF(AD139="Away",BJ139,Q139))</f>
        <v>Sheffield</v>
      </c>
      <c r="BN139" s="46"/>
      <c r="BO139" s="46"/>
      <c r="BP139" s="46"/>
      <c r="BQ139" s="46"/>
      <c r="BR139" s="46"/>
      <c r="BS139" s="46"/>
      <c r="BT139" s="46"/>
      <c r="BU139" s="46"/>
      <c r="BV139" s="46" t="s">
        <v>376</v>
      </c>
      <c r="BW139" s="46" t="s">
        <v>376</v>
      </c>
      <c r="BX139" s="46"/>
      <c r="BY139" s="50"/>
      <c r="BZ139" s="53"/>
      <c r="CA139" s="53"/>
      <c r="CB139" s="93" t="str">
        <f>IF(OR(C139="",A139="",B139=""),"",TEXT(C139,"0000")&amp;TEXT(A139,"00")&amp;TEXT(B139,"00"))</f>
        <v>18930304</v>
      </c>
    </row>
    <row r="140" spans="1:80" s="52" customFormat="1" ht="12.95" customHeight="1" x14ac:dyDescent="0.2">
      <c r="A140" s="46">
        <v>3</v>
      </c>
      <c r="B140" s="46">
        <v>4</v>
      </c>
      <c r="C140" s="46">
        <v>1893</v>
      </c>
      <c r="D140" s="46" t="s">
        <v>658</v>
      </c>
      <c r="E140" s="46" t="s">
        <v>1173</v>
      </c>
      <c r="F140" s="47" t="s">
        <v>1010</v>
      </c>
      <c r="G140" s="46"/>
      <c r="H140" s="47" t="s">
        <v>1011</v>
      </c>
      <c r="I140" s="47"/>
      <c r="J140" s="48" t="s">
        <v>1174</v>
      </c>
      <c r="K140" s="46" t="s">
        <v>1151</v>
      </c>
      <c r="L140" s="46" t="s">
        <v>3</v>
      </c>
      <c r="M140" s="46" t="s">
        <v>1094</v>
      </c>
      <c r="N140" s="49">
        <v>2</v>
      </c>
      <c r="O140" s="49">
        <v>1</v>
      </c>
      <c r="P140" s="47" t="s">
        <v>1135</v>
      </c>
      <c r="Q140" s="47" t="s">
        <v>1073</v>
      </c>
      <c r="R140" s="47" t="s">
        <v>376</v>
      </c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50">
        <f>IF(L140="W",1,0)</f>
        <v>1</v>
      </c>
      <c r="AF140" s="50">
        <f>IF(L140="T",1,0)</f>
        <v>0</v>
      </c>
      <c r="AG140" s="50">
        <f>IF(L140="L",1,0)</f>
        <v>0</v>
      </c>
      <c r="AH140" s="46" t="s">
        <v>1111</v>
      </c>
      <c r="AI140" s="46" t="s">
        <v>1126</v>
      </c>
      <c r="AJ140" s="46" t="s">
        <v>376</v>
      </c>
      <c r="AK140" s="46" t="s">
        <v>658</v>
      </c>
      <c r="AL140" s="46" t="s">
        <v>1085</v>
      </c>
      <c r="AM140" s="46" t="s">
        <v>1086</v>
      </c>
      <c r="AN140" s="46" t="s">
        <v>376</v>
      </c>
      <c r="AO140" s="46" t="s">
        <v>658</v>
      </c>
      <c r="AP140" s="46"/>
      <c r="AQ140" s="46">
        <v>2</v>
      </c>
      <c r="AR140" s="46"/>
      <c r="AS140" s="46"/>
      <c r="AT140" s="46"/>
      <c r="AU140" s="46" t="s">
        <v>376</v>
      </c>
      <c r="AV140" s="46"/>
      <c r="AW140" s="46" t="s">
        <v>30</v>
      </c>
      <c r="AX140" s="46"/>
      <c r="AY140" s="46" t="s">
        <v>30</v>
      </c>
      <c r="AZ140" s="46"/>
      <c r="BA140" s="47"/>
      <c r="BB140" s="51"/>
      <c r="BC140" s="46"/>
      <c r="BD140" s="46"/>
      <c r="BE140" s="46"/>
      <c r="BF140" s="46">
        <v>1</v>
      </c>
      <c r="BG140" s="46">
        <v>1</v>
      </c>
      <c r="BH140" s="46">
        <v>1</v>
      </c>
      <c r="BI140" s="46" t="s">
        <v>1151</v>
      </c>
      <c r="BJ140" s="46" t="s">
        <v>1094</v>
      </c>
      <c r="BK140" s="46">
        <v>1893</v>
      </c>
      <c r="BL140" s="46" t="str">
        <f>BK140&amp;BI140</f>
        <v>1893Wolverhampton Wanderers</v>
      </c>
      <c r="BM140" s="52" t="str">
        <f>IF(AD140="Home",BI140,IF(AD140="Away",BJ140,Q140))</f>
        <v>Nottingham</v>
      </c>
      <c r="BN140" s="46"/>
      <c r="BO140" s="46"/>
      <c r="BP140" s="46"/>
      <c r="BQ140" s="46"/>
      <c r="BR140" s="46"/>
      <c r="BS140" s="46"/>
      <c r="BT140" s="46"/>
      <c r="BU140" s="46"/>
      <c r="BV140" s="46" t="s">
        <v>376</v>
      </c>
      <c r="BW140" s="46" t="s">
        <v>376</v>
      </c>
      <c r="BX140" s="46"/>
      <c r="BY140" s="35"/>
      <c r="BZ140" s="53"/>
      <c r="CA140" s="53"/>
      <c r="CB140" s="93" t="str">
        <f>IF(OR(C140="",A140="",B140=""),"",TEXT(C140,"0000")&amp;TEXT(A140,"00")&amp;TEXT(B140,"00"))</f>
        <v>18930304</v>
      </c>
    </row>
    <row r="141" spans="1:80" s="52" customFormat="1" ht="12.95" customHeight="1" x14ac:dyDescent="0.2">
      <c r="A141" s="46">
        <v>3</v>
      </c>
      <c r="B141" s="46">
        <v>4</v>
      </c>
      <c r="C141" s="46">
        <v>1893</v>
      </c>
      <c r="D141" s="46" t="s">
        <v>658</v>
      </c>
      <c r="E141" s="46" t="s">
        <v>1173</v>
      </c>
      <c r="F141" s="47" t="s">
        <v>1010</v>
      </c>
      <c r="G141" s="46"/>
      <c r="H141" s="47" t="s">
        <v>1011</v>
      </c>
      <c r="I141" s="47"/>
      <c r="J141" s="48" t="s">
        <v>1174</v>
      </c>
      <c r="K141" s="46" t="s">
        <v>1094</v>
      </c>
      <c r="L141" s="46" t="s">
        <v>4</v>
      </c>
      <c r="M141" s="46" t="s">
        <v>1151</v>
      </c>
      <c r="N141" s="49">
        <v>1</v>
      </c>
      <c r="O141" s="49">
        <v>2</v>
      </c>
      <c r="P141" s="47" t="s">
        <v>1135</v>
      </c>
      <c r="Q141" s="47" t="s">
        <v>1073</v>
      </c>
      <c r="R141" s="47" t="s">
        <v>376</v>
      </c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50">
        <f>IF(L141="W",1,0)</f>
        <v>0</v>
      </c>
      <c r="AF141" s="50">
        <f>IF(L141="T",1,0)</f>
        <v>0</v>
      </c>
      <c r="AG141" s="50">
        <f>IF(L141="L",1,0)</f>
        <v>1</v>
      </c>
      <c r="AH141" s="46" t="s">
        <v>1085</v>
      </c>
      <c r="AI141" s="46" t="s">
        <v>1086</v>
      </c>
      <c r="AJ141" s="46" t="s">
        <v>376</v>
      </c>
      <c r="AK141" s="46" t="s">
        <v>658</v>
      </c>
      <c r="AL141" s="46" t="s">
        <v>1111</v>
      </c>
      <c r="AM141" s="46" t="s">
        <v>1126</v>
      </c>
      <c r="AN141" s="46" t="s">
        <v>376</v>
      </c>
      <c r="AO141" s="46" t="s">
        <v>658</v>
      </c>
      <c r="AP141" s="46"/>
      <c r="AQ141" s="46">
        <v>2</v>
      </c>
      <c r="AR141" s="46"/>
      <c r="AS141" s="46"/>
      <c r="AT141" s="46"/>
      <c r="AU141" s="46" t="s">
        <v>376</v>
      </c>
      <c r="AV141" s="46"/>
      <c r="AW141" s="46" t="s">
        <v>30</v>
      </c>
      <c r="AX141" s="46"/>
      <c r="AY141" s="46" t="s">
        <v>30</v>
      </c>
      <c r="AZ141" s="46"/>
      <c r="BA141" s="47"/>
      <c r="BB141" s="51"/>
      <c r="BC141" s="46"/>
      <c r="BD141" s="46"/>
      <c r="BE141" s="46"/>
      <c r="BF141" s="46">
        <v>1</v>
      </c>
      <c r="BG141" s="46">
        <v>1</v>
      </c>
      <c r="BH141" s="46">
        <v>1</v>
      </c>
      <c r="BI141" s="46" t="s">
        <v>1094</v>
      </c>
      <c r="BJ141" s="46" t="s">
        <v>1151</v>
      </c>
      <c r="BK141" s="46">
        <v>1893</v>
      </c>
      <c r="BL141" s="46" t="str">
        <f>BK141&amp;BI141</f>
        <v>1893Blackburn Rovers</v>
      </c>
      <c r="BM141" s="52" t="str">
        <f>IF(AD141="Home",BI141,IF(AD141="Away",BJ141,Q141))</f>
        <v>Nottingham</v>
      </c>
      <c r="BN141" s="46"/>
      <c r="BO141" s="46"/>
      <c r="BP141" s="46"/>
      <c r="BQ141" s="46"/>
      <c r="BR141" s="46"/>
      <c r="BS141" s="46"/>
      <c r="BT141" s="46"/>
      <c r="BU141" s="46"/>
      <c r="BV141" s="46" t="s">
        <v>376</v>
      </c>
      <c r="BW141" s="46" t="s">
        <v>376</v>
      </c>
      <c r="BX141" s="46"/>
      <c r="BY141" s="35"/>
      <c r="BZ141" s="53"/>
      <c r="CA141" s="53"/>
      <c r="CB141" s="93" t="str">
        <f>IF(OR(C141="",A141="",B141=""),"",TEXT(C141,"0000")&amp;TEXT(A141,"00")&amp;TEXT(B141,"00"))</f>
        <v>18930304</v>
      </c>
    </row>
    <row r="142" spans="1:80" s="52" customFormat="1" ht="12.95" customHeight="1" x14ac:dyDescent="0.2">
      <c r="A142" s="46">
        <v>3</v>
      </c>
      <c r="B142" s="46">
        <v>16</v>
      </c>
      <c r="C142" s="46">
        <v>1893</v>
      </c>
      <c r="D142" s="46" t="s">
        <v>658</v>
      </c>
      <c r="E142" s="46" t="s">
        <v>1173</v>
      </c>
      <c r="F142" s="47" t="s">
        <v>1010</v>
      </c>
      <c r="G142" s="46"/>
      <c r="H142" s="47" t="s">
        <v>1011</v>
      </c>
      <c r="I142" s="47" t="s">
        <v>1023</v>
      </c>
      <c r="J142" s="48" t="s">
        <v>1176</v>
      </c>
      <c r="K142" s="46" t="s">
        <v>640</v>
      </c>
      <c r="L142" s="46" t="s">
        <v>1014</v>
      </c>
      <c r="M142" s="46" t="s">
        <v>804</v>
      </c>
      <c r="N142" s="49">
        <v>0</v>
      </c>
      <c r="O142" s="49">
        <v>0</v>
      </c>
      <c r="P142" s="47" t="s">
        <v>1163</v>
      </c>
      <c r="Q142" s="47" t="s">
        <v>1097</v>
      </c>
      <c r="R142" s="47" t="s">
        <v>376</v>
      </c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50">
        <f>IF(L142="W",1,0)</f>
        <v>0</v>
      </c>
      <c r="AF142" s="50">
        <f>IF(L142="T",1,0)</f>
        <v>1</v>
      </c>
      <c r="AG142" s="50">
        <f>IF(L142="L",1,0)</f>
        <v>0</v>
      </c>
      <c r="AH142" s="46" t="s">
        <v>1136</v>
      </c>
      <c r="AI142" s="46" t="s">
        <v>1086</v>
      </c>
      <c r="AJ142" s="46" t="s">
        <v>376</v>
      </c>
      <c r="AK142" s="46" t="s">
        <v>658</v>
      </c>
      <c r="AL142" s="46" t="s">
        <v>588</v>
      </c>
      <c r="AM142" s="46" t="s">
        <v>1175</v>
      </c>
      <c r="AN142" s="46" t="s">
        <v>376</v>
      </c>
      <c r="AO142" s="46" t="s">
        <v>658</v>
      </c>
      <c r="AP142" s="46"/>
      <c r="AQ142" s="46">
        <v>2</v>
      </c>
      <c r="AR142" s="46"/>
      <c r="AS142" s="46"/>
      <c r="AT142" s="46"/>
      <c r="AU142" s="46" t="s">
        <v>376</v>
      </c>
      <c r="AV142" s="46"/>
      <c r="AW142" s="46" t="s">
        <v>30</v>
      </c>
      <c r="AX142" s="46"/>
      <c r="AY142" s="46" t="s">
        <v>30</v>
      </c>
      <c r="AZ142" s="46"/>
      <c r="BA142" s="47"/>
      <c r="BB142" s="51"/>
      <c r="BC142" s="46"/>
      <c r="BD142" s="46"/>
      <c r="BE142" s="46"/>
      <c r="BF142" s="46">
        <v>1</v>
      </c>
      <c r="BG142" s="46">
        <v>1</v>
      </c>
      <c r="BH142" s="46">
        <v>1</v>
      </c>
      <c r="BI142" s="46" t="s">
        <v>640</v>
      </c>
      <c r="BJ142" s="46" t="s">
        <v>804</v>
      </c>
      <c r="BK142" s="46">
        <v>1893</v>
      </c>
      <c r="BL142" s="46" t="str">
        <f>BK142&amp;BI142</f>
        <v>1893Preston North End</v>
      </c>
      <c r="BM142" s="52" t="str">
        <f>IF(AD142="Home",BI142,IF(AD142="Away",BJ142,Q142))</f>
        <v>Sheffield</v>
      </c>
      <c r="BN142" s="46"/>
      <c r="BO142" s="46"/>
      <c r="BP142" s="46"/>
      <c r="BQ142" s="46"/>
      <c r="BR142" s="46"/>
      <c r="BS142" s="46"/>
      <c r="BT142" s="46"/>
      <c r="BU142" s="46"/>
      <c r="BV142" s="46" t="s">
        <v>376</v>
      </c>
      <c r="BW142" s="46" t="s">
        <v>376</v>
      </c>
      <c r="BX142" s="46"/>
      <c r="BY142" s="50"/>
      <c r="BZ142" s="53"/>
      <c r="CA142" s="53"/>
      <c r="CB142" s="93" t="str">
        <f>IF(OR(C142="",A142="",B142=""),"",TEXT(C142,"0000")&amp;TEXT(A142,"00")&amp;TEXT(B142,"00"))</f>
        <v>18930316</v>
      </c>
    </row>
    <row r="143" spans="1:80" s="52" customFormat="1" ht="12.95" customHeight="1" x14ac:dyDescent="0.2">
      <c r="A143" s="46">
        <v>3</v>
      </c>
      <c r="B143" s="46">
        <v>16</v>
      </c>
      <c r="C143" s="46">
        <v>1893</v>
      </c>
      <c r="D143" s="46" t="s">
        <v>658</v>
      </c>
      <c r="E143" s="46" t="s">
        <v>1173</v>
      </c>
      <c r="F143" s="47" t="s">
        <v>1010</v>
      </c>
      <c r="G143" s="46"/>
      <c r="H143" s="47" t="s">
        <v>1011</v>
      </c>
      <c r="I143" s="47" t="s">
        <v>1023</v>
      </c>
      <c r="J143" s="48" t="s">
        <v>1176</v>
      </c>
      <c r="K143" s="46" t="s">
        <v>804</v>
      </c>
      <c r="L143" s="46" t="s">
        <v>1014</v>
      </c>
      <c r="M143" s="46" t="s">
        <v>640</v>
      </c>
      <c r="N143" s="49">
        <v>0</v>
      </c>
      <c r="O143" s="49">
        <v>0</v>
      </c>
      <c r="P143" s="47" t="s">
        <v>1163</v>
      </c>
      <c r="Q143" s="47" t="s">
        <v>1097</v>
      </c>
      <c r="R143" s="47" t="s">
        <v>376</v>
      </c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50">
        <f>IF(L143="W",1,0)</f>
        <v>0</v>
      </c>
      <c r="AF143" s="50">
        <f>IF(L143="T",1,0)</f>
        <v>1</v>
      </c>
      <c r="AG143" s="50">
        <f>IF(L143="L",1,0)</f>
        <v>0</v>
      </c>
      <c r="AH143" s="46" t="s">
        <v>588</v>
      </c>
      <c r="AI143" s="46" t="s">
        <v>1175</v>
      </c>
      <c r="AJ143" s="46" t="s">
        <v>376</v>
      </c>
      <c r="AK143" s="46" t="s">
        <v>658</v>
      </c>
      <c r="AL143" s="46" t="s">
        <v>1136</v>
      </c>
      <c r="AM143" s="46" t="s">
        <v>1086</v>
      </c>
      <c r="AN143" s="46" t="s">
        <v>376</v>
      </c>
      <c r="AO143" s="46" t="s">
        <v>658</v>
      </c>
      <c r="AP143" s="46"/>
      <c r="AQ143" s="46">
        <v>2</v>
      </c>
      <c r="AR143" s="46"/>
      <c r="AS143" s="46"/>
      <c r="AT143" s="46"/>
      <c r="AU143" s="46" t="s">
        <v>376</v>
      </c>
      <c r="AV143" s="46"/>
      <c r="AW143" s="46" t="s">
        <v>30</v>
      </c>
      <c r="AX143" s="46"/>
      <c r="AY143" s="46" t="s">
        <v>30</v>
      </c>
      <c r="AZ143" s="46"/>
      <c r="BA143" s="47"/>
      <c r="BB143" s="51"/>
      <c r="BC143" s="46"/>
      <c r="BD143" s="46"/>
      <c r="BE143" s="46"/>
      <c r="BF143" s="46">
        <v>1</v>
      </c>
      <c r="BG143" s="46">
        <v>1</v>
      </c>
      <c r="BH143" s="46">
        <v>1</v>
      </c>
      <c r="BI143" s="46" t="s">
        <v>804</v>
      </c>
      <c r="BJ143" s="46" t="s">
        <v>640</v>
      </c>
      <c r="BK143" s="46">
        <v>1893</v>
      </c>
      <c r="BL143" s="46" t="str">
        <f>BK143&amp;BI143</f>
        <v>1893Everton</v>
      </c>
      <c r="BM143" s="52" t="str">
        <f>IF(AD143="Home",BI143,IF(AD143="Away",BJ143,Q143))</f>
        <v>Sheffield</v>
      </c>
      <c r="BN143" s="46"/>
      <c r="BO143" s="46"/>
      <c r="BP143" s="46"/>
      <c r="BQ143" s="46"/>
      <c r="BR143" s="46"/>
      <c r="BS143" s="46"/>
      <c r="BT143" s="46"/>
      <c r="BU143" s="46"/>
      <c r="BV143" s="46" t="s">
        <v>376</v>
      </c>
      <c r="BW143" s="46" t="s">
        <v>376</v>
      </c>
      <c r="BX143" s="46"/>
      <c r="BY143" s="50"/>
      <c r="BZ143" s="53"/>
      <c r="CA143" s="53"/>
      <c r="CB143" s="93" t="str">
        <f>IF(OR(C143="",A143="",B143=""),"",TEXT(C143,"0000")&amp;TEXT(A143,"00")&amp;TEXT(B143,"00"))</f>
        <v>18930316</v>
      </c>
    </row>
    <row r="144" spans="1:80" s="52" customFormat="1" ht="12.95" customHeight="1" x14ac:dyDescent="0.2">
      <c r="A144" s="46">
        <v>3</v>
      </c>
      <c r="B144" s="46">
        <v>20</v>
      </c>
      <c r="C144" s="46">
        <v>1893</v>
      </c>
      <c r="D144" s="46" t="s">
        <v>658</v>
      </c>
      <c r="E144" s="46" t="s">
        <v>1173</v>
      </c>
      <c r="F144" s="47" t="s">
        <v>1010</v>
      </c>
      <c r="G144" s="46"/>
      <c r="H144" s="47" t="s">
        <v>1011</v>
      </c>
      <c r="I144" s="47" t="s">
        <v>1170</v>
      </c>
      <c r="J144" s="48" t="s">
        <v>1177</v>
      </c>
      <c r="K144" s="46" t="s">
        <v>804</v>
      </c>
      <c r="L144" s="46" t="s">
        <v>3</v>
      </c>
      <c r="M144" s="46" t="s">
        <v>640</v>
      </c>
      <c r="N144" s="49">
        <v>2</v>
      </c>
      <c r="O144" s="49">
        <v>1</v>
      </c>
      <c r="P144" s="47" t="s">
        <v>1178</v>
      </c>
      <c r="Q144" s="47" t="s">
        <v>1085</v>
      </c>
      <c r="R144" s="47" t="s">
        <v>376</v>
      </c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50">
        <f>IF(L144="W",1,0)</f>
        <v>1</v>
      </c>
      <c r="AF144" s="50">
        <f>IF(L144="T",1,0)</f>
        <v>0</v>
      </c>
      <c r="AG144" s="50">
        <f>IF(L144="L",1,0)</f>
        <v>0</v>
      </c>
      <c r="AH144" s="46" t="s">
        <v>588</v>
      </c>
      <c r="AI144" s="46" t="s">
        <v>1175</v>
      </c>
      <c r="AJ144" s="46" t="s">
        <v>376</v>
      </c>
      <c r="AK144" s="46" t="s">
        <v>658</v>
      </c>
      <c r="AL144" s="46" t="s">
        <v>1136</v>
      </c>
      <c r="AM144" s="46" t="s">
        <v>1086</v>
      </c>
      <c r="AN144" s="46" t="s">
        <v>376</v>
      </c>
      <c r="AO144" s="46" t="s">
        <v>658</v>
      </c>
      <c r="AP144" s="46"/>
      <c r="AQ144" s="46">
        <v>2</v>
      </c>
      <c r="AR144" s="46"/>
      <c r="AS144" s="46"/>
      <c r="AT144" s="46"/>
      <c r="AU144" s="46" t="s">
        <v>376</v>
      </c>
      <c r="AV144" s="46"/>
      <c r="AW144" s="46" t="s">
        <v>30</v>
      </c>
      <c r="AX144" s="46"/>
      <c r="AY144" s="46" t="s">
        <v>30</v>
      </c>
      <c r="AZ144" s="46"/>
      <c r="BA144" s="47"/>
      <c r="BB144" s="51"/>
      <c r="BC144" s="46"/>
      <c r="BD144" s="46"/>
      <c r="BE144" s="46"/>
      <c r="BF144" s="46">
        <v>1</v>
      </c>
      <c r="BG144" s="46">
        <v>1</v>
      </c>
      <c r="BH144" s="46">
        <v>1</v>
      </c>
      <c r="BI144" s="46" t="s">
        <v>804</v>
      </c>
      <c r="BJ144" s="46" t="s">
        <v>640</v>
      </c>
      <c r="BK144" s="46">
        <v>1893</v>
      </c>
      <c r="BL144" s="46" t="str">
        <f>BK144&amp;BI144</f>
        <v>1893Everton</v>
      </c>
      <c r="BM144" s="52" t="str">
        <f>IF(AD144="Home",BI144,IF(AD144="Away",BJ144,Q144))</f>
        <v>Blackburn</v>
      </c>
      <c r="BN144" s="46"/>
      <c r="BO144" s="46"/>
      <c r="BP144" s="46"/>
      <c r="BQ144" s="46"/>
      <c r="BR144" s="46"/>
      <c r="BS144" s="46"/>
      <c r="BT144" s="46"/>
      <c r="BU144" s="46"/>
      <c r="BV144" s="46" t="s">
        <v>376</v>
      </c>
      <c r="BW144" s="46" t="s">
        <v>376</v>
      </c>
      <c r="BX144" s="46"/>
      <c r="BZ144" s="53"/>
      <c r="CA144" s="53"/>
      <c r="CB144" s="93" t="str">
        <f>IF(OR(C144="",A144="",B144=""),"",TEXT(C144,"0000")&amp;TEXT(A144,"00")&amp;TEXT(B144,"00"))</f>
        <v>18930320</v>
      </c>
    </row>
    <row r="145" spans="1:80" s="52" customFormat="1" ht="12.95" customHeight="1" x14ac:dyDescent="0.2">
      <c r="A145" s="46">
        <v>3</v>
      </c>
      <c r="B145" s="46">
        <v>20</v>
      </c>
      <c r="C145" s="46">
        <v>1893</v>
      </c>
      <c r="D145" s="46" t="s">
        <v>658</v>
      </c>
      <c r="E145" s="46" t="s">
        <v>1173</v>
      </c>
      <c r="F145" s="47" t="s">
        <v>1010</v>
      </c>
      <c r="G145" s="46"/>
      <c r="H145" s="47" t="s">
        <v>1011</v>
      </c>
      <c r="I145" s="47" t="s">
        <v>1170</v>
      </c>
      <c r="J145" s="48" t="s">
        <v>1177</v>
      </c>
      <c r="K145" s="46" t="s">
        <v>640</v>
      </c>
      <c r="L145" s="46" t="s">
        <v>4</v>
      </c>
      <c r="M145" s="46" t="s">
        <v>804</v>
      </c>
      <c r="N145" s="49">
        <v>1</v>
      </c>
      <c r="O145" s="49">
        <v>2</v>
      </c>
      <c r="P145" s="47" t="s">
        <v>1178</v>
      </c>
      <c r="Q145" s="47" t="s">
        <v>1085</v>
      </c>
      <c r="R145" s="47" t="s">
        <v>376</v>
      </c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50">
        <f>IF(L145="W",1,0)</f>
        <v>0</v>
      </c>
      <c r="AF145" s="50">
        <f>IF(L145="T",1,0)</f>
        <v>0</v>
      </c>
      <c r="AG145" s="50">
        <f>IF(L145="L",1,0)</f>
        <v>1</v>
      </c>
      <c r="AH145" s="46" t="s">
        <v>1136</v>
      </c>
      <c r="AI145" s="46" t="s">
        <v>1086</v>
      </c>
      <c r="AJ145" s="46" t="s">
        <v>376</v>
      </c>
      <c r="AK145" s="46" t="s">
        <v>658</v>
      </c>
      <c r="AL145" s="46" t="s">
        <v>588</v>
      </c>
      <c r="AM145" s="46" t="s">
        <v>1175</v>
      </c>
      <c r="AN145" s="46" t="s">
        <v>376</v>
      </c>
      <c r="AO145" s="46" t="s">
        <v>658</v>
      </c>
      <c r="AP145" s="46"/>
      <c r="AQ145" s="46">
        <v>2</v>
      </c>
      <c r="AR145" s="46"/>
      <c r="AS145" s="46"/>
      <c r="AT145" s="46"/>
      <c r="AU145" s="46" t="s">
        <v>376</v>
      </c>
      <c r="AV145" s="46"/>
      <c r="AW145" s="46" t="s">
        <v>30</v>
      </c>
      <c r="AX145" s="46"/>
      <c r="AY145" s="46" t="s">
        <v>30</v>
      </c>
      <c r="AZ145" s="46"/>
      <c r="BA145" s="47"/>
      <c r="BB145" s="51"/>
      <c r="BC145" s="46"/>
      <c r="BD145" s="46"/>
      <c r="BE145" s="46"/>
      <c r="BF145" s="46">
        <v>1</v>
      </c>
      <c r="BG145" s="46">
        <v>1</v>
      </c>
      <c r="BH145" s="46">
        <v>1</v>
      </c>
      <c r="BI145" s="46" t="s">
        <v>640</v>
      </c>
      <c r="BJ145" s="46" t="s">
        <v>804</v>
      </c>
      <c r="BK145" s="46">
        <v>1893</v>
      </c>
      <c r="BL145" s="46" t="str">
        <f>BK145&amp;BI145</f>
        <v>1893Preston North End</v>
      </c>
      <c r="BM145" s="52" t="str">
        <f>IF(AD145="Home",BI145,IF(AD145="Away",BJ145,Q145))</f>
        <v>Blackburn</v>
      </c>
      <c r="BN145" s="46"/>
      <c r="BO145" s="46"/>
      <c r="BP145" s="46"/>
      <c r="BQ145" s="46"/>
      <c r="BR145" s="46"/>
      <c r="BS145" s="46"/>
      <c r="BT145" s="46"/>
      <c r="BU145" s="46"/>
      <c r="BV145" s="46" t="s">
        <v>376</v>
      </c>
      <c r="BW145" s="46" t="s">
        <v>376</v>
      </c>
      <c r="BX145" s="46"/>
      <c r="BZ145" s="53"/>
      <c r="CA145" s="53"/>
      <c r="CB145" s="93" t="str">
        <f>IF(OR(C145="",A145="",B145=""),"",TEXT(C145,"0000")&amp;TEXT(A145,"00")&amp;TEXT(B145,"00"))</f>
        <v>18930320</v>
      </c>
    </row>
    <row r="146" spans="1:80" s="52" customFormat="1" ht="12.95" customHeight="1" x14ac:dyDescent="0.2">
      <c r="A146" s="46">
        <v>3</v>
      </c>
      <c r="B146" s="46">
        <v>25</v>
      </c>
      <c r="C146" s="46">
        <v>1893</v>
      </c>
      <c r="D146" s="46" t="s">
        <v>658</v>
      </c>
      <c r="E146" s="46" t="s">
        <v>1173</v>
      </c>
      <c r="F146" s="47" t="s">
        <v>1010</v>
      </c>
      <c r="G146" s="46"/>
      <c r="H146" s="47" t="s">
        <v>1025</v>
      </c>
      <c r="I146" s="47"/>
      <c r="J146" s="48" t="s">
        <v>1179</v>
      </c>
      <c r="K146" s="46" t="s">
        <v>1151</v>
      </c>
      <c r="L146" s="46" t="s">
        <v>3</v>
      </c>
      <c r="M146" s="46" t="s">
        <v>804</v>
      </c>
      <c r="N146" s="49">
        <v>1</v>
      </c>
      <c r="O146" s="49">
        <v>0</v>
      </c>
      <c r="P146" s="47" t="s">
        <v>1180</v>
      </c>
      <c r="Q146" s="47" t="s">
        <v>1101</v>
      </c>
      <c r="R146" s="47" t="s">
        <v>376</v>
      </c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50">
        <f>IF(L146="W",1,0)</f>
        <v>1</v>
      </c>
      <c r="AF146" s="50">
        <f>IF(L146="T",1,0)</f>
        <v>0</v>
      </c>
      <c r="AG146" s="50">
        <f>IF(L146="L",1,0)</f>
        <v>0</v>
      </c>
      <c r="AH146" s="46" t="s">
        <v>1111</v>
      </c>
      <c r="AI146" s="46" t="s">
        <v>1126</v>
      </c>
      <c r="AJ146" s="46" t="s">
        <v>376</v>
      </c>
      <c r="AK146" s="46" t="s">
        <v>658</v>
      </c>
      <c r="AL146" s="46" t="s">
        <v>588</v>
      </c>
      <c r="AM146" s="46" t="s">
        <v>1175</v>
      </c>
      <c r="AN146" s="46" t="s">
        <v>376</v>
      </c>
      <c r="AO146" s="46" t="s">
        <v>658</v>
      </c>
      <c r="AP146" s="46"/>
      <c r="AQ146" s="46">
        <v>1</v>
      </c>
      <c r="AR146" s="46"/>
      <c r="AS146" s="46"/>
      <c r="AT146" s="46"/>
      <c r="AU146" s="46" t="s">
        <v>376</v>
      </c>
      <c r="AV146" s="46"/>
      <c r="AW146" s="46" t="s">
        <v>30</v>
      </c>
      <c r="AX146" s="46"/>
      <c r="AY146" s="46" t="s">
        <v>30</v>
      </c>
      <c r="AZ146" s="46"/>
      <c r="BA146" s="47"/>
      <c r="BB146" s="51" t="s">
        <v>30</v>
      </c>
      <c r="BC146" s="46" t="s">
        <v>30</v>
      </c>
      <c r="BD146" s="46"/>
      <c r="BE146" s="46"/>
      <c r="BF146" s="46">
        <v>1</v>
      </c>
      <c r="BG146" s="46">
        <v>1</v>
      </c>
      <c r="BH146" s="46">
        <v>1</v>
      </c>
      <c r="BI146" s="46" t="s">
        <v>1151</v>
      </c>
      <c r="BJ146" s="46" t="s">
        <v>804</v>
      </c>
      <c r="BK146" s="46">
        <v>1893</v>
      </c>
      <c r="BL146" s="46" t="str">
        <f>BK146&amp;BI146</f>
        <v>1893Wolverhampton Wanderers</v>
      </c>
      <c r="BM146" s="52" t="str">
        <f>IF(AD146="Home",BI146,IF(AD146="Away",BJ146,Q146))</f>
        <v>Manchester</v>
      </c>
      <c r="BN146" s="46"/>
      <c r="BO146" s="46"/>
      <c r="BP146" s="46"/>
      <c r="BQ146" s="46"/>
      <c r="BR146" s="46"/>
      <c r="BS146" s="46"/>
      <c r="BT146" s="46"/>
      <c r="BU146" s="46"/>
      <c r="BV146" s="46" t="s">
        <v>376</v>
      </c>
      <c r="BW146" s="46" t="s">
        <v>376</v>
      </c>
      <c r="BX146" s="46"/>
      <c r="BZ146" s="53"/>
      <c r="CA146" s="53"/>
      <c r="CB146" s="93" t="str">
        <f>IF(OR(C146="",A146="",B146=""),"",TEXT(C146,"0000")&amp;TEXT(A146,"00")&amp;TEXT(B146,"00"))</f>
        <v>18930325</v>
      </c>
    </row>
    <row r="147" spans="1:80" s="52" customFormat="1" ht="12.95" customHeight="1" x14ac:dyDescent="0.2">
      <c r="A147" s="46">
        <v>3</v>
      </c>
      <c r="B147" s="46">
        <v>25</v>
      </c>
      <c r="C147" s="46">
        <v>1893</v>
      </c>
      <c r="D147" s="46" t="s">
        <v>658</v>
      </c>
      <c r="E147" s="46" t="s">
        <v>1173</v>
      </c>
      <c r="F147" s="47" t="s">
        <v>1010</v>
      </c>
      <c r="G147" s="46"/>
      <c r="H147" s="47" t="s">
        <v>1025</v>
      </c>
      <c r="I147" s="47"/>
      <c r="J147" s="48" t="s">
        <v>1179</v>
      </c>
      <c r="K147" s="46" t="s">
        <v>804</v>
      </c>
      <c r="L147" s="46" t="s">
        <v>4</v>
      </c>
      <c r="M147" s="46" t="s">
        <v>1151</v>
      </c>
      <c r="N147" s="49">
        <v>0</v>
      </c>
      <c r="O147" s="49">
        <v>1</v>
      </c>
      <c r="P147" s="47" t="s">
        <v>1180</v>
      </c>
      <c r="Q147" s="47" t="s">
        <v>1101</v>
      </c>
      <c r="R147" s="47" t="s">
        <v>376</v>
      </c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50">
        <f>IF(L147="W",1,0)</f>
        <v>0</v>
      </c>
      <c r="AF147" s="50">
        <f>IF(L147="T",1,0)</f>
        <v>0</v>
      </c>
      <c r="AG147" s="50">
        <f>IF(L147="L",1,0)</f>
        <v>1</v>
      </c>
      <c r="AH147" s="46" t="s">
        <v>588</v>
      </c>
      <c r="AI147" s="46" t="s">
        <v>1175</v>
      </c>
      <c r="AJ147" s="46" t="s">
        <v>376</v>
      </c>
      <c r="AK147" s="46" t="s">
        <v>658</v>
      </c>
      <c r="AL147" s="46" t="s">
        <v>1111</v>
      </c>
      <c r="AM147" s="46" t="s">
        <v>1126</v>
      </c>
      <c r="AN147" s="46" t="s">
        <v>376</v>
      </c>
      <c r="AO147" s="46" t="s">
        <v>658</v>
      </c>
      <c r="AP147" s="46"/>
      <c r="AQ147" s="46">
        <v>1</v>
      </c>
      <c r="AR147" s="46"/>
      <c r="AS147" s="46"/>
      <c r="AT147" s="46"/>
      <c r="AU147" s="46" t="s">
        <v>376</v>
      </c>
      <c r="AV147" s="46"/>
      <c r="AW147" s="46" t="s">
        <v>30</v>
      </c>
      <c r="AX147" s="46"/>
      <c r="AY147" s="46" t="s">
        <v>30</v>
      </c>
      <c r="AZ147" s="46"/>
      <c r="BA147" s="47"/>
      <c r="BB147" s="51"/>
      <c r="BC147" s="46" t="s">
        <v>30</v>
      </c>
      <c r="BD147" s="46"/>
      <c r="BE147" s="46"/>
      <c r="BF147" s="46">
        <v>1</v>
      </c>
      <c r="BG147" s="46">
        <v>1</v>
      </c>
      <c r="BH147" s="46">
        <v>1</v>
      </c>
      <c r="BI147" s="46" t="s">
        <v>804</v>
      </c>
      <c r="BJ147" s="46" t="s">
        <v>1151</v>
      </c>
      <c r="BK147" s="46">
        <v>1893</v>
      </c>
      <c r="BL147" s="46" t="str">
        <f>BK147&amp;BI147</f>
        <v>1893Everton</v>
      </c>
      <c r="BM147" s="52" t="str">
        <f>IF(AD147="Home",BI147,IF(AD147="Away",BJ147,Q147))</f>
        <v>Manchester</v>
      </c>
      <c r="BN147" s="46"/>
      <c r="BO147" s="46"/>
      <c r="BP147" s="46"/>
      <c r="BQ147" s="46"/>
      <c r="BR147" s="46"/>
      <c r="BS147" s="46"/>
      <c r="BT147" s="46"/>
      <c r="BU147" s="46"/>
      <c r="BV147" s="46" t="s">
        <v>376</v>
      </c>
      <c r="BW147" s="46" t="s">
        <v>376</v>
      </c>
      <c r="BX147" s="46"/>
      <c r="BZ147" s="53"/>
      <c r="CA147" s="53"/>
      <c r="CB147" s="93" t="str">
        <f>IF(OR(C147="",A147="",B147=""),"",TEXT(C147,"0000")&amp;TEXT(A147,"00")&amp;TEXT(B147,"00"))</f>
        <v>18930325</v>
      </c>
    </row>
    <row r="148" spans="1:80" s="52" customFormat="1" ht="12.95" customHeight="1" x14ac:dyDescent="0.2">
      <c r="A148" s="46">
        <v>3</v>
      </c>
      <c r="B148" s="46">
        <v>10</v>
      </c>
      <c r="C148" s="46">
        <v>1894</v>
      </c>
      <c r="D148" s="46" t="s">
        <v>658</v>
      </c>
      <c r="E148" s="46" t="s">
        <v>1181</v>
      </c>
      <c r="F148" s="47" t="s">
        <v>1010</v>
      </c>
      <c r="G148" s="46"/>
      <c r="H148" s="47" t="s">
        <v>1011</v>
      </c>
      <c r="I148" s="47"/>
      <c r="J148" s="48" t="s">
        <v>1182</v>
      </c>
      <c r="K148" s="46" t="s">
        <v>1105</v>
      </c>
      <c r="L148" s="46" t="s">
        <v>3</v>
      </c>
      <c r="M148" s="46" t="s">
        <v>1094</v>
      </c>
      <c r="N148" s="49">
        <v>1</v>
      </c>
      <c r="O148" s="49">
        <v>0</v>
      </c>
      <c r="P148" s="47" t="s">
        <v>1163</v>
      </c>
      <c r="Q148" s="47" t="s">
        <v>1097</v>
      </c>
      <c r="R148" s="47" t="s">
        <v>376</v>
      </c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50">
        <f>IF(L148="W",1,0)</f>
        <v>1</v>
      </c>
      <c r="AF148" s="50">
        <f>IF(L148="T",1,0)</f>
        <v>0</v>
      </c>
      <c r="AG148" s="50">
        <f>IF(L148="L",1,0)</f>
        <v>0</v>
      </c>
      <c r="AH148" s="46" t="s">
        <v>1073</v>
      </c>
      <c r="AI148" s="46" t="s">
        <v>1074</v>
      </c>
      <c r="AJ148" s="46" t="s">
        <v>376</v>
      </c>
      <c r="AK148" s="46" t="s">
        <v>658</v>
      </c>
      <c r="AL148" s="46" t="s">
        <v>1085</v>
      </c>
      <c r="AM148" s="46" t="s">
        <v>1086</v>
      </c>
      <c r="AN148" s="46" t="s">
        <v>376</v>
      </c>
      <c r="AO148" s="46" t="s">
        <v>658</v>
      </c>
      <c r="AP148" s="46"/>
      <c r="AQ148" s="46">
        <v>2</v>
      </c>
      <c r="AR148" s="46"/>
      <c r="AS148" s="46"/>
      <c r="AT148" s="46"/>
      <c r="AU148" s="46" t="s">
        <v>376</v>
      </c>
      <c r="AV148" s="46"/>
      <c r="AW148" s="46" t="s">
        <v>30</v>
      </c>
      <c r="AX148" s="46"/>
      <c r="AY148" s="46" t="s">
        <v>30</v>
      </c>
      <c r="AZ148" s="46"/>
      <c r="BA148" s="47"/>
      <c r="BB148" s="51"/>
      <c r="BC148" s="46"/>
      <c r="BD148" s="46"/>
      <c r="BE148" s="46"/>
      <c r="BF148" s="46">
        <v>1</v>
      </c>
      <c r="BG148" s="46">
        <v>2</v>
      </c>
      <c r="BH148" s="46">
        <v>1</v>
      </c>
      <c r="BI148" s="46" t="s">
        <v>1105</v>
      </c>
      <c r="BJ148" s="46" t="s">
        <v>1094</v>
      </c>
      <c r="BK148" s="46">
        <v>1894</v>
      </c>
      <c r="BL148" s="46" t="str">
        <f>BK148&amp;BI148</f>
        <v>1894Notts County</v>
      </c>
      <c r="BM148" s="52" t="str">
        <f>IF(AD148="Home",BI148,IF(AD148="Away",BJ148,Q148))</f>
        <v>Sheffield</v>
      </c>
      <c r="BN148" s="46"/>
      <c r="BO148" s="46"/>
      <c r="BP148" s="46"/>
      <c r="BQ148" s="46"/>
      <c r="BR148" s="46"/>
      <c r="BS148" s="46"/>
      <c r="BT148" s="46"/>
      <c r="BU148" s="46"/>
      <c r="BV148" s="46" t="s">
        <v>376</v>
      </c>
      <c r="BW148" s="46" t="s">
        <v>376</v>
      </c>
      <c r="BX148" s="46"/>
      <c r="BY148" s="50"/>
      <c r="BZ148" s="53"/>
      <c r="CA148" s="53"/>
      <c r="CB148" s="93" t="str">
        <f>IF(OR(C148="",A148="",B148=""),"",TEXT(C148,"0000")&amp;TEXT(A148,"00")&amp;TEXT(B148,"00"))</f>
        <v>18940310</v>
      </c>
    </row>
    <row r="149" spans="1:80" s="52" customFormat="1" ht="12.95" customHeight="1" x14ac:dyDescent="0.2">
      <c r="A149" s="46">
        <v>3</v>
      </c>
      <c r="B149" s="46">
        <v>10</v>
      </c>
      <c r="C149" s="46">
        <v>1894</v>
      </c>
      <c r="D149" s="46" t="s">
        <v>658</v>
      </c>
      <c r="E149" s="46" t="s">
        <v>1181</v>
      </c>
      <c r="F149" s="47" t="s">
        <v>1010</v>
      </c>
      <c r="G149" s="46"/>
      <c r="H149" s="47" t="s">
        <v>1011</v>
      </c>
      <c r="I149" s="47"/>
      <c r="J149" s="48" t="s">
        <v>1182</v>
      </c>
      <c r="K149" s="46" t="s">
        <v>1094</v>
      </c>
      <c r="L149" s="46" t="s">
        <v>4</v>
      </c>
      <c r="M149" s="46" t="s">
        <v>1105</v>
      </c>
      <c r="N149" s="49">
        <v>0</v>
      </c>
      <c r="O149" s="49">
        <v>1</v>
      </c>
      <c r="P149" s="47" t="s">
        <v>1163</v>
      </c>
      <c r="Q149" s="47" t="s">
        <v>1097</v>
      </c>
      <c r="R149" s="47" t="s">
        <v>376</v>
      </c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50">
        <f>IF(L149="W",1,0)</f>
        <v>0</v>
      </c>
      <c r="AF149" s="50">
        <f>IF(L149="T",1,0)</f>
        <v>0</v>
      </c>
      <c r="AG149" s="50">
        <f>IF(L149="L",1,0)</f>
        <v>1</v>
      </c>
      <c r="AH149" s="46" t="s">
        <v>1085</v>
      </c>
      <c r="AI149" s="46" t="s">
        <v>1086</v>
      </c>
      <c r="AJ149" s="46" t="s">
        <v>376</v>
      </c>
      <c r="AK149" s="46" t="s">
        <v>658</v>
      </c>
      <c r="AL149" s="46" t="s">
        <v>1073</v>
      </c>
      <c r="AM149" s="46" t="s">
        <v>1074</v>
      </c>
      <c r="AN149" s="46" t="s">
        <v>376</v>
      </c>
      <c r="AO149" s="46" t="s">
        <v>658</v>
      </c>
      <c r="AP149" s="46"/>
      <c r="AQ149" s="46">
        <v>2</v>
      </c>
      <c r="AR149" s="46"/>
      <c r="AS149" s="46"/>
      <c r="AT149" s="46"/>
      <c r="AU149" s="46" t="s">
        <v>376</v>
      </c>
      <c r="AV149" s="46"/>
      <c r="AW149" s="46" t="s">
        <v>30</v>
      </c>
      <c r="AX149" s="46"/>
      <c r="AY149" s="46" t="s">
        <v>30</v>
      </c>
      <c r="AZ149" s="46"/>
      <c r="BA149" s="47"/>
      <c r="BB149" s="51"/>
      <c r="BC149" s="46"/>
      <c r="BD149" s="46"/>
      <c r="BE149" s="46"/>
      <c r="BF149" s="46">
        <v>1</v>
      </c>
      <c r="BG149" s="46">
        <v>1</v>
      </c>
      <c r="BH149" s="46">
        <v>2</v>
      </c>
      <c r="BI149" s="46" t="s">
        <v>1094</v>
      </c>
      <c r="BJ149" s="46" t="s">
        <v>1105</v>
      </c>
      <c r="BK149" s="46">
        <v>1894</v>
      </c>
      <c r="BL149" s="46" t="str">
        <f>BK149&amp;BI149</f>
        <v>1894Blackburn Rovers</v>
      </c>
      <c r="BM149" s="52" t="str">
        <f>IF(AD149="Home",BI149,IF(AD149="Away",BJ149,Q149))</f>
        <v>Sheffield</v>
      </c>
      <c r="BN149" s="46"/>
      <c r="BO149" s="46"/>
      <c r="BP149" s="46"/>
      <c r="BQ149" s="46"/>
      <c r="BR149" s="46"/>
      <c r="BS149" s="46"/>
      <c r="BT149" s="46"/>
      <c r="BU149" s="46"/>
      <c r="BV149" s="46" t="s">
        <v>376</v>
      </c>
      <c r="BW149" s="46" t="s">
        <v>376</v>
      </c>
      <c r="BX149" s="46"/>
      <c r="BY149" s="50"/>
      <c r="BZ149" s="53"/>
      <c r="CA149" s="53"/>
      <c r="CB149" s="93" t="str">
        <f>IF(OR(C149="",A149="",B149=""),"",TEXT(C149,"0000")&amp;TEXT(A149,"00")&amp;TEXT(B149,"00"))</f>
        <v>18940310</v>
      </c>
    </row>
    <row r="150" spans="1:80" s="52" customFormat="1" ht="12.95" customHeight="1" x14ac:dyDescent="0.2">
      <c r="A150" s="46">
        <v>3</v>
      </c>
      <c r="B150" s="46">
        <v>10</v>
      </c>
      <c r="C150" s="46">
        <v>1894</v>
      </c>
      <c r="D150" s="46" t="s">
        <v>658</v>
      </c>
      <c r="E150" s="46" t="s">
        <v>1181</v>
      </c>
      <c r="F150" s="47" t="s">
        <v>1010</v>
      </c>
      <c r="G150" s="46"/>
      <c r="H150" s="47" t="s">
        <v>1011</v>
      </c>
      <c r="I150" s="47"/>
      <c r="J150" s="48" t="s">
        <v>1182</v>
      </c>
      <c r="K150" s="46" t="s">
        <v>1157</v>
      </c>
      <c r="L150" s="46" t="s">
        <v>3</v>
      </c>
      <c r="M150" s="46" t="s">
        <v>1093</v>
      </c>
      <c r="N150" s="49">
        <v>2</v>
      </c>
      <c r="O150" s="49">
        <v>1</v>
      </c>
      <c r="P150" s="47" t="s">
        <v>1180</v>
      </c>
      <c r="Q150" s="47" t="s">
        <v>1101</v>
      </c>
      <c r="R150" s="47" t="s">
        <v>376</v>
      </c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50">
        <f>IF(L150="W",1,0)</f>
        <v>1</v>
      </c>
      <c r="AF150" s="50">
        <f>IF(L150="T",1,0)</f>
        <v>0</v>
      </c>
      <c r="AG150" s="50">
        <f>IF(L150="L",1,0)</f>
        <v>0</v>
      </c>
      <c r="AH150" s="46" t="s">
        <v>1101</v>
      </c>
      <c r="AI150" s="46" t="s">
        <v>1159</v>
      </c>
      <c r="AJ150" s="46" t="s">
        <v>376</v>
      </c>
      <c r="AK150" s="46" t="s">
        <v>658</v>
      </c>
      <c r="AL150" s="46" t="s">
        <v>1097</v>
      </c>
      <c r="AM150" s="46" t="s">
        <v>1098</v>
      </c>
      <c r="AN150" s="46" t="s">
        <v>376</v>
      </c>
      <c r="AO150" s="46" t="s">
        <v>658</v>
      </c>
      <c r="AP150" s="46"/>
      <c r="AQ150" s="46">
        <v>2</v>
      </c>
      <c r="AR150" s="46"/>
      <c r="AS150" s="46"/>
      <c r="AT150" s="46"/>
      <c r="AU150" s="46" t="s">
        <v>376</v>
      </c>
      <c r="AV150" s="46"/>
      <c r="AW150" s="46" t="s">
        <v>30</v>
      </c>
      <c r="AX150" s="46"/>
      <c r="AY150" s="46" t="s">
        <v>30</v>
      </c>
      <c r="AZ150" s="46"/>
      <c r="BA150" s="47"/>
      <c r="BB150" s="51"/>
      <c r="BC150" s="46"/>
      <c r="BD150" s="46"/>
      <c r="BE150" s="46"/>
      <c r="BF150" s="46">
        <v>1</v>
      </c>
      <c r="BG150" s="46">
        <v>1</v>
      </c>
      <c r="BH150" s="46">
        <v>1</v>
      </c>
      <c r="BI150" s="46" t="s">
        <v>1157</v>
      </c>
      <c r="BJ150" s="46" t="s">
        <v>1093</v>
      </c>
      <c r="BK150" s="46">
        <v>1894</v>
      </c>
      <c r="BL150" s="46" t="str">
        <f>BK150&amp;BI150</f>
        <v>1894Bolton Wanderers</v>
      </c>
      <c r="BM150" s="52" t="str">
        <f>IF(AD150="Home",BI150,IF(AD150="Away",BJ150,Q150))</f>
        <v>Manchester</v>
      </c>
      <c r="BN150" s="46"/>
      <c r="BO150" s="46"/>
      <c r="BP150" s="46"/>
      <c r="BQ150" s="46"/>
      <c r="BR150" s="46"/>
      <c r="BS150" s="46"/>
      <c r="BT150" s="46"/>
      <c r="BU150" s="46"/>
      <c r="BV150" s="46" t="s">
        <v>376</v>
      </c>
      <c r="BW150" s="46" t="s">
        <v>376</v>
      </c>
      <c r="BX150" s="46"/>
      <c r="BZ150" s="53"/>
      <c r="CA150" s="53"/>
      <c r="CB150" s="93" t="str">
        <f>IF(OR(C150="",A150="",B150=""),"",TEXT(C150,"0000")&amp;TEXT(A150,"00")&amp;TEXT(B150,"00"))</f>
        <v>18940310</v>
      </c>
    </row>
    <row r="151" spans="1:80" s="52" customFormat="1" ht="12.95" customHeight="1" x14ac:dyDescent="0.2">
      <c r="A151" s="46">
        <v>3</v>
      </c>
      <c r="B151" s="46">
        <v>10</v>
      </c>
      <c r="C151" s="46">
        <v>1894</v>
      </c>
      <c r="D151" s="46" t="s">
        <v>658</v>
      </c>
      <c r="E151" s="46" t="s">
        <v>1181</v>
      </c>
      <c r="F151" s="47" t="s">
        <v>1010</v>
      </c>
      <c r="G151" s="46"/>
      <c r="H151" s="47" t="s">
        <v>1011</v>
      </c>
      <c r="I151" s="47"/>
      <c r="J151" s="48" t="s">
        <v>1182</v>
      </c>
      <c r="K151" s="46" t="s">
        <v>1093</v>
      </c>
      <c r="L151" s="46" t="s">
        <v>4</v>
      </c>
      <c r="M151" s="46" t="s">
        <v>1157</v>
      </c>
      <c r="N151" s="49">
        <v>1</v>
      </c>
      <c r="O151" s="49">
        <v>2</v>
      </c>
      <c r="P151" s="47" t="s">
        <v>1180</v>
      </c>
      <c r="Q151" s="47" t="s">
        <v>1101</v>
      </c>
      <c r="R151" s="47" t="s">
        <v>376</v>
      </c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50">
        <f>IF(L151="W",1,0)</f>
        <v>0</v>
      </c>
      <c r="AF151" s="50">
        <f>IF(L151="T",1,0)</f>
        <v>0</v>
      </c>
      <c r="AG151" s="50">
        <f>IF(L151="L",1,0)</f>
        <v>1</v>
      </c>
      <c r="AH151" s="46" t="s">
        <v>1097</v>
      </c>
      <c r="AI151" s="46" t="s">
        <v>1098</v>
      </c>
      <c r="AJ151" s="46" t="s">
        <v>376</v>
      </c>
      <c r="AK151" s="46" t="s">
        <v>658</v>
      </c>
      <c r="AL151" s="46" t="s">
        <v>1101</v>
      </c>
      <c r="AM151" s="46" t="s">
        <v>1159</v>
      </c>
      <c r="AN151" s="46" t="s">
        <v>376</v>
      </c>
      <c r="AO151" s="46" t="s">
        <v>658</v>
      </c>
      <c r="AP151" s="46"/>
      <c r="AQ151" s="46">
        <v>2</v>
      </c>
      <c r="AR151" s="46"/>
      <c r="AS151" s="46"/>
      <c r="AT151" s="46"/>
      <c r="AU151" s="46" t="s">
        <v>376</v>
      </c>
      <c r="AV151" s="46"/>
      <c r="AW151" s="46" t="s">
        <v>30</v>
      </c>
      <c r="AX151" s="46"/>
      <c r="AY151" s="46" t="s">
        <v>30</v>
      </c>
      <c r="AZ151" s="46"/>
      <c r="BA151" s="47"/>
      <c r="BB151" s="51"/>
      <c r="BC151" s="46"/>
      <c r="BD151" s="46"/>
      <c r="BE151" s="46"/>
      <c r="BF151" s="46">
        <v>1</v>
      </c>
      <c r="BG151" s="46">
        <v>1</v>
      </c>
      <c r="BH151" s="46">
        <v>1</v>
      </c>
      <c r="BI151" s="46" t="s">
        <v>1093</v>
      </c>
      <c r="BJ151" s="46" t="s">
        <v>1157</v>
      </c>
      <c r="BK151" s="46">
        <v>1894</v>
      </c>
      <c r="BL151" s="46" t="str">
        <f>BK151&amp;BI151</f>
        <v>1894Sheffield Wednesday</v>
      </c>
      <c r="BM151" s="52" t="str">
        <f>IF(AD151="Home",BI151,IF(AD151="Away",BJ151,Q151))</f>
        <v>Manchester</v>
      </c>
      <c r="BN151" s="46"/>
      <c r="BO151" s="46"/>
      <c r="BP151" s="46"/>
      <c r="BQ151" s="46"/>
      <c r="BR151" s="46"/>
      <c r="BS151" s="46"/>
      <c r="BT151" s="46"/>
      <c r="BU151" s="46"/>
      <c r="BV151" s="46" t="s">
        <v>376</v>
      </c>
      <c r="BW151" s="46" t="s">
        <v>376</v>
      </c>
      <c r="BX151" s="46"/>
      <c r="BZ151" s="53"/>
      <c r="CA151" s="53"/>
      <c r="CB151" s="93" t="str">
        <f>IF(OR(C151="",A151="",B151=""),"",TEXT(C151,"0000")&amp;TEXT(A151,"00")&amp;TEXT(B151,"00"))</f>
        <v>18940310</v>
      </c>
    </row>
    <row r="152" spans="1:80" s="52" customFormat="1" ht="12.95" customHeight="1" x14ac:dyDescent="0.2">
      <c r="A152" s="46">
        <v>3</v>
      </c>
      <c r="B152" s="46">
        <v>31</v>
      </c>
      <c r="C152" s="46">
        <v>1894</v>
      </c>
      <c r="D152" s="46" t="s">
        <v>658</v>
      </c>
      <c r="E152" s="46" t="s">
        <v>1181</v>
      </c>
      <c r="F152" s="47" t="s">
        <v>1010</v>
      </c>
      <c r="G152" s="46"/>
      <c r="H152" s="47" t="s">
        <v>1025</v>
      </c>
      <c r="I152" s="47"/>
      <c r="J152" s="48" t="s">
        <v>1183</v>
      </c>
      <c r="K152" s="46" t="s">
        <v>1105</v>
      </c>
      <c r="L152" s="46" t="s">
        <v>3</v>
      </c>
      <c r="M152" s="46" t="s">
        <v>1157</v>
      </c>
      <c r="N152" s="49">
        <v>4</v>
      </c>
      <c r="O152" s="49">
        <v>1</v>
      </c>
      <c r="P152" s="47" t="s">
        <v>1184</v>
      </c>
      <c r="Q152" s="47" t="s">
        <v>588</v>
      </c>
      <c r="R152" s="47" t="s">
        <v>376</v>
      </c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50">
        <f>IF(L152="W",1,0)</f>
        <v>1</v>
      </c>
      <c r="AF152" s="50">
        <f>IF(L152="T",1,0)</f>
        <v>0</v>
      </c>
      <c r="AG152" s="50">
        <f>IF(L152="L",1,0)</f>
        <v>0</v>
      </c>
      <c r="AH152" s="46" t="s">
        <v>1073</v>
      </c>
      <c r="AI152" s="46" t="s">
        <v>1074</v>
      </c>
      <c r="AJ152" s="46" t="s">
        <v>376</v>
      </c>
      <c r="AK152" s="46" t="s">
        <v>658</v>
      </c>
      <c r="AL152" s="46" t="s">
        <v>1101</v>
      </c>
      <c r="AM152" s="46" t="s">
        <v>1159</v>
      </c>
      <c r="AN152" s="46" t="s">
        <v>376</v>
      </c>
      <c r="AO152" s="46" t="s">
        <v>658</v>
      </c>
      <c r="AP152" s="46"/>
      <c r="AQ152" s="46">
        <v>1</v>
      </c>
      <c r="AR152" s="46"/>
      <c r="AS152" s="46"/>
      <c r="AT152" s="46"/>
      <c r="AU152" s="46" t="s">
        <v>376</v>
      </c>
      <c r="AV152" s="46"/>
      <c r="AW152" s="46" t="s">
        <v>30</v>
      </c>
      <c r="AX152" s="46"/>
      <c r="AY152" s="46" t="s">
        <v>30</v>
      </c>
      <c r="AZ152" s="46"/>
      <c r="BA152" s="47"/>
      <c r="BB152" s="51" t="s">
        <v>30</v>
      </c>
      <c r="BC152" s="46" t="s">
        <v>30</v>
      </c>
      <c r="BD152" s="46"/>
      <c r="BE152" s="46"/>
      <c r="BF152" s="46">
        <v>1</v>
      </c>
      <c r="BG152" s="46">
        <v>2</v>
      </c>
      <c r="BH152" s="46">
        <v>1</v>
      </c>
      <c r="BI152" s="46" t="s">
        <v>1105</v>
      </c>
      <c r="BJ152" s="46" t="s">
        <v>1157</v>
      </c>
      <c r="BK152" s="46">
        <v>1894</v>
      </c>
      <c r="BL152" s="46" t="str">
        <f>BK152&amp;BI152</f>
        <v>1894Notts County</v>
      </c>
      <c r="BM152" s="52" t="str">
        <f>IF(AD152="Home",BI152,IF(AD152="Away",BJ152,Q152))</f>
        <v>Liverpool</v>
      </c>
      <c r="BN152" s="46"/>
      <c r="BO152" s="46"/>
      <c r="BP152" s="46"/>
      <c r="BQ152" s="46"/>
      <c r="BR152" s="46"/>
      <c r="BS152" s="46"/>
      <c r="BT152" s="46"/>
      <c r="BU152" s="46"/>
      <c r="BV152" s="46" t="s">
        <v>376</v>
      </c>
      <c r="BW152" s="46" t="s">
        <v>376</v>
      </c>
      <c r="BX152" s="46"/>
      <c r="BZ152" s="53"/>
      <c r="CA152" s="53"/>
      <c r="CB152" s="93" t="str">
        <f>IF(OR(C152="",A152="",B152=""),"",TEXT(C152,"0000")&amp;TEXT(A152,"00")&amp;TEXT(B152,"00"))</f>
        <v>18940331</v>
      </c>
    </row>
    <row r="153" spans="1:80" s="52" customFormat="1" ht="12.95" customHeight="1" x14ac:dyDescent="0.2">
      <c r="A153" s="46">
        <v>3</v>
      </c>
      <c r="B153" s="46">
        <v>31</v>
      </c>
      <c r="C153" s="46">
        <v>1894</v>
      </c>
      <c r="D153" s="46" t="s">
        <v>658</v>
      </c>
      <c r="E153" s="46" t="s">
        <v>1181</v>
      </c>
      <c r="F153" s="47" t="s">
        <v>1010</v>
      </c>
      <c r="G153" s="46"/>
      <c r="H153" s="47" t="s">
        <v>1025</v>
      </c>
      <c r="I153" s="47"/>
      <c r="J153" s="48" t="s">
        <v>1183</v>
      </c>
      <c r="K153" s="46" t="s">
        <v>1157</v>
      </c>
      <c r="L153" s="46" t="s">
        <v>4</v>
      </c>
      <c r="M153" s="46" t="s">
        <v>1105</v>
      </c>
      <c r="N153" s="49">
        <v>1</v>
      </c>
      <c r="O153" s="49">
        <v>4</v>
      </c>
      <c r="P153" s="47" t="s">
        <v>1184</v>
      </c>
      <c r="Q153" s="47" t="s">
        <v>588</v>
      </c>
      <c r="R153" s="47" t="s">
        <v>376</v>
      </c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50">
        <f>IF(L153="W",1,0)</f>
        <v>0</v>
      </c>
      <c r="AF153" s="50">
        <f>IF(L153="T",1,0)</f>
        <v>0</v>
      </c>
      <c r="AG153" s="50">
        <f>IF(L153="L",1,0)</f>
        <v>1</v>
      </c>
      <c r="AH153" s="46" t="s">
        <v>1101</v>
      </c>
      <c r="AI153" s="46" t="s">
        <v>1159</v>
      </c>
      <c r="AJ153" s="46" t="s">
        <v>376</v>
      </c>
      <c r="AK153" s="46" t="s">
        <v>658</v>
      </c>
      <c r="AL153" s="46" t="s">
        <v>1073</v>
      </c>
      <c r="AM153" s="46" t="s">
        <v>1074</v>
      </c>
      <c r="AN153" s="46" t="s">
        <v>376</v>
      </c>
      <c r="AO153" s="46" t="s">
        <v>658</v>
      </c>
      <c r="AP153" s="46"/>
      <c r="AQ153" s="46">
        <v>1</v>
      </c>
      <c r="AR153" s="46"/>
      <c r="AS153" s="46"/>
      <c r="AT153" s="46"/>
      <c r="AU153" s="46" t="s">
        <v>376</v>
      </c>
      <c r="AV153" s="46"/>
      <c r="AW153" s="46" t="s">
        <v>30</v>
      </c>
      <c r="AX153" s="46"/>
      <c r="AY153" s="46" t="s">
        <v>30</v>
      </c>
      <c r="AZ153" s="46"/>
      <c r="BA153" s="47"/>
      <c r="BB153" s="51"/>
      <c r="BC153" s="46" t="s">
        <v>30</v>
      </c>
      <c r="BD153" s="46"/>
      <c r="BE153" s="46"/>
      <c r="BF153" s="46">
        <v>1</v>
      </c>
      <c r="BG153" s="46">
        <v>1</v>
      </c>
      <c r="BH153" s="46">
        <v>2</v>
      </c>
      <c r="BI153" s="46" t="s">
        <v>1157</v>
      </c>
      <c r="BJ153" s="46" t="s">
        <v>1105</v>
      </c>
      <c r="BK153" s="46">
        <v>1894</v>
      </c>
      <c r="BL153" s="46" t="str">
        <f>BK153&amp;BI153</f>
        <v>1894Bolton Wanderers</v>
      </c>
      <c r="BM153" s="52" t="str">
        <f>IF(AD153="Home",BI153,IF(AD153="Away",BJ153,Q153))</f>
        <v>Liverpool</v>
      </c>
      <c r="BN153" s="46"/>
      <c r="BO153" s="46"/>
      <c r="BP153" s="46"/>
      <c r="BQ153" s="46"/>
      <c r="BR153" s="46"/>
      <c r="BS153" s="46"/>
      <c r="BT153" s="46"/>
      <c r="BU153" s="46"/>
      <c r="BV153" s="46" t="s">
        <v>376</v>
      </c>
      <c r="BW153" s="46" t="s">
        <v>376</v>
      </c>
      <c r="BX153" s="46"/>
      <c r="BZ153" s="53"/>
      <c r="CA153" s="53"/>
      <c r="CB153" s="93" t="str">
        <f>IF(OR(C153="",A153="",B153=""),"",TEXT(C153,"0000")&amp;TEXT(A153,"00")&amp;TEXT(B153,"00"))</f>
        <v>18940331</v>
      </c>
    </row>
    <row r="154" spans="1:80" s="52" customFormat="1" ht="12.95" customHeight="1" x14ac:dyDescent="0.2">
      <c r="A154" s="46">
        <v>3</v>
      </c>
      <c r="B154" s="46">
        <v>16</v>
      </c>
      <c r="C154" s="46">
        <v>1895</v>
      </c>
      <c r="D154" s="46" t="s">
        <v>658</v>
      </c>
      <c r="E154" s="46" t="s">
        <v>1185</v>
      </c>
      <c r="F154" s="47" t="s">
        <v>1010</v>
      </c>
      <c r="G154" s="46"/>
      <c r="H154" s="47" t="s">
        <v>1011</v>
      </c>
      <c r="I154" s="47"/>
      <c r="J154" s="48" t="s">
        <v>1186</v>
      </c>
      <c r="K154" s="46" t="s">
        <v>1124</v>
      </c>
      <c r="L154" s="46" t="s">
        <v>3</v>
      </c>
      <c r="M154" s="46" t="s">
        <v>1093</v>
      </c>
      <c r="N154" s="49">
        <v>2</v>
      </c>
      <c r="O154" s="49">
        <v>0</v>
      </c>
      <c r="P154" s="46" t="s">
        <v>1117</v>
      </c>
      <c r="Q154" s="47" t="s">
        <v>979</v>
      </c>
      <c r="R154" s="47" t="s">
        <v>376</v>
      </c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50">
        <f>IF(L154="W",1,0)</f>
        <v>1</v>
      </c>
      <c r="AF154" s="50">
        <f>IF(L154="T",1,0)</f>
        <v>0</v>
      </c>
      <c r="AG154" s="50">
        <f>IF(L154="L",1,0)</f>
        <v>0</v>
      </c>
      <c r="AH154" s="46" t="s">
        <v>1111</v>
      </c>
      <c r="AI154" s="46" t="s">
        <v>1126</v>
      </c>
      <c r="AJ154" s="46" t="s">
        <v>376</v>
      </c>
      <c r="AK154" s="46" t="s">
        <v>658</v>
      </c>
      <c r="AL154" s="46" t="s">
        <v>1097</v>
      </c>
      <c r="AM154" s="46" t="s">
        <v>1098</v>
      </c>
      <c r="AN154" s="46" t="s">
        <v>376</v>
      </c>
      <c r="AO154" s="46" t="s">
        <v>658</v>
      </c>
      <c r="AP154" s="46"/>
      <c r="AQ154" s="46">
        <v>2</v>
      </c>
      <c r="AR154" s="46"/>
      <c r="AS154" s="46"/>
      <c r="AT154" s="46"/>
      <c r="AU154" s="46" t="s">
        <v>376</v>
      </c>
      <c r="AV154" s="46"/>
      <c r="AW154" s="46" t="s">
        <v>30</v>
      </c>
      <c r="AX154" s="46"/>
      <c r="AY154" s="46" t="s">
        <v>30</v>
      </c>
      <c r="AZ154" s="46"/>
      <c r="BA154" s="47"/>
      <c r="BB154" s="51"/>
      <c r="BC154" s="46"/>
      <c r="BD154" s="46"/>
      <c r="BE154" s="46"/>
      <c r="BF154" s="46">
        <v>1</v>
      </c>
      <c r="BG154" s="46">
        <v>1</v>
      </c>
      <c r="BH154" s="46">
        <v>1</v>
      </c>
      <c r="BI154" s="46" t="s">
        <v>1124</v>
      </c>
      <c r="BJ154" s="46" t="s">
        <v>1093</v>
      </c>
      <c r="BK154" s="46">
        <v>1895</v>
      </c>
      <c r="BL154" s="46" t="str">
        <f>BK154&amp;BI154</f>
        <v>1895West Bromwich Albion</v>
      </c>
      <c r="BM154" s="52" t="str">
        <f>IF(AD154="Home",BI154,IF(AD154="Away",BJ154,Q154))</f>
        <v>Derby</v>
      </c>
      <c r="BN154" s="46"/>
      <c r="BO154" s="46"/>
      <c r="BP154" s="46"/>
      <c r="BQ154" s="46"/>
      <c r="BR154" s="46"/>
      <c r="BS154" s="46"/>
      <c r="BT154" s="46"/>
      <c r="BU154" s="46"/>
      <c r="BV154" s="46" t="s">
        <v>376</v>
      </c>
      <c r="BW154" s="46" t="s">
        <v>376</v>
      </c>
      <c r="BX154" s="46"/>
      <c r="BZ154" s="53"/>
      <c r="CA154" s="53"/>
      <c r="CB154" s="93" t="str">
        <f>IF(OR(C154="",A154="",B154=""),"",TEXT(C154,"0000")&amp;TEXT(A154,"00")&amp;TEXT(B154,"00"))</f>
        <v>18950316</v>
      </c>
    </row>
    <row r="155" spans="1:80" s="52" customFormat="1" ht="12.95" customHeight="1" x14ac:dyDescent="0.2">
      <c r="A155" s="46">
        <v>3</v>
      </c>
      <c r="B155" s="46">
        <v>16</v>
      </c>
      <c r="C155" s="46">
        <v>1895</v>
      </c>
      <c r="D155" s="46" t="s">
        <v>658</v>
      </c>
      <c r="E155" s="46" t="s">
        <v>1185</v>
      </c>
      <c r="F155" s="47" t="s">
        <v>1010</v>
      </c>
      <c r="G155" s="46"/>
      <c r="H155" s="47" t="s">
        <v>1011</v>
      </c>
      <c r="I155" s="47"/>
      <c r="J155" s="48" t="s">
        <v>1186</v>
      </c>
      <c r="K155" s="46" t="s">
        <v>1093</v>
      </c>
      <c r="L155" s="46" t="s">
        <v>4</v>
      </c>
      <c r="M155" s="46" t="s">
        <v>1124</v>
      </c>
      <c r="N155" s="49">
        <v>0</v>
      </c>
      <c r="O155" s="49">
        <v>2</v>
      </c>
      <c r="P155" s="46" t="s">
        <v>1117</v>
      </c>
      <c r="Q155" s="47" t="s">
        <v>979</v>
      </c>
      <c r="R155" s="47" t="s">
        <v>376</v>
      </c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50">
        <f>IF(L155="W",1,0)</f>
        <v>0</v>
      </c>
      <c r="AF155" s="50">
        <f>IF(L155="T",1,0)</f>
        <v>0</v>
      </c>
      <c r="AG155" s="50">
        <f>IF(L155="L",1,0)</f>
        <v>1</v>
      </c>
      <c r="AH155" s="46" t="s">
        <v>1097</v>
      </c>
      <c r="AI155" s="46" t="s">
        <v>1098</v>
      </c>
      <c r="AJ155" s="46" t="s">
        <v>376</v>
      </c>
      <c r="AK155" s="46" t="s">
        <v>658</v>
      </c>
      <c r="AL155" s="46" t="s">
        <v>1111</v>
      </c>
      <c r="AM155" s="46" t="s">
        <v>1126</v>
      </c>
      <c r="AN155" s="46" t="s">
        <v>376</v>
      </c>
      <c r="AO155" s="46" t="s">
        <v>658</v>
      </c>
      <c r="AP155" s="46"/>
      <c r="AQ155" s="46">
        <v>2</v>
      </c>
      <c r="AR155" s="46"/>
      <c r="AS155" s="46"/>
      <c r="AT155" s="46"/>
      <c r="AU155" s="46" t="s">
        <v>376</v>
      </c>
      <c r="AV155" s="46"/>
      <c r="AW155" s="46" t="s">
        <v>30</v>
      </c>
      <c r="AX155" s="46"/>
      <c r="AY155" s="46" t="s">
        <v>30</v>
      </c>
      <c r="AZ155" s="46"/>
      <c r="BA155" s="47"/>
      <c r="BB155" s="51"/>
      <c r="BC155" s="46"/>
      <c r="BD155" s="46"/>
      <c r="BE155" s="46"/>
      <c r="BF155" s="46">
        <v>1</v>
      </c>
      <c r="BG155" s="46">
        <v>1</v>
      </c>
      <c r="BH155" s="46">
        <v>1</v>
      </c>
      <c r="BI155" s="46" t="s">
        <v>1093</v>
      </c>
      <c r="BJ155" s="46" t="s">
        <v>1124</v>
      </c>
      <c r="BK155" s="46">
        <v>1895</v>
      </c>
      <c r="BL155" s="46" t="str">
        <f>BK155&amp;BI155</f>
        <v>1895Sheffield Wednesday</v>
      </c>
      <c r="BM155" s="52" t="str">
        <f>IF(AD155="Home",BI155,IF(AD155="Away",BJ155,Q155))</f>
        <v>Derby</v>
      </c>
      <c r="BN155" s="46"/>
      <c r="BO155" s="46"/>
      <c r="BP155" s="46"/>
      <c r="BQ155" s="46"/>
      <c r="BR155" s="46"/>
      <c r="BS155" s="46"/>
      <c r="BT155" s="46"/>
      <c r="BU155" s="46"/>
      <c r="BV155" s="46" t="s">
        <v>376</v>
      </c>
      <c r="BW155" s="46" t="s">
        <v>376</v>
      </c>
      <c r="BX155" s="46"/>
      <c r="BZ155" s="53"/>
      <c r="CA155" s="53"/>
      <c r="CB155" s="93" t="str">
        <f>IF(OR(C155="",A155="",B155=""),"",TEXT(C155,"0000")&amp;TEXT(A155,"00")&amp;TEXT(B155,"00"))</f>
        <v>18950316</v>
      </c>
    </row>
    <row r="156" spans="1:80" s="52" customFormat="1" ht="12.95" customHeight="1" x14ac:dyDescent="0.2">
      <c r="A156" s="46">
        <v>3</v>
      </c>
      <c r="B156" s="46">
        <v>16</v>
      </c>
      <c r="C156" s="46">
        <v>1895</v>
      </c>
      <c r="D156" s="46" t="s">
        <v>658</v>
      </c>
      <c r="E156" s="46" t="s">
        <v>1185</v>
      </c>
      <c r="F156" s="47" t="s">
        <v>1010</v>
      </c>
      <c r="G156" s="46"/>
      <c r="H156" s="47" t="s">
        <v>1011</v>
      </c>
      <c r="I156" s="47"/>
      <c r="J156" s="48" t="s">
        <v>1186</v>
      </c>
      <c r="K156" s="46" t="s">
        <v>806</v>
      </c>
      <c r="L156" s="46" t="s">
        <v>3</v>
      </c>
      <c r="M156" s="46" t="s">
        <v>793</v>
      </c>
      <c r="N156" s="49">
        <v>2</v>
      </c>
      <c r="O156" s="49">
        <v>1</v>
      </c>
      <c r="P156" s="47" t="s">
        <v>1178</v>
      </c>
      <c r="Q156" s="47" t="s">
        <v>1085</v>
      </c>
      <c r="R156" s="47" t="s">
        <v>376</v>
      </c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50">
        <f>IF(L156="W",1,0)</f>
        <v>1</v>
      </c>
      <c r="AF156" s="50">
        <f>IF(L156="T",1,0)</f>
        <v>0</v>
      </c>
      <c r="AG156" s="50">
        <f>IF(L156="L",1,0)</f>
        <v>0</v>
      </c>
      <c r="AH156" s="46" t="s">
        <v>1111</v>
      </c>
      <c r="AI156" s="46" t="s">
        <v>1126</v>
      </c>
      <c r="AJ156" s="46" t="s">
        <v>376</v>
      </c>
      <c r="AK156" s="46" t="s">
        <v>658</v>
      </c>
      <c r="AL156" s="46" t="s">
        <v>793</v>
      </c>
      <c r="AM156" s="46" t="s">
        <v>1164</v>
      </c>
      <c r="AN156" s="46" t="s">
        <v>376</v>
      </c>
      <c r="AO156" s="46" t="s">
        <v>658</v>
      </c>
      <c r="AP156" s="46"/>
      <c r="AQ156" s="46">
        <v>2</v>
      </c>
      <c r="AR156" s="46"/>
      <c r="AS156" s="46"/>
      <c r="AT156" s="46"/>
      <c r="AU156" s="46" t="s">
        <v>376</v>
      </c>
      <c r="AV156" s="46"/>
      <c r="AW156" s="46" t="s">
        <v>30</v>
      </c>
      <c r="AX156" s="46"/>
      <c r="AY156" s="46" t="s">
        <v>30</v>
      </c>
      <c r="AZ156" s="46"/>
      <c r="BA156" s="47"/>
      <c r="BB156" s="51"/>
      <c r="BC156" s="46"/>
      <c r="BD156" s="46"/>
      <c r="BE156" s="46"/>
      <c r="BF156" s="46">
        <v>1</v>
      </c>
      <c r="BG156" s="46">
        <v>1</v>
      </c>
      <c r="BH156" s="46">
        <v>1</v>
      </c>
      <c r="BI156" s="46" t="s">
        <v>806</v>
      </c>
      <c r="BJ156" s="46" t="s">
        <v>793</v>
      </c>
      <c r="BK156" s="46">
        <v>1895</v>
      </c>
      <c r="BL156" s="46" t="str">
        <f>BK156&amp;BI156</f>
        <v>1895Aston Villa</v>
      </c>
      <c r="BM156" s="52" t="str">
        <f>IF(AD156="Home",BI156,IF(AD156="Away",BJ156,Q156))</f>
        <v>Blackburn</v>
      </c>
      <c r="BN156" s="46"/>
      <c r="BO156" s="46"/>
      <c r="BP156" s="46"/>
      <c r="BQ156" s="46"/>
      <c r="BR156" s="46"/>
      <c r="BS156" s="46"/>
      <c r="BT156" s="46"/>
      <c r="BU156" s="46"/>
      <c r="BV156" s="46" t="s">
        <v>376</v>
      </c>
      <c r="BW156" s="46" t="s">
        <v>376</v>
      </c>
      <c r="BX156" s="46"/>
      <c r="BZ156" s="53"/>
      <c r="CA156" s="53"/>
      <c r="CB156" s="93" t="str">
        <f>IF(OR(C156="",A156="",B156=""),"",TEXT(C156,"0000")&amp;TEXT(A156,"00")&amp;TEXT(B156,"00"))</f>
        <v>18950316</v>
      </c>
    </row>
    <row r="157" spans="1:80" s="52" customFormat="1" ht="12.95" customHeight="1" x14ac:dyDescent="0.2">
      <c r="A157" s="46">
        <v>3</v>
      </c>
      <c r="B157" s="46">
        <v>16</v>
      </c>
      <c r="C157" s="46">
        <v>1895</v>
      </c>
      <c r="D157" s="46" t="s">
        <v>658</v>
      </c>
      <c r="E157" s="46" t="s">
        <v>1185</v>
      </c>
      <c r="F157" s="47" t="s">
        <v>1010</v>
      </c>
      <c r="G157" s="46"/>
      <c r="H157" s="47" t="s">
        <v>1011</v>
      </c>
      <c r="I157" s="47"/>
      <c r="J157" s="48" t="s">
        <v>1186</v>
      </c>
      <c r="K157" s="46" t="s">
        <v>793</v>
      </c>
      <c r="L157" s="46" t="s">
        <v>4</v>
      </c>
      <c r="M157" s="46" t="s">
        <v>806</v>
      </c>
      <c r="N157" s="49">
        <v>1</v>
      </c>
      <c r="O157" s="49">
        <v>2</v>
      </c>
      <c r="P157" s="47" t="s">
        <v>1178</v>
      </c>
      <c r="Q157" s="47" t="s">
        <v>1085</v>
      </c>
      <c r="R157" s="47" t="s">
        <v>376</v>
      </c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50">
        <f>IF(L157="W",1,0)</f>
        <v>0</v>
      </c>
      <c r="AF157" s="50">
        <f>IF(L157="T",1,0)</f>
        <v>0</v>
      </c>
      <c r="AG157" s="50">
        <f>IF(L157="L",1,0)</f>
        <v>1</v>
      </c>
      <c r="AH157" s="46" t="s">
        <v>793</v>
      </c>
      <c r="AI157" s="46" t="s">
        <v>1164</v>
      </c>
      <c r="AJ157" s="46" t="s">
        <v>376</v>
      </c>
      <c r="AK157" s="46" t="s">
        <v>658</v>
      </c>
      <c r="AL157" s="46" t="s">
        <v>1111</v>
      </c>
      <c r="AM157" s="46" t="s">
        <v>1126</v>
      </c>
      <c r="AN157" s="46" t="s">
        <v>376</v>
      </c>
      <c r="AO157" s="46" t="s">
        <v>658</v>
      </c>
      <c r="AP157" s="46"/>
      <c r="AQ157" s="46">
        <v>2</v>
      </c>
      <c r="AR157" s="46"/>
      <c r="AS157" s="46"/>
      <c r="AT157" s="46"/>
      <c r="AU157" s="46" t="s">
        <v>376</v>
      </c>
      <c r="AV157" s="46"/>
      <c r="AW157" s="46" t="s">
        <v>30</v>
      </c>
      <c r="AX157" s="46"/>
      <c r="AY157" s="46" t="s">
        <v>30</v>
      </c>
      <c r="AZ157" s="46"/>
      <c r="BA157" s="47"/>
      <c r="BB157" s="51"/>
      <c r="BC157" s="46"/>
      <c r="BD157" s="46"/>
      <c r="BE157" s="46"/>
      <c r="BF157" s="46">
        <v>1</v>
      </c>
      <c r="BG157" s="46">
        <v>1</v>
      </c>
      <c r="BH157" s="46">
        <v>1</v>
      </c>
      <c r="BI157" s="46" t="s">
        <v>793</v>
      </c>
      <c r="BJ157" s="46" t="s">
        <v>806</v>
      </c>
      <c r="BK157" s="46">
        <v>1895</v>
      </c>
      <c r="BL157" s="46" t="str">
        <f>BK157&amp;BI157</f>
        <v>1895Sunderland</v>
      </c>
      <c r="BM157" s="52" t="str">
        <f>IF(AD157="Home",BI157,IF(AD157="Away",BJ157,Q157))</f>
        <v>Blackburn</v>
      </c>
      <c r="BN157" s="46"/>
      <c r="BO157" s="46"/>
      <c r="BP157" s="46"/>
      <c r="BQ157" s="46"/>
      <c r="BR157" s="46"/>
      <c r="BS157" s="46"/>
      <c r="BT157" s="46"/>
      <c r="BU157" s="46"/>
      <c r="BV157" s="46" t="s">
        <v>376</v>
      </c>
      <c r="BW157" s="46" t="s">
        <v>376</v>
      </c>
      <c r="BX157" s="46"/>
      <c r="BZ157" s="53"/>
      <c r="CA157" s="53"/>
      <c r="CB157" s="93" t="str">
        <f>IF(OR(C157="",A157="",B157=""),"",TEXT(C157,"0000")&amp;TEXT(A157,"00")&amp;TEXT(B157,"00"))</f>
        <v>18950316</v>
      </c>
    </row>
    <row r="158" spans="1:80" s="52" customFormat="1" ht="12.95" customHeight="1" x14ac:dyDescent="0.2">
      <c r="A158" s="46">
        <v>4</v>
      </c>
      <c r="B158" s="46">
        <v>20</v>
      </c>
      <c r="C158" s="46">
        <v>1895</v>
      </c>
      <c r="D158" s="46" t="s">
        <v>658</v>
      </c>
      <c r="E158" s="46" t="s">
        <v>1185</v>
      </c>
      <c r="F158" s="47" t="s">
        <v>1010</v>
      </c>
      <c r="G158" s="46"/>
      <c r="H158" s="47" t="s">
        <v>1025</v>
      </c>
      <c r="I158" s="47"/>
      <c r="J158" s="48" t="s">
        <v>1187</v>
      </c>
      <c r="K158" s="46" t="s">
        <v>806</v>
      </c>
      <c r="L158" s="46" t="s">
        <v>3</v>
      </c>
      <c r="M158" s="46" t="s">
        <v>1124</v>
      </c>
      <c r="N158" s="49">
        <v>1</v>
      </c>
      <c r="O158" s="49">
        <v>0</v>
      </c>
      <c r="P158" s="47" t="s">
        <v>1188</v>
      </c>
      <c r="Q158" s="47" t="s">
        <v>1017</v>
      </c>
      <c r="R158" s="47" t="s">
        <v>376</v>
      </c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50">
        <f>IF(L158="W",1,0)</f>
        <v>1</v>
      </c>
      <c r="AF158" s="50">
        <f>IF(L158="T",1,0)</f>
        <v>0</v>
      </c>
      <c r="AG158" s="50">
        <f>IF(L158="L",1,0)</f>
        <v>0</v>
      </c>
      <c r="AH158" s="46" t="s">
        <v>1111</v>
      </c>
      <c r="AI158" s="46" t="s">
        <v>1126</v>
      </c>
      <c r="AJ158" s="46" t="s">
        <v>376</v>
      </c>
      <c r="AK158" s="46" t="s">
        <v>658</v>
      </c>
      <c r="AL158" s="46" t="s">
        <v>1111</v>
      </c>
      <c r="AM158" s="46" t="s">
        <v>1126</v>
      </c>
      <c r="AN158" s="46" t="s">
        <v>376</v>
      </c>
      <c r="AO158" s="46" t="s">
        <v>658</v>
      </c>
      <c r="AP158" s="46"/>
      <c r="AQ158" s="46">
        <v>1</v>
      </c>
      <c r="AR158" s="46"/>
      <c r="AS158" s="46"/>
      <c r="AT158" s="46"/>
      <c r="AU158" s="46" t="s">
        <v>376</v>
      </c>
      <c r="AV158" s="46"/>
      <c r="AW158" s="46" t="s">
        <v>30</v>
      </c>
      <c r="AX158" s="46"/>
      <c r="AY158" s="46" t="s">
        <v>30</v>
      </c>
      <c r="AZ158" s="46"/>
      <c r="BA158" s="47"/>
      <c r="BB158" s="51" t="s">
        <v>30</v>
      </c>
      <c r="BC158" s="46" t="s">
        <v>30</v>
      </c>
      <c r="BD158" s="46"/>
      <c r="BE158" s="46"/>
      <c r="BF158" s="46">
        <v>1</v>
      </c>
      <c r="BG158" s="46">
        <v>1</v>
      </c>
      <c r="BH158" s="46">
        <v>1</v>
      </c>
      <c r="BI158" s="46" t="s">
        <v>806</v>
      </c>
      <c r="BJ158" s="46" t="s">
        <v>1124</v>
      </c>
      <c r="BK158" s="46">
        <v>1895</v>
      </c>
      <c r="BL158" s="46" t="str">
        <f>BK158&amp;BI158</f>
        <v>1895Aston Villa</v>
      </c>
      <c r="BM158" s="52" t="str">
        <f>IF(AD158="Home",BI158,IF(AD158="Away",BJ158,Q158))</f>
        <v>London</v>
      </c>
      <c r="BN158" s="46"/>
      <c r="BO158" s="46"/>
      <c r="BP158" s="46"/>
      <c r="BQ158" s="46"/>
      <c r="BR158" s="46"/>
      <c r="BS158" s="46"/>
      <c r="BT158" s="46"/>
      <c r="BU158" s="46"/>
      <c r="BV158" s="46" t="s">
        <v>376</v>
      </c>
      <c r="BW158" s="46" t="s">
        <v>376</v>
      </c>
      <c r="BX158" s="46"/>
      <c r="BZ158" s="53"/>
      <c r="CA158" s="53"/>
      <c r="CB158" s="93" t="str">
        <f>IF(OR(C158="",A158="",B158=""),"",TEXT(C158,"0000")&amp;TEXT(A158,"00")&amp;TEXT(B158,"00"))</f>
        <v>18950420</v>
      </c>
    </row>
    <row r="159" spans="1:80" s="52" customFormat="1" ht="12.95" customHeight="1" x14ac:dyDescent="0.2">
      <c r="A159" s="46">
        <v>4</v>
      </c>
      <c r="B159" s="46">
        <v>20</v>
      </c>
      <c r="C159" s="46">
        <v>1895</v>
      </c>
      <c r="D159" s="46" t="s">
        <v>658</v>
      </c>
      <c r="E159" s="46" t="s">
        <v>1185</v>
      </c>
      <c r="F159" s="47" t="s">
        <v>1010</v>
      </c>
      <c r="G159" s="46"/>
      <c r="H159" s="47" t="s">
        <v>1025</v>
      </c>
      <c r="I159" s="47"/>
      <c r="J159" s="48" t="s">
        <v>1187</v>
      </c>
      <c r="K159" s="46" t="s">
        <v>1124</v>
      </c>
      <c r="L159" s="46" t="s">
        <v>4</v>
      </c>
      <c r="M159" s="46" t="s">
        <v>806</v>
      </c>
      <c r="N159" s="49">
        <v>0</v>
      </c>
      <c r="O159" s="49">
        <v>1</v>
      </c>
      <c r="P159" s="47" t="s">
        <v>1188</v>
      </c>
      <c r="Q159" s="47" t="s">
        <v>1017</v>
      </c>
      <c r="R159" s="47" t="s">
        <v>376</v>
      </c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50">
        <f>IF(L159="W",1,0)</f>
        <v>0</v>
      </c>
      <c r="AF159" s="50">
        <f>IF(L159="T",1,0)</f>
        <v>0</v>
      </c>
      <c r="AG159" s="50">
        <f>IF(L159="L",1,0)</f>
        <v>1</v>
      </c>
      <c r="AH159" s="46" t="s">
        <v>1111</v>
      </c>
      <c r="AI159" s="46" t="s">
        <v>1126</v>
      </c>
      <c r="AJ159" s="46" t="s">
        <v>376</v>
      </c>
      <c r="AK159" s="46" t="s">
        <v>658</v>
      </c>
      <c r="AL159" s="46" t="s">
        <v>1111</v>
      </c>
      <c r="AM159" s="46" t="s">
        <v>1126</v>
      </c>
      <c r="AN159" s="46" t="s">
        <v>376</v>
      </c>
      <c r="AO159" s="46" t="s">
        <v>658</v>
      </c>
      <c r="AP159" s="46"/>
      <c r="AQ159" s="46">
        <v>1</v>
      </c>
      <c r="AR159" s="46"/>
      <c r="AS159" s="46"/>
      <c r="AT159" s="46"/>
      <c r="AU159" s="46" t="s">
        <v>376</v>
      </c>
      <c r="AV159" s="46"/>
      <c r="AW159" s="46" t="s">
        <v>30</v>
      </c>
      <c r="AX159" s="46"/>
      <c r="AY159" s="46" t="s">
        <v>30</v>
      </c>
      <c r="AZ159" s="46"/>
      <c r="BA159" s="47"/>
      <c r="BB159" s="51"/>
      <c r="BC159" s="46" t="s">
        <v>30</v>
      </c>
      <c r="BD159" s="46"/>
      <c r="BE159" s="46"/>
      <c r="BF159" s="46">
        <v>1</v>
      </c>
      <c r="BG159" s="46">
        <v>1</v>
      </c>
      <c r="BH159" s="46">
        <v>1</v>
      </c>
      <c r="BI159" s="46" t="s">
        <v>1124</v>
      </c>
      <c r="BJ159" s="46" t="s">
        <v>806</v>
      </c>
      <c r="BK159" s="46">
        <v>1895</v>
      </c>
      <c r="BL159" s="46" t="str">
        <f>BK159&amp;BI159</f>
        <v>1895West Bromwich Albion</v>
      </c>
      <c r="BM159" s="52" t="str">
        <f>IF(AD159="Home",BI159,IF(AD159="Away",BJ159,Q159))</f>
        <v>London</v>
      </c>
      <c r="BN159" s="46"/>
      <c r="BO159" s="46"/>
      <c r="BP159" s="46"/>
      <c r="BQ159" s="46"/>
      <c r="BR159" s="46"/>
      <c r="BS159" s="46"/>
      <c r="BT159" s="46"/>
      <c r="BU159" s="46"/>
      <c r="BV159" s="46" t="s">
        <v>376</v>
      </c>
      <c r="BW159" s="46" t="s">
        <v>376</v>
      </c>
      <c r="BX159" s="46"/>
      <c r="BZ159" s="53"/>
      <c r="CA159" s="53"/>
      <c r="CB159" s="93" t="str">
        <f>IF(OR(C159="",A159="",B159=""),"",TEXT(C159,"0000")&amp;TEXT(A159,"00")&amp;TEXT(B159,"00"))</f>
        <v>18950420</v>
      </c>
    </row>
    <row r="160" spans="1:80" s="52" customFormat="1" ht="12.95" customHeight="1" x14ac:dyDescent="0.2">
      <c r="A160" s="46">
        <v>3</v>
      </c>
      <c r="B160" s="46">
        <v>21</v>
      </c>
      <c r="C160" s="46">
        <v>1896</v>
      </c>
      <c r="D160" s="46" t="s">
        <v>658</v>
      </c>
      <c r="E160" s="46" t="s">
        <v>1189</v>
      </c>
      <c r="F160" s="47" t="s">
        <v>1010</v>
      </c>
      <c r="G160" s="46"/>
      <c r="H160" s="47" t="s">
        <v>1011</v>
      </c>
      <c r="I160" s="47"/>
      <c r="J160" s="48" t="s">
        <v>1190</v>
      </c>
      <c r="K160" s="46" t="s">
        <v>1093</v>
      </c>
      <c r="L160" s="46" t="s">
        <v>1014</v>
      </c>
      <c r="M160" s="46" t="s">
        <v>1157</v>
      </c>
      <c r="N160" s="49">
        <v>1</v>
      </c>
      <c r="O160" s="49">
        <v>1</v>
      </c>
      <c r="P160" s="47" t="s">
        <v>1184</v>
      </c>
      <c r="Q160" s="47" t="s">
        <v>588</v>
      </c>
      <c r="R160" s="47" t="s">
        <v>376</v>
      </c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50">
        <f>IF(L160="W",1,0)</f>
        <v>0</v>
      </c>
      <c r="AF160" s="50">
        <f>IF(L160="T",1,0)</f>
        <v>1</v>
      </c>
      <c r="AG160" s="50">
        <f>IF(L160="L",1,0)</f>
        <v>0</v>
      </c>
      <c r="AH160" s="46" t="s">
        <v>1097</v>
      </c>
      <c r="AI160" s="46" t="s">
        <v>1098</v>
      </c>
      <c r="AJ160" s="46" t="s">
        <v>376</v>
      </c>
      <c r="AK160" s="46" t="s">
        <v>658</v>
      </c>
      <c r="AL160" s="46" t="s">
        <v>1101</v>
      </c>
      <c r="AM160" s="46" t="s">
        <v>1159</v>
      </c>
      <c r="AN160" s="46" t="s">
        <v>376</v>
      </c>
      <c r="AO160" s="46" t="s">
        <v>658</v>
      </c>
      <c r="AP160" s="46"/>
      <c r="AQ160" s="46">
        <v>2</v>
      </c>
      <c r="AR160" s="46"/>
      <c r="AS160" s="46"/>
      <c r="AT160" s="46"/>
      <c r="AU160" s="46" t="s">
        <v>376</v>
      </c>
      <c r="AV160" s="46"/>
      <c r="AW160" s="46" t="s">
        <v>30</v>
      </c>
      <c r="AX160" s="46"/>
      <c r="AY160" s="46" t="s">
        <v>30</v>
      </c>
      <c r="AZ160" s="46"/>
      <c r="BA160" s="47"/>
      <c r="BB160" s="51"/>
      <c r="BC160" s="46"/>
      <c r="BD160" s="46"/>
      <c r="BE160" s="46"/>
      <c r="BF160" s="46">
        <v>1</v>
      </c>
      <c r="BG160" s="46">
        <v>1</v>
      </c>
      <c r="BH160" s="46">
        <v>1</v>
      </c>
      <c r="BI160" s="46" t="s">
        <v>1093</v>
      </c>
      <c r="BJ160" s="46" t="s">
        <v>1157</v>
      </c>
      <c r="BK160" s="46">
        <v>1896</v>
      </c>
      <c r="BL160" s="46" t="str">
        <f>BK160&amp;BI160</f>
        <v>1896Sheffield Wednesday</v>
      </c>
      <c r="BM160" s="52" t="str">
        <f>IF(AD160="Home",BI160,IF(AD160="Away",BJ160,Q160))</f>
        <v>Liverpool</v>
      </c>
      <c r="BN160" s="46"/>
      <c r="BO160" s="46"/>
      <c r="BP160" s="46"/>
      <c r="BQ160" s="46"/>
      <c r="BR160" s="46"/>
      <c r="BS160" s="46"/>
      <c r="BT160" s="46"/>
      <c r="BU160" s="46"/>
      <c r="BV160" s="46" t="s">
        <v>376</v>
      </c>
      <c r="BW160" s="46" t="s">
        <v>376</v>
      </c>
      <c r="BX160" s="46"/>
      <c r="BZ160" s="53"/>
      <c r="CA160" s="53"/>
      <c r="CB160" s="93" t="str">
        <f>IF(OR(C160="",A160="",B160=""),"",TEXT(C160,"0000")&amp;TEXT(A160,"00")&amp;TEXT(B160,"00"))</f>
        <v>18960321</v>
      </c>
    </row>
    <row r="161" spans="1:80" s="52" customFormat="1" ht="12.95" customHeight="1" x14ac:dyDescent="0.2">
      <c r="A161" s="46">
        <v>3</v>
      </c>
      <c r="B161" s="46">
        <v>21</v>
      </c>
      <c r="C161" s="46">
        <v>1896</v>
      </c>
      <c r="D161" s="46" t="s">
        <v>658</v>
      </c>
      <c r="E161" s="46" t="s">
        <v>1189</v>
      </c>
      <c r="F161" s="47" t="s">
        <v>1010</v>
      </c>
      <c r="G161" s="46"/>
      <c r="H161" s="47" t="s">
        <v>1011</v>
      </c>
      <c r="I161" s="47"/>
      <c r="J161" s="48" t="s">
        <v>1190</v>
      </c>
      <c r="K161" s="46" t="s">
        <v>1157</v>
      </c>
      <c r="L161" s="46" t="s">
        <v>1014</v>
      </c>
      <c r="M161" s="46" t="s">
        <v>1093</v>
      </c>
      <c r="N161" s="49">
        <v>1</v>
      </c>
      <c r="O161" s="49">
        <v>1</v>
      </c>
      <c r="P161" s="47" t="s">
        <v>1184</v>
      </c>
      <c r="Q161" s="47" t="s">
        <v>588</v>
      </c>
      <c r="R161" s="47" t="s">
        <v>376</v>
      </c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50">
        <f>IF(L161="W",1,0)</f>
        <v>0</v>
      </c>
      <c r="AF161" s="50">
        <f>IF(L161="T",1,0)</f>
        <v>1</v>
      </c>
      <c r="AG161" s="50">
        <f>IF(L161="L",1,0)</f>
        <v>0</v>
      </c>
      <c r="AH161" s="46" t="s">
        <v>1101</v>
      </c>
      <c r="AI161" s="46" t="s">
        <v>1159</v>
      </c>
      <c r="AJ161" s="46" t="s">
        <v>376</v>
      </c>
      <c r="AK161" s="46" t="s">
        <v>658</v>
      </c>
      <c r="AL161" s="46" t="s">
        <v>1097</v>
      </c>
      <c r="AM161" s="46" t="s">
        <v>1098</v>
      </c>
      <c r="AN161" s="46" t="s">
        <v>376</v>
      </c>
      <c r="AO161" s="46" t="s">
        <v>658</v>
      </c>
      <c r="AP161" s="46"/>
      <c r="AQ161" s="46">
        <v>2</v>
      </c>
      <c r="AR161" s="46"/>
      <c r="AS161" s="46"/>
      <c r="AT161" s="46"/>
      <c r="AU161" s="46" t="s">
        <v>376</v>
      </c>
      <c r="AV161" s="46"/>
      <c r="AW161" s="46" t="s">
        <v>30</v>
      </c>
      <c r="AX161" s="46"/>
      <c r="AY161" s="46" t="s">
        <v>30</v>
      </c>
      <c r="AZ161" s="46"/>
      <c r="BA161" s="47"/>
      <c r="BB161" s="51"/>
      <c r="BC161" s="46"/>
      <c r="BD161" s="46"/>
      <c r="BE161" s="46"/>
      <c r="BF161" s="46">
        <v>1</v>
      </c>
      <c r="BG161" s="46">
        <v>1</v>
      </c>
      <c r="BH161" s="46">
        <v>1</v>
      </c>
      <c r="BI161" s="46" t="s">
        <v>1157</v>
      </c>
      <c r="BJ161" s="46" t="s">
        <v>1093</v>
      </c>
      <c r="BK161" s="46">
        <v>1896</v>
      </c>
      <c r="BL161" s="46" t="str">
        <f>BK161&amp;BI161</f>
        <v>1896Bolton Wanderers</v>
      </c>
      <c r="BM161" s="52" t="str">
        <f>IF(AD161="Home",BI161,IF(AD161="Away",BJ161,Q161))</f>
        <v>Liverpool</v>
      </c>
      <c r="BN161" s="46"/>
      <c r="BO161" s="46"/>
      <c r="BP161" s="46"/>
      <c r="BQ161" s="46"/>
      <c r="BR161" s="46"/>
      <c r="BS161" s="46"/>
      <c r="BT161" s="46"/>
      <c r="BU161" s="46"/>
      <c r="BV161" s="46" t="s">
        <v>376</v>
      </c>
      <c r="BW161" s="46" t="s">
        <v>376</v>
      </c>
      <c r="BX161" s="46"/>
      <c r="BZ161" s="53"/>
      <c r="CA161" s="53"/>
      <c r="CB161" s="93" t="str">
        <f>IF(OR(C161="",A161="",B161=""),"",TEXT(C161,"0000")&amp;TEXT(A161,"00")&amp;TEXT(B161,"00"))</f>
        <v>18960321</v>
      </c>
    </row>
    <row r="162" spans="1:80" s="52" customFormat="1" ht="12.95" customHeight="1" x14ac:dyDescent="0.2">
      <c r="A162" s="46">
        <v>3</v>
      </c>
      <c r="B162" s="46">
        <v>21</v>
      </c>
      <c r="C162" s="46">
        <v>1896</v>
      </c>
      <c r="D162" s="46" t="s">
        <v>658</v>
      </c>
      <c r="E162" s="46" t="s">
        <v>1189</v>
      </c>
      <c r="F162" s="47" t="s">
        <v>1010</v>
      </c>
      <c r="G162" s="46"/>
      <c r="H162" s="47" t="s">
        <v>1011</v>
      </c>
      <c r="I162" s="47"/>
      <c r="J162" s="48" t="s">
        <v>1190</v>
      </c>
      <c r="K162" s="46" t="s">
        <v>1151</v>
      </c>
      <c r="L162" s="46" t="s">
        <v>3</v>
      </c>
      <c r="M162" s="46" t="s">
        <v>1191</v>
      </c>
      <c r="N162" s="49">
        <v>2</v>
      </c>
      <c r="O162" s="49">
        <v>1</v>
      </c>
      <c r="P162" s="47" t="s">
        <v>1158</v>
      </c>
      <c r="Q162" s="47" t="s">
        <v>1111</v>
      </c>
      <c r="R162" s="47" t="s">
        <v>376</v>
      </c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50">
        <f>IF(L162="W",1,0)</f>
        <v>1</v>
      </c>
      <c r="AF162" s="50">
        <f>IF(L162="T",1,0)</f>
        <v>0</v>
      </c>
      <c r="AG162" s="50">
        <f>IF(L162="L",1,0)</f>
        <v>0</v>
      </c>
      <c r="AH162" s="46" t="s">
        <v>1111</v>
      </c>
      <c r="AI162" s="46" t="s">
        <v>1126</v>
      </c>
      <c r="AJ162" s="46" t="s">
        <v>376</v>
      </c>
      <c r="AK162" s="46" t="s">
        <v>658</v>
      </c>
      <c r="AL162" s="46" t="s">
        <v>979</v>
      </c>
      <c r="AM162" s="46" t="s">
        <v>1146</v>
      </c>
      <c r="AN162" s="46" t="s">
        <v>376</v>
      </c>
      <c r="AO162" s="46" t="s">
        <v>658</v>
      </c>
      <c r="AP162" s="46"/>
      <c r="AQ162" s="46">
        <v>2</v>
      </c>
      <c r="AR162" s="46"/>
      <c r="AS162" s="46"/>
      <c r="AT162" s="46"/>
      <c r="AU162" s="46" t="s">
        <v>376</v>
      </c>
      <c r="AV162" s="46"/>
      <c r="AW162" s="46" t="s">
        <v>30</v>
      </c>
      <c r="AX162" s="46"/>
      <c r="AY162" s="46" t="s">
        <v>30</v>
      </c>
      <c r="AZ162" s="46"/>
      <c r="BA162" s="47"/>
      <c r="BB162" s="51"/>
      <c r="BC162" s="46"/>
      <c r="BD162" s="46"/>
      <c r="BE162" s="46"/>
      <c r="BF162" s="46">
        <v>1</v>
      </c>
      <c r="BG162" s="46">
        <v>1</v>
      </c>
      <c r="BH162" s="46">
        <v>1</v>
      </c>
      <c r="BI162" s="46" t="s">
        <v>1151</v>
      </c>
      <c r="BJ162" s="46" t="s">
        <v>1191</v>
      </c>
      <c r="BK162" s="46">
        <v>1896</v>
      </c>
      <c r="BL162" s="46" t="str">
        <f>BK162&amp;BI162</f>
        <v>1896Wolverhampton Wanderers</v>
      </c>
      <c r="BM162" s="52" t="str">
        <f>IF(AD162="Home",BI162,IF(AD162="Away",BJ162,Q162))</f>
        <v>Birmingham</v>
      </c>
      <c r="BN162" s="46"/>
      <c r="BO162" s="46"/>
      <c r="BP162" s="46"/>
      <c r="BQ162" s="46"/>
      <c r="BR162" s="46"/>
      <c r="BS162" s="46"/>
      <c r="BT162" s="46"/>
      <c r="BU162" s="46"/>
      <c r="BV162" s="46" t="s">
        <v>376</v>
      </c>
      <c r="BW162" s="46" t="s">
        <v>376</v>
      </c>
      <c r="BX162" s="46"/>
      <c r="BZ162" s="53"/>
      <c r="CA162" s="53"/>
      <c r="CB162" s="93" t="str">
        <f>IF(OR(C162="",A162="",B162=""),"",TEXT(C162,"0000")&amp;TEXT(A162,"00")&amp;TEXT(B162,"00"))</f>
        <v>18960321</v>
      </c>
    </row>
    <row r="163" spans="1:80" s="52" customFormat="1" ht="12.95" customHeight="1" x14ac:dyDescent="0.2">
      <c r="A163" s="46">
        <v>3</v>
      </c>
      <c r="B163" s="46">
        <v>21</v>
      </c>
      <c r="C163" s="46">
        <v>1896</v>
      </c>
      <c r="D163" s="46" t="s">
        <v>658</v>
      </c>
      <c r="E163" s="46" t="s">
        <v>1189</v>
      </c>
      <c r="F163" s="47" t="s">
        <v>1010</v>
      </c>
      <c r="G163" s="46"/>
      <c r="H163" s="47" t="s">
        <v>1011</v>
      </c>
      <c r="I163" s="47"/>
      <c r="J163" s="48" t="s">
        <v>1190</v>
      </c>
      <c r="K163" s="46" t="s">
        <v>1191</v>
      </c>
      <c r="L163" s="46" t="s">
        <v>4</v>
      </c>
      <c r="M163" s="46" t="s">
        <v>1151</v>
      </c>
      <c r="N163" s="49">
        <v>1</v>
      </c>
      <c r="O163" s="49">
        <v>2</v>
      </c>
      <c r="P163" s="47" t="s">
        <v>1158</v>
      </c>
      <c r="Q163" s="47" t="s">
        <v>1111</v>
      </c>
      <c r="R163" s="47" t="s">
        <v>376</v>
      </c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50">
        <f>IF(L163="W",1,0)</f>
        <v>0</v>
      </c>
      <c r="AF163" s="50">
        <f>IF(L163="T",1,0)</f>
        <v>0</v>
      </c>
      <c r="AG163" s="50">
        <f>IF(L163="L",1,0)</f>
        <v>1</v>
      </c>
      <c r="AH163" s="46" t="s">
        <v>979</v>
      </c>
      <c r="AI163" s="46" t="s">
        <v>1146</v>
      </c>
      <c r="AJ163" s="46" t="s">
        <v>376</v>
      </c>
      <c r="AK163" s="46" t="s">
        <v>658</v>
      </c>
      <c r="AL163" s="46" t="s">
        <v>1111</v>
      </c>
      <c r="AM163" s="46" t="s">
        <v>1126</v>
      </c>
      <c r="AN163" s="46" t="s">
        <v>376</v>
      </c>
      <c r="AO163" s="46" t="s">
        <v>658</v>
      </c>
      <c r="AP163" s="46"/>
      <c r="AQ163" s="46">
        <v>2</v>
      </c>
      <c r="AR163" s="46"/>
      <c r="AS163" s="46"/>
      <c r="AT163" s="46"/>
      <c r="AU163" s="46" t="s">
        <v>376</v>
      </c>
      <c r="AV163" s="46"/>
      <c r="AW163" s="46" t="s">
        <v>30</v>
      </c>
      <c r="AX163" s="46"/>
      <c r="AY163" s="46" t="s">
        <v>30</v>
      </c>
      <c r="AZ163" s="46"/>
      <c r="BA163" s="47"/>
      <c r="BB163" s="51"/>
      <c r="BC163" s="46"/>
      <c r="BD163" s="46"/>
      <c r="BE163" s="46"/>
      <c r="BF163" s="46">
        <v>1</v>
      </c>
      <c r="BG163" s="46">
        <v>1</v>
      </c>
      <c r="BH163" s="46">
        <v>1</v>
      </c>
      <c r="BI163" s="46" t="s">
        <v>1191</v>
      </c>
      <c r="BJ163" s="46" t="s">
        <v>1151</v>
      </c>
      <c r="BK163" s="46">
        <v>1896</v>
      </c>
      <c r="BL163" s="46" t="str">
        <f>BK163&amp;BI163</f>
        <v>1896Derby County</v>
      </c>
      <c r="BM163" s="52" t="str">
        <f>IF(AD163="Home",BI163,IF(AD163="Away",BJ163,Q163))</f>
        <v>Birmingham</v>
      </c>
      <c r="BN163" s="46"/>
      <c r="BO163" s="46"/>
      <c r="BP163" s="46"/>
      <c r="BQ163" s="46"/>
      <c r="BR163" s="46"/>
      <c r="BS163" s="46"/>
      <c r="BT163" s="46"/>
      <c r="BU163" s="46"/>
      <c r="BV163" s="46" t="s">
        <v>376</v>
      </c>
      <c r="BW163" s="46" t="s">
        <v>376</v>
      </c>
      <c r="BX163" s="46"/>
      <c r="BZ163" s="53"/>
      <c r="CA163" s="53"/>
      <c r="CB163" s="93" t="str">
        <f>IF(OR(C163="",A163="",B163=""),"",TEXT(C163,"0000")&amp;TEXT(A163,"00")&amp;TEXT(B163,"00"))</f>
        <v>18960321</v>
      </c>
    </row>
    <row r="164" spans="1:80" s="52" customFormat="1" ht="12.95" customHeight="1" x14ac:dyDescent="0.2">
      <c r="A164" s="46">
        <v>3</v>
      </c>
      <c r="B164" s="46">
        <v>28</v>
      </c>
      <c r="C164" s="46">
        <v>1896</v>
      </c>
      <c r="D164" s="46" t="s">
        <v>658</v>
      </c>
      <c r="E164" s="46" t="s">
        <v>1189</v>
      </c>
      <c r="F164" s="47" t="s">
        <v>1010</v>
      </c>
      <c r="G164" s="46"/>
      <c r="H164" s="47" t="s">
        <v>1011</v>
      </c>
      <c r="I164" s="47" t="s">
        <v>1023</v>
      </c>
      <c r="J164" s="48" t="s">
        <v>1192</v>
      </c>
      <c r="K164" s="46" t="s">
        <v>1093</v>
      </c>
      <c r="L164" s="46" t="s">
        <v>3</v>
      </c>
      <c r="M164" s="46" t="s">
        <v>1157</v>
      </c>
      <c r="N164" s="49">
        <v>3</v>
      </c>
      <c r="O164" s="49">
        <v>1</v>
      </c>
      <c r="P164" s="47" t="s">
        <v>1135</v>
      </c>
      <c r="Q164" s="47" t="s">
        <v>1073</v>
      </c>
      <c r="R164" s="47" t="s">
        <v>376</v>
      </c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50">
        <f>IF(L164="W",1,0)</f>
        <v>1</v>
      </c>
      <c r="AF164" s="50">
        <f>IF(L164="T",1,0)</f>
        <v>0</v>
      </c>
      <c r="AG164" s="50">
        <f>IF(L164="L",1,0)</f>
        <v>0</v>
      </c>
      <c r="AH164" s="46" t="s">
        <v>1097</v>
      </c>
      <c r="AI164" s="46" t="s">
        <v>1098</v>
      </c>
      <c r="AJ164" s="46" t="s">
        <v>376</v>
      </c>
      <c r="AK164" s="46" t="s">
        <v>658</v>
      </c>
      <c r="AL164" s="46" t="s">
        <v>1101</v>
      </c>
      <c r="AM164" s="46" t="s">
        <v>1159</v>
      </c>
      <c r="AN164" s="46" t="s">
        <v>376</v>
      </c>
      <c r="AO164" s="46" t="s">
        <v>658</v>
      </c>
      <c r="AP164" s="46"/>
      <c r="AQ164" s="46">
        <v>2</v>
      </c>
      <c r="AR164" s="46"/>
      <c r="AS164" s="46"/>
      <c r="AT164" s="46"/>
      <c r="AU164" s="46" t="s">
        <v>376</v>
      </c>
      <c r="AV164" s="46"/>
      <c r="AW164" s="46" t="s">
        <v>30</v>
      </c>
      <c r="AX164" s="46"/>
      <c r="AY164" s="46" t="s">
        <v>30</v>
      </c>
      <c r="AZ164" s="46"/>
      <c r="BA164" s="47"/>
      <c r="BB164" s="51"/>
      <c r="BC164" s="46"/>
      <c r="BD164" s="46"/>
      <c r="BE164" s="46"/>
      <c r="BF164" s="46">
        <v>1</v>
      </c>
      <c r="BG164" s="46">
        <v>1</v>
      </c>
      <c r="BH164" s="46">
        <v>1</v>
      </c>
      <c r="BI164" s="46" t="s">
        <v>1093</v>
      </c>
      <c r="BJ164" s="46" t="s">
        <v>1157</v>
      </c>
      <c r="BK164" s="46">
        <v>1896</v>
      </c>
      <c r="BL164" s="46" t="str">
        <f>BK164&amp;BI164</f>
        <v>1896Sheffield Wednesday</v>
      </c>
      <c r="BM164" s="52" t="str">
        <f>IF(AD164="Home",BI164,IF(AD164="Away",BJ164,Q164))</f>
        <v>Nottingham</v>
      </c>
      <c r="BN164" s="46"/>
      <c r="BO164" s="46"/>
      <c r="BP164" s="46"/>
      <c r="BQ164" s="46"/>
      <c r="BR164" s="46"/>
      <c r="BS164" s="46"/>
      <c r="BT164" s="46"/>
      <c r="BU164" s="46"/>
      <c r="BV164" s="46" t="s">
        <v>376</v>
      </c>
      <c r="BW164" s="46" t="s">
        <v>376</v>
      </c>
      <c r="BX164" s="46"/>
      <c r="BY164" s="35"/>
      <c r="BZ164" s="53"/>
      <c r="CA164" s="53"/>
      <c r="CB164" s="93" t="str">
        <f>IF(OR(C164="",A164="",B164=""),"",TEXT(C164,"0000")&amp;TEXT(A164,"00")&amp;TEXT(B164,"00"))</f>
        <v>18960328</v>
      </c>
    </row>
    <row r="165" spans="1:80" s="52" customFormat="1" ht="12.95" customHeight="1" x14ac:dyDescent="0.2">
      <c r="A165" s="46">
        <v>3</v>
      </c>
      <c r="B165" s="46">
        <v>28</v>
      </c>
      <c r="C165" s="46">
        <v>1896</v>
      </c>
      <c r="D165" s="46" t="s">
        <v>658</v>
      </c>
      <c r="E165" s="46" t="s">
        <v>1189</v>
      </c>
      <c r="F165" s="47" t="s">
        <v>1010</v>
      </c>
      <c r="G165" s="46"/>
      <c r="H165" s="47" t="s">
        <v>1011</v>
      </c>
      <c r="I165" s="47" t="s">
        <v>1023</v>
      </c>
      <c r="J165" s="48" t="s">
        <v>1192</v>
      </c>
      <c r="K165" s="46" t="s">
        <v>1157</v>
      </c>
      <c r="L165" s="46" t="s">
        <v>4</v>
      </c>
      <c r="M165" s="46" t="s">
        <v>1093</v>
      </c>
      <c r="N165" s="49">
        <v>1</v>
      </c>
      <c r="O165" s="49">
        <v>3</v>
      </c>
      <c r="P165" s="47" t="s">
        <v>1135</v>
      </c>
      <c r="Q165" s="47" t="s">
        <v>1073</v>
      </c>
      <c r="R165" s="47" t="s">
        <v>376</v>
      </c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50">
        <f>IF(L165="W",1,0)</f>
        <v>0</v>
      </c>
      <c r="AF165" s="50">
        <f>IF(L165="T",1,0)</f>
        <v>0</v>
      </c>
      <c r="AG165" s="50">
        <f>IF(L165="L",1,0)</f>
        <v>1</v>
      </c>
      <c r="AH165" s="46" t="s">
        <v>1101</v>
      </c>
      <c r="AI165" s="46" t="s">
        <v>1159</v>
      </c>
      <c r="AJ165" s="46" t="s">
        <v>376</v>
      </c>
      <c r="AK165" s="46" t="s">
        <v>658</v>
      </c>
      <c r="AL165" s="46" t="s">
        <v>1097</v>
      </c>
      <c r="AM165" s="46" t="s">
        <v>1098</v>
      </c>
      <c r="AN165" s="46" t="s">
        <v>376</v>
      </c>
      <c r="AO165" s="46" t="s">
        <v>658</v>
      </c>
      <c r="AP165" s="46"/>
      <c r="AQ165" s="46">
        <v>2</v>
      </c>
      <c r="AR165" s="46"/>
      <c r="AS165" s="46"/>
      <c r="AT165" s="46"/>
      <c r="AU165" s="46" t="s">
        <v>376</v>
      </c>
      <c r="AV165" s="46"/>
      <c r="AW165" s="46" t="s">
        <v>30</v>
      </c>
      <c r="AX165" s="46"/>
      <c r="AY165" s="46" t="s">
        <v>30</v>
      </c>
      <c r="AZ165" s="46"/>
      <c r="BA165" s="47"/>
      <c r="BB165" s="51"/>
      <c r="BC165" s="46"/>
      <c r="BD165" s="46"/>
      <c r="BE165" s="46"/>
      <c r="BF165" s="46">
        <v>1</v>
      </c>
      <c r="BG165" s="46">
        <v>1</v>
      </c>
      <c r="BH165" s="46">
        <v>1</v>
      </c>
      <c r="BI165" s="46" t="s">
        <v>1157</v>
      </c>
      <c r="BJ165" s="46" t="s">
        <v>1093</v>
      </c>
      <c r="BK165" s="46">
        <v>1896</v>
      </c>
      <c r="BL165" s="46" t="str">
        <f>BK165&amp;BI165</f>
        <v>1896Bolton Wanderers</v>
      </c>
      <c r="BM165" s="52" t="str">
        <f>IF(AD165="Home",BI165,IF(AD165="Away",BJ165,Q165))</f>
        <v>Nottingham</v>
      </c>
      <c r="BN165" s="46"/>
      <c r="BO165" s="46"/>
      <c r="BP165" s="46"/>
      <c r="BQ165" s="46"/>
      <c r="BR165" s="46"/>
      <c r="BS165" s="46"/>
      <c r="BT165" s="46"/>
      <c r="BU165" s="46"/>
      <c r="BV165" s="46" t="s">
        <v>376</v>
      </c>
      <c r="BW165" s="46" t="s">
        <v>376</v>
      </c>
      <c r="BX165" s="46"/>
      <c r="BY165" s="35"/>
      <c r="BZ165" s="53"/>
      <c r="CA165" s="53"/>
      <c r="CB165" s="93" t="str">
        <f>IF(OR(C165="",A165="",B165=""),"",TEXT(C165,"0000")&amp;TEXT(A165,"00")&amp;TEXT(B165,"00"))</f>
        <v>18960328</v>
      </c>
    </row>
    <row r="166" spans="1:80" s="52" customFormat="1" ht="12.95" customHeight="1" x14ac:dyDescent="0.2">
      <c r="A166" s="46">
        <v>4</v>
      </c>
      <c r="B166" s="46">
        <v>18</v>
      </c>
      <c r="C166" s="46">
        <v>1896</v>
      </c>
      <c r="D166" s="46" t="s">
        <v>658</v>
      </c>
      <c r="E166" s="46" t="s">
        <v>1189</v>
      </c>
      <c r="F166" s="47" t="s">
        <v>1010</v>
      </c>
      <c r="G166" s="46"/>
      <c r="H166" s="47" t="s">
        <v>1025</v>
      </c>
      <c r="I166" s="47"/>
      <c r="J166" s="48" t="s">
        <v>1193</v>
      </c>
      <c r="K166" s="46" t="s">
        <v>1093</v>
      </c>
      <c r="L166" s="46" t="s">
        <v>3</v>
      </c>
      <c r="M166" s="46" t="s">
        <v>1151</v>
      </c>
      <c r="N166" s="49">
        <v>2</v>
      </c>
      <c r="O166" s="49">
        <v>1</v>
      </c>
      <c r="P166" s="47" t="s">
        <v>1188</v>
      </c>
      <c r="Q166" s="47" t="s">
        <v>1017</v>
      </c>
      <c r="R166" s="47" t="s">
        <v>376</v>
      </c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50">
        <f>IF(L166="W",1,0)</f>
        <v>1</v>
      </c>
      <c r="AF166" s="50">
        <f>IF(L166="T",1,0)</f>
        <v>0</v>
      </c>
      <c r="AG166" s="50">
        <f>IF(L166="L",1,0)</f>
        <v>0</v>
      </c>
      <c r="AH166" s="46" t="s">
        <v>1097</v>
      </c>
      <c r="AI166" s="46" t="s">
        <v>1098</v>
      </c>
      <c r="AJ166" s="46" t="s">
        <v>376</v>
      </c>
      <c r="AK166" s="46" t="s">
        <v>658</v>
      </c>
      <c r="AL166" s="46" t="s">
        <v>1111</v>
      </c>
      <c r="AM166" s="46" t="s">
        <v>1126</v>
      </c>
      <c r="AN166" s="46" t="s">
        <v>376</v>
      </c>
      <c r="AO166" s="46" t="s">
        <v>658</v>
      </c>
      <c r="AP166" s="46"/>
      <c r="AQ166" s="46">
        <v>1</v>
      </c>
      <c r="AR166" s="46"/>
      <c r="AS166" s="46"/>
      <c r="AT166" s="46"/>
      <c r="AU166" s="46" t="s">
        <v>376</v>
      </c>
      <c r="AV166" s="46"/>
      <c r="AW166" s="46" t="s">
        <v>30</v>
      </c>
      <c r="AX166" s="46"/>
      <c r="AY166" s="46" t="s">
        <v>30</v>
      </c>
      <c r="AZ166" s="46"/>
      <c r="BA166" s="47"/>
      <c r="BB166" s="51" t="s">
        <v>30</v>
      </c>
      <c r="BC166" s="46" t="s">
        <v>30</v>
      </c>
      <c r="BD166" s="46"/>
      <c r="BE166" s="46"/>
      <c r="BF166" s="46">
        <v>1</v>
      </c>
      <c r="BG166" s="46">
        <v>1</v>
      </c>
      <c r="BH166" s="46">
        <v>1</v>
      </c>
      <c r="BI166" s="46" t="s">
        <v>1093</v>
      </c>
      <c r="BJ166" s="46" t="s">
        <v>1151</v>
      </c>
      <c r="BK166" s="46">
        <v>1896</v>
      </c>
      <c r="BL166" s="46" t="str">
        <f>BK166&amp;BI166</f>
        <v>1896Sheffield Wednesday</v>
      </c>
      <c r="BM166" s="52" t="str">
        <f>IF(AD166="Home",BI166,IF(AD166="Away",BJ166,Q166))</f>
        <v>London</v>
      </c>
      <c r="BN166" s="46"/>
      <c r="BO166" s="46"/>
      <c r="BP166" s="46"/>
      <c r="BQ166" s="46"/>
      <c r="BR166" s="46"/>
      <c r="BS166" s="46"/>
      <c r="BT166" s="46"/>
      <c r="BU166" s="46"/>
      <c r="BV166" s="46" t="s">
        <v>376</v>
      </c>
      <c r="BW166" s="46" t="s">
        <v>376</v>
      </c>
      <c r="BX166" s="46"/>
      <c r="BZ166" s="53"/>
      <c r="CA166" s="53"/>
      <c r="CB166" s="93" t="str">
        <f>IF(OR(C166="",A166="",B166=""),"",TEXT(C166,"0000")&amp;TEXT(A166,"00")&amp;TEXT(B166,"00"))</f>
        <v>18960418</v>
      </c>
    </row>
    <row r="167" spans="1:80" s="52" customFormat="1" ht="12.95" customHeight="1" x14ac:dyDescent="0.2">
      <c r="A167" s="46">
        <v>4</v>
      </c>
      <c r="B167" s="46">
        <v>18</v>
      </c>
      <c r="C167" s="46">
        <v>1896</v>
      </c>
      <c r="D167" s="46" t="s">
        <v>658</v>
      </c>
      <c r="E167" s="46" t="s">
        <v>1189</v>
      </c>
      <c r="F167" s="47" t="s">
        <v>1010</v>
      </c>
      <c r="G167" s="46"/>
      <c r="H167" s="47" t="s">
        <v>1025</v>
      </c>
      <c r="I167" s="47"/>
      <c r="J167" s="48" t="s">
        <v>1193</v>
      </c>
      <c r="K167" s="46" t="s">
        <v>1151</v>
      </c>
      <c r="L167" s="46" t="s">
        <v>4</v>
      </c>
      <c r="M167" s="46" t="s">
        <v>1093</v>
      </c>
      <c r="N167" s="49">
        <v>1</v>
      </c>
      <c r="O167" s="49">
        <v>2</v>
      </c>
      <c r="P167" s="47" t="s">
        <v>1188</v>
      </c>
      <c r="Q167" s="47" t="s">
        <v>1017</v>
      </c>
      <c r="R167" s="47" t="s">
        <v>376</v>
      </c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50">
        <f>IF(L167="W",1,0)</f>
        <v>0</v>
      </c>
      <c r="AF167" s="50">
        <f>IF(L167="T",1,0)</f>
        <v>0</v>
      </c>
      <c r="AG167" s="50">
        <f>IF(L167="L",1,0)</f>
        <v>1</v>
      </c>
      <c r="AH167" s="46" t="s">
        <v>1111</v>
      </c>
      <c r="AI167" s="46" t="s">
        <v>1126</v>
      </c>
      <c r="AJ167" s="46" t="s">
        <v>376</v>
      </c>
      <c r="AK167" s="46" t="s">
        <v>658</v>
      </c>
      <c r="AL167" s="46" t="s">
        <v>1097</v>
      </c>
      <c r="AM167" s="46" t="s">
        <v>1098</v>
      </c>
      <c r="AN167" s="46" t="s">
        <v>376</v>
      </c>
      <c r="AO167" s="46" t="s">
        <v>658</v>
      </c>
      <c r="AP167" s="46"/>
      <c r="AQ167" s="46">
        <v>1</v>
      </c>
      <c r="AR167" s="46"/>
      <c r="AS167" s="46"/>
      <c r="AT167" s="46"/>
      <c r="AU167" s="46" t="s">
        <v>376</v>
      </c>
      <c r="AV167" s="46"/>
      <c r="AW167" s="46" t="s">
        <v>30</v>
      </c>
      <c r="AX167" s="46"/>
      <c r="AY167" s="46" t="s">
        <v>30</v>
      </c>
      <c r="AZ167" s="46"/>
      <c r="BA167" s="47"/>
      <c r="BB167" s="51"/>
      <c r="BC167" s="46" t="s">
        <v>30</v>
      </c>
      <c r="BD167" s="46"/>
      <c r="BE167" s="46"/>
      <c r="BF167" s="46">
        <v>1</v>
      </c>
      <c r="BG167" s="46">
        <v>1</v>
      </c>
      <c r="BH167" s="46">
        <v>1</v>
      </c>
      <c r="BI167" s="46" t="s">
        <v>1151</v>
      </c>
      <c r="BJ167" s="46" t="s">
        <v>1093</v>
      </c>
      <c r="BK167" s="46">
        <v>1896</v>
      </c>
      <c r="BL167" s="46" t="str">
        <f>BK167&amp;BI167</f>
        <v>1896Wolverhampton Wanderers</v>
      </c>
      <c r="BM167" s="52" t="str">
        <f>IF(AD167="Home",BI167,IF(AD167="Away",BJ167,Q167))</f>
        <v>London</v>
      </c>
      <c r="BN167" s="46"/>
      <c r="BO167" s="46"/>
      <c r="BP167" s="46"/>
      <c r="BQ167" s="46"/>
      <c r="BR167" s="46"/>
      <c r="BS167" s="46"/>
      <c r="BT167" s="46"/>
      <c r="BU167" s="46"/>
      <c r="BV167" s="46" t="s">
        <v>376</v>
      </c>
      <c r="BW167" s="46" t="s">
        <v>376</v>
      </c>
      <c r="BX167" s="46"/>
      <c r="BZ167" s="53"/>
      <c r="CA167" s="53"/>
      <c r="CB167" s="93" t="str">
        <f>IF(OR(C167="",A167="",B167=""),"",TEXT(C167,"0000")&amp;TEXT(A167,"00")&amp;TEXT(B167,"00"))</f>
        <v>18960418</v>
      </c>
    </row>
    <row r="168" spans="1:80" s="52" customFormat="1" ht="12.95" customHeight="1" x14ac:dyDescent="0.2">
      <c r="A168" s="46">
        <v>3</v>
      </c>
      <c r="B168" s="46">
        <v>20</v>
      </c>
      <c r="C168" s="46">
        <v>1897</v>
      </c>
      <c r="D168" s="46" t="s">
        <v>658</v>
      </c>
      <c r="E168" s="46" t="s">
        <v>1194</v>
      </c>
      <c r="F168" s="47" t="s">
        <v>1010</v>
      </c>
      <c r="G168" s="46"/>
      <c r="H168" s="47" t="s">
        <v>1011</v>
      </c>
      <c r="I168" s="47"/>
      <c r="J168" s="48" t="s">
        <v>1195</v>
      </c>
      <c r="K168" s="46" t="s">
        <v>806</v>
      </c>
      <c r="L168" s="46" t="s">
        <v>3</v>
      </c>
      <c r="M168" s="46" t="s">
        <v>588</v>
      </c>
      <c r="N168" s="49">
        <v>3</v>
      </c>
      <c r="O168" s="49">
        <v>0</v>
      </c>
      <c r="P168" s="47" t="s">
        <v>1163</v>
      </c>
      <c r="Q168" s="47" t="s">
        <v>1097</v>
      </c>
      <c r="R168" s="47" t="s">
        <v>376</v>
      </c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50">
        <f>IF(L168="W",1,0)</f>
        <v>1</v>
      </c>
      <c r="AF168" s="50">
        <f>IF(L168="T",1,0)</f>
        <v>0</v>
      </c>
      <c r="AG168" s="50">
        <f>IF(L168="L",1,0)</f>
        <v>0</v>
      </c>
      <c r="AH168" s="46" t="s">
        <v>1111</v>
      </c>
      <c r="AI168" s="46" t="s">
        <v>1126</v>
      </c>
      <c r="AJ168" s="46" t="s">
        <v>376</v>
      </c>
      <c r="AK168" s="46" t="s">
        <v>658</v>
      </c>
      <c r="AL168" s="46" t="s">
        <v>588</v>
      </c>
      <c r="AM168" s="46" t="s">
        <v>1175</v>
      </c>
      <c r="AN168" s="46" t="s">
        <v>376</v>
      </c>
      <c r="AO168" s="46" t="s">
        <v>658</v>
      </c>
      <c r="AP168" s="46"/>
      <c r="AQ168" s="46">
        <v>2</v>
      </c>
      <c r="AR168" s="46"/>
      <c r="AS168" s="46"/>
      <c r="AT168" s="46"/>
      <c r="AU168" s="46" t="s">
        <v>376</v>
      </c>
      <c r="AV168" s="46"/>
      <c r="AW168" s="46" t="s">
        <v>30</v>
      </c>
      <c r="AX168" s="46"/>
      <c r="AY168" s="46" t="s">
        <v>30</v>
      </c>
      <c r="AZ168" s="46"/>
      <c r="BA168" s="47"/>
      <c r="BB168" s="51"/>
      <c r="BC168" s="46"/>
      <c r="BD168" s="46"/>
      <c r="BE168" s="46"/>
      <c r="BF168" s="46">
        <v>1</v>
      </c>
      <c r="BG168" s="46">
        <v>1</v>
      </c>
      <c r="BH168" s="46">
        <v>1</v>
      </c>
      <c r="BI168" s="46" t="s">
        <v>806</v>
      </c>
      <c r="BJ168" s="46" t="s">
        <v>588</v>
      </c>
      <c r="BK168" s="46">
        <v>1897</v>
      </c>
      <c r="BL168" s="46" t="str">
        <f>BK168&amp;BI168</f>
        <v>1897Aston Villa</v>
      </c>
      <c r="BM168" s="52" t="str">
        <f>IF(AD168="Home",BI168,IF(AD168="Away",BJ168,Q168))</f>
        <v>Sheffield</v>
      </c>
      <c r="BN168" s="46"/>
      <c r="BO168" s="46"/>
      <c r="BP168" s="46"/>
      <c r="BQ168" s="46"/>
      <c r="BR168" s="46"/>
      <c r="BS168" s="46"/>
      <c r="BT168" s="46"/>
      <c r="BU168" s="46"/>
      <c r="BV168" s="46" t="s">
        <v>376</v>
      </c>
      <c r="BW168" s="46" t="s">
        <v>376</v>
      </c>
      <c r="BX168" s="46"/>
      <c r="BY168" s="50"/>
      <c r="BZ168" s="53"/>
      <c r="CA168" s="53"/>
      <c r="CB168" s="93" t="str">
        <f>IF(OR(C168="",A168="",B168=""),"",TEXT(C168,"0000")&amp;TEXT(A168,"00")&amp;TEXT(B168,"00"))</f>
        <v>18970320</v>
      </c>
    </row>
    <row r="169" spans="1:80" s="52" customFormat="1" ht="12.95" customHeight="1" x14ac:dyDescent="0.2">
      <c r="A169" s="46">
        <v>3</v>
      </c>
      <c r="B169" s="46">
        <v>20</v>
      </c>
      <c r="C169" s="46">
        <v>1897</v>
      </c>
      <c r="D169" s="46" t="s">
        <v>658</v>
      </c>
      <c r="E169" s="46" t="s">
        <v>1194</v>
      </c>
      <c r="F169" s="47" t="s">
        <v>1010</v>
      </c>
      <c r="G169" s="46"/>
      <c r="H169" s="47" t="s">
        <v>1011</v>
      </c>
      <c r="I169" s="47"/>
      <c r="J169" s="48" t="s">
        <v>1195</v>
      </c>
      <c r="K169" s="46" t="s">
        <v>588</v>
      </c>
      <c r="L169" s="46" t="s">
        <v>4</v>
      </c>
      <c r="M169" s="46" t="s">
        <v>806</v>
      </c>
      <c r="N169" s="49">
        <v>0</v>
      </c>
      <c r="O169" s="49">
        <v>3</v>
      </c>
      <c r="P169" s="47" t="s">
        <v>1163</v>
      </c>
      <c r="Q169" s="47" t="s">
        <v>1097</v>
      </c>
      <c r="R169" s="47" t="s">
        <v>376</v>
      </c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50">
        <f>IF(L169="W",1,0)</f>
        <v>0</v>
      </c>
      <c r="AF169" s="50">
        <f>IF(L169="T",1,0)</f>
        <v>0</v>
      </c>
      <c r="AG169" s="50">
        <f>IF(L169="L",1,0)</f>
        <v>1</v>
      </c>
      <c r="AH169" s="46" t="s">
        <v>588</v>
      </c>
      <c r="AI169" s="46" t="s">
        <v>1175</v>
      </c>
      <c r="AJ169" s="46" t="s">
        <v>376</v>
      </c>
      <c r="AK169" s="46" t="s">
        <v>658</v>
      </c>
      <c r="AL169" s="46" t="s">
        <v>1111</v>
      </c>
      <c r="AM169" s="46" t="s">
        <v>1126</v>
      </c>
      <c r="AN169" s="46" t="s">
        <v>376</v>
      </c>
      <c r="AO169" s="46" t="s">
        <v>658</v>
      </c>
      <c r="AP169" s="46"/>
      <c r="AQ169" s="46">
        <v>2</v>
      </c>
      <c r="AR169" s="46"/>
      <c r="AS169" s="46"/>
      <c r="AT169" s="46"/>
      <c r="AU169" s="46" t="s">
        <v>376</v>
      </c>
      <c r="AV169" s="46"/>
      <c r="AW169" s="46" t="s">
        <v>30</v>
      </c>
      <c r="AX169" s="46"/>
      <c r="AY169" s="46" t="s">
        <v>30</v>
      </c>
      <c r="AZ169" s="46"/>
      <c r="BA169" s="47"/>
      <c r="BB169" s="51"/>
      <c r="BC169" s="46"/>
      <c r="BD169" s="46"/>
      <c r="BE169" s="46"/>
      <c r="BF169" s="46">
        <v>1</v>
      </c>
      <c r="BG169" s="46">
        <v>1</v>
      </c>
      <c r="BH169" s="46">
        <v>1</v>
      </c>
      <c r="BI169" s="46" t="s">
        <v>588</v>
      </c>
      <c r="BJ169" s="46" t="s">
        <v>806</v>
      </c>
      <c r="BK169" s="46">
        <v>1897</v>
      </c>
      <c r="BL169" s="46" t="str">
        <f>BK169&amp;BI169</f>
        <v>1897Liverpool</v>
      </c>
      <c r="BM169" s="52" t="str">
        <f>IF(AD169="Home",BI169,IF(AD169="Away",BJ169,Q169))</f>
        <v>Sheffield</v>
      </c>
      <c r="BN169" s="46"/>
      <c r="BO169" s="46"/>
      <c r="BP169" s="46"/>
      <c r="BQ169" s="46"/>
      <c r="BR169" s="46"/>
      <c r="BS169" s="46"/>
      <c r="BT169" s="46"/>
      <c r="BU169" s="46"/>
      <c r="BV169" s="46" t="s">
        <v>376</v>
      </c>
      <c r="BW169" s="46" t="s">
        <v>376</v>
      </c>
      <c r="BX169" s="46"/>
      <c r="BY169" s="50"/>
      <c r="BZ169" s="53"/>
      <c r="CA169" s="53"/>
      <c r="CB169" s="93" t="str">
        <f>IF(OR(C169="",A169="",B169=""),"",TEXT(C169,"0000")&amp;TEXT(A169,"00")&amp;TEXT(B169,"00"))</f>
        <v>18970320</v>
      </c>
    </row>
    <row r="170" spans="1:80" s="52" customFormat="1" ht="12.95" customHeight="1" x14ac:dyDescent="0.2">
      <c r="A170" s="46">
        <v>3</v>
      </c>
      <c r="B170" s="46">
        <v>20</v>
      </c>
      <c r="C170" s="46">
        <v>1897</v>
      </c>
      <c r="D170" s="46" t="s">
        <v>658</v>
      </c>
      <c r="E170" s="46" t="s">
        <v>1194</v>
      </c>
      <c r="F170" s="47" t="s">
        <v>1010</v>
      </c>
      <c r="G170" s="46"/>
      <c r="H170" s="47" t="s">
        <v>1011</v>
      </c>
      <c r="I170" s="47"/>
      <c r="J170" s="48" t="s">
        <v>1195</v>
      </c>
      <c r="K170" s="46" t="s">
        <v>804</v>
      </c>
      <c r="L170" s="46" t="s">
        <v>3</v>
      </c>
      <c r="M170" s="46" t="s">
        <v>1191</v>
      </c>
      <c r="N170" s="49">
        <v>3</v>
      </c>
      <c r="O170" s="49">
        <v>2</v>
      </c>
      <c r="P170" s="47" t="s">
        <v>1144</v>
      </c>
      <c r="Q170" s="47" t="s">
        <v>1145</v>
      </c>
      <c r="R170" s="47" t="s">
        <v>376</v>
      </c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50">
        <f>IF(L170="W",1,0)</f>
        <v>1</v>
      </c>
      <c r="AF170" s="50">
        <f>IF(L170="T",1,0)</f>
        <v>0</v>
      </c>
      <c r="AG170" s="50">
        <f>IF(L170="L",1,0)</f>
        <v>0</v>
      </c>
      <c r="AH170" s="46" t="s">
        <v>588</v>
      </c>
      <c r="AI170" s="46" t="s">
        <v>1175</v>
      </c>
      <c r="AJ170" s="46" t="s">
        <v>376</v>
      </c>
      <c r="AK170" s="46" t="s">
        <v>658</v>
      </c>
      <c r="AL170" s="46" t="s">
        <v>979</v>
      </c>
      <c r="AM170" s="46" t="s">
        <v>1146</v>
      </c>
      <c r="AN170" s="46" t="s">
        <v>376</v>
      </c>
      <c r="AO170" s="46" t="s">
        <v>658</v>
      </c>
      <c r="AP170" s="46"/>
      <c r="AQ170" s="46">
        <v>2</v>
      </c>
      <c r="AR170" s="46"/>
      <c r="AS170" s="46"/>
      <c r="AT170" s="46"/>
      <c r="AU170" s="46" t="s">
        <v>376</v>
      </c>
      <c r="AV170" s="46"/>
      <c r="AW170" s="46" t="s">
        <v>30</v>
      </c>
      <c r="AX170" s="46"/>
      <c r="AY170" s="46" t="s">
        <v>30</v>
      </c>
      <c r="AZ170" s="46"/>
      <c r="BA170" s="47"/>
      <c r="BB170" s="51"/>
      <c r="BC170" s="46"/>
      <c r="BD170" s="46"/>
      <c r="BE170" s="46"/>
      <c r="BF170" s="46">
        <v>1</v>
      </c>
      <c r="BG170" s="46">
        <v>1</v>
      </c>
      <c r="BH170" s="46">
        <v>1</v>
      </c>
      <c r="BI170" s="46" t="s">
        <v>804</v>
      </c>
      <c r="BJ170" s="46" t="s">
        <v>1191</v>
      </c>
      <c r="BK170" s="46">
        <v>1897</v>
      </c>
      <c r="BL170" s="46" t="str">
        <f>BK170&amp;BI170</f>
        <v>1897Everton</v>
      </c>
      <c r="BM170" s="52" t="str">
        <f>IF(AD170="Home",BI170,IF(AD170="Away",BJ170,Q170))</f>
        <v>Stoke-on-Trent</v>
      </c>
      <c r="BN170" s="46"/>
      <c r="BO170" s="46"/>
      <c r="BP170" s="46"/>
      <c r="BQ170" s="46"/>
      <c r="BR170" s="46"/>
      <c r="BS170" s="46"/>
      <c r="BT170" s="46"/>
      <c r="BU170" s="46"/>
      <c r="BV170" s="46" t="s">
        <v>376</v>
      </c>
      <c r="BW170" s="46" t="s">
        <v>376</v>
      </c>
      <c r="BX170" s="46"/>
      <c r="BY170" s="50"/>
      <c r="BZ170" s="53"/>
      <c r="CA170" s="53"/>
      <c r="CB170" s="93" t="str">
        <f>IF(OR(C170="",A170="",B170=""),"",TEXT(C170,"0000")&amp;TEXT(A170,"00")&amp;TEXT(B170,"00"))</f>
        <v>18970320</v>
      </c>
    </row>
    <row r="171" spans="1:80" s="52" customFormat="1" ht="12.95" customHeight="1" x14ac:dyDescent="0.2">
      <c r="A171" s="46">
        <v>3</v>
      </c>
      <c r="B171" s="46">
        <v>20</v>
      </c>
      <c r="C171" s="46">
        <v>1897</v>
      </c>
      <c r="D171" s="46" t="s">
        <v>658</v>
      </c>
      <c r="E171" s="46" t="s">
        <v>1194</v>
      </c>
      <c r="F171" s="47" t="s">
        <v>1010</v>
      </c>
      <c r="G171" s="46"/>
      <c r="H171" s="47" t="s">
        <v>1011</v>
      </c>
      <c r="I171" s="47"/>
      <c r="J171" s="48" t="s">
        <v>1195</v>
      </c>
      <c r="K171" s="46" t="s">
        <v>1191</v>
      </c>
      <c r="L171" s="46" t="s">
        <v>4</v>
      </c>
      <c r="M171" s="46" t="s">
        <v>804</v>
      </c>
      <c r="N171" s="49">
        <v>2</v>
      </c>
      <c r="O171" s="49">
        <v>3</v>
      </c>
      <c r="P171" s="47" t="s">
        <v>1144</v>
      </c>
      <c r="Q171" s="47" t="s">
        <v>1145</v>
      </c>
      <c r="R171" s="47" t="s">
        <v>376</v>
      </c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50">
        <f>IF(L171="W",1,0)</f>
        <v>0</v>
      </c>
      <c r="AF171" s="50">
        <f>IF(L171="T",1,0)</f>
        <v>0</v>
      </c>
      <c r="AG171" s="50">
        <f>IF(L171="L",1,0)</f>
        <v>1</v>
      </c>
      <c r="AH171" s="46" t="s">
        <v>979</v>
      </c>
      <c r="AI171" s="46" t="s">
        <v>1146</v>
      </c>
      <c r="AJ171" s="46" t="s">
        <v>376</v>
      </c>
      <c r="AK171" s="46" t="s">
        <v>658</v>
      </c>
      <c r="AL171" s="46" t="s">
        <v>588</v>
      </c>
      <c r="AM171" s="46" t="s">
        <v>1175</v>
      </c>
      <c r="AN171" s="46" t="s">
        <v>376</v>
      </c>
      <c r="AO171" s="46" t="s">
        <v>658</v>
      </c>
      <c r="AP171" s="46"/>
      <c r="AQ171" s="46">
        <v>2</v>
      </c>
      <c r="AR171" s="46"/>
      <c r="AS171" s="46"/>
      <c r="AT171" s="46"/>
      <c r="AU171" s="46" t="s">
        <v>376</v>
      </c>
      <c r="AV171" s="46"/>
      <c r="AW171" s="46" t="s">
        <v>30</v>
      </c>
      <c r="AX171" s="46"/>
      <c r="AY171" s="46" t="s">
        <v>30</v>
      </c>
      <c r="AZ171" s="46"/>
      <c r="BA171" s="47"/>
      <c r="BB171" s="51"/>
      <c r="BC171" s="46"/>
      <c r="BD171" s="46"/>
      <c r="BE171" s="46"/>
      <c r="BF171" s="46">
        <v>1</v>
      </c>
      <c r="BG171" s="46">
        <v>1</v>
      </c>
      <c r="BH171" s="46">
        <v>1</v>
      </c>
      <c r="BI171" s="46" t="s">
        <v>1191</v>
      </c>
      <c r="BJ171" s="46" t="s">
        <v>804</v>
      </c>
      <c r="BK171" s="46">
        <v>1897</v>
      </c>
      <c r="BL171" s="46" t="str">
        <f>BK171&amp;BI171</f>
        <v>1897Derby County</v>
      </c>
      <c r="BM171" s="52" t="str">
        <f>IF(AD171="Home",BI171,IF(AD171="Away",BJ171,Q171))</f>
        <v>Stoke-on-Trent</v>
      </c>
      <c r="BN171" s="46"/>
      <c r="BO171" s="46"/>
      <c r="BP171" s="46"/>
      <c r="BQ171" s="46"/>
      <c r="BR171" s="46"/>
      <c r="BS171" s="46"/>
      <c r="BT171" s="46"/>
      <c r="BU171" s="46"/>
      <c r="BV171" s="46" t="s">
        <v>376</v>
      </c>
      <c r="BW171" s="46" t="s">
        <v>376</v>
      </c>
      <c r="BX171" s="46"/>
      <c r="BY171" s="50"/>
      <c r="BZ171" s="53"/>
      <c r="CA171" s="53"/>
      <c r="CB171" s="93" t="str">
        <f>IF(OR(C171="",A171="",B171=""),"",TEXT(C171,"0000")&amp;TEXT(A171,"00")&amp;TEXT(B171,"00"))</f>
        <v>18970320</v>
      </c>
    </row>
    <row r="172" spans="1:80" s="52" customFormat="1" ht="12.95" customHeight="1" x14ac:dyDescent="0.2">
      <c r="A172" s="46">
        <v>4</v>
      </c>
      <c r="B172" s="46">
        <v>10</v>
      </c>
      <c r="C172" s="46">
        <v>1897</v>
      </c>
      <c r="D172" s="46" t="s">
        <v>658</v>
      </c>
      <c r="E172" s="46" t="s">
        <v>1194</v>
      </c>
      <c r="F172" s="47" t="s">
        <v>1010</v>
      </c>
      <c r="G172" s="46"/>
      <c r="H172" s="47" t="s">
        <v>1025</v>
      </c>
      <c r="I172" s="47"/>
      <c r="J172" s="48" t="s">
        <v>1196</v>
      </c>
      <c r="K172" s="46" t="s">
        <v>806</v>
      </c>
      <c r="L172" s="46" t="s">
        <v>3</v>
      </c>
      <c r="M172" s="46" t="s">
        <v>804</v>
      </c>
      <c r="N172" s="49">
        <v>3</v>
      </c>
      <c r="O172" s="49">
        <v>2</v>
      </c>
      <c r="P172" s="47" t="s">
        <v>1188</v>
      </c>
      <c r="Q172" s="47" t="s">
        <v>1017</v>
      </c>
      <c r="R172" s="47" t="s">
        <v>376</v>
      </c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50">
        <f>IF(L172="W",1,0)</f>
        <v>1</v>
      </c>
      <c r="AF172" s="50">
        <f>IF(L172="T",1,0)</f>
        <v>0</v>
      </c>
      <c r="AG172" s="50">
        <f>IF(L172="L",1,0)</f>
        <v>0</v>
      </c>
      <c r="AH172" s="46" t="s">
        <v>1111</v>
      </c>
      <c r="AI172" s="46" t="s">
        <v>1126</v>
      </c>
      <c r="AJ172" s="46" t="s">
        <v>376</v>
      </c>
      <c r="AK172" s="46" t="s">
        <v>658</v>
      </c>
      <c r="AL172" s="46" t="s">
        <v>588</v>
      </c>
      <c r="AM172" s="46" t="s">
        <v>1175</v>
      </c>
      <c r="AN172" s="46" t="s">
        <v>376</v>
      </c>
      <c r="AO172" s="46" t="s">
        <v>658</v>
      </c>
      <c r="AP172" s="46"/>
      <c r="AQ172" s="46">
        <v>1</v>
      </c>
      <c r="AR172" s="46"/>
      <c r="AS172" s="46"/>
      <c r="AT172" s="46"/>
      <c r="AU172" s="46" t="s">
        <v>376</v>
      </c>
      <c r="AV172" s="46"/>
      <c r="AW172" s="46" t="s">
        <v>30</v>
      </c>
      <c r="AX172" s="46"/>
      <c r="AY172" s="46" t="s">
        <v>30</v>
      </c>
      <c r="AZ172" s="46"/>
      <c r="BA172" s="47"/>
      <c r="BB172" s="51" t="s">
        <v>30</v>
      </c>
      <c r="BC172" s="46" t="s">
        <v>30</v>
      </c>
      <c r="BD172" s="46"/>
      <c r="BE172" s="46"/>
      <c r="BF172" s="46">
        <v>1</v>
      </c>
      <c r="BG172" s="46">
        <v>1</v>
      </c>
      <c r="BH172" s="46">
        <v>1</v>
      </c>
      <c r="BI172" s="46" t="s">
        <v>806</v>
      </c>
      <c r="BJ172" s="46" t="s">
        <v>804</v>
      </c>
      <c r="BK172" s="46">
        <v>1897</v>
      </c>
      <c r="BL172" s="46" t="str">
        <f>BK172&amp;BI172</f>
        <v>1897Aston Villa</v>
      </c>
      <c r="BM172" s="52" t="str">
        <f>IF(AD172="Home",BI172,IF(AD172="Away",BJ172,Q172))</f>
        <v>London</v>
      </c>
      <c r="BN172" s="46"/>
      <c r="BO172" s="46"/>
      <c r="BP172" s="46"/>
      <c r="BQ172" s="46"/>
      <c r="BR172" s="46"/>
      <c r="BS172" s="46"/>
      <c r="BT172" s="46"/>
      <c r="BU172" s="46"/>
      <c r="BV172" s="46" t="s">
        <v>376</v>
      </c>
      <c r="BW172" s="46" t="s">
        <v>376</v>
      </c>
      <c r="BX172" s="46"/>
      <c r="BZ172" s="53"/>
      <c r="CA172" s="53"/>
      <c r="CB172" s="93" t="str">
        <f>IF(OR(C172="",A172="",B172=""),"",TEXT(C172,"0000")&amp;TEXT(A172,"00")&amp;TEXT(B172,"00"))</f>
        <v>18970410</v>
      </c>
    </row>
    <row r="173" spans="1:80" s="52" customFormat="1" ht="12.95" customHeight="1" x14ac:dyDescent="0.2">
      <c r="A173" s="46">
        <v>4</v>
      </c>
      <c r="B173" s="46">
        <v>10</v>
      </c>
      <c r="C173" s="46">
        <v>1897</v>
      </c>
      <c r="D173" s="46" t="s">
        <v>658</v>
      </c>
      <c r="E173" s="46" t="s">
        <v>1194</v>
      </c>
      <c r="F173" s="47" t="s">
        <v>1010</v>
      </c>
      <c r="G173" s="46"/>
      <c r="H173" s="47" t="s">
        <v>1025</v>
      </c>
      <c r="I173" s="47"/>
      <c r="J173" s="48" t="s">
        <v>1196</v>
      </c>
      <c r="K173" s="46" t="s">
        <v>804</v>
      </c>
      <c r="L173" s="46" t="s">
        <v>4</v>
      </c>
      <c r="M173" s="46" t="s">
        <v>806</v>
      </c>
      <c r="N173" s="49">
        <v>2</v>
      </c>
      <c r="O173" s="49">
        <v>3</v>
      </c>
      <c r="P173" s="47" t="s">
        <v>1188</v>
      </c>
      <c r="Q173" s="47" t="s">
        <v>1017</v>
      </c>
      <c r="R173" s="47" t="s">
        <v>376</v>
      </c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50">
        <f>IF(L173="W",1,0)</f>
        <v>0</v>
      </c>
      <c r="AF173" s="50">
        <f>IF(L173="T",1,0)</f>
        <v>0</v>
      </c>
      <c r="AG173" s="50">
        <f>IF(L173="L",1,0)</f>
        <v>1</v>
      </c>
      <c r="AH173" s="46" t="s">
        <v>588</v>
      </c>
      <c r="AI173" s="46" t="s">
        <v>1175</v>
      </c>
      <c r="AJ173" s="46" t="s">
        <v>376</v>
      </c>
      <c r="AK173" s="46" t="s">
        <v>658</v>
      </c>
      <c r="AL173" s="46" t="s">
        <v>1111</v>
      </c>
      <c r="AM173" s="46" t="s">
        <v>1126</v>
      </c>
      <c r="AN173" s="46" t="s">
        <v>376</v>
      </c>
      <c r="AO173" s="46" t="s">
        <v>658</v>
      </c>
      <c r="AP173" s="46"/>
      <c r="AQ173" s="46">
        <v>1</v>
      </c>
      <c r="AR173" s="46"/>
      <c r="AS173" s="46"/>
      <c r="AT173" s="46"/>
      <c r="AU173" s="46" t="s">
        <v>376</v>
      </c>
      <c r="AV173" s="46"/>
      <c r="AW173" s="46" t="s">
        <v>30</v>
      </c>
      <c r="AX173" s="46"/>
      <c r="AY173" s="46" t="s">
        <v>30</v>
      </c>
      <c r="AZ173" s="46"/>
      <c r="BA173" s="47"/>
      <c r="BB173" s="51"/>
      <c r="BC173" s="46" t="s">
        <v>30</v>
      </c>
      <c r="BD173" s="46"/>
      <c r="BE173" s="46"/>
      <c r="BF173" s="46">
        <v>1</v>
      </c>
      <c r="BG173" s="46">
        <v>1</v>
      </c>
      <c r="BH173" s="46">
        <v>1</v>
      </c>
      <c r="BI173" s="46" t="s">
        <v>804</v>
      </c>
      <c r="BJ173" s="46" t="s">
        <v>806</v>
      </c>
      <c r="BK173" s="46">
        <v>1897</v>
      </c>
      <c r="BL173" s="46" t="str">
        <f>BK173&amp;BI173</f>
        <v>1897Everton</v>
      </c>
      <c r="BM173" s="52" t="str">
        <f>IF(AD173="Home",BI173,IF(AD173="Away",BJ173,Q173))</f>
        <v>London</v>
      </c>
      <c r="BN173" s="46"/>
      <c r="BO173" s="46"/>
      <c r="BP173" s="46"/>
      <c r="BQ173" s="46"/>
      <c r="BR173" s="46"/>
      <c r="BS173" s="46"/>
      <c r="BT173" s="46"/>
      <c r="BU173" s="46"/>
      <c r="BV173" s="46" t="s">
        <v>376</v>
      </c>
      <c r="BW173" s="46" t="s">
        <v>376</v>
      </c>
      <c r="BX173" s="46"/>
      <c r="BZ173" s="53"/>
      <c r="CA173" s="53"/>
      <c r="CB173" s="93" t="str">
        <f>IF(OR(C173="",A173="",B173=""),"",TEXT(C173,"0000")&amp;TEXT(A173,"00")&amp;TEXT(B173,"00"))</f>
        <v>18970410</v>
      </c>
    </row>
    <row r="174" spans="1:80" s="52" customFormat="1" ht="12.95" customHeight="1" x14ac:dyDescent="0.2">
      <c r="A174" s="46">
        <v>3</v>
      </c>
      <c r="B174" s="46">
        <v>19</v>
      </c>
      <c r="C174" s="46">
        <v>1898</v>
      </c>
      <c r="D174" s="46" t="s">
        <v>658</v>
      </c>
      <c r="E174" s="46" t="s">
        <v>1197</v>
      </c>
      <c r="F174" s="47" t="s">
        <v>1010</v>
      </c>
      <c r="G174" s="46"/>
      <c r="H174" s="47" t="s">
        <v>1011</v>
      </c>
      <c r="I174" s="47"/>
      <c r="J174" s="48" t="s">
        <v>1198</v>
      </c>
      <c r="K174" s="46" t="s">
        <v>629</v>
      </c>
      <c r="L174" s="46" t="s">
        <v>1014</v>
      </c>
      <c r="M174" s="46" t="s">
        <v>1072</v>
      </c>
      <c r="N174" s="49">
        <v>1</v>
      </c>
      <c r="O174" s="49">
        <v>1</v>
      </c>
      <c r="P174" s="47" t="s">
        <v>1163</v>
      </c>
      <c r="Q174" s="47" t="s">
        <v>1097</v>
      </c>
      <c r="R174" s="47" t="s">
        <v>376</v>
      </c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50">
        <f>IF(L174="W",1,0)</f>
        <v>0</v>
      </c>
      <c r="AF174" s="50">
        <f>IF(L174="T",1,0)</f>
        <v>1</v>
      </c>
      <c r="AG174" s="50">
        <f>IF(L174="L",1,0)</f>
        <v>0</v>
      </c>
      <c r="AH174" s="46" t="s">
        <v>629</v>
      </c>
      <c r="AI174" s="46" t="s">
        <v>1199</v>
      </c>
      <c r="AJ174" s="46" t="s">
        <v>376</v>
      </c>
      <c r="AK174" s="46" t="s">
        <v>658</v>
      </c>
      <c r="AL174" s="46" t="s">
        <v>1073</v>
      </c>
      <c r="AM174" s="46" t="s">
        <v>1074</v>
      </c>
      <c r="AN174" s="46" t="s">
        <v>376</v>
      </c>
      <c r="AO174" s="46" t="s">
        <v>658</v>
      </c>
      <c r="AP174" s="46"/>
      <c r="AQ174" s="46">
        <v>2</v>
      </c>
      <c r="AR174" s="46"/>
      <c r="AS174" s="46"/>
      <c r="AT174" s="46"/>
      <c r="AU174" s="46" t="s">
        <v>376</v>
      </c>
      <c r="AV174" s="46"/>
      <c r="AW174" s="46" t="s">
        <v>30</v>
      </c>
      <c r="AX174" s="46"/>
      <c r="AY174" s="46" t="s">
        <v>30</v>
      </c>
      <c r="AZ174" s="46"/>
      <c r="BA174" s="47"/>
      <c r="BB174" s="51"/>
      <c r="BC174" s="46"/>
      <c r="BD174" s="46"/>
      <c r="BE174" s="46"/>
      <c r="BF174" s="46">
        <v>1</v>
      </c>
      <c r="BG174" s="46"/>
      <c r="BH174" s="46">
        <v>1</v>
      </c>
      <c r="BI174" s="46" t="s">
        <v>629</v>
      </c>
      <c r="BJ174" s="46" t="s">
        <v>1072</v>
      </c>
      <c r="BK174" s="46">
        <v>1898</v>
      </c>
      <c r="BL174" s="46" t="str">
        <f>BK174&amp;BI174</f>
        <v>1898Southampton</v>
      </c>
      <c r="BM174" s="52" t="str">
        <f>IF(AD174="Home",BI174,IF(AD174="Away",BJ174,Q174))</f>
        <v>Sheffield</v>
      </c>
      <c r="BN174" s="46"/>
      <c r="BO174" s="46"/>
      <c r="BP174" s="46"/>
      <c r="BQ174" s="46"/>
      <c r="BR174" s="46"/>
      <c r="BS174" s="46"/>
      <c r="BT174" s="46"/>
      <c r="BU174" s="46"/>
      <c r="BV174" s="46" t="s">
        <v>376</v>
      </c>
      <c r="BW174" s="46" t="s">
        <v>376</v>
      </c>
      <c r="BX174" s="46"/>
      <c r="BY174" s="50"/>
      <c r="BZ174" s="53"/>
      <c r="CA174" s="53"/>
      <c r="CB174" s="93" t="str">
        <f>IF(OR(C174="",A174="",B174=""),"",TEXT(C174,"0000")&amp;TEXT(A174,"00")&amp;TEXT(B174,"00"))</f>
        <v>18980319</v>
      </c>
    </row>
    <row r="175" spans="1:80" s="52" customFormat="1" ht="12.95" customHeight="1" x14ac:dyDescent="0.2">
      <c r="A175" s="46">
        <v>3</v>
      </c>
      <c r="B175" s="46">
        <v>19</v>
      </c>
      <c r="C175" s="46">
        <v>1898</v>
      </c>
      <c r="D175" s="46" t="s">
        <v>658</v>
      </c>
      <c r="E175" s="46" t="s">
        <v>1197</v>
      </c>
      <c r="F175" s="47" t="s">
        <v>1010</v>
      </c>
      <c r="G175" s="46"/>
      <c r="H175" s="47" t="s">
        <v>1011</v>
      </c>
      <c r="I175" s="47"/>
      <c r="J175" s="48" t="s">
        <v>1198</v>
      </c>
      <c r="K175" s="46" t="s">
        <v>1072</v>
      </c>
      <c r="L175" s="46" t="s">
        <v>1014</v>
      </c>
      <c r="M175" s="46" t="s">
        <v>629</v>
      </c>
      <c r="N175" s="49">
        <v>1</v>
      </c>
      <c r="O175" s="49">
        <v>1</v>
      </c>
      <c r="P175" s="47" t="s">
        <v>1163</v>
      </c>
      <c r="Q175" s="47" t="s">
        <v>1097</v>
      </c>
      <c r="R175" s="47" t="s">
        <v>376</v>
      </c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50">
        <f>IF(L175="W",1,0)</f>
        <v>0</v>
      </c>
      <c r="AF175" s="50">
        <f>IF(L175="T",1,0)</f>
        <v>1</v>
      </c>
      <c r="AG175" s="50">
        <f>IF(L175="L",1,0)</f>
        <v>0</v>
      </c>
      <c r="AH175" s="46" t="s">
        <v>1073</v>
      </c>
      <c r="AI175" s="46" t="s">
        <v>1074</v>
      </c>
      <c r="AJ175" s="46" t="s">
        <v>376</v>
      </c>
      <c r="AK175" s="46" t="s">
        <v>658</v>
      </c>
      <c r="AL175" s="46" t="s">
        <v>629</v>
      </c>
      <c r="AM175" s="46" t="s">
        <v>1199</v>
      </c>
      <c r="AN175" s="46" t="s">
        <v>376</v>
      </c>
      <c r="AO175" s="46" t="s">
        <v>658</v>
      </c>
      <c r="AP175" s="46"/>
      <c r="AQ175" s="46">
        <v>2</v>
      </c>
      <c r="AR175" s="46"/>
      <c r="AS175" s="46"/>
      <c r="AT175" s="46"/>
      <c r="AU175" s="46" t="s">
        <v>376</v>
      </c>
      <c r="AV175" s="46"/>
      <c r="AW175" s="46" t="s">
        <v>30</v>
      </c>
      <c r="AX175" s="46"/>
      <c r="AY175" s="46" t="s">
        <v>30</v>
      </c>
      <c r="AZ175" s="46"/>
      <c r="BA175" s="47"/>
      <c r="BB175" s="51"/>
      <c r="BC175" s="46"/>
      <c r="BD175" s="46"/>
      <c r="BE175" s="46"/>
      <c r="BF175" s="46">
        <v>1</v>
      </c>
      <c r="BG175" s="46">
        <v>1</v>
      </c>
      <c r="BH175" s="46"/>
      <c r="BI175" s="46" t="s">
        <v>1072</v>
      </c>
      <c r="BJ175" s="46" t="s">
        <v>629</v>
      </c>
      <c r="BK175" s="46">
        <v>1898</v>
      </c>
      <c r="BL175" s="46" t="str">
        <f>BK175&amp;BI175</f>
        <v>1898Nottingham Forest</v>
      </c>
      <c r="BM175" s="52" t="str">
        <f>IF(AD175="Home",BI175,IF(AD175="Away",BJ175,Q175))</f>
        <v>Sheffield</v>
      </c>
      <c r="BN175" s="46"/>
      <c r="BO175" s="46"/>
      <c r="BP175" s="46"/>
      <c r="BQ175" s="46"/>
      <c r="BR175" s="46"/>
      <c r="BS175" s="46"/>
      <c r="BT175" s="46"/>
      <c r="BU175" s="46"/>
      <c r="BV175" s="46" t="s">
        <v>376</v>
      </c>
      <c r="BW175" s="46" t="s">
        <v>376</v>
      </c>
      <c r="BX175" s="46"/>
      <c r="BY175" s="50"/>
      <c r="BZ175" s="53"/>
      <c r="CA175" s="53"/>
      <c r="CB175" s="93" t="str">
        <f>IF(OR(C175="",A175="",B175=""),"",TEXT(C175,"0000")&amp;TEXT(A175,"00")&amp;TEXT(B175,"00"))</f>
        <v>18980319</v>
      </c>
    </row>
    <row r="176" spans="1:80" s="52" customFormat="1" ht="12.95" customHeight="1" x14ac:dyDescent="0.2">
      <c r="A176" s="46">
        <v>3</v>
      </c>
      <c r="B176" s="46">
        <v>19</v>
      </c>
      <c r="C176" s="46">
        <v>1898</v>
      </c>
      <c r="D176" s="46" t="s">
        <v>658</v>
      </c>
      <c r="E176" s="46" t="s">
        <v>1197</v>
      </c>
      <c r="F176" s="47" t="s">
        <v>1010</v>
      </c>
      <c r="G176" s="46"/>
      <c r="H176" s="47" t="s">
        <v>1011</v>
      </c>
      <c r="I176" s="47"/>
      <c r="J176" s="48" t="s">
        <v>1198</v>
      </c>
      <c r="K176" s="46" t="s">
        <v>1191</v>
      </c>
      <c r="L176" s="46" t="s">
        <v>3</v>
      </c>
      <c r="M176" s="46" t="s">
        <v>804</v>
      </c>
      <c r="N176" s="49">
        <v>3</v>
      </c>
      <c r="O176" s="49">
        <v>1</v>
      </c>
      <c r="P176" s="47" t="s">
        <v>1152</v>
      </c>
      <c r="Q176" s="47" t="s">
        <v>1111</v>
      </c>
      <c r="R176" s="47" t="s">
        <v>376</v>
      </c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50">
        <f>IF(L176="W",1,0)</f>
        <v>1</v>
      </c>
      <c r="AF176" s="50">
        <f>IF(L176="T",1,0)</f>
        <v>0</v>
      </c>
      <c r="AG176" s="50">
        <f>IF(L176="L",1,0)</f>
        <v>0</v>
      </c>
      <c r="AH176" s="46" t="s">
        <v>979</v>
      </c>
      <c r="AI176" s="46" t="s">
        <v>1146</v>
      </c>
      <c r="AJ176" s="46" t="s">
        <v>376</v>
      </c>
      <c r="AK176" s="46" t="s">
        <v>658</v>
      </c>
      <c r="AL176" s="46" t="s">
        <v>588</v>
      </c>
      <c r="AM176" s="46" t="s">
        <v>1175</v>
      </c>
      <c r="AN176" s="46" t="s">
        <v>376</v>
      </c>
      <c r="AO176" s="46" t="s">
        <v>658</v>
      </c>
      <c r="AP176" s="46"/>
      <c r="AQ176" s="46">
        <v>2</v>
      </c>
      <c r="AR176" s="46"/>
      <c r="AS176" s="46"/>
      <c r="AT176" s="46"/>
      <c r="AU176" s="46" t="s">
        <v>376</v>
      </c>
      <c r="AV176" s="46"/>
      <c r="AW176" s="46" t="s">
        <v>30</v>
      </c>
      <c r="AX176" s="46"/>
      <c r="AY176" s="46" t="s">
        <v>30</v>
      </c>
      <c r="AZ176" s="46"/>
      <c r="BA176" s="47"/>
      <c r="BB176" s="51"/>
      <c r="BC176" s="46"/>
      <c r="BD176" s="46"/>
      <c r="BE176" s="46"/>
      <c r="BF176" s="46">
        <v>1</v>
      </c>
      <c r="BG176" s="46">
        <v>1</v>
      </c>
      <c r="BH176" s="46">
        <v>1</v>
      </c>
      <c r="BI176" s="46" t="s">
        <v>1191</v>
      </c>
      <c r="BJ176" s="46" t="s">
        <v>804</v>
      </c>
      <c r="BK176" s="46">
        <v>1898</v>
      </c>
      <c r="BL176" s="46" t="str">
        <f>BK176&amp;BI176</f>
        <v>1898Derby County</v>
      </c>
      <c r="BM176" s="52" t="str">
        <f>IF(AD176="Home",BI176,IF(AD176="Away",BJ176,Q176))</f>
        <v>Birmingham</v>
      </c>
      <c r="BN176" s="46"/>
      <c r="BO176" s="46"/>
      <c r="BP176" s="46"/>
      <c r="BQ176" s="46"/>
      <c r="BR176" s="46"/>
      <c r="BS176" s="46"/>
      <c r="BT176" s="46"/>
      <c r="BU176" s="46"/>
      <c r="BV176" s="46" t="s">
        <v>376</v>
      </c>
      <c r="BW176" s="46" t="s">
        <v>376</v>
      </c>
      <c r="BX176" s="46"/>
      <c r="BZ176" s="53"/>
      <c r="CA176" s="53"/>
      <c r="CB176" s="93" t="str">
        <f>IF(OR(C176="",A176="",B176=""),"",TEXT(C176,"0000")&amp;TEXT(A176,"00")&amp;TEXT(B176,"00"))</f>
        <v>18980319</v>
      </c>
    </row>
    <row r="177" spans="1:80" s="52" customFormat="1" ht="12.95" customHeight="1" x14ac:dyDescent="0.2">
      <c r="A177" s="46">
        <v>3</v>
      </c>
      <c r="B177" s="46">
        <v>19</v>
      </c>
      <c r="C177" s="46">
        <v>1898</v>
      </c>
      <c r="D177" s="46" t="s">
        <v>658</v>
      </c>
      <c r="E177" s="46" t="s">
        <v>1197</v>
      </c>
      <c r="F177" s="47" t="s">
        <v>1010</v>
      </c>
      <c r="G177" s="46"/>
      <c r="H177" s="47" t="s">
        <v>1011</v>
      </c>
      <c r="I177" s="47"/>
      <c r="J177" s="48" t="s">
        <v>1198</v>
      </c>
      <c r="K177" s="46" t="s">
        <v>804</v>
      </c>
      <c r="L177" s="46" t="s">
        <v>4</v>
      </c>
      <c r="M177" s="46" t="s">
        <v>1191</v>
      </c>
      <c r="N177" s="49">
        <v>1</v>
      </c>
      <c r="O177" s="49">
        <v>3</v>
      </c>
      <c r="P177" s="47" t="s">
        <v>1152</v>
      </c>
      <c r="Q177" s="47" t="s">
        <v>1111</v>
      </c>
      <c r="R177" s="47" t="s">
        <v>376</v>
      </c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50">
        <f>IF(L177="W",1,0)</f>
        <v>0</v>
      </c>
      <c r="AF177" s="50">
        <f>IF(L177="T",1,0)</f>
        <v>0</v>
      </c>
      <c r="AG177" s="50">
        <f>IF(L177="L",1,0)</f>
        <v>1</v>
      </c>
      <c r="AH177" s="46" t="s">
        <v>588</v>
      </c>
      <c r="AI177" s="46" t="s">
        <v>1175</v>
      </c>
      <c r="AJ177" s="46" t="s">
        <v>376</v>
      </c>
      <c r="AK177" s="46" t="s">
        <v>658</v>
      </c>
      <c r="AL177" s="46" t="s">
        <v>979</v>
      </c>
      <c r="AM177" s="46" t="s">
        <v>1146</v>
      </c>
      <c r="AN177" s="46" t="s">
        <v>376</v>
      </c>
      <c r="AO177" s="46" t="s">
        <v>658</v>
      </c>
      <c r="AP177" s="46"/>
      <c r="AQ177" s="46">
        <v>2</v>
      </c>
      <c r="AR177" s="46"/>
      <c r="AS177" s="46"/>
      <c r="AT177" s="46"/>
      <c r="AU177" s="46" t="s">
        <v>376</v>
      </c>
      <c r="AV177" s="46"/>
      <c r="AW177" s="46" t="s">
        <v>30</v>
      </c>
      <c r="AX177" s="46"/>
      <c r="AY177" s="46" t="s">
        <v>30</v>
      </c>
      <c r="AZ177" s="46"/>
      <c r="BA177" s="47"/>
      <c r="BB177" s="51"/>
      <c r="BC177" s="46"/>
      <c r="BD177" s="46"/>
      <c r="BE177" s="46"/>
      <c r="BF177" s="46">
        <v>1</v>
      </c>
      <c r="BG177" s="46">
        <v>1</v>
      </c>
      <c r="BH177" s="46">
        <v>1</v>
      </c>
      <c r="BI177" s="46" t="s">
        <v>804</v>
      </c>
      <c r="BJ177" s="46" t="s">
        <v>1191</v>
      </c>
      <c r="BK177" s="46">
        <v>1898</v>
      </c>
      <c r="BL177" s="46" t="str">
        <f>BK177&amp;BI177</f>
        <v>1898Everton</v>
      </c>
      <c r="BM177" s="52" t="str">
        <f>IF(AD177="Home",BI177,IF(AD177="Away",BJ177,Q177))</f>
        <v>Birmingham</v>
      </c>
      <c r="BN177" s="46"/>
      <c r="BO177" s="46"/>
      <c r="BP177" s="46"/>
      <c r="BQ177" s="46"/>
      <c r="BR177" s="46"/>
      <c r="BS177" s="46"/>
      <c r="BT177" s="46"/>
      <c r="BU177" s="46"/>
      <c r="BV177" s="46" t="s">
        <v>376</v>
      </c>
      <c r="BW177" s="46" t="s">
        <v>376</v>
      </c>
      <c r="BX177" s="46"/>
      <c r="BZ177" s="53"/>
      <c r="CA177" s="53"/>
      <c r="CB177" s="93" t="str">
        <f>IF(OR(C177="",A177="",B177=""),"",TEXT(C177,"0000")&amp;TEXT(A177,"00")&amp;TEXT(B177,"00"))</f>
        <v>18980319</v>
      </c>
    </row>
    <row r="178" spans="1:80" s="52" customFormat="1" ht="12.95" customHeight="1" x14ac:dyDescent="0.2">
      <c r="A178" s="46">
        <v>3</v>
      </c>
      <c r="B178" s="46">
        <v>23</v>
      </c>
      <c r="C178" s="46">
        <v>1898</v>
      </c>
      <c r="D178" s="46" t="s">
        <v>658</v>
      </c>
      <c r="E178" s="46" t="s">
        <v>1197</v>
      </c>
      <c r="F178" s="47" t="s">
        <v>1010</v>
      </c>
      <c r="G178" s="46"/>
      <c r="H178" s="47" t="s">
        <v>1011</v>
      </c>
      <c r="I178" s="47" t="s">
        <v>1023</v>
      </c>
      <c r="J178" s="48" t="s">
        <v>1200</v>
      </c>
      <c r="K178" s="46" t="s">
        <v>1072</v>
      </c>
      <c r="L178" s="46" t="s">
        <v>3</v>
      </c>
      <c r="M178" s="46" t="s">
        <v>629</v>
      </c>
      <c r="N178" s="49">
        <v>2</v>
      </c>
      <c r="O178" s="49">
        <v>0</v>
      </c>
      <c r="P178" s="47" t="s">
        <v>1188</v>
      </c>
      <c r="Q178" s="47" t="s">
        <v>1017</v>
      </c>
      <c r="R178" s="47" t="s">
        <v>376</v>
      </c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50">
        <f>IF(L178="W",1,0)</f>
        <v>1</v>
      </c>
      <c r="AF178" s="50">
        <f>IF(L178="T",1,0)</f>
        <v>0</v>
      </c>
      <c r="AG178" s="50">
        <f>IF(L178="L",1,0)</f>
        <v>0</v>
      </c>
      <c r="AH178" s="46" t="s">
        <v>1073</v>
      </c>
      <c r="AI178" s="46" t="s">
        <v>1074</v>
      </c>
      <c r="AJ178" s="46" t="s">
        <v>376</v>
      </c>
      <c r="AK178" s="46" t="s">
        <v>658</v>
      </c>
      <c r="AL178" s="46" t="s">
        <v>629</v>
      </c>
      <c r="AM178" s="46" t="s">
        <v>1199</v>
      </c>
      <c r="AN178" s="46" t="s">
        <v>376</v>
      </c>
      <c r="AO178" s="46" t="s">
        <v>658</v>
      </c>
      <c r="AP178" s="46"/>
      <c r="AQ178" s="46">
        <v>2</v>
      </c>
      <c r="AR178" s="46"/>
      <c r="AS178" s="46"/>
      <c r="AT178" s="46"/>
      <c r="AU178" s="46" t="s">
        <v>376</v>
      </c>
      <c r="AV178" s="46"/>
      <c r="AW178" s="46" t="s">
        <v>30</v>
      </c>
      <c r="AX178" s="46"/>
      <c r="AY178" s="46" t="s">
        <v>30</v>
      </c>
      <c r="AZ178" s="46"/>
      <c r="BA178" s="47"/>
      <c r="BB178" s="51"/>
      <c r="BC178" s="46"/>
      <c r="BD178" s="46"/>
      <c r="BE178" s="46"/>
      <c r="BF178" s="46">
        <v>1</v>
      </c>
      <c r="BG178" s="46">
        <v>1</v>
      </c>
      <c r="BH178" s="46"/>
      <c r="BI178" s="46" t="s">
        <v>1072</v>
      </c>
      <c r="BJ178" s="46" t="s">
        <v>629</v>
      </c>
      <c r="BK178" s="46">
        <v>1898</v>
      </c>
      <c r="BL178" s="46" t="str">
        <f>BK178&amp;BI178</f>
        <v>1898Nottingham Forest</v>
      </c>
      <c r="BM178" s="52" t="str">
        <f>IF(AD178="Home",BI178,IF(AD178="Away",BJ178,Q178))</f>
        <v>London</v>
      </c>
      <c r="BN178" s="46"/>
      <c r="BO178" s="46"/>
      <c r="BP178" s="46"/>
      <c r="BQ178" s="46"/>
      <c r="BR178" s="46"/>
      <c r="BS178" s="46"/>
      <c r="BT178" s="46"/>
      <c r="BU178" s="46"/>
      <c r="BV178" s="46" t="s">
        <v>376</v>
      </c>
      <c r="BW178" s="46" t="s">
        <v>376</v>
      </c>
      <c r="BX178" s="46"/>
      <c r="BZ178" s="53"/>
      <c r="CA178" s="53"/>
      <c r="CB178" s="93" t="str">
        <f>IF(OR(C178="",A178="",B178=""),"",TEXT(C178,"0000")&amp;TEXT(A178,"00")&amp;TEXT(B178,"00"))</f>
        <v>18980323</v>
      </c>
    </row>
    <row r="179" spans="1:80" s="52" customFormat="1" ht="12.95" customHeight="1" x14ac:dyDescent="0.2">
      <c r="A179" s="46">
        <v>3</v>
      </c>
      <c r="B179" s="46">
        <v>23</v>
      </c>
      <c r="C179" s="46">
        <v>1898</v>
      </c>
      <c r="D179" s="46" t="s">
        <v>658</v>
      </c>
      <c r="E179" s="46" t="s">
        <v>1197</v>
      </c>
      <c r="F179" s="47" t="s">
        <v>1010</v>
      </c>
      <c r="G179" s="46"/>
      <c r="H179" s="47" t="s">
        <v>1011</v>
      </c>
      <c r="I179" s="47" t="s">
        <v>1023</v>
      </c>
      <c r="J179" s="48" t="s">
        <v>1200</v>
      </c>
      <c r="K179" s="46" t="s">
        <v>629</v>
      </c>
      <c r="L179" s="46" t="s">
        <v>4</v>
      </c>
      <c r="M179" s="46" t="s">
        <v>1072</v>
      </c>
      <c r="N179" s="49">
        <v>0</v>
      </c>
      <c r="O179" s="49">
        <v>2</v>
      </c>
      <c r="P179" s="47" t="s">
        <v>1188</v>
      </c>
      <c r="Q179" s="47" t="s">
        <v>1017</v>
      </c>
      <c r="R179" s="47" t="s">
        <v>376</v>
      </c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50">
        <f>IF(L179="W",1,0)</f>
        <v>0</v>
      </c>
      <c r="AF179" s="50">
        <f>IF(L179="T",1,0)</f>
        <v>0</v>
      </c>
      <c r="AG179" s="50">
        <f>IF(L179="L",1,0)</f>
        <v>1</v>
      </c>
      <c r="AH179" s="46" t="s">
        <v>629</v>
      </c>
      <c r="AI179" s="46" t="s">
        <v>1199</v>
      </c>
      <c r="AJ179" s="46" t="s">
        <v>376</v>
      </c>
      <c r="AK179" s="46" t="s">
        <v>658</v>
      </c>
      <c r="AL179" s="46" t="s">
        <v>1073</v>
      </c>
      <c r="AM179" s="46" t="s">
        <v>1074</v>
      </c>
      <c r="AN179" s="46" t="s">
        <v>376</v>
      </c>
      <c r="AO179" s="46" t="s">
        <v>658</v>
      </c>
      <c r="AP179" s="46"/>
      <c r="AQ179" s="46">
        <v>2</v>
      </c>
      <c r="AR179" s="46"/>
      <c r="AS179" s="46"/>
      <c r="AT179" s="46"/>
      <c r="AU179" s="46" t="s">
        <v>376</v>
      </c>
      <c r="AV179" s="46"/>
      <c r="AW179" s="46" t="s">
        <v>30</v>
      </c>
      <c r="AX179" s="46"/>
      <c r="AY179" s="46" t="s">
        <v>30</v>
      </c>
      <c r="AZ179" s="46"/>
      <c r="BA179" s="47"/>
      <c r="BB179" s="51"/>
      <c r="BC179" s="46"/>
      <c r="BD179" s="46"/>
      <c r="BE179" s="46"/>
      <c r="BF179" s="46">
        <v>1</v>
      </c>
      <c r="BG179" s="46"/>
      <c r="BH179" s="46">
        <v>1</v>
      </c>
      <c r="BI179" s="46" t="s">
        <v>629</v>
      </c>
      <c r="BJ179" s="46" t="s">
        <v>1072</v>
      </c>
      <c r="BK179" s="46">
        <v>1898</v>
      </c>
      <c r="BL179" s="46" t="str">
        <f>BK179&amp;BI179</f>
        <v>1898Southampton</v>
      </c>
      <c r="BM179" s="52" t="str">
        <f>IF(AD179="Home",BI179,IF(AD179="Away",BJ179,Q179))</f>
        <v>London</v>
      </c>
      <c r="BN179" s="46"/>
      <c r="BO179" s="46"/>
      <c r="BP179" s="46"/>
      <c r="BQ179" s="46"/>
      <c r="BR179" s="46"/>
      <c r="BS179" s="46"/>
      <c r="BT179" s="46"/>
      <c r="BU179" s="46"/>
      <c r="BV179" s="46" t="s">
        <v>376</v>
      </c>
      <c r="BW179" s="46" t="s">
        <v>376</v>
      </c>
      <c r="BX179" s="46"/>
      <c r="BZ179" s="53"/>
      <c r="CA179" s="53"/>
      <c r="CB179" s="93" t="str">
        <f>IF(OR(C179="",A179="",B179=""),"",TEXT(C179,"0000")&amp;TEXT(A179,"00")&amp;TEXT(B179,"00"))</f>
        <v>18980323</v>
      </c>
    </row>
    <row r="180" spans="1:80" s="52" customFormat="1" ht="12.95" customHeight="1" x14ac:dyDescent="0.2">
      <c r="A180" s="46">
        <v>4</v>
      </c>
      <c r="B180" s="46">
        <v>16</v>
      </c>
      <c r="C180" s="46">
        <v>1898</v>
      </c>
      <c r="D180" s="46" t="s">
        <v>658</v>
      </c>
      <c r="E180" s="46" t="s">
        <v>1197</v>
      </c>
      <c r="F180" s="47" t="s">
        <v>1010</v>
      </c>
      <c r="G180" s="46"/>
      <c r="H180" s="47" t="s">
        <v>1025</v>
      </c>
      <c r="I180" s="47"/>
      <c r="J180" s="48" t="s">
        <v>1201</v>
      </c>
      <c r="K180" s="46" t="s">
        <v>1072</v>
      </c>
      <c r="L180" s="46" t="s">
        <v>3</v>
      </c>
      <c r="M180" s="46" t="s">
        <v>1191</v>
      </c>
      <c r="N180" s="49">
        <v>3</v>
      </c>
      <c r="O180" s="49">
        <v>1</v>
      </c>
      <c r="P180" s="47" t="s">
        <v>1188</v>
      </c>
      <c r="Q180" s="47" t="s">
        <v>1017</v>
      </c>
      <c r="R180" s="47" t="s">
        <v>376</v>
      </c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50">
        <f>IF(L180="W",1,0)</f>
        <v>1</v>
      </c>
      <c r="AF180" s="50">
        <f>IF(L180="T",1,0)</f>
        <v>0</v>
      </c>
      <c r="AG180" s="50">
        <f>IF(L180="L",1,0)</f>
        <v>0</v>
      </c>
      <c r="AH180" s="46" t="s">
        <v>1073</v>
      </c>
      <c r="AI180" s="46" t="s">
        <v>1074</v>
      </c>
      <c r="AJ180" s="46" t="s">
        <v>376</v>
      </c>
      <c r="AK180" s="46" t="s">
        <v>658</v>
      </c>
      <c r="AL180" s="46" t="s">
        <v>979</v>
      </c>
      <c r="AM180" s="46" t="s">
        <v>1146</v>
      </c>
      <c r="AN180" s="46" t="s">
        <v>376</v>
      </c>
      <c r="AO180" s="46" t="s">
        <v>658</v>
      </c>
      <c r="AP180" s="46"/>
      <c r="AQ180" s="46">
        <v>1</v>
      </c>
      <c r="AR180" s="46"/>
      <c r="AS180" s="46"/>
      <c r="AT180" s="46" t="s">
        <v>1202</v>
      </c>
      <c r="AU180" s="46" t="s">
        <v>376</v>
      </c>
      <c r="AV180" s="46"/>
      <c r="AW180" s="46" t="s">
        <v>30</v>
      </c>
      <c r="AX180" s="46"/>
      <c r="AY180" s="46" t="s">
        <v>30</v>
      </c>
      <c r="AZ180" s="46"/>
      <c r="BA180" s="47"/>
      <c r="BB180" s="51" t="s">
        <v>30</v>
      </c>
      <c r="BC180" s="46" t="s">
        <v>30</v>
      </c>
      <c r="BD180" s="46"/>
      <c r="BE180" s="46"/>
      <c r="BF180" s="46">
        <v>1</v>
      </c>
      <c r="BG180" s="46">
        <v>1</v>
      </c>
      <c r="BH180" s="46">
        <v>1</v>
      </c>
      <c r="BI180" s="46" t="s">
        <v>1072</v>
      </c>
      <c r="BJ180" s="46" t="s">
        <v>1191</v>
      </c>
      <c r="BK180" s="46">
        <v>1898</v>
      </c>
      <c r="BL180" s="46" t="str">
        <f>BK180&amp;BI180</f>
        <v>1898Nottingham Forest</v>
      </c>
      <c r="BM180" s="52" t="str">
        <f>IF(AD180="Home",BI180,IF(AD180="Away",BJ180,Q180))</f>
        <v>London</v>
      </c>
      <c r="BN180" s="46"/>
      <c r="BO180" s="46"/>
      <c r="BP180" s="46"/>
      <c r="BQ180" s="46"/>
      <c r="BR180" s="46"/>
      <c r="BS180" s="46"/>
      <c r="BT180" s="46"/>
      <c r="BU180" s="46"/>
      <c r="BV180" s="46" t="s">
        <v>376</v>
      </c>
      <c r="BW180" s="46" t="s">
        <v>376</v>
      </c>
      <c r="BX180" s="46"/>
      <c r="BZ180" s="53"/>
      <c r="CA180" s="53"/>
      <c r="CB180" s="93" t="str">
        <f>IF(OR(C180="",A180="",B180=""),"",TEXT(C180,"0000")&amp;TEXT(A180,"00")&amp;TEXT(B180,"00"))</f>
        <v>18980416</v>
      </c>
    </row>
    <row r="181" spans="1:80" s="52" customFormat="1" ht="12.95" customHeight="1" x14ac:dyDescent="0.2">
      <c r="A181" s="46">
        <v>4</v>
      </c>
      <c r="B181" s="46">
        <v>16</v>
      </c>
      <c r="C181" s="46">
        <v>1898</v>
      </c>
      <c r="D181" s="46" t="s">
        <v>658</v>
      </c>
      <c r="E181" s="46" t="s">
        <v>1197</v>
      </c>
      <c r="F181" s="47" t="s">
        <v>1010</v>
      </c>
      <c r="G181" s="46"/>
      <c r="H181" s="47" t="s">
        <v>1025</v>
      </c>
      <c r="I181" s="47"/>
      <c r="J181" s="48" t="s">
        <v>1201</v>
      </c>
      <c r="K181" s="46" t="s">
        <v>1191</v>
      </c>
      <c r="L181" s="46" t="s">
        <v>4</v>
      </c>
      <c r="M181" s="46" t="s">
        <v>1072</v>
      </c>
      <c r="N181" s="49">
        <v>1</v>
      </c>
      <c r="O181" s="49">
        <v>3</v>
      </c>
      <c r="P181" s="47" t="s">
        <v>1188</v>
      </c>
      <c r="Q181" s="47" t="s">
        <v>1017</v>
      </c>
      <c r="R181" s="47" t="s">
        <v>376</v>
      </c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50">
        <f>IF(L181="W",1,0)</f>
        <v>0</v>
      </c>
      <c r="AF181" s="50">
        <f>IF(L181="T",1,0)</f>
        <v>0</v>
      </c>
      <c r="AG181" s="50">
        <f>IF(L181="L",1,0)</f>
        <v>1</v>
      </c>
      <c r="AH181" s="46" t="s">
        <v>979</v>
      </c>
      <c r="AI181" s="46" t="s">
        <v>1146</v>
      </c>
      <c r="AJ181" s="46" t="s">
        <v>376</v>
      </c>
      <c r="AK181" s="46" t="s">
        <v>658</v>
      </c>
      <c r="AL181" s="46" t="s">
        <v>1073</v>
      </c>
      <c r="AM181" s="46" t="s">
        <v>1074</v>
      </c>
      <c r="AN181" s="46" t="s">
        <v>376</v>
      </c>
      <c r="AO181" s="46" t="s">
        <v>658</v>
      </c>
      <c r="AP181" s="46"/>
      <c r="AQ181" s="46">
        <v>1</v>
      </c>
      <c r="AR181" s="46"/>
      <c r="AS181" s="46"/>
      <c r="AT181" s="46" t="s">
        <v>1202</v>
      </c>
      <c r="AU181" s="46" t="s">
        <v>376</v>
      </c>
      <c r="AV181" s="46"/>
      <c r="AW181" s="46" t="s">
        <v>30</v>
      </c>
      <c r="AX181" s="46"/>
      <c r="AY181" s="46" t="s">
        <v>30</v>
      </c>
      <c r="AZ181" s="46"/>
      <c r="BA181" s="47"/>
      <c r="BB181" s="51"/>
      <c r="BC181" s="46" t="s">
        <v>30</v>
      </c>
      <c r="BD181" s="46"/>
      <c r="BE181" s="46"/>
      <c r="BF181" s="46">
        <v>1</v>
      </c>
      <c r="BG181" s="46">
        <v>1</v>
      </c>
      <c r="BH181" s="46">
        <v>1</v>
      </c>
      <c r="BI181" s="46" t="s">
        <v>1191</v>
      </c>
      <c r="BJ181" s="46" t="s">
        <v>1072</v>
      </c>
      <c r="BK181" s="46">
        <v>1898</v>
      </c>
      <c r="BL181" s="46" t="str">
        <f>BK181&amp;BI181</f>
        <v>1898Derby County</v>
      </c>
      <c r="BM181" s="52" t="str">
        <f>IF(AD181="Home",BI181,IF(AD181="Away",BJ181,Q181))</f>
        <v>London</v>
      </c>
      <c r="BN181" s="46"/>
      <c r="BO181" s="46"/>
      <c r="BP181" s="46"/>
      <c r="BQ181" s="46"/>
      <c r="BR181" s="46"/>
      <c r="BS181" s="46"/>
      <c r="BT181" s="46"/>
      <c r="BU181" s="46"/>
      <c r="BV181" s="46" t="s">
        <v>376</v>
      </c>
      <c r="BW181" s="46" t="s">
        <v>376</v>
      </c>
      <c r="BX181" s="46"/>
      <c r="BZ181" s="53"/>
      <c r="CA181" s="53"/>
      <c r="CB181" s="93" t="str">
        <f>IF(OR(C181="",A181="",B181=""),"",TEXT(C181,"0000")&amp;TEXT(A181,"00")&amp;TEXT(B181,"00"))</f>
        <v>18980416</v>
      </c>
    </row>
    <row r="182" spans="1:80" s="52" customFormat="1" ht="12.95" customHeight="1" x14ac:dyDescent="0.2">
      <c r="A182" s="46">
        <v>3</v>
      </c>
      <c r="B182" s="46">
        <v>18</v>
      </c>
      <c r="C182" s="46">
        <v>1899</v>
      </c>
      <c r="D182" s="46" t="s">
        <v>658</v>
      </c>
      <c r="E182" s="46" t="s">
        <v>1203</v>
      </c>
      <c r="F182" s="47" t="s">
        <v>1010</v>
      </c>
      <c r="G182" s="46"/>
      <c r="H182" s="47" t="s">
        <v>1011</v>
      </c>
      <c r="I182" s="47"/>
      <c r="J182" s="48" t="s">
        <v>1204</v>
      </c>
      <c r="K182" s="46" t="s">
        <v>1207</v>
      </c>
      <c r="L182" s="46" t="s">
        <v>1014</v>
      </c>
      <c r="M182" s="46" t="s">
        <v>588</v>
      </c>
      <c r="N182" s="49">
        <v>2</v>
      </c>
      <c r="O182" s="49">
        <v>2</v>
      </c>
      <c r="P182" s="47" t="s">
        <v>1163</v>
      </c>
      <c r="Q182" s="47" t="s">
        <v>1097</v>
      </c>
      <c r="R182" s="47" t="s">
        <v>376</v>
      </c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50">
        <f>IF(L182="W",1,0)</f>
        <v>0</v>
      </c>
      <c r="AF182" s="50">
        <f>IF(L182="T",1,0)</f>
        <v>1</v>
      </c>
      <c r="AG182" s="50">
        <f>IF(L182="L",1,0)</f>
        <v>0</v>
      </c>
      <c r="AH182" s="46" t="s">
        <v>1097</v>
      </c>
      <c r="AI182" s="46" t="s">
        <v>1098</v>
      </c>
      <c r="AJ182" s="46" t="s">
        <v>376</v>
      </c>
      <c r="AK182" s="46" t="s">
        <v>658</v>
      </c>
      <c r="AL182" s="46" t="s">
        <v>588</v>
      </c>
      <c r="AM182" s="46" t="s">
        <v>1175</v>
      </c>
      <c r="AN182" s="46" t="s">
        <v>376</v>
      </c>
      <c r="AO182" s="46" t="s">
        <v>658</v>
      </c>
      <c r="AP182" s="46"/>
      <c r="AQ182" s="46">
        <v>2</v>
      </c>
      <c r="AR182" s="46"/>
      <c r="AS182" s="46"/>
      <c r="AT182" s="46"/>
      <c r="AU182" s="46" t="s">
        <v>376</v>
      </c>
      <c r="AV182" s="46"/>
      <c r="AW182" s="46" t="s">
        <v>30</v>
      </c>
      <c r="AX182" s="46"/>
      <c r="AY182" s="46" t="s">
        <v>30</v>
      </c>
      <c r="AZ182" s="46"/>
      <c r="BA182" s="47"/>
      <c r="BB182" s="51"/>
      <c r="BC182" s="46"/>
      <c r="BD182" s="46"/>
      <c r="BE182" s="46"/>
      <c r="BF182" s="46">
        <v>1</v>
      </c>
      <c r="BG182" s="46">
        <v>1</v>
      </c>
      <c r="BH182" s="46">
        <v>1</v>
      </c>
      <c r="BI182" s="46" t="s">
        <v>1207</v>
      </c>
      <c r="BJ182" s="46" t="s">
        <v>588</v>
      </c>
      <c r="BK182" s="46">
        <v>1899</v>
      </c>
      <c r="BL182" s="46" t="str">
        <f>BK182&amp;BI182</f>
        <v>1899Sheffield United</v>
      </c>
      <c r="BM182" s="52" t="str">
        <f>IF(AD182="Home",BI182,IF(AD182="Away",BJ182,Q182))</f>
        <v>Sheffield</v>
      </c>
      <c r="BN182" s="46"/>
      <c r="BO182" s="46"/>
      <c r="BP182" s="46"/>
      <c r="BQ182" s="46"/>
      <c r="BR182" s="46"/>
      <c r="BS182" s="46"/>
      <c r="BT182" s="46"/>
      <c r="BU182" s="46"/>
      <c r="BV182" s="46" t="s">
        <v>376</v>
      </c>
      <c r="BW182" s="46" t="s">
        <v>376</v>
      </c>
      <c r="BX182" s="46"/>
      <c r="BY182" s="50"/>
      <c r="BZ182" s="53"/>
      <c r="CA182" s="53"/>
      <c r="CB182" s="93" t="str">
        <f>IF(OR(C182="",A182="",B182=""),"",TEXT(C182,"0000")&amp;TEXT(A182,"00")&amp;TEXT(B182,"00"))</f>
        <v>18990318</v>
      </c>
    </row>
    <row r="183" spans="1:80" s="52" customFormat="1" ht="12.95" customHeight="1" x14ac:dyDescent="0.2">
      <c r="A183" s="46">
        <v>3</v>
      </c>
      <c r="B183" s="46">
        <v>18</v>
      </c>
      <c r="C183" s="46">
        <v>1899</v>
      </c>
      <c r="D183" s="46" t="s">
        <v>658</v>
      </c>
      <c r="E183" s="46" t="s">
        <v>1203</v>
      </c>
      <c r="F183" s="47" t="s">
        <v>1010</v>
      </c>
      <c r="G183" s="46"/>
      <c r="H183" s="47" t="s">
        <v>1011</v>
      </c>
      <c r="I183" s="47"/>
      <c r="J183" s="48" t="s">
        <v>1204</v>
      </c>
      <c r="K183" s="46" t="s">
        <v>588</v>
      </c>
      <c r="L183" s="46" t="s">
        <v>1014</v>
      </c>
      <c r="M183" s="46" t="s">
        <v>1207</v>
      </c>
      <c r="N183" s="49">
        <v>2</v>
      </c>
      <c r="O183" s="49">
        <v>2</v>
      </c>
      <c r="P183" s="47" t="s">
        <v>1163</v>
      </c>
      <c r="Q183" s="47" t="s">
        <v>1097</v>
      </c>
      <c r="R183" s="47" t="s">
        <v>376</v>
      </c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50">
        <f>IF(L183="W",1,0)</f>
        <v>0</v>
      </c>
      <c r="AF183" s="50">
        <f>IF(L183="T",1,0)</f>
        <v>1</v>
      </c>
      <c r="AG183" s="50">
        <f>IF(L183="L",1,0)</f>
        <v>0</v>
      </c>
      <c r="AH183" s="46" t="s">
        <v>588</v>
      </c>
      <c r="AI183" s="46" t="s">
        <v>1175</v>
      </c>
      <c r="AJ183" s="46" t="s">
        <v>376</v>
      </c>
      <c r="AK183" s="46" t="s">
        <v>658</v>
      </c>
      <c r="AL183" s="46" t="s">
        <v>1097</v>
      </c>
      <c r="AM183" s="46" t="s">
        <v>1098</v>
      </c>
      <c r="AN183" s="46" t="s">
        <v>376</v>
      </c>
      <c r="AO183" s="46" t="s">
        <v>658</v>
      </c>
      <c r="AP183" s="46"/>
      <c r="AQ183" s="46">
        <v>2</v>
      </c>
      <c r="AR183" s="46"/>
      <c r="AS183" s="46"/>
      <c r="AT183" s="46"/>
      <c r="AU183" s="46" t="s">
        <v>376</v>
      </c>
      <c r="AV183" s="46"/>
      <c r="AW183" s="46" t="s">
        <v>30</v>
      </c>
      <c r="AX183" s="46"/>
      <c r="AY183" s="46" t="s">
        <v>30</v>
      </c>
      <c r="AZ183" s="46"/>
      <c r="BA183" s="47"/>
      <c r="BB183" s="51"/>
      <c r="BC183" s="46"/>
      <c r="BD183" s="46"/>
      <c r="BE183" s="46"/>
      <c r="BF183" s="46">
        <v>1</v>
      </c>
      <c r="BG183" s="46">
        <v>1</v>
      </c>
      <c r="BH183" s="46">
        <v>1</v>
      </c>
      <c r="BI183" s="46" t="s">
        <v>588</v>
      </c>
      <c r="BJ183" s="46" t="s">
        <v>1207</v>
      </c>
      <c r="BK183" s="46">
        <v>1899</v>
      </c>
      <c r="BL183" s="46" t="str">
        <f>BK183&amp;BI183</f>
        <v>1899Liverpool</v>
      </c>
      <c r="BM183" s="52" t="str">
        <f>IF(AD183="Home",BI183,IF(AD183="Away",BJ183,Q183))</f>
        <v>Sheffield</v>
      </c>
      <c r="BN183" s="46"/>
      <c r="BO183" s="46"/>
      <c r="BP183" s="46"/>
      <c r="BQ183" s="46"/>
      <c r="BR183" s="46"/>
      <c r="BS183" s="46"/>
      <c r="BT183" s="46"/>
      <c r="BU183" s="46"/>
      <c r="BV183" s="46" t="s">
        <v>376</v>
      </c>
      <c r="BW183" s="46" t="s">
        <v>376</v>
      </c>
      <c r="BX183" s="46"/>
      <c r="BY183" s="50"/>
      <c r="BZ183" s="53"/>
      <c r="CA183" s="53"/>
      <c r="CB183" s="93" t="str">
        <f>IF(OR(C183="",A183="",B183=""),"",TEXT(C183,"0000")&amp;TEXT(A183,"00")&amp;TEXT(B183,"00"))</f>
        <v>18990318</v>
      </c>
    </row>
    <row r="184" spans="1:80" s="52" customFormat="1" ht="12.95" customHeight="1" x14ac:dyDescent="0.2">
      <c r="A184" s="46">
        <v>3</v>
      </c>
      <c r="B184" s="46">
        <v>18</v>
      </c>
      <c r="C184" s="46">
        <v>1899</v>
      </c>
      <c r="D184" s="46" t="s">
        <v>658</v>
      </c>
      <c r="E184" s="46" t="s">
        <v>1203</v>
      </c>
      <c r="F184" s="47" t="s">
        <v>1010</v>
      </c>
      <c r="G184" s="46"/>
      <c r="H184" s="47" t="s">
        <v>1011</v>
      </c>
      <c r="I184" s="47"/>
      <c r="J184" s="48" t="s">
        <v>1204</v>
      </c>
      <c r="K184" s="46" t="s">
        <v>1191</v>
      </c>
      <c r="L184" s="46" t="s">
        <v>3</v>
      </c>
      <c r="M184" s="46" t="s">
        <v>1205</v>
      </c>
      <c r="N184" s="49">
        <v>3</v>
      </c>
      <c r="O184" s="49">
        <v>1</v>
      </c>
      <c r="P184" s="47" t="s">
        <v>1152</v>
      </c>
      <c r="Q184" s="47" t="s">
        <v>1111</v>
      </c>
      <c r="R184" s="47" t="s">
        <v>376</v>
      </c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50">
        <f>IF(L184="W",1,0)</f>
        <v>1</v>
      </c>
      <c r="AF184" s="50">
        <f>IF(L184="T",1,0)</f>
        <v>0</v>
      </c>
      <c r="AG184" s="50">
        <f>IF(L184="L",1,0)</f>
        <v>0</v>
      </c>
      <c r="AH184" s="46" t="s">
        <v>979</v>
      </c>
      <c r="AI184" s="46" t="s">
        <v>1146</v>
      </c>
      <c r="AJ184" s="46" t="s">
        <v>376</v>
      </c>
      <c r="AK184" s="46" t="s">
        <v>658</v>
      </c>
      <c r="AL184" s="46" t="s">
        <v>1145</v>
      </c>
      <c r="AM184" s="46" t="s">
        <v>1206</v>
      </c>
      <c r="AN184" s="46" t="s">
        <v>376</v>
      </c>
      <c r="AO184" s="46" t="s">
        <v>658</v>
      </c>
      <c r="AP184" s="46"/>
      <c r="AQ184" s="46">
        <v>2</v>
      </c>
      <c r="AR184" s="46"/>
      <c r="AS184" s="46"/>
      <c r="AT184" s="46"/>
      <c r="AU184" s="46" t="s">
        <v>376</v>
      </c>
      <c r="AV184" s="46"/>
      <c r="AW184" s="46" t="s">
        <v>30</v>
      </c>
      <c r="AX184" s="46"/>
      <c r="AY184" s="46" t="s">
        <v>30</v>
      </c>
      <c r="AZ184" s="46"/>
      <c r="BA184" s="47"/>
      <c r="BB184" s="51"/>
      <c r="BC184" s="46"/>
      <c r="BD184" s="46"/>
      <c r="BE184" s="46"/>
      <c r="BF184" s="46">
        <v>1</v>
      </c>
      <c r="BG184" s="46">
        <v>1</v>
      </c>
      <c r="BH184" s="46">
        <v>1</v>
      </c>
      <c r="BI184" s="46" t="s">
        <v>1191</v>
      </c>
      <c r="BJ184" s="46" t="s">
        <v>1205</v>
      </c>
      <c r="BK184" s="46">
        <v>1899</v>
      </c>
      <c r="BL184" s="46" t="str">
        <f>BK184&amp;BI184</f>
        <v>1899Derby County</v>
      </c>
      <c r="BM184" s="52" t="str">
        <f>IF(AD184="Home",BI184,IF(AD184="Away",BJ184,Q184))</f>
        <v>Birmingham</v>
      </c>
      <c r="BN184" s="46"/>
      <c r="BO184" s="46"/>
      <c r="BP184" s="46"/>
      <c r="BQ184" s="46"/>
      <c r="BR184" s="46"/>
      <c r="BS184" s="46"/>
      <c r="BT184" s="46"/>
      <c r="BU184" s="46"/>
      <c r="BV184" s="46" t="s">
        <v>376</v>
      </c>
      <c r="BW184" s="46" t="s">
        <v>376</v>
      </c>
      <c r="BX184" s="46"/>
      <c r="BZ184" s="53"/>
      <c r="CA184" s="53"/>
      <c r="CB184" s="93" t="str">
        <f>IF(OR(C184="",A184="",B184=""),"",TEXT(C184,"0000")&amp;TEXT(A184,"00")&amp;TEXT(B184,"00"))</f>
        <v>18990318</v>
      </c>
    </row>
    <row r="185" spans="1:80" s="52" customFormat="1" ht="12.95" customHeight="1" x14ac:dyDescent="0.2">
      <c r="A185" s="46">
        <v>3</v>
      </c>
      <c r="B185" s="46">
        <v>18</v>
      </c>
      <c r="C185" s="46">
        <v>1899</v>
      </c>
      <c r="D185" s="46" t="s">
        <v>658</v>
      </c>
      <c r="E185" s="46" t="s">
        <v>1203</v>
      </c>
      <c r="F185" s="47" t="s">
        <v>1010</v>
      </c>
      <c r="G185" s="46"/>
      <c r="H185" s="47" t="s">
        <v>1011</v>
      </c>
      <c r="I185" s="47"/>
      <c r="J185" s="48" t="s">
        <v>1204</v>
      </c>
      <c r="K185" s="46" t="s">
        <v>1205</v>
      </c>
      <c r="L185" s="46" t="s">
        <v>4</v>
      </c>
      <c r="M185" s="46" t="s">
        <v>1191</v>
      </c>
      <c r="N185" s="49">
        <v>1</v>
      </c>
      <c r="O185" s="49">
        <v>3</v>
      </c>
      <c r="P185" s="47" t="s">
        <v>1152</v>
      </c>
      <c r="Q185" s="47" t="s">
        <v>1111</v>
      </c>
      <c r="R185" s="47" t="s">
        <v>376</v>
      </c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50">
        <f>IF(L185="W",1,0)</f>
        <v>0</v>
      </c>
      <c r="AF185" s="50">
        <f>IF(L185="T",1,0)</f>
        <v>0</v>
      </c>
      <c r="AG185" s="50">
        <f>IF(L185="L",1,0)</f>
        <v>1</v>
      </c>
      <c r="AH185" s="46" t="s">
        <v>1145</v>
      </c>
      <c r="AI185" s="46" t="s">
        <v>1206</v>
      </c>
      <c r="AJ185" s="46" t="s">
        <v>376</v>
      </c>
      <c r="AK185" s="46" t="s">
        <v>658</v>
      </c>
      <c r="AL185" s="46" t="s">
        <v>979</v>
      </c>
      <c r="AM185" s="46" t="s">
        <v>1146</v>
      </c>
      <c r="AN185" s="46" t="s">
        <v>376</v>
      </c>
      <c r="AO185" s="46" t="s">
        <v>658</v>
      </c>
      <c r="AP185" s="46"/>
      <c r="AQ185" s="46">
        <v>2</v>
      </c>
      <c r="AR185" s="46"/>
      <c r="AS185" s="46"/>
      <c r="AT185" s="46"/>
      <c r="AU185" s="46" t="s">
        <v>376</v>
      </c>
      <c r="AV185" s="46"/>
      <c r="AW185" s="46" t="s">
        <v>30</v>
      </c>
      <c r="AX185" s="46"/>
      <c r="AY185" s="46" t="s">
        <v>30</v>
      </c>
      <c r="AZ185" s="46"/>
      <c r="BA185" s="47"/>
      <c r="BB185" s="51"/>
      <c r="BC185" s="46"/>
      <c r="BD185" s="46"/>
      <c r="BE185" s="46"/>
      <c r="BF185" s="46">
        <v>1</v>
      </c>
      <c r="BG185" s="46">
        <v>1</v>
      </c>
      <c r="BH185" s="46">
        <v>1</v>
      </c>
      <c r="BI185" s="46" t="s">
        <v>1205</v>
      </c>
      <c r="BJ185" s="46" t="s">
        <v>1191</v>
      </c>
      <c r="BK185" s="46">
        <v>1899</v>
      </c>
      <c r="BL185" s="46" t="str">
        <f>BK185&amp;BI185</f>
        <v>1899Stoke City</v>
      </c>
      <c r="BM185" s="52" t="str">
        <f>IF(AD185="Home",BI185,IF(AD185="Away",BJ185,Q185))</f>
        <v>Birmingham</v>
      </c>
      <c r="BN185" s="46"/>
      <c r="BO185" s="46"/>
      <c r="BP185" s="46"/>
      <c r="BQ185" s="46"/>
      <c r="BR185" s="46"/>
      <c r="BS185" s="46"/>
      <c r="BT185" s="46"/>
      <c r="BU185" s="46"/>
      <c r="BV185" s="46" t="s">
        <v>376</v>
      </c>
      <c r="BW185" s="46" t="s">
        <v>376</v>
      </c>
      <c r="BX185" s="46"/>
      <c r="BZ185" s="53"/>
      <c r="CA185" s="53"/>
      <c r="CB185" s="93" t="str">
        <f>IF(OR(C185="",A185="",B185=""),"",TEXT(C185,"0000")&amp;TEXT(A185,"00")&amp;TEXT(B185,"00"))</f>
        <v>18990318</v>
      </c>
    </row>
    <row r="186" spans="1:80" s="52" customFormat="1" ht="12.95" customHeight="1" x14ac:dyDescent="0.2">
      <c r="A186" s="46">
        <v>3</v>
      </c>
      <c r="B186" s="46">
        <v>23</v>
      </c>
      <c r="C186" s="46">
        <v>1899</v>
      </c>
      <c r="D186" s="46" t="s">
        <v>658</v>
      </c>
      <c r="E186" s="46" t="s">
        <v>1203</v>
      </c>
      <c r="F186" s="47" t="s">
        <v>1010</v>
      </c>
      <c r="G186" s="46"/>
      <c r="H186" s="47" t="s">
        <v>1011</v>
      </c>
      <c r="I186" s="47" t="s">
        <v>1023</v>
      </c>
      <c r="J186" s="48" t="s">
        <v>1208</v>
      </c>
      <c r="K186" s="46" t="s">
        <v>1207</v>
      </c>
      <c r="L186" s="46" t="s">
        <v>1014</v>
      </c>
      <c r="M186" s="46" t="s">
        <v>588</v>
      </c>
      <c r="N186" s="49">
        <v>4</v>
      </c>
      <c r="O186" s="49">
        <v>4</v>
      </c>
      <c r="P186" s="47" t="s">
        <v>1209</v>
      </c>
      <c r="Q186" s="47" t="s">
        <v>1101</v>
      </c>
      <c r="R186" s="47" t="s">
        <v>376</v>
      </c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50">
        <f>IF(L186="W",1,0)</f>
        <v>0</v>
      </c>
      <c r="AF186" s="50">
        <f>IF(L186="T",1,0)</f>
        <v>1</v>
      </c>
      <c r="AG186" s="50">
        <f>IF(L186="L",1,0)</f>
        <v>0</v>
      </c>
      <c r="AH186" s="46" t="s">
        <v>1097</v>
      </c>
      <c r="AI186" s="46" t="s">
        <v>1098</v>
      </c>
      <c r="AJ186" s="46" t="s">
        <v>376</v>
      </c>
      <c r="AK186" s="46" t="s">
        <v>658</v>
      </c>
      <c r="AL186" s="46" t="s">
        <v>588</v>
      </c>
      <c r="AM186" s="46" t="s">
        <v>1175</v>
      </c>
      <c r="AN186" s="46" t="s">
        <v>376</v>
      </c>
      <c r="AO186" s="46" t="s">
        <v>658</v>
      </c>
      <c r="AP186" s="46"/>
      <c r="AQ186" s="46">
        <v>2</v>
      </c>
      <c r="AR186" s="46"/>
      <c r="AS186" s="46"/>
      <c r="AT186" s="46"/>
      <c r="AU186" s="46" t="s">
        <v>376</v>
      </c>
      <c r="AV186" s="46"/>
      <c r="AW186" s="46" t="s">
        <v>30</v>
      </c>
      <c r="AX186" s="46"/>
      <c r="AY186" s="46" t="s">
        <v>30</v>
      </c>
      <c r="AZ186" s="46"/>
      <c r="BA186" s="47"/>
      <c r="BB186" s="51"/>
      <c r="BC186" s="46"/>
      <c r="BD186" s="46"/>
      <c r="BE186" s="46"/>
      <c r="BF186" s="46">
        <v>1</v>
      </c>
      <c r="BG186" s="46">
        <v>1</v>
      </c>
      <c r="BH186" s="46">
        <v>1</v>
      </c>
      <c r="BI186" s="46" t="s">
        <v>1207</v>
      </c>
      <c r="BJ186" s="46" t="s">
        <v>588</v>
      </c>
      <c r="BK186" s="46">
        <v>1899</v>
      </c>
      <c r="BL186" s="46" t="str">
        <f>BK186&amp;BI186</f>
        <v>1899Sheffield United</v>
      </c>
      <c r="BM186" s="52" t="str">
        <f>IF(AD186="Home",BI186,IF(AD186="Away",BJ186,Q186))</f>
        <v>Manchester</v>
      </c>
      <c r="BN186" s="46"/>
      <c r="BO186" s="46"/>
      <c r="BP186" s="46"/>
      <c r="BQ186" s="46"/>
      <c r="BR186" s="46"/>
      <c r="BS186" s="46"/>
      <c r="BT186" s="46"/>
      <c r="BU186" s="46"/>
      <c r="BV186" s="46" t="s">
        <v>376</v>
      </c>
      <c r="BW186" s="46" t="s">
        <v>376</v>
      </c>
      <c r="BX186" s="46"/>
      <c r="BZ186" s="53"/>
      <c r="CA186" s="53"/>
      <c r="CB186" s="93" t="str">
        <f>IF(OR(C186="",A186="",B186=""),"",TEXT(C186,"0000")&amp;TEXT(A186,"00")&amp;TEXT(B186,"00"))</f>
        <v>18990323</v>
      </c>
    </row>
    <row r="187" spans="1:80" s="52" customFormat="1" ht="12.95" customHeight="1" x14ac:dyDescent="0.2">
      <c r="A187" s="46">
        <v>3</v>
      </c>
      <c r="B187" s="46">
        <v>23</v>
      </c>
      <c r="C187" s="46">
        <v>1899</v>
      </c>
      <c r="D187" s="46" t="s">
        <v>658</v>
      </c>
      <c r="E187" s="46" t="s">
        <v>1203</v>
      </c>
      <c r="F187" s="47" t="s">
        <v>1010</v>
      </c>
      <c r="G187" s="46"/>
      <c r="H187" s="47" t="s">
        <v>1011</v>
      </c>
      <c r="I187" s="47" t="s">
        <v>1023</v>
      </c>
      <c r="J187" s="48" t="s">
        <v>1208</v>
      </c>
      <c r="K187" s="46" t="s">
        <v>588</v>
      </c>
      <c r="L187" s="46" t="s">
        <v>1014</v>
      </c>
      <c r="M187" s="46" t="s">
        <v>1207</v>
      </c>
      <c r="N187" s="49">
        <v>4</v>
      </c>
      <c r="O187" s="49">
        <v>4</v>
      </c>
      <c r="P187" s="47" t="s">
        <v>1209</v>
      </c>
      <c r="Q187" s="47" t="s">
        <v>1101</v>
      </c>
      <c r="R187" s="47" t="s">
        <v>376</v>
      </c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50">
        <f>IF(L187="W",1,0)</f>
        <v>0</v>
      </c>
      <c r="AF187" s="50">
        <f>IF(L187="T",1,0)</f>
        <v>1</v>
      </c>
      <c r="AG187" s="50">
        <f>IF(L187="L",1,0)</f>
        <v>0</v>
      </c>
      <c r="AH187" s="46" t="s">
        <v>588</v>
      </c>
      <c r="AI187" s="46" t="s">
        <v>1175</v>
      </c>
      <c r="AJ187" s="46" t="s">
        <v>376</v>
      </c>
      <c r="AK187" s="46" t="s">
        <v>658</v>
      </c>
      <c r="AL187" s="46" t="s">
        <v>1097</v>
      </c>
      <c r="AM187" s="46" t="s">
        <v>1098</v>
      </c>
      <c r="AN187" s="46" t="s">
        <v>376</v>
      </c>
      <c r="AO187" s="46" t="s">
        <v>658</v>
      </c>
      <c r="AP187" s="46"/>
      <c r="AQ187" s="46">
        <v>2</v>
      </c>
      <c r="AR187" s="46"/>
      <c r="AS187" s="46"/>
      <c r="AT187" s="46"/>
      <c r="AU187" s="46" t="s">
        <v>376</v>
      </c>
      <c r="AV187" s="46"/>
      <c r="AW187" s="46" t="s">
        <v>30</v>
      </c>
      <c r="AX187" s="46"/>
      <c r="AY187" s="46" t="s">
        <v>30</v>
      </c>
      <c r="AZ187" s="46"/>
      <c r="BA187" s="47"/>
      <c r="BB187" s="51"/>
      <c r="BC187" s="46"/>
      <c r="BD187" s="46"/>
      <c r="BE187" s="46"/>
      <c r="BF187" s="46">
        <v>1</v>
      </c>
      <c r="BG187" s="46">
        <v>1</v>
      </c>
      <c r="BH187" s="46">
        <v>1</v>
      </c>
      <c r="BI187" s="46" t="s">
        <v>588</v>
      </c>
      <c r="BJ187" s="46" t="s">
        <v>1207</v>
      </c>
      <c r="BK187" s="46">
        <v>1899</v>
      </c>
      <c r="BL187" s="46" t="str">
        <f>BK187&amp;BI187</f>
        <v>1899Liverpool</v>
      </c>
      <c r="BM187" s="52" t="str">
        <f>IF(AD187="Home",BI187,IF(AD187="Away",BJ187,Q187))</f>
        <v>Manchester</v>
      </c>
      <c r="BN187" s="46"/>
      <c r="BO187" s="46"/>
      <c r="BP187" s="46"/>
      <c r="BQ187" s="46"/>
      <c r="BR187" s="46"/>
      <c r="BS187" s="46"/>
      <c r="BT187" s="46"/>
      <c r="BU187" s="46"/>
      <c r="BV187" s="46" t="s">
        <v>376</v>
      </c>
      <c r="BW187" s="46" t="s">
        <v>376</v>
      </c>
      <c r="BX187" s="46"/>
      <c r="BZ187" s="53"/>
      <c r="CA187" s="53"/>
      <c r="CB187" s="93" t="str">
        <f>IF(OR(C187="",A187="",B187=""),"",TEXT(C187,"0000")&amp;TEXT(A187,"00")&amp;TEXT(B187,"00"))</f>
        <v>18990323</v>
      </c>
    </row>
    <row r="188" spans="1:80" s="52" customFormat="1" ht="12.95" customHeight="1" x14ac:dyDescent="0.2">
      <c r="A188" s="46">
        <v>3</v>
      </c>
      <c r="B188" s="46">
        <v>30</v>
      </c>
      <c r="C188" s="46">
        <v>1899</v>
      </c>
      <c r="D188" s="46" t="s">
        <v>658</v>
      </c>
      <c r="E188" s="46" t="s">
        <v>1203</v>
      </c>
      <c r="F188" s="47" t="s">
        <v>1010</v>
      </c>
      <c r="G188" s="46"/>
      <c r="H188" s="47" t="s">
        <v>1011</v>
      </c>
      <c r="I188" s="47" t="s">
        <v>1170</v>
      </c>
      <c r="J188" s="48" t="s">
        <v>1210</v>
      </c>
      <c r="K188" s="46" t="s">
        <v>1207</v>
      </c>
      <c r="L188" s="46" t="s">
        <v>3</v>
      </c>
      <c r="M188" s="46" t="s">
        <v>588</v>
      </c>
      <c r="N188" s="49">
        <v>1</v>
      </c>
      <c r="O188" s="49">
        <v>0</v>
      </c>
      <c r="P188" s="47" t="s">
        <v>1211</v>
      </c>
      <c r="Q188" s="47" t="s">
        <v>979</v>
      </c>
      <c r="R188" s="47" t="s">
        <v>376</v>
      </c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50">
        <f>IF(L188="W",1,0)</f>
        <v>1</v>
      </c>
      <c r="AF188" s="50">
        <f>IF(L188="T",1,0)</f>
        <v>0</v>
      </c>
      <c r="AG188" s="50">
        <f>IF(L188="L",1,0)</f>
        <v>0</v>
      </c>
      <c r="AH188" s="46" t="s">
        <v>1097</v>
      </c>
      <c r="AI188" s="46" t="s">
        <v>1098</v>
      </c>
      <c r="AJ188" s="46" t="s">
        <v>376</v>
      </c>
      <c r="AK188" s="46" t="s">
        <v>658</v>
      </c>
      <c r="AL188" s="46" t="s">
        <v>588</v>
      </c>
      <c r="AM188" s="46" t="s">
        <v>1175</v>
      </c>
      <c r="AN188" s="46" t="s">
        <v>376</v>
      </c>
      <c r="AO188" s="46" t="s">
        <v>658</v>
      </c>
      <c r="AP188" s="46"/>
      <c r="AQ188" s="46">
        <v>2</v>
      </c>
      <c r="AR188" s="46"/>
      <c r="AS188" s="46"/>
      <c r="AT188" s="46"/>
      <c r="AU188" s="46" t="s">
        <v>376</v>
      </c>
      <c r="AV188" s="46"/>
      <c r="AW188" s="46" t="s">
        <v>30</v>
      </c>
      <c r="AX188" s="46"/>
      <c r="AY188" s="46" t="s">
        <v>30</v>
      </c>
      <c r="AZ188" s="46"/>
      <c r="BA188" s="47"/>
      <c r="BB188" s="51"/>
      <c r="BC188" s="46"/>
      <c r="BD188" s="46"/>
      <c r="BE188" s="46"/>
      <c r="BF188" s="46">
        <v>1</v>
      </c>
      <c r="BG188" s="46">
        <v>1</v>
      </c>
      <c r="BH188" s="46">
        <v>1</v>
      </c>
      <c r="BI188" s="46" t="s">
        <v>1207</v>
      </c>
      <c r="BJ188" s="46" t="s">
        <v>588</v>
      </c>
      <c r="BK188" s="46">
        <v>1899</v>
      </c>
      <c r="BL188" s="46" t="str">
        <f>BK188&amp;BI188</f>
        <v>1899Sheffield United</v>
      </c>
      <c r="BM188" s="52" t="str">
        <f>IF(AD188="Home",BI188,IF(AD188="Away",BJ188,Q188))</f>
        <v>Derby</v>
      </c>
      <c r="BN188" s="46"/>
      <c r="BO188" s="46"/>
      <c r="BP188" s="46"/>
      <c r="BQ188" s="46"/>
      <c r="BR188" s="46"/>
      <c r="BS188" s="46"/>
      <c r="BT188" s="46"/>
      <c r="BU188" s="46"/>
      <c r="BV188" s="46" t="s">
        <v>376</v>
      </c>
      <c r="BW188" s="46" t="s">
        <v>376</v>
      </c>
      <c r="BX188" s="46"/>
      <c r="BZ188" s="53"/>
      <c r="CA188" s="53"/>
      <c r="CB188" s="93" t="str">
        <f>IF(OR(C188="",A188="",B188=""),"",TEXT(C188,"0000")&amp;TEXT(A188,"00")&amp;TEXT(B188,"00"))</f>
        <v>18990330</v>
      </c>
    </row>
    <row r="189" spans="1:80" s="52" customFormat="1" ht="12.95" customHeight="1" x14ac:dyDescent="0.2">
      <c r="A189" s="46">
        <v>3</v>
      </c>
      <c r="B189" s="46">
        <v>30</v>
      </c>
      <c r="C189" s="46">
        <v>1899</v>
      </c>
      <c r="D189" s="46" t="s">
        <v>658</v>
      </c>
      <c r="E189" s="46" t="s">
        <v>1203</v>
      </c>
      <c r="F189" s="47" t="s">
        <v>1010</v>
      </c>
      <c r="G189" s="46"/>
      <c r="H189" s="47" t="s">
        <v>1011</v>
      </c>
      <c r="I189" s="47" t="s">
        <v>1170</v>
      </c>
      <c r="J189" s="48" t="s">
        <v>1210</v>
      </c>
      <c r="K189" s="46" t="s">
        <v>588</v>
      </c>
      <c r="L189" s="46" t="s">
        <v>4</v>
      </c>
      <c r="M189" s="46" t="s">
        <v>1207</v>
      </c>
      <c r="N189" s="49">
        <v>0</v>
      </c>
      <c r="O189" s="49">
        <v>1</v>
      </c>
      <c r="P189" s="47" t="s">
        <v>1211</v>
      </c>
      <c r="Q189" s="47" t="s">
        <v>979</v>
      </c>
      <c r="R189" s="47" t="s">
        <v>376</v>
      </c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50">
        <f>IF(L189="W",1,0)</f>
        <v>0</v>
      </c>
      <c r="AF189" s="50">
        <f>IF(L189="T",1,0)</f>
        <v>0</v>
      </c>
      <c r="AG189" s="50">
        <f>IF(L189="L",1,0)</f>
        <v>1</v>
      </c>
      <c r="AH189" s="46" t="s">
        <v>588</v>
      </c>
      <c r="AI189" s="46" t="s">
        <v>1175</v>
      </c>
      <c r="AJ189" s="46" t="s">
        <v>376</v>
      </c>
      <c r="AK189" s="46" t="s">
        <v>658</v>
      </c>
      <c r="AL189" s="46" t="s">
        <v>1097</v>
      </c>
      <c r="AM189" s="46" t="s">
        <v>1098</v>
      </c>
      <c r="AN189" s="46" t="s">
        <v>376</v>
      </c>
      <c r="AO189" s="46" t="s">
        <v>658</v>
      </c>
      <c r="AP189" s="46"/>
      <c r="AQ189" s="46">
        <v>2</v>
      </c>
      <c r="AR189" s="46"/>
      <c r="AS189" s="46"/>
      <c r="AT189" s="46"/>
      <c r="AU189" s="46" t="s">
        <v>376</v>
      </c>
      <c r="AV189" s="46"/>
      <c r="AW189" s="46" t="s">
        <v>30</v>
      </c>
      <c r="AX189" s="46"/>
      <c r="AY189" s="46" t="s">
        <v>30</v>
      </c>
      <c r="AZ189" s="46"/>
      <c r="BA189" s="47"/>
      <c r="BB189" s="51"/>
      <c r="BC189" s="46"/>
      <c r="BD189" s="46"/>
      <c r="BE189" s="46"/>
      <c r="BF189" s="46">
        <v>1</v>
      </c>
      <c r="BG189" s="46">
        <v>1</v>
      </c>
      <c r="BH189" s="46">
        <v>1</v>
      </c>
      <c r="BI189" s="46" t="s">
        <v>588</v>
      </c>
      <c r="BJ189" s="46" t="s">
        <v>1207</v>
      </c>
      <c r="BK189" s="46">
        <v>1899</v>
      </c>
      <c r="BL189" s="46" t="str">
        <f>BK189&amp;BI189</f>
        <v>1899Liverpool</v>
      </c>
      <c r="BM189" s="52" t="str">
        <f>IF(AD189="Home",BI189,IF(AD189="Away",BJ189,Q189))</f>
        <v>Derby</v>
      </c>
      <c r="BN189" s="46"/>
      <c r="BO189" s="46"/>
      <c r="BP189" s="46"/>
      <c r="BQ189" s="46"/>
      <c r="BR189" s="46"/>
      <c r="BS189" s="46"/>
      <c r="BT189" s="46"/>
      <c r="BU189" s="46"/>
      <c r="BV189" s="46" t="s">
        <v>376</v>
      </c>
      <c r="BW189" s="46" t="s">
        <v>376</v>
      </c>
      <c r="BX189" s="46"/>
      <c r="BZ189" s="53"/>
      <c r="CA189" s="53"/>
      <c r="CB189" s="93" t="str">
        <f>IF(OR(C189="",A189="",B189=""),"",TEXT(C189,"0000")&amp;TEXT(A189,"00")&amp;TEXT(B189,"00"))</f>
        <v>18990330</v>
      </c>
    </row>
    <row r="190" spans="1:80" s="52" customFormat="1" ht="12.95" customHeight="1" x14ac:dyDescent="0.2">
      <c r="A190" s="46">
        <v>4</v>
      </c>
      <c r="B190" s="46">
        <v>15</v>
      </c>
      <c r="C190" s="46">
        <v>1899</v>
      </c>
      <c r="D190" s="46" t="s">
        <v>658</v>
      </c>
      <c r="E190" s="46" t="s">
        <v>1203</v>
      </c>
      <c r="F190" s="47" t="s">
        <v>1010</v>
      </c>
      <c r="G190" s="46"/>
      <c r="H190" s="47" t="s">
        <v>1025</v>
      </c>
      <c r="I190" s="47"/>
      <c r="J190" s="48" t="s">
        <v>1212</v>
      </c>
      <c r="K190" s="46" t="s">
        <v>1207</v>
      </c>
      <c r="L190" s="46" t="s">
        <v>3</v>
      </c>
      <c r="M190" s="46" t="s">
        <v>1191</v>
      </c>
      <c r="N190" s="49">
        <v>4</v>
      </c>
      <c r="O190" s="49">
        <v>1</v>
      </c>
      <c r="P190" s="47" t="s">
        <v>1188</v>
      </c>
      <c r="Q190" s="47" t="s">
        <v>1017</v>
      </c>
      <c r="R190" s="47" t="s">
        <v>376</v>
      </c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50">
        <f>IF(L190="W",1,0)</f>
        <v>1</v>
      </c>
      <c r="AF190" s="50">
        <f>IF(L190="T",1,0)</f>
        <v>0</v>
      </c>
      <c r="AG190" s="50">
        <f>IF(L190="L",1,0)</f>
        <v>0</v>
      </c>
      <c r="AH190" s="46" t="s">
        <v>1097</v>
      </c>
      <c r="AI190" s="46" t="s">
        <v>1098</v>
      </c>
      <c r="AJ190" s="46" t="s">
        <v>376</v>
      </c>
      <c r="AK190" s="46" t="s">
        <v>658</v>
      </c>
      <c r="AL190" s="46" t="s">
        <v>979</v>
      </c>
      <c r="AM190" s="46" t="s">
        <v>1146</v>
      </c>
      <c r="AN190" s="46" t="s">
        <v>376</v>
      </c>
      <c r="AO190" s="46" t="s">
        <v>658</v>
      </c>
      <c r="AP190" s="46"/>
      <c r="AQ190" s="46">
        <v>1</v>
      </c>
      <c r="AR190" s="46"/>
      <c r="AS190" s="46"/>
      <c r="AT190" s="46"/>
      <c r="AU190" s="46" t="s">
        <v>376</v>
      </c>
      <c r="AV190" s="46"/>
      <c r="AW190" s="46" t="s">
        <v>30</v>
      </c>
      <c r="AX190" s="46"/>
      <c r="AY190" s="46" t="s">
        <v>30</v>
      </c>
      <c r="AZ190" s="46"/>
      <c r="BA190" s="47"/>
      <c r="BB190" s="51" t="s">
        <v>30</v>
      </c>
      <c r="BC190" s="46" t="s">
        <v>30</v>
      </c>
      <c r="BD190" s="46"/>
      <c r="BE190" s="46"/>
      <c r="BF190" s="46">
        <v>1</v>
      </c>
      <c r="BG190" s="46">
        <v>1</v>
      </c>
      <c r="BH190" s="46">
        <v>1</v>
      </c>
      <c r="BI190" s="46" t="s">
        <v>1207</v>
      </c>
      <c r="BJ190" s="46" t="s">
        <v>1191</v>
      </c>
      <c r="BK190" s="46">
        <v>1899</v>
      </c>
      <c r="BL190" s="46" t="str">
        <f>BK190&amp;BI190</f>
        <v>1899Sheffield United</v>
      </c>
      <c r="BM190" s="52" t="str">
        <f>IF(AD190="Home",BI190,IF(AD190="Away",BJ190,Q190))</f>
        <v>London</v>
      </c>
      <c r="BN190" s="46"/>
      <c r="BO190" s="46"/>
      <c r="BP190" s="46"/>
      <c r="BQ190" s="46"/>
      <c r="BR190" s="46"/>
      <c r="BS190" s="46"/>
      <c r="BT190" s="46"/>
      <c r="BU190" s="46"/>
      <c r="BV190" s="46" t="s">
        <v>376</v>
      </c>
      <c r="BW190" s="46" t="s">
        <v>376</v>
      </c>
      <c r="BX190" s="46"/>
      <c r="BZ190" s="53"/>
      <c r="CA190" s="53"/>
      <c r="CB190" s="93" t="str">
        <f>IF(OR(C190="",A190="",B190=""),"",TEXT(C190,"0000")&amp;TEXT(A190,"00")&amp;TEXT(B190,"00"))</f>
        <v>18990415</v>
      </c>
    </row>
    <row r="191" spans="1:80" s="52" customFormat="1" ht="12.95" customHeight="1" x14ac:dyDescent="0.2">
      <c r="A191" s="46">
        <v>4</v>
      </c>
      <c r="B191" s="46">
        <v>15</v>
      </c>
      <c r="C191" s="46">
        <v>1899</v>
      </c>
      <c r="D191" s="46" t="s">
        <v>658</v>
      </c>
      <c r="E191" s="46" t="s">
        <v>1203</v>
      </c>
      <c r="F191" s="47" t="s">
        <v>1010</v>
      </c>
      <c r="G191" s="46"/>
      <c r="H191" s="47" t="s">
        <v>1025</v>
      </c>
      <c r="I191" s="47"/>
      <c r="J191" s="48" t="s">
        <v>1212</v>
      </c>
      <c r="K191" s="46" t="s">
        <v>1191</v>
      </c>
      <c r="L191" s="46" t="s">
        <v>4</v>
      </c>
      <c r="M191" s="46" t="s">
        <v>1207</v>
      </c>
      <c r="N191" s="49">
        <v>1</v>
      </c>
      <c r="O191" s="49">
        <v>4</v>
      </c>
      <c r="P191" s="47" t="s">
        <v>1188</v>
      </c>
      <c r="Q191" s="47" t="s">
        <v>1017</v>
      </c>
      <c r="R191" s="47" t="s">
        <v>376</v>
      </c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50">
        <f>IF(L191="W",1,0)</f>
        <v>0</v>
      </c>
      <c r="AF191" s="50">
        <f>IF(L191="T",1,0)</f>
        <v>0</v>
      </c>
      <c r="AG191" s="50">
        <f>IF(L191="L",1,0)</f>
        <v>1</v>
      </c>
      <c r="AH191" s="46" t="s">
        <v>979</v>
      </c>
      <c r="AI191" s="46" t="s">
        <v>1146</v>
      </c>
      <c r="AJ191" s="46" t="s">
        <v>376</v>
      </c>
      <c r="AK191" s="46" t="s">
        <v>658</v>
      </c>
      <c r="AL191" s="46" t="s">
        <v>1097</v>
      </c>
      <c r="AM191" s="46" t="s">
        <v>1098</v>
      </c>
      <c r="AN191" s="46" t="s">
        <v>376</v>
      </c>
      <c r="AO191" s="46" t="s">
        <v>658</v>
      </c>
      <c r="AP191" s="46"/>
      <c r="AQ191" s="46">
        <v>1</v>
      </c>
      <c r="AR191" s="46"/>
      <c r="AS191" s="46"/>
      <c r="AT191" s="46"/>
      <c r="AU191" s="46" t="s">
        <v>376</v>
      </c>
      <c r="AV191" s="46"/>
      <c r="AW191" s="46" t="s">
        <v>30</v>
      </c>
      <c r="AX191" s="46"/>
      <c r="AY191" s="46" t="s">
        <v>30</v>
      </c>
      <c r="AZ191" s="46"/>
      <c r="BA191" s="47"/>
      <c r="BB191" s="51"/>
      <c r="BC191" s="46" t="s">
        <v>30</v>
      </c>
      <c r="BD191" s="46"/>
      <c r="BE191" s="46"/>
      <c r="BF191" s="46">
        <v>1</v>
      </c>
      <c r="BG191" s="46">
        <v>1</v>
      </c>
      <c r="BH191" s="46">
        <v>1</v>
      </c>
      <c r="BI191" s="46" t="s">
        <v>1191</v>
      </c>
      <c r="BJ191" s="46" t="s">
        <v>1207</v>
      </c>
      <c r="BK191" s="46">
        <v>1899</v>
      </c>
      <c r="BL191" s="46" t="str">
        <f>BK191&amp;BI191</f>
        <v>1899Derby County</v>
      </c>
      <c r="BM191" s="52" t="str">
        <f>IF(AD191="Home",BI191,IF(AD191="Away",BJ191,Q191))</f>
        <v>London</v>
      </c>
      <c r="BN191" s="46"/>
      <c r="BO191" s="46"/>
      <c r="BP191" s="46"/>
      <c r="BQ191" s="46"/>
      <c r="BR191" s="46"/>
      <c r="BS191" s="46"/>
      <c r="BT191" s="46"/>
      <c r="BU191" s="46"/>
      <c r="BV191" s="46" t="s">
        <v>376</v>
      </c>
      <c r="BW191" s="46" t="s">
        <v>376</v>
      </c>
      <c r="BX191" s="46"/>
      <c r="BZ191" s="53"/>
      <c r="CA191" s="53"/>
      <c r="CB191" s="93" t="str">
        <f>IF(OR(C191="",A191="",B191=""),"",TEXT(C191,"0000")&amp;TEXT(A191,"00")&amp;TEXT(B191,"00"))</f>
        <v>18990415</v>
      </c>
    </row>
    <row r="192" spans="1:80" s="52" customFormat="1" ht="12.95" customHeight="1" x14ac:dyDescent="0.2">
      <c r="A192" s="46">
        <v>3</v>
      </c>
      <c r="B192" s="46">
        <v>24</v>
      </c>
      <c r="C192" s="46">
        <v>1900</v>
      </c>
      <c r="D192" s="46" t="s">
        <v>658</v>
      </c>
      <c r="E192" s="46" t="s">
        <v>1213</v>
      </c>
      <c r="F192" s="47" t="s">
        <v>1010</v>
      </c>
      <c r="G192" s="46"/>
      <c r="H192" s="47" t="s">
        <v>1011</v>
      </c>
      <c r="I192" s="47"/>
      <c r="J192" s="48">
        <v>84</v>
      </c>
      <c r="K192" s="46" t="s">
        <v>629</v>
      </c>
      <c r="L192" s="46" t="s">
        <v>1014</v>
      </c>
      <c r="M192" s="46" t="s">
        <v>1214</v>
      </c>
      <c r="N192" s="49">
        <v>0</v>
      </c>
      <c r="O192" s="49">
        <v>0</v>
      </c>
      <c r="P192" s="47" t="s">
        <v>1188</v>
      </c>
      <c r="Q192" s="47" t="s">
        <v>1017</v>
      </c>
      <c r="R192" s="47" t="s">
        <v>376</v>
      </c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50">
        <f>IF(L192="W",1,0)</f>
        <v>0</v>
      </c>
      <c r="AF192" s="50">
        <f>IF(L192="T",1,0)</f>
        <v>1</v>
      </c>
      <c r="AG192" s="50">
        <f>IF(L192="L",1,0)</f>
        <v>0</v>
      </c>
      <c r="AH192" s="46" t="s">
        <v>629</v>
      </c>
      <c r="AI192" s="46" t="s">
        <v>1199</v>
      </c>
      <c r="AJ192" s="46" t="s">
        <v>376</v>
      </c>
      <c r="AK192" s="46" t="s">
        <v>658</v>
      </c>
      <c r="AL192" s="46" t="s">
        <v>1017</v>
      </c>
      <c r="AM192" s="46" t="s">
        <v>1018</v>
      </c>
      <c r="AN192" s="46" t="s">
        <v>376</v>
      </c>
      <c r="AO192" s="46" t="s">
        <v>658</v>
      </c>
      <c r="AP192" s="46"/>
      <c r="AQ192" s="46">
        <v>2</v>
      </c>
      <c r="AR192" s="46"/>
      <c r="AS192" s="46"/>
      <c r="AT192" s="46"/>
      <c r="AU192" s="46" t="s">
        <v>376</v>
      </c>
      <c r="AV192" s="46"/>
      <c r="AW192" s="46" t="s">
        <v>30</v>
      </c>
      <c r="AX192" s="46"/>
      <c r="AY192" s="46" t="s">
        <v>30</v>
      </c>
      <c r="AZ192" s="46"/>
      <c r="BA192" s="47"/>
      <c r="BB192" s="51"/>
      <c r="BC192" s="46"/>
      <c r="BD192" s="46"/>
      <c r="BE192" s="46"/>
      <c r="BF192" s="46">
        <v>1</v>
      </c>
      <c r="BG192" s="46"/>
      <c r="BH192" s="46"/>
      <c r="BI192" s="46" t="s">
        <v>629</v>
      </c>
      <c r="BJ192" s="46" t="s">
        <v>1214</v>
      </c>
      <c r="BK192" s="46">
        <v>1900</v>
      </c>
      <c r="BL192" s="46" t="str">
        <f>BK192&amp;BI192</f>
        <v>1900Southampton</v>
      </c>
      <c r="BM192" s="52" t="str">
        <f>IF(AD192="Home",BI192,IF(AD192="Away",BJ192,Q192))</f>
        <v>London</v>
      </c>
      <c r="BN192" s="46"/>
      <c r="BO192" s="46"/>
      <c r="BP192" s="46"/>
      <c r="BQ192" s="46"/>
      <c r="BR192" s="46"/>
      <c r="BS192" s="46"/>
      <c r="BT192" s="46"/>
      <c r="BU192" s="46"/>
      <c r="BV192" s="46" t="s">
        <v>376</v>
      </c>
      <c r="BW192" s="46" t="s">
        <v>376</v>
      </c>
      <c r="BX192" s="46"/>
      <c r="BZ192" s="53"/>
      <c r="CA192" s="53"/>
      <c r="CB192" s="93" t="str">
        <f>IF(OR(C192="",A192="",B192=""),"",TEXT(C192,"0000")&amp;TEXT(A192,"00")&amp;TEXT(B192,"00"))</f>
        <v>19000324</v>
      </c>
    </row>
    <row r="193" spans="1:80" s="52" customFormat="1" ht="12.95" customHeight="1" x14ac:dyDescent="0.2">
      <c r="A193" s="46">
        <v>3</v>
      </c>
      <c r="B193" s="46">
        <v>24</v>
      </c>
      <c r="C193" s="46">
        <v>1900</v>
      </c>
      <c r="D193" s="46" t="s">
        <v>658</v>
      </c>
      <c r="E193" s="46" t="s">
        <v>1213</v>
      </c>
      <c r="F193" s="47" t="s">
        <v>1010</v>
      </c>
      <c r="G193" s="46"/>
      <c r="H193" s="47" t="s">
        <v>1011</v>
      </c>
      <c r="I193" s="47"/>
      <c r="J193" s="48">
        <v>84</v>
      </c>
      <c r="K193" s="46" t="s">
        <v>1214</v>
      </c>
      <c r="L193" s="46" t="s">
        <v>1014</v>
      </c>
      <c r="M193" s="46" t="s">
        <v>629</v>
      </c>
      <c r="N193" s="49">
        <v>0</v>
      </c>
      <c r="O193" s="49">
        <v>0</v>
      </c>
      <c r="P193" s="47" t="s">
        <v>1188</v>
      </c>
      <c r="Q193" s="47" t="s">
        <v>1017</v>
      </c>
      <c r="R193" s="47" t="s">
        <v>376</v>
      </c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50">
        <f>IF(L193="W",1,0)</f>
        <v>0</v>
      </c>
      <c r="AF193" s="50">
        <f>IF(L193="T",1,0)</f>
        <v>1</v>
      </c>
      <c r="AG193" s="50">
        <f>IF(L193="L",1,0)</f>
        <v>0</v>
      </c>
      <c r="AH193" s="46" t="s">
        <v>1017</v>
      </c>
      <c r="AI193" s="46" t="s">
        <v>1018</v>
      </c>
      <c r="AJ193" s="46" t="s">
        <v>376</v>
      </c>
      <c r="AK193" s="46" t="s">
        <v>658</v>
      </c>
      <c r="AL193" s="46" t="s">
        <v>629</v>
      </c>
      <c r="AM193" s="46" t="s">
        <v>1199</v>
      </c>
      <c r="AN193" s="46" t="s">
        <v>376</v>
      </c>
      <c r="AO193" s="46" t="s">
        <v>658</v>
      </c>
      <c r="AP193" s="46"/>
      <c r="AQ193" s="46">
        <v>2</v>
      </c>
      <c r="AR193" s="46"/>
      <c r="AS193" s="46"/>
      <c r="AT193" s="46"/>
      <c r="AU193" s="46" t="s">
        <v>376</v>
      </c>
      <c r="AV193" s="46"/>
      <c r="AW193" s="46" t="s">
        <v>30</v>
      </c>
      <c r="AX193" s="46"/>
      <c r="AY193" s="46" t="s">
        <v>30</v>
      </c>
      <c r="AZ193" s="46"/>
      <c r="BA193" s="47"/>
      <c r="BB193" s="51"/>
      <c r="BC193" s="46"/>
      <c r="BD193" s="46"/>
      <c r="BE193" s="46"/>
      <c r="BF193" s="46">
        <v>1</v>
      </c>
      <c r="BG193" s="46"/>
      <c r="BH193" s="46"/>
      <c r="BI193" s="46" t="s">
        <v>1214</v>
      </c>
      <c r="BJ193" s="46" t="s">
        <v>629</v>
      </c>
      <c r="BK193" s="46">
        <v>1900</v>
      </c>
      <c r="BL193" s="46" t="str">
        <f>BK193&amp;BI193</f>
        <v>1900Millwall</v>
      </c>
      <c r="BM193" s="52" t="str">
        <f>IF(AD193="Home",BI193,IF(AD193="Away",BJ193,Q193))</f>
        <v>London</v>
      </c>
      <c r="BN193" s="46"/>
      <c r="BO193" s="46"/>
      <c r="BP193" s="46"/>
      <c r="BQ193" s="46"/>
      <c r="BR193" s="46"/>
      <c r="BS193" s="46"/>
      <c r="BT193" s="46"/>
      <c r="BU193" s="46"/>
      <c r="BV193" s="46" t="s">
        <v>376</v>
      </c>
      <c r="BW193" s="46" t="s">
        <v>376</v>
      </c>
      <c r="BX193" s="46"/>
      <c r="BZ193" s="53"/>
      <c r="CA193" s="53"/>
      <c r="CB193" s="93" t="str">
        <f>IF(OR(C193="",A193="",B193=""),"",TEXT(C193,"0000")&amp;TEXT(A193,"00")&amp;TEXT(B193,"00"))</f>
        <v>19000324</v>
      </c>
    </row>
    <row r="194" spans="1:80" s="52" customFormat="1" ht="12.95" customHeight="1" x14ac:dyDescent="0.2">
      <c r="A194" s="46">
        <v>3</v>
      </c>
      <c r="B194" s="46">
        <v>24</v>
      </c>
      <c r="C194" s="46">
        <v>1900</v>
      </c>
      <c r="D194" s="46" t="s">
        <v>658</v>
      </c>
      <c r="E194" s="46" t="s">
        <v>1213</v>
      </c>
      <c r="F194" s="47" t="s">
        <v>1010</v>
      </c>
      <c r="G194" s="46"/>
      <c r="H194" s="47" t="s">
        <v>1011</v>
      </c>
      <c r="I194" s="47"/>
      <c r="J194" s="48">
        <v>84</v>
      </c>
      <c r="K194" s="46" t="s">
        <v>1072</v>
      </c>
      <c r="L194" s="46" t="s">
        <v>1014</v>
      </c>
      <c r="M194" s="46" t="s">
        <v>1215</v>
      </c>
      <c r="N194" s="49">
        <v>1</v>
      </c>
      <c r="O194" s="49">
        <v>1</v>
      </c>
      <c r="P194" s="47" t="s">
        <v>1144</v>
      </c>
      <c r="Q194" s="47" t="s">
        <v>1145</v>
      </c>
      <c r="R194" s="47" t="s">
        <v>376</v>
      </c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50">
        <f>IF(L194="W",1,0)</f>
        <v>0</v>
      </c>
      <c r="AF194" s="50">
        <f>IF(L194="T",1,0)</f>
        <v>1</v>
      </c>
      <c r="AG194" s="50">
        <f>IF(L194="L",1,0)</f>
        <v>0</v>
      </c>
      <c r="AH194" s="46" t="s">
        <v>1073</v>
      </c>
      <c r="AI194" s="46" t="s">
        <v>1074</v>
      </c>
      <c r="AJ194" s="46" t="s">
        <v>376</v>
      </c>
      <c r="AK194" s="46" t="s">
        <v>658</v>
      </c>
      <c r="AL194" s="46" t="s">
        <v>1101</v>
      </c>
      <c r="AM194" s="46" t="s">
        <v>1159</v>
      </c>
      <c r="AN194" s="46" t="s">
        <v>376</v>
      </c>
      <c r="AO194" s="46" t="s">
        <v>658</v>
      </c>
      <c r="AP194" s="46"/>
      <c r="AQ194" s="46">
        <v>2</v>
      </c>
      <c r="AR194" s="46"/>
      <c r="AS194" s="46"/>
      <c r="AT194" s="46"/>
      <c r="AU194" s="46" t="s">
        <v>376</v>
      </c>
      <c r="AV194" s="46"/>
      <c r="AW194" s="46" t="s">
        <v>30</v>
      </c>
      <c r="AX194" s="46"/>
      <c r="AY194" s="46" t="s">
        <v>30</v>
      </c>
      <c r="AZ194" s="46"/>
      <c r="BA194" s="47"/>
      <c r="BB194" s="51"/>
      <c r="BC194" s="46"/>
      <c r="BD194" s="46"/>
      <c r="BE194" s="46"/>
      <c r="BF194" s="46">
        <v>1</v>
      </c>
      <c r="BG194" s="46">
        <v>1</v>
      </c>
      <c r="BH194" s="46">
        <v>1</v>
      </c>
      <c r="BI194" s="46" t="s">
        <v>1072</v>
      </c>
      <c r="BJ194" s="46" t="s">
        <v>1215</v>
      </c>
      <c r="BK194" s="46">
        <v>1900</v>
      </c>
      <c r="BL194" s="46" t="str">
        <f>BK194&amp;BI194</f>
        <v>1900Nottingham Forest</v>
      </c>
      <c r="BM194" s="52" t="str">
        <f>IF(AD194="Home",BI194,IF(AD194="Away",BJ194,Q194))</f>
        <v>Stoke-on-Trent</v>
      </c>
      <c r="BN194" s="46"/>
      <c r="BO194" s="46"/>
      <c r="BP194" s="46"/>
      <c r="BQ194" s="46"/>
      <c r="BR194" s="46"/>
      <c r="BS194" s="46"/>
      <c r="BT194" s="46"/>
      <c r="BU194" s="46"/>
      <c r="BV194" s="46" t="s">
        <v>376</v>
      </c>
      <c r="BW194" s="46" t="s">
        <v>376</v>
      </c>
      <c r="BX194" s="46"/>
      <c r="BY194" s="50"/>
      <c r="BZ194" s="53"/>
      <c r="CA194" s="53"/>
      <c r="CB194" s="93" t="str">
        <f>IF(OR(C194="",A194="",B194=""),"",TEXT(C194,"0000")&amp;TEXT(A194,"00")&amp;TEXT(B194,"00"))</f>
        <v>19000324</v>
      </c>
    </row>
    <row r="195" spans="1:80" s="52" customFormat="1" ht="12.95" customHeight="1" x14ac:dyDescent="0.2">
      <c r="A195" s="46">
        <v>3</v>
      </c>
      <c r="B195" s="46">
        <v>24</v>
      </c>
      <c r="C195" s="46">
        <v>1900</v>
      </c>
      <c r="D195" s="46" t="s">
        <v>658</v>
      </c>
      <c r="E195" s="46" t="s">
        <v>1213</v>
      </c>
      <c r="F195" s="47" t="s">
        <v>1010</v>
      </c>
      <c r="G195" s="46"/>
      <c r="H195" s="47" t="s">
        <v>1011</v>
      </c>
      <c r="I195" s="47"/>
      <c r="J195" s="48">
        <v>84</v>
      </c>
      <c r="K195" s="46" t="s">
        <v>1215</v>
      </c>
      <c r="L195" s="46" t="s">
        <v>1014</v>
      </c>
      <c r="M195" s="46" t="s">
        <v>1072</v>
      </c>
      <c r="N195" s="49">
        <v>1</v>
      </c>
      <c r="O195" s="49">
        <v>1</v>
      </c>
      <c r="P195" s="47" t="s">
        <v>1144</v>
      </c>
      <c r="Q195" s="47" t="s">
        <v>1145</v>
      </c>
      <c r="R195" s="47" t="s">
        <v>376</v>
      </c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50">
        <f>IF(L195="W",1,0)</f>
        <v>0</v>
      </c>
      <c r="AF195" s="50">
        <f>IF(L195="T",1,0)</f>
        <v>1</v>
      </c>
      <c r="AG195" s="50">
        <f>IF(L195="L",1,0)</f>
        <v>0</v>
      </c>
      <c r="AH195" s="46" t="s">
        <v>1101</v>
      </c>
      <c r="AI195" s="46" t="s">
        <v>1159</v>
      </c>
      <c r="AJ195" s="46" t="s">
        <v>376</v>
      </c>
      <c r="AK195" s="46" t="s">
        <v>658</v>
      </c>
      <c r="AL195" s="46" t="s">
        <v>1073</v>
      </c>
      <c r="AM195" s="46" t="s">
        <v>1074</v>
      </c>
      <c r="AN195" s="46" t="s">
        <v>376</v>
      </c>
      <c r="AO195" s="46" t="s">
        <v>658</v>
      </c>
      <c r="AP195" s="46"/>
      <c r="AQ195" s="46">
        <v>2</v>
      </c>
      <c r="AR195" s="46"/>
      <c r="AS195" s="46"/>
      <c r="AT195" s="46"/>
      <c r="AU195" s="46" t="s">
        <v>376</v>
      </c>
      <c r="AV195" s="46"/>
      <c r="AW195" s="46" t="s">
        <v>30</v>
      </c>
      <c r="AX195" s="46"/>
      <c r="AY195" s="46" t="s">
        <v>30</v>
      </c>
      <c r="AZ195" s="46"/>
      <c r="BA195" s="47"/>
      <c r="BB195" s="51"/>
      <c r="BC195" s="46"/>
      <c r="BD195" s="46"/>
      <c r="BE195" s="46"/>
      <c r="BF195" s="46">
        <v>1</v>
      </c>
      <c r="BG195" s="46">
        <v>1</v>
      </c>
      <c r="BH195" s="46">
        <v>1</v>
      </c>
      <c r="BI195" s="46" t="s">
        <v>1215</v>
      </c>
      <c r="BJ195" s="46" t="s">
        <v>1072</v>
      </c>
      <c r="BK195" s="46">
        <v>1900</v>
      </c>
      <c r="BL195" s="46" t="str">
        <f>BK195&amp;BI195</f>
        <v>1900Bury</v>
      </c>
      <c r="BM195" s="52" t="str">
        <f>IF(AD195="Home",BI195,IF(AD195="Away",BJ195,Q195))</f>
        <v>Stoke-on-Trent</v>
      </c>
      <c r="BN195" s="46"/>
      <c r="BO195" s="46"/>
      <c r="BP195" s="46"/>
      <c r="BQ195" s="46"/>
      <c r="BR195" s="46"/>
      <c r="BS195" s="46"/>
      <c r="BT195" s="46"/>
      <c r="BU195" s="46"/>
      <c r="BV195" s="46" t="s">
        <v>376</v>
      </c>
      <c r="BW195" s="46" t="s">
        <v>376</v>
      </c>
      <c r="BX195" s="46"/>
      <c r="BY195" s="50"/>
      <c r="BZ195" s="53"/>
      <c r="CA195" s="53"/>
      <c r="CB195" s="93" t="str">
        <f>IF(OR(C195="",A195="",B195=""),"",TEXT(C195,"0000")&amp;TEXT(A195,"00")&amp;TEXT(B195,"00"))</f>
        <v>19000324</v>
      </c>
    </row>
    <row r="196" spans="1:80" s="52" customFormat="1" ht="12.95" customHeight="1" x14ac:dyDescent="0.2">
      <c r="A196" s="46">
        <v>3</v>
      </c>
      <c r="B196" s="46">
        <v>28</v>
      </c>
      <c r="C196" s="46">
        <v>1900</v>
      </c>
      <c r="D196" s="46" t="s">
        <v>658</v>
      </c>
      <c r="E196" s="46" t="s">
        <v>1213</v>
      </c>
      <c r="F196" s="47" t="s">
        <v>1010</v>
      </c>
      <c r="G196" s="46"/>
      <c r="H196" s="47" t="s">
        <v>1011</v>
      </c>
      <c r="I196" s="47" t="s">
        <v>1023</v>
      </c>
      <c r="J196" s="48">
        <v>88</v>
      </c>
      <c r="K196" s="46" t="s">
        <v>629</v>
      </c>
      <c r="L196" s="46" t="s">
        <v>3</v>
      </c>
      <c r="M196" s="46" t="s">
        <v>1214</v>
      </c>
      <c r="N196" s="49">
        <v>3</v>
      </c>
      <c r="O196" s="49">
        <v>0</v>
      </c>
      <c r="P196" s="47" t="s">
        <v>1216</v>
      </c>
      <c r="Q196" s="47" t="s">
        <v>1217</v>
      </c>
      <c r="R196" s="47" t="s">
        <v>376</v>
      </c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50">
        <f>IF(L196="W",1,0)</f>
        <v>1</v>
      </c>
      <c r="AF196" s="50">
        <f>IF(L196="T",1,0)</f>
        <v>0</v>
      </c>
      <c r="AG196" s="50">
        <f>IF(L196="L",1,0)</f>
        <v>0</v>
      </c>
      <c r="AH196" s="46" t="s">
        <v>629</v>
      </c>
      <c r="AI196" s="46" t="s">
        <v>1199</v>
      </c>
      <c r="AJ196" s="46" t="s">
        <v>376</v>
      </c>
      <c r="AK196" s="46" t="s">
        <v>658</v>
      </c>
      <c r="AL196" s="46" t="s">
        <v>1017</v>
      </c>
      <c r="AM196" s="46" t="s">
        <v>1018</v>
      </c>
      <c r="AN196" s="46" t="s">
        <v>376</v>
      </c>
      <c r="AO196" s="46" t="s">
        <v>658</v>
      </c>
      <c r="AP196" s="46"/>
      <c r="AQ196" s="46">
        <v>2</v>
      </c>
      <c r="AR196" s="46"/>
      <c r="AS196" s="46"/>
      <c r="AT196" s="46"/>
      <c r="AU196" s="46" t="s">
        <v>376</v>
      </c>
      <c r="AV196" s="46"/>
      <c r="AW196" s="46" t="s">
        <v>30</v>
      </c>
      <c r="AX196" s="46"/>
      <c r="AY196" s="46" t="s">
        <v>30</v>
      </c>
      <c r="AZ196" s="46"/>
      <c r="BA196" s="47"/>
      <c r="BB196" s="51"/>
      <c r="BC196" s="46"/>
      <c r="BD196" s="46"/>
      <c r="BE196" s="46"/>
      <c r="BF196" s="46">
        <v>1</v>
      </c>
      <c r="BG196" s="46"/>
      <c r="BH196" s="46"/>
      <c r="BI196" s="46" t="s">
        <v>629</v>
      </c>
      <c r="BJ196" s="46" t="s">
        <v>1214</v>
      </c>
      <c r="BK196" s="46">
        <v>1900</v>
      </c>
      <c r="BL196" s="46" t="str">
        <f>BK196&amp;BI196</f>
        <v>1900Southampton</v>
      </c>
      <c r="BM196" s="52" t="str">
        <f>IF(AD196="Home",BI196,IF(AD196="Away",BJ196,Q196))</f>
        <v>Reading</v>
      </c>
      <c r="BN196" s="46"/>
      <c r="BO196" s="46"/>
      <c r="BP196" s="46"/>
      <c r="BQ196" s="46"/>
      <c r="BR196" s="46"/>
      <c r="BS196" s="46"/>
      <c r="BT196" s="46"/>
      <c r="BU196" s="46"/>
      <c r="BV196" s="46" t="s">
        <v>376</v>
      </c>
      <c r="BW196" s="46" t="s">
        <v>376</v>
      </c>
      <c r="BX196" s="46"/>
      <c r="BY196" s="50"/>
      <c r="BZ196" s="53"/>
      <c r="CA196" s="53"/>
      <c r="CB196" s="93" t="str">
        <f>IF(OR(C196="",A196="",B196=""),"",TEXT(C196,"0000")&amp;TEXT(A196,"00")&amp;TEXT(B196,"00"))</f>
        <v>19000328</v>
      </c>
    </row>
    <row r="197" spans="1:80" s="52" customFormat="1" ht="12.95" customHeight="1" x14ac:dyDescent="0.2">
      <c r="A197" s="46">
        <v>3</v>
      </c>
      <c r="B197" s="46">
        <v>28</v>
      </c>
      <c r="C197" s="46">
        <v>1900</v>
      </c>
      <c r="D197" s="46" t="s">
        <v>658</v>
      </c>
      <c r="E197" s="46" t="s">
        <v>1213</v>
      </c>
      <c r="F197" s="47" t="s">
        <v>1010</v>
      </c>
      <c r="G197" s="46"/>
      <c r="H197" s="47" t="s">
        <v>1011</v>
      </c>
      <c r="I197" s="47" t="s">
        <v>1023</v>
      </c>
      <c r="J197" s="48">
        <v>88</v>
      </c>
      <c r="K197" s="46" t="s">
        <v>1214</v>
      </c>
      <c r="L197" s="46" t="s">
        <v>4</v>
      </c>
      <c r="M197" s="46" t="s">
        <v>629</v>
      </c>
      <c r="N197" s="49">
        <v>0</v>
      </c>
      <c r="O197" s="49">
        <v>3</v>
      </c>
      <c r="P197" s="47" t="s">
        <v>1216</v>
      </c>
      <c r="Q197" s="47" t="s">
        <v>1217</v>
      </c>
      <c r="R197" s="47" t="s">
        <v>376</v>
      </c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50">
        <f>IF(L197="W",1,0)</f>
        <v>0</v>
      </c>
      <c r="AF197" s="50">
        <f>IF(L197="T",1,0)</f>
        <v>0</v>
      </c>
      <c r="AG197" s="50">
        <f>IF(L197="L",1,0)</f>
        <v>1</v>
      </c>
      <c r="AH197" s="46" t="s">
        <v>1017</v>
      </c>
      <c r="AI197" s="46" t="s">
        <v>1018</v>
      </c>
      <c r="AJ197" s="46" t="s">
        <v>376</v>
      </c>
      <c r="AK197" s="46" t="s">
        <v>658</v>
      </c>
      <c r="AL197" s="46" t="s">
        <v>629</v>
      </c>
      <c r="AM197" s="46" t="s">
        <v>1199</v>
      </c>
      <c r="AN197" s="46" t="s">
        <v>376</v>
      </c>
      <c r="AO197" s="46" t="s">
        <v>658</v>
      </c>
      <c r="AP197" s="46"/>
      <c r="AQ197" s="46">
        <v>2</v>
      </c>
      <c r="AR197" s="46"/>
      <c r="AS197" s="46"/>
      <c r="AT197" s="46"/>
      <c r="AU197" s="46" t="s">
        <v>376</v>
      </c>
      <c r="AV197" s="46"/>
      <c r="AW197" s="46" t="s">
        <v>30</v>
      </c>
      <c r="AX197" s="46"/>
      <c r="AY197" s="46" t="s">
        <v>30</v>
      </c>
      <c r="AZ197" s="46"/>
      <c r="BA197" s="47"/>
      <c r="BB197" s="51"/>
      <c r="BC197" s="46"/>
      <c r="BD197" s="46"/>
      <c r="BE197" s="46"/>
      <c r="BF197" s="46">
        <v>1</v>
      </c>
      <c r="BG197" s="46"/>
      <c r="BH197" s="46"/>
      <c r="BI197" s="46" t="s">
        <v>1214</v>
      </c>
      <c r="BJ197" s="46" t="s">
        <v>629</v>
      </c>
      <c r="BK197" s="46">
        <v>1900</v>
      </c>
      <c r="BL197" s="46" t="str">
        <f>BK197&amp;BI197</f>
        <v>1900Millwall</v>
      </c>
      <c r="BM197" s="52" t="str">
        <f>IF(AD197="Home",BI197,IF(AD197="Away",BJ197,Q197))</f>
        <v>Reading</v>
      </c>
      <c r="BN197" s="46"/>
      <c r="BO197" s="46"/>
      <c r="BP197" s="46"/>
      <c r="BQ197" s="46"/>
      <c r="BR197" s="46"/>
      <c r="BS197" s="46"/>
      <c r="BT197" s="46"/>
      <c r="BU197" s="46"/>
      <c r="BV197" s="46" t="s">
        <v>376</v>
      </c>
      <c r="BW197" s="46" t="s">
        <v>376</v>
      </c>
      <c r="BX197" s="46"/>
      <c r="BY197" s="50"/>
      <c r="BZ197" s="53"/>
      <c r="CA197" s="53"/>
      <c r="CB197" s="93" t="str">
        <f>IF(OR(C197="",A197="",B197=""),"",TEXT(C197,"0000")&amp;TEXT(A197,"00")&amp;TEXT(B197,"00"))</f>
        <v>19000328</v>
      </c>
    </row>
    <row r="198" spans="1:80" s="52" customFormat="1" ht="12.95" customHeight="1" x14ac:dyDescent="0.2">
      <c r="A198" s="46">
        <v>3</v>
      </c>
      <c r="B198" s="46">
        <v>29</v>
      </c>
      <c r="C198" s="46">
        <v>1900</v>
      </c>
      <c r="D198" s="46" t="s">
        <v>658</v>
      </c>
      <c r="E198" s="46" t="s">
        <v>1213</v>
      </c>
      <c r="F198" s="47" t="s">
        <v>1010</v>
      </c>
      <c r="G198" s="46"/>
      <c r="H198" s="47" t="s">
        <v>1011</v>
      </c>
      <c r="I198" s="47" t="s">
        <v>1023</v>
      </c>
      <c r="J198" s="48">
        <v>89</v>
      </c>
      <c r="K198" s="46" t="s">
        <v>1215</v>
      </c>
      <c r="L198" s="46" t="s">
        <v>3</v>
      </c>
      <c r="M198" s="46" t="s">
        <v>1072</v>
      </c>
      <c r="N198" s="49">
        <v>3</v>
      </c>
      <c r="O198" s="49">
        <v>2</v>
      </c>
      <c r="P198" s="47" t="s">
        <v>1163</v>
      </c>
      <c r="Q198" s="47" t="s">
        <v>1097</v>
      </c>
      <c r="R198" s="47" t="s">
        <v>376</v>
      </c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50">
        <f>IF(L198="W",1,0)</f>
        <v>1</v>
      </c>
      <c r="AF198" s="50">
        <f>IF(L198="T",1,0)</f>
        <v>0</v>
      </c>
      <c r="AG198" s="50">
        <f>IF(L198="L",1,0)</f>
        <v>0</v>
      </c>
      <c r="AH198" s="46" t="s">
        <v>1101</v>
      </c>
      <c r="AI198" s="46" t="s">
        <v>1159</v>
      </c>
      <c r="AJ198" s="46" t="s">
        <v>376</v>
      </c>
      <c r="AK198" s="46" t="s">
        <v>658</v>
      </c>
      <c r="AL198" s="46" t="s">
        <v>1073</v>
      </c>
      <c r="AM198" s="46" t="s">
        <v>1074</v>
      </c>
      <c r="AN198" s="46" t="s">
        <v>376</v>
      </c>
      <c r="AO198" s="46" t="s">
        <v>658</v>
      </c>
      <c r="AP198" s="46"/>
      <c r="AQ198" s="46">
        <v>2</v>
      </c>
      <c r="AR198" s="46"/>
      <c r="AS198" s="46"/>
      <c r="AT198" s="46"/>
      <c r="AU198" s="46" t="s">
        <v>376</v>
      </c>
      <c r="AV198" s="46"/>
      <c r="AW198" s="46" t="s">
        <v>30</v>
      </c>
      <c r="AX198" s="46"/>
      <c r="AY198" s="46" t="s">
        <v>30</v>
      </c>
      <c r="AZ198" s="46"/>
      <c r="BA198" s="47"/>
      <c r="BB198" s="51"/>
      <c r="BC198" s="46"/>
      <c r="BD198" s="46"/>
      <c r="BE198" s="46"/>
      <c r="BF198" s="46">
        <v>1</v>
      </c>
      <c r="BG198" s="46">
        <v>1</v>
      </c>
      <c r="BH198" s="46">
        <v>1</v>
      </c>
      <c r="BI198" s="46" t="s">
        <v>1215</v>
      </c>
      <c r="BJ198" s="46" t="s">
        <v>1072</v>
      </c>
      <c r="BK198" s="46">
        <v>1900</v>
      </c>
      <c r="BL198" s="46" t="str">
        <f>BK198&amp;BI198</f>
        <v>1900Bury</v>
      </c>
      <c r="BM198" s="52" t="str">
        <f>IF(AD198="Home",BI198,IF(AD198="Away",BJ198,Q198))</f>
        <v>Sheffield</v>
      </c>
      <c r="BN198" s="46"/>
      <c r="BO198" s="46"/>
      <c r="BP198" s="46"/>
      <c r="BQ198" s="46"/>
      <c r="BR198" s="46"/>
      <c r="BS198" s="46"/>
      <c r="BT198" s="46"/>
      <c r="BU198" s="46"/>
      <c r="BV198" s="46" t="s">
        <v>376</v>
      </c>
      <c r="BW198" s="46" t="s">
        <v>376</v>
      </c>
      <c r="BX198" s="46"/>
      <c r="BY198" s="50"/>
      <c r="BZ198" s="53"/>
      <c r="CA198" s="53"/>
      <c r="CB198" s="93" t="str">
        <f>IF(OR(C198="",A198="",B198=""),"",TEXT(C198,"0000")&amp;TEXT(A198,"00")&amp;TEXT(B198,"00"))</f>
        <v>19000329</v>
      </c>
    </row>
    <row r="199" spans="1:80" s="52" customFormat="1" ht="12.95" customHeight="1" x14ac:dyDescent="0.2">
      <c r="A199" s="46">
        <v>3</v>
      </c>
      <c r="B199" s="46">
        <v>29</v>
      </c>
      <c r="C199" s="46">
        <v>1900</v>
      </c>
      <c r="D199" s="46" t="s">
        <v>658</v>
      </c>
      <c r="E199" s="46" t="s">
        <v>1213</v>
      </c>
      <c r="F199" s="47" t="s">
        <v>1010</v>
      </c>
      <c r="G199" s="46"/>
      <c r="H199" s="47" t="s">
        <v>1011</v>
      </c>
      <c r="I199" s="47" t="s">
        <v>1023</v>
      </c>
      <c r="J199" s="48">
        <v>89</v>
      </c>
      <c r="K199" s="46" t="s">
        <v>1072</v>
      </c>
      <c r="L199" s="46" t="s">
        <v>4</v>
      </c>
      <c r="M199" s="46" t="s">
        <v>1215</v>
      </c>
      <c r="N199" s="49">
        <v>2</v>
      </c>
      <c r="O199" s="49">
        <v>3</v>
      </c>
      <c r="P199" s="47" t="s">
        <v>1163</v>
      </c>
      <c r="Q199" s="47" t="s">
        <v>1097</v>
      </c>
      <c r="R199" s="47" t="s">
        <v>376</v>
      </c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50">
        <f>IF(L199="W",1,0)</f>
        <v>0</v>
      </c>
      <c r="AF199" s="50">
        <f>IF(L199="T",1,0)</f>
        <v>0</v>
      </c>
      <c r="AG199" s="50">
        <f>IF(L199="L",1,0)</f>
        <v>1</v>
      </c>
      <c r="AH199" s="46" t="s">
        <v>1073</v>
      </c>
      <c r="AI199" s="46" t="s">
        <v>1074</v>
      </c>
      <c r="AJ199" s="46" t="s">
        <v>376</v>
      </c>
      <c r="AK199" s="46" t="s">
        <v>658</v>
      </c>
      <c r="AL199" s="46" t="s">
        <v>1101</v>
      </c>
      <c r="AM199" s="46" t="s">
        <v>1159</v>
      </c>
      <c r="AN199" s="46" t="s">
        <v>376</v>
      </c>
      <c r="AO199" s="46" t="s">
        <v>658</v>
      </c>
      <c r="AP199" s="46"/>
      <c r="AQ199" s="46">
        <v>2</v>
      </c>
      <c r="AR199" s="46"/>
      <c r="AS199" s="46"/>
      <c r="AT199" s="46"/>
      <c r="AU199" s="46" t="s">
        <v>376</v>
      </c>
      <c r="AV199" s="46"/>
      <c r="AW199" s="46" t="s">
        <v>30</v>
      </c>
      <c r="AX199" s="46"/>
      <c r="AY199" s="46" t="s">
        <v>30</v>
      </c>
      <c r="AZ199" s="46"/>
      <c r="BA199" s="47"/>
      <c r="BB199" s="51"/>
      <c r="BC199" s="46"/>
      <c r="BD199" s="46"/>
      <c r="BE199" s="46"/>
      <c r="BF199" s="46">
        <v>1</v>
      </c>
      <c r="BG199" s="46">
        <v>1</v>
      </c>
      <c r="BH199" s="46">
        <v>1</v>
      </c>
      <c r="BI199" s="46" t="s">
        <v>1072</v>
      </c>
      <c r="BJ199" s="46" t="s">
        <v>1215</v>
      </c>
      <c r="BK199" s="46">
        <v>1900</v>
      </c>
      <c r="BL199" s="46" t="str">
        <f>BK199&amp;BI199</f>
        <v>1900Nottingham Forest</v>
      </c>
      <c r="BM199" s="52" t="str">
        <f>IF(AD199="Home",BI199,IF(AD199="Away",BJ199,Q199))</f>
        <v>Sheffield</v>
      </c>
      <c r="BN199" s="46"/>
      <c r="BO199" s="46"/>
      <c r="BP199" s="46"/>
      <c r="BQ199" s="46"/>
      <c r="BR199" s="46"/>
      <c r="BS199" s="46"/>
      <c r="BT199" s="46"/>
      <c r="BU199" s="46"/>
      <c r="BV199" s="46" t="s">
        <v>376</v>
      </c>
      <c r="BW199" s="46" t="s">
        <v>376</v>
      </c>
      <c r="BX199" s="46"/>
      <c r="BY199" s="50"/>
      <c r="BZ199" s="53"/>
      <c r="CA199" s="53"/>
      <c r="CB199" s="93" t="str">
        <f>IF(OR(C199="",A199="",B199=""),"",TEXT(C199,"0000")&amp;TEXT(A199,"00")&amp;TEXT(B199,"00"))</f>
        <v>19000329</v>
      </c>
    </row>
    <row r="200" spans="1:80" s="52" customFormat="1" ht="12.95" customHeight="1" x14ac:dyDescent="0.2">
      <c r="A200" s="46">
        <v>4</v>
      </c>
      <c r="B200" s="46">
        <v>21</v>
      </c>
      <c r="C200" s="46">
        <v>1900</v>
      </c>
      <c r="D200" s="46" t="s">
        <v>658</v>
      </c>
      <c r="E200" s="46" t="s">
        <v>1213</v>
      </c>
      <c r="F200" s="47" t="s">
        <v>1010</v>
      </c>
      <c r="G200" s="46"/>
      <c r="H200" s="47" t="s">
        <v>1025</v>
      </c>
      <c r="I200" s="47"/>
      <c r="J200" s="48">
        <v>112</v>
      </c>
      <c r="K200" s="46" t="s">
        <v>1215</v>
      </c>
      <c r="L200" s="46" t="s">
        <v>3</v>
      </c>
      <c r="M200" s="46" t="s">
        <v>629</v>
      </c>
      <c r="N200" s="49">
        <v>4</v>
      </c>
      <c r="O200" s="49">
        <v>0</v>
      </c>
      <c r="P200" s="47" t="s">
        <v>1188</v>
      </c>
      <c r="Q200" s="47" t="s">
        <v>1017</v>
      </c>
      <c r="R200" s="47" t="s">
        <v>376</v>
      </c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50">
        <f>IF(L200="W",1,0)</f>
        <v>1</v>
      </c>
      <c r="AF200" s="50">
        <f>IF(L200="T",1,0)</f>
        <v>0</v>
      </c>
      <c r="AG200" s="50">
        <f>IF(L200="L",1,0)</f>
        <v>0</v>
      </c>
      <c r="AH200" s="46" t="s">
        <v>1101</v>
      </c>
      <c r="AI200" s="46" t="s">
        <v>1159</v>
      </c>
      <c r="AJ200" s="46" t="s">
        <v>376</v>
      </c>
      <c r="AK200" s="46" t="s">
        <v>658</v>
      </c>
      <c r="AL200" s="46" t="s">
        <v>629</v>
      </c>
      <c r="AM200" s="46" t="s">
        <v>1199</v>
      </c>
      <c r="AN200" s="46" t="s">
        <v>376</v>
      </c>
      <c r="AO200" s="46" t="s">
        <v>658</v>
      </c>
      <c r="AP200" s="46"/>
      <c r="AQ200" s="46">
        <v>1</v>
      </c>
      <c r="AR200" s="46"/>
      <c r="AS200" s="46"/>
      <c r="AT200" s="46"/>
      <c r="AU200" s="46" t="s">
        <v>376</v>
      </c>
      <c r="AV200" s="46"/>
      <c r="AW200" s="46" t="s">
        <v>30</v>
      </c>
      <c r="AX200" s="46"/>
      <c r="AY200" s="46" t="s">
        <v>30</v>
      </c>
      <c r="AZ200" s="46"/>
      <c r="BA200" s="47"/>
      <c r="BB200" s="51" t="s">
        <v>30</v>
      </c>
      <c r="BC200" s="46" t="s">
        <v>30</v>
      </c>
      <c r="BD200" s="46"/>
      <c r="BE200" s="46"/>
      <c r="BF200" s="46">
        <v>1</v>
      </c>
      <c r="BG200" s="46">
        <v>1</v>
      </c>
      <c r="BH200" s="46"/>
      <c r="BI200" s="46" t="s">
        <v>1215</v>
      </c>
      <c r="BJ200" s="46" t="s">
        <v>629</v>
      </c>
      <c r="BK200" s="46">
        <v>1900</v>
      </c>
      <c r="BL200" s="46" t="str">
        <f>BK200&amp;BI200</f>
        <v>1900Bury</v>
      </c>
      <c r="BM200" s="52" t="str">
        <f>IF(AD200="Home",BI200,IF(AD200="Away",BJ200,Q200))</f>
        <v>London</v>
      </c>
      <c r="BN200" s="46"/>
      <c r="BO200" s="46"/>
      <c r="BP200" s="46"/>
      <c r="BQ200" s="46"/>
      <c r="BR200" s="46"/>
      <c r="BS200" s="46"/>
      <c r="BT200" s="46"/>
      <c r="BU200" s="46"/>
      <c r="BV200" s="46" t="s">
        <v>376</v>
      </c>
      <c r="BW200" s="46" t="s">
        <v>376</v>
      </c>
      <c r="BX200" s="46"/>
      <c r="BZ200" s="53"/>
      <c r="CA200" s="53"/>
      <c r="CB200" s="93" t="str">
        <f>IF(OR(C200="",A200="",B200=""),"",TEXT(C200,"0000")&amp;TEXT(A200,"00")&amp;TEXT(B200,"00"))</f>
        <v>19000421</v>
      </c>
    </row>
    <row r="201" spans="1:80" s="52" customFormat="1" ht="12.95" customHeight="1" x14ac:dyDescent="0.2">
      <c r="A201" s="46">
        <v>4</v>
      </c>
      <c r="B201" s="46">
        <v>21</v>
      </c>
      <c r="C201" s="46">
        <v>1900</v>
      </c>
      <c r="D201" s="46" t="s">
        <v>658</v>
      </c>
      <c r="E201" s="46" t="s">
        <v>1213</v>
      </c>
      <c r="F201" s="47" t="s">
        <v>1010</v>
      </c>
      <c r="G201" s="46"/>
      <c r="H201" s="47" t="s">
        <v>1025</v>
      </c>
      <c r="I201" s="47"/>
      <c r="J201" s="48">
        <v>112</v>
      </c>
      <c r="K201" s="46" t="s">
        <v>629</v>
      </c>
      <c r="L201" s="46" t="s">
        <v>4</v>
      </c>
      <c r="M201" s="46" t="s">
        <v>1215</v>
      </c>
      <c r="N201" s="49">
        <v>0</v>
      </c>
      <c r="O201" s="49">
        <v>4</v>
      </c>
      <c r="P201" s="47" t="s">
        <v>1188</v>
      </c>
      <c r="Q201" s="47" t="s">
        <v>1017</v>
      </c>
      <c r="R201" s="47" t="s">
        <v>376</v>
      </c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50">
        <f>IF(L201="W",1,0)</f>
        <v>0</v>
      </c>
      <c r="AF201" s="50">
        <f>IF(L201="T",1,0)</f>
        <v>0</v>
      </c>
      <c r="AG201" s="50">
        <f>IF(L201="L",1,0)</f>
        <v>1</v>
      </c>
      <c r="AH201" s="46" t="s">
        <v>629</v>
      </c>
      <c r="AI201" s="46" t="s">
        <v>1199</v>
      </c>
      <c r="AJ201" s="46" t="s">
        <v>376</v>
      </c>
      <c r="AK201" s="46" t="s">
        <v>658</v>
      </c>
      <c r="AL201" s="46" t="s">
        <v>1101</v>
      </c>
      <c r="AM201" s="46" t="s">
        <v>1159</v>
      </c>
      <c r="AN201" s="46" t="s">
        <v>376</v>
      </c>
      <c r="AO201" s="46" t="s">
        <v>658</v>
      </c>
      <c r="AP201" s="46"/>
      <c r="AQ201" s="46">
        <v>1</v>
      </c>
      <c r="AR201" s="46"/>
      <c r="AS201" s="46"/>
      <c r="AT201" s="46"/>
      <c r="AU201" s="46" t="s">
        <v>376</v>
      </c>
      <c r="AV201" s="46"/>
      <c r="AW201" s="46" t="s">
        <v>30</v>
      </c>
      <c r="AX201" s="46"/>
      <c r="AY201" s="46" t="s">
        <v>30</v>
      </c>
      <c r="AZ201" s="46"/>
      <c r="BA201" s="47"/>
      <c r="BB201" s="51"/>
      <c r="BC201" s="46" t="s">
        <v>30</v>
      </c>
      <c r="BD201" s="46"/>
      <c r="BE201" s="46"/>
      <c r="BF201" s="46">
        <v>1</v>
      </c>
      <c r="BG201" s="46"/>
      <c r="BH201" s="46">
        <v>1</v>
      </c>
      <c r="BI201" s="46" t="s">
        <v>629</v>
      </c>
      <c r="BJ201" s="46" t="s">
        <v>1215</v>
      </c>
      <c r="BK201" s="46">
        <v>1900</v>
      </c>
      <c r="BL201" s="46" t="str">
        <f>BK201&amp;BI201</f>
        <v>1900Southampton</v>
      </c>
      <c r="BM201" s="52" t="str">
        <f>IF(AD201="Home",BI201,IF(AD201="Away",BJ201,Q201))</f>
        <v>London</v>
      </c>
      <c r="BN201" s="46"/>
      <c r="BO201" s="46"/>
      <c r="BP201" s="46"/>
      <c r="BQ201" s="46"/>
      <c r="BR201" s="46"/>
      <c r="BS201" s="46"/>
      <c r="BT201" s="46"/>
      <c r="BU201" s="46"/>
      <c r="BV201" s="46" t="s">
        <v>376</v>
      </c>
      <c r="BW201" s="46" t="s">
        <v>376</v>
      </c>
      <c r="BX201" s="46"/>
      <c r="BZ201" s="53"/>
      <c r="CA201" s="53"/>
      <c r="CB201" s="93" t="str">
        <f>IF(OR(C201="",A201="",B201=""),"",TEXT(C201,"0000")&amp;TEXT(A201,"00")&amp;TEXT(B201,"00"))</f>
        <v>19000421</v>
      </c>
    </row>
    <row r="202" spans="1:80" s="52" customFormat="1" ht="12.95" customHeight="1" x14ac:dyDescent="0.2">
      <c r="A202" s="46">
        <v>4</v>
      </c>
      <c r="B202" s="46">
        <v>6</v>
      </c>
      <c r="C202" s="46">
        <v>1901</v>
      </c>
      <c r="D202" s="46" t="s">
        <v>658</v>
      </c>
      <c r="E202" s="46" t="s">
        <v>1218</v>
      </c>
      <c r="F202" s="47" t="s">
        <v>1010</v>
      </c>
      <c r="G202" s="46"/>
      <c r="H202" s="47" t="s">
        <v>1011</v>
      </c>
      <c r="I202" s="47"/>
      <c r="J202" s="48">
        <v>462</v>
      </c>
      <c r="K202" s="46" t="s">
        <v>1207</v>
      </c>
      <c r="L202" s="46" t="s">
        <v>1014</v>
      </c>
      <c r="M202" s="46" t="s">
        <v>806</v>
      </c>
      <c r="N202" s="49">
        <v>2</v>
      </c>
      <c r="O202" s="49">
        <v>2</v>
      </c>
      <c r="P202" s="47" t="s">
        <v>1135</v>
      </c>
      <c r="Q202" s="47" t="s">
        <v>1073</v>
      </c>
      <c r="R202" s="47" t="s">
        <v>376</v>
      </c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50">
        <f>IF(L202="W",1,0)</f>
        <v>0</v>
      </c>
      <c r="AF202" s="50">
        <f>IF(L202="T",1,0)</f>
        <v>1</v>
      </c>
      <c r="AG202" s="50">
        <f>IF(L202="L",1,0)</f>
        <v>0</v>
      </c>
      <c r="AH202" s="46" t="s">
        <v>1097</v>
      </c>
      <c r="AI202" s="46" t="s">
        <v>1098</v>
      </c>
      <c r="AJ202" s="46" t="s">
        <v>376</v>
      </c>
      <c r="AK202" s="46" t="s">
        <v>658</v>
      </c>
      <c r="AL202" s="46" t="s">
        <v>1111</v>
      </c>
      <c r="AM202" s="46" t="s">
        <v>1126</v>
      </c>
      <c r="AN202" s="46" t="s">
        <v>376</v>
      </c>
      <c r="AO202" s="46" t="s">
        <v>658</v>
      </c>
      <c r="AP202" s="46"/>
      <c r="AQ202" s="46">
        <v>2</v>
      </c>
      <c r="AR202" s="46"/>
      <c r="AS202" s="46"/>
      <c r="AT202" s="46"/>
      <c r="AU202" s="46" t="s">
        <v>376</v>
      </c>
      <c r="AV202" s="46"/>
      <c r="AW202" s="46" t="s">
        <v>30</v>
      </c>
      <c r="AX202" s="46"/>
      <c r="AY202" s="46" t="s">
        <v>30</v>
      </c>
      <c r="AZ202" s="46"/>
      <c r="BA202" s="47"/>
      <c r="BB202" s="51"/>
      <c r="BC202" s="46"/>
      <c r="BD202" s="46"/>
      <c r="BE202" s="46"/>
      <c r="BF202" s="46">
        <v>1</v>
      </c>
      <c r="BG202" s="46">
        <v>1</v>
      </c>
      <c r="BH202" s="46">
        <v>1</v>
      </c>
      <c r="BI202" s="46" t="s">
        <v>1207</v>
      </c>
      <c r="BJ202" s="46" t="s">
        <v>806</v>
      </c>
      <c r="BK202" s="46">
        <v>1901</v>
      </c>
      <c r="BL202" s="46" t="str">
        <f>BK202&amp;BI202</f>
        <v>1901Sheffield United</v>
      </c>
      <c r="BM202" s="52" t="str">
        <f>IF(AD202="Home",BI202,IF(AD202="Away",BJ202,Q202))</f>
        <v>Nottingham</v>
      </c>
      <c r="BN202" s="46"/>
      <c r="BO202" s="46"/>
      <c r="BP202" s="46"/>
      <c r="BQ202" s="46"/>
      <c r="BR202" s="46"/>
      <c r="BS202" s="46"/>
      <c r="BT202" s="46"/>
      <c r="BU202" s="46"/>
      <c r="BV202" s="46" t="s">
        <v>376</v>
      </c>
      <c r="BW202" s="46" t="s">
        <v>376</v>
      </c>
      <c r="BX202" s="46"/>
      <c r="BY202" s="35"/>
      <c r="BZ202" s="53"/>
      <c r="CA202" s="53"/>
      <c r="CB202" s="93" t="str">
        <f>IF(OR(C202="",A202="",B202=""),"",TEXT(C202,"0000")&amp;TEXT(A202,"00")&amp;TEXT(B202,"00"))</f>
        <v>19010406</v>
      </c>
    </row>
    <row r="203" spans="1:80" s="52" customFormat="1" ht="12.95" customHeight="1" x14ac:dyDescent="0.2">
      <c r="A203" s="46">
        <v>4</v>
      </c>
      <c r="B203" s="46">
        <v>6</v>
      </c>
      <c r="C203" s="46">
        <v>1901</v>
      </c>
      <c r="D203" s="46" t="s">
        <v>658</v>
      </c>
      <c r="E203" s="46" t="s">
        <v>1218</v>
      </c>
      <c r="F203" s="47" t="s">
        <v>1010</v>
      </c>
      <c r="G203" s="46"/>
      <c r="H203" s="47" t="s">
        <v>1011</v>
      </c>
      <c r="I203" s="47"/>
      <c r="J203" s="48">
        <v>462</v>
      </c>
      <c r="K203" s="46" t="s">
        <v>806</v>
      </c>
      <c r="L203" s="46" t="s">
        <v>1014</v>
      </c>
      <c r="M203" s="46" t="s">
        <v>1207</v>
      </c>
      <c r="N203" s="49">
        <v>2</v>
      </c>
      <c r="O203" s="49">
        <v>2</v>
      </c>
      <c r="P203" s="47" t="s">
        <v>1135</v>
      </c>
      <c r="Q203" s="47" t="s">
        <v>1073</v>
      </c>
      <c r="R203" s="47" t="s">
        <v>376</v>
      </c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50">
        <f>IF(L203="W",1,0)</f>
        <v>0</v>
      </c>
      <c r="AF203" s="50">
        <f>IF(L203="T",1,0)</f>
        <v>1</v>
      </c>
      <c r="AG203" s="50">
        <f>IF(L203="L",1,0)</f>
        <v>0</v>
      </c>
      <c r="AH203" s="46" t="s">
        <v>1111</v>
      </c>
      <c r="AI203" s="46" t="s">
        <v>1126</v>
      </c>
      <c r="AJ203" s="46" t="s">
        <v>376</v>
      </c>
      <c r="AK203" s="46" t="s">
        <v>658</v>
      </c>
      <c r="AL203" s="46" t="s">
        <v>1097</v>
      </c>
      <c r="AM203" s="46" t="s">
        <v>1098</v>
      </c>
      <c r="AN203" s="46" t="s">
        <v>376</v>
      </c>
      <c r="AO203" s="46" t="s">
        <v>658</v>
      </c>
      <c r="AP203" s="46"/>
      <c r="AQ203" s="46">
        <v>2</v>
      </c>
      <c r="AR203" s="46"/>
      <c r="AS203" s="46"/>
      <c r="AT203" s="46"/>
      <c r="AU203" s="46" t="s">
        <v>376</v>
      </c>
      <c r="AV203" s="46"/>
      <c r="AW203" s="46" t="s">
        <v>30</v>
      </c>
      <c r="AX203" s="46"/>
      <c r="AY203" s="46" t="s">
        <v>30</v>
      </c>
      <c r="AZ203" s="46"/>
      <c r="BA203" s="47"/>
      <c r="BB203" s="51"/>
      <c r="BC203" s="46"/>
      <c r="BD203" s="46"/>
      <c r="BE203" s="46"/>
      <c r="BF203" s="46">
        <v>1</v>
      </c>
      <c r="BG203" s="46">
        <v>1</v>
      </c>
      <c r="BH203" s="46">
        <v>1</v>
      </c>
      <c r="BI203" s="46" t="s">
        <v>806</v>
      </c>
      <c r="BJ203" s="46" t="s">
        <v>1207</v>
      </c>
      <c r="BK203" s="46">
        <v>1901</v>
      </c>
      <c r="BL203" s="46" t="str">
        <f>BK203&amp;BI203</f>
        <v>1901Aston Villa</v>
      </c>
      <c r="BM203" s="52" t="str">
        <f>IF(AD203="Home",BI203,IF(AD203="Away",BJ203,Q203))</f>
        <v>Nottingham</v>
      </c>
      <c r="BN203" s="46"/>
      <c r="BO203" s="46"/>
      <c r="BP203" s="46"/>
      <c r="BQ203" s="46"/>
      <c r="BR203" s="46"/>
      <c r="BS203" s="46"/>
      <c r="BT203" s="46"/>
      <c r="BU203" s="46"/>
      <c r="BV203" s="46" t="s">
        <v>376</v>
      </c>
      <c r="BW203" s="46" t="s">
        <v>376</v>
      </c>
      <c r="BX203" s="46"/>
      <c r="BY203" s="35"/>
      <c r="BZ203" s="53"/>
      <c r="CA203" s="53"/>
      <c r="CB203" s="93" t="str">
        <f>IF(OR(C203="",A203="",B203=""),"",TEXT(C203,"0000")&amp;TEXT(A203,"00")&amp;TEXT(B203,"00"))</f>
        <v>19010406</v>
      </c>
    </row>
    <row r="204" spans="1:80" s="52" customFormat="1" ht="12.95" customHeight="1" x14ac:dyDescent="0.2">
      <c r="A204" s="46">
        <v>4</v>
      </c>
      <c r="B204" s="46">
        <v>8</v>
      </c>
      <c r="C204" s="46">
        <v>1901</v>
      </c>
      <c r="D204" s="46" t="s">
        <v>658</v>
      </c>
      <c r="E204" s="46" t="s">
        <v>1218</v>
      </c>
      <c r="F204" s="47" t="s">
        <v>1010</v>
      </c>
      <c r="G204" s="46"/>
      <c r="H204" s="47" t="s">
        <v>1011</v>
      </c>
      <c r="I204" s="47"/>
      <c r="J204" s="48">
        <v>464</v>
      </c>
      <c r="K204" s="46" t="s">
        <v>813</v>
      </c>
      <c r="L204" s="46" t="s">
        <v>3</v>
      </c>
      <c r="M204" s="46" t="s">
        <v>1124</v>
      </c>
      <c r="N204" s="49">
        <v>4</v>
      </c>
      <c r="O204" s="49">
        <v>0</v>
      </c>
      <c r="P204" s="47" t="s">
        <v>1219</v>
      </c>
      <c r="Q204" s="47" t="s">
        <v>1111</v>
      </c>
      <c r="R204" s="47" t="s">
        <v>376</v>
      </c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50">
        <f>IF(L204="W",1,0)</f>
        <v>1</v>
      </c>
      <c r="AF204" s="50">
        <f>IF(L204="T",1,0)</f>
        <v>0</v>
      </c>
      <c r="AG204" s="50">
        <f>IF(L204="L",1,0)</f>
        <v>0</v>
      </c>
      <c r="AH204" s="46" t="s">
        <v>1017</v>
      </c>
      <c r="AI204" s="46" t="s">
        <v>1018</v>
      </c>
      <c r="AJ204" s="46" t="s">
        <v>376</v>
      </c>
      <c r="AK204" s="46" t="s">
        <v>658</v>
      </c>
      <c r="AL204" s="46" t="s">
        <v>1111</v>
      </c>
      <c r="AM204" s="46" t="s">
        <v>1126</v>
      </c>
      <c r="AN204" s="46" t="s">
        <v>376</v>
      </c>
      <c r="AO204" s="46" t="s">
        <v>658</v>
      </c>
      <c r="AP204" s="46"/>
      <c r="AQ204" s="46">
        <v>2</v>
      </c>
      <c r="AR204" s="46"/>
      <c r="AS204" s="46"/>
      <c r="AT204" s="46"/>
      <c r="AU204" s="46" t="s">
        <v>376</v>
      </c>
      <c r="AV204" s="46"/>
      <c r="AW204" s="46" t="s">
        <v>30</v>
      </c>
      <c r="AX204" s="46"/>
      <c r="AY204" s="46" t="s">
        <v>30</v>
      </c>
      <c r="AZ204" s="46"/>
      <c r="BA204" s="47"/>
      <c r="BB204" s="51"/>
      <c r="BC204" s="46"/>
      <c r="BD204" s="46"/>
      <c r="BE204" s="46"/>
      <c r="BF204" s="46">
        <v>1</v>
      </c>
      <c r="BG204" s="46"/>
      <c r="BH204" s="46">
        <v>1</v>
      </c>
      <c r="BI204" s="46" t="s">
        <v>813</v>
      </c>
      <c r="BJ204" s="46" t="s">
        <v>1124</v>
      </c>
      <c r="BK204" s="46">
        <v>1901</v>
      </c>
      <c r="BL204" s="46" t="str">
        <f>BK204&amp;BI204</f>
        <v>1901Tottenham Hotspur</v>
      </c>
      <c r="BM204" s="52" t="str">
        <f>IF(AD204="Home",BI204,IF(AD204="Away",BJ204,Q204))</f>
        <v>Birmingham</v>
      </c>
      <c r="BN204" s="46"/>
      <c r="BO204" s="46"/>
      <c r="BP204" s="46"/>
      <c r="BQ204" s="46"/>
      <c r="BR204" s="46"/>
      <c r="BS204" s="46"/>
      <c r="BT204" s="46"/>
      <c r="BU204" s="46"/>
      <c r="BV204" s="46" t="s">
        <v>376</v>
      </c>
      <c r="BW204" s="46" t="s">
        <v>376</v>
      </c>
      <c r="BX204" s="46"/>
      <c r="BZ204" s="53"/>
      <c r="CA204" s="53"/>
      <c r="CB204" s="93" t="str">
        <f>IF(OR(C204="",A204="",B204=""),"",TEXT(C204,"0000")&amp;TEXT(A204,"00")&amp;TEXT(B204,"00"))</f>
        <v>19010408</v>
      </c>
    </row>
    <row r="205" spans="1:80" s="52" customFormat="1" ht="12.95" customHeight="1" x14ac:dyDescent="0.2">
      <c r="A205" s="46">
        <v>4</v>
      </c>
      <c r="B205" s="46">
        <v>8</v>
      </c>
      <c r="C205" s="46">
        <v>1901</v>
      </c>
      <c r="D205" s="46" t="s">
        <v>658</v>
      </c>
      <c r="E205" s="46" t="s">
        <v>1218</v>
      </c>
      <c r="F205" s="47" t="s">
        <v>1010</v>
      </c>
      <c r="G205" s="46"/>
      <c r="H205" s="47" t="s">
        <v>1011</v>
      </c>
      <c r="I205" s="47"/>
      <c r="J205" s="48">
        <v>464</v>
      </c>
      <c r="K205" s="46" t="s">
        <v>1124</v>
      </c>
      <c r="L205" s="46" t="s">
        <v>4</v>
      </c>
      <c r="M205" s="46" t="s">
        <v>813</v>
      </c>
      <c r="N205" s="49">
        <v>0</v>
      </c>
      <c r="O205" s="49">
        <v>4</v>
      </c>
      <c r="P205" s="47" t="s">
        <v>1219</v>
      </c>
      <c r="Q205" s="47" t="s">
        <v>1111</v>
      </c>
      <c r="R205" s="47" t="s">
        <v>376</v>
      </c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50">
        <f>IF(L205="W",1,0)</f>
        <v>0</v>
      </c>
      <c r="AF205" s="50">
        <f>IF(L205="T",1,0)</f>
        <v>0</v>
      </c>
      <c r="AG205" s="50">
        <f>IF(L205="L",1,0)</f>
        <v>1</v>
      </c>
      <c r="AH205" s="46" t="s">
        <v>1111</v>
      </c>
      <c r="AI205" s="46" t="s">
        <v>1126</v>
      </c>
      <c r="AJ205" s="46" t="s">
        <v>376</v>
      </c>
      <c r="AK205" s="46" t="s">
        <v>658</v>
      </c>
      <c r="AL205" s="46" t="s">
        <v>1017</v>
      </c>
      <c r="AM205" s="46" t="s">
        <v>1018</v>
      </c>
      <c r="AN205" s="46" t="s">
        <v>376</v>
      </c>
      <c r="AO205" s="46" t="s">
        <v>658</v>
      </c>
      <c r="AP205" s="46"/>
      <c r="AQ205" s="46">
        <v>2</v>
      </c>
      <c r="AR205" s="46"/>
      <c r="AS205" s="46"/>
      <c r="AT205" s="46"/>
      <c r="AU205" s="46" t="s">
        <v>376</v>
      </c>
      <c r="AV205" s="46"/>
      <c r="AW205" s="46" t="s">
        <v>30</v>
      </c>
      <c r="AX205" s="46"/>
      <c r="AY205" s="46" t="s">
        <v>30</v>
      </c>
      <c r="AZ205" s="46"/>
      <c r="BA205" s="47"/>
      <c r="BB205" s="51"/>
      <c r="BC205" s="46"/>
      <c r="BD205" s="46"/>
      <c r="BE205" s="46"/>
      <c r="BF205" s="46">
        <v>1</v>
      </c>
      <c r="BG205" s="46">
        <v>1</v>
      </c>
      <c r="BH205" s="46"/>
      <c r="BI205" s="46" t="s">
        <v>1124</v>
      </c>
      <c r="BJ205" s="46" t="s">
        <v>813</v>
      </c>
      <c r="BK205" s="46">
        <v>1901</v>
      </c>
      <c r="BL205" s="46" t="str">
        <f>BK205&amp;BI205</f>
        <v>1901West Bromwich Albion</v>
      </c>
      <c r="BM205" s="52" t="str">
        <f>IF(AD205="Home",BI205,IF(AD205="Away",BJ205,Q205))</f>
        <v>Birmingham</v>
      </c>
      <c r="BN205" s="46"/>
      <c r="BO205" s="46"/>
      <c r="BP205" s="46"/>
      <c r="BQ205" s="46"/>
      <c r="BR205" s="46"/>
      <c r="BS205" s="46"/>
      <c r="BT205" s="46"/>
      <c r="BU205" s="46"/>
      <c r="BV205" s="46" t="s">
        <v>376</v>
      </c>
      <c r="BW205" s="46" t="s">
        <v>376</v>
      </c>
      <c r="BX205" s="46"/>
      <c r="BZ205" s="53"/>
      <c r="CA205" s="53"/>
      <c r="CB205" s="93" t="str">
        <f>IF(OR(C205="",A205="",B205=""),"",TEXT(C205,"0000")&amp;TEXT(A205,"00")&amp;TEXT(B205,"00"))</f>
        <v>19010408</v>
      </c>
    </row>
    <row r="206" spans="1:80" s="52" customFormat="1" ht="12.95" customHeight="1" x14ac:dyDescent="0.2">
      <c r="A206" s="46">
        <v>4</v>
      </c>
      <c r="B206" s="46">
        <v>11</v>
      </c>
      <c r="C206" s="46">
        <v>1901</v>
      </c>
      <c r="D206" s="46" t="s">
        <v>658</v>
      </c>
      <c r="E206" s="46" t="s">
        <v>1218</v>
      </c>
      <c r="F206" s="47" t="s">
        <v>1010</v>
      </c>
      <c r="G206" s="46"/>
      <c r="H206" s="47" t="s">
        <v>1011</v>
      </c>
      <c r="I206" s="47" t="s">
        <v>1023</v>
      </c>
      <c r="J206" s="48">
        <v>467</v>
      </c>
      <c r="K206" s="46" t="s">
        <v>1207</v>
      </c>
      <c r="L206" s="46" t="s">
        <v>3</v>
      </c>
      <c r="M206" s="46" t="s">
        <v>806</v>
      </c>
      <c r="N206" s="49">
        <v>3</v>
      </c>
      <c r="O206" s="49">
        <v>0</v>
      </c>
      <c r="P206" s="47" t="s">
        <v>1211</v>
      </c>
      <c r="Q206" s="47" t="s">
        <v>979</v>
      </c>
      <c r="R206" s="47" t="s">
        <v>376</v>
      </c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50">
        <f>IF(L206="W",1,0)</f>
        <v>1</v>
      </c>
      <c r="AF206" s="50">
        <f>IF(L206="T",1,0)</f>
        <v>0</v>
      </c>
      <c r="AG206" s="50">
        <f>IF(L206="L",1,0)</f>
        <v>0</v>
      </c>
      <c r="AH206" s="46" t="s">
        <v>1097</v>
      </c>
      <c r="AI206" s="46" t="s">
        <v>1098</v>
      </c>
      <c r="AJ206" s="46" t="s">
        <v>376</v>
      </c>
      <c r="AK206" s="46" t="s">
        <v>658</v>
      </c>
      <c r="AL206" s="46" t="s">
        <v>1111</v>
      </c>
      <c r="AM206" s="46" t="s">
        <v>1126</v>
      </c>
      <c r="AN206" s="46" t="s">
        <v>376</v>
      </c>
      <c r="AO206" s="46" t="s">
        <v>658</v>
      </c>
      <c r="AP206" s="46"/>
      <c r="AQ206" s="46">
        <v>2</v>
      </c>
      <c r="AR206" s="46"/>
      <c r="AS206" s="46"/>
      <c r="AT206" s="46"/>
      <c r="AU206" s="46" t="s">
        <v>376</v>
      </c>
      <c r="AV206" s="46"/>
      <c r="AW206" s="46" t="s">
        <v>30</v>
      </c>
      <c r="AX206" s="46"/>
      <c r="AY206" s="46" t="s">
        <v>30</v>
      </c>
      <c r="AZ206" s="46"/>
      <c r="BA206" s="47"/>
      <c r="BB206" s="51"/>
      <c r="BC206" s="46"/>
      <c r="BD206" s="46"/>
      <c r="BE206" s="46"/>
      <c r="BF206" s="46">
        <v>1</v>
      </c>
      <c r="BG206" s="46">
        <v>1</v>
      </c>
      <c r="BH206" s="46">
        <v>1</v>
      </c>
      <c r="BI206" s="46" t="s">
        <v>1207</v>
      </c>
      <c r="BJ206" s="46" t="s">
        <v>806</v>
      </c>
      <c r="BK206" s="46">
        <v>1901</v>
      </c>
      <c r="BL206" s="46" t="str">
        <f>BK206&amp;BI206</f>
        <v>1901Sheffield United</v>
      </c>
      <c r="BM206" s="52" t="str">
        <f>IF(AD206="Home",BI206,IF(AD206="Away",BJ206,Q206))</f>
        <v>Derby</v>
      </c>
      <c r="BN206" s="46"/>
      <c r="BO206" s="46"/>
      <c r="BP206" s="46"/>
      <c r="BQ206" s="46"/>
      <c r="BR206" s="46"/>
      <c r="BS206" s="46"/>
      <c r="BT206" s="46"/>
      <c r="BU206" s="46"/>
      <c r="BV206" s="46" t="s">
        <v>376</v>
      </c>
      <c r="BW206" s="46" t="s">
        <v>376</v>
      </c>
      <c r="BX206" s="46"/>
      <c r="BZ206" s="53"/>
      <c r="CA206" s="53"/>
      <c r="CB206" s="93" t="str">
        <f>IF(OR(C206="",A206="",B206=""),"",TEXT(C206,"0000")&amp;TEXT(A206,"00")&amp;TEXT(B206,"00"))</f>
        <v>19010411</v>
      </c>
    </row>
    <row r="207" spans="1:80" s="52" customFormat="1" ht="12.95" customHeight="1" x14ac:dyDescent="0.2">
      <c r="A207" s="46">
        <v>4</v>
      </c>
      <c r="B207" s="46">
        <v>11</v>
      </c>
      <c r="C207" s="46">
        <v>1901</v>
      </c>
      <c r="D207" s="46" t="s">
        <v>658</v>
      </c>
      <c r="E207" s="46" t="s">
        <v>1218</v>
      </c>
      <c r="F207" s="47" t="s">
        <v>1010</v>
      </c>
      <c r="G207" s="46"/>
      <c r="H207" s="47" t="s">
        <v>1011</v>
      </c>
      <c r="I207" s="47" t="s">
        <v>1023</v>
      </c>
      <c r="J207" s="48">
        <v>467</v>
      </c>
      <c r="K207" s="46" t="s">
        <v>806</v>
      </c>
      <c r="L207" s="46" t="s">
        <v>4</v>
      </c>
      <c r="M207" s="46" t="s">
        <v>1207</v>
      </c>
      <c r="N207" s="49">
        <v>0</v>
      </c>
      <c r="O207" s="49">
        <v>3</v>
      </c>
      <c r="P207" s="47" t="s">
        <v>1211</v>
      </c>
      <c r="Q207" s="47" t="s">
        <v>979</v>
      </c>
      <c r="R207" s="47" t="s">
        <v>376</v>
      </c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50">
        <f>IF(L207="W",1,0)</f>
        <v>0</v>
      </c>
      <c r="AF207" s="50">
        <f>IF(L207="T",1,0)</f>
        <v>0</v>
      </c>
      <c r="AG207" s="50">
        <f>IF(L207="L",1,0)</f>
        <v>1</v>
      </c>
      <c r="AH207" s="46" t="s">
        <v>1111</v>
      </c>
      <c r="AI207" s="46" t="s">
        <v>1126</v>
      </c>
      <c r="AJ207" s="46" t="s">
        <v>376</v>
      </c>
      <c r="AK207" s="46" t="s">
        <v>658</v>
      </c>
      <c r="AL207" s="46" t="s">
        <v>1097</v>
      </c>
      <c r="AM207" s="46" t="s">
        <v>1098</v>
      </c>
      <c r="AN207" s="46" t="s">
        <v>376</v>
      </c>
      <c r="AO207" s="46" t="s">
        <v>658</v>
      </c>
      <c r="AP207" s="46"/>
      <c r="AQ207" s="46">
        <v>2</v>
      </c>
      <c r="AR207" s="46"/>
      <c r="AS207" s="46"/>
      <c r="AT207" s="46"/>
      <c r="AU207" s="46" t="s">
        <v>376</v>
      </c>
      <c r="AV207" s="46"/>
      <c r="AW207" s="46" t="s">
        <v>30</v>
      </c>
      <c r="AX207" s="46"/>
      <c r="AY207" s="46" t="s">
        <v>30</v>
      </c>
      <c r="AZ207" s="46"/>
      <c r="BA207" s="47"/>
      <c r="BB207" s="51"/>
      <c r="BC207" s="46"/>
      <c r="BD207" s="46"/>
      <c r="BE207" s="46"/>
      <c r="BF207" s="46">
        <v>1</v>
      </c>
      <c r="BG207" s="46">
        <v>1</v>
      </c>
      <c r="BH207" s="46">
        <v>1</v>
      </c>
      <c r="BI207" s="46" t="s">
        <v>806</v>
      </c>
      <c r="BJ207" s="46" t="s">
        <v>1207</v>
      </c>
      <c r="BK207" s="46">
        <v>1901</v>
      </c>
      <c r="BL207" s="46" t="str">
        <f>BK207&amp;BI207</f>
        <v>1901Aston Villa</v>
      </c>
      <c r="BM207" s="52" t="str">
        <f>IF(AD207="Home",BI207,IF(AD207="Away",BJ207,Q207))</f>
        <v>Derby</v>
      </c>
      <c r="BN207" s="46"/>
      <c r="BO207" s="46"/>
      <c r="BP207" s="46"/>
      <c r="BQ207" s="46"/>
      <c r="BR207" s="46"/>
      <c r="BS207" s="46"/>
      <c r="BT207" s="46"/>
      <c r="BU207" s="46"/>
      <c r="BV207" s="46" t="s">
        <v>376</v>
      </c>
      <c r="BW207" s="46" t="s">
        <v>376</v>
      </c>
      <c r="BX207" s="46"/>
      <c r="BZ207" s="53"/>
      <c r="CA207" s="53"/>
      <c r="CB207" s="93" t="str">
        <f>IF(OR(C207="",A207="",B207=""),"",TEXT(C207,"0000")&amp;TEXT(A207,"00")&amp;TEXT(B207,"00"))</f>
        <v>19010411</v>
      </c>
    </row>
    <row r="208" spans="1:80" s="52" customFormat="1" ht="12.95" customHeight="1" x14ac:dyDescent="0.2">
      <c r="A208" s="46">
        <v>4</v>
      </c>
      <c r="B208" s="46">
        <v>20</v>
      </c>
      <c r="C208" s="46">
        <v>1901</v>
      </c>
      <c r="D208" s="46" t="s">
        <v>658</v>
      </c>
      <c r="E208" s="46" t="s">
        <v>1218</v>
      </c>
      <c r="F208" s="47" t="s">
        <v>1010</v>
      </c>
      <c r="G208" s="46"/>
      <c r="H208" s="47" t="s">
        <v>1025</v>
      </c>
      <c r="I208" s="47"/>
      <c r="J208" s="48">
        <v>476</v>
      </c>
      <c r="K208" s="46" t="s">
        <v>813</v>
      </c>
      <c r="L208" s="46" t="s">
        <v>1014</v>
      </c>
      <c r="M208" s="46" t="s">
        <v>1207</v>
      </c>
      <c r="N208" s="49">
        <v>2</v>
      </c>
      <c r="O208" s="49">
        <v>2</v>
      </c>
      <c r="P208" s="47" t="s">
        <v>1188</v>
      </c>
      <c r="Q208" s="47" t="s">
        <v>1017</v>
      </c>
      <c r="R208" s="47" t="s">
        <v>376</v>
      </c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50">
        <f>IF(L208="W",1,0)</f>
        <v>0</v>
      </c>
      <c r="AF208" s="50">
        <f>IF(L208="T",1,0)</f>
        <v>1</v>
      </c>
      <c r="AG208" s="50">
        <f>IF(L208="L",1,0)</f>
        <v>0</v>
      </c>
      <c r="AH208" s="46" t="s">
        <v>1017</v>
      </c>
      <c r="AI208" s="46" t="s">
        <v>1018</v>
      </c>
      <c r="AJ208" s="46" t="s">
        <v>376</v>
      </c>
      <c r="AK208" s="46" t="s">
        <v>658</v>
      </c>
      <c r="AL208" s="46" t="s">
        <v>1097</v>
      </c>
      <c r="AM208" s="46" t="s">
        <v>1098</v>
      </c>
      <c r="AN208" s="46" t="s">
        <v>376</v>
      </c>
      <c r="AO208" s="46" t="s">
        <v>658</v>
      </c>
      <c r="AP208" s="46"/>
      <c r="AQ208" s="46">
        <v>1</v>
      </c>
      <c r="AR208" s="46"/>
      <c r="AS208" s="46"/>
      <c r="AT208" s="46"/>
      <c r="AU208" s="46" t="s">
        <v>376</v>
      </c>
      <c r="AV208" s="46"/>
      <c r="AW208" s="46" t="s">
        <v>30</v>
      </c>
      <c r="AX208" s="46"/>
      <c r="AY208" s="46" t="s">
        <v>30</v>
      </c>
      <c r="AZ208" s="46"/>
      <c r="BA208" s="47"/>
      <c r="BB208" s="51"/>
      <c r="BC208" s="46" t="s">
        <v>30</v>
      </c>
      <c r="BD208" s="46"/>
      <c r="BE208" s="46"/>
      <c r="BF208" s="46">
        <v>1</v>
      </c>
      <c r="BG208" s="46"/>
      <c r="BH208" s="46">
        <v>1</v>
      </c>
      <c r="BI208" s="46" t="s">
        <v>813</v>
      </c>
      <c r="BJ208" s="46" t="s">
        <v>1207</v>
      </c>
      <c r="BK208" s="46">
        <v>1901</v>
      </c>
      <c r="BL208" s="46" t="str">
        <f>BK208&amp;BI208</f>
        <v>1901Tottenham Hotspur</v>
      </c>
      <c r="BM208" s="52" t="str">
        <f>IF(AD208="Home",BI208,IF(AD208="Away",BJ208,Q208))</f>
        <v>London</v>
      </c>
      <c r="BN208" s="46"/>
      <c r="BO208" s="46"/>
      <c r="BP208" s="46"/>
      <c r="BQ208" s="46"/>
      <c r="BR208" s="46"/>
      <c r="BS208" s="46"/>
      <c r="BT208" s="46"/>
      <c r="BU208" s="46"/>
      <c r="BV208" s="46" t="s">
        <v>376</v>
      </c>
      <c r="BW208" s="46" t="s">
        <v>376</v>
      </c>
      <c r="BX208" s="46"/>
      <c r="BZ208" s="53"/>
      <c r="CA208" s="53"/>
      <c r="CB208" s="93" t="str">
        <f>IF(OR(C208="",A208="",B208=""),"",TEXT(C208,"0000")&amp;TEXT(A208,"00")&amp;TEXT(B208,"00"))</f>
        <v>19010420</v>
      </c>
    </row>
    <row r="209" spans="1:80" s="52" customFormat="1" ht="12.95" customHeight="1" x14ac:dyDescent="0.2">
      <c r="A209" s="46">
        <v>4</v>
      </c>
      <c r="B209" s="46">
        <v>20</v>
      </c>
      <c r="C209" s="46">
        <v>1901</v>
      </c>
      <c r="D209" s="46" t="s">
        <v>658</v>
      </c>
      <c r="E209" s="46" t="s">
        <v>1218</v>
      </c>
      <c r="F209" s="47" t="s">
        <v>1010</v>
      </c>
      <c r="G209" s="46"/>
      <c r="H209" s="47" t="s">
        <v>1025</v>
      </c>
      <c r="I209" s="47"/>
      <c r="J209" s="48">
        <v>476</v>
      </c>
      <c r="K209" s="46" t="s">
        <v>1207</v>
      </c>
      <c r="L209" s="46" t="s">
        <v>1014</v>
      </c>
      <c r="M209" s="46" t="s">
        <v>813</v>
      </c>
      <c r="N209" s="49">
        <v>2</v>
      </c>
      <c r="O209" s="49">
        <v>2</v>
      </c>
      <c r="P209" s="47" t="s">
        <v>1188</v>
      </c>
      <c r="Q209" s="47" t="s">
        <v>1017</v>
      </c>
      <c r="R209" s="47" t="s">
        <v>376</v>
      </c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50">
        <f>IF(L209="W",1,0)</f>
        <v>0</v>
      </c>
      <c r="AF209" s="50">
        <f>IF(L209="T",1,0)</f>
        <v>1</v>
      </c>
      <c r="AG209" s="50">
        <f>IF(L209="L",1,0)</f>
        <v>0</v>
      </c>
      <c r="AH209" s="46" t="s">
        <v>1097</v>
      </c>
      <c r="AI209" s="46" t="s">
        <v>1098</v>
      </c>
      <c r="AJ209" s="46" t="s">
        <v>376</v>
      </c>
      <c r="AK209" s="46" t="s">
        <v>658</v>
      </c>
      <c r="AL209" s="46" t="s">
        <v>1017</v>
      </c>
      <c r="AM209" s="46" t="s">
        <v>1018</v>
      </c>
      <c r="AN209" s="46" t="s">
        <v>376</v>
      </c>
      <c r="AO209" s="46" t="s">
        <v>658</v>
      </c>
      <c r="AP209" s="46"/>
      <c r="AQ209" s="46">
        <v>1</v>
      </c>
      <c r="AR209" s="46"/>
      <c r="AS209" s="46"/>
      <c r="AT209" s="46"/>
      <c r="AU209" s="46" t="s">
        <v>376</v>
      </c>
      <c r="AV209" s="46"/>
      <c r="AW209" s="46" t="s">
        <v>30</v>
      </c>
      <c r="AX209" s="46"/>
      <c r="AY209" s="46" t="s">
        <v>30</v>
      </c>
      <c r="AZ209" s="46"/>
      <c r="BA209" s="47"/>
      <c r="BB209" s="51"/>
      <c r="BC209" s="46" t="s">
        <v>30</v>
      </c>
      <c r="BD209" s="46"/>
      <c r="BE209" s="46"/>
      <c r="BF209" s="46">
        <v>1</v>
      </c>
      <c r="BG209" s="46">
        <v>1</v>
      </c>
      <c r="BH209" s="46"/>
      <c r="BI209" s="46" t="s">
        <v>1207</v>
      </c>
      <c r="BJ209" s="46" t="s">
        <v>813</v>
      </c>
      <c r="BK209" s="46">
        <v>1901</v>
      </c>
      <c r="BL209" s="46" t="str">
        <f>BK209&amp;BI209</f>
        <v>1901Sheffield United</v>
      </c>
      <c r="BM209" s="52" t="str">
        <f>IF(AD209="Home",BI209,IF(AD209="Away",BJ209,Q209))</f>
        <v>London</v>
      </c>
      <c r="BN209" s="46"/>
      <c r="BO209" s="46"/>
      <c r="BP209" s="46"/>
      <c r="BQ209" s="46"/>
      <c r="BR209" s="46"/>
      <c r="BS209" s="46"/>
      <c r="BT209" s="46"/>
      <c r="BU209" s="46"/>
      <c r="BV209" s="46" t="s">
        <v>376</v>
      </c>
      <c r="BW209" s="46" t="s">
        <v>376</v>
      </c>
      <c r="BX209" s="46"/>
      <c r="BZ209" s="53"/>
      <c r="CA209" s="53"/>
      <c r="CB209" s="93" t="str">
        <f>IF(OR(C209="",A209="",B209=""),"",TEXT(C209,"0000")&amp;TEXT(A209,"00")&amp;TEXT(B209,"00"))</f>
        <v>19010420</v>
      </c>
    </row>
    <row r="210" spans="1:80" s="52" customFormat="1" ht="12.95" customHeight="1" x14ac:dyDescent="0.2">
      <c r="A210" s="46">
        <v>4</v>
      </c>
      <c r="B210" s="46">
        <v>27</v>
      </c>
      <c r="C210" s="46">
        <v>1901</v>
      </c>
      <c r="D210" s="46" t="s">
        <v>658</v>
      </c>
      <c r="E210" s="46" t="s">
        <v>1218</v>
      </c>
      <c r="F210" s="47" t="s">
        <v>1010</v>
      </c>
      <c r="G210" s="46"/>
      <c r="H210" s="47" t="s">
        <v>1025</v>
      </c>
      <c r="I210" s="47" t="s">
        <v>1023</v>
      </c>
      <c r="J210" s="48">
        <v>483</v>
      </c>
      <c r="K210" s="46" t="s">
        <v>813</v>
      </c>
      <c r="L210" s="46" t="s">
        <v>3</v>
      </c>
      <c r="M210" s="46" t="s">
        <v>1207</v>
      </c>
      <c r="N210" s="49">
        <v>3</v>
      </c>
      <c r="O210" s="49">
        <v>1</v>
      </c>
      <c r="P210" s="47" t="s">
        <v>1209</v>
      </c>
      <c r="Q210" s="47" t="s">
        <v>1101</v>
      </c>
      <c r="R210" s="47" t="s">
        <v>376</v>
      </c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50">
        <f>IF(L210="W",1,0)</f>
        <v>1</v>
      </c>
      <c r="AF210" s="50">
        <f>IF(L210="T",1,0)</f>
        <v>0</v>
      </c>
      <c r="AG210" s="50">
        <f>IF(L210="L",1,0)</f>
        <v>0</v>
      </c>
      <c r="AH210" s="46" t="s">
        <v>1017</v>
      </c>
      <c r="AI210" s="46" t="s">
        <v>1018</v>
      </c>
      <c r="AJ210" s="46" t="s">
        <v>376</v>
      </c>
      <c r="AK210" s="46" t="s">
        <v>658</v>
      </c>
      <c r="AL210" s="46" t="s">
        <v>1097</v>
      </c>
      <c r="AM210" s="46" t="s">
        <v>1098</v>
      </c>
      <c r="AN210" s="46" t="s">
        <v>376</v>
      </c>
      <c r="AO210" s="46" t="s">
        <v>658</v>
      </c>
      <c r="AP210" s="46"/>
      <c r="AQ210" s="46">
        <v>1</v>
      </c>
      <c r="AR210" s="46"/>
      <c r="AS210" s="46"/>
      <c r="AT210" s="46"/>
      <c r="AU210" s="46" t="s">
        <v>376</v>
      </c>
      <c r="AV210" s="46"/>
      <c r="AW210" s="46" t="s">
        <v>30</v>
      </c>
      <c r="AX210" s="46"/>
      <c r="AY210" s="46" t="s">
        <v>30</v>
      </c>
      <c r="AZ210" s="46"/>
      <c r="BA210" s="47"/>
      <c r="BB210" s="51" t="s">
        <v>30</v>
      </c>
      <c r="BC210" s="46" t="s">
        <v>30</v>
      </c>
      <c r="BD210" s="46"/>
      <c r="BE210" s="46"/>
      <c r="BF210" s="46">
        <v>1</v>
      </c>
      <c r="BG210" s="46"/>
      <c r="BH210" s="46">
        <v>1</v>
      </c>
      <c r="BI210" s="46" t="s">
        <v>813</v>
      </c>
      <c r="BJ210" s="46" t="s">
        <v>1207</v>
      </c>
      <c r="BK210" s="46">
        <v>1901</v>
      </c>
      <c r="BL210" s="46" t="str">
        <f>BK210&amp;BI210</f>
        <v>1901Tottenham Hotspur</v>
      </c>
      <c r="BM210" s="52" t="str">
        <f>IF(AD210="Home",BI210,IF(AD210="Away",BJ210,Q210))</f>
        <v>Manchester</v>
      </c>
      <c r="BN210" s="46"/>
      <c r="BO210" s="46"/>
      <c r="BP210" s="46"/>
      <c r="BQ210" s="46"/>
      <c r="BR210" s="46"/>
      <c r="BS210" s="46"/>
      <c r="BT210" s="46"/>
      <c r="BU210" s="46"/>
      <c r="BV210" s="46" t="s">
        <v>376</v>
      </c>
      <c r="BW210" s="46" t="s">
        <v>376</v>
      </c>
      <c r="BX210" s="46"/>
      <c r="BZ210" s="53"/>
      <c r="CA210" s="53"/>
      <c r="CB210" s="93" t="str">
        <f>IF(OR(C210="",A210="",B210=""),"",TEXT(C210,"0000")&amp;TEXT(A210,"00")&amp;TEXT(B210,"00"))</f>
        <v>19010427</v>
      </c>
    </row>
    <row r="211" spans="1:80" s="52" customFormat="1" ht="12.95" customHeight="1" x14ac:dyDescent="0.2">
      <c r="A211" s="46">
        <v>4</v>
      </c>
      <c r="B211" s="46">
        <v>27</v>
      </c>
      <c r="C211" s="46">
        <v>1901</v>
      </c>
      <c r="D211" s="46" t="s">
        <v>658</v>
      </c>
      <c r="E211" s="46" t="s">
        <v>1218</v>
      </c>
      <c r="F211" s="47" t="s">
        <v>1010</v>
      </c>
      <c r="G211" s="46"/>
      <c r="H211" s="47" t="s">
        <v>1025</v>
      </c>
      <c r="I211" s="47" t="s">
        <v>1023</v>
      </c>
      <c r="J211" s="48">
        <v>483</v>
      </c>
      <c r="K211" s="46" t="s">
        <v>1207</v>
      </c>
      <c r="L211" s="46" t="s">
        <v>4</v>
      </c>
      <c r="M211" s="46" t="s">
        <v>813</v>
      </c>
      <c r="N211" s="49">
        <v>1</v>
      </c>
      <c r="O211" s="49">
        <v>3</v>
      </c>
      <c r="P211" s="47" t="s">
        <v>1209</v>
      </c>
      <c r="Q211" s="47" t="s">
        <v>1101</v>
      </c>
      <c r="R211" s="47" t="s">
        <v>376</v>
      </c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50">
        <f>IF(L211="W",1,0)</f>
        <v>0</v>
      </c>
      <c r="AF211" s="50">
        <f>IF(L211="T",1,0)</f>
        <v>0</v>
      </c>
      <c r="AG211" s="50">
        <f>IF(L211="L",1,0)</f>
        <v>1</v>
      </c>
      <c r="AH211" s="46" t="s">
        <v>1097</v>
      </c>
      <c r="AI211" s="46" t="s">
        <v>1098</v>
      </c>
      <c r="AJ211" s="46" t="s">
        <v>376</v>
      </c>
      <c r="AK211" s="46" t="s">
        <v>658</v>
      </c>
      <c r="AL211" s="46" t="s">
        <v>1017</v>
      </c>
      <c r="AM211" s="46" t="s">
        <v>1018</v>
      </c>
      <c r="AN211" s="46" t="s">
        <v>376</v>
      </c>
      <c r="AO211" s="46" t="s">
        <v>658</v>
      </c>
      <c r="AP211" s="46"/>
      <c r="AQ211" s="46">
        <v>1</v>
      </c>
      <c r="AR211" s="46"/>
      <c r="AS211" s="46"/>
      <c r="AT211" s="46"/>
      <c r="AU211" s="46" t="s">
        <v>376</v>
      </c>
      <c r="AV211" s="46"/>
      <c r="AW211" s="46" t="s">
        <v>30</v>
      </c>
      <c r="AX211" s="46"/>
      <c r="AY211" s="46" t="s">
        <v>30</v>
      </c>
      <c r="AZ211" s="46"/>
      <c r="BA211" s="47"/>
      <c r="BB211" s="51"/>
      <c r="BC211" s="46" t="s">
        <v>30</v>
      </c>
      <c r="BD211" s="46"/>
      <c r="BE211" s="46"/>
      <c r="BF211" s="46">
        <v>1</v>
      </c>
      <c r="BG211" s="46">
        <v>1</v>
      </c>
      <c r="BH211" s="46"/>
      <c r="BI211" s="46" t="s">
        <v>1207</v>
      </c>
      <c r="BJ211" s="46" t="s">
        <v>813</v>
      </c>
      <c r="BK211" s="46">
        <v>1901</v>
      </c>
      <c r="BL211" s="46" t="str">
        <f>BK211&amp;BI211</f>
        <v>1901Sheffield United</v>
      </c>
      <c r="BM211" s="52" t="str">
        <f>IF(AD211="Home",BI211,IF(AD211="Away",BJ211,Q211))</f>
        <v>Manchester</v>
      </c>
      <c r="BN211" s="46"/>
      <c r="BO211" s="46"/>
      <c r="BP211" s="46"/>
      <c r="BQ211" s="46"/>
      <c r="BR211" s="46"/>
      <c r="BS211" s="46"/>
      <c r="BT211" s="46"/>
      <c r="BU211" s="46"/>
      <c r="BV211" s="46" t="s">
        <v>376</v>
      </c>
      <c r="BW211" s="46" t="s">
        <v>376</v>
      </c>
      <c r="BX211" s="46"/>
      <c r="BZ211" s="53"/>
      <c r="CA211" s="53"/>
      <c r="CB211" s="93" t="str">
        <f>IF(OR(C211="",A211="",B211=""),"",TEXT(C211,"0000")&amp;TEXT(A211,"00")&amp;TEXT(B211,"00"))</f>
        <v>19010427</v>
      </c>
    </row>
    <row r="212" spans="1:80" s="52" customFormat="1" ht="12.95" customHeight="1" x14ac:dyDescent="0.2">
      <c r="A212" s="46">
        <v>3</v>
      </c>
      <c r="B212" s="46">
        <v>15</v>
      </c>
      <c r="C212" s="46">
        <v>1902</v>
      </c>
      <c r="D212" s="46" t="s">
        <v>658</v>
      </c>
      <c r="E212" s="46" t="s">
        <v>1220</v>
      </c>
      <c r="F212" s="47" t="s">
        <v>1010</v>
      </c>
      <c r="G212" s="46"/>
      <c r="H212" s="47" t="s">
        <v>1011</v>
      </c>
      <c r="I212" s="47"/>
      <c r="J212" s="48">
        <v>805</v>
      </c>
      <c r="K212" s="46" t="s">
        <v>1207</v>
      </c>
      <c r="L212" s="46" t="s">
        <v>1014</v>
      </c>
      <c r="M212" s="46" t="s">
        <v>1191</v>
      </c>
      <c r="N212" s="49">
        <v>1</v>
      </c>
      <c r="O212" s="49">
        <v>1</v>
      </c>
      <c r="P212" s="47" t="s">
        <v>1221</v>
      </c>
      <c r="Q212" s="47" t="s">
        <v>1111</v>
      </c>
      <c r="R212" s="47" t="s">
        <v>376</v>
      </c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50">
        <f>IF(L212="W",1,0)</f>
        <v>0</v>
      </c>
      <c r="AF212" s="50">
        <f>IF(L212="T",1,0)</f>
        <v>1</v>
      </c>
      <c r="AG212" s="50">
        <f>IF(L212="L",1,0)</f>
        <v>0</v>
      </c>
      <c r="AH212" s="46" t="s">
        <v>1097</v>
      </c>
      <c r="AI212" s="46" t="s">
        <v>1098</v>
      </c>
      <c r="AJ212" s="46" t="s">
        <v>376</v>
      </c>
      <c r="AK212" s="46" t="s">
        <v>658</v>
      </c>
      <c r="AL212" s="46" t="s">
        <v>979</v>
      </c>
      <c r="AM212" s="46" t="s">
        <v>1146</v>
      </c>
      <c r="AN212" s="46" t="s">
        <v>376</v>
      </c>
      <c r="AO212" s="46" t="s">
        <v>658</v>
      </c>
      <c r="AP212" s="46"/>
      <c r="AQ212" s="46">
        <v>2</v>
      </c>
      <c r="AR212" s="46"/>
      <c r="AS212" s="46"/>
      <c r="AT212" s="46"/>
      <c r="AU212" s="46" t="s">
        <v>376</v>
      </c>
      <c r="AV212" s="46"/>
      <c r="AW212" s="46" t="s">
        <v>30</v>
      </c>
      <c r="AX212" s="46"/>
      <c r="AY212" s="46" t="s">
        <v>30</v>
      </c>
      <c r="AZ212" s="46"/>
      <c r="BA212" s="47"/>
      <c r="BB212" s="51"/>
      <c r="BC212" s="46"/>
      <c r="BD212" s="46"/>
      <c r="BE212" s="46"/>
      <c r="BF212" s="46">
        <v>1</v>
      </c>
      <c r="BG212" s="46">
        <v>1</v>
      </c>
      <c r="BH212" s="46">
        <v>1</v>
      </c>
      <c r="BI212" s="46" t="s">
        <v>1207</v>
      </c>
      <c r="BJ212" s="46" t="s">
        <v>1191</v>
      </c>
      <c r="BK212" s="46">
        <v>1902</v>
      </c>
      <c r="BL212" s="46" t="str">
        <f>BK212&amp;BI212</f>
        <v>1902Sheffield United</v>
      </c>
      <c r="BM212" s="52" t="str">
        <f>IF(AD212="Home",BI212,IF(AD212="Away",BJ212,Q212))</f>
        <v>Birmingham</v>
      </c>
      <c r="BN212" s="46"/>
      <c r="BO212" s="46"/>
      <c r="BP212" s="46"/>
      <c r="BQ212" s="46"/>
      <c r="BR212" s="46"/>
      <c r="BS212" s="46"/>
      <c r="BT212" s="46"/>
      <c r="BU212" s="46"/>
      <c r="BV212" s="46" t="s">
        <v>376</v>
      </c>
      <c r="BW212" s="46" t="s">
        <v>376</v>
      </c>
      <c r="BX212" s="46"/>
      <c r="BZ212" s="53"/>
      <c r="CA212" s="53"/>
      <c r="CB212" s="93" t="str">
        <f>IF(OR(C212="",A212="",B212=""),"",TEXT(C212,"0000")&amp;TEXT(A212,"00")&amp;TEXT(B212,"00"))</f>
        <v>19020315</v>
      </c>
    </row>
    <row r="213" spans="1:80" s="52" customFormat="1" ht="12.95" customHeight="1" x14ac:dyDescent="0.2">
      <c r="A213" s="46">
        <v>3</v>
      </c>
      <c r="B213" s="46">
        <v>15</v>
      </c>
      <c r="C213" s="46">
        <v>1902</v>
      </c>
      <c r="D213" s="46" t="s">
        <v>658</v>
      </c>
      <c r="E213" s="46" t="s">
        <v>1220</v>
      </c>
      <c r="F213" s="47" t="s">
        <v>1010</v>
      </c>
      <c r="G213" s="46"/>
      <c r="H213" s="47" t="s">
        <v>1011</v>
      </c>
      <c r="I213" s="47"/>
      <c r="J213" s="48">
        <v>805</v>
      </c>
      <c r="K213" s="46" t="s">
        <v>1191</v>
      </c>
      <c r="L213" s="46" t="s">
        <v>1014</v>
      </c>
      <c r="M213" s="46" t="s">
        <v>1207</v>
      </c>
      <c r="N213" s="49">
        <v>1</v>
      </c>
      <c r="O213" s="49">
        <v>1</v>
      </c>
      <c r="P213" s="47" t="s">
        <v>1221</v>
      </c>
      <c r="Q213" s="47" t="s">
        <v>1111</v>
      </c>
      <c r="R213" s="47" t="s">
        <v>376</v>
      </c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50">
        <f>IF(L213="W",1,0)</f>
        <v>0</v>
      </c>
      <c r="AF213" s="50">
        <f>IF(L213="T",1,0)</f>
        <v>1</v>
      </c>
      <c r="AG213" s="50">
        <f>IF(L213="L",1,0)</f>
        <v>0</v>
      </c>
      <c r="AH213" s="46" t="s">
        <v>979</v>
      </c>
      <c r="AI213" s="46" t="s">
        <v>1146</v>
      </c>
      <c r="AJ213" s="46" t="s">
        <v>376</v>
      </c>
      <c r="AK213" s="46" t="s">
        <v>658</v>
      </c>
      <c r="AL213" s="46" t="s">
        <v>1097</v>
      </c>
      <c r="AM213" s="46" t="s">
        <v>1098</v>
      </c>
      <c r="AN213" s="46" t="s">
        <v>376</v>
      </c>
      <c r="AO213" s="46" t="s">
        <v>658</v>
      </c>
      <c r="AP213" s="46"/>
      <c r="AQ213" s="46">
        <v>2</v>
      </c>
      <c r="AR213" s="46"/>
      <c r="AS213" s="46"/>
      <c r="AT213" s="46"/>
      <c r="AU213" s="46" t="s">
        <v>376</v>
      </c>
      <c r="AV213" s="46"/>
      <c r="AW213" s="46" t="s">
        <v>30</v>
      </c>
      <c r="AX213" s="46"/>
      <c r="AY213" s="46" t="s">
        <v>30</v>
      </c>
      <c r="AZ213" s="46"/>
      <c r="BA213" s="47"/>
      <c r="BB213" s="51"/>
      <c r="BC213" s="46"/>
      <c r="BD213" s="46"/>
      <c r="BE213" s="46"/>
      <c r="BF213" s="46">
        <v>1</v>
      </c>
      <c r="BG213" s="46">
        <v>1</v>
      </c>
      <c r="BH213" s="46">
        <v>1</v>
      </c>
      <c r="BI213" s="46" t="s">
        <v>1191</v>
      </c>
      <c r="BJ213" s="46" t="s">
        <v>1207</v>
      </c>
      <c r="BK213" s="46">
        <v>1902</v>
      </c>
      <c r="BL213" s="46" t="str">
        <f>BK213&amp;BI213</f>
        <v>1902Derby County</v>
      </c>
      <c r="BM213" s="52" t="str">
        <f>IF(AD213="Home",BI213,IF(AD213="Away",BJ213,Q213))</f>
        <v>Birmingham</v>
      </c>
      <c r="BN213" s="46"/>
      <c r="BO213" s="46"/>
      <c r="BP213" s="46"/>
      <c r="BQ213" s="46"/>
      <c r="BR213" s="46"/>
      <c r="BS213" s="46"/>
      <c r="BT213" s="46"/>
      <c r="BU213" s="46"/>
      <c r="BV213" s="46" t="s">
        <v>376</v>
      </c>
      <c r="BW213" s="46" t="s">
        <v>376</v>
      </c>
      <c r="BX213" s="46"/>
      <c r="BZ213" s="53"/>
      <c r="CA213" s="53"/>
      <c r="CB213" s="93" t="str">
        <f>IF(OR(C213="",A213="",B213=""),"",TEXT(C213,"0000")&amp;TEXT(A213,"00")&amp;TEXT(B213,"00"))</f>
        <v>19020315</v>
      </c>
    </row>
    <row r="214" spans="1:80" s="52" customFormat="1" ht="12.95" customHeight="1" x14ac:dyDescent="0.2">
      <c r="A214" s="46">
        <v>3</v>
      </c>
      <c r="B214" s="46">
        <v>15</v>
      </c>
      <c r="C214" s="46">
        <v>1902</v>
      </c>
      <c r="D214" s="46" t="s">
        <v>658</v>
      </c>
      <c r="E214" s="46" t="s">
        <v>1220</v>
      </c>
      <c r="F214" s="47" t="s">
        <v>1010</v>
      </c>
      <c r="G214" s="46"/>
      <c r="H214" s="47" t="s">
        <v>1011</v>
      </c>
      <c r="I214" s="47"/>
      <c r="J214" s="48">
        <v>805</v>
      </c>
      <c r="K214" s="46" t="s">
        <v>629</v>
      </c>
      <c r="L214" s="46" t="s">
        <v>3</v>
      </c>
      <c r="M214" s="46" t="s">
        <v>1072</v>
      </c>
      <c r="N214" s="49">
        <v>3</v>
      </c>
      <c r="O214" s="49">
        <v>1</v>
      </c>
      <c r="P214" s="47" t="s">
        <v>1222</v>
      </c>
      <c r="Q214" s="47" t="s">
        <v>1017</v>
      </c>
      <c r="R214" s="47" t="s">
        <v>376</v>
      </c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50">
        <f>IF(L214="W",1,0)</f>
        <v>1</v>
      </c>
      <c r="AF214" s="50">
        <f>IF(L214="T",1,0)</f>
        <v>0</v>
      </c>
      <c r="AG214" s="50">
        <f>IF(L214="L",1,0)</f>
        <v>0</v>
      </c>
      <c r="AH214" s="46" t="s">
        <v>629</v>
      </c>
      <c r="AI214" s="46" t="s">
        <v>1199</v>
      </c>
      <c r="AJ214" s="46" t="s">
        <v>376</v>
      </c>
      <c r="AK214" s="46" t="s">
        <v>658</v>
      </c>
      <c r="AL214" s="46" t="s">
        <v>1073</v>
      </c>
      <c r="AM214" s="46" t="s">
        <v>1074</v>
      </c>
      <c r="AN214" s="46" t="s">
        <v>376</v>
      </c>
      <c r="AO214" s="46" t="s">
        <v>658</v>
      </c>
      <c r="AP214" s="46"/>
      <c r="AQ214" s="46">
        <v>2</v>
      </c>
      <c r="AR214" s="46"/>
      <c r="AS214" s="46"/>
      <c r="AT214" s="46"/>
      <c r="AU214" s="46" t="s">
        <v>376</v>
      </c>
      <c r="AV214" s="46"/>
      <c r="AW214" s="46" t="s">
        <v>30</v>
      </c>
      <c r="AX214" s="46"/>
      <c r="AY214" s="46" t="s">
        <v>30</v>
      </c>
      <c r="AZ214" s="46"/>
      <c r="BA214" s="47"/>
      <c r="BB214" s="51"/>
      <c r="BC214" s="46"/>
      <c r="BD214" s="46"/>
      <c r="BE214" s="46"/>
      <c r="BF214" s="46">
        <v>1</v>
      </c>
      <c r="BG214" s="46"/>
      <c r="BH214" s="46">
        <v>1</v>
      </c>
      <c r="BI214" s="46" t="s">
        <v>629</v>
      </c>
      <c r="BJ214" s="46" t="s">
        <v>1072</v>
      </c>
      <c r="BK214" s="46">
        <v>1902</v>
      </c>
      <c r="BL214" s="46" t="str">
        <f>BK214&amp;BI214</f>
        <v>1902Southampton</v>
      </c>
      <c r="BM214" s="52" t="str">
        <f>IF(AD214="Home",BI214,IF(AD214="Away",BJ214,Q214))</f>
        <v>London</v>
      </c>
      <c r="BN214" s="46"/>
      <c r="BO214" s="46"/>
      <c r="BP214" s="46"/>
      <c r="BQ214" s="46"/>
      <c r="BR214" s="46"/>
      <c r="BS214" s="46"/>
      <c r="BT214" s="46"/>
      <c r="BU214" s="46"/>
      <c r="BV214" s="46" t="s">
        <v>376</v>
      </c>
      <c r="BW214" s="46" t="s">
        <v>376</v>
      </c>
      <c r="BX214" s="46"/>
      <c r="BZ214" s="53"/>
      <c r="CA214" s="53"/>
      <c r="CB214" s="93" t="str">
        <f>IF(OR(C214="",A214="",B214=""),"",TEXT(C214,"0000")&amp;TEXT(A214,"00")&amp;TEXT(B214,"00"))</f>
        <v>19020315</v>
      </c>
    </row>
    <row r="215" spans="1:80" s="52" customFormat="1" ht="12.95" customHeight="1" x14ac:dyDescent="0.2">
      <c r="A215" s="46">
        <v>3</v>
      </c>
      <c r="B215" s="46">
        <v>15</v>
      </c>
      <c r="C215" s="46">
        <v>1902</v>
      </c>
      <c r="D215" s="46" t="s">
        <v>658</v>
      </c>
      <c r="E215" s="46" t="s">
        <v>1220</v>
      </c>
      <c r="F215" s="47" t="s">
        <v>1010</v>
      </c>
      <c r="G215" s="46"/>
      <c r="H215" s="47" t="s">
        <v>1011</v>
      </c>
      <c r="I215" s="47"/>
      <c r="J215" s="48">
        <v>805</v>
      </c>
      <c r="K215" s="46" t="s">
        <v>1072</v>
      </c>
      <c r="L215" s="46" t="s">
        <v>4</v>
      </c>
      <c r="M215" s="46" t="s">
        <v>629</v>
      </c>
      <c r="N215" s="49">
        <v>1</v>
      </c>
      <c r="O215" s="49">
        <v>3</v>
      </c>
      <c r="P215" s="47" t="s">
        <v>1222</v>
      </c>
      <c r="Q215" s="47" t="s">
        <v>1017</v>
      </c>
      <c r="R215" s="47" t="s">
        <v>376</v>
      </c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50">
        <f>IF(L215="W",1,0)</f>
        <v>0</v>
      </c>
      <c r="AF215" s="50">
        <f>IF(L215="T",1,0)</f>
        <v>0</v>
      </c>
      <c r="AG215" s="50">
        <f>IF(L215="L",1,0)</f>
        <v>1</v>
      </c>
      <c r="AH215" s="46" t="s">
        <v>1073</v>
      </c>
      <c r="AI215" s="46" t="s">
        <v>1074</v>
      </c>
      <c r="AJ215" s="46" t="s">
        <v>376</v>
      </c>
      <c r="AK215" s="46" t="s">
        <v>658</v>
      </c>
      <c r="AL215" s="46" t="s">
        <v>629</v>
      </c>
      <c r="AM215" s="46" t="s">
        <v>1199</v>
      </c>
      <c r="AN215" s="46" t="s">
        <v>376</v>
      </c>
      <c r="AO215" s="46" t="s">
        <v>658</v>
      </c>
      <c r="AP215" s="46"/>
      <c r="AQ215" s="46">
        <v>2</v>
      </c>
      <c r="AR215" s="46"/>
      <c r="AS215" s="46"/>
      <c r="AT215" s="46"/>
      <c r="AU215" s="46" t="s">
        <v>376</v>
      </c>
      <c r="AV215" s="46"/>
      <c r="AW215" s="46" t="s">
        <v>30</v>
      </c>
      <c r="AX215" s="46"/>
      <c r="AY215" s="46" t="s">
        <v>30</v>
      </c>
      <c r="AZ215" s="46"/>
      <c r="BA215" s="47"/>
      <c r="BB215" s="51"/>
      <c r="BC215" s="46"/>
      <c r="BD215" s="46"/>
      <c r="BE215" s="46"/>
      <c r="BF215" s="46">
        <v>1</v>
      </c>
      <c r="BG215" s="46">
        <v>1</v>
      </c>
      <c r="BH215" s="46"/>
      <c r="BI215" s="46" t="s">
        <v>1072</v>
      </c>
      <c r="BJ215" s="46" t="s">
        <v>629</v>
      </c>
      <c r="BK215" s="46">
        <v>1902</v>
      </c>
      <c r="BL215" s="46" t="str">
        <f>BK215&amp;BI215</f>
        <v>1902Nottingham Forest</v>
      </c>
      <c r="BM215" s="52" t="str">
        <f>IF(AD215="Home",BI215,IF(AD215="Away",BJ215,Q215))</f>
        <v>London</v>
      </c>
      <c r="BN215" s="46"/>
      <c r="BO215" s="46"/>
      <c r="BP215" s="46"/>
      <c r="BQ215" s="46"/>
      <c r="BR215" s="46"/>
      <c r="BS215" s="46"/>
      <c r="BT215" s="46"/>
      <c r="BU215" s="46"/>
      <c r="BV215" s="46" t="s">
        <v>376</v>
      </c>
      <c r="BW215" s="46" t="s">
        <v>376</v>
      </c>
      <c r="BX215" s="46"/>
      <c r="BZ215" s="53"/>
      <c r="CA215" s="53"/>
      <c r="CB215" s="93" t="str">
        <f>IF(OR(C215="",A215="",B215=""),"",TEXT(C215,"0000")&amp;TEXT(A215,"00")&amp;TEXT(B215,"00"))</f>
        <v>19020315</v>
      </c>
    </row>
    <row r="216" spans="1:80" s="52" customFormat="1" ht="12.95" customHeight="1" x14ac:dyDescent="0.2">
      <c r="A216" s="46">
        <v>3</v>
      </c>
      <c r="B216" s="46">
        <v>20</v>
      </c>
      <c r="C216" s="46">
        <v>1902</v>
      </c>
      <c r="D216" s="46" t="s">
        <v>658</v>
      </c>
      <c r="E216" s="46" t="s">
        <v>1220</v>
      </c>
      <c r="F216" s="47" t="s">
        <v>1010</v>
      </c>
      <c r="G216" s="46"/>
      <c r="H216" s="47" t="s">
        <v>1011</v>
      </c>
      <c r="I216" s="47" t="s">
        <v>1023</v>
      </c>
      <c r="J216" s="48">
        <v>810</v>
      </c>
      <c r="K216" s="46" t="s">
        <v>1207</v>
      </c>
      <c r="L216" s="46" t="s">
        <v>1014</v>
      </c>
      <c r="M216" s="46" t="s">
        <v>1191</v>
      </c>
      <c r="N216" s="49">
        <v>1</v>
      </c>
      <c r="O216" s="49">
        <v>1</v>
      </c>
      <c r="P216" s="47" t="s">
        <v>1152</v>
      </c>
      <c r="Q216" s="47" t="s">
        <v>1111</v>
      </c>
      <c r="R216" s="47" t="s">
        <v>376</v>
      </c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50">
        <f>IF(L216="W",1,0)</f>
        <v>0</v>
      </c>
      <c r="AF216" s="50">
        <f>IF(L216="T",1,0)</f>
        <v>1</v>
      </c>
      <c r="AG216" s="50">
        <f>IF(L216="L",1,0)</f>
        <v>0</v>
      </c>
      <c r="AH216" s="46" t="s">
        <v>1097</v>
      </c>
      <c r="AI216" s="46" t="s">
        <v>1098</v>
      </c>
      <c r="AJ216" s="46" t="s">
        <v>376</v>
      </c>
      <c r="AK216" s="46" t="s">
        <v>658</v>
      </c>
      <c r="AL216" s="46" t="s">
        <v>979</v>
      </c>
      <c r="AM216" s="46" t="s">
        <v>1146</v>
      </c>
      <c r="AN216" s="46" t="s">
        <v>376</v>
      </c>
      <c r="AO216" s="46" t="s">
        <v>658</v>
      </c>
      <c r="AP216" s="46"/>
      <c r="AQ216" s="46">
        <v>2</v>
      </c>
      <c r="AR216" s="46"/>
      <c r="AS216" s="46"/>
      <c r="AT216" s="46"/>
      <c r="AU216" s="46" t="s">
        <v>376</v>
      </c>
      <c r="AV216" s="46"/>
      <c r="AW216" s="46" t="s">
        <v>30</v>
      </c>
      <c r="AX216" s="46"/>
      <c r="AY216" s="46" t="s">
        <v>30</v>
      </c>
      <c r="AZ216" s="46"/>
      <c r="BA216" s="47"/>
      <c r="BB216" s="51"/>
      <c r="BC216" s="46"/>
      <c r="BD216" s="46"/>
      <c r="BE216" s="46"/>
      <c r="BF216" s="46">
        <v>1</v>
      </c>
      <c r="BG216" s="46">
        <v>1</v>
      </c>
      <c r="BH216" s="46">
        <v>1</v>
      </c>
      <c r="BI216" s="46" t="s">
        <v>1207</v>
      </c>
      <c r="BJ216" s="46" t="s">
        <v>1191</v>
      </c>
      <c r="BK216" s="46">
        <v>1902</v>
      </c>
      <c r="BL216" s="46" t="str">
        <f>BK216&amp;BI216</f>
        <v>1902Sheffield United</v>
      </c>
      <c r="BM216" s="52" t="str">
        <f>IF(AD216="Home",BI216,IF(AD216="Away",BJ216,Q216))</f>
        <v>Birmingham</v>
      </c>
      <c r="BN216" s="46"/>
      <c r="BO216" s="46"/>
      <c r="BP216" s="46"/>
      <c r="BQ216" s="46"/>
      <c r="BR216" s="46"/>
      <c r="BS216" s="46"/>
      <c r="BT216" s="46"/>
      <c r="BU216" s="46"/>
      <c r="BV216" s="46" t="s">
        <v>376</v>
      </c>
      <c r="BW216" s="46" t="s">
        <v>376</v>
      </c>
      <c r="BX216" s="46"/>
      <c r="BZ216" s="53"/>
      <c r="CA216" s="53"/>
      <c r="CB216" s="93" t="str">
        <f>IF(OR(C216="",A216="",B216=""),"",TEXT(C216,"0000")&amp;TEXT(A216,"00")&amp;TEXT(B216,"00"))</f>
        <v>19020320</v>
      </c>
    </row>
    <row r="217" spans="1:80" s="52" customFormat="1" ht="12.95" customHeight="1" x14ac:dyDescent="0.2">
      <c r="A217" s="46">
        <v>3</v>
      </c>
      <c r="B217" s="46">
        <v>20</v>
      </c>
      <c r="C217" s="46">
        <v>1902</v>
      </c>
      <c r="D217" s="46" t="s">
        <v>658</v>
      </c>
      <c r="E217" s="46" t="s">
        <v>1220</v>
      </c>
      <c r="F217" s="47" t="s">
        <v>1010</v>
      </c>
      <c r="G217" s="46"/>
      <c r="H217" s="47" t="s">
        <v>1011</v>
      </c>
      <c r="I217" s="47" t="s">
        <v>1023</v>
      </c>
      <c r="J217" s="48">
        <v>810</v>
      </c>
      <c r="K217" s="46" t="s">
        <v>1191</v>
      </c>
      <c r="L217" s="46" t="s">
        <v>1014</v>
      </c>
      <c r="M217" s="46" t="s">
        <v>1207</v>
      </c>
      <c r="N217" s="49">
        <v>1</v>
      </c>
      <c r="O217" s="49">
        <v>1</v>
      </c>
      <c r="P217" s="47" t="s">
        <v>1152</v>
      </c>
      <c r="Q217" s="47" t="s">
        <v>1111</v>
      </c>
      <c r="R217" s="47" t="s">
        <v>376</v>
      </c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50">
        <f>IF(L217="W",1,0)</f>
        <v>0</v>
      </c>
      <c r="AF217" s="50">
        <f>IF(L217="T",1,0)</f>
        <v>1</v>
      </c>
      <c r="AG217" s="50">
        <f>IF(L217="L",1,0)</f>
        <v>0</v>
      </c>
      <c r="AH217" s="46" t="s">
        <v>979</v>
      </c>
      <c r="AI217" s="46" t="s">
        <v>1146</v>
      </c>
      <c r="AJ217" s="46" t="s">
        <v>376</v>
      </c>
      <c r="AK217" s="46" t="s">
        <v>658</v>
      </c>
      <c r="AL217" s="46" t="s">
        <v>1097</v>
      </c>
      <c r="AM217" s="46" t="s">
        <v>1098</v>
      </c>
      <c r="AN217" s="46" t="s">
        <v>376</v>
      </c>
      <c r="AO217" s="46" t="s">
        <v>658</v>
      </c>
      <c r="AP217" s="46"/>
      <c r="AQ217" s="46">
        <v>2</v>
      </c>
      <c r="AR217" s="46"/>
      <c r="AS217" s="46"/>
      <c r="AT217" s="46"/>
      <c r="AU217" s="46" t="s">
        <v>376</v>
      </c>
      <c r="AV217" s="46"/>
      <c r="AW217" s="46" t="s">
        <v>30</v>
      </c>
      <c r="AX217" s="46"/>
      <c r="AY217" s="46" t="s">
        <v>30</v>
      </c>
      <c r="AZ217" s="46"/>
      <c r="BA217" s="47"/>
      <c r="BB217" s="51"/>
      <c r="BC217" s="46"/>
      <c r="BD217" s="46"/>
      <c r="BE217" s="46"/>
      <c r="BF217" s="46">
        <v>1</v>
      </c>
      <c r="BG217" s="46">
        <v>1</v>
      </c>
      <c r="BH217" s="46">
        <v>1</v>
      </c>
      <c r="BI217" s="46" t="s">
        <v>1191</v>
      </c>
      <c r="BJ217" s="46" t="s">
        <v>1207</v>
      </c>
      <c r="BK217" s="46">
        <v>1902</v>
      </c>
      <c r="BL217" s="46" t="str">
        <f>BK217&amp;BI217</f>
        <v>1902Derby County</v>
      </c>
      <c r="BM217" s="52" t="str">
        <f>IF(AD217="Home",BI217,IF(AD217="Away",BJ217,Q217))</f>
        <v>Birmingham</v>
      </c>
      <c r="BN217" s="46"/>
      <c r="BO217" s="46"/>
      <c r="BP217" s="46"/>
      <c r="BQ217" s="46"/>
      <c r="BR217" s="46"/>
      <c r="BS217" s="46"/>
      <c r="BT217" s="46"/>
      <c r="BU217" s="46"/>
      <c r="BV217" s="46" t="s">
        <v>376</v>
      </c>
      <c r="BW217" s="46" t="s">
        <v>376</v>
      </c>
      <c r="BX217" s="46"/>
      <c r="BZ217" s="53"/>
      <c r="CA217" s="53"/>
      <c r="CB217" s="93" t="str">
        <f>IF(OR(C217="",A217="",B217=""),"",TEXT(C217,"0000")&amp;TEXT(A217,"00")&amp;TEXT(B217,"00"))</f>
        <v>19020320</v>
      </c>
    </row>
    <row r="218" spans="1:80" s="52" customFormat="1" ht="12.95" customHeight="1" x14ac:dyDescent="0.2">
      <c r="A218" s="46">
        <v>3</v>
      </c>
      <c r="B218" s="46">
        <v>27</v>
      </c>
      <c r="C218" s="46">
        <v>1902</v>
      </c>
      <c r="D218" s="46" t="s">
        <v>658</v>
      </c>
      <c r="E218" s="46" t="s">
        <v>1220</v>
      </c>
      <c r="F218" s="47" t="s">
        <v>1010</v>
      </c>
      <c r="G218" s="46"/>
      <c r="H218" s="47" t="s">
        <v>1011</v>
      </c>
      <c r="I218" s="47" t="s">
        <v>1170</v>
      </c>
      <c r="J218" s="48">
        <v>817</v>
      </c>
      <c r="K218" s="46" t="s">
        <v>1207</v>
      </c>
      <c r="L218" s="46" t="s">
        <v>3</v>
      </c>
      <c r="M218" s="46" t="s">
        <v>1191</v>
      </c>
      <c r="N218" s="49">
        <v>1</v>
      </c>
      <c r="O218" s="49">
        <v>0</v>
      </c>
      <c r="P218" s="47" t="s">
        <v>1135</v>
      </c>
      <c r="Q218" s="47" t="s">
        <v>1073</v>
      </c>
      <c r="R218" s="47" t="s">
        <v>376</v>
      </c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50">
        <f>IF(L218="W",1,0)</f>
        <v>1</v>
      </c>
      <c r="AF218" s="50">
        <f>IF(L218="T",1,0)</f>
        <v>0</v>
      </c>
      <c r="AG218" s="50">
        <f>IF(L218="L",1,0)</f>
        <v>0</v>
      </c>
      <c r="AH218" s="46" t="s">
        <v>1097</v>
      </c>
      <c r="AI218" s="46" t="s">
        <v>1098</v>
      </c>
      <c r="AJ218" s="46" t="s">
        <v>376</v>
      </c>
      <c r="AK218" s="46" t="s">
        <v>658</v>
      </c>
      <c r="AL218" s="46" t="s">
        <v>979</v>
      </c>
      <c r="AM218" s="46" t="s">
        <v>1146</v>
      </c>
      <c r="AN218" s="46" t="s">
        <v>376</v>
      </c>
      <c r="AO218" s="46" t="s">
        <v>658</v>
      </c>
      <c r="AP218" s="46"/>
      <c r="AQ218" s="46">
        <v>2</v>
      </c>
      <c r="AR218" s="46"/>
      <c r="AS218" s="46"/>
      <c r="AT218" s="46"/>
      <c r="AU218" s="46" t="s">
        <v>376</v>
      </c>
      <c r="AV218" s="46"/>
      <c r="AW218" s="46" t="s">
        <v>30</v>
      </c>
      <c r="AX218" s="46"/>
      <c r="AY218" s="46" t="s">
        <v>30</v>
      </c>
      <c r="AZ218" s="46"/>
      <c r="BA218" s="47"/>
      <c r="BB218" s="51"/>
      <c r="BC218" s="46"/>
      <c r="BD218" s="46"/>
      <c r="BE218" s="46"/>
      <c r="BF218" s="46">
        <v>1</v>
      </c>
      <c r="BG218" s="46">
        <v>1</v>
      </c>
      <c r="BH218" s="46">
        <v>1</v>
      </c>
      <c r="BI218" s="46" t="s">
        <v>1207</v>
      </c>
      <c r="BJ218" s="46" t="s">
        <v>1191</v>
      </c>
      <c r="BK218" s="46">
        <v>1902</v>
      </c>
      <c r="BL218" s="46" t="str">
        <f>BK218&amp;BI218</f>
        <v>1902Sheffield United</v>
      </c>
      <c r="BM218" s="52" t="str">
        <f>IF(AD218="Home",BI218,IF(AD218="Away",BJ218,Q218))</f>
        <v>Nottingham</v>
      </c>
      <c r="BN218" s="46"/>
      <c r="BO218" s="46"/>
      <c r="BP218" s="46"/>
      <c r="BQ218" s="46"/>
      <c r="BR218" s="46"/>
      <c r="BS218" s="46"/>
      <c r="BT218" s="46"/>
      <c r="BU218" s="46"/>
      <c r="BV218" s="46" t="s">
        <v>376</v>
      </c>
      <c r="BW218" s="46" t="s">
        <v>376</v>
      </c>
      <c r="BX218" s="46"/>
      <c r="BY218" s="35"/>
      <c r="BZ218" s="53"/>
      <c r="CA218" s="53"/>
      <c r="CB218" s="93" t="str">
        <f>IF(OR(C218="",A218="",B218=""),"",TEXT(C218,"0000")&amp;TEXT(A218,"00")&amp;TEXT(B218,"00"))</f>
        <v>19020327</v>
      </c>
    </row>
    <row r="219" spans="1:80" s="52" customFormat="1" ht="12.95" customHeight="1" x14ac:dyDescent="0.2">
      <c r="A219" s="46">
        <v>3</v>
      </c>
      <c r="B219" s="46">
        <v>27</v>
      </c>
      <c r="C219" s="46">
        <v>1902</v>
      </c>
      <c r="D219" s="46" t="s">
        <v>658</v>
      </c>
      <c r="E219" s="46" t="s">
        <v>1220</v>
      </c>
      <c r="F219" s="47" t="s">
        <v>1010</v>
      </c>
      <c r="G219" s="46"/>
      <c r="H219" s="47" t="s">
        <v>1011</v>
      </c>
      <c r="I219" s="47" t="s">
        <v>1170</v>
      </c>
      <c r="J219" s="48">
        <v>817</v>
      </c>
      <c r="K219" s="46" t="s">
        <v>1191</v>
      </c>
      <c r="L219" s="46" t="s">
        <v>4</v>
      </c>
      <c r="M219" s="46" t="s">
        <v>1207</v>
      </c>
      <c r="N219" s="49">
        <v>0</v>
      </c>
      <c r="O219" s="49">
        <v>1</v>
      </c>
      <c r="P219" s="47" t="s">
        <v>1135</v>
      </c>
      <c r="Q219" s="47" t="s">
        <v>1073</v>
      </c>
      <c r="R219" s="47" t="s">
        <v>376</v>
      </c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50">
        <f>IF(L219="W",1,0)</f>
        <v>0</v>
      </c>
      <c r="AF219" s="50">
        <f>IF(L219="T",1,0)</f>
        <v>0</v>
      </c>
      <c r="AG219" s="50">
        <f>IF(L219="L",1,0)</f>
        <v>1</v>
      </c>
      <c r="AH219" s="46" t="s">
        <v>979</v>
      </c>
      <c r="AI219" s="46" t="s">
        <v>1146</v>
      </c>
      <c r="AJ219" s="46" t="s">
        <v>376</v>
      </c>
      <c r="AK219" s="46" t="s">
        <v>658</v>
      </c>
      <c r="AL219" s="46" t="s">
        <v>1097</v>
      </c>
      <c r="AM219" s="46" t="s">
        <v>1098</v>
      </c>
      <c r="AN219" s="46" t="s">
        <v>376</v>
      </c>
      <c r="AO219" s="46" t="s">
        <v>658</v>
      </c>
      <c r="AP219" s="46"/>
      <c r="AQ219" s="46">
        <v>2</v>
      </c>
      <c r="AR219" s="46"/>
      <c r="AS219" s="46"/>
      <c r="AT219" s="46"/>
      <c r="AU219" s="46" t="s">
        <v>376</v>
      </c>
      <c r="AV219" s="46"/>
      <c r="AW219" s="46" t="s">
        <v>30</v>
      </c>
      <c r="AX219" s="46"/>
      <c r="AY219" s="46" t="s">
        <v>30</v>
      </c>
      <c r="AZ219" s="46"/>
      <c r="BA219" s="47"/>
      <c r="BB219" s="51"/>
      <c r="BC219" s="46"/>
      <c r="BD219" s="46"/>
      <c r="BE219" s="46"/>
      <c r="BF219" s="46">
        <v>1</v>
      </c>
      <c r="BG219" s="46">
        <v>1</v>
      </c>
      <c r="BH219" s="46">
        <v>1</v>
      </c>
      <c r="BI219" s="46" t="s">
        <v>1191</v>
      </c>
      <c r="BJ219" s="46" t="s">
        <v>1207</v>
      </c>
      <c r="BK219" s="46">
        <v>1902</v>
      </c>
      <c r="BL219" s="46" t="str">
        <f>BK219&amp;BI219</f>
        <v>1902Derby County</v>
      </c>
      <c r="BM219" s="52" t="str">
        <f>IF(AD219="Home",BI219,IF(AD219="Away",BJ219,Q219))</f>
        <v>Nottingham</v>
      </c>
      <c r="BN219" s="46"/>
      <c r="BO219" s="46"/>
      <c r="BP219" s="46"/>
      <c r="BQ219" s="46"/>
      <c r="BR219" s="46"/>
      <c r="BS219" s="46"/>
      <c r="BT219" s="46"/>
      <c r="BU219" s="46"/>
      <c r="BV219" s="46" t="s">
        <v>376</v>
      </c>
      <c r="BW219" s="46" t="s">
        <v>376</v>
      </c>
      <c r="BX219" s="46"/>
      <c r="BY219" s="35"/>
      <c r="BZ219" s="53"/>
      <c r="CA219" s="53"/>
      <c r="CB219" s="93" t="str">
        <f>IF(OR(C219="",A219="",B219=""),"",TEXT(C219,"0000")&amp;TEXT(A219,"00")&amp;TEXT(B219,"00"))</f>
        <v>19020327</v>
      </c>
    </row>
    <row r="220" spans="1:80" s="52" customFormat="1" ht="12.95" customHeight="1" x14ac:dyDescent="0.2">
      <c r="A220" s="46">
        <v>4</v>
      </c>
      <c r="B220" s="46">
        <v>19</v>
      </c>
      <c r="C220" s="46">
        <v>1902</v>
      </c>
      <c r="D220" s="46" t="s">
        <v>658</v>
      </c>
      <c r="E220" s="46" t="s">
        <v>1220</v>
      </c>
      <c r="F220" s="47" t="s">
        <v>1010</v>
      </c>
      <c r="G220" s="46"/>
      <c r="H220" s="47" t="s">
        <v>1025</v>
      </c>
      <c r="I220" s="47"/>
      <c r="J220" s="48">
        <v>840</v>
      </c>
      <c r="K220" s="46" t="s">
        <v>629</v>
      </c>
      <c r="L220" s="46" t="s">
        <v>1014</v>
      </c>
      <c r="M220" s="46" t="s">
        <v>1207</v>
      </c>
      <c r="N220" s="49">
        <v>1</v>
      </c>
      <c r="O220" s="49">
        <v>1</v>
      </c>
      <c r="P220" s="47" t="s">
        <v>1188</v>
      </c>
      <c r="Q220" s="47" t="s">
        <v>1017</v>
      </c>
      <c r="R220" s="47" t="s">
        <v>376</v>
      </c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50">
        <f>IF(L220="W",1,0)</f>
        <v>0</v>
      </c>
      <c r="AF220" s="50">
        <f>IF(L220="T",1,0)</f>
        <v>1</v>
      </c>
      <c r="AG220" s="50">
        <f>IF(L220="L",1,0)</f>
        <v>0</v>
      </c>
      <c r="AH220" s="46" t="s">
        <v>629</v>
      </c>
      <c r="AI220" s="46" t="s">
        <v>1199</v>
      </c>
      <c r="AJ220" s="46" t="s">
        <v>376</v>
      </c>
      <c r="AK220" s="46" t="s">
        <v>658</v>
      </c>
      <c r="AL220" s="46" t="s">
        <v>1097</v>
      </c>
      <c r="AM220" s="46" t="s">
        <v>1098</v>
      </c>
      <c r="AN220" s="46" t="s">
        <v>376</v>
      </c>
      <c r="AO220" s="46" t="s">
        <v>658</v>
      </c>
      <c r="AP220" s="46"/>
      <c r="AQ220" s="46">
        <v>1</v>
      </c>
      <c r="AR220" s="46"/>
      <c r="AS220" s="46"/>
      <c r="AT220" s="46"/>
      <c r="AU220" s="46" t="s">
        <v>376</v>
      </c>
      <c r="AV220" s="46"/>
      <c r="AW220" s="46" t="s">
        <v>30</v>
      </c>
      <c r="AX220" s="46"/>
      <c r="AY220" s="46" t="s">
        <v>30</v>
      </c>
      <c r="AZ220" s="46"/>
      <c r="BA220" s="47"/>
      <c r="BB220" s="51"/>
      <c r="BC220" s="46" t="s">
        <v>30</v>
      </c>
      <c r="BD220" s="46"/>
      <c r="BE220" s="46"/>
      <c r="BF220" s="46">
        <v>1</v>
      </c>
      <c r="BG220" s="46"/>
      <c r="BH220" s="46">
        <v>1</v>
      </c>
      <c r="BI220" s="46" t="s">
        <v>629</v>
      </c>
      <c r="BJ220" s="46" t="s">
        <v>1207</v>
      </c>
      <c r="BK220" s="46">
        <v>1902</v>
      </c>
      <c r="BL220" s="46" t="str">
        <f>BK220&amp;BI220</f>
        <v>1902Southampton</v>
      </c>
      <c r="BM220" s="52" t="str">
        <f>IF(AD220="Home",BI220,IF(AD220="Away",BJ220,Q220))</f>
        <v>London</v>
      </c>
      <c r="BN220" s="46"/>
      <c r="BO220" s="46"/>
      <c r="BP220" s="46"/>
      <c r="BQ220" s="46"/>
      <c r="BR220" s="46"/>
      <c r="BS220" s="46"/>
      <c r="BT220" s="46"/>
      <c r="BU220" s="46"/>
      <c r="BV220" s="46" t="s">
        <v>376</v>
      </c>
      <c r="BW220" s="46" t="s">
        <v>376</v>
      </c>
      <c r="BX220" s="46"/>
      <c r="BZ220" s="53"/>
      <c r="CA220" s="53"/>
      <c r="CB220" s="93" t="str">
        <f>IF(OR(C220="",A220="",B220=""),"",TEXT(C220,"0000")&amp;TEXT(A220,"00")&amp;TEXT(B220,"00"))</f>
        <v>19020419</v>
      </c>
    </row>
    <row r="221" spans="1:80" s="52" customFormat="1" ht="12.95" customHeight="1" x14ac:dyDescent="0.2">
      <c r="A221" s="46">
        <v>4</v>
      </c>
      <c r="B221" s="46">
        <v>19</v>
      </c>
      <c r="C221" s="46">
        <v>1902</v>
      </c>
      <c r="D221" s="46" t="s">
        <v>658</v>
      </c>
      <c r="E221" s="46" t="s">
        <v>1220</v>
      </c>
      <c r="F221" s="47" t="s">
        <v>1010</v>
      </c>
      <c r="G221" s="46"/>
      <c r="H221" s="47" t="s">
        <v>1025</v>
      </c>
      <c r="I221" s="47"/>
      <c r="J221" s="48">
        <v>840</v>
      </c>
      <c r="K221" s="46" t="s">
        <v>1207</v>
      </c>
      <c r="L221" s="46" t="s">
        <v>1014</v>
      </c>
      <c r="M221" s="46" t="s">
        <v>629</v>
      </c>
      <c r="N221" s="49">
        <v>1</v>
      </c>
      <c r="O221" s="49">
        <v>1</v>
      </c>
      <c r="P221" s="47" t="s">
        <v>1188</v>
      </c>
      <c r="Q221" s="47" t="s">
        <v>1017</v>
      </c>
      <c r="R221" s="47" t="s">
        <v>376</v>
      </c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50">
        <f>IF(L221="W",1,0)</f>
        <v>0</v>
      </c>
      <c r="AF221" s="50">
        <f>IF(L221="T",1,0)</f>
        <v>1</v>
      </c>
      <c r="AG221" s="50">
        <f>IF(L221="L",1,0)</f>
        <v>0</v>
      </c>
      <c r="AH221" s="46" t="s">
        <v>1097</v>
      </c>
      <c r="AI221" s="46" t="s">
        <v>1098</v>
      </c>
      <c r="AJ221" s="46" t="s">
        <v>376</v>
      </c>
      <c r="AK221" s="46" t="s">
        <v>658</v>
      </c>
      <c r="AL221" s="46" t="s">
        <v>629</v>
      </c>
      <c r="AM221" s="46" t="s">
        <v>1199</v>
      </c>
      <c r="AN221" s="46" t="s">
        <v>376</v>
      </c>
      <c r="AO221" s="46" t="s">
        <v>658</v>
      </c>
      <c r="AP221" s="46"/>
      <c r="AQ221" s="46">
        <v>1</v>
      </c>
      <c r="AR221" s="46"/>
      <c r="AS221" s="46"/>
      <c r="AT221" s="46"/>
      <c r="AU221" s="46" t="s">
        <v>376</v>
      </c>
      <c r="AV221" s="46"/>
      <c r="AW221" s="46" t="s">
        <v>30</v>
      </c>
      <c r="AX221" s="46"/>
      <c r="AY221" s="46" t="s">
        <v>30</v>
      </c>
      <c r="AZ221" s="46"/>
      <c r="BA221" s="47"/>
      <c r="BB221" s="51"/>
      <c r="BC221" s="46" t="s">
        <v>30</v>
      </c>
      <c r="BD221" s="46"/>
      <c r="BE221" s="46"/>
      <c r="BF221" s="46">
        <v>1</v>
      </c>
      <c r="BG221" s="46">
        <v>1</v>
      </c>
      <c r="BH221" s="46"/>
      <c r="BI221" s="46" t="s">
        <v>1207</v>
      </c>
      <c r="BJ221" s="46" t="s">
        <v>629</v>
      </c>
      <c r="BK221" s="46">
        <v>1902</v>
      </c>
      <c r="BL221" s="46" t="str">
        <f>BK221&amp;BI221</f>
        <v>1902Sheffield United</v>
      </c>
      <c r="BM221" s="52" t="str">
        <f>IF(AD221="Home",BI221,IF(AD221="Away",BJ221,Q221))</f>
        <v>London</v>
      </c>
      <c r="BN221" s="46"/>
      <c r="BO221" s="46"/>
      <c r="BP221" s="46"/>
      <c r="BQ221" s="46"/>
      <c r="BR221" s="46"/>
      <c r="BS221" s="46"/>
      <c r="BT221" s="46"/>
      <c r="BU221" s="46"/>
      <c r="BV221" s="46" t="s">
        <v>376</v>
      </c>
      <c r="BW221" s="46" t="s">
        <v>376</v>
      </c>
      <c r="BX221" s="46"/>
      <c r="BZ221" s="53"/>
      <c r="CA221" s="53"/>
      <c r="CB221" s="93" t="str">
        <f>IF(OR(C221="",A221="",B221=""),"",TEXT(C221,"0000")&amp;TEXT(A221,"00")&amp;TEXT(B221,"00"))</f>
        <v>19020419</v>
      </c>
    </row>
    <row r="222" spans="1:80" s="52" customFormat="1" ht="12.95" customHeight="1" x14ac:dyDescent="0.2">
      <c r="A222" s="46">
        <v>4</v>
      </c>
      <c r="B222" s="46">
        <v>26</v>
      </c>
      <c r="C222" s="46">
        <v>1902</v>
      </c>
      <c r="D222" s="46" t="s">
        <v>658</v>
      </c>
      <c r="E222" s="46" t="s">
        <v>1220</v>
      </c>
      <c r="F222" s="47" t="s">
        <v>1010</v>
      </c>
      <c r="G222" s="46"/>
      <c r="H222" s="47" t="s">
        <v>1025</v>
      </c>
      <c r="I222" s="47" t="s">
        <v>1023</v>
      </c>
      <c r="J222" s="48">
        <v>847</v>
      </c>
      <c r="K222" s="46" t="s">
        <v>1207</v>
      </c>
      <c r="L222" s="46" t="s">
        <v>3</v>
      </c>
      <c r="M222" s="46" t="s">
        <v>629</v>
      </c>
      <c r="N222" s="49">
        <v>2</v>
      </c>
      <c r="O222" s="49">
        <v>1</v>
      </c>
      <c r="P222" s="47" t="s">
        <v>1188</v>
      </c>
      <c r="Q222" s="47" t="s">
        <v>1017</v>
      </c>
      <c r="R222" s="47" t="s">
        <v>376</v>
      </c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50">
        <f>IF(L222="W",1,0)</f>
        <v>1</v>
      </c>
      <c r="AF222" s="50">
        <f>IF(L222="T",1,0)</f>
        <v>0</v>
      </c>
      <c r="AG222" s="50">
        <f>IF(L222="L",1,0)</f>
        <v>0</v>
      </c>
      <c r="AH222" s="46" t="s">
        <v>1097</v>
      </c>
      <c r="AI222" s="46" t="s">
        <v>1098</v>
      </c>
      <c r="AJ222" s="46" t="s">
        <v>376</v>
      </c>
      <c r="AK222" s="46" t="s">
        <v>658</v>
      </c>
      <c r="AL222" s="46" t="s">
        <v>629</v>
      </c>
      <c r="AM222" s="46" t="s">
        <v>1199</v>
      </c>
      <c r="AN222" s="46" t="s">
        <v>376</v>
      </c>
      <c r="AO222" s="46" t="s">
        <v>658</v>
      </c>
      <c r="AP222" s="46"/>
      <c r="AQ222" s="46">
        <v>1</v>
      </c>
      <c r="AR222" s="46"/>
      <c r="AS222" s="46"/>
      <c r="AT222" s="46"/>
      <c r="AU222" s="46" t="s">
        <v>376</v>
      </c>
      <c r="AV222" s="46"/>
      <c r="AW222" s="46" t="s">
        <v>30</v>
      </c>
      <c r="AX222" s="46"/>
      <c r="AY222" s="46" t="s">
        <v>30</v>
      </c>
      <c r="AZ222" s="46"/>
      <c r="BA222" s="47"/>
      <c r="BB222" s="51" t="s">
        <v>30</v>
      </c>
      <c r="BC222" s="46" t="s">
        <v>30</v>
      </c>
      <c r="BD222" s="46"/>
      <c r="BE222" s="46"/>
      <c r="BF222" s="46">
        <v>1</v>
      </c>
      <c r="BG222" s="46">
        <v>1</v>
      </c>
      <c r="BH222" s="46"/>
      <c r="BI222" s="46" t="s">
        <v>1207</v>
      </c>
      <c r="BJ222" s="46" t="s">
        <v>629</v>
      </c>
      <c r="BK222" s="46">
        <v>1902</v>
      </c>
      <c r="BL222" s="46" t="str">
        <f>BK222&amp;BI222</f>
        <v>1902Sheffield United</v>
      </c>
      <c r="BM222" s="52" t="str">
        <f>IF(AD222="Home",BI222,IF(AD222="Away",BJ222,Q222))</f>
        <v>London</v>
      </c>
      <c r="BN222" s="46"/>
      <c r="BO222" s="46"/>
      <c r="BP222" s="46"/>
      <c r="BQ222" s="46"/>
      <c r="BR222" s="46"/>
      <c r="BS222" s="46"/>
      <c r="BT222" s="46"/>
      <c r="BU222" s="46"/>
      <c r="BV222" s="46" t="s">
        <v>376</v>
      </c>
      <c r="BW222" s="46" t="s">
        <v>376</v>
      </c>
      <c r="BX222" s="46"/>
      <c r="BZ222" s="53"/>
      <c r="CA222" s="53"/>
      <c r="CB222" s="93" t="str">
        <f>IF(OR(C222="",A222="",B222=""),"",TEXT(C222,"0000")&amp;TEXT(A222,"00")&amp;TEXT(B222,"00"))</f>
        <v>19020426</v>
      </c>
    </row>
    <row r="223" spans="1:80" s="52" customFormat="1" ht="12.95" customHeight="1" x14ac:dyDescent="0.2">
      <c r="A223" s="46">
        <v>4</v>
      </c>
      <c r="B223" s="46">
        <v>26</v>
      </c>
      <c r="C223" s="46">
        <v>1902</v>
      </c>
      <c r="D223" s="46" t="s">
        <v>658</v>
      </c>
      <c r="E223" s="46" t="s">
        <v>1220</v>
      </c>
      <c r="F223" s="47" t="s">
        <v>1010</v>
      </c>
      <c r="G223" s="46"/>
      <c r="H223" s="47" t="s">
        <v>1025</v>
      </c>
      <c r="I223" s="47" t="s">
        <v>1023</v>
      </c>
      <c r="J223" s="48">
        <v>847</v>
      </c>
      <c r="K223" s="46" t="s">
        <v>629</v>
      </c>
      <c r="L223" s="46" t="s">
        <v>4</v>
      </c>
      <c r="M223" s="46" t="s">
        <v>1207</v>
      </c>
      <c r="N223" s="49">
        <v>1</v>
      </c>
      <c r="O223" s="49">
        <v>2</v>
      </c>
      <c r="P223" s="47" t="s">
        <v>1188</v>
      </c>
      <c r="Q223" s="47" t="s">
        <v>1017</v>
      </c>
      <c r="R223" s="47" t="s">
        <v>376</v>
      </c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50">
        <f>IF(L223="W",1,0)</f>
        <v>0</v>
      </c>
      <c r="AF223" s="50">
        <f>IF(L223="T",1,0)</f>
        <v>0</v>
      </c>
      <c r="AG223" s="50">
        <f>IF(L223="L",1,0)</f>
        <v>1</v>
      </c>
      <c r="AH223" s="46" t="s">
        <v>629</v>
      </c>
      <c r="AI223" s="46" t="s">
        <v>1199</v>
      </c>
      <c r="AJ223" s="46" t="s">
        <v>376</v>
      </c>
      <c r="AK223" s="46" t="s">
        <v>658</v>
      </c>
      <c r="AL223" s="46" t="s">
        <v>1097</v>
      </c>
      <c r="AM223" s="46" t="s">
        <v>1098</v>
      </c>
      <c r="AN223" s="46" t="s">
        <v>376</v>
      </c>
      <c r="AO223" s="46" t="s">
        <v>658</v>
      </c>
      <c r="AP223" s="46"/>
      <c r="AQ223" s="46">
        <v>1</v>
      </c>
      <c r="AR223" s="46"/>
      <c r="AS223" s="46"/>
      <c r="AT223" s="46"/>
      <c r="AU223" s="46" t="s">
        <v>376</v>
      </c>
      <c r="AV223" s="46"/>
      <c r="AW223" s="46" t="s">
        <v>30</v>
      </c>
      <c r="AX223" s="46"/>
      <c r="AY223" s="46" t="s">
        <v>30</v>
      </c>
      <c r="AZ223" s="46"/>
      <c r="BA223" s="47"/>
      <c r="BB223" s="51"/>
      <c r="BC223" s="46" t="s">
        <v>30</v>
      </c>
      <c r="BD223" s="46"/>
      <c r="BE223" s="46"/>
      <c r="BF223" s="46">
        <v>1</v>
      </c>
      <c r="BG223" s="46"/>
      <c r="BH223" s="46">
        <v>1</v>
      </c>
      <c r="BI223" s="46" t="s">
        <v>629</v>
      </c>
      <c r="BJ223" s="46" t="s">
        <v>1207</v>
      </c>
      <c r="BK223" s="46">
        <v>1902</v>
      </c>
      <c r="BL223" s="46" t="str">
        <f>BK223&amp;BI223</f>
        <v>1902Southampton</v>
      </c>
      <c r="BM223" s="52" t="str">
        <f>IF(AD223="Home",BI223,IF(AD223="Away",BJ223,Q223))</f>
        <v>London</v>
      </c>
      <c r="BN223" s="46"/>
      <c r="BO223" s="46"/>
      <c r="BP223" s="46"/>
      <c r="BQ223" s="46"/>
      <c r="BR223" s="46"/>
      <c r="BS223" s="46"/>
      <c r="BT223" s="46"/>
      <c r="BU223" s="46"/>
      <c r="BV223" s="46" t="s">
        <v>376</v>
      </c>
      <c r="BW223" s="46" t="s">
        <v>376</v>
      </c>
      <c r="BX223" s="46"/>
      <c r="BZ223" s="53"/>
      <c r="CA223" s="53"/>
      <c r="CB223" s="93" t="str">
        <f>IF(OR(C223="",A223="",B223=""),"",TEXT(C223,"0000")&amp;TEXT(A223,"00")&amp;TEXT(B223,"00"))</f>
        <v>19020426</v>
      </c>
    </row>
    <row r="224" spans="1:80" s="52" customFormat="1" ht="12.95" customHeight="1" x14ac:dyDescent="0.2">
      <c r="A224" s="46">
        <v>3</v>
      </c>
      <c r="B224" s="46">
        <v>21</v>
      </c>
      <c r="C224" s="46">
        <v>1903</v>
      </c>
      <c r="D224" s="46" t="s">
        <v>658</v>
      </c>
      <c r="E224" s="46" t="s">
        <v>1223</v>
      </c>
      <c r="F224" s="47" t="s">
        <v>1010</v>
      </c>
      <c r="G224" s="46"/>
      <c r="H224" s="47" t="s">
        <v>1011</v>
      </c>
      <c r="I224" s="47"/>
      <c r="J224" s="48">
        <v>1176</v>
      </c>
      <c r="K224" s="46" t="s">
        <v>1215</v>
      </c>
      <c r="L224" s="46" t="s">
        <v>3</v>
      </c>
      <c r="M224" s="46" t="s">
        <v>806</v>
      </c>
      <c r="N224" s="49">
        <v>3</v>
      </c>
      <c r="O224" s="49">
        <v>0</v>
      </c>
      <c r="P224" s="47" t="s">
        <v>1184</v>
      </c>
      <c r="Q224" s="47" t="s">
        <v>588</v>
      </c>
      <c r="R224" s="47" t="s">
        <v>376</v>
      </c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50">
        <f>IF(L224="W",1,0)</f>
        <v>1</v>
      </c>
      <c r="AF224" s="50">
        <f>IF(L224="T",1,0)</f>
        <v>0</v>
      </c>
      <c r="AG224" s="50">
        <f>IF(L224="L",1,0)</f>
        <v>0</v>
      </c>
      <c r="AH224" s="46" t="s">
        <v>1101</v>
      </c>
      <c r="AI224" s="46" t="s">
        <v>1159</v>
      </c>
      <c r="AJ224" s="46" t="s">
        <v>376</v>
      </c>
      <c r="AK224" s="46" t="s">
        <v>658</v>
      </c>
      <c r="AL224" s="46" t="s">
        <v>1111</v>
      </c>
      <c r="AM224" s="46" t="s">
        <v>1126</v>
      </c>
      <c r="AN224" s="46" t="s">
        <v>376</v>
      </c>
      <c r="AO224" s="46" t="s">
        <v>658</v>
      </c>
      <c r="AP224" s="46"/>
      <c r="AQ224" s="46">
        <v>2</v>
      </c>
      <c r="AR224" s="46"/>
      <c r="AS224" s="46"/>
      <c r="AT224" s="46"/>
      <c r="AU224" s="46" t="s">
        <v>376</v>
      </c>
      <c r="AV224" s="46"/>
      <c r="AW224" s="46" t="s">
        <v>30</v>
      </c>
      <c r="AX224" s="46"/>
      <c r="AY224" s="46" t="s">
        <v>30</v>
      </c>
      <c r="AZ224" s="46"/>
      <c r="BA224" s="47"/>
      <c r="BB224" s="51"/>
      <c r="BC224" s="46"/>
      <c r="BD224" s="46"/>
      <c r="BE224" s="46"/>
      <c r="BF224" s="46">
        <v>1</v>
      </c>
      <c r="BG224" s="46">
        <v>1</v>
      </c>
      <c r="BH224" s="46">
        <v>1</v>
      </c>
      <c r="BI224" s="46" t="s">
        <v>1215</v>
      </c>
      <c r="BJ224" s="46" t="s">
        <v>806</v>
      </c>
      <c r="BK224" s="46">
        <v>1903</v>
      </c>
      <c r="BL224" s="46" t="str">
        <f>BK224&amp;BI224</f>
        <v>1903Bury</v>
      </c>
      <c r="BM224" s="52" t="str">
        <f>IF(AD224="Home",BI224,IF(AD224="Away",BJ224,Q224))</f>
        <v>Liverpool</v>
      </c>
      <c r="BN224" s="46"/>
      <c r="BO224" s="46"/>
      <c r="BP224" s="46"/>
      <c r="BQ224" s="46"/>
      <c r="BR224" s="46"/>
      <c r="BS224" s="46"/>
      <c r="BT224" s="46"/>
      <c r="BU224" s="46"/>
      <c r="BV224" s="46" t="s">
        <v>376</v>
      </c>
      <c r="BW224" s="46" t="s">
        <v>376</v>
      </c>
      <c r="BX224" s="46"/>
      <c r="BZ224" s="53"/>
      <c r="CA224" s="53"/>
      <c r="CB224" s="93" t="str">
        <f>IF(OR(C224="",A224="",B224=""),"",TEXT(C224,"0000")&amp;TEXT(A224,"00")&amp;TEXT(B224,"00"))</f>
        <v>19030321</v>
      </c>
    </row>
    <row r="225" spans="1:80" s="52" customFormat="1" ht="12.95" customHeight="1" x14ac:dyDescent="0.2">
      <c r="A225" s="46">
        <v>3</v>
      </c>
      <c r="B225" s="46">
        <v>21</v>
      </c>
      <c r="C225" s="46">
        <v>1903</v>
      </c>
      <c r="D225" s="46" t="s">
        <v>658</v>
      </c>
      <c r="E225" s="46" t="s">
        <v>1223</v>
      </c>
      <c r="F225" s="47" t="s">
        <v>1010</v>
      </c>
      <c r="G225" s="46"/>
      <c r="H225" s="47" t="s">
        <v>1011</v>
      </c>
      <c r="I225" s="47"/>
      <c r="J225" s="48">
        <v>1176</v>
      </c>
      <c r="K225" s="46" t="s">
        <v>806</v>
      </c>
      <c r="L225" s="46" t="s">
        <v>4</v>
      </c>
      <c r="M225" s="46" t="s">
        <v>1215</v>
      </c>
      <c r="N225" s="49">
        <v>0</v>
      </c>
      <c r="O225" s="49">
        <v>3</v>
      </c>
      <c r="P225" s="47" t="s">
        <v>1184</v>
      </c>
      <c r="Q225" s="47" t="s">
        <v>588</v>
      </c>
      <c r="R225" s="47" t="s">
        <v>376</v>
      </c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50">
        <f>IF(L225="W",1,0)</f>
        <v>0</v>
      </c>
      <c r="AF225" s="50">
        <f>IF(L225="T",1,0)</f>
        <v>0</v>
      </c>
      <c r="AG225" s="50">
        <f>IF(L225="L",1,0)</f>
        <v>1</v>
      </c>
      <c r="AH225" s="46" t="s">
        <v>1111</v>
      </c>
      <c r="AI225" s="46" t="s">
        <v>1126</v>
      </c>
      <c r="AJ225" s="46" t="s">
        <v>376</v>
      </c>
      <c r="AK225" s="46" t="s">
        <v>658</v>
      </c>
      <c r="AL225" s="46" t="s">
        <v>1101</v>
      </c>
      <c r="AM225" s="46" t="s">
        <v>1159</v>
      </c>
      <c r="AN225" s="46" t="s">
        <v>376</v>
      </c>
      <c r="AO225" s="46" t="s">
        <v>658</v>
      </c>
      <c r="AP225" s="46"/>
      <c r="AQ225" s="46">
        <v>2</v>
      </c>
      <c r="AR225" s="46"/>
      <c r="AS225" s="46"/>
      <c r="AT225" s="46"/>
      <c r="AU225" s="46" t="s">
        <v>376</v>
      </c>
      <c r="AV225" s="46"/>
      <c r="AW225" s="46" t="s">
        <v>30</v>
      </c>
      <c r="AX225" s="46"/>
      <c r="AY225" s="46" t="s">
        <v>30</v>
      </c>
      <c r="AZ225" s="46"/>
      <c r="BA225" s="47"/>
      <c r="BB225" s="51"/>
      <c r="BC225" s="46"/>
      <c r="BD225" s="46"/>
      <c r="BE225" s="46"/>
      <c r="BF225" s="46">
        <v>1</v>
      </c>
      <c r="BG225" s="46">
        <v>1</v>
      </c>
      <c r="BH225" s="46">
        <v>1</v>
      </c>
      <c r="BI225" s="46" t="s">
        <v>806</v>
      </c>
      <c r="BJ225" s="46" t="s">
        <v>1215</v>
      </c>
      <c r="BK225" s="46">
        <v>1903</v>
      </c>
      <c r="BL225" s="46" t="str">
        <f>BK225&amp;BI225</f>
        <v>1903Aston Villa</v>
      </c>
      <c r="BM225" s="52" t="str">
        <f>IF(AD225="Home",BI225,IF(AD225="Away",BJ225,Q225))</f>
        <v>Liverpool</v>
      </c>
      <c r="BN225" s="46"/>
      <c r="BO225" s="46"/>
      <c r="BP225" s="46"/>
      <c r="BQ225" s="46"/>
      <c r="BR225" s="46"/>
      <c r="BS225" s="46"/>
      <c r="BT225" s="46"/>
      <c r="BU225" s="46"/>
      <c r="BV225" s="46" t="s">
        <v>376</v>
      </c>
      <c r="BW225" s="46" t="s">
        <v>376</v>
      </c>
      <c r="BX225" s="46"/>
      <c r="BZ225" s="53"/>
      <c r="CA225" s="53"/>
      <c r="CB225" s="93" t="str">
        <f>IF(OR(C225="",A225="",B225=""),"",TEXT(C225,"0000")&amp;TEXT(A225,"00")&amp;TEXT(B225,"00"))</f>
        <v>19030321</v>
      </c>
    </row>
    <row r="226" spans="1:80" s="52" customFormat="1" ht="12.95" customHeight="1" x14ac:dyDescent="0.2">
      <c r="A226" s="46">
        <v>3</v>
      </c>
      <c r="B226" s="46">
        <v>21</v>
      </c>
      <c r="C226" s="46">
        <v>1903</v>
      </c>
      <c r="D226" s="46" t="s">
        <v>658</v>
      </c>
      <c r="E226" s="46" t="s">
        <v>1223</v>
      </c>
      <c r="F226" s="47" t="s">
        <v>1010</v>
      </c>
      <c r="G226" s="46"/>
      <c r="H226" s="47" t="s">
        <v>1011</v>
      </c>
      <c r="I226" s="47"/>
      <c r="J226" s="48">
        <v>1176</v>
      </c>
      <c r="K226" s="46" t="s">
        <v>1191</v>
      </c>
      <c r="L226" s="46" t="s">
        <v>3</v>
      </c>
      <c r="M226" s="46" t="s">
        <v>1214</v>
      </c>
      <c r="N226" s="49">
        <v>3</v>
      </c>
      <c r="O226" s="49">
        <v>0</v>
      </c>
      <c r="P226" s="47" t="s">
        <v>1219</v>
      </c>
      <c r="Q226" s="47" t="s">
        <v>1111</v>
      </c>
      <c r="R226" s="47" t="s">
        <v>376</v>
      </c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50">
        <f>IF(L226="W",1,0)</f>
        <v>1</v>
      </c>
      <c r="AF226" s="50">
        <f>IF(L226="T",1,0)</f>
        <v>0</v>
      </c>
      <c r="AG226" s="50">
        <f>IF(L226="L",1,0)</f>
        <v>0</v>
      </c>
      <c r="AH226" s="46" t="s">
        <v>979</v>
      </c>
      <c r="AI226" s="46" t="s">
        <v>1146</v>
      </c>
      <c r="AJ226" s="46" t="s">
        <v>376</v>
      </c>
      <c r="AK226" s="46" t="s">
        <v>658</v>
      </c>
      <c r="AL226" s="46" t="s">
        <v>1017</v>
      </c>
      <c r="AM226" s="46" t="s">
        <v>1018</v>
      </c>
      <c r="AN226" s="46" t="s">
        <v>376</v>
      </c>
      <c r="AO226" s="46" t="s">
        <v>658</v>
      </c>
      <c r="AP226" s="46"/>
      <c r="AQ226" s="46">
        <v>2</v>
      </c>
      <c r="AR226" s="46"/>
      <c r="AS226" s="46"/>
      <c r="AT226" s="46"/>
      <c r="AU226" s="46" t="s">
        <v>376</v>
      </c>
      <c r="AV226" s="46"/>
      <c r="AW226" s="46" t="s">
        <v>30</v>
      </c>
      <c r="AX226" s="46"/>
      <c r="AY226" s="46" t="s">
        <v>30</v>
      </c>
      <c r="AZ226" s="46"/>
      <c r="BA226" s="47"/>
      <c r="BB226" s="51"/>
      <c r="BC226" s="46"/>
      <c r="BD226" s="46"/>
      <c r="BE226" s="46"/>
      <c r="BF226" s="46">
        <v>1</v>
      </c>
      <c r="BG226" s="46">
        <v>1</v>
      </c>
      <c r="BH226" s="46"/>
      <c r="BI226" s="46" t="s">
        <v>1191</v>
      </c>
      <c r="BJ226" s="46" t="s">
        <v>1214</v>
      </c>
      <c r="BK226" s="46">
        <v>1903</v>
      </c>
      <c r="BL226" s="46" t="str">
        <f>BK226&amp;BI226</f>
        <v>1903Derby County</v>
      </c>
      <c r="BM226" s="52" t="str">
        <f>IF(AD226="Home",BI226,IF(AD226="Away",BJ226,Q226))</f>
        <v>Birmingham</v>
      </c>
      <c r="BN226" s="46"/>
      <c r="BO226" s="46"/>
      <c r="BP226" s="46"/>
      <c r="BQ226" s="46"/>
      <c r="BR226" s="46"/>
      <c r="BS226" s="46"/>
      <c r="BT226" s="46"/>
      <c r="BU226" s="46"/>
      <c r="BV226" s="46" t="s">
        <v>376</v>
      </c>
      <c r="BW226" s="46" t="s">
        <v>376</v>
      </c>
      <c r="BX226" s="46"/>
      <c r="BZ226" s="53"/>
      <c r="CA226" s="53"/>
      <c r="CB226" s="93" t="str">
        <f>IF(OR(C226="",A226="",B226=""),"",TEXT(C226,"0000")&amp;TEXT(A226,"00")&amp;TEXT(B226,"00"))</f>
        <v>19030321</v>
      </c>
    </row>
    <row r="227" spans="1:80" s="52" customFormat="1" ht="12.95" customHeight="1" x14ac:dyDescent="0.2">
      <c r="A227" s="46">
        <v>3</v>
      </c>
      <c r="B227" s="46">
        <v>21</v>
      </c>
      <c r="C227" s="46">
        <v>1903</v>
      </c>
      <c r="D227" s="46" t="s">
        <v>658</v>
      </c>
      <c r="E227" s="46" t="s">
        <v>1223</v>
      </c>
      <c r="F227" s="47" t="s">
        <v>1010</v>
      </c>
      <c r="G227" s="46"/>
      <c r="H227" s="47" t="s">
        <v>1011</v>
      </c>
      <c r="I227" s="47"/>
      <c r="J227" s="48">
        <v>1176</v>
      </c>
      <c r="K227" s="46" t="s">
        <v>1214</v>
      </c>
      <c r="L227" s="46" t="s">
        <v>4</v>
      </c>
      <c r="M227" s="46" t="s">
        <v>1191</v>
      </c>
      <c r="N227" s="49">
        <v>0</v>
      </c>
      <c r="O227" s="49">
        <v>3</v>
      </c>
      <c r="P227" s="47" t="s">
        <v>1219</v>
      </c>
      <c r="Q227" s="47" t="s">
        <v>1111</v>
      </c>
      <c r="R227" s="47" t="s">
        <v>376</v>
      </c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50">
        <f>IF(L227="W",1,0)</f>
        <v>0</v>
      </c>
      <c r="AF227" s="50">
        <f>IF(L227="T",1,0)</f>
        <v>0</v>
      </c>
      <c r="AG227" s="50">
        <f>IF(L227="L",1,0)</f>
        <v>1</v>
      </c>
      <c r="AH227" s="46" t="s">
        <v>1017</v>
      </c>
      <c r="AI227" s="46" t="s">
        <v>1018</v>
      </c>
      <c r="AJ227" s="46" t="s">
        <v>376</v>
      </c>
      <c r="AK227" s="46" t="s">
        <v>658</v>
      </c>
      <c r="AL227" s="46" t="s">
        <v>979</v>
      </c>
      <c r="AM227" s="46" t="s">
        <v>1146</v>
      </c>
      <c r="AN227" s="46" t="s">
        <v>376</v>
      </c>
      <c r="AO227" s="46" t="s">
        <v>658</v>
      </c>
      <c r="AP227" s="46"/>
      <c r="AQ227" s="46">
        <v>2</v>
      </c>
      <c r="AR227" s="46"/>
      <c r="AS227" s="46"/>
      <c r="AT227" s="46"/>
      <c r="AU227" s="46" t="s">
        <v>376</v>
      </c>
      <c r="AV227" s="46"/>
      <c r="AW227" s="46" t="s">
        <v>30</v>
      </c>
      <c r="AX227" s="46"/>
      <c r="AY227" s="46" t="s">
        <v>30</v>
      </c>
      <c r="AZ227" s="46"/>
      <c r="BA227" s="47"/>
      <c r="BB227" s="51"/>
      <c r="BC227" s="46"/>
      <c r="BD227" s="46"/>
      <c r="BE227" s="46"/>
      <c r="BF227" s="46">
        <v>1</v>
      </c>
      <c r="BG227" s="46"/>
      <c r="BH227" s="46">
        <v>1</v>
      </c>
      <c r="BI227" s="46" t="s">
        <v>1214</v>
      </c>
      <c r="BJ227" s="46" t="s">
        <v>1191</v>
      </c>
      <c r="BK227" s="46">
        <v>1903</v>
      </c>
      <c r="BL227" s="46" t="str">
        <f>BK227&amp;BI227</f>
        <v>1903Millwall</v>
      </c>
      <c r="BM227" s="52" t="str">
        <f>IF(AD227="Home",BI227,IF(AD227="Away",BJ227,Q227))</f>
        <v>Birmingham</v>
      </c>
      <c r="BN227" s="46"/>
      <c r="BO227" s="46"/>
      <c r="BP227" s="46"/>
      <c r="BQ227" s="46"/>
      <c r="BR227" s="46"/>
      <c r="BS227" s="46"/>
      <c r="BT227" s="46"/>
      <c r="BU227" s="46"/>
      <c r="BV227" s="46" t="s">
        <v>376</v>
      </c>
      <c r="BW227" s="46" t="s">
        <v>376</v>
      </c>
      <c r="BX227" s="46"/>
      <c r="BZ227" s="53"/>
      <c r="CA227" s="53"/>
      <c r="CB227" s="93" t="str">
        <f>IF(OR(C227="",A227="",B227=""),"",TEXT(C227,"0000")&amp;TEXT(A227,"00")&amp;TEXT(B227,"00"))</f>
        <v>19030321</v>
      </c>
    </row>
    <row r="228" spans="1:80" s="52" customFormat="1" ht="12.95" customHeight="1" x14ac:dyDescent="0.2">
      <c r="A228" s="46">
        <v>4</v>
      </c>
      <c r="B228" s="46">
        <v>18</v>
      </c>
      <c r="C228" s="46">
        <v>1903</v>
      </c>
      <c r="D228" s="46" t="s">
        <v>658</v>
      </c>
      <c r="E228" s="46" t="s">
        <v>1223</v>
      </c>
      <c r="F228" s="47" t="s">
        <v>1010</v>
      </c>
      <c r="G228" s="46"/>
      <c r="H228" s="47" t="s">
        <v>1025</v>
      </c>
      <c r="I228" s="47"/>
      <c r="J228" s="48">
        <v>1204</v>
      </c>
      <c r="K228" s="46" t="s">
        <v>1215</v>
      </c>
      <c r="L228" s="46" t="s">
        <v>3</v>
      </c>
      <c r="M228" s="46" t="s">
        <v>1191</v>
      </c>
      <c r="N228" s="49">
        <v>6</v>
      </c>
      <c r="O228" s="49">
        <v>0</v>
      </c>
      <c r="P228" s="47" t="s">
        <v>1188</v>
      </c>
      <c r="Q228" s="47" t="s">
        <v>1017</v>
      </c>
      <c r="R228" s="47" t="s">
        <v>376</v>
      </c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50">
        <f>IF(L228="W",1,0)</f>
        <v>1</v>
      </c>
      <c r="AF228" s="50">
        <f>IF(L228="T",1,0)</f>
        <v>0</v>
      </c>
      <c r="AG228" s="50">
        <f>IF(L228="L",1,0)</f>
        <v>0</v>
      </c>
      <c r="AH228" s="46" t="s">
        <v>1101</v>
      </c>
      <c r="AI228" s="46" t="s">
        <v>1159</v>
      </c>
      <c r="AJ228" s="46" t="s">
        <v>376</v>
      </c>
      <c r="AK228" s="46" t="s">
        <v>658</v>
      </c>
      <c r="AL228" s="46" t="s">
        <v>979</v>
      </c>
      <c r="AM228" s="46" t="s">
        <v>1146</v>
      </c>
      <c r="AN228" s="46" t="s">
        <v>376</v>
      </c>
      <c r="AO228" s="46" t="s">
        <v>658</v>
      </c>
      <c r="AP228" s="46"/>
      <c r="AQ228" s="46">
        <v>1</v>
      </c>
      <c r="AR228" s="46"/>
      <c r="AS228" s="46"/>
      <c r="AT228" s="46"/>
      <c r="AU228" s="46" t="s">
        <v>376</v>
      </c>
      <c r="AV228" s="46"/>
      <c r="AW228" s="46" t="s">
        <v>30</v>
      </c>
      <c r="AX228" s="46"/>
      <c r="AY228" s="46" t="s">
        <v>30</v>
      </c>
      <c r="AZ228" s="46"/>
      <c r="BA228" s="47"/>
      <c r="BB228" s="51" t="s">
        <v>30</v>
      </c>
      <c r="BC228" s="46" t="s">
        <v>30</v>
      </c>
      <c r="BD228" s="46"/>
      <c r="BE228" s="46"/>
      <c r="BF228" s="46">
        <v>1</v>
      </c>
      <c r="BG228" s="46">
        <v>1</v>
      </c>
      <c r="BH228" s="46">
        <v>1</v>
      </c>
      <c r="BI228" s="46" t="s">
        <v>1215</v>
      </c>
      <c r="BJ228" s="46" t="s">
        <v>1191</v>
      </c>
      <c r="BK228" s="46">
        <v>1903</v>
      </c>
      <c r="BL228" s="46" t="str">
        <f>BK228&amp;BI228</f>
        <v>1903Bury</v>
      </c>
      <c r="BM228" s="52" t="str">
        <f>IF(AD228="Home",BI228,IF(AD228="Away",BJ228,Q228))</f>
        <v>London</v>
      </c>
      <c r="BN228" s="46"/>
      <c r="BO228" s="46"/>
      <c r="BP228" s="46"/>
      <c r="BQ228" s="46"/>
      <c r="BR228" s="46"/>
      <c r="BS228" s="46"/>
      <c r="BT228" s="46"/>
      <c r="BU228" s="46"/>
      <c r="BV228" s="46" t="s">
        <v>376</v>
      </c>
      <c r="BW228" s="46" t="s">
        <v>376</v>
      </c>
      <c r="BX228" s="46"/>
      <c r="BZ228" s="53"/>
      <c r="CA228" s="53"/>
      <c r="CB228" s="93" t="str">
        <f>IF(OR(C228="",A228="",B228=""),"",TEXT(C228,"0000")&amp;TEXT(A228,"00")&amp;TEXT(B228,"00"))</f>
        <v>19030418</v>
      </c>
    </row>
    <row r="229" spans="1:80" s="52" customFormat="1" ht="12.95" customHeight="1" x14ac:dyDescent="0.2">
      <c r="A229" s="46">
        <v>4</v>
      </c>
      <c r="B229" s="46">
        <v>18</v>
      </c>
      <c r="C229" s="46">
        <v>1903</v>
      </c>
      <c r="D229" s="46" t="s">
        <v>658</v>
      </c>
      <c r="E229" s="46" t="s">
        <v>1223</v>
      </c>
      <c r="F229" s="47" t="s">
        <v>1010</v>
      </c>
      <c r="G229" s="46"/>
      <c r="H229" s="47" t="s">
        <v>1025</v>
      </c>
      <c r="I229" s="47"/>
      <c r="J229" s="48">
        <v>1204</v>
      </c>
      <c r="K229" s="46" t="s">
        <v>1191</v>
      </c>
      <c r="L229" s="46" t="s">
        <v>4</v>
      </c>
      <c r="M229" s="46" t="s">
        <v>1215</v>
      </c>
      <c r="N229" s="49">
        <v>0</v>
      </c>
      <c r="O229" s="49">
        <v>6</v>
      </c>
      <c r="P229" s="47" t="s">
        <v>1188</v>
      </c>
      <c r="Q229" s="47" t="s">
        <v>1017</v>
      </c>
      <c r="R229" s="47" t="s">
        <v>376</v>
      </c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50">
        <f>IF(L229="W",1,0)</f>
        <v>0</v>
      </c>
      <c r="AF229" s="50">
        <f>IF(L229="T",1,0)</f>
        <v>0</v>
      </c>
      <c r="AG229" s="50">
        <f>IF(L229="L",1,0)</f>
        <v>1</v>
      </c>
      <c r="AH229" s="46" t="s">
        <v>979</v>
      </c>
      <c r="AI229" s="46" t="s">
        <v>1146</v>
      </c>
      <c r="AJ229" s="46" t="s">
        <v>376</v>
      </c>
      <c r="AK229" s="46" t="s">
        <v>658</v>
      </c>
      <c r="AL229" s="46" t="s">
        <v>1101</v>
      </c>
      <c r="AM229" s="46" t="s">
        <v>1159</v>
      </c>
      <c r="AN229" s="46" t="s">
        <v>376</v>
      </c>
      <c r="AO229" s="46" t="s">
        <v>658</v>
      </c>
      <c r="AP229" s="46"/>
      <c r="AQ229" s="46">
        <v>1</v>
      </c>
      <c r="AR229" s="46"/>
      <c r="AS229" s="46"/>
      <c r="AT229" s="46"/>
      <c r="AU229" s="46" t="s">
        <v>376</v>
      </c>
      <c r="AV229" s="46"/>
      <c r="AW229" s="46" t="s">
        <v>30</v>
      </c>
      <c r="AX229" s="46"/>
      <c r="AY229" s="46" t="s">
        <v>30</v>
      </c>
      <c r="AZ229" s="46"/>
      <c r="BA229" s="47"/>
      <c r="BB229" s="51"/>
      <c r="BC229" s="46" t="s">
        <v>30</v>
      </c>
      <c r="BD229" s="46"/>
      <c r="BE229" s="46"/>
      <c r="BF229" s="46">
        <v>1</v>
      </c>
      <c r="BG229" s="46">
        <v>1</v>
      </c>
      <c r="BH229" s="46">
        <v>1</v>
      </c>
      <c r="BI229" s="46" t="s">
        <v>1191</v>
      </c>
      <c r="BJ229" s="46" t="s">
        <v>1215</v>
      </c>
      <c r="BK229" s="46">
        <v>1903</v>
      </c>
      <c r="BL229" s="46" t="str">
        <f>BK229&amp;BI229</f>
        <v>1903Derby County</v>
      </c>
      <c r="BM229" s="52" t="str">
        <f>IF(AD229="Home",BI229,IF(AD229="Away",BJ229,Q229))</f>
        <v>London</v>
      </c>
      <c r="BN229" s="46"/>
      <c r="BO229" s="46"/>
      <c r="BP229" s="46"/>
      <c r="BQ229" s="46"/>
      <c r="BR229" s="46"/>
      <c r="BS229" s="46"/>
      <c r="BT229" s="46"/>
      <c r="BU229" s="46"/>
      <c r="BV229" s="46" t="s">
        <v>376</v>
      </c>
      <c r="BW229" s="46" t="s">
        <v>376</v>
      </c>
      <c r="BX229" s="46"/>
      <c r="BZ229" s="53"/>
      <c r="CA229" s="53"/>
      <c r="CB229" s="93" t="str">
        <f>IF(OR(C229="",A229="",B229=""),"",TEXT(C229,"0000")&amp;TEXT(A229,"00")&amp;TEXT(B229,"00"))</f>
        <v>19030418</v>
      </c>
    </row>
    <row r="230" spans="1:80" s="52" customFormat="1" ht="12.95" customHeight="1" x14ac:dyDescent="0.2">
      <c r="A230" s="46">
        <v>3</v>
      </c>
      <c r="B230" s="46">
        <v>19</v>
      </c>
      <c r="C230" s="46">
        <v>1904</v>
      </c>
      <c r="D230" s="46" t="s">
        <v>658</v>
      </c>
      <c r="E230" s="46" t="s">
        <v>1224</v>
      </c>
      <c r="F230" s="47" t="s">
        <v>1010</v>
      </c>
      <c r="G230" s="46"/>
      <c r="H230" s="47" t="s">
        <v>1011</v>
      </c>
      <c r="I230" s="47"/>
      <c r="J230" s="48">
        <v>1540</v>
      </c>
      <c r="K230" s="46" t="s">
        <v>823</v>
      </c>
      <c r="L230" s="46" t="s">
        <v>3</v>
      </c>
      <c r="M230" s="46" t="s">
        <v>1093</v>
      </c>
      <c r="N230" s="49">
        <v>3</v>
      </c>
      <c r="O230" s="49">
        <v>0</v>
      </c>
      <c r="P230" s="47" t="s">
        <v>1184</v>
      </c>
      <c r="Q230" s="47" t="s">
        <v>588</v>
      </c>
      <c r="R230" s="47" t="s">
        <v>376</v>
      </c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50">
        <f>IF(L230="W",1,0)</f>
        <v>1</v>
      </c>
      <c r="AF230" s="50">
        <f>IF(L230="T",1,0)</f>
        <v>0</v>
      </c>
      <c r="AG230" s="50">
        <f>IF(L230="L",1,0)</f>
        <v>0</v>
      </c>
      <c r="AH230" s="46" t="s">
        <v>1101</v>
      </c>
      <c r="AI230" s="46" t="s">
        <v>1159</v>
      </c>
      <c r="AJ230" s="46" t="s">
        <v>376</v>
      </c>
      <c r="AK230" s="46" t="s">
        <v>658</v>
      </c>
      <c r="AL230" s="46" t="s">
        <v>1097</v>
      </c>
      <c r="AM230" s="46" t="s">
        <v>1098</v>
      </c>
      <c r="AN230" s="46" t="s">
        <v>376</v>
      </c>
      <c r="AO230" s="46" t="s">
        <v>658</v>
      </c>
      <c r="AP230" s="46"/>
      <c r="AQ230" s="46">
        <v>2</v>
      </c>
      <c r="AR230" s="46"/>
      <c r="AS230" s="46"/>
      <c r="AT230" s="46"/>
      <c r="AU230" s="46" t="s">
        <v>376</v>
      </c>
      <c r="AV230" s="46"/>
      <c r="AW230" s="46" t="s">
        <v>30</v>
      </c>
      <c r="AX230" s="46"/>
      <c r="AY230" s="46" t="s">
        <v>30</v>
      </c>
      <c r="AZ230" s="46"/>
      <c r="BA230" s="47"/>
      <c r="BB230" s="51"/>
      <c r="BC230" s="46"/>
      <c r="BD230" s="46"/>
      <c r="BE230" s="46"/>
      <c r="BF230" s="46">
        <v>1</v>
      </c>
      <c r="BG230" s="46">
        <v>1</v>
      </c>
      <c r="BH230" s="46">
        <v>1</v>
      </c>
      <c r="BI230" s="46" t="s">
        <v>823</v>
      </c>
      <c r="BJ230" s="46" t="s">
        <v>1093</v>
      </c>
      <c r="BK230" s="46">
        <v>1904</v>
      </c>
      <c r="BL230" s="46" t="str">
        <f>BK230&amp;BI230</f>
        <v>1904Manchester City</v>
      </c>
      <c r="BM230" s="52" t="str">
        <f>IF(AD230="Home",BI230,IF(AD230="Away",BJ230,Q230))</f>
        <v>Liverpool</v>
      </c>
      <c r="BN230" s="46"/>
      <c r="BO230" s="46"/>
      <c r="BP230" s="46"/>
      <c r="BQ230" s="46"/>
      <c r="BR230" s="46"/>
      <c r="BS230" s="46"/>
      <c r="BT230" s="46"/>
      <c r="BU230" s="46"/>
      <c r="BV230" s="46" t="s">
        <v>376</v>
      </c>
      <c r="BW230" s="46" t="s">
        <v>376</v>
      </c>
      <c r="BX230" s="46"/>
      <c r="BZ230" s="53"/>
      <c r="CA230" s="53"/>
      <c r="CB230" s="93" t="str">
        <f>IF(OR(C230="",A230="",B230=""),"",TEXT(C230,"0000")&amp;TEXT(A230,"00")&amp;TEXT(B230,"00"))</f>
        <v>19040319</v>
      </c>
    </row>
    <row r="231" spans="1:80" s="52" customFormat="1" ht="12.95" customHeight="1" x14ac:dyDescent="0.2">
      <c r="A231" s="46">
        <v>3</v>
      </c>
      <c r="B231" s="46">
        <v>19</v>
      </c>
      <c r="C231" s="46">
        <v>1904</v>
      </c>
      <c r="D231" s="46" t="s">
        <v>658</v>
      </c>
      <c r="E231" s="46" t="s">
        <v>1224</v>
      </c>
      <c r="F231" s="47" t="s">
        <v>1010</v>
      </c>
      <c r="G231" s="46"/>
      <c r="H231" s="47" t="s">
        <v>1011</v>
      </c>
      <c r="I231" s="47"/>
      <c r="J231" s="48">
        <v>1540</v>
      </c>
      <c r="K231" s="46" t="s">
        <v>1093</v>
      </c>
      <c r="L231" s="46" t="s">
        <v>4</v>
      </c>
      <c r="M231" s="46" t="s">
        <v>823</v>
      </c>
      <c r="N231" s="49">
        <v>0</v>
      </c>
      <c r="O231" s="49">
        <v>3</v>
      </c>
      <c r="P231" s="47" t="s">
        <v>1184</v>
      </c>
      <c r="Q231" s="47" t="s">
        <v>588</v>
      </c>
      <c r="R231" s="47" t="s">
        <v>376</v>
      </c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50">
        <f>IF(L231="W",1,0)</f>
        <v>0</v>
      </c>
      <c r="AF231" s="50">
        <f>IF(L231="T",1,0)</f>
        <v>0</v>
      </c>
      <c r="AG231" s="50">
        <f>IF(L231="L",1,0)</f>
        <v>1</v>
      </c>
      <c r="AH231" s="46" t="s">
        <v>1097</v>
      </c>
      <c r="AI231" s="46" t="s">
        <v>1098</v>
      </c>
      <c r="AJ231" s="46" t="s">
        <v>376</v>
      </c>
      <c r="AK231" s="46" t="s">
        <v>658</v>
      </c>
      <c r="AL231" s="46" t="s">
        <v>1101</v>
      </c>
      <c r="AM231" s="46" t="s">
        <v>1159</v>
      </c>
      <c r="AN231" s="46" t="s">
        <v>376</v>
      </c>
      <c r="AO231" s="46" t="s">
        <v>658</v>
      </c>
      <c r="AP231" s="46"/>
      <c r="AQ231" s="46">
        <v>2</v>
      </c>
      <c r="AR231" s="46"/>
      <c r="AS231" s="46"/>
      <c r="AT231" s="46"/>
      <c r="AU231" s="46" t="s">
        <v>376</v>
      </c>
      <c r="AV231" s="46"/>
      <c r="AW231" s="46" t="s">
        <v>30</v>
      </c>
      <c r="AX231" s="46"/>
      <c r="AY231" s="46" t="s">
        <v>30</v>
      </c>
      <c r="AZ231" s="46"/>
      <c r="BA231" s="47"/>
      <c r="BB231" s="51"/>
      <c r="BC231" s="46"/>
      <c r="BD231" s="46"/>
      <c r="BE231" s="46"/>
      <c r="BF231" s="46">
        <v>1</v>
      </c>
      <c r="BG231" s="46">
        <v>1</v>
      </c>
      <c r="BH231" s="46">
        <v>1</v>
      </c>
      <c r="BI231" s="46" t="s">
        <v>1093</v>
      </c>
      <c r="BJ231" s="46" t="s">
        <v>823</v>
      </c>
      <c r="BK231" s="46">
        <v>1904</v>
      </c>
      <c r="BL231" s="46" t="str">
        <f>BK231&amp;BI231</f>
        <v>1904Sheffield Wednesday</v>
      </c>
      <c r="BM231" s="52" t="str">
        <f>IF(AD231="Home",BI231,IF(AD231="Away",BJ231,Q231))</f>
        <v>Liverpool</v>
      </c>
      <c r="BN231" s="46"/>
      <c r="BO231" s="46"/>
      <c r="BP231" s="46"/>
      <c r="BQ231" s="46"/>
      <c r="BR231" s="46"/>
      <c r="BS231" s="46"/>
      <c r="BT231" s="46"/>
      <c r="BU231" s="46"/>
      <c r="BV231" s="46" t="s">
        <v>376</v>
      </c>
      <c r="BW231" s="46" t="s">
        <v>376</v>
      </c>
      <c r="BX231" s="46"/>
      <c r="BZ231" s="53"/>
      <c r="CA231" s="53"/>
      <c r="CB231" s="93" t="str">
        <f>IF(OR(C231="",A231="",B231=""),"",TEXT(C231,"0000")&amp;TEXT(A231,"00")&amp;TEXT(B231,"00"))</f>
        <v>19040319</v>
      </c>
    </row>
    <row r="232" spans="1:80" s="52" customFormat="1" ht="12.95" customHeight="1" x14ac:dyDescent="0.2">
      <c r="A232" s="46">
        <v>3</v>
      </c>
      <c r="B232" s="46">
        <v>19</v>
      </c>
      <c r="C232" s="46">
        <v>1904</v>
      </c>
      <c r="D232" s="46" t="s">
        <v>658</v>
      </c>
      <c r="E232" s="46" t="s">
        <v>1224</v>
      </c>
      <c r="F232" s="47" t="s">
        <v>1010</v>
      </c>
      <c r="G232" s="46"/>
      <c r="H232" s="47" t="s">
        <v>1011</v>
      </c>
      <c r="I232" s="47"/>
      <c r="J232" s="48">
        <v>1540</v>
      </c>
      <c r="K232" s="46" t="s">
        <v>1157</v>
      </c>
      <c r="L232" s="46" t="s">
        <v>3</v>
      </c>
      <c r="M232" s="46" t="s">
        <v>1191</v>
      </c>
      <c r="N232" s="49">
        <v>1</v>
      </c>
      <c r="O232" s="49">
        <v>0</v>
      </c>
      <c r="P232" s="47" t="s">
        <v>1152</v>
      </c>
      <c r="Q232" s="47" t="s">
        <v>1111</v>
      </c>
      <c r="R232" s="47" t="s">
        <v>376</v>
      </c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50">
        <f>IF(L232="W",1,0)</f>
        <v>1</v>
      </c>
      <c r="AF232" s="50">
        <f>IF(L232="T",1,0)</f>
        <v>0</v>
      </c>
      <c r="AG232" s="50">
        <f>IF(L232="L",1,0)</f>
        <v>0</v>
      </c>
      <c r="AH232" s="46" t="s">
        <v>1101</v>
      </c>
      <c r="AI232" s="46" t="s">
        <v>1159</v>
      </c>
      <c r="AJ232" s="46" t="s">
        <v>376</v>
      </c>
      <c r="AK232" s="46" t="s">
        <v>658</v>
      </c>
      <c r="AL232" s="46" t="s">
        <v>979</v>
      </c>
      <c r="AM232" s="46" t="s">
        <v>1146</v>
      </c>
      <c r="AN232" s="46" t="s">
        <v>376</v>
      </c>
      <c r="AO232" s="46" t="s">
        <v>658</v>
      </c>
      <c r="AP232" s="46"/>
      <c r="AQ232" s="46">
        <v>2</v>
      </c>
      <c r="AR232" s="46"/>
      <c r="AS232" s="46"/>
      <c r="AT232" s="46"/>
      <c r="AU232" s="46" t="s">
        <v>376</v>
      </c>
      <c r="AV232" s="46"/>
      <c r="AW232" s="46" t="s">
        <v>30</v>
      </c>
      <c r="AX232" s="46"/>
      <c r="AY232" s="46" t="s">
        <v>30</v>
      </c>
      <c r="AZ232" s="46"/>
      <c r="BA232" s="47"/>
      <c r="BB232" s="51"/>
      <c r="BC232" s="46"/>
      <c r="BD232" s="46"/>
      <c r="BE232" s="46"/>
      <c r="BF232" s="46">
        <v>1</v>
      </c>
      <c r="BG232" s="46">
        <v>2</v>
      </c>
      <c r="BH232" s="46">
        <v>1</v>
      </c>
      <c r="BI232" s="46" t="s">
        <v>1157</v>
      </c>
      <c r="BJ232" s="46" t="s">
        <v>1191</v>
      </c>
      <c r="BK232" s="46">
        <v>1904</v>
      </c>
      <c r="BL232" s="46" t="str">
        <f>BK232&amp;BI232</f>
        <v>1904Bolton Wanderers</v>
      </c>
      <c r="BM232" s="52" t="str">
        <f>IF(AD232="Home",BI232,IF(AD232="Away",BJ232,Q232))</f>
        <v>Birmingham</v>
      </c>
      <c r="BN232" s="46"/>
      <c r="BO232" s="46"/>
      <c r="BP232" s="46"/>
      <c r="BQ232" s="46"/>
      <c r="BR232" s="46"/>
      <c r="BS232" s="46"/>
      <c r="BT232" s="46"/>
      <c r="BU232" s="46"/>
      <c r="BV232" s="46" t="s">
        <v>376</v>
      </c>
      <c r="BW232" s="46" t="s">
        <v>376</v>
      </c>
      <c r="BX232" s="46"/>
      <c r="BZ232" s="53"/>
      <c r="CA232" s="53"/>
      <c r="CB232" s="93" t="str">
        <f>IF(OR(C232="",A232="",B232=""),"",TEXT(C232,"0000")&amp;TEXT(A232,"00")&amp;TEXT(B232,"00"))</f>
        <v>19040319</v>
      </c>
    </row>
    <row r="233" spans="1:80" s="52" customFormat="1" ht="12.95" customHeight="1" x14ac:dyDescent="0.2">
      <c r="A233" s="46">
        <v>3</v>
      </c>
      <c r="B233" s="46">
        <v>19</v>
      </c>
      <c r="C233" s="46">
        <v>1904</v>
      </c>
      <c r="D233" s="46" t="s">
        <v>658</v>
      </c>
      <c r="E233" s="46" t="s">
        <v>1224</v>
      </c>
      <c r="F233" s="47" t="s">
        <v>1010</v>
      </c>
      <c r="G233" s="46"/>
      <c r="H233" s="47" t="s">
        <v>1011</v>
      </c>
      <c r="I233" s="47"/>
      <c r="J233" s="48">
        <v>1540</v>
      </c>
      <c r="K233" s="46" t="s">
        <v>1191</v>
      </c>
      <c r="L233" s="46" t="s">
        <v>4</v>
      </c>
      <c r="M233" s="46" t="s">
        <v>1157</v>
      </c>
      <c r="N233" s="49">
        <v>0</v>
      </c>
      <c r="O233" s="49">
        <v>1</v>
      </c>
      <c r="P233" s="47" t="s">
        <v>1152</v>
      </c>
      <c r="Q233" s="47" t="s">
        <v>1111</v>
      </c>
      <c r="R233" s="47" t="s">
        <v>376</v>
      </c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50">
        <f>IF(L233="W",1,0)</f>
        <v>0</v>
      </c>
      <c r="AF233" s="50">
        <f>IF(L233="T",1,0)</f>
        <v>0</v>
      </c>
      <c r="AG233" s="50">
        <f>IF(L233="L",1,0)</f>
        <v>1</v>
      </c>
      <c r="AH233" s="46" t="s">
        <v>979</v>
      </c>
      <c r="AI233" s="46" t="s">
        <v>1146</v>
      </c>
      <c r="AJ233" s="46" t="s">
        <v>376</v>
      </c>
      <c r="AK233" s="46" t="s">
        <v>658</v>
      </c>
      <c r="AL233" s="46" t="s">
        <v>1101</v>
      </c>
      <c r="AM233" s="46" t="s">
        <v>1159</v>
      </c>
      <c r="AN233" s="46" t="s">
        <v>376</v>
      </c>
      <c r="AO233" s="46" t="s">
        <v>658</v>
      </c>
      <c r="AP233" s="46"/>
      <c r="AQ233" s="46">
        <v>2</v>
      </c>
      <c r="AR233" s="46"/>
      <c r="AS233" s="46"/>
      <c r="AT233" s="46"/>
      <c r="AU233" s="46" t="s">
        <v>376</v>
      </c>
      <c r="AV233" s="46"/>
      <c r="AW233" s="46" t="s">
        <v>30</v>
      </c>
      <c r="AX233" s="46"/>
      <c r="AY233" s="46" t="s">
        <v>30</v>
      </c>
      <c r="AZ233" s="46"/>
      <c r="BA233" s="47"/>
      <c r="BB233" s="51"/>
      <c r="BC233" s="46"/>
      <c r="BD233" s="46"/>
      <c r="BE233" s="46"/>
      <c r="BF233" s="46">
        <v>1</v>
      </c>
      <c r="BG233" s="46">
        <v>1</v>
      </c>
      <c r="BH233" s="46">
        <v>2</v>
      </c>
      <c r="BI233" s="46" t="s">
        <v>1191</v>
      </c>
      <c r="BJ233" s="46" t="s">
        <v>1157</v>
      </c>
      <c r="BK233" s="46">
        <v>1904</v>
      </c>
      <c r="BL233" s="46" t="str">
        <f>BK233&amp;BI233</f>
        <v>1904Derby County</v>
      </c>
      <c r="BM233" s="52" t="str">
        <f>IF(AD233="Home",BI233,IF(AD233="Away",BJ233,Q233))</f>
        <v>Birmingham</v>
      </c>
      <c r="BN233" s="46"/>
      <c r="BO233" s="46"/>
      <c r="BP233" s="46"/>
      <c r="BQ233" s="46"/>
      <c r="BR233" s="46"/>
      <c r="BS233" s="46"/>
      <c r="BT233" s="46"/>
      <c r="BU233" s="46"/>
      <c r="BV233" s="46" t="s">
        <v>376</v>
      </c>
      <c r="BW233" s="46" t="s">
        <v>376</v>
      </c>
      <c r="BX233" s="46"/>
      <c r="BZ233" s="53"/>
      <c r="CA233" s="53"/>
      <c r="CB233" s="93" t="str">
        <f>IF(OR(C233="",A233="",B233=""),"",TEXT(C233,"0000")&amp;TEXT(A233,"00")&amp;TEXT(B233,"00"))</f>
        <v>19040319</v>
      </c>
    </row>
    <row r="234" spans="1:80" s="52" customFormat="1" ht="12.95" customHeight="1" x14ac:dyDescent="0.2">
      <c r="A234" s="46">
        <v>4</v>
      </c>
      <c r="B234" s="46">
        <v>23</v>
      </c>
      <c r="C234" s="46">
        <v>1904</v>
      </c>
      <c r="D234" s="46" t="s">
        <v>658</v>
      </c>
      <c r="E234" s="46" t="s">
        <v>1224</v>
      </c>
      <c r="F234" s="47" t="s">
        <v>1010</v>
      </c>
      <c r="G234" s="46"/>
      <c r="H234" s="47" t="s">
        <v>1025</v>
      </c>
      <c r="I234" s="47"/>
      <c r="J234" s="48">
        <v>1575</v>
      </c>
      <c r="K234" s="46" t="s">
        <v>823</v>
      </c>
      <c r="L234" s="46" t="s">
        <v>3</v>
      </c>
      <c r="M234" s="46" t="s">
        <v>1157</v>
      </c>
      <c r="N234" s="49">
        <v>1</v>
      </c>
      <c r="O234" s="49">
        <v>0</v>
      </c>
      <c r="P234" s="47" t="s">
        <v>1188</v>
      </c>
      <c r="Q234" s="47" t="s">
        <v>1017</v>
      </c>
      <c r="R234" s="47" t="s">
        <v>376</v>
      </c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50">
        <f>IF(L234="W",1,0)</f>
        <v>1</v>
      </c>
      <c r="AF234" s="50">
        <f>IF(L234="T",1,0)</f>
        <v>0</v>
      </c>
      <c r="AG234" s="50">
        <f>IF(L234="L",1,0)</f>
        <v>0</v>
      </c>
      <c r="AH234" s="46" t="s">
        <v>1101</v>
      </c>
      <c r="AI234" s="46" t="s">
        <v>1159</v>
      </c>
      <c r="AJ234" s="46" t="s">
        <v>376</v>
      </c>
      <c r="AK234" s="46" t="s">
        <v>658</v>
      </c>
      <c r="AL234" s="46" t="s">
        <v>1101</v>
      </c>
      <c r="AM234" s="46" t="s">
        <v>1159</v>
      </c>
      <c r="AN234" s="46" t="s">
        <v>376</v>
      </c>
      <c r="AO234" s="46" t="s">
        <v>658</v>
      </c>
      <c r="AP234" s="46"/>
      <c r="AQ234" s="46">
        <v>1</v>
      </c>
      <c r="AR234" s="46"/>
      <c r="AS234" s="46"/>
      <c r="AT234" s="46"/>
      <c r="AU234" s="46" t="s">
        <v>376</v>
      </c>
      <c r="AV234" s="46"/>
      <c r="AW234" s="46" t="s">
        <v>30</v>
      </c>
      <c r="AX234" s="46"/>
      <c r="AY234" s="46" t="s">
        <v>30</v>
      </c>
      <c r="AZ234" s="46"/>
      <c r="BA234" s="47"/>
      <c r="BB234" s="51" t="s">
        <v>30</v>
      </c>
      <c r="BC234" s="46" t="s">
        <v>30</v>
      </c>
      <c r="BD234" s="46"/>
      <c r="BE234" s="46"/>
      <c r="BF234" s="46">
        <v>1</v>
      </c>
      <c r="BG234" s="46">
        <v>1</v>
      </c>
      <c r="BH234" s="46">
        <v>2</v>
      </c>
      <c r="BI234" s="46" t="s">
        <v>823</v>
      </c>
      <c r="BJ234" s="46" t="s">
        <v>1157</v>
      </c>
      <c r="BK234" s="46">
        <v>1904</v>
      </c>
      <c r="BL234" s="46" t="str">
        <f>BK234&amp;BI234</f>
        <v>1904Manchester City</v>
      </c>
      <c r="BM234" s="52" t="str">
        <f>IF(AD234="Home",BI234,IF(AD234="Away",BJ234,Q234))</f>
        <v>London</v>
      </c>
      <c r="BN234" s="46"/>
      <c r="BO234" s="46"/>
      <c r="BP234" s="46"/>
      <c r="BQ234" s="46"/>
      <c r="BR234" s="46"/>
      <c r="BS234" s="46"/>
      <c r="BT234" s="46"/>
      <c r="BU234" s="46"/>
      <c r="BV234" s="46" t="s">
        <v>376</v>
      </c>
      <c r="BW234" s="46" t="s">
        <v>376</v>
      </c>
      <c r="BX234" s="46"/>
      <c r="BZ234" s="53"/>
      <c r="CA234" s="53"/>
      <c r="CB234" s="93" t="str">
        <f>IF(OR(C234="",A234="",B234=""),"",TEXT(C234,"0000")&amp;TEXT(A234,"00")&amp;TEXT(B234,"00"))</f>
        <v>19040423</v>
      </c>
    </row>
    <row r="235" spans="1:80" s="52" customFormat="1" ht="12.95" customHeight="1" x14ac:dyDescent="0.2">
      <c r="A235" s="46">
        <v>4</v>
      </c>
      <c r="B235" s="46">
        <v>23</v>
      </c>
      <c r="C235" s="46">
        <v>1904</v>
      </c>
      <c r="D235" s="46" t="s">
        <v>658</v>
      </c>
      <c r="E235" s="46" t="s">
        <v>1224</v>
      </c>
      <c r="F235" s="47" t="s">
        <v>1010</v>
      </c>
      <c r="G235" s="46"/>
      <c r="H235" s="47" t="s">
        <v>1025</v>
      </c>
      <c r="I235" s="47"/>
      <c r="J235" s="48">
        <v>1575</v>
      </c>
      <c r="K235" s="46" t="s">
        <v>1157</v>
      </c>
      <c r="L235" s="46" t="s">
        <v>4</v>
      </c>
      <c r="M235" s="46" t="s">
        <v>823</v>
      </c>
      <c r="N235" s="49">
        <v>0</v>
      </c>
      <c r="O235" s="49">
        <v>1</v>
      </c>
      <c r="P235" s="47" t="s">
        <v>1188</v>
      </c>
      <c r="Q235" s="47" t="s">
        <v>1017</v>
      </c>
      <c r="R235" s="47" t="s">
        <v>376</v>
      </c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50">
        <f>IF(L235="W",1,0)</f>
        <v>0</v>
      </c>
      <c r="AF235" s="50">
        <f>IF(L235="T",1,0)</f>
        <v>0</v>
      </c>
      <c r="AG235" s="50">
        <f>IF(L235="L",1,0)</f>
        <v>1</v>
      </c>
      <c r="AH235" s="46" t="s">
        <v>1101</v>
      </c>
      <c r="AI235" s="46" t="s">
        <v>1159</v>
      </c>
      <c r="AJ235" s="46" t="s">
        <v>376</v>
      </c>
      <c r="AK235" s="46" t="s">
        <v>658</v>
      </c>
      <c r="AL235" s="46" t="s">
        <v>1101</v>
      </c>
      <c r="AM235" s="46" t="s">
        <v>1159</v>
      </c>
      <c r="AN235" s="46" t="s">
        <v>376</v>
      </c>
      <c r="AO235" s="46" t="s">
        <v>658</v>
      </c>
      <c r="AP235" s="46"/>
      <c r="AQ235" s="46">
        <v>1</v>
      </c>
      <c r="AR235" s="46"/>
      <c r="AS235" s="46"/>
      <c r="AT235" s="46"/>
      <c r="AU235" s="46" t="s">
        <v>376</v>
      </c>
      <c r="AV235" s="46"/>
      <c r="AW235" s="46" t="s">
        <v>30</v>
      </c>
      <c r="AX235" s="46"/>
      <c r="AY235" s="46" t="s">
        <v>30</v>
      </c>
      <c r="AZ235" s="46"/>
      <c r="BA235" s="47"/>
      <c r="BB235" s="51"/>
      <c r="BC235" s="46" t="s">
        <v>30</v>
      </c>
      <c r="BD235" s="46"/>
      <c r="BE235" s="46"/>
      <c r="BF235" s="46">
        <v>1</v>
      </c>
      <c r="BG235" s="46">
        <v>2</v>
      </c>
      <c r="BH235" s="46">
        <v>1</v>
      </c>
      <c r="BI235" s="46" t="s">
        <v>1157</v>
      </c>
      <c r="BJ235" s="46" t="s">
        <v>823</v>
      </c>
      <c r="BK235" s="46">
        <v>1904</v>
      </c>
      <c r="BL235" s="46" t="str">
        <f>BK235&amp;BI235</f>
        <v>1904Bolton Wanderers</v>
      </c>
      <c r="BM235" s="52" t="str">
        <f>IF(AD235="Home",BI235,IF(AD235="Away",BJ235,Q235))</f>
        <v>London</v>
      </c>
      <c r="BN235" s="46"/>
      <c r="BO235" s="46"/>
      <c r="BP235" s="46"/>
      <c r="BQ235" s="46"/>
      <c r="BR235" s="46"/>
      <c r="BS235" s="46"/>
      <c r="BT235" s="46"/>
      <c r="BU235" s="46"/>
      <c r="BV235" s="46" t="s">
        <v>376</v>
      </c>
      <c r="BW235" s="46" t="s">
        <v>376</v>
      </c>
      <c r="BX235" s="46"/>
      <c r="BZ235" s="53"/>
      <c r="CA235" s="53"/>
      <c r="CB235" s="93" t="str">
        <f>IF(OR(C235="",A235="",B235=""),"",TEXT(C235,"0000")&amp;TEXT(A235,"00")&amp;TEXT(B235,"00"))</f>
        <v>19040423</v>
      </c>
    </row>
    <row r="236" spans="1:80" s="52" customFormat="1" ht="12.95" customHeight="1" x14ac:dyDescent="0.2">
      <c r="A236" s="46">
        <v>3</v>
      </c>
      <c r="B236" s="46">
        <v>25</v>
      </c>
      <c r="C236" s="46">
        <v>1905</v>
      </c>
      <c r="D236" s="46" t="s">
        <v>658</v>
      </c>
      <c r="E236" s="46" t="s">
        <v>1225</v>
      </c>
      <c r="F236" s="47" t="s">
        <v>1010</v>
      </c>
      <c r="G236" s="46"/>
      <c r="H236" s="47" t="s">
        <v>1011</v>
      </c>
      <c r="I236" s="47"/>
      <c r="J236" s="48">
        <v>1911</v>
      </c>
      <c r="K236" s="46" t="s">
        <v>805</v>
      </c>
      <c r="L236" s="46" t="s">
        <v>3</v>
      </c>
      <c r="M236" s="46" t="s">
        <v>1093</v>
      </c>
      <c r="N236" s="49">
        <v>1</v>
      </c>
      <c r="O236" s="49">
        <v>0</v>
      </c>
      <c r="P236" s="47" t="s">
        <v>1226</v>
      </c>
      <c r="Q236" s="47" t="s">
        <v>1101</v>
      </c>
      <c r="R236" s="47" t="s">
        <v>376</v>
      </c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50">
        <f>IF(L236="W",1,0)</f>
        <v>1</v>
      </c>
      <c r="AF236" s="50">
        <f>IF(L236="T",1,0)</f>
        <v>0</v>
      </c>
      <c r="AG236" s="50">
        <f>IF(L236="L",1,0)</f>
        <v>0</v>
      </c>
      <c r="AH236" s="46" t="s">
        <v>1227</v>
      </c>
      <c r="AI236" s="46" t="s">
        <v>1164</v>
      </c>
      <c r="AJ236" s="46" t="s">
        <v>376</v>
      </c>
      <c r="AK236" s="46" t="s">
        <v>658</v>
      </c>
      <c r="AL236" s="46" t="s">
        <v>1097</v>
      </c>
      <c r="AM236" s="46" t="s">
        <v>1098</v>
      </c>
      <c r="AN236" s="46" t="s">
        <v>376</v>
      </c>
      <c r="AO236" s="46" t="s">
        <v>658</v>
      </c>
      <c r="AP236" s="46"/>
      <c r="AQ236" s="46">
        <v>2</v>
      </c>
      <c r="AR236" s="46"/>
      <c r="AS236" s="46"/>
      <c r="AT236" s="46"/>
      <c r="AU236" s="46" t="s">
        <v>376</v>
      </c>
      <c r="AV236" s="46"/>
      <c r="AW236" s="46" t="s">
        <v>30</v>
      </c>
      <c r="AX236" s="46"/>
      <c r="AY236" s="46" t="s">
        <v>30</v>
      </c>
      <c r="AZ236" s="46"/>
      <c r="BA236" s="47"/>
      <c r="BB236" s="51"/>
      <c r="BC236" s="46"/>
      <c r="BD236" s="46"/>
      <c r="BE236" s="46"/>
      <c r="BF236" s="46">
        <v>1</v>
      </c>
      <c r="BG236" s="46">
        <v>1</v>
      </c>
      <c r="BH236" s="46">
        <v>1</v>
      </c>
      <c r="BI236" s="46" t="s">
        <v>805</v>
      </c>
      <c r="BJ236" s="46" t="s">
        <v>1093</v>
      </c>
      <c r="BK236" s="46">
        <v>1905</v>
      </c>
      <c r="BL236" s="46" t="str">
        <f>BK236&amp;BI236</f>
        <v>1905Newcastle United</v>
      </c>
      <c r="BM236" s="52" t="str">
        <f>IF(AD236="Home",BI236,IF(AD236="Away",BJ236,Q236))</f>
        <v>Manchester</v>
      </c>
      <c r="BN236" s="46"/>
      <c r="BO236" s="46"/>
      <c r="BP236" s="46"/>
      <c r="BQ236" s="46"/>
      <c r="BR236" s="46"/>
      <c r="BS236" s="46"/>
      <c r="BT236" s="46"/>
      <c r="BU236" s="46"/>
      <c r="BV236" s="46" t="s">
        <v>376</v>
      </c>
      <c r="BW236" s="46" t="s">
        <v>376</v>
      </c>
      <c r="BX236" s="46"/>
      <c r="BZ236" s="53"/>
      <c r="CA236" s="53"/>
      <c r="CB236" s="93" t="str">
        <f>IF(OR(C236="",A236="",B236=""),"",TEXT(C236,"0000")&amp;TEXT(A236,"00")&amp;TEXT(B236,"00"))</f>
        <v>19050325</v>
      </c>
    </row>
    <row r="237" spans="1:80" s="52" customFormat="1" ht="12.95" customHeight="1" x14ac:dyDescent="0.2">
      <c r="A237" s="46">
        <v>3</v>
      </c>
      <c r="B237" s="46">
        <v>25</v>
      </c>
      <c r="C237" s="46">
        <v>1905</v>
      </c>
      <c r="D237" s="46" t="s">
        <v>658</v>
      </c>
      <c r="E237" s="46" t="s">
        <v>1225</v>
      </c>
      <c r="F237" s="47" t="s">
        <v>1010</v>
      </c>
      <c r="G237" s="46"/>
      <c r="H237" s="47" t="s">
        <v>1011</v>
      </c>
      <c r="I237" s="47"/>
      <c r="J237" s="48">
        <v>1911</v>
      </c>
      <c r="K237" s="46" t="s">
        <v>1093</v>
      </c>
      <c r="L237" s="46" t="s">
        <v>4</v>
      </c>
      <c r="M237" s="46" t="s">
        <v>805</v>
      </c>
      <c r="N237" s="49">
        <v>0</v>
      </c>
      <c r="O237" s="49">
        <v>1</v>
      </c>
      <c r="P237" s="47" t="s">
        <v>1226</v>
      </c>
      <c r="Q237" s="47" t="s">
        <v>1101</v>
      </c>
      <c r="R237" s="47" t="s">
        <v>376</v>
      </c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50">
        <f>IF(L237="W",1,0)</f>
        <v>0</v>
      </c>
      <c r="AF237" s="50">
        <f>IF(L237="T",1,0)</f>
        <v>0</v>
      </c>
      <c r="AG237" s="50">
        <f>IF(L237="L",1,0)</f>
        <v>1</v>
      </c>
      <c r="AH237" s="46" t="s">
        <v>1097</v>
      </c>
      <c r="AI237" s="46" t="s">
        <v>1098</v>
      </c>
      <c r="AJ237" s="46" t="s">
        <v>376</v>
      </c>
      <c r="AK237" s="46" t="s">
        <v>658</v>
      </c>
      <c r="AL237" s="46" t="s">
        <v>1227</v>
      </c>
      <c r="AM237" s="46" t="s">
        <v>1164</v>
      </c>
      <c r="AN237" s="46" t="s">
        <v>376</v>
      </c>
      <c r="AO237" s="46" t="s">
        <v>658</v>
      </c>
      <c r="AP237" s="46"/>
      <c r="AQ237" s="46">
        <v>2</v>
      </c>
      <c r="AR237" s="46"/>
      <c r="AS237" s="46"/>
      <c r="AT237" s="46"/>
      <c r="AU237" s="46" t="s">
        <v>376</v>
      </c>
      <c r="AV237" s="46"/>
      <c r="AW237" s="46" t="s">
        <v>30</v>
      </c>
      <c r="AX237" s="46"/>
      <c r="AY237" s="46" t="s">
        <v>30</v>
      </c>
      <c r="AZ237" s="46"/>
      <c r="BA237" s="47"/>
      <c r="BB237" s="51"/>
      <c r="BC237" s="46"/>
      <c r="BD237" s="46"/>
      <c r="BE237" s="46"/>
      <c r="BF237" s="46">
        <v>1</v>
      </c>
      <c r="BG237" s="46">
        <v>1</v>
      </c>
      <c r="BH237" s="46">
        <v>1</v>
      </c>
      <c r="BI237" s="46" t="s">
        <v>1093</v>
      </c>
      <c r="BJ237" s="46" t="s">
        <v>805</v>
      </c>
      <c r="BK237" s="46">
        <v>1905</v>
      </c>
      <c r="BL237" s="46" t="str">
        <f>BK237&amp;BI237</f>
        <v>1905Sheffield Wednesday</v>
      </c>
      <c r="BM237" s="52" t="str">
        <f>IF(AD237="Home",BI237,IF(AD237="Away",BJ237,Q237))</f>
        <v>Manchester</v>
      </c>
      <c r="BN237" s="46"/>
      <c r="BO237" s="46"/>
      <c r="BP237" s="46"/>
      <c r="BQ237" s="46"/>
      <c r="BR237" s="46"/>
      <c r="BS237" s="46"/>
      <c r="BT237" s="46"/>
      <c r="BU237" s="46"/>
      <c r="BV237" s="46" t="s">
        <v>376</v>
      </c>
      <c r="BW237" s="46" t="s">
        <v>376</v>
      </c>
      <c r="BX237" s="46"/>
      <c r="BZ237" s="53"/>
      <c r="CA237" s="53"/>
      <c r="CB237" s="93" t="str">
        <f>IF(OR(C237="",A237="",B237=""),"",TEXT(C237,"0000")&amp;TEXT(A237,"00")&amp;TEXT(B237,"00"))</f>
        <v>19050325</v>
      </c>
    </row>
    <row r="238" spans="1:80" s="52" customFormat="1" ht="12.95" customHeight="1" x14ac:dyDescent="0.2">
      <c r="A238" s="46">
        <v>3</v>
      </c>
      <c r="B238" s="46">
        <v>25</v>
      </c>
      <c r="C238" s="46">
        <v>1905</v>
      </c>
      <c r="D238" s="46" t="s">
        <v>658</v>
      </c>
      <c r="E238" s="46" t="s">
        <v>1225</v>
      </c>
      <c r="F238" s="47" t="s">
        <v>1010</v>
      </c>
      <c r="G238" s="46"/>
      <c r="H238" s="47" t="s">
        <v>1011</v>
      </c>
      <c r="I238" s="47"/>
      <c r="J238" s="48">
        <v>1911</v>
      </c>
      <c r="K238" s="46" t="s">
        <v>804</v>
      </c>
      <c r="L238" s="46" t="s">
        <v>1014</v>
      </c>
      <c r="M238" s="46" t="s">
        <v>806</v>
      </c>
      <c r="N238" s="49">
        <v>1</v>
      </c>
      <c r="O238" s="49">
        <v>1</v>
      </c>
      <c r="P238" s="47" t="s">
        <v>1144</v>
      </c>
      <c r="Q238" s="47" t="s">
        <v>1145</v>
      </c>
      <c r="R238" s="47" t="s">
        <v>376</v>
      </c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50">
        <f>IF(L238="W",1,0)</f>
        <v>0</v>
      </c>
      <c r="AF238" s="50">
        <f>IF(L238="T",1,0)</f>
        <v>1</v>
      </c>
      <c r="AG238" s="50">
        <f>IF(L238="L",1,0)</f>
        <v>0</v>
      </c>
      <c r="AH238" s="46" t="s">
        <v>588</v>
      </c>
      <c r="AI238" s="46" t="s">
        <v>1175</v>
      </c>
      <c r="AJ238" s="46" t="s">
        <v>376</v>
      </c>
      <c r="AK238" s="46" t="s">
        <v>658</v>
      </c>
      <c r="AL238" s="46" t="s">
        <v>1111</v>
      </c>
      <c r="AM238" s="46" t="s">
        <v>1126</v>
      </c>
      <c r="AN238" s="46" t="s">
        <v>376</v>
      </c>
      <c r="AO238" s="46" t="s">
        <v>658</v>
      </c>
      <c r="AP238" s="46"/>
      <c r="AQ238" s="46">
        <v>2</v>
      </c>
      <c r="AR238" s="46"/>
      <c r="AS238" s="46"/>
      <c r="AT238" s="46"/>
      <c r="AU238" s="46" t="s">
        <v>376</v>
      </c>
      <c r="AV238" s="46"/>
      <c r="AW238" s="46" t="s">
        <v>30</v>
      </c>
      <c r="AX238" s="46"/>
      <c r="AY238" s="46" t="s">
        <v>30</v>
      </c>
      <c r="AZ238" s="46"/>
      <c r="BA238" s="47"/>
      <c r="BB238" s="51"/>
      <c r="BC238" s="46"/>
      <c r="BD238" s="46"/>
      <c r="BE238" s="46"/>
      <c r="BF238" s="46">
        <v>1</v>
      </c>
      <c r="BG238" s="46">
        <v>1</v>
      </c>
      <c r="BH238" s="46">
        <v>1</v>
      </c>
      <c r="BI238" s="46" t="s">
        <v>804</v>
      </c>
      <c r="BJ238" s="46" t="s">
        <v>806</v>
      </c>
      <c r="BK238" s="46">
        <v>1905</v>
      </c>
      <c r="BL238" s="46" t="str">
        <f>BK238&amp;BI238</f>
        <v>1905Everton</v>
      </c>
      <c r="BM238" s="52" t="str">
        <f>IF(AD238="Home",BI238,IF(AD238="Away",BJ238,Q238))</f>
        <v>Stoke-on-Trent</v>
      </c>
      <c r="BN238" s="46"/>
      <c r="BO238" s="46"/>
      <c r="BP238" s="46"/>
      <c r="BQ238" s="46"/>
      <c r="BR238" s="46"/>
      <c r="BS238" s="46"/>
      <c r="BT238" s="46"/>
      <c r="BU238" s="46"/>
      <c r="BV238" s="46" t="s">
        <v>376</v>
      </c>
      <c r="BW238" s="46" t="s">
        <v>376</v>
      </c>
      <c r="BX238" s="46"/>
      <c r="BY238" s="50"/>
      <c r="BZ238" s="53"/>
      <c r="CA238" s="53"/>
      <c r="CB238" s="93" t="str">
        <f>IF(OR(C238="",A238="",B238=""),"",TEXT(C238,"0000")&amp;TEXT(A238,"00")&amp;TEXT(B238,"00"))</f>
        <v>19050325</v>
      </c>
    </row>
    <row r="239" spans="1:80" s="52" customFormat="1" ht="12.95" customHeight="1" x14ac:dyDescent="0.2">
      <c r="A239" s="46">
        <v>3</v>
      </c>
      <c r="B239" s="46">
        <v>25</v>
      </c>
      <c r="C239" s="46">
        <v>1905</v>
      </c>
      <c r="D239" s="46" t="s">
        <v>658</v>
      </c>
      <c r="E239" s="46" t="s">
        <v>1225</v>
      </c>
      <c r="F239" s="47" t="s">
        <v>1010</v>
      </c>
      <c r="G239" s="46"/>
      <c r="H239" s="47" t="s">
        <v>1011</v>
      </c>
      <c r="I239" s="47"/>
      <c r="J239" s="48">
        <v>1911</v>
      </c>
      <c r="K239" s="46" t="s">
        <v>806</v>
      </c>
      <c r="L239" s="46" t="s">
        <v>1014</v>
      </c>
      <c r="M239" s="46" t="s">
        <v>804</v>
      </c>
      <c r="N239" s="49">
        <v>1</v>
      </c>
      <c r="O239" s="49">
        <v>1</v>
      </c>
      <c r="P239" s="47" t="s">
        <v>1144</v>
      </c>
      <c r="Q239" s="47" t="s">
        <v>1145</v>
      </c>
      <c r="R239" s="47" t="s">
        <v>376</v>
      </c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50">
        <f>IF(L239="W",1,0)</f>
        <v>0</v>
      </c>
      <c r="AF239" s="50">
        <f>IF(L239="T",1,0)</f>
        <v>1</v>
      </c>
      <c r="AG239" s="50">
        <f>IF(L239="L",1,0)</f>
        <v>0</v>
      </c>
      <c r="AH239" s="46" t="s">
        <v>1111</v>
      </c>
      <c r="AI239" s="46" t="s">
        <v>1126</v>
      </c>
      <c r="AJ239" s="46" t="s">
        <v>376</v>
      </c>
      <c r="AK239" s="46" t="s">
        <v>658</v>
      </c>
      <c r="AL239" s="46" t="s">
        <v>588</v>
      </c>
      <c r="AM239" s="46" t="s">
        <v>1175</v>
      </c>
      <c r="AN239" s="46" t="s">
        <v>376</v>
      </c>
      <c r="AO239" s="46" t="s">
        <v>658</v>
      </c>
      <c r="AP239" s="46"/>
      <c r="AQ239" s="46">
        <v>2</v>
      </c>
      <c r="AR239" s="46"/>
      <c r="AS239" s="46"/>
      <c r="AT239" s="46"/>
      <c r="AU239" s="46" t="s">
        <v>376</v>
      </c>
      <c r="AV239" s="46"/>
      <c r="AW239" s="46" t="s">
        <v>30</v>
      </c>
      <c r="AX239" s="46"/>
      <c r="AY239" s="46" t="s">
        <v>30</v>
      </c>
      <c r="AZ239" s="46"/>
      <c r="BA239" s="47"/>
      <c r="BB239" s="51"/>
      <c r="BC239" s="46"/>
      <c r="BD239" s="46"/>
      <c r="BE239" s="46"/>
      <c r="BF239" s="46">
        <v>1</v>
      </c>
      <c r="BG239" s="46">
        <v>1</v>
      </c>
      <c r="BH239" s="46">
        <v>1</v>
      </c>
      <c r="BI239" s="46" t="s">
        <v>806</v>
      </c>
      <c r="BJ239" s="46" t="s">
        <v>804</v>
      </c>
      <c r="BK239" s="46">
        <v>1905</v>
      </c>
      <c r="BL239" s="46" t="str">
        <f>BK239&amp;BI239</f>
        <v>1905Aston Villa</v>
      </c>
      <c r="BM239" s="52" t="str">
        <f>IF(AD239="Home",BI239,IF(AD239="Away",BJ239,Q239))</f>
        <v>Stoke-on-Trent</v>
      </c>
      <c r="BN239" s="46"/>
      <c r="BO239" s="46"/>
      <c r="BP239" s="46"/>
      <c r="BQ239" s="46"/>
      <c r="BR239" s="46"/>
      <c r="BS239" s="46"/>
      <c r="BT239" s="46"/>
      <c r="BU239" s="46"/>
      <c r="BV239" s="46" t="s">
        <v>376</v>
      </c>
      <c r="BW239" s="46" t="s">
        <v>376</v>
      </c>
      <c r="BX239" s="46"/>
      <c r="BY239" s="50"/>
      <c r="BZ239" s="53"/>
      <c r="CA239" s="53"/>
      <c r="CB239" s="93" t="str">
        <f>IF(OR(C239="",A239="",B239=""),"",TEXT(C239,"0000")&amp;TEXT(A239,"00")&amp;TEXT(B239,"00"))</f>
        <v>19050325</v>
      </c>
    </row>
    <row r="240" spans="1:80" s="52" customFormat="1" ht="12.95" customHeight="1" x14ac:dyDescent="0.2">
      <c r="A240" s="46">
        <v>3</v>
      </c>
      <c r="B240" s="46">
        <v>29</v>
      </c>
      <c r="C240" s="46">
        <v>1905</v>
      </c>
      <c r="D240" s="46" t="s">
        <v>658</v>
      </c>
      <c r="E240" s="46" t="s">
        <v>1225</v>
      </c>
      <c r="F240" s="47" t="s">
        <v>1010</v>
      </c>
      <c r="G240" s="46"/>
      <c r="H240" s="47" t="s">
        <v>1011</v>
      </c>
      <c r="I240" s="47" t="s">
        <v>1023</v>
      </c>
      <c r="J240" s="48">
        <v>1915</v>
      </c>
      <c r="K240" s="46" t="s">
        <v>806</v>
      </c>
      <c r="L240" s="46" t="s">
        <v>3</v>
      </c>
      <c r="M240" s="46" t="s">
        <v>804</v>
      </c>
      <c r="N240" s="49">
        <v>2</v>
      </c>
      <c r="O240" s="49">
        <v>1</v>
      </c>
      <c r="P240" s="47" t="s">
        <v>1135</v>
      </c>
      <c r="Q240" s="47" t="s">
        <v>1073</v>
      </c>
      <c r="R240" s="47" t="s">
        <v>376</v>
      </c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50">
        <f>IF(L240="W",1,0)</f>
        <v>1</v>
      </c>
      <c r="AF240" s="50">
        <f>IF(L240="T",1,0)</f>
        <v>0</v>
      </c>
      <c r="AG240" s="50">
        <f>IF(L240="L",1,0)</f>
        <v>0</v>
      </c>
      <c r="AH240" s="46" t="s">
        <v>1111</v>
      </c>
      <c r="AI240" s="46" t="s">
        <v>1126</v>
      </c>
      <c r="AJ240" s="46" t="s">
        <v>376</v>
      </c>
      <c r="AK240" s="46" t="s">
        <v>658</v>
      </c>
      <c r="AL240" s="46" t="s">
        <v>588</v>
      </c>
      <c r="AM240" s="46" t="s">
        <v>1175</v>
      </c>
      <c r="AN240" s="46" t="s">
        <v>376</v>
      </c>
      <c r="AO240" s="46" t="s">
        <v>658</v>
      </c>
      <c r="AP240" s="46"/>
      <c r="AQ240" s="46">
        <v>2</v>
      </c>
      <c r="AR240" s="46"/>
      <c r="AS240" s="46"/>
      <c r="AT240" s="46"/>
      <c r="AU240" s="46" t="s">
        <v>376</v>
      </c>
      <c r="AV240" s="46"/>
      <c r="AW240" s="46" t="s">
        <v>30</v>
      </c>
      <c r="AX240" s="46"/>
      <c r="AY240" s="46" t="s">
        <v>30</v>
      </c>
      <c r="AZ240" s="46"/>
      <c r="BA240" s="47"/>
      <c r="BB240" s="51"/>
      <c r="BC240" s="46"/>
      <c r="BD240" s="46"/>
      <c r="BE240" s="46"/>
      <c r="BF240" s="46">
        <v>1</v>
      </c>
      <c r="BG240" s="46">
        <v>1</v>
      </c>
      <c r="BH240" s="46">
        <v>1</v>
      </c>
      <c r="BI240" s="46" t="s">
        <v>806</v>
      </c>
      <c r="BJ240" s="46" t="s">
        <v>804</v>
      </c>
      <c r="BK240" s="46">
        <v>1905</v>
      </c>
      <c r="BL240" s="46" t="str">
        <f>BK240&amp;BI240</f>
        <v>1905Aston Villa</v>
      </c>
      <c r="BM240" s="52" t="str">
        <f>IF(AD240="Home",BI240,IF(AD240="Away",BJ240,Q240))</f>
        <v>Nottingham</v>
      </c>
      <c r="BN240" s="46"/>
      <c r="BO240" s="46"/>
      <c r="BP240" s="46"/>
      <c r="BQ240" s="46"/>
      <c r="BR240" s="46"/>
      <c r="BS240" s="46"/>
      <c r="BT240" s="46"/>
      <c r="BU240" s="46"/>
      <c r="BV240" s="46" t="s">
        <v>376</v>
      </c>
      <c r="BW240" s="46" t="s">
        <v>376</v>
      </c>
      <c r="BX240" s="46"/>
      <c r="BY240" s="35"/>
      <c r="BZ240" s="53"/>
      <c r="CA240" s="53"/>
      <c r="CB240" s="93" t="str">
        <f>IF(OR(C240="",A240="",B240=""),"",TEXT(C240,"0000")&amp;TEXT(A240,"00")&amp;TEXT(B240,"00"))</f>
        <v>19050329</v>
      </c>
    </row>
    <row r="241" spans="1:80" s="52" customFormat="1" ht="12.95" customHeight="1" x14ac:dyDescent="0.2">
      <c r="A241" s="46">
        <v>3</v>
      </c>
      <c r="B241" s="46">
        <v>29</v>
      </c>
      <c r="C241" s="46">
        <v>1905</v>
      </c>
      <c r="D241" s="46" t="s">
        <v>658</v>
      </c>
      <c r="E241" s="46" t="s">
        <v>1225</v>
      </c>
      <c r="F241" s="47" t="s">
        <v>1010</v>
      </c>
      <c r="G241" s="46"/>
      <c r="H241" s="47" t="s">
        <v>1011</v>
      </c>
      <c r="I241" s="47" t="s">
        <v>1023</v>
      </c>
      <c r="J241" s="48">
        <v>1915</v>
      </c>
      <c r="K241" s="46" t="s">
        <v>804</v>
      </c>
      <c r="L241" s="46" t="s">
        <v>4</v>
      </c>
      <c r="M241" s="46" t="s">
        <v>806</v>
      </c>
      <c r="N241" s="49">
        <v>1</v>
      </c>
      <c r="O241" s="49">
        <v>2</v>
      </c>
      <c r="P241" s="47" t="s">
        <v>1135</v>
      </c>
      <c r="Q241" s="47" t="s">
        <v>1073</v>
      </c>
      <c r="R241" s="47" t="s">
        <v>376</v>
      </c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50">
        <f>IF(L241="W",1,0)</f>
        <v>0</v>
      </c>
      <c r="AF241" s="50">
        <f>IF(L241="T",1,0)</f>
        <v>0</v>
      </c>
      <c r="AG241" s="50">
        <f>IF(L241="L",1,0)</f>
        <v>1</v>
      </c>
      <c r="AH241" s="46" t="s">
        <v>588</v>
      </c>
      <c r="AI241" s="46" t="s">
        <v>1175</v>
      </c>
      <c r="AJ241" s="46" t="s">
        <v>376</v>
      </c>
      <c r="AK241" s="46" t="s">
        <v>658</v>
      </c>
      <c r="AL241" s="46" t="s">
        <v>1111</v>
      </c>
      <c r="AM241" s="46" t="s">
        <v>1126</v>
      </c>
      <c r="AN241" s="46" t="s">
        <v>376</v>
      </c>
      <c r="AO241" s="46" t="s">
        <v>658</v>
      </c>
      <c r="AP241" s="46"/>
      <c r="AQ241" s="46">
        <v>2</v>
      </c>
      <c r="AR241" s="46"/>
      <c r="AS241" s="46"/>
      <c r="AT241" s="46"/>
      <c r="AU241" s="46" t="s">
        <v>376</v>
      </c>
      <c r="AV241" s="46"/>
      <c r="AW241" s="46" t="s">
        <v>30</v>
      </c>
      <c r="AX241" s="46"/>
      <c r="AY241" s="46" t="s">
        <v>30</v>
      </c>
      <c r="AZ241" s="46"/>
      <c r="BA241" s="47"/>
      <c r="BB241" s="51"/>
      <c r="BC241" s="46"/>
      <c r="BD241" s="46"/>
      <c r="BE241" s="46"/>
      <c r="BF241" s="46">
        <v>1</v>
      </c>
      <c r="BG241" s="46">
        <v>1</v>
      </c>
      <c r="BH241" s="46">
        <v>1</v>
      </c>
      <c r="BI241" s="46" t="s">
        <v>804</v>
      </c>
      <c r="BJ241" s="46" t="s">
        <v>806</v>
      </c>
      <c r="BK241" s="46">
        <v>1905</v>
      </c>
      <c r="BL241" s="46" t="str">
        <f>BK241&amp;BI241</f>
        <v>1905Everton</v>
      </c>
      <c r="BM241" s="52" t="str">
        <f>IF(AD241="Home",BI241,IF(AD241="Away",BJ241,Q241))</f>
        <v>Nottingham</v>
      </c>
      <c r="BN241" s="46"/>
      <c r="BO241" s="46"/>
      <c r="BP241" s="46"/>
      <c r="BQ241" s="46"/>
      <c r="BR241" s="46"/>
      <c r="BS241" s="46"/>
      <c r="BT241" s="46"/>
      <c r="BU241" s="46"/>
      <c r="BV241" s="46" t="s">
        <v>376</v>
      </c>
      <c r="BW241" s="46" t="s">
        <v>376</v>
      </c>
      <c r="BX241" s="46"/>
      <c r="BY241" s="35"/>
      <c r="BZ241" s="53"/>
      <c r="CA241" s="53"/>
      <c r="CB241" s="93" t="str">
        <f>IF(OR(C241="",A241="",B241=""),"",TEXT(C241,"0000")&amp;TEXT(A241,"00")&amp;TEXT(B241,"00"))</f>
        <v>19050329</v>
      </c>
    </row>
    <row r="242" spans="1:80" s="52" customFormat="1" ht="12.95" customHeight="1" x14ac:dyDescent="0.2">
      <c r="A242" s="46">
        <v>4</v>
      </c>
      <c r="B242" s="46">
        <v>15</v>
      </c>
      <c r="C242" s="46">
        <v>1905</v>
      </c>
      <c r="D242" s="46" t="s">
        <v>658</v>
      </c>
      <c r="E242" s="46" t="s">
        <v>1225</v>
      </c>
      <c r="F242" s="47" t="s">
        <v>1010</v>
      </c>
      <c r="G242" s="46"/>
      <c r="H242" s="47" t="s">
        <v>1025</v>
      </c>
      <c r="I242" s="47"/>
      <c r="J242" s="48">
        <v>1932</v>
      </c>
      <c r="K242" s="46" t="s">
        <v>806</v>
      </c>
      <c r="L242" s="46" t="s">
        <v>3</v>
      </c>
      <c r="M242" s="46" t="s">
        <v>805</v>
      </c>
      <c r="N242" s="49">
        <v>2</v>
      </c>
      <c r="O242" s="49">
        <v>0</v>
      </c>
      <c r="P242" s="47" t="s">
        <v>1188</v>
      </c>
      <c r="Q242" s="47" t="s">
        <v>1017</v>
      </c>
      <c r="R242" s="47" t="s">
        <v>376</v>
      </c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50">
        <f>IF(L242="W",1,0)</f>
        <v>1</v>
      </c>
      <c r="AF242" s="50">
        <f>IF(L242="T",1,0)</f>
        <v>0</v>
      </c>
      <c r="AG242" s="50">
        <f>IF(L242="L",1,0)</f>
        <v>0</v>
      </c>
      <c r="AH242" s="46" t="s">
        <v>1111</v>
      </c>
      <c r="AI242" s="46" t="s">
        <v>1126</v>
      </c>
      <c r="AJ242" s="46" t="s">
        <v>376</v>
      </c>
      <c r="AK242" s="46" t="s">
        <v>658</v>
      </c>
      <c r="AL242" s="46" t="s">
        <v>1227</v>
      </c>
      <c r="AM242" s="46" t="s">
        <v>1164</v>
      </c>
      <c r="AN242" s="46" t="s">
        <v>376</v>
      </c>
      <c r="AO242" s="46" t="s">
        <v>658</v>
      </c>
      <c r="AP242" s="46"/>
      <c r="AQ242" s="46">
        <v>1</v>
      </c>
      <c r="AR242" s="46"/>
      <c r="AS242" s="46"/>
      <c r="AT242" s="46"/>
      <c r="AU242" s="46" t="s">
        <v>376</v>
      </c>
      <c r="AV242" s="46"/>
      <c r="AW242" s="46" t="s">
        <v>30</v>
      </c>
      <c r="AX242" s="46"/>
      <c r="AY242" s="46" t="s">
        <v>30</v>
      </c>
      <c r="AZ242" s="46"/>
      <c r="BA242" s="47"/>
      <c r="BB242" s="51" t="s">
        <v>30</v>
      </c>
      <c r="BC242" s="46" t="s">
        <v>30</v>
      </c>
      <c r="BD242" s="46"/>
      <c r="BE242" s="46"/>
      <c r="BF242" s="46">
        <v>1</v>
      </c>
      <c r="BG242" s="46">
        <v>1</v>
      </c>
      <c r="BH242" s="46">
        <v>1</v>
      </c>
      <c r="BI242" s="46" t="s">
        <v>806</v>
      </c>
      <c r="BJ242" s="46" t="s">
        <v>805</v>
      </c>
      <c r="BK242" s="46">
        <v>1905</v>
      </c>
      <c r="BL242" s="46" t="str">
        <f>BK242&amp;BI242</f>
        <v>1905Aston Villa</v>
      </c>
      <c r="BM242" s="52" t="str">
        <f>IF(AD242="Home",BI242,IF(AD242="Away",BJ242,Q242))</f>
        <v>London</v>
      </c>
      <c r="BN242" s="46"/>
      <c r="BO242" s="46"/>
      <c r="BP242" s="46"/>
      <c r="BQ242" s="46"/>
      <c r="BR242" s="46"/>
      <c r="BS242" s="46"/>
      <c r="BT242" s="46"/>
      <c r="BU242" s="46"/>
      <c r="BV242" s="46" t="s">
        <v>376</v>
      </c>
      <c r="BW242" s="46" t="s">
        <v>376</v>
      </c>
      <c r="BX242" s="46"/>
      <c r="BZ242" s="53"/>
      <c r="CA242" s="53"/>
      <c r="CB242" s="93" t="str">
        <f>IF(OR(C242="",A242="",B242=""),"",TEXT(C242,"0000")&amp;TEXT(A242,"00")&amp;TEXT(B242,"00"))</f>
        <v>19050415</v>
      </c>
    </row>
    <row r="243" spans="1:80" s="52" customFormat="1" ht="12.95" customHeight="1" x14ac:dyDescent="0.2">
      <c r="A243" s="46">
        <v>4</v>
      </c>
      <c r="B243" s="46">
        <v>15</v>
      </c>
      <c r="C243" s="46">
        <v>1905</v>
      </c>
      <c r="D243" s="46" t="s">
        <v>658</v>
      </c>
      <c r="E243" s="46" t="s">
        <v>1225</v>
      </c>
      <c r="F243" s="47" t="s">
        <v>1010</v>
      </c>
      <c r="G243" s="46"/>
      <c r="H243" s="47" t="s">
        <v>1025</v>
      </c>
      <c r="I243" s="47"/>
      <c r="J243" s="48">
        <v>1932</v>
      </c>
      <c r="K243" s="46" t="s">
        <v>805</v>
      </c>
      <c r="L243" s="46" t="s">
        <v>4</v>
      </c>
      <c r="M243" s="46" t="s">
        <v>806</v>
      </c>
      <c r="N243" s="49">
        <v>0</v>
      </c>
      <c r="O243" s="49">
        <v>2</v>
      </c>
      <c r="P243" s="47" t="s">
        <v>1188</v>
      </c>
      <c r="Q243" s="47" t="s">
        <v>1017</v>
      </c>
      <c r="R243" s="47" t="s">
        <v>376</v>
      </c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50">
        <f>IF(L243="W",1,0)</f>
        <v>0</v>
      </c>
      <c r="AF243" s="50">
        <f>IF(L243="T",1,0)</f>
        <v>0</v>
      </c>
      <c r="AG243" s="50">
        <f>IF(L243="L",1,0)</f>
        <v>1</v>
      </c>
      <c r="AH243" s="46" t="s">
        <v>1227</v>
      </c>
      <c r="AI243" s="46" t="s">
        <v>1164</v>
      </c>
      <c r="AJ243" s="46" t="s">
        <v>376</v>
      </c>
      <c r="AK243" s="46" t="s">
        <v>658</v>
      </c>
      <c r="AL243" s="46" t="s">
        <v>1111</v>
      </c>
      <c r="AM243" s="46" t="s">
        <v>1126</v>
      </c>
      <c r="AN243" s="46" t="s">
        <v>376</v>
      </c>
      <c r="AO243" s="46" t="s">
        <v>658</v>
      </c>
      <c r="AP243" s="46"/>
      <c r="AQ243" s="46">
        <v>1</v>
      </c>
      <c r="AR243" s="46"/>
      <c r="AS243" s="46"/>
      <c r="AT243" s="46"/>
      <c r="AU243" s="46" t="s">
        <v>376</v>
      </c>
      <c r="AV243" s="46"/>
      <c r="AW243" s="46" t="s">
        <v>30</v>
      </c>
      <c r="AX243" s="46"/>
      <c r="AY243" s="46" t="s">
        <v>30</v>
      </c>
      <c r="AZ243" s="46"/>
      <c r="BA243" s="47"/>
      <c r="BB243" s="51"/>
      <c r="BC243" s="46" t="s">
        <v>30</v>
      </c>
      <c r="BD243" s="46"/>
      <c r="BE243" s="46"/>
      <c r="BF243" s="46">
        <v>1</v>
      </c>
      <c r="BG243" s="46">
        <v>1</v>
      </c>
      <c r="BH243" s="46">
        <v>1</v>
      </c>
      <c r="BI243" s="46" t="s">
        <v>805</v>
      </c>
      <c r="BJ243" s="46" t="s">
        <v>806</v>
      </c>
      <c r="BK243" s="46">
        <v>1905</v>
      </c>
      <c r="BL243" s="46" t="str">
        <f>BK243&amp;BI243</f>
        <v>1905Newcastle United</v>
      </c>
      <c r="BM243" s="52" t="str">
        <f>IF(AD243="Home",BI243,IF(AD243="Away",BJ243,Q243))</f>
        <v>London</v>
      </c>
      <c r="BN243" s="46"/>
      <c r="BO243" s="46"/>
      <c r="BP243" s="46"/>
      <c r="BQ243" s="46"/>
      <c r="BR243" s="46"/>
      <c r="BS243" s="46"/>
      <c r="BT243" s="46"/>
      <c r="BU243" s="46"/>
      <c r="BV243" s="46" t="s">
        <v>376</v>
      </c>
      <c r="BW243" s="46" t="s">
        <v>376</v>
      </c>
      <c r="BX243" s="46"/>
      <c r="BZ243" s="53"/>
      <c r="CA243" s="53"/>
      <c r="CB243" s="93" t="str">
        <f>IF(OR(C243="",A243="",B243=""),"",TEXT(C243,"0000")&amp;TEXT(A243,"00")&amp;TEXT(B243,"00"))</f>
        <v>19050415</v>
      </c>
    </row>
    <row r="244" spans="1:80" s="52" customFormat="1" ht="12.95" customHeight="1" x14ac:dyDescent="0.2">
      <c r="A244" s="46">
        <v>3</v>
      </c>
      <c r="B244" s="46">
        <v>31</v>
      </c>
      <c r="C244" s="46">
        <v>1906</v>
      </c>
      <c r="D244" s="46" t="s">
        <v>658</v>
      </c>
      <c r="E244" s="46" t="s">
        <v>1228</v>
      </c>
      <c r="F244" s="47" t="s">
        <v>1010</v>
      </c>
      <c r="G244" s="46"/>
      <c r="H244" s="47" t="s">
        <v>1011</v>
      </c>
      <c r="I244" s="47"/>
      <c r="J244" s="48">
        <v>2282</v>
      </c>
      <c r="K244" s="46" t="s">
        <v>805</v>
      </c>
      <c r="L244" s="46" t="s">
        <v>3</v>
      </c>
      <c r="M244" s="46" t="s">
        <v>1230</v>
      </c>
      <c r="N244" s="49">
        <v>2</v>
      </c>
      <c r="O244" s="49">
        <v>0</v>
      </c>
      <c r="P244" s="47" t="s">
        <v>1144</v>
      </c>
      <c r="Q244" s="47" t="s">
        <v>1145</v>
      </c>
      <c r="R244" s="47" t="s">
        <v>376</v>
      </c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50">
        <f>IF(L244="W",1,0)</f>
        <v>1</v>
      </c>
      <c r="AF244" s="50">
        <f>IF(L244="T",1,0)</f>
        <v>0</v>
      </c>
      <c r="AG244" s="50">
        <f>IF(L244="L",1,0)</f>
        <v>0</v>
      </c>
      <c r="AH244" s="46" t="s">
        <v>1227</v>
      </c>
      <c r="AI244" s="46" t="s">
        <v>1164</v>
      </c>
      <c r="AJ244" s="46" t="s">
        <v>376</v>
      </c>
      <c r="AK244" s="46" t="s">
        <v>658</v>
      </c>
      <c r="AL244" s="46" t="s">
        <v>1017</v>
      </c>
      <c r="AM244" s="46" t="s">
        <v>1018</v>
      </c>
      <c r="AN244" s="46" t="s">
        <v>376</v>
      </c>
      <c r="AO244" s="46" t="s">
        <v>658</v>
      </c>
      <c r="AP244" s="46"/>
      <c r="AQ244" s="46">
        <v>2</v>
      </c>
      <c r="AR244" s="46"/>
      <c r="AS244" s="46"/>
      <c r="AT244" s="46"/>
      <c r="AU244" s="46" t="s">
        <v>376</v>
      </c>
      <c r="AV244" s="46"/>
      <c r="AW244" s="46" t="s">
        <v>30</v>
      </c>
      <c r="AX244" s="46"/>
      <c r="AY244" s="46" t="s">
        <v>30</v>
      </c>
      <c r="AZ244" s="46"/>
      <c r="BA244" s="47"/>
      <c r="BB244" s="51"/>
      <c r="BC244" s="46"/>
      <c r="BD244" s="46"/>
      <c r="BE244" s="46"/>
      <c r="BF244" s="46">
        <v>1</v>
      </c>
      <c r="BG244" s="46">
        <v>1</v>
      </c>
      <c r="BH244" s="46">
        <v>1</v>
      </c>
      <c r="BI244" s="46" t="s">
        <v>805</v>
      </c>
      <c r="BJ244" s="46" t="s">
        <v>587</v>
      </c>
      <c r="BK244" s="46">
        <v>1906</v>
      </c>
      <c r="BL244" s="46" t="str">
        <f>BK244&amp;BI244</f>
        <v>1906Newcastle United</v>
      </c>
      <c r="BM244" s="52" t="str">
        <f>IF(AD244="Home",BI244,IF(AD244="Away",BJ244,Q244))</f>
        <v>Stoke-on-Trent</v>
      </c>
      <c r="BN244" s="46"/>
      <c r="BO244" s="46"/>
      <c r="BP244" s="46"/>
      <c r="BQ244" s="46"/>
      <c r="BR244" s="46"/>
      <c r="BS244" s="46"/>
      <c r="BT244" s="46"/>
      <c r="BU244" s="46"/>
      <c r="BV244" s="46" t="s">
        <v>376</v>
      </c>
      <c r="BW244" s="46" t="s">
        <v>376</v>
      </c>
      <c r="BX244" s="46"/>
      <c r="BY244" s="50"/>
      <c r="BZ244" s="53"/>
      <c r="CA244" s="53"/>
      <c r="CB244" s="93" t="str">
        <f>IF(OR(C244="",A244="",B244=""),"",TEXT(C244,"0000")&amp;TEXT(A244,"00")&amp;TEXT(B244,"00"))</f>
        <v>19060331</v>
      </c>
    </row>
    <row r="245" spans="1:80" s="52" customFormat="1" ht="12.95" customHeight="1" x14ac:dyDescent="0.2">
      <c r="A245" s="46">
        <v>3</v>
      </c>
      <c r="B245" s="46">
        <v>31</v>
      </c>
      <c r="C245" s="46">
        <v>1906</v>
      </c>
      <c r="D245" s="46" t="s">
        <v>658</v>
      </c>
      <c r="E245" s="46" t="s">
        <v>1228</v>
      </c>
      <c r="F245" s="47" t="s">
        <v>1010</v>
      </c>
      <c r="G245" s="46"/>
      <c r="H245" s="47" t="s">
        <v>1011</v>
      </c>
      <c r="I245" s="47"/>
      <c r="J245" s="48">
        <v>2282</v>
      </c>
      <c r="K245" s="46" t="s">
        <v>1230</v>
      </c>
      <c r="L245" s="46" t="s">
        <v>4</v>
      </c>
      <c r="M245" s="46" t="s">
        <v>805</v>
      </c>
      <c r="N245" s="49">
        <v>0</v>
      </c>
      <c r="O245" s="49">
        <v>2</v>
      </c>
      <c r="P245" s="47" t="s">
        <v>1144</v>
      </c>
      <c r="Q245" s="47" t="s">
        <v>1145</v>
      </c>
      <c r="R245" s="47" t="s">
        <v>376</v>
      </c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50">
        <f>IF(L245="W",1,0)</f>
        <v>0</v>
      </c>
      <c r="AF245" s="50">
        <f>IF(L245="T",1,0)</f>
        <v>0</v>
      </c>
      <c r="AG245" s="50">
        <f>IF(L245="L",1,0)</f>
        <v>1</v>
      </c>
      <c r="AH245" s="46" t="s">
        <v>1017</v>
      </c>
      <c r="AI245" s="46" t="s">
        <v>1018</v>
      </c>
      <c r="AJ245" s="46" t="s">
        <v>376</v>
      </c>
      <c r="AK245" s="46" t="s">
        <v>658</v>
      </c>
      <c r="AL245" s="46" t="s">
        <v>1227</v>
      </c>
      <c r="AM245" s="46" t="s">
        <v>1164</v>
      </c>
      <c r="AN245" s="46" t="s">
        <v>376</v>
      </c>
      <c r="AO245" s="46" t="s">
        <v>658</v>
      </c>
      <c r="AP245" s="46"/>
      <c r="AQ245" s="46">
        <v>2</v>
      </c>
      <c r="AR245" s="46"/>
      <c r="AS245" s="46"/>
      <c r="AT245" s="46"/>
      <c r="AU245" s="46" t="s">
        <v>376</v>
      </c>
      <c r="AV245" s="46"/>
      <c r="AW245" s="46" t="s">
        <v>30</v>
      </c>
      <c r="AX245" s="46"/>
      <c r="AY245" s="46" t="s">
        <v>30</v>
      </c>
      <c r="AZ245" s="46"/>
      <c r="BA245" s="47"/>
      <c r="BB245" s="51"/>
      <c r="BC245" s="46"/>
      <c r="BD245" s="46"/>
      <c r="BE245" s="46"/>
      <c r="BF245" s="46">
        <v>1</v>
      </c>
      <c r="BG245" s="46">
        <v>1</v>
      </c>
      <c r="BH245" s="46">
        <v>1</v>
      </c>
      <c r="BI245" s="46" t="s">
        <v>587</v>
      </c>
      <c r="BJ245" s="46" t="s">
        <v>805</v>
      </c>
      <c r="BK245" s="46">
        <v>1906</v>
      </c>
      <c r="BL245" s="46" t="str">
        <f>BK245&amp;BI245</f>
        <v>1906Arsenal</v>
      </c>
      <c r="BM245" s="52" t="str">
        <f>IF(AD245="Home",BI245,IF(AD245="Away",BJ245,Q245))</f>
        <v>Stoke-on-Trent</v>
      </c>
      <c r="BN245" s="46"/>
      <c r="BO245" s="46"/>
      <c r="BP245" s="46"/>
      <c r="BQ245" s="46"/>
      <c r="BR245" s="46"/>
      <c r="BS245" s="46"/>
      <c r="BT245" s="46"/>
      <c r="BU245" s="46"/>
      <c r="BV245" s="46" t="s">
        <v>376</v>
      </c>
      <c r="BW245" s="46" t="s">
        <v>376</v>
      </c>
      <c r="BX245" s="46"/>
      <c r="BY245" s="50"/>
      <c r="BZ245" s="53"/>
      <c r="CA245" s="53"/>
      <c r="CB245" s="93" t="str">
        <f>IF(OR(C245="",A245="",B245=""),"",TEXT(C245,"0000")&amp;TEXT(A245,"00")&amp;TEXT(B245,"00"))</f>
        <v>19060331</v>
      </c>
    </row>
    <row r="246" spans="1:80" s="52" customFormat="1" ht="12.95" customHeight="1" x14ac:dyDescent="0.2">
      <c r="A246" s="46">
        <v>3</v>
      </c>
      <c r="B246" s="46">
        <v>31</v>
      </c>
      <c r="C246" s="46">
        <v>1906</v>
      </c>
      <c r="D246" s="46" t="s">
        <v>658</v>
      </c>
      <c r="E246" s="46" t="s">
        <v>1228</v>
      </c>
      <c r="F246" s="47" t="s">
        <v>1010</v>
      </c>
      <c r="G246" s="46"/>
      <c r="H246" s="47" t="s">
        <v>1011</v>
      </c>
      <c r="I246" s="47"/>
      <c r="J246" s="48">
        <v>2282</v>
      </c>
      <c r="K246" s="46" t="s">
        <v>804</v>
      </c>
      <c r="L246" s="46" t="s">
        <v>3</v>
      </c>
      <c r="M246" s="46" t="s">
        <v>588</v>
      </c>
      <c r="N246" s="49">
        <v>2</v>
      </c>
      <c r="O246" s="49">
        <v>0</v>
      </c>
      <c r="P246" s="47" t="s">
        <v>1219</v>
      </c>
      <c r="Q246" s="47" t="s">
        <v>1111</v>
      </c>
      <c r="R246" s="47" t="s">
        <v>376</v>
      </c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50">
        <f>IF(L246="W",1,0)</f>
        <v>1</v>
      </c>
      <c r="AF246" s="50">
        <f>IF(L246="T",1,0)</f>
        <v>0</v>
      </c>
      <c r="AG246" s="50">
        <f>IF(L246="L",1,0)</f>
        <v>0</v>
      </c>
      <c r="AH246" s="46" t="s">
        <v>588</v>
      </c>
      <c r="AI246" s="46" t="s">
        <v>1175</v>
      </c>
      <c r="AJ246" s="46" t="s">
        <v>376</v>
      </c>
      <c r="AK246" s="46" t="s">
        <v>658</v>
      </c>
      <c r="AL246" s="46" t="s">
        <v>588</v>
      </c>
      <c r="AM246" s="46" t="s">
        <v>1175</v>
      </c>
      <c r="AN246" s="46" t="s">
        <v>376</v>
      </c>
      <c r="AO246" s="46" t="s">
        <v>658</v>
      </c>
      <c r="AP246" s="46"/>
      <c r="AQ246" s="46">
        <v>2</v>
      </c>
      <c r="AR246" s="46"/>
      <c r="AS246" s="46"/>
      <c r="AT246" s="46" t="s">
        <v>1229</v>
      </c>
      <c r="AU246" s="46" t="s">
        <v>376</v>
      </c>
      <c r="AV246" s="46"/>
      <c r="AW246" s="46" t="s">
        <v>30</v>
      </c>
      <c r="AX246" s="46"/>
      <c r="AY246" s="46" t="s">
        <v>30</v>
      </c>
      <c r="AZ246" s="46"/>
      <c r="BA246" s="47"/>
      <c r="BB246" s="51"/>
      <c r="BC246" s="46"/>
      <c r="BD246" s="46"/>
      <c r="BE246" s="46"/>
      <c r="BF246" s="46">
        <v>1</v>
      </c>
      <c r="BG246" s="46">
        <v>1</v>
      </c>
      <c r="BH246" s="46">
        <v>1</v>
      </c>
      <c r="BI246" s="46" t="s">
        <v>804</v>
      </c>
      <c r="BJ246" s="46" t="s">
        <v>588</v>
      </c>
      <c r="BK246" s="46">
        <v>1906</v>
      </c>
      <c r="BL246" s="46" t="str">
        <f>BK246&amp;BI246</f>
        <v>1906Everton</v>
      </c>
      <c r="BM246" s="52" t="str">
        <f>IF(AD246="Home",BI246,IF(AD246="Away",BJ246,Q246))</f>
        <v>Birmingham</v>
      </c>
      <c r="BN246" s="46"/>
      <c r="BO246" s="46"/>
      <c r="BP246" s="46"/>
      <c r="BQ246" s="46"/>
      <c r="BR246" s="46"/>
      <c r="BS246" s="46"/>
      <c r="BT246" s="46"/>
      <c r="BU246" s="46"/>
      <c r="BV246" s="46" t="s">
        <v>376</v>
      </c>
      <c r="BW246" s="46" t="s">
        <v>376</v>
      </c>
      <c r="BX246" s="46"/>
      <c r="BZ246" s="53"/>
      <c r="CA246" s="53"/>
      <c r="CB246" s="93" t="str">
        <f>IF(OR(C246="",A246="",B246=""),"",TEXT(C246,"0000")&amp;TEXT(A246,"00")&amp;TEXT(B246,"00"))</f>
        <v>19060331</v>
      </c>
    </row>
    <row r="247" spans="1:80" s="52" customFormat="1" ht="12.95" customHeight="1" x14ac:dyDescent="0.2">
      <c r="A247" s="46">
        <v>3</v>
      </c>
      <c r="B247" s="46">
        <v>31</v>
      </c>
      <c r="C247" s="46">
        <v>1906</v>
      </c>
      <c r="D247" s="46" t="s">
        <v>658</v>
      </c>
      <c r="E247" s="46" t="s">
        <v>1228</v>
      </c>
      <c r="F247" s="47" t="s">
        <v>1010</v>
      </c>
      <c r="G247" s="46"/>
      <c r="H247" s="47" t="s">
        <v>1011</v>
      </c>
      <c r="I247" s="47"/>
      <c r="J247" s="48">
        <v>2282</v>
      </c>
      <c r="K247" s="46" t="s">
        <v>588</v>
      </c>
      <c r="L247" s="46" t="s">
        <v>4</v>
      </c>
      <c r="M247" s="46" t="s">
        <v>804</v>
      </c>
      <c r="N247" s="49">
        <v>0</v>
      </c>
      <c r="O247" s="49">
        <v>2</v>
      </c>
      <c r="P247" s="47" t="s">
        <v>1219</v>
      </c>
      <c r="Q247" s="47" t="s">
        <v>1111</v>
      </c>
      <c r="R247" s="47" t="s">
        <v>376</v>
      </c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50">
        <f>IF(L247="W",1,0)</f>
        <v>0</v>
      </c>
      <c r="AF247" s="50">
        <f>IF(L247="T",1,0)</f>
        <v>0</v>
      </c>
      <c r="AG247" s="50">
        <f>IF(L247="L",1,0)</f>
        <v>1</v>
      </c>
      <c r="AH247" s="46" t="s">
        <v>588</v>
      </c>
      <c r="AI247" s="46" t="s">
        <v>1175</v>
      </c>
      <c r="AJ247" s="46" t="s">
        <v>376</v>
      </c>
      <c r="AK247" s="46" t="s">
        <v>658</v>
      </c>
      <c r="AL247" s="46" t="s">
        <v>588</v>
      </c>
      <c r="AM247" s="46" t="s">
        <v>1175</v>
      </c>
      <c r="AN247" s="46" t="s">
        <v>376</v>
      </c>
      <c r="AO247" s="46" t="s">
        <v>658</v>
      </c>
      <c r="AP247" s="46"/>
      <c r="AQ247" s="46">
        <v>2</v>
      </c>
      <c r="AR247" s="46"/>
      <c r="AS247" s="46"/>
      <c r="AT247" s="46" t="s">
        <v>1229</v>
      </c>
      <c r="AU247" s="46" t="s">
        <v>376</v>
      </c>
      <c r="AV247" s="46"/>
      <c r="AW247" s="46" t="s">
        <v>30</v>
      </c>
      <c r="AX247" s="46"/>
      <c r="AY247" s="46" t="s">
        <v>30</v>
      </c>
      <c r="AZ247" s="46"/>
      <c r="BA247" s="47"/>
      <c r="BB247" s="51"/>
      <c r="BC247" s="46"/>
      <c r="BD247" s="46"/>
      <c r="BE247" s="46"/>
      <c r="BF247" s="46">
        <v>1</v>
      </c>
      <c r="BG247" s="46">
        <v>1</v>
      </c>
      <c r="BH247" s="46">
        <v>1</v>
      </c>
      <c r="BI247" s="46" t="s">
        <v>588</v>
      </c>
      <c r="BJ247" s="46" t="s">
        <v>804</v>
      </c>
      <c r="BK247" s="46">
        <v>1906</v>
      </c>
      <c r="BL247" s="46" t="str">
        <f>BK247&amp;BI247</f>
        <v>1906Liverpool</v>
      </c>
      <c r="BM247" s="52" t="str">
        <f>IF(AD247="Home",BI247,IF(AD247="Away",BJ247,Q247))</f>
        <v>Birmingham</v>
      </c>
      <c r="BN247" s="46"/>
      <c r="BO247" s="46"/>
      <c r="BP247" s="46"/>
      <c r="BQ247" s="46"/>
      <c r="BR247" s="46"/>
      <c r="BS247" s="46"/>
      <c r="BT247" s="46"/>
      <c r="BU247" s="46"/>
      <c r="BV247" s="46" t="s">
        <v>376</v>
      </c>
      <c r="BW247" s="46" t="s">
        <v>376</v>
      </c>
      <c r="BX247" s="46"/>
      <c r="BZ247" s="53"/>
      <c r="CA247" s="53"/>
      <c r="CB247" s="93" t="str">
        <f>IF(OR(C247="",A247="",B247=""),"",TEXT(C247,"0000")&amp;TEXT(A247,"00")&amp;TEXT(B247,"00"))</f>
        <v>19060331</v>
      </c>
    </row>
    <row r="248" spans="1:80" s="52" customFormat="1" ht="12.95" customHeight="1" x14ac:dyDescent="0.2">
      <c r="A248" s="46">
        <v>4</v>
      </c>
      <c r="B248" s="46">
        <v>21</v>
      </c>
      <c r="C248" s="46">
        <v>1906</v>
      </c>
      <c r="D248" s="46" t="s">
        <v>658</v>
      </c>
      <c r="E248" s="46" t="s">
        <v>1228</v>
      </c>
      <c r="F248" s="47" t="s">
        <v>1010</v>
      </c>
      <c r="G248" s="46"/>
      <c r="H248" s="47" t="s">
        <v>1025</v>
      </c>
      <c r="I248" s="47"/>
      <c r="J248" s="48">
        <v>2303</v>
      </c>
      <c r="K248" s="46" t="s">
        <v>804</v>
      </c>
      <c r="L248" s="46" t="s">
        <v>3</v>
      </c>
      <c r="M248" s="46" t="s">
        <v>805</v>
      </c>
      <c r="N248" s="49">
        <v>1</v>
      </c>
      <c r="O248" s="49">
        <v>0</v>
      </c>
      <c r="P248" s="47" t="s">
        <v>1188</v>
      </c>
      <c r="Q248" s="47" t="s">
        <v>1017</v>
      </c>
      <c r="R248" s="47" t="s">
        <v>376</v>
      </c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50">
        <f>IF(L248="W",1,0)</f>
        <v>1</v>
      </c>
      <c r="AF248" s="50">
        <f>IF(L248="T",1,0)</f>
        <v>0</v>
      </c>
      <c r="AG248" s="50">
        <f>IF(L248="L",1,0)</f>
        <v>0</v>
      </c>
      <c r="AH248" s="46" t="s">
        <v>588</v>
      </c>
      <c r="AI248" s="46" t="s">
        <v>1175</v>
      </c>
      <c r="AJ248" s="46" t="s">
        <v>376</v>
      </c>
      <c r="AK248" s="46" t="s">
        <v>658</v>
      </c>
      <c r="AL248" s="46" t="s">
        <v>1227</v>
      </c>
      <c r="AM248" s="46" t="s">
        <v>1164</v>
      </c>
      <c r="AN248" s="46" t="s">
        <v>376</v>
      </c>
      <c r="AO248" s="46" t="s">
        <v>658</v>
      </c>
      <c r="AP248" s="46"/>
      <c r="AQ248" s="46">
        <v>1</v>
      </c>
      <c r="AR248" s="46"/>
      <c r="AS248" s="46"/>
      <c r="AT248" s="46"/>
      <c r="AU248" s="46" t="s">
        <v>376</v>
      </c>
      <c r="AV248" s="46"/>
      <c r="AW248" s="46" t="s">
        <v>30</v>
      </c>
      <c r="AX248" s="46"/>
      <c r="AY248" s="46" t="s">
        <v>30</v>
      </c>
      <c r="AZ248" s="46"/>
      <c r="BA248" s="47"/>
      <c r="BB248" s="51" t="s">
        <v>30</v>
      </c>
      <c r="BC248" s="46" t="s">
        <v>30</v>
      </c>
      <c r="BD248" s="46"/>
      <c r="BE248" s="46"/>
      <c r="BF248" s="46">
        <v>1</v>
      </c>
      <c r="BG248" s="46">
        <v>1</v>
      </c>
      <c r="BH248" s="46">
        <v>1</v>
      </c>
      <c r="BI248" s="46" t="s">
        <v>804</v>
      </c>
      <c r="BJ248" s="46" t="s">
        <v>805</v>
      </c>
      <c r="BK248" s="46">
        <v>1906</v>
      </c>
      <c r="BL248" s="46" t="str">
        <f>BK248&amp;BI248</f>
        <v>1906Everton</v>
      </c>
      <c r="BM248" s="52" t="str">
        <f>IF(AD248="Home",BI248,IF(AD248="Away",BJ248,Q248))</f>
        <v>London</v>
      </c>
      <c r="BN248" s="46"/>
      <c r="BO248" s="46"/>
      <c r="BP248" s="46"/>
      <c r="BQ248" s="46"/>
      <c r="BR248" s="46"/>
      <c r="BS248" s="46"/>
      <c r="BT248" s="46"/>
      <c r="BU248" s="46"/>
      <c r="BV248" s="46" t="s">
        <v>376</v>
      </c>
      <c r="BW248" s="46" t="s">
        <v>376</v>
      </c>
      <c r="BX248" s="46"/>
      <c r="BZ248" s="53"/>
      <c r="CA248" s="53"/>
      <c r="CB248" s="93" t="str">
        <f>IF(OR(C248="",A248="",B248=""),"",TEXT(C248,"0000")&amp;TEXT(A248,"00")&amp;TEXT(B248,"00"))</f>
        <v>19060421</v>
      </c>
    </row>
    <row r="249" spans="1:80" s="52" customFormat="1" ht="12.95" customHeight="1" x14ac:dyDescent="0.2">
      <c r="A249" s="46">
        <v>4</v>
      </c>
      <c r="B249" s="46">
        <v>21</v>
      </c>
      <c r="C249" s="46">
        <v>1906</v>
      </c>
      <c r="D249" s="46" t="s">
        <v>658</v>
      </c>
      <c r="E249" s="46" t="s">
        <v>1228</v>
      </c>
      <c r="F249" s="47" t="s">
        <v>1010</v>
      </c>
      <c r="G249" s="46"/>
      <c r="H249" s="47" t="s">
        <v>1025</v>
      </c>
      <c r="I249" s="47"/>
      <c r="J249" s="48">
        <v>2303</v>
      </c>
      <c r="K249" s="46" t="s">
        <v>805</v>
      </c>
      <c r="L249" s="46" t="s">
        <v>4</v>
      </c>
      <c r="M249" s="46" t="s">
        <v>804</v>
      </c>
      <c r="N249" s="49">
        <v>0</v>
      </c>
      <c r="O249" s="49">
        <v>1</v>
      </c>
      <c r="P249" s="47" t="s">
        <v>1188</v>
      </c>
      <c r="Q249" s="47" t="s">
        <v>1017</v>
      </c>
      <c r="R249" s="47" t="s">
        <v>376</v>
      </c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50">
        <f>IF(L249="W",1,0)</f>
        <v>0</v>
      </c>
      <c r="AF249" s="50">
        <f>IF(L249="T",1,0)</f>
        <v>0</v>
      </c>
      <c r="AG249" s="50">
        <f>IF(L249="L",1,0)</f>
        <v>1</v>
      </c>
      <c r="AH249" s="46" t="s">
        <v>1227</v>
      </c>
      <c r="AI249" s="46" t="s">
        <v>1164</v>
      </c>
      <c r="AJ249" s="46" t="s">
        <v>376</v>
      </c>
      <c r="AK249" s="46" t="s">
        <v>658</v>
      </c>
      <c r="AL249" s="46" t="s">
        <v>588</v>
      </c>
      <c r="AM249" s="46" t="s">
        <v>1175</v>
      </c>
      <c r="AN249" s="46" t="s">
        <v>376</v>
      </c>
      <c r="AO249" s="46" t="s">
        <v>658</v>
      </c>
      <c r="AP249" s="46"/>
      <c r="AQ249" s="46">
        <v>1</v>
      </c>
      <c r="AR249" s="46"/>
      <c r="AS249" s="46"/>
      <c r="AT249" s="46"/>
      <c r="AU249" s="46" t="s">
        <v>376</v>
      </c>
      <c r="AV249" s="46"/>
      <c r="AW249" s="46" t="s">
        <v>30</v>
      </c>
      <c r="AX249" s="46"/>
      <c r="AY249" s="46" t="s">
        <v>30</v>
      </c>
      <c r="AZ249" s="46"/>
      <c r="BA249" s="47"/>
      <c r="BB249" s="51"/>
      <c r="BC249" s="46" t="s">
        <v>30</v>
      </c>
      <c r="BD249" s="46"/>
      <c r="BE249" s="46"/>
      <c r="BF249" s="46">
        <v>1</v>
      </c>
      <c r="BG249" s="46">
        <v>1</v>
      </c>
      <c r="BH249" s="46">
        <v>1</v>
      </c>
      <c r="BI249" s="46" t="s">
        <v>805</v>
      </c>
      <c r="BJ249" s="46" t="s">
        <v>804</v>
      </c>
      <c r="BK249" s="46">
        <v>1906</v>
      </c>
      <c r="BL249" s="46" t="str">
        <f>BK249&amp;BI249</f>
        <v>1906Newcastle United</v>
      </c>
      <c r="BM249" s="52" t="str">
        <f>IF(AD249="Home",BI249,IF(AD249="Away",BJ249,Q249))</f>
        <v>London</v>
      </c>
      <c r="BN249" s="46"/>
      <c r="BO249" s="46"/>
      <c r="BP249" s="46"/>
      <c r="BQ249" s="46"/>
      <c r="BR249" s="46"/>
      <c r="BS249" s="46"/>
      <c r="BT249" s="46"/>
      <c r="BU249" s="46"/>
      <c r="BV249" s="46" t="s">
        <v>376</v>
      </c>
      <c r="BW249" s="46" t="s">
        <v>376</v>
      </c>
      <c r="BX249" s="46"/>
      <c r="BZ249" s="53"/>
      <c r="CA249" s="53"/>
      <c r="CB249" s="93" t="str">
        <f>IF(OR(C249="",A249="",B249=""),"",TEXT(C249,"0000")&amp;TEXT(A249,"00")&amp;TEXT(B249,"00"))</f>
        <v>19060421</v>
      </c>
    </row>
    <row r="250" spans="1:80" s="52" customFormat="1" ht="12.95" customHeight="1" x14ac:dyDescent="0.2">
      <c r="A250" s="46">
        <v>3</v>
      </c>
      <c r="B250" s="46">
        <v>23</v>
      </c>
      <c r="C250" s="46">
        <v>1907</v>
      </c>
      <c r="D250" s="46" t="s">
        <v>658</v>
      </c>
      <c r="E250" s="46" t="s">
        <v>1231</v>
      </c>
      <c r="F250" s="47" t="s">
        <v>1010</v>
      </c>
      <c r="G250" s="46"/>
      <c r="H250" s="47" t="s">
        <v>1011</v>
      </c>
      <c r="I250" s="47"/>
      <c r="J250" s="48">
        <v>2639</v>
      </c>
      <c r="K250" s="46" t="s">
        <v>804</v>
      </c>
      <c r="L250" s="46" t="s">
        <v>3</v>
      </c>
      <c r="M250" s="46" t="s">
        <v>1124</v>
      </c>
      <c r="N250" s="49">
        <v>2</v>
      </c>
      <c r="O250" s="49">
        <v>1</v>
      </c>
      <c r="P250" s="47" t="s">
        <v>1209</v>
      </c>
      <c r="Q250" s="47" t="s">
        <v>1101</v>
      </c>
      <c r="R250" s="47" t="s">
        <v>376</v>
      </c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50">
        <f>IF(L250="W",1,0)</f>
        <v>1</v>
      </c>
      <c r="AF250" s="50">
        <f>IF(L250="T",1,0)</f>
        <v>0</v>
      </c>
      <c r="AG250" s="50">
        <f>IF(L250="L",1,0)</f>
        <v>0</v>
      </c>
      <c r="AH250" s="46" t="s">
        <v>588</v>
      </c>
      <c r="AI250" s="46" t="s">
        <v>1175</v>
      </c>
      <c r="AJ250" s="46" t="s">
        <v>376</v>
      </c>
      <c r="AK250" s="46" t="s">
        <v>658</v>
      </c>
      <c r="AL250" s="46" t="s">
        <v>1111</v>
      </c>
      <c r="AM250" s="46" t="s">
        <v>1126</v>
      </c>
      <c r="AN250" s="46" t="s">
        <v>376</v>
      </c>
      <c r="AO250" s="46" t="s">
        <v>658</v>
      </c>
      <c r="AP250" s="46"/>
      <c r="AQ250" s="46">
        <v>2</v>
      </c>
      <c r="AR250" s="46"/>
      <c r="AS250" s="46"/>
      <c r="AT250" s="46"/>
      <c r="AU250" s="46" t="s">
        <v>376</v>
      </c>
      <c r="AV250" s="46"/>
      <c r="AW250" s="46" t="s">
        <v>30</v>
      </c>
      <c r="AX250" s="46"/>
      <c r="AY250" s="46" t="s">
        <v>30</v>
      </c>
      <c r="AZ250" s="46"/>
      <c r="BA250" s="47"/>
      <c r="BB250" s="51"/>
      <c r="BC250" s="46"/>
      <c r="BD250" s="46"/>
      <c r="BE250" s="46"/>
      <c r="BF250" s="46">
        <v>1</v>
      </c>
      <c r="BG250" s="46">
        <v>1</v>
      </c>
      <c r="BH250" s="46">
        <v>2</v>
      </c>
      <c r="BI250" s="46" t="s">
        <v>804</v>
      </c>
      <c r="BJ250" s="46" t="s">
        <v>1124</v>
      </c>
      <c r="BK250" s="46">
        <v>1907</v>
      </c>
      <c r="BL250" s="46" t="str">
        <f>BK250&amp;BI250</f>
        <v>1907Everton</v>
      </c>
      <c r="BM250" s="52" t="str">
        <f>IF(AD250="Home",BI250,IF(AD250="Away",BJ250,Q250))</f>
        <v>Manchester</v>
      </c>
      <c r="BN250" s="46"/>
      <c r="BO250" s="46"/>
      <c r="BP250" s="46"/>
      <c r="BQ250" s="46"/>
      <c r="BR250" s="46"/>
      <c r="BS250" s="46"/>
      <c r="BT250" s="46"/>
      <c r="BU250" s="46"/>
      <c r="BV250" s="46" t="s">
        <v>376</v>
      </c>
      <c r="BW250" s="46" t="s">
        <v>376</v>
      </c>
      <c r="BX250" s="46"/>
      <c r="BZ250" s="53"/>
      <c r="CA250" s="53"/>
      <c r="CB250" s="93" t="str">
        <f>IF(OR(C250="",A250="",B250=""),"",TEXT(C250,"0000")&amp;TEXT(A250,"00")&amp;TEXT(B250,"00"))</f>
        <v>19070323</v>
      </c>
    </row>
    <row r="251" spans="1:80" s="52" customFormat="1" ht="12.95" customHeight="1" x14ac:dyDescent="0.2">
      <c r="A251" s="46">
        <v>3</v>
      </c>
      <c r="B251" s="46">
        <v>23</v>
      </c>
      <c r="C251" s="46">
        <v>1907</v>
      </c>
      <c r="D251" s="46" t="s">
        <v>658</v>
      </c>
      <c r="E251" s="46" t="s">
        <v>1231</v>
      </c>
      <c r="F251" s="47" t="s">
        <v>1010</v>
      </c>
      <c r="G251" s="46"/>
      <c r="H251" s="47" t="s">
        <v>1011</v>
      </c>
      <c r="I251" s="47"/>
      <c r="J251" s="48">
        <v>2639</v>
      </c>
      <c r="K251" s="46" t="s">
        <v>1124</v>
      </c>
      <c r="L251" s="46" t="s">
        <v>4</v>
      </c>
      <c r="M251" s="46" t="s">
        <v>804</v>
      </c>
      <c r="N251" s="49">
        <v>1</v>
      </c>
      <c r="O251" s="49">
        <v>2</v>
      </c>
      <c r="P251" s="47" t="s">
        <v>1209</v>
      </c>
      <c r="Q251" s="47" t="s">
        <v>1101</v>
      </c>
      <c r="R251" s="47" t="s">
        <v>376</v>
      </c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50">
        <f>IF(L251="W",1,0)</f>
        <v>0</v>
      </c>
      <c r="AF251" s="50">
        <f>IF(L251="T",1,0)</f>
        <v>0</v>
      </c>
      <c r="AG251" s="50">
        <f>IF(L251="L",1,0)</f>
        <v>1</v>
      </c>
      <c r="AH251" s="46" t="s">
        <v>1111</v>
      </c>
      <c r="AI251" s="46" t="s">
        <v>1126</v>
      </c>
      <c r="AJ251" s="46" t="s">
        <v>376</v>
      </c>
      <c r="AK251" s="46" t="s">
        <v>658</v>
      </c>
      <c r="AL251" s="46" t="s">
        <v>588</v>
      </c>
      <c r="AM251" s="46" t="s">
        <v>1175</v>
      </c>
      <c r="AN251" s="46" t="s">
        <v>376</v>
      </c>
      <c r="AO251" s="46" t="s">
        <v>658</v>
      </c>
      <c r="AP251" s="46"/>
      <c r="AQ251" s="46">
        <v>2</v>
      </c>
      <c r="AR251" s="46"/>
      <c r="AS251" s="46"/>
      <c r="AT251" s="46"/>
      <c r="AU251" s="46" t="s">
        <v>376</v>
      </c>
      <c r="AV251" s="46"/>
      <c r="AW251" s="46" t="s">
        <v>30</v>
      </c>
      <c r="AX251" s="46"/>
      <c r="AY251" s="46" t="s">
        <v>30</v>
      </c>
      <c r="AZ251" s="46"/>
      <c r="BA251" s="47"/>
      <c r="BB251" s="51"/>
      <c r="BC251" s="46"/>
      <c r="BD251" s="46"/>
      <c r="BE251" s="46"/>
      <c r="BF251" s="46">
        <v>1</v>
      </c>
      <c r="BG251" s="46">
        <v>2</v>
      </c>
      <c r="BH251" s="46">
        <v>1</v>
      </c>
      <c r="BI251" s="46" t="s">
        <v>1124</v>
      </c>
      <c r="BJ251" s="46" t="s">
        <v>804</v>
      </c>
      <c r="BK251" s="46">
        <v>1907</v>
      </c>
      <c r="BL251" s="46" t="str">
        <f>BK251&amp;BI251</f>
        <v>1907West Bromwich Albion</v>
      </c>
      <c r="BM251" s="52" t="str">
        <f>IF(AD251="Home",BI251,IF(AD251="Away",BJ251,Q251))</f>
        <v>Manchester</v>
      </c>
      <c r="BN251" s="46"/>
      <c r="BO251" s="46"/>
      <c r="BP251" s="46"/>
      <c r="BQ251" s="46"/>
      <c r="BR251" s="46"/>
      <c r="BS251" s="46"/>
      <c r="BT251" s="46"/>
      <c r="BU251" s="46"/>
      <c r="BV251" s="46" t="s">
        <v>376</v>
      </c>
      <c r="BW251" s="46" t="s">
        <v>376</v>
      </c>
      <c r="BX251" s="46"/>
      <c r="BZ251" s="53"/>
      <c r="CA251" s="53"/>
      <c r="CB251" s="93" t="str">
        <f>IF(OR(C251="",A251="",B251=""),"",TEXT(C251,"0000")&amp;TEXT(A251,"00")&amp;TEXT(B251,"00"))</f>
        <v>19070323</v>
      </c>
    </row>
    <row r="252" spans="1:80" s="52" customFormat="1" ht="12.95" customHeight="1" x14ac:dyDescent="0.2">
      <c r="A252" s="46">
        <v>3</v>
      </c>
      <c r="B252" s="46">
        <v>23</v>
      </c>
      <c r="C252" s="46">
        <v>1907</v>
      </c>
      <c r="D252" s="46" t="s">
        <v>658</v>
      </c>
      <c r="E252" s="46" t="s">
        <v>1231</v>
      </c>
      <c r="F252" s="47" t="s">
        <v>1010</v>
      </c>
      <c r="G252" s="46"/>
      <c r="H252" s="47" t="s">
        <v>1011</v>
      </c>
      <c r="I252" s="47"/>
      <c r="J252" s="48">
        <v>2639</v>
      </c>
      <c r="K252" s="46" t="s">
        <v>1093</v>
      </c>
      <c r="L252" s="46" t="s">
        <v>3</v>
      </c>
      <c r="M252" s="46" t="s">
        <v>1230</v>
      </c>
      <c r="N252" s="49">
        <v>3</v>
      </c>
      <c r="O252" s="49">
        <v>1</v>
      </c>
      <c r="P252" s="46" t="s">
        <v>1232</v>
      </c>
      <c r="Q252" s="46" t="s">
        <v>1111</v>
      </c>
      <c r="R252" s="47" t="s">
        <v>376</v>
      </c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50">
        <f>IF(L252="W",1,0)</f>
        <v>1</v>
      </c>
      <c r="AF252" s="50">
        <f>IF(L252="T",1,0)</f>
        <v>0</v>
      </c>
      <c r="AG252" s="50">
        <f>IF(L252="L",1,0)</f>
        <v>0</v>
      </c>
      <c r="AH252" s="46" t="s">
        <v>1097</v>
      </c>
      <c r="AI252" s="46" t="s">
        <v>1098</v>
      </c>
      <c r="AJ252" s="46" t="s">
        <v>376</v>
      </c>
      <c r="AK252" s="46" t="s">
        <v>658</v>
      </c>
      <c r="AL252" s="46" t="s">
        <v>1017</v>
      </c>
      <c r="AM252" s="46" t="s">
        <v>1018</v>
      </c>
      <c r="AN252" s="46" t="s">
        <v>376</v>
      </c>
      <c r="AO252" s="46" t="s">
        <v>658</v>
      </c>
      <c r="AP252" s="46"/>
      <c r="AQ252" s="46">
        <v>2</v>
      </c>
      <c r="AR252" s="46"/>
      <c r="AS252" s="46"/>
      <c r="AT252" s="46"/>
      <c r="AU252" s="46" t="s">
        <v>376</v>
      </c>
      <c r="AV252" s="46"/>
      <c r="AW252" s="46" t="s">
        <v>30</v>
      </c>
      <c r="AX252" s="46"/>
      <c r="AY252" s="46" t="s">
        <v>30</v>
      </c>
      <c r="AZ252" s="46"/>
      <c r="BA252" s="47"/>
      <c r="BB252" s="51"/>
      <c r="BC252" s="46"/>
      <c r="BD252" s="46"/>
      <c r="BE252" s="46"/>
      <c r="BF252" s="46">
        <v>1</v>
      </c>
      <c r="BG252" s="46">
        <v>1</v>
      </c>
      <c r="BH252" s="46">
        <v>1</v>
      </c>
      <c r="BI252" s="46" t="s">
        <v>1093</v>
      </c>
      <c r="BJ252" s="46" t="s">
        <v>587</v>
      </c>
      <c r="BK252" s="46">
        <v>1907</v>
      </c>
      <c r="BL252" s="46" t="str">
        <f>BK252&amp;BI252</f>
        <v>1907Sheffield Wednesday</v>
      </c>
      <c r="BM252" s="52" t="str">
        <f>IF(AD252="Home",BI252,IF(AD252="Away",BJ252,Q252))</f>
        <v>Birmingham</v>
      </c>
      <c r="BN252" s="46"/>
      <c r="BO252" s="46"/>
      <c r="BP252" s="46"/>
      <c r="BQ252" s="46"/>
      <c r="BR252" s="46"/>
      <c r="BS252" s="46"/>
      <c r="BT252" s="46"/>
      <c r="BU252" s="46"/>
      <c r="BV252" s="46" t="s">
        <v>376</v>
      </c>
      <c r="BW252" s="46" t="s">
        <v>376</v>
      </c>
      <c r="BX252" s="46"/>
      <c r="BZ252" s="53"/>
      <c r="CA252" s="53"/>
      <c r="CB252" s="93" t="str">
        <f>IF(OR(C252="",A252="",B252=""),"",TEXT(C252,"0000")&amp;TEXT(A252,"00")&amp;TEXT(B252,"00"))</f>
        <v>19070323</v>
      </c>
    </row>
    <row r="253" spans="1:80" s="52" customFormat="1" ht="12.95" customHeight="1" x14ac:dyDescent="0.2">
      <c r="A253" s="46">
        <v>3</v>
      </c>
      <c r="B253" s="46">
        <v>23</v>
      </c>
      <c r="C253" s="46">
        <v>1907</v>
      </c>
      <c r="D253" s="46" t="s">
        <v>658</v>
      </c>
      <c r="E253" s="46" t="s">
        <v>1231</v>
      </c>
      <c r="F253" s="47" t="s">
        <v>1010</v>
      </c>
      <c r="G253" s="46"/>
      <c r="H253" s="47" t="s">
        <v>1011</v>
      </c>
      <c r="I253" s="47"/>
      <c r="J253" s="48">
        <v>2639</v>
      </c>
      <c r="K253" s="46" t="s">
        <v>1230</v>
      </c>
      <c r="L253" s="46" t="s">
        <v>4</v>
      </c>
      <c r="M253" s="46" t="s">
        <v>1093</v>
      </c>
      <c r="N253" s="49">
        <v>1</v>
      </c>
      <c r="O253" s="49">
        <v>3</v>
      </c>
      <c r="P253" s="46" t="s">
        <v>1232</v>
      </c>
      <c r="Q253" s="46" t="s">
        <v>1111</v>
      </c>
      <c r="R253" s="47" t="s">
        <v>376</v>
      </c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50">
        <f>IF(L253="W",1,0)</f>
        <v>0</v>
      </c>
      <c r="AF253" s="50">
        <f>IF(L253="T",1,0)</f>
        <v>0</v>
      </c>
      <c r="AG253" s="50">
        <f>IF(L253="L",1,0)</f>
        <v>1</v>
      </c>
      <c r="AH253" s="46" t="s">
        <v>1017</v>
      </c>
      <c r="AI253" s="46" t="s">
        <v>1018</v>
      </c>
      <c r="AJ253" s="46" t="s">
        <v>376</v>
      </c>
      <c r="AK253" s="46" t="s">
        <v>658</v>
      </c>
      <c r="AL253" s="46" t="s">
        <v>1097</v>
      </c>
      <c r="AM253" s="46" t="s">
        <v>1098</v>
      </c>
      <c r="AN253" s="46" t="s">
        <v>376</v>
      </c>
      <c r="AO253" s="46" t="s">
        <v>658</v>
      </c>
      <c r="AP253" s="46"/>
      <c r="AQ253" s="46">
        <v>2</v>
      </c>
      <c r="AR253" s="46"/>
      <c r="AS253" s="46"/>
      <c r="AT253" s="46"/>
      <c r="AU253" s="46" t="s">
        <v>376</v>
      </c>
      <c r="AV253" s="46"/>
      <c r="AW253" s="46" t="s">
        <v>30</v>
      </c>
      <c r="AX253" s="46"/>
      <c r="AY253" s="46" t="s">
        <v>30</v>
      </c>
      <c r="AZ253" s="46"/>
      <c r="BA253" s="47"/>
      <c r="BB253" s="51"/>
      <c r="BC253" s="46"/>
      <c r="BD253" s="46"/>
      <c r="BE253" s="46"/>
      <c r="BF253" s="46">
        <v>1</v>
      </c>
      <c r="BG253" s="46">
        <v>1</v>
      </c>
      <c r="BH253" s="46">
        <v>1</v>
      </c>
      <c r="BI253" s="46" t="s">
        <v>587</v>
      </c>
      <c r="BJ253" s="46" t="s">
        <v>1093</v>
      </c>
      <c r="BK253" s="46">
        <v>1907</v>
      </c>
      <c r="BL253" s="46" t="str">
        <f>BK253&amp;BI253</f>
        <v>1907Arsenal</v>
      </c>
      <c r="BM253" s="52" t="str">
        <f>IF(AD253="Home",BI253,IF(AD253="Away",BJ253,Q253))</f>
        <v>Birmingham</v>
      </c>
      <c r="BN253" s="46"/>
      <c r="BO253" s="46"/>
      <c r="BP253" s="46"/>
      <c r="BQ253" s="46"/>
      <c r="BR253" s="46"/>
      <c r="BS253" s="46"/>
      <c r="BT253" s="46"/>
      <c r="BU253" s="46"/>
      <c r="BV253" s="46" t="s">
        <v>376</v>
      </c>
      <c r="BW253" s="46" t="s">
        <v>376</v>
      </c>
      <c r="BX253" s="46"/>
      <c r="BZ253" s="53"/>
      <c r="CA253" s="53"/>
      <c r="CB253" s="93" t="str">
        <f>IF(OR(C253="",A253="",B253=""),"",TEXT(C253,"0000")&amp;TEXT(A253,"00")&amp;TEXT(B253,"00"))</f>
        <v>19070323</v>
      </c>
    </row>
    <row r="254" spans="1:80" s="52" customFormat="1" ht="12.95" customHeight="1" x14ac:dyDescent="0.2">
      <c r="A254" s="46">
        <v>4</v>
      </c>
      <c r="B254" s="46">
        <v>20</v>
      </c>
      <c r="C254" s="46">
        <v>1907</v>
      </c>
      <c r="D254" s="46" t="s">
        <v>658</v>
      </c>
      <c r="E254" s="46" t="s">
        <v>1231</v>
      </c>
      <c r="F254" s="47" t="s">
        <v>1010</v>
      </c>
      <c r="G254" s="46"/>
      <c r="H254" s="47" t="s">
        <v>1025</v>
      </c>
      <c r="I254" s="47"/>
      <c r="J254" s="48">
        <v>2667</v>
      </c>
      <c r="K254" s="46" t="s">
        <v>1093</v>
      </c>
      <c r="L254" s="46" t="s">
        <v>3</v>
      </c>
      <c r="M254" s="46" t="s">
        <v>804</v>
      </c>
      <c r="N254" s="49">
        <v>2</v>
      </c>
      <c r="O254" s="49">
        <v>1</v>
      </c>
      <c r="P254" s="47" t="s">
        <v>1188</v>
      </c>
      <c r="Q254" s="47" t="s">
        <v>1017</v>
      </c>
      <c r="R254" s="47" t="s">
        <v>376</v>
      </c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50">
        <f>IF(L254="W",1,0)</f>
        <v>1</v>
      </c>
      <c r="AF254" s="50">
        <f>IF(L254="T",1,0)</f>
        <v>0</v>
      </c>
      <c r="AG254" s="50">
        <f>IF(L254="L",1,0)</f>
        <v>0</v>
      </c>
      <c r="AH254" s="46" t="s">
        <v>1097</v>
      </c>
      <c r="AI254" s="46" t="s">
        <v>1098</v>
      </c>
      <c r="AJ254" s="46" t="s">
        <v>376</v>
      </c>
      <c r="AK254" s="46" t="s">
        <v>658</v>
      </c>
      <c r="AL254" s="46" t="s">
        <v>588</v>
      </c>
      <c r="AM254" s="46" t="s">
        <v>1175</v>
      </c>
      <c r="AN254" s="46" t="s">
        <v>376</v>
      </c>
      <c r="AO254" s="46" t="s">
        <v>658</v>
      </c>
      <c r="AP254" s="46"/>
      <c r="AQ254" s="46">
        <v>1</v>
      </c>
      <c r="AR254" s="46"/>
      <c r="AS254" s="46"/>
      <c r="AT254" s="46"/>
      <c r="AU254" s="46" t="s">
        <v>376</v>
      </c>
      <c r="AV254" s="46"/>
      <c r="AW254" s="46" t="s">
        <v>30</v>
      </c>
      <c r="AX254" s="46"/>
      <c r="AY254" s="46" t="s">
        <v>30</v>
      </c>
      <c r="AZ254" s="46"/>
      <c r="BA254" s="47"/>
      <c r="BB254" s="51" t="s">
        <v>30</v>
      </c>
      <c r="BC254" s="46" t="s">
        <v>30</v>
      </c>
      <c r="BD254" s="46"/>
      <c r="BE254" s="46"/>
      <c r="BF254" s="46">
        <v>1</v>
      </c>
      <c r="BG254" s="46">
        <v>1</v>
      </c>
      <c r="BH254" s="46">
        <v>1</v>
      </c>
      <c r="BI254" s="46" t="s">
        <v>1093</v>
      </c>
      <c r="BJ254" s="46" t="s">
        <v>804</v>
      </c>
      <c r="BK254" s="46">
        <v>1907</v>
      </c>
      <c r="BL254" s="46" t="str">
        <f>BK254&amp;BI254</f>
        <v>1907Sheffield Wednesday</v>
      </c>
      <c r="BM254" s="52" t="str">
        <f>IF(AD254="Home",BI254,IF(AD254="Away",BJ254,Q254))</f>
        <v>London</v>
      </c>
      <c r="BN254" s="46"/>
      <c r="BO254" s="46"/>
      <c r="BP254" s="46"/>
      <c r="BQ254" s="46"/>
      <c r="BR254" s="46"/>
      <c r="BS254" s="46"/>
      <c r="BT254" s="46"/>
      <c r="BU254" s="46"/>
      <c r="BV254" s="46" t="s">
        <v>376</v>
      </c>
      <c r="BW254" s="46" t="s">
        <v>376</v>
      </c>
      <c r="BX254" s="46"/>
      <c r="BZ254" s="53"/>
      <c r="CA254" s="53"/>
      <c r="CB254" s="93" t="str">
        <f>IF(OR(C254="",A254="",B254=""),"",TEXT(C254,"0000")&amp;TEXT(A254,"00")&amp;TEXT(B254,"00"))</f>
        <v>19070420</v>
      </c>
    </row>
    <row r="255" spans="1:80" s="52" customFormat="1" ht="12.95" customHeight="1" x14ac:dyDescent="0.2">
      <c r="A255" s="46">
        <v>4</v>
      </c>
      <c r="B255" s="46">
        <v>20</v>
      </c>
      <c r="C255" s="46">
        <v>1907</v>
      </c>
      <c r="D255" s="46" t="s">
        <v>658</v>
      </c>
      <c r="E255" s="46" t="s">
        <v>1231</v>
      </c>
      <c r="F255" s="47" t="s">
        <v>1010</v>
      </c>
      <c r="G255" s="46"/>
      <c r="H255" s="47" t="s">
        <v>1025</v>
      </c>
      <c r="I255" s="47"/>
      <c r="J255" s="48">
        <v>2667</v>
      </c>
      <c r="K255" s="46" t="s">
        <v>804</v>
      </c>
      <c r="L255" s="46" t="s">
        <v>4</v>
      </c>
      <c r="M255" s="46" t="s">
        <v>1093</v>
      </c>
      <c r="N255" s="49">
        <v>1</v>
      </c>
      <c r="O255" s="49">
        <v>2</v>
      </c>
      <c r="P255" s="47" t="s">
        <v>1188</v>
      </c>
      <c r="Q255" s="47" t="s">
        <v>1017</v>
      </c>
      <c r="R255" s="47" t="s">
        <v>376</v>
      </c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50">
        <f>IF(L255="W",1,0)</f>
        <v>0</v>
      </c>
      <c r="AF255" s="50">
        <f>IF(L255="T",1,0)</f>
        <v>0</v>
      </c>
      <c r="AG255" s="50">
        <f>IF(L255="L",1,0)</f>
        <v>1</v>
      </c>
      <c r="AH255" s="46" t="s">
        <v>588</v>
      </c>
      <c r="AI255" s="46" t="s">
        <v>1175</v>
      </c>
      <c r="AJ255" s="46" t="s">
        <v>376</v>
      </c>
      <c r="AK255" s="46" t="s">
        <v>658</v>
      </c>
      <c r="AL255" s="46" t="s">
        <v>1097</v>
      </c>
      <c r="AM255" s="46" t="s">
        <v>1098</v>
      </c>
      <c r="AN255" s="46" t="s">
        <v>376</v>
      </c>
      <c r="AO255" s="46" t="s">
        <v>658</v>
      </c>
      <c r="AP255" s="46"/>
      <c r="AQ255" s="46">
        <v>1</v>
      </c>
      <c r="AR255" s="46"/>
      <c r="AS255" s="46"/>
      <c r="AT255" s="46"/>
      <c r="AU255" s="46" t="s">
        <v>376</v>
      </c>
      <c r="AV255" s="46"/>
      <c r="AW255" s="46" t="s">
        <v>30</v>
      </c>
      <c r="AX255" s="46"/>
      <c r="AY255" s="46" t="s">
        <v>30</v>
      </c>
      <c r="AZ255" s="46"/>
      <c r="BA255" s="47"/>
      <c r="BB255" s="51"/>
      <c r="BC255" s="46" t="s">
        <v>30</v>
      </c>
      <c r="BD255" s="46"/>
      <c r="BE255" s="46"/>
      <c r="BF255" s="46">
        <v>1</v>
      </c>
      <c r="BG255" s="46">
        <v>1</v>
      </c>
      <c r="BH255" s="46">
        <v>1</v>
      </c>
      <c r="BI255" s="46" t="s">
        <v>804</v>
      </c>
      <c r="BJ255" s="46" t="s">
        <v>1093</v>
      </c>
      <c r="BK255" s="46">
        <v>1907</v>
      </c>
      <c r="BL255" s="46" t="str">
        <f>BK255&amp;BI255</f>
        <v>1907Everton</v>
      </c>
      <c r="BM255" s="52" t="str">
        <f>IF(AD255="Home",BI255,IF(AD255="Away",BJ255,Q255))</f>
        <v>London</v>
      </c>
      <c r="BN255" s="46"/>
      <c r="BO255" s="46"/>
      <c r="BP255" s="46"/>
      <c r="BQ255" s="46"/>
      <c r="BR255" s="46"/>
      <c r="BS255" s="46"/>
      <c r="BT255" s="46"/>
      <c r="BU255" s="46"/>
      <c r="BV255" s="46" t="s">
        <v>376</v>
      </c>
      <c r="BW255" s="46" t="s">
        <v>376</v>
      </c>
      <c r="BX255" s="46"/>
      <c r="BZ255" s="53"/>
      <c r="CA255" s="53"/>
      <c r="CB255" s="93" t="str">
        <f>IF(OR(C255="",A255="",B255=""),"",TEXT(C255,"0000")&amp;TEXT(A255,"00")&amp;TEXT(B255,"00"))</f>
        <v>19070420</v>
      </c>
    </row>
    <row r="256" spans="1:80" s="52" customFormat="1" ht="12.95" customHeight="1" x14ac:dyDescent="0.2">
      <c r="A256" s="46">
        <v>3</v>
      </c>
      <c r="B256" s="46">
        <v>28</v>
      </c>
      <c r="C256" s="46">
        <v>1908</v>
      </c>
      <c r="D256" s="46" t="s">
        <v>658</v>
      </c>
      <c r="E256" s="46" t="s">
        <v>1233</v>
      </c>
      <c r="F256" s="47" t="s">
        <v>1010</v>
      </c>
      <c r="G256" s="46"/>
      <c r="H256" s="47" t="s">
        <v>1011</v>
      </c>
      <c r="I256" s="47"/>
      <c r="J256" s="48">
        <v>3010</v>
      </c>
      <c r="K256" s="46" t="s">
        <v>805</v>
      </c>
      <c r="L256" s="46" t="s">
        <v>3</v>
      </c>
      <c r="M256" s="46" t="s">
        <v>589</v>
      </c>
      <c r="N256" s="49">
        <v>6</v>
      </c>
      <c r="O256" s="49">
        <v>0</v>
      </c>
      <c r="P256" s="47" t="s">
        <v>1141</v>
      </c>
      <c r="Q256" s="47" t="s">
        <v>588</v>
      </c>
      <c r="R256" s="47" t="s">
        <v>376</v>
      </c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50">
        <f>IF(L256="W",1,0)</f>
        <v>1</v>
      </c>
      <c r="AF256" s="50">
        <f>IF(L256="T",1,0)</f>
        <v>0</v>
      </c>
      <c r="AG256" s="50">
        <f>IF(L256="L",1,0)</f>
        <v>0</v>
      </c>
      <c r="AH256" s="46" t="s">
        <v>1227</v>
      </c>
      <c r="AI256" s="46" t="s">
        <v>1164</v>
      </c>
      <c r="AJ256" s="46" t="s">
        <v>376</v>
      </c>
      <c r="AK256" s="46" t="s">
        <v>658</v>
      </c>
      <c r="AL256" s="46" t="s">
        <v>1017</v>
      </c>
      <c r="AM256" s="46" t="s">
        <v>1018</v>
      </c>
      <c r="AN256" s="46" t="s">
        <v>376</v>
      </c>
      <c r="AO256" s="46" t="s">
        <v>658</v>
      </c>
      <c r="AP256" s="46"/>
      <c r="AQ256" s="46">
        <v>2</v>
      </c>
      <c r="AR256" s="46"/>
      <c r="AS256" s="46"/>
      <c r="AT256" s="46"/>
      <c r="AU256" s="46" t="s">
        <v>376</v>
      </c>
      <c r="AV256" s="46"/>
      <c r="AW256" s="46" t="s">
        <v>30</v>
      </c>
      <c r="AX256" s="46"/>
      <c r="AY256" s="46" t="s">
        <v>30</v>
      </c>
      <c r="AZ256" s="46"/>
      <c r="BA256" s="47"/>
      <c r="BB256" s="51"/>
      <c r="BC256" s="46"/>
      <c r="BD256" s="46"/>
      <c r="BE256" s="46"/>
      <c r="BF256" s="46">
        <v>1</v>
      </c>
      <c r="BG256" s="46">
        <v>1</v>
      </c>
      <c r="BH256" s="46">
        <v>2</v>
      </c>
      <c r="BI256" s="46" t="s">
        <v>805</v>
      </c>
      <c r="BJ256" s="46" t="s">
        <v>589</v>
      </c>
      <c r="BK256" s="46">
        <v>1908</v>
      </c>
      <c r="BL256" s="46" t="str">
        <f>BK256&amp;BI256</f>
        <v>1908Newcastle United</v>
      </c>
      <c r="BM256" s="52" t="str">
        <f>IF(AD256="Home",BI256,IF(AD256="Away",BJ256,Q256))</f>
        <v>Liverpool</v>
      </c>
      <c r="BN256" s="46"/>
      <c r="BO256" s="46"/>
      <c r="BP256" s="46"/>
      <c r="BQ256" s="46"/>
      <c r="BR256" s="46"/>
      <c r="BS256" s="46"/>
      <c r="BT256" s="46"/>
      <c r="BU256" s="46"/>
      <c r="BV256" s="46" t="s">
        <v>376</v>
      </c>
      <c r="BW256" s="46" t="s">
        <v>376</v>
      </c>
      <c r="BX256" s="46"/>
      <c r="BZ256" s="53"/>
      <c r="CA256" s="53"/>
      <c r="CB256" s="93" t="str">
        <f>IF(OR(C256="",A256="",B256=""),"",TEXT(C256,"0000")&amp;TEXT(A256,"00")&amp;TEXT(B256,"00"))</f>
        <v>19080328</v>
      </c>
    </row>
    <row r="257" spans="1:80" s="52" customFormat="1" ht="12.95" customHeight="1" x14ac:dyDescent="0.2">
      <c r="A257" s="46">
        <v>3</v>
      </c>
      <c r="B257" s="46">
        <v>28</v>
      </c>
      <c r="C257" s="46">
        <v>1908</v>
      </c>
      <c r="D257" s="46" t="s">
        <v>658</v>
      </c>
      <c r="E257" s="46" t="s">
        <v>1233</v>
      </c>
      <c r="F257" s="47" t="s">
        <v>1010</v>
      </c>
      <c r="G257" s="46"/>
      <c r="H257" s="47" t="s">
        <v>1011</v>
      </c>
      <c r="I257" s="47"/>
      <c r="J257" s="48">
        <v>3010</v>
      </c>
      <c r="K257" s="46" t="s">
        <v>589</v>
      </c>
      <c r="L257" s="46" t="s">
        <v>4</v>
      </c>
      <c r="M257" s="46" t="s">
        <v>805</v>
      </c>
      <c r="N257" s="49">
        <v>0</v>
      </c>
      <c r="O257" s="49">
        <v>6</v>
      </c>
      <c r="P257" s="47" t="s">
        <v>1141</v>
      </c>
      <c r="Q257" s="47" t="s">
        <v>588</v>
      </c>
      <c r="R257" s="47" t="s">
        <v>376</v>
      </c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50">
        <f>IF(L257="W",1,0)</f>
        <v>0</v>
      </c>
      <c r="AF257" s="50">
        <f>IF(L257="T",1,0)</f>
        <v>0</v>
      </c>
      <c r="AG257" s="50">
        <f>IF(L257="L",1,0)</f>
        <v>1</v>
      </c>
      <c r="AH257" s="46" t="s">
        <v>1017</v>
      </c>
      <c r="AI257" s="46" t="s">
        <v>1018</v>
      </c>
      <c r="AJ257" s="46" t="s">
        <v>376</v>
      </c>
      <c r="AK257" s="46" t="s">
        <v>658</v>
      </c>
      <c r="AL257" s="46" t="s">
        <v>1227</v>
      </c>
      <c r="AM257" s="46" t="s">
        <v>1164</v>
      </c>
      <c r="AN257" s="46" t="s">
        <v>376</v>
      </c>
      <c r="AO257" s="46" t="s">
        <v>658</v>
      </c>
      <c r="AP257" s="46"/>
      <c r="AQ257" s="46">
        <v>2</v>
      </c>
      <c r="AR257" s="46"/>
      <c r="AS257" s="46"/>
      <c r="AT257" s="46"/>
      <c r="AU257" s="46" t="s">
        <v>376</v>
      </c>
      <c r="AV257" s="46"/>
      <c r="AW257" s="46" t="s">
        <v>30</v>
      </c>
      <c r="AX257" s="46"/>
      <c r="AY257" s="46" t="s">
        <v>30</v>
      </c>
      <c r="AZ257" s="46"/>
      <c r="BA257" s="47"/>
      <c r="BB257" s="51"/>
      <c r="BC257" s="46"/>
      <c r="BD257" s="46"/>
      <c r="BE257" s="46"/>
      <c r="BF257" s="46">
        <v>1</v>
      </c>
      <c r="BG257" s="46">
        <v>2</v>
      </c>
      <c r="BH257" s="46">
        <v>1</v>
      </c>
      <c r="BI257" s="46" t="s">
        <v>589</v>
      </c>
      <c r="BJ257" s="46" t="s">
        <v>805</v>
      </c>
      <c r="BK257" s="46">
        <v>1908</v>
      </c>
      <c r="BL257" s="46" t="str">
        <f>BK257&amp;BI257</f>
        <v>1908Fulham</v>
      </c>
      <c r="BM257" s="52" t="str">
        <f>IF(AD257="Home",BI257,IF(AD257="Away",BJ257,Q257))</f>
        <v>Liverpool</v>
      </c>
      <c r="BN257" s="46"/>
      <c r="BO257" s="46"/>
      <c r="BP257" s="46"/>
      <c r="BQ257" s="46"/>
      <c r="BR257" s="46"/>
      <c r="BS257" s="46"/>
      <c r="BT257" s="46"/>
      <c r="BU257" s="46"/>
      <c r="BV257" s="46" t="s">
        <v>376</v>
      </c>
      <c r="BW257" s="46" t="s">
        <v>376</v>
      </c>
      <c r="BX257" s="46"/>
      <c r="BZ257" s="53"/>
      <c r="CA257" s="53"/>
      <c r="CB257" s="93" t="str">
        <f>IF(OR(C257="",A257="",B257=""),"",TEXT(C257,"0000")&amp;TEXT(A257,"00")&amp;TEXT(B257,"00"))</f>
        <v>19080328</v>
      </c>
    </row>
    <row r="258" spans="1:80" s="52" customFormat="1" ht="12.95" customHeight="1" x14ac:dyDescent="0.2">
      <c r="A258" s="46">
        <v>3</v>
      </c>
      <c r="B258" s="46">
        <v>28</v>
      </c>
      <c r="C258" s="46">
        <v>1908</v>
      </c>
      <c r="D258" s="46" t="s">
        <v>658</v>
      </c>
      <c r="E258" s="46" t="s">
        <v>1233</v>
      </c>
      <c r="F258" s="47" t="s">
        <v>1010</v>
      </c>
      <c r="G258" s="46"/>
      <c r="H258" s="47" t="s">
        <v>1011</v>
      </c>
      <c r="I258" s="47"/>
      <c r="J258" s="48">
        <v>3010</v>
      </c>
      <c r="K258" s="46" t="s">
        <v>1151</v>
      </c>
      <c r="L258" s="46" t="s">
        <v>3</v>
      </c>
      <c r="M258" s="46" t="s">
        <v>629</v>
      </c>
      <c r="N258" s="49">
        <v>2</v>
      </c>
      <c r="O258" s="49">
        <v>0</v>
      </c>
      <c r="P258" s="47" t="s">
        <v>1234</v>
      </c>
      <c r="Q258" s="47" t="s">
        <v>1017</v>
      </c>
      <c r="R258" s="47" t="s">
        <v>376</v>
      </c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50">
        <f>IF(L258="W",1,0)</f>
        <v>1</v>
      </c>
      <c r="AF258" s="50">
        <f>IF(L258="T",1,0)</f>
        <v>0</v>
      </c>
      <c r="AG258" s="50">
        <f>IF(L258="L",1,0)</f>
        <v>0</v>
      </c>
      <c r="AH258" s="46" t="s">
        <v>1111</v>
      </c>
      <c r="AI258" s="46" t="s">
        <v>1126</v>
      </c>
      <c r="AJ258" s="46" t="s">
        <v>376</v>
      </c>
      <c r="AK258" s="46" t="s">
        <v>658</v>
      </c>
      <c r="AL258" s="46" t="s">
        <v>629</v>
      </c>
      <c r="AM258" s="46" t="s">
        <v>1199</v>
      </c>
      <c r="AN258" s="46" t="s">
        <v>376</v>
      </c>
      <c r="AO258" s="46" t="s">
        <v>658</v>
      </c>
      <c r="AP258" s="46"/>
      <c r="AQ258" s="46">
        <v>2</v>
      </c>
      <c r="AR258" s="46"/>
      <c r="AS258" s="46"/>
      <c r="AT258" s="46"/>
      <c r="AU258" s="46" t="s">
        <v>376</v>
      </c>
      <c r="AV258" s="46"/>
      <c r="AW258" s="46" t="s">
        <v>30</v>
      </c>
      <c r="AX258" s="46"/>
      <c r="AY258" s="46" t="s">
        <v>30</v>
      </c>
      <c r="AZ258" s="46"/>
      <c r="BA258" s="47"/>
      <c r="BB258" s="51"/>
      <c r="BC258" s="46"/>
      <c r="BD258" s="46"/>
      <c r="BE258" s="46"/>
      <c r="BF258" s="46">
        <v>1</v>
      </c>
      <c r="BG258" s="46">
        <v>2</v>
      </c>
      <c r="BH258" s="46"/>
      <c r="BI258" s="46" t="s">
        <v>1151</v>
      </c>
      <c r="BJ258" s="46" t="s">
        <v>629</v>
      </c>
      <c r="BK258" s="46">
        <v>1908</v>
      </c>
      <c r="BL258" s="46" t="str">
        <f>BK258&amp;BI258</f>
        <v>1908Wolverhampton Wanderers</v>
      </c>
      <c r="BM258" s="52" t="str">
        <f>IF(AD258="Home",BI258,IF(AD258="Away",BJ258,Q258))</f>
        <v>London</v>
      </c>
      <c r="BN258" s="46"/>
      <c r="BO258" s="46"/>
      <c r="BP258" s="46"/>
      <c r="BQ258" s="46"/>
      <c r="BR258" s="46"/>
      <c r="BS258" s="46"/>
      <c r="BT258" s="46"/>
      <c r="BU258" s="46"/>
      <c r="BV258" s="46" t="s">
        <v>376</v>
      </c>
      <c r="BW258" s="46" t="s">
        <v>376</v>
      </c>
      <c r="BX258" s="46"/>
      <c r="BZ258" s="53"/>
      <c r="CA258" s="53"/>
      <c r="CB258" s="93" t="str">
        <f>IF(OR(C258="",A258="",B258=""),"",TEXT(C258,"0000")&amp;TEXT(A258,"00")&amp;TEXT(B258,"00"))</f>
        <v>19080328</v>
      </c>
    </row>
    <row r="259" spans="1:80" s="52" customFormat="1" ht="12.95" customHeight="1" x14ac:dyDescent="0.2">
      <c r="A259" s="46">
        <v>3</v>
      </c>
      <c r="B259" s="46">
        <v>28</v>
      </c>
      <c r="C259" s="46">
        <v>1908</v>
      </c>
      <c r="D259" s="46" t="s">
        <v>658</v>
      </c>
      <c r="E259" s="46" t="s">
        <v>1233</v>
      </c>
      <c r="F259" s="47" t="s">
        <v>1010</v>
      </c>
      <c r="G259" s="46"/>
      <c r="H259" s="47" t="s">
        <v>1011</v>
      </c>
      <c r="I259" s="47"/>
      <c r="J259" s="48">
        <v>3010</v>
      </c>
      <c r="K259" s="46" t="s">
        <v>629</v>
      </c>
      <c r="L259" s="46" t="s">
        <v>4</v>
      </c>
      <c r="M259" s="46" t="s">
        <v>1151</v>
      </c>
      <c r="N259" s="49">
        <v>0</v>
      </c>
      <c r="O259" s="49">
        <v>2</v>
      </c>
      <c r="P259" s="47" t="s">
        <v>1234</v>
      </c>
      <c r="Q259" s="47" t="s">
        <v>1017</v>
      </c>
      <c r="R259" s="47" t="s">
        <v>376</v>
      </c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50">
        <f>IF(L259="W",1,0)</f>
        <v>0</v>
      </c>
      <c r="AF259" s="50">
        <f>IF(L259="T",1,0)</f>
        <v>0</v>
      </c>
      <c r="AG259" s="50">
        <f>IF(L259="L",1,0)</f>
        <v>1</v>
      </c>
      <c r="AH259" s="46" t="s">
        <v>629</v>
      </c>
      <c r="AI259" s="46" t="s">
        <v>1199</v>
      </c>
      <c r="AJ259" s="46" t="s">
        <v>376</v>
      </c>
      <c r="AK259" s="46" t="s">
        <v>658</v>
      </c>
      <c r="AL259" s="46" t="s">
        <v>1111</v>
      </c>
      <c r="AM259" s="46" t="s">
        <v>1126</v>
      </c>
      <c r="AN259" s="46" t="s">
        <v>376</v>
      </c>
      <c r="AO259" s="46" t="s">
        <v>658</v>
      </c>
      <c r="AP259" s="46"/>
      <c r="AQ259" s="46">
        <v>2</v>
      </c>
      <c r="AR259" s="46"/>
      <c r="AS259" s="46"/>
      <c r="AT259" s="46"/>
      <c r="AU259" s="46" t="s">
        <v>376</v>
      </c>
      <c r="AV259" s="46"/>
      <c r="AW259" s="46" t="s">
        <v>30</v>
      </c>
      <c r="AX259" s="46"/>
      <c r="AY259" s="46" t="s">
        <v>30</v>
      </c>
      <c r="AZ259" s="46"/>
      <c r="BA259" s="47"/>
      <c r="BB259" s="51"/>
      <c r="BC259" s="46"/>
      <c r="BD259" s="46"/>
      <c r="BE259" s="46"/>
      <c r="BF259" s="46">
        <v>1</v>
      </c>
      <c r="BG259" s="46"/>
      <c r="BH259" s="46">
        <v>2</v>
      </c>
      <c r="BI259" s="46" t="s">
        <v>629</v>
      </c>
      <c r="BJ259" s="46" t="s">
        <v>1151</v>
      </c>
      <c r="BK259" s="46">
        <v>1908</v>
      </c>
      <c r="BL259" s="46" t="str">
        <f>BK259&amp;BI259</f>
        <v>1908Southampton</v>
      </c>
      <c r="BM259" s="52" t="str">
        <f>IF(AD259="Home",BI259,IF(AD259="Away",BJ259,Q259))</f>
        <v>London</v>
      </c>
      <c r="BN259" s="46"/>
      <c r="BO259" s="46"/>
      <c r="BP259" s="46"/>
      <c r="BQ259" s="46"/>
      <c r="BR259" s="46"/>
      <c r="BS259" s="46"/>
      <c r="BT259" s="46"/>
      <c r="BU259" s="46"/>
      <c r="BV259" s="46" t="s">
        <v>376</v>
      </c>
      <c r="BW259" s="46" t="s">
        <v>376</v>
      </c>
      <c r="BX259" s="46"/>
      <c r="BZ259" s="53"/>
      <c r="CA259" s="53"/>
      <c r="CB259" s="93" t="str">
        <f>IF(OR(C259="",A259="",B259=""),"",TEXT(C259,"0000")&amp;TEXT(A259,"00")&amp;TEXT(B259,"00"))</f>
        <v>19080328</v>
      </c>
    </row>
    <row r="260" spans="1:80" s="52" customFormat="1" ht="12.95" customHeight="1" x14ac:dyDescent="0.2">
      <c r="A260" s="46">
        <v>4</v>
      </c>
      <c r="B260" s="46">
        <v>25</v>
      </c>
      <c r="C260" s="46">
        <v>1908</v>
      </c>
      <c r="D260" s="46" t="s">
        <v>658</v>
      </c>
      <c r="E260" s="46" t="s">
        <v>1233</v>
      </c>
      <c r="F260" s="47" t="s">
        <v>1010</v>
      </c>
      <c r="G260" s="46"/>
      <c r="H260" s="47" t="s">
        <v>1025</v>
      </c>
      <c r="I260" s="47"/>
      <c r="J260" s="48">
        <v>3038</v>
      </c>
      <c r="K260" s="46" t="s">
        <v>1151</v>
      </c>
      <c r="L260" s="46" t="s">
        <v>3</v>
      </c>
      <c r="M260" s="46" t="s">
        <v>805</v>
      </c>
      <c r="N260" s="49">
        <v>3</v>
      </c>
      <c r="O260" s="49">
        <v>1</v>
      </c>
      <c r="P260" s="47" t="s">
        <v>1188</v>
      </c>
      <c r="Q260" s="47" t="s">
        <v>1017</v>
      </c>
      <c r="R260" s="47" t="s">
        <v>376</v>
      </c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50">
        <f>IF(L260="W",1,0)</f>
        <v>1</v>
      </c>
      <c r="AF260" s="50">
        <f>IF(L260="T",1,0)</f>
        <v>0</v>
      </c>
      <c r="AG260" s="50">
        <f>IF(L260="L",1,0)</f>
        <v>0</v>
      </c>
      <c r="AH260" s="46" t="s">
        <v>1111</v>
      </c>
      <c r="AI260" s="46" t="s">
        <v>1126</v>
      </c>
      <c r="AJ260" s="46" t="s">
        <v>376</v>
      </c>
      <c r="AK260" s="46" t="s">
        <v>658</v>
      </c>
      <c r="AL260" s="46" t="s">
        <v>1227</v>
      </c>
      <c r="AM260" s="46" t="s">
        <v>1164</v>
      </c>
      <c r="AN260" s="46" t="s">
        <v>376</v>
      </c>
      <c r="AO260" s="46" t="s">
        <v>658</v>
      </c>
      <c r="AP260" s="46"/>
      <c r="AQ260" s="46">
        <v>1</v>
      </c>
      <c r="AR260" s="46"/>
      <c r="AS260" s="46"/>
      <c r="AT260" s="46"/>
      <c r="AU260" s="46" t="s">
        <v>376</v>
      </c>
      <c r="AV260" s="46"/>
      <c r="AW260" s="46" t="s">
        <v>30</v>
      </c>
      <c r="AX260" s="46"/>
      <c r="AY260" s="46" t="s">
        <v>30</v>
      </c>
      <c r="AZ260" s="46"/>
      <c r="BA260" s="47"/>
      <c r="BB260" s="51" t="s">
        <v>30</v>
      </c>
      <c r="BC260" s="46" t="s">
        <v>30</v>
      </c>
      <c r="BD260" s="46"/>
      <c r="BE260" s="46"/>
      <c r="BF260" s="46">
        <v>1</v>
      </c>
      <c r="BG260" s="46">
        <v>2</v>
      </c>
      <c r="BH260" s="46">
        <v>1</v>
      </c>
      <c r="BI260" s="46" t="s">
        <v>1151</v>
      </c>
      <c r="BJ260" s="46" t="s">
        <v>805</v>
      </c>
      <c r="BK260" s="46">
        <v>1908</v>
      </c>
      <c r="BL260" s="46" t="str">
        <f>BK260&amp;BI260</f>
        <v>1908Wolverhampton Wanderers</v>
      </c>
      <c r="BM260" s="52" t="str">
        <f>IF(AD260="Home",BI260,IF(AD260="Away",BJ260,Q260))</f>
        <v>London</v>
      </c>
      <c r="BN260" s="46"/>
      <c r="BO260" s="46"/>
      <c r="BP260" s="46"/>
      <c r="BQ260" s="46"/>
      <c r="BR260" s="46"/>
      <c r="BS260" s="46"/>
      <c r="BT260" s="46"/>
      <c r="BU260" s="46"/>
      <c r="BV260" s="46" t="s">
        <v>376</v>
      </c>
      <c r="BW260" s="46" t="s">
        <v>376</v>
      </c>
      <c r="BX260" s="46"/>
      <c r="BZ260" s="53"/>
      <c r="CA260" s="53"/>
      <c r="CB260" s="93" t="str">
        <f>IF(OR(C260="",A260="",B260=""),"",TEXT(C260,"0000")&amp;TEXT(A260,"00")&amp;TEXT(B260,"00"))</f>
        <v>19080425</v>
      </c>
    </row>
    <row r="261" spans="1:80" s="52" customFormat="1" ht="12.95" customHeight="1" x14ac:dyDescent="0.2">
      <c r="A261" s="46">
        <v>4</v>
      </c>
      <c r="B261" s="46">
        <v>25</v>
      </c>
      <c r="C261" s="46">
        <v>1908</v>
      </c>
      <c r="D261" s="46" t="s">
        <v>658</v>
      </c>
      <c r="E261" s="46" t="s">
        <v>1233</v>
      </c>
      <c r="F261" s="47" t="s">
        <v>1010</v>
      </c>
      <c r="G261" s="46"/>
      <c r="H261" s="47" t="s">
        <v>1025</v>
      </c>
      <c r="I261" s="47"/>
      <c r="J261" s="48">
        <v>3038</v>
      </c>
      <c r="K261" s="46" t="s">
        <v>805</v>
      </c>
      <c r="L261" s="46" t="s">
        <v>4</v>
      </c>
      <c r="M261" s="46" t="s">
        <v>1151</v>
      </c>
      <c r="N261" s="49">
        <v>1</v>
      </c>
      <c r="O261" s="49">
        <v>3</v>
      </c>
      <c r="P261" s="47" t="s">
        <v>1188</v>
      </c>
      <c r="Q261" s="47" t="s">
        <v>1017</v>
      </c>
      <c r="R261" s="47" t="s">
        <v>376</v>
      </c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50">
        <f>IF(L261="W",1,0)</f>
        <v>0</v>
      </c>
      <c r="AF261" s="50">
        <f>IF(L261="T",1,0)</f>
        <v>0</v>
      </c>
      <c r="AG261" s="50">
        <f>IF(L261="L",1,0)</f>
        <v>1</v>
      </c>
      <c r="AH261" s="46" t="s">
        <v>1227</v>
      </c>
      <c r="AI261" s="46" t="s">
        <v>1164</v>
      </c>
      <c r="AJ261" s="46" t="s">
        <v>376</v>
      </c>
      <c r="AK261" s="46" t="s">
        <v>658</v>
      </c>
      <c r="AL261" s="46" t="s">
        <v>1111</v>
      </c>
      <c r="AM261" s="46" t="s">
        <v>1126</v>
      </c>
      <c r="AN261" s="46" t="s">
        <v>376</v>
      </c>
      <c r="AO261" s="46" t="s">
        <v>658</v>
      </c>
      <c r="AP261" s="46"/>
      <c r="AQ261" s="46">
        <v>1</v>
      </c>
      <c r="AR261" s="46"/>
      <c r="AS261" s="46"/>
      <c r="AT261" s="46"/>
      <c r="AU261" s="46" t="s">
        <v>376</v>
      </c>
      <c r="AV261" s="46"/>
      <c r="AW261" s="46" t="s">
        <v>30</v>
      </c>
      <c r="AX261" s="46"/>
      <c r="AY261" s="46" t="s">
        <v>30</v>
      </c>
      <c r="AZ261" s="46"/>
      <c r="BA261" s="47"/>
      <c r="BB261" s="51"/>
      <c r="BC261" s="46" t="s">
        <v>30</v>
      </c>
      <c r="BD261" s="46"/>
      <c r="BE261" s="46"/>
      <c r="BF261" s="46">
        <v>1</v>
      </c>
      <c r="BG261" s="46">
        <v>1</v>
      </c>
      <c r="BH261" s="46">
        <v>2</v>
      </c>
      <c r="BI261" s="46" t="s">
        <v>805</v>
      </c>
      <c r="BJ261" s="46" t="s">
        <v>1151</v>
      </c>
      <c r="BK261" s="46">
        <v>1908</v>
      </c>
      <c r="BL261" s="46" t="str">
        <f>BK261&amp;BI261</f>
        <v>1908Newcastle United</v>
      </c>
      <c r="BM261" s="52" t="str">
        <f>IF(AD261="Home",BI261,IF(AD261="Away",BJ261,Q261))</f>
        <v>London</v>
      </c>
      <c r="BN261" s="46"/>
      <c r="BO261" s="46"/>
      <c r="BP261" s="46"/>
      <c r="BQ261" s="46"/>
      <c r="BR261" s="46"/>
      <c r="BS261" s="46"/>
      <c r="BT261" s="46"/>
      <c r="BU261" s="46"/>
      <c r="BV261" s="46" t="s">
        <v>376</v>
      </c>
      <c r="BW261" s="46" t="s">
        <v>376</v>
      </c>
      <c r="BX261" s="46"/>
      <c r="BZ261" s="53"/>
      <c r="CA261" s="53"/>
      <c r="CB261" s="93" t="str">
        <f>IF(OR(C261="",A261="",B261=""),"",TEXT(C261,"0000")&amp;TEXT(A261,"00")&amp;TEXT(B261,"00"))</f>
        <v>19080425</v>
      </c>
    </row>
    <row r="262" spans="1:80" s="52" customFormat="1" ht="12.95" customHeight="1" x14ac:dyDescent="0.2">
      <c r="A262" s="46">
        <v>3</v>
      </c>
      <c r="B262" s="46">
        <v>27</v>
      </c>
      <c r="C262" s="46">
        <v>1909</v>
      </c>
      <c r="D262" s="46" t="s">
        <v>658</v>
      </c>
      <c r="E262" s="46" t="s">
        <v>1235</v>
      </c>
      <c r="F262" s="47" t="s">
        <v>1010</v>
      </c>
      <c r="G262" s="46"/>
      <c r="H262" s="47" t="s">
        <v>1011</v>
      </c>
      <c r="I262" s="47"/>
      <c r="J262" s="48">
        <v>3374</v>
      </c>
      <c r="K262" s="46" t="s">
        <v>821</v>
      </c>
      <c r="L262" s="46" t="s">
        <v>3</v>
      </c>
      <c r="M262" s="46" t="s">
        <v>805</v>
      </c>
      <c r="N262" s="49">
        <v>1</v>
      </c>
      <c r="O262" s="49">
        <v>0</v>
      </c>
      <c r="P262" s="47" t="s">
        <v>1163</v>
      </c>
      <c r="Q262" s="47" t="s">
        <v>1097</v>
      </c>
      <c r="R262" s="47" t="s">
        <v>376</v>
      </c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50">
        <f>IF(L262="W",1,0)</f>
        <v>1</v>
      </c>
      <c r="AF262" s="50">
        <f>IF(L262="T",1,0)</f>
        <v>0</v>
      </c>
      <c r="AG262" s="50">
        <f>IF(L262="L",1,0)</f>
        <v>0</v>
      </c>
      <c r="AH262" s="46" t="s">
        <v>1101</v>
      </c>
      <c r="AI262" s="46" t="s">
        <v>1159</v>
      </c>
      <c r="AJ262" s="46" t="s">
        <v>376</v>
      </c>
      <c r="AK262" s="46" t="s">
        <v>658</v>
      </c>
      <c r="AL262" s="46" t="s">
        <v>1227</v>
      </c>
      <c r="AM262" s="46" t="s">
        <v>1164</v>
      </c>
      <c r="AN262" s="46" t="s">
        <v>376</v>
      </c>
      <c r="AO262" s="46" t="s">
        <v>658</v>
      </c>
      <c r="AP262" s="46"/>
      <c r="AQ262" s="46">
        <v>2</v>
      </c>
      <c r="AR262" s="46"/>
      <c r="AS262" s="46"/>
      <c r="AT262" s="46"/>
      <c r="AU262" s="46" t="s">
        <v>376</v>
      </c>
      <c r="AV262" s="46"/>
      <c r="AW262" s="46" t="s">
        <v>30</v>
      </c>
      <c r="AX262" s="46"/>
      <c r="AY262" s="46" t="s">
        <v>30</v>
      </c>
      <c r="AZ262" s="46"/>
      <c r="BA262" s="47"/>
      <c r="BB262" s="51"/>
      <c r="BC262" s="46"/>
      <c r="BD262" s="46"/>
      <c r="BE262" s="46"/>
      <c r="BF262" s="46">
        <v>1</v>
      </c>
      <c r="BG262" s="46">
        <v>1</v>
      </c>
      <c r="BH262" s="46">
        <v>1</v>
      </c>
      <c r="BI262" s="46" t="s">
        <v>821</v>
      </c>
      <c r="BJ262" s="46" t="s">
        <v>805</v>
      </c>
      <c r="BK262" s="46">
        <v>1909</v>
      </c>
      <c r="BL262" s="46" t="str">
        <f>BK262&amp;BI262</f>
        <v>1909Manchester United</v>
      </c>
      <c r="BM262" s="52" t="str">
        <f>IF(AD262="Home",BI262,IF(AD262="Away",BJ262,Q262))</f>
        <v>Sheffield</v>
      </c>
      <c r="BN262" s="46"/>
      <c r="BO262" s="46"/>
      <c r="BP262" s="46"/>
      <c r="BQ262" s="46"/>
      <c r="BR262" s="46"/>
      <c r="BS262" s="46"/>
      <c r="BT262" s="46"/>
      <c r="BU262" s="46"/>
      <c r="BV262" s="46" t="s">
        <v>376</v>
      </c>
      <c r="BW262" s="46" t="s">
        <v>376</v>
      </c>
      <c r="BX262" s="46"/>
      <c r="BY262" s="50"/>
      <c r="BZ262" s="53"/>
      <c r="CA262" s="53"/>
      <c r="CB262" s="93" t="str">
        <f>IF(OR(C262="",A262="",B262=""),"",TEXT(C262,"0000")&amp;TEXT(A262,"00")&amp;TEXT(B262,"00"))</f>
        <v>19090327</v>
      </c>
    </row>
    <row r="263" spans="1:80" s="52" customFormat="1" ht="12.95" customHeight="1" x14ac:dyDescent="0.2">
      <c r="A263" s="46">
        <v>3</v>
      </c>
      <c r="B263" s="46">
        <v>27</v>
      </c>
      <c r="C263" s="46">
        <v>1909</v>
      </c>
      <c r="D263" s="46" t="s">
        <v>658</v>
      </c>
      <c r="E263" s="46" t="s">
        <v>1235</v>
      </c>
      <c r="F263" s="47" t="s">
        <v>1010</v>
      </c>
      <c r="G263" s="46"/>
      <c r="H263" s="47" t="s">
        <v>1011</v>
      </c>
      <c r="I263" s="47"/>
      <c r="J263" s="48">
        <v>3374</v>
      </c>
      <c r="K263" s="46" t="s">
        <v>805</v>
      </c>
      <c r="L263" s="46" t="s">
        <v>4</v>
      </c>
      <c r="M263" s="46" t="s">
        <v>821</v>
      </c>
      <c r="N263" s="49">
        <v>0</v>
      </c>
      <c r="O263" s="49">
        <v>1</v>
      </c>
      <c r="P263" s="47" t="s">
        <v>1163</v>
      </c>
      <c r="Q263" s="47" t="s">
        <v>1097</v>
      </c>
      <c r="R263" s="47" t="s">
        <v>376</v>
      </c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50">
        <f>IF(L263="W",1,0)</f>
        <v>0</v>
      </c>
      <c r="AF263" s="50">
        <f>IF(L263="T",1,0)</f>
        <v>0</v>
      </c>
      <c r="AG263" s="50">
        <f>IF(L263="L",1,0)</f>
        <v>1</v>
      </c>
      <c r="AH263" s="46" t="s">
        <v>1227</v>
      </c>
      <c r="AI263" s="46" t="s">
        <v>1164</v>
      </c>
      <c r="AJ263" s="46" t="s">
        <v>376</v>
      </c>
      <c r="AK263" s="46" t="s">
        <v>658</v>
      </c>
      <c r="AL263" s="46" t="s">
        <v>1101</v>
      </c>
      <c r="AM263" s="46" t="s">
        <v>1159</v>
      </c>
      <c r="AN263" s="46" t="s">
        <v>376</v>
      </c>
      <c r="AO263" s="46" t="s">
        <v>658</v>
      </c>
      <c r="AP263" s="46"/>
      <c r="AQ263" s="46">
        <v>2</v>
      </c>
      <c r="AR263" s="46"/>
      <c r="AS263" s="46"/>
      <c r="AT263" s="46"/>
      <c r="AU263" s="46" t="s">
        <v>376</v>
      </c>
      <c r="AV263" s="46"/>
      <c r="AW263" s="46" t="s">
        <v>30</v>
      </c>
      <c r="AX263" s="46"/>
      <c r="AY263" s="46" t="s">
        <v>30</v>
      </c>
      <c r="AZ263" s="46"/>
      <c r="BA263" s="47"/>
      <c r="BB263" s="51"/>
      <c r="BC263" s="46"/>
      <c r="BD263" s="46"/>
      <c r="BE263" s="46"/>
      <c r="BF263" s="46">
        <v>1</v>
      </c>
      <c r="BG263" s="46">
        <v>1</v>
      </c>
      <c r="BH263" s="46">
        <v>1</v>
      </c>
      <c r="BI263" s="46" t="s">
        <v>805</v>
      </c>
      <c r="BJ263" s="46" t="s">
        <v>821</v>
      </c>
      <c r="BK263" s="46">
        <v>1909</v>
      </c>
      <c r="BL263" s="46" t="str">
        <f>BK263&amp;BI263</f>
        <v>1909Newcastle United</v>
      </c>
      <c r="BM263" s="52" t="str">
        <f>IF(AD263="Home",BI263,IF(AD263="Away",BJ263,Q263))</f>
        <v>Sheffield</v>
      </c>
      <c r="BN263" s="46"/>
      <c r="BO263" s="46"/>
      <c r="BP263" s="46"/>
      <c r="BQ263" s="46"/>
      <c r="BR263" s="46"/>
      <c r="BS263" s="46"/>
      <c r="BT263" s="46"/>
      <c r="BU263" s="46"/>
      <c r="BV263" s="46" t="s">
        <v>376</v>
      </c>
      <c r="BW263" s="46" t="s">
        <v>376</v>
      </c>
      <c r="BX263" s="46"/>
      <c r="BY263" s="50"/>
      <c r="BZ263" s="53"/>
      <c r="CA263" s="53"/>
      <c r="CB263" s="93" t="str">
        <f>IF(OR(C263="",A263="",B263=""),"",TEXT(C263,"0000")&amp;TEXT(A263,"00")&amp;TEXT(B263,"00"))</f>
        <v>19090327</v>
      </c>
    </row>
    <row r="264" spans="1:80" s="52" customFormat="1" ht="12.95" customHeight="1" x14ac:dyDescent="0.2">
      <c r="A264" s="46">
        <v>3</v>
      </c>
      <c r="B264" s="46">
        <v>27</v>
      </c>
      <c r="C264" s="46">
        <v>1909</v>
      </c>
      <c r="D264" s="46" t="s">
        <v>658</v>
      </c>
      <c r="E264" s="46" t="s">
        <v>1235</v>
      </c>
      <c r="F264" s="47" t="s">
        <v>1010</v>
      </c>
      <c r="G264" s="46"/>
      <c r="H264" s="47" t="s">
        <v>1011</v>
      </c>
      <c r="I264" s="47"/>
      <c r="J264" s="48">
        <v>3374</v>
      </c>
      <c r="K264" s="46" t="s">
        <v>1191</v>
      </c>
      <c r="L264" s="46" t="s">
        <v>1014</v>
      </c>
      <c r="M264" s="46" t="s">
        <v>1236</v>
      </c>
      <c r="N264" s="49">
        <v>1</v>
      </c>
      <c r="O264" s="49">
        <v>1</v>
      </c>
      <c r="P264" s="47" t="s">
        <v>1234</v>
      </c>
      <c r="Q264" s="47" t="s">
        <v>1017</v>
      </c>
      <c r="R264" s="47" t="s">
        <v>376</v>
      </c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50">
        <f>IF(L264="W",1,0)</f>
        <v>0</v>
      </c>
      <c r="AF264" s="50">
        <f>IF(L264="T",1,0)</f>
        <v>1</v>
      </c>
      <c r="AG264" s="50">
        <f>IF(L264="L",1,0)</f>
        <v>0</v>
      </c>
      <c r="AH264" s="46" t="s">
        <v>979</v>
      </c>
      <c r="AI264" s="46" t="s">
        <v>1146</v>
      </c>
      <c r="AJ264" s="46" t="s">
        <v>376</v>
      </c>
      <c r="AK264" s="46" t="s">
        <v>658</v>
      </c>
      <c r="AL264" s="46" t="s">
        <v>1237</v>
      </c>
      <c r="AM264" s="46" t="s">
        <v>1237</v>
      </c>
      <c r="AN264" s="46" t="s">
        <v>376</v>
      </c>
      <c r="AO264" s="46" t="s">
        <v>658</v>
      </c>
      <c r="AP264" s="46"/>
      <c r="AQ264" s="46">
        <v>2</v>
      </c>
      <c r="AR264" s="46"/>
      <c r="AS264" s="46"/>
      <c r="AT264" s="46"/>
      <c r="AU264" s="46" t="s">
        <v>376</v>
      </c>
      <c r="AV264" s="46"/>
      <c r="AW264" s="46" t="s">
        <v>30</v>
      </c>
      <c r="AX264" s="46"/>
      <c r="AY264" s="46" t="s">
        <v>30</v>
      </c>
      <c r="AZ264" s="46"/>
      <c r="BA264" s="47"/>
      <c r="BB264" s="51"/>
      <c r="BC264" s="46"/>
      <c r="BD264" s="46"/>
      <c r="BE264" s="46"/>
      <c r="BF264" s="46">
        <v>1</v>
      </c>
      <c r="BG264" s="46">
        <v>2</v>
      </c>
      <c r="BH264" s="46">
        <v>1</v>
      </c>
      <c r="BI264" s="46" t="s">
        <v>1191</v>
      </c>
      <c r="BJ264" s="46" t="s">
        <v>1236</v>
      </c>
      <c r="BK264" s="46">
        <v>1909</v>
      </c>
      <c r="BL264" s="46" t="str">
        <f>BK264&amp;BI264</f>
        <v>1909Derby County</v>
      </c>
      <c r="BM264" s="52" t="str">
        <f>IF(AD264="Home",BI264,IF(AD264="Away",BJ264,Q264))</f>
        <v>London</v>
      </c>
      <c r="BN264" s="46"/>
      <c r="BO264" s="46"/>
      <c r="BP264" s="46"/>
      <c r="BQ264" s="46"/>
      <c r="BR264" s="46"/>
      <c r="BS264" s="46"/>
      <c r="BT264" s="46"/>
      <c r="BU264" s="46"/>
      <c r="BV264" s="46" t="s">
        <v>376</v>
      </c>
      <c r="BW264" s="46" t="s">
        <v>376</v>
      </c>
      <c r="BX264" s="46"/>
      <c r="BZ264" s="53"/>
      <c r="CA264" s="53"/>
      <c r="CB264" s="93" t="str">
        <f>IF(OR(C264="",A264="",B264=""),"",TEXT(C264,"0000")&amp;TEXT(A264,"00")&amp;TEXT(B264,"00"))</f>
        <v>19090327</v>
      </c>
    </row>
    <row r="265" spans="1:80" s="52" customFormat="1" ht="12.95" customHeight="1" x14ac:dyDescent="0.2">
      <c r="A265" s="46">
        <v>3</v>
      </c>
      <c r="B265" s="46">
        <v>27</v>
      </c>
      <c r="C265" s="46">
        <v>1909</v>
      </c>
      <c r="D265" s="46" t="s">
        <v>658</v>
      </c>
      <c r="E265" s="46" t="s">
        <v>1235</v>
      </c>
      <c r="F265" s="47" t="s">
        <v>1010</v>
      </c>
      <c r="G265" s="46"/>
      <c r="H265" s="47" t="s">
        <v>1011</v>
      </c>
      <c r="I265" s="47"/>
      <c r="J265" s="48">
        <v>3374</v>
      </c>
      <c r="K265" s="46" t="s">
        <v>1236</v>
      </c>
      <c r="L265" s="46" t="s">
        <v>1014</v>
      </c>
      <c r="M265" s="46" t="s">
        <v>1191</v>
      </c>
      <c r="N265" s="49">
        <v>1</v>
      </c>
      <c r="O265" s="49">
        <v>1</v>
      </c>
      <c r="P265" s="47" t="s">
        <v>1234</v>
      </c>
      <c r="Q265" s="47" t="s">
        <v>1017</v>
      </c>
      <c r="R265" s="47" t="s">
        <v>376</v>
      </c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50">
        <f>IF(L265="W",1,0)</f>
        <v>0</v>
      </c>
      <c r="AF265" s="50">
        <f>IF(L265="T",1,0)</f>
        <v>1</v>
      </c>
      <c r="AG265" s="50">
        <f>IF(L265="L",1,0)</f>
        <v>0</v>
      </c>
      <c r="AH265" s="46" t="s">
        <v>1237</v>
      </c>
      <c r="AI265" s="46" t="s">
        <v>1237</v>
      </c>
      <c r="AJ265" s="46" t="s">
        <v>376</v>
      </c>
      <c r="AK265" s="46" t="s">
        <v>658</v>
      </c>
      <c r="AL265" s="46" t="s">
        <v>979</v>
      </c>
      <c r="AM265" s="46" t="s">
        <v>1146</v>
      </c>
      <c r="AN265" s="46" t="s">
        <v>376</v>
      </c>
      <c r="AO265" s="46" t="s">
        <v>658</v>
      </c>
      <c r="AP265" s="46"/>
      <c r="AQ265" s="46">
        <v>2</v>
      </c>
      <c r="AR265" s="46"/>
      <c r="AS265" s="46"/>
      <c r="AT265" s="46"/>
      <c r="AU265" s="46" t="s">
        <v>376</v>
      </c>
      <c r="AV265" s="46"/>
      <c r="AW265" s="46" t="s">
        <v>30</v>
      </c>
      <c r="AX265" s="46"/>
      <c r="AY265" s="46" t="s">
        <v>30</v>
      </c>
      <c r="AZ265" s="46"/>
      <c r="BA265" s="47"/>
      <c r="BB265" s="51"/>
      <c r="BC265" s="46"/>
      <c r="BD265" s="46"/>
      <c r="BE265" s="46"/>
      <c r="BF265" s="46">
        <v>1</v>
      </c>
      <c r="BG265" s="46">
        <v>1</v>
      </c>
      <c r="BH265" s="46">
        <v>2</v>
      </c>
      <c r="BI265" s="46" t="s">
        <v>1236</v>
      </c>
      <c r="BJ265" s="46" t="s">
        <v>1191</v>
      </c>
      <c r="BK265" s="46">
        <v>1909</v>
      </c>
      <c r="BL265" s="46" t="str">
        <f>BK265&amp;BI265</f>
        <v>1909Bristol City</v>
      </c>
      <c r="BM265" s="52" t="str">
        <f>IF(AD265="Home",BI265,IF(AD265="Away",BJ265,Q265))</f>
        <v>London</v>
      </c>
      <c r="BN265" s="46"/>
      <c r="BO265" s="46"/>
      <c r="BP265" s="46"/>
      <c r="BQ265" s="46"/>
      <c r="BR265" s="46"/>
      <c r="BS265" s="46"/>
      <c r="BT265" s="46"/>
      <c r="BU265" s="46"/>
      <c r="BV265" s="46" t="s">
        <v>376</v>
      </c>
      <c r="BW265" s="46" t="s">
        <v>376</v>
      </c>
      <c r="BX265" s="46"/>
      <c r="BZ265" s="53"/>
      <c r="CA265" s="53"/>
      <c r="CB265" s="93" t="str">
        <f>IF(OR(C265="",A265="",B265=""),"",TEXT(C265,"0000")&amp;TEXT(A265,"00")&amp;TEXT(B265,"00"))</f>
        <v>19090327</v>
      </c>
    </row>
    <row r="266" spans="1:80" s="52" customFormat="1" ht="12.95" customHeight="1" x14ac:dyDescent="0.2">
      <c r="A266" s="46">
        <v>3</v>
      </c>
      <c r="B266" s="46">
        <v>31</v>
      </c>
      <c r="C266" s="46">
        <v>1909</v>
      </c>
      <c r="D266" s="46" t="s">
        <v>658</v>
      </c>
      <c r="E266" s="46" t="s">
        <v>1235</v>
      </c>
      <c r="F266" s="47" t="s">
        <v>1010</v>
      </c>
      <c r="G266" s="46"/>
      <c r="H266" s="47" t="s">
        <v>1011</v>
      </c>
      <c r="I266" s="47" t="s">
        <v>1023</v>
      </c>
      <c r="J266" s="48">
        <v>3378</v>
      </c>
      <c r="K266" s="46" t="s">
        <v>1236</v>
      </c>
      <c r="L266" s="46" t="s">
        <v>3</v>
      </c>
      <c r="M266" s="46" t="s">
        <v>1191</v>
      </c>
      <c r="N266" s="49">
        <v>2</v>
      </c>
      <c r="O266" s="49">
        <v>1</v>
      </c>
      <c r="P266" s="46" t="s">
        <v>1232</v>
      </c>
      <c r="Q266" s="46" t="s">
        <v>1111</v>
      </c>
      <c r="R266" s="47" t="s">
        <v>376</v>
      </c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50">
        <f>IF(L266="W",1,0)</f>
        <v>1</v>
      </c>
      <c r="AF266" s="50">
        <f>IF(L266="T",1,0)</f>
        <v>0</v>
      </c>
      <c r="AG266" s="50">
        <f>IF(L266="L",1,0)</f>
        <v>0</v>
      </c>
      <c r="AH266" s="46" t="s">
        <v>1237</v>
      </c>
      <c r="AI266" s="46" t="s">
        <v>1237</v>
      </c>
      <c r="AJ266" s="46" t="s">
        <v>376</v>
      </c>
      <c r="AK266" s="46" t="s">
        <v>658</v>
      </c>
      <c r="AL266" s="46" t="s">
        <v>979</v>
      </c>
      <c r="AM266" s="46" t="s">
        <v>1146</v>
      </c>
      <c r="AN266" s="46" t="s">
        <v>376</v>
      </c>
      <c r="AO266" s="46" t="s">
        <v>658</v>
      </c>
      <c r="AP266" s="46"/>
      <c r="AQ266" s="46">
        <v>2</v>
      </c>
      <c r="AR266" s="46"/>
      <c r="AS266" s="46"/>
      <c r="AT266" s="46"/>
      <c r="AU266" s="46" t="s">
        <v>376</v>
      </c>
      <c r="AV266" s="46"/>
      <c r="AW266" s="46" t="s">
        <v>30</v>
      </c>
      <c r="AX266" s="46"/>
      <c r="AY266" s="46" t="s">
        <v>30</v>
      </c>
      <c r="AZ266" s="46"/>
      <c r="BA266" s="47"/>
      <c r="BB266" s="51"/>
      <c r="BC266" s="46"/>
      <c r="BD266" s="46"/>
      <c r="BE266" s="46"/>
      <c r="BF266" s="46">
        <v>1</v>
      </c>
      <c r="BG266" s="46">
        <v>1</v>
      </c>
      <c r="BH266" s="46">
        <v>2</v>
      </c>
      <c r="BI266" s="46" t="s">
        <v>1236</v>
      </c>
      <c r="BJ266" s="46" t="s">
        <v>1191</v>
      </c>
      <c r="BK266" s="46">
        <v>1909</v>
      </c>
      <c r="BL266" s="46" t="str">
        <f>BK266&amp;BI266</f>
        <v>1909Bristol City</v>
      </c>
      <c r="BM266" s="52" t="str">
        <f>IF(AD266="Home",BI266,IF(AD266="Away",BJ266,Q266))</f>
        <v>Birmingham</v>
      </c>
      <c r="BN266" s="46"/>
      <c r="BO266" s="46"/>
      <c r="BP266" s="46"/>
      <c r="BQ266" s="46"/>
      <c r="BR266" s="46"/>
      <c r="BS266" s="46"/>
      <c r="BT266" s="46"/>
      <c r="BU266" s="46"/>
      <c r="BV266" s="46" t="s">
        <v>376</v>
      </c>
      <c r="BW266" s="46" t="s">
        <v>376</v>
      </c>
      <c r="BX266" s="46"/>
      <c r="BZ266" s="53"/>
      <c r="CA266" s="53"/>
      <c r="CB266" s="93" t="str">
        <f>IF(OR(C266="",A266="",B266=""),"",TEXT(C266,"0000")&amp;TEXT(A266,"00")&amp;TEXT(B266,"00"))</f>
        <v>19090331</v>
      </c>
    </row>
    <row r="267" spans="1:80" s="52" customFormat="1" ht="12.95" customHeight="1" x14ac:dyDescent="0.2">
      <c r="A267" s="46">
        <v>3</v>
      </c>
      <c r="B267" s="46">
        <v>31</v>
      </c>
      <c r="C267" s="46">
        <v>1909</v>
      </c>
      <c r="D267" s="46" t="s">
        <v>658</v>
      </c>
      <c r="E267" s="46" t="s">
        <v>1235</v>
      </c>
      <c r="F267" s="47" t="s">
        <v>1010</v>
      </c>
      <c r="G267" s="46"/>
      <c r="H267" s="47" t="s">
        <v>1011</v>
      </c>
      <c r="I267" s="47" t="s">
        <v>1023</v>
      </c>
      <c r="J267" s="48">
        <v>3378</v>
      </c>
      <c r="K267" s="46" t="s">
        <v>1191</v>
      </c>
      <c r="L267" s="46" t="s">
        <v>4</v>
      </c>
      <c r="M267" s="46" t="s">
        <v>1236</v>
      </c>
      <c r="N267" s="49">
        <v>1</v>
      </c>
      <c r="O267" s="49">
        <v>2</v>
      </c>
      <c r="P267" s="46" t="s">
        <v>1232</v>
      </c>
      <c r="Q267" s="46" t="s">
        <v>1111</v>
      </c>
      <c r="R267" s="47" t="s">
        <v>376</v>
      </c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50">
        <f>IF(L267="W",1,0)</f>
        <v>0</v>
      </c>
      <c r="AF267" s="50">
        <f>IF(L267="T",1,0)</f>
        <v>0</v>
      </c>
      <c r="AG267" s="50">
        <f>IF(L267="L",1,0)</f>
        <v>1</v>
      </c>
      <c r="AH267" s="46" t="s">
        <v>979</v>
      </c>
      <c r="AI267" s="46" t="s">
        <v>1146</v>
      </c>
      <c r="AJ267" s="46" t="s">
        <v>376</v>
      </c>
      <c r="AK267" s="46" t="s">
        <v>658</v>
      </c>
      <c r="AL267" s="46" t="s">
        <v>1237</v>
      </c>
      <c r="AM267" s="46" t="s">
        <v>1237</v>
      </c>
      <c r="AN267" s="46" t="s">
        <v>376</v>
      </c>
      <c r="AO267" s="46" t="s">
        <v>658</v>
      </c>
      <c r="AP267" s="46"/>
      <c r="AQ267" s="46">
        <v>2</v>
      </c>
      <c r="AR267" s="46"/>
      <c r="AS267" s="46"/>
      <c r="AT267" s="46"/>
      <c r="AU267" s="46" t="s">
        <v>376</v>
      </c>
      <c r="AV267" s="46"/>
      <c r="AW267" s="46" t="s">
        <v>30</v>
      </c>
      <c r="AX267" s="46"/>
      <c r="AY267" s="46" t="s">
        <v>30</v>
      </c>
      <c r="AZ267" s="46"/>
      <c r="BA267" s="47"/>
      <c r="BB267" s="51"/>
      <c r="BC267" s="46"/>
      <c r="BD267" s="46"/>
      <c r="BE267" s="46"/>
      <c r="BF267" s="46">
        <v>1</v>
      </c>
      <c r="BG267" s="46">
        <v>2</v>
      </c>
      <c r="BH267" s="46">
        <v>1</v>
      </c>
      <c r="BI267" s="46" t="s">
        <v>1191</v>
      </c>
      <c r="BJ267" s="46" t="s">
        <v>1236</v>
      </c>
      <c r="BK267" s="46">
        <v>1909</v>
      </c>
      <c r="BL267" s="46" t="str">
        <f>BK267&amp;BI267</f>
        <v>1909Derby County</v>
      </c>
      <c r="BM267" s="52" t="str">
        <f>IF(AD267="Home",BI267,IF(AD267="Away",BJ267,Q267))</f>
        <v>Birmingham</v>
      </c>
      <c r="BN267" s="46"/>
      <c r="BO267" s="46"/>
      <c r="BP267" s="46"/>
      <c r="BQ267" s="46"/>
      <c r="BR267" s="46"/>
      <c r="BS267" s="46"/>
      <c r="BT267" s="46"/>
      <c r="BU267" s="46"/>
      <c r="BV267" s="46" t="s">
        <v>376</v>
      </c>
      <c r="BW267" s="46" t="s">
        <v>376</v>
      </c>
      <c r="BX267" s="46"/>
      <c r="BZ267" s="53"/>
      <c r="CA267" s="53"/>
      <c r="CB267" s="93" t="str">
        <f>IF(OR(C267="",A267="",B267=""),"",TEXT(C267,"0000")&amp;TEXT(A267,"00")&amp;TEXT(B267,"00"))</f>
        <v>19090331</v>
      </c>
    </row>
    <row r="268" spans="1:80" s="52" customFormat="1" ht="12.95" customHeight="1" x14ac:dyDescent="0.2">
      <c r="A268" s="46">
        <v>4</v>
      </c>
      <c r="B268" s="46">
        <v>24</v>
      </c>
      <c r="C268" s="46">
        <v>1909</v>
      </c>
      <c r="D268" s="46" t="s">
        <v>658</v>
      </c>
      <c r="E268" s="46" t="s">
        <v>1235</v>
      </c>
      <c r="F268" s="47" t="s">
        <v>1010</v>
      </c>
      <c r="G268" s="46"/>
      <c r="H268" s="47" t="s">
        <v>1025</v>
      </c>
      <c r="I268" s="47"/>
      <c r="J268" s="48">
        <v>3402</v>
      </c>
      <c r="K268" s="46" t="s">
        <v>821</v>
      </c>
      <c r="L268" s="46" t="s">
        <v>3</v>
      </c>
      <c r="M268" s="46" t="s">
        <v>1236</v>
      </c>
      <c r="N268" s="49">
        <v>1</v>
      </c>
      <c r="O268" s="49">
        <v>0</v>
      </c>
      <c r="P268" s="47" t="s">
        <v>1188</v>
      </c>
      <c r="Q268" s="47" t="s">
        <v>1017</v>
      </c>
      <c r="R268" s="47" t="s">
        <v>376</v>
      </c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50">
        <f>IF(L268="W",1,0)</f>
        <v>1</v>
      </c>
      <c r="AF268" s="50">
        <f>IF(L268="T",1,0)</f>
        <v>0</v>
      </c>
      <c r="AG268" s="50">
        <f>IF(L268="L",1,0)</f>
        <v>0</v>
      </c>
      <c r="AH268" s="46" t="s">
        <v>1101</v>
      </c>
      <c r="AI268" s="46" t="s">
        <v>1159</v>
      </c>
      <c r="AJ268" s="46" t="s">
        <v>376</v>
      </c>
      <c r="AK268" s="46" t="s">
        <v>658</v>
      </c>
      <c r="AL268" s="46" t="s">
        <v>1237</v>
      </c>
      <c r="AM268" s="46" t="s">
        <v>1237</v>
      </c>
      <c r="AN268" s="46" t="s">
        <v>376</v>
      </c>
      <c r="AO268" s="46" t="s">
        <v>658</v>
      </c>
      <c r="AP268" s="46"/>
      <c r="AQ268" s="46">
        <v>1</v>
      </c>
      <c r="AR268" s="46"/>
      <c r="AS268" s="46"/>
      <c r="AT268" s="46"/>
      <c r="AU268" s="46" t="s">
        <v>376</v>
      </c>
      <c r="AV268" s="46"/>
      <c r="AW268" s="46" t="s">
        <v>30</v>
      </c>
      <c r="AX268" s="46"/>
      <c r="AY268" s="46" t="s">
        <v>30</v>
      </c>
      <c r="AZ268" s="46"/>
      <c r="BA268" s="47"/>
      <c r="BB268" s="51" t="s">
        <v>30</v>
      </c>
      <c r="BC268" s="46" t="s">
        <v>30</v>
      </c>
      <c r="BD268" s="46"/>
      <c r="BE268" s="46"/>
      <c r="BF268" s="46">
        <v>1</v>
      </c>
      <c r="BG268" s="46">
        <v>1</v>
      </c>
      <c r="BH268" s="46">
        <v>1</v>
      </c>
      <c r="BI268" s="46" t="s">
        <v>821</v>
      </c>
      <c r="BJ268" s="46" t="s">
        <v>1236</v>
      </c>
      <c r="BK268" s="46">
        <v>1909</v>
      </c>
      <c r="BL268" s="46" t="str">
        <f>BK268&amp;BI268</f>
        <v>1909Manchester United</v>
      </c>
      <c r="BM268" s="52" t="str">
        <f>IF(AD268="Home",BI268,IF(AD268="Away",BJ268,Q268))</f>
        <v>London</v>
      </c>
      <c r="BN268" s="46"/>
      <c r="BO268" s="46"/>
      <c r="BP268" s="46"/>
      <c r="BQ268" s="46"/>
      <c r="BR268" s="46"/>
      <c r="BS268" s="46"/>
      <c r="BT268" s="46"/>
      <c r="BU268" s="46"/>
      <c r="BV268" s="46" t="s">
        <v>376</v>
      </c>
      <c r="BW268" s="46" t="s">
        <v>376</v>
      </c>
      <c r="BX268" s="46"/>
      <c r="BZ268" s="53"/>
      <c r="CA268" s="53"/>
      <c r="CB268" s="93" t="str">
        <f>IF(OR(C268="",A268="",B268=""),"",TEXT(C268,"0000")&amp;TEXT(A268,"00")&amp;TEXT(B268,"00"))</f>
        <v>19090424</v>
      </c>
    </row>
    <row r="269" spans="1:80" s="52" customFormat="1" ht="12.95" customHeight="1" x14ac:dyDescent="0.2">
      <c r="A269" s="46">
        <v>4</v>
      </c>
      <c r="B269" s="46">
        <v>24</v>
      </c>
      <c r="C269" s="46">
        <v>1909</v>
      </c>
      <c r="D269" s="46" t="s">
        <v>658</v>
      </c>
      <c r="E269" s="46" t="s">
        <v>1235</v>
      </c>
      <c r="F269" s="47" t="s">
        <v>1010</v>
      </c>
      <c r="G269" s="46"/>
      <c r="H269" s="47" t="s">
        <v>1025</v>
      </c>
      <c r="I269" s="47"/>
      <c r="J269" s="48">
        <v>3402</v>
      </c>
      <c r="K269" s="46" t="s">
        <v>1236</v>
      </c>
      <c r="L269" s="46" t="s">
        <v>4</v>
      </c>
      <c r="M269" s="46" t="s">
        <v>821</v>
      </c>
      <c r="N269" s="49">
        <v>0</v>
      </c>
      <c r="O269" s="49">
        <v>1</v>
      </c>
      <c r="P269" s="47" t="s">
        <v>1188</v>
      </c>
      <c r="Q269" s="47" t="s">
        <v>1017</v>
      </c>
      <c r="R269" s="47" t="s">
        <v>376</v>
      </c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50">
        <f>IF(L269="W",1,0)</f>
        <v>0</v>
      </c>
      <c r="AF269" s="50">
        <f>IF(L269="T",1,0)</f>
        <v>0</v>
      </c>
      <c r="AG269" s="50">
        <f>IF(L269="L",1,0)</f>
        <v>1</v>
      </c>
      <c r="AH269" s="46" t="s">
        <v>1237</v>
      </c>
      <c r="AI269" s="46" t="s">
        <v>1237</v>
      </c>
      <c r="AJ269" s="46" t="s">
        <v>376</v>
      </c>
      <c r="AK269" s="46" t="s">
        <v>658</v>
      </c>
      <c r="AL269" s="46" t="s">
        <v>1101</v>
      </c>
      <c r="AM269" s="46" t="s">
        <v>1159</v>
      </c>
      <c r="AN269" s="46" t="s">
        <v>376</v>
      </c>
      <c r="AO269" s="46" t="s">
        <v>658</v>
      </c>
      <c r="AP269" s="46"/>
      <c r="AQ269" s="46">
        <v>1</v>
      </c>
      <c r="AR269" s="46"/>
      <c r="AS269" s="46"/>
      <c r="AT269" s="46"/>
      <c r="AU269" s="46" t="s">
        <v>376</v>
      </c>
      <c r="AV269" s="46"/>
      <c r="AW269" s="46" t="s">
        <v>30</v>
      </c>
      <c r="AX269" s="46"/>
      <c r="AY269" s="46" t="s">
        <v>30</v>
      </c>
      <c r="AZ269" s="46"/>
      <c r="BA269" s="47"/>
      <c r="BB269" s="51"/>
      <c r="BC269" s="46" t="s">
        <v>30</v>
      </c>
      <c r="BD269" s="46"/>
      <c r="BE269" s="46"/>
      <c r="BF269" s="46">
        <v>1</v>
      </c>
      <c r="BG269" s="46">
        <v>1</v>
      </c>
      <c r="BH269" s="46">
        <v>1</v>
      </c>
      <c r="BI269" s="46" t="s">
        <v>1236</v>
      </c>
      <c r="BJ269" s="46" t="s">
        <v>821</v>
      </c>
      <c r="BK269" s="46">
        <v>1909</v>
      </c>
      <c r="BL269" s="46" t="str">
        <f>BK269&amp;BI269</f>
        <v>1909Bristol City</v>
      </c>
      <c r="BM269" s="52" t="str">
        <f>IF(AD269="Home",BI269,IF(AD269="Away",BJ269,Q269))</f>
        <v>London</v>
      </c>
      <c r="BN269" s="46"/>
      <c r="BO269" s="46"/>
      <c r="BP269" s="46"/>
      <c r="BQ269" s="46"/>
      <c r="BR269" s="46"/>
      <c r="BS269" s="46"/>
      <c r="BT269" s="46"/>
      <c r="BU269" s="46"/>
      <c r="BV269" s="46" t="s">
        <v>376</v>
      </c>
      <c r="BW269" s="46" t="s">
        <v>376</v>
      </c>
      <c r="BX269" s="46"/>
      <c r="BZ269" s="53"/>
      <c r="CA269" s="53"/>
      <c r="CB269" s="93" t="str">
        <f>IF(OR(C269="",A269="",B269=""),"",TEXT(C269,"0000")&amp;TEXT(A269,"00")&amp;TEXT(B269,"00"))</f>
        <v>19090424</v>
      </c>
    </row>
    <row r="270" spans="1:80" s="52" customFormat="1" ht="12.95" customHeight="1" x14ac:dyDescent="0.2">
      <c r="A270" s="46">
        <v>3</v>
      </c>
      <c r="B270" s="46">
        <v>26</v>
      </c>
      <c r="C270" s="46">
        <v>1910</v>
      </c>
      <c r="D270" s="46" t="s">
        <v>658</v>
      </c>
      <c r="E270" s="46" t="s">
        <v>1238</v>
      </c>
      <c r="F270" s="47" t="s">
        <v>1010</v>
      </c>
      <c r="G270" s="46"/>
      <c r="H270" s="47" t="s">
        <v>1011</v>
      </c>
      <c r="I270" s="47"/>
      <c r="J270" s="48">
        <v>3738</v>
      </c>
      <c r="K270" s="46" t="s">
        <v>804</v>
      </c>
      <c r="L270" s="46" t="s">
        <v>1014</v>
      </c>
      <c r="M270" s="46" t="s">
        <v>1239</v>
      </c>
      <c r="N270" s="49">
        <v>0</v>
      </c>
      <c r="O270" s="49">
        <v>0</v>
      </c>
      <c r="P270" s="47" t="s">
        <v>1240</v>
      </c>
      <c r="Q270" s="47" t="s">
        <v>1241</v>
      </c>
      <c r="R270" s="47" t="s">
        <v>376</v>
      </c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50">
        <f>IF(L270="W",1,0)</f>
        <v>0</v>
      </c>
      <c r="AF270" s="50">
        <f>IF(L270="T",1,0)</f>
        <v>1</v>
      </c>
      <c r="AG270" s="50">
        <f>IF(L270="L",1,0)</f>
        <v>0</v>
      </c>
      <c r="AH270" s="46" t="s">
        <v>588</v>
      </c>
      <c r="AI270" s="46" t="s">
        <v>1175</v>
      </c>
      <c r="AJ270" s="46" t="s">
        <v>376</v>
      </c>
      <c r="AK270" s="46" t="s">
        <v>658</v>
      </c>
      <c r="AL270" s="46" t="s">
        <v>1239</v>
      </c>
      <c r="AM270" s="46" t="s">
        <v>1242</v>
      </c>
      <c r="AN270" s="46" t="s">
        <v>376</v>
      </c>
      <c r="AO270" s="46" t="s">
        <v>658</v>
      </c>
      <c r="AP270" s="46"/>
      <c r="AQ270" s="46">
        <v>2</v>
      </c>
      <c r="AR270" s="46"/>
      <c r="AS270" s="46"/>
      <c r="AT270" s="46"/>
      <c r="AU270" s="46" t="s">
        <v>376</v>
      </c>
      <c r="AV270" s="46"/>
      <c r="AW270" s="46" t="s">
        <v>30</v>
      </c>
      <c r="AX270" s="46"/>
      <c r="AY270" s="46" t="s">
        <v>30</v>
      </c>
      <c r="AZ270" s="46"/>
      <c r="BA270" s="47"/>
      <c r="BB270" s="51"/>
      <c r="BC270" s="46"/>
      <c r="BD270" s="46"/>
      <c r="BE270" s="46"/>
      <c r="BF270" s="46">
        <v>1</v>
      </c>
      <c r="BG270" s="46">
        <v>1</v>
      </c>
      <c r="BH270" s="46">
        <v>2</v>
      </c>
      <c r="BI270" s="46" t="s">
        <v>804</v>
      </c>
      <c r="BJ270" s="46" t="s">
        <v>1239</v>
      </c>
      <c r="BK270" s="46">
        <v>1910</v>
      </c>
      <c r="BL270" s="46" t="str">
        <f>BK270&amp;BI270</f>
        <v>1910Everton</v>
      </c>
      <c r="BM270" s="52" t="str">
        <f>IF(AD270="Home",BI270,IF(AD270="Away",BJ270,Q270))</f>
        <v>Leeds</v>
      </c>
      <c r="BN270" s="46"/>
      <c r="BO270" s="46"/>
      <c r="BP270" s="46"/>
      <c r="BQ270" s="46"/>
      <c r="BR270" s="46"/>
      <c r="BS270" s="46"/>
      <c r="BT270" s="46"/>
      <c r="BU270" s="46"/>
      <c r="BV270" s="46" t="s">
        <v>376</v>
      </c>
      <c r="BW270" s="46" t="s">
        <v>376</v>
      </c>
      <c r="BX270" s="46"/>
      <c r="BZ270" s="53"/>
      <c r="CA270" s="53"/>
      <c r="CB270" s="93" t="str">
        <f>IF(OR(C270="",A270="",B270=""),"",TEXT(C270,"0000")&amp;TEXT(A270,"00")&amp;TEXT(B270,"00"))</f>
        <v>19100326</v>
      </c>
    </row>
    <row r="271" spans="1:80" s="52" customFormat="1" ht="12.95" customHeight="1" x14ac:dyDescent="0.2">
      <c r="A271" s="46">
        <v>3</v>
      </c>
      <c r="B271" s="46">
        <v>26</v>
      </c>
      <c r="C271" s="46">
        <v>1910</v>
      </c>
      <c r="D271" s="46" t="s">
        <v>658</v>
      </c>
      <c r="E271" s="46" t="s">
        <v>1238</v>
      </c>
      <c r="F271" s="47" t="s">
        <v>1010</v>
      </c>
      <c r="G271" s="46"/>
      <c r="H271" s="47" t="s">
        <v>1011</v>
      </c>
      <c r="I271" s="47"/>
      <c r="J271" s="48">
        <v>3738</v>
      </c>
      <c r="K271" s="46" t="s">
        <v>1239</v>
      </c>
      <c r="L271" s="46" t="s">
        <v>1014</v>
      </c>
      <c r="M271" s="46" t="s">
        <v>804</v>
      </c>
      <c r="N271" s="49">
        <v>0</v>
      </c>
      <c r="O271" s="49">
        <v>0</v>
      </c>
      <c r="P271" s="47" t="s">
        <v>1240</v>
      </c>
      <c r="Q271" s="47" t="s">
        <v>1241</v>
      </c>
      <c r="R271" s="47" t="s">
        <v>376</v>
      </c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50">
        <f>IF(L271="W",1,0)</f>
        <v>0</v>
      </c>
      <c r="AF271" s="50">
        <f>IF(L271="T",1,0)</f>
        <v>1</v>
      </c>
      <c r="AG271" s="50">
        <f>IF(L271="L",1,0)</f>
        <v>0</v>
      </c>
      <c r="AH271" s="46" t="s">
        <v>1239</v>
      </c>
      <c r="AI271" s="46" t="s">
        <v>1242</v>
      </c>
      <c r="AJ271" s="46" t="s">
        <v>376</v>
      </c>
      <c r="AK271" s="46" t="s">
        <v>658</v>
      </c>
      <c r="AL271" s="46" t="s">
        <v>588</v>
      </c>
      <c r="AM271" s="46" t="s">
        <v>1175</v>
      </c>
      <c r="AN271" s="46" t="s">
        <v>376</v>
      </c>
      <c r="AO271" s="46" t="s">
        <v>658</v>
      </c>
      <c r="AP271" s="46"/>
      <c r="AQ271" s="46">
        <v>2</v>
      </c>
      <c r="AR271" s="46"/>
      <c r="AS271" s="46"/>
      <c r="AT271" s="46"/>
      <c r="AU271" s="46" t="s">
        <v>376</v>
      </c>
      <c r="AV271" s="46"/>
      <c r="AW271" s="46" t="s">
        <v>30</v>
      </c>
      <c r="AX271" s="46"/>
      <c r="AY271" s="46" t="s">
        <v>30</v>
      </c>
      <c r="AZ271" s="46"/>
      <c r="BA271" s="47"/>
      <c r="BB271" s="51"/>
      <c r="BC271" s="46"/>
      <c r="BD271" s="46"/>
      <c r="BE271" s="46"/>
      <c r="BF271" s="46">
        <v>1</v>
      </c>
      <c r="BG271" s="46">
        <v>2</v>
      </c>
      <c r="BH271" s="46">
        <v>1</v>
      </c>
      <c r="BI271" s="46" t="s">
        <v>1239</v>
      </c>
      <c r="BJ271" s="46" t="s">
        <v>804</v>
      </c>
      <c r="BK271" s="46">
        <v>1910</v>
      </c>
      <c r="BL271" s="46" t="str">
        <f>BK271&amp;BI271</f>
        <v>1910Barnsley</v>
      </c>
      <c r="BM271" s="52" t="str">
        <f>IF(AD271="Home",BI271,IF(AD271="Away",BJ271,Q271))</f>
        <v>Leeds</v>
      </c>
      <c r="BN271" s="46"/>
      <c r="BO271" s="46"/>
      <c r="BP271" s="46"/>
      <c r="BQ271" s="46"/>
      <c r="BR271" s="46"/>
      <c r="BS271" s="46"/>
      <c r="BT271" s="46"/>
      <c r="BU271" s="46"/>
      <c r="BV271" s="46" t="s">
        <v>376</v>
      </c>
      <c r="BW271" s="46" t="s">
        <v>376</v>
      </c>
      <c r="BX271" s="46"/>
      <c r="BZ271" s="53"/>
      <c r="CA271" s="53"/>
      <c r="CB271" s="93" t="str">
        <f>IF(OR(C271="",A271="",B271=""),"",TEXT(C271,"0000")&amp;TEXT(A271,"00")&amp;TEXT(B271,"00"))</f>
        <v>19100326</v>
      </c>
    </row>
    <row r="272" spans="1:80" s="52" customFormat="1" ht="12.95" customHeight="1" x14ac:dyDescent="0.2">
      <c r="A272" s="46">
        <v>3</v>
      </c>
      <c r="B272" s="46">
        <v>26</v>
      </c>
      <c r="C272" s="46">
        <v>1910</v>
      </c>
      <c r="D272" s="46" t="s">
        <v>658</v>
      </c>
      <c r="E272" s="46" t="s">
        <v>1238</v>
      </c>
      <c r="F272" s="47" t="s">
        <v>1010</v>
      </c>
      <c r="G272" s="46"/>
      <c r="H272" s="47" t="s">
        <v>1011</v>
      </c>
      <c r="I272" s="47"/>
      <c r="J272" s="48">
        <v>3738</v>
      </c>
      <c r="K272" s="46" t="s">
        <v>805</v>
      </c>
      <c r="L272" s="46" t="s">
        <v>3</v>
      </c>
      <c r="M272" s="46" t="s">
        <v>1243</v>
      </c>
      <c r="N272" s="49">
        <v>2</v>
      </c>
      <c r="O272" s="49">
        <v>0</v>
      </c>
      <c r="P272" s="47" t="s">
        <v>1222</v>
      </c>
      <c r="Q272" s="47" t="s">
        <v>1017</v>
      </c>
      <c r="R272" s="47" t="s">
        <v>376</v>
      </c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50">
        <f>IF(L272="W",1,0)</f>
        <v>1</v>
      </c>
      <c r="AF272" s="50">
        <f>IF(L272="T",1,0)</f>
        <v>0</v>
      </c>
      <c r="AG272" s="50">
        <f>IF(L272="L",1,0)</f>
        <v>0</v>
      </c>
      <c r="AH272" s="46" t="s">
        <v>1227</v>
      </c>
      <c r="AI272" s="46" t="s">
        <v>1164</v>
      </c>
      <c r="AJ272" s="46" t="s">
        <v>376</v>
      </c>
      <c r="AK272" s="46" t="s">
        <v>658</v>
      </c>
      <c r="AL272" s="46" t="s">
        <v>1244</v>
      </c>
      <c r="AM272" s="46" t="s">
        <v>1245</v>
      </c>
      <c r="AN272" s="46" t="s">
        <v>376</v>
      </c>
      <c r="AO272" s="46" t="s">
        <v>658</v>
      </c>
      <c r="AP272" s="46"/>
      <c r="AQ272" s="46">
        <v>2</v>
      </c>
      <c r="AR272" s="46"/>
      <c r="AS272" s="46"/>
      <c r="AT272" s="46"/>
      <c r="AU272" s="46" t="s">
        <v>376</v>
      </c>
      <c r="AV272" s="46"/>
      <c r="AW272" s="46" t="s">
        <v>30</v>
      </c>
      <c r="AX272" s="46"/>
      <c r="AY272" s="46" t="s">
        <v>30</v>
      </c>
      <c r="AZ272" s="46"/>
      <c r="BA272" s="47"/>
      <c r="BB272" s="51"/>
      <c r="BC272" s="46"/>
      <c r="BD272" s="46"/>
      <c r="BE272" s="46"/>
      <c r="BF272" s="46">
        <v>1</v>
      </c>
      <c r="BG272" s="46">
        <v>1</v>
      </c>
      <c r="BH272" s="46"/>
      <c r="BI272" s="46" t="s">
        <v>805</v>
      </c>
      <c r="BJ272" s="46" t="s">
        <v>1243</v>
      </c>
      <c r="BK272" s="46">
        <v>1910</v>
      </c>
      <c r="BL272" s="46" t="str">
        <f>BK272&amp;BI272</f>
        <v>1910Newcastle United</v>
      </c>
      <c r="BM272" s="52" t="str">
        <f>IF(AD272="Home",BI272,IF(AD272="Away",BJ272,Q272))</f>
        <v>London</v>
      </c>
      <c r="BN272" s="46"/>
      <c r="BO272" s="46"/>
      <c r="BP272" s="46"/>
      <c r="BQ272" s="46"/>
      <c r="BR272" s="46"/>
      <c r="BS272" s="46"/>
      <c r="BT272" s="46"/>
      <c r="BU272" s="46"/>
      <c r="BV272" s="46" t="s">
        <v>376</v>
      </c>
      <c r="BW272" s="46" t="s">
        <v>376</v>
      </c>
      <c r="BX272" s="46"/>
      <c r="BZ272" s="53"/>
      <c r="CA272" s="53"/>
      <c r="CB272" s="93" t="str">
        <f>IF(OR(C272="",A272="",B272=""),"",TEXT(C272,"0000")&amp;TEXT(A272,"00")&amp;TEXT(B272,"00"))</f>
        <v>19100326</v>
      </c>
    </row>
    <row r="273" spans="1:80" s="52" customFormat="1" ht="12.95" customHeight="1" x14ac:dyDescent="0.2">
      <c r="A273" s="46">
        <v>3</v>
      </c>
      <c r="B273" s="46">
        <v>26</v>
      </c>
      <c r="C273" s="46">
        <v>1910</v>
      </c>
      <c r="D273" s="46" t="s">
        <v>658</v>
      </c>
      <c r="E273" s="46" t="s">
        <v>1238</v>
      </c>
      <c r="F273" s="47" t="s">
        <v>1010</v>
      </c>
      <c r="G273" s="46"/>
      <c r="H273" s="47" t="s">
        <v>1011</v>
      </c>
      <c r="I273" s="47"/>
      <c r="J273" s="48">
        <v>3738</v>
      </c>
      <c r="K273" s="46" t="s">
        <v>1243</v>
      </c>
      <c r="L273" s="46" t="s">
        <v>4</v>
      </c>
      <c r="M273" s="46" t="s">
        <v>805</v>
      </c>
      <c r="N273" s="49">
        <v>0</v>
      </c>
      <c r="O273" s="49">
        <v>2</v>
      </c>
      <c r="P273" s="47" t="s">
        <v>1222</v>
      </c>
      <c r="Q273" s="47" t="s">
        <v>1017</v>
      </c>
      <c r="R273" s="47" t="s">
        <v>376</v>
      </c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50">
        <f>IF(L273="W",1,0)</f>
        <v>0</v>
      </c>
      <c r="AF273" s="50">
        <f>IF(L273="T",1,0)</f>
        <v>0</v>
      </c>
      <c r="AG273" s="50">
        <f>IF(L273="L",1,0)</f>
        <v>1</v>
      </c>
      <c r="AH273" s="46" t="s">
        <v>1244</v>
      </c>
      <c r="AI273" s="46" t="s">
        <v>1245</v>
      </c>
      <c r="AJ273" s="46" t="s">
        <v>376</v>
      </c>
      <c r="AK273" s="46" t="s">
        <v>658</v>
      </c>
      <c r="AL273" s="46" t="s">
        <v>1227</v>
      </c>
      <c r="AM273" s="46" t="s">
        <v>1164</v>
      </c>
      <c r="AN273" s="46" t="s">
        <v>376</v>
      </c>
      <c r="AO273" s="46" t="s">
        <v>658</v>
      </c>
      <c r="AP273" s="46"/>
      <c r="AQ273" s="46">
        <v>2</v>
      </c>
      <c r="AR273" s="46"/>
      <c r="AS273" s="46"/>
      <c r="AT273" s="46"/>
      <c r="AU273" s="46" t="s">
        <v>376</v>
      </c>
      <c r="AV273" s="46"/>
      <c r="AW273" s="46" t="s">
        <v>30</v>
      </c>
      <c r="AX273" s="46"/>
      <c r="AY273" s="46" t="s">
        <v>30</v>
      </c>
      <c r="AZ273" s="46"/>
      <c r="BA273" s="47"/>
      <c r="BB273" s="51"/>
      <c r="BC273" s="46"/>
      <c r="BD273" s="46"/>
      <c r="BE273" s="46"/>
      <c r="BF273" s="46">
        <v>1</v>
      </c>
      <c r="BG273" s="46"/>
      <c r="BH273" s="46">
        <v>1</v>
      </c>
      <c r="BI273" s="46" t="s">
        <v>1243</v>
      </c>
      <c r="BJ273" s="46" t="s">
        <v>805</v>
      </c>
      <c r="BK273" s="46">
        <v>1910</v>
      </c>
      <c r="BL273" s="46" t="str">
        <f>BK273&amp;BI273</f>
        <v>1910Swindon Town</v>
      </c>
      <c r="BM273" s="52" t="str">
        <f>IF(AD273="Home",BI273,IF(AD273="Away",BJ273,Q273))</f>
        <v>London</v>
      </c>
      <c r="BN273" s="46"/>
      <c r="BO273" s="46"/>
      <c r="BP273" s="46"/>
      <c r="BQ273" s="46"/>
      <c r="BR273" s="46"/>
      <c r="BS273" s="46"/>
      <c r="BT273" s="46"/>
      <c r="BU273" s="46"/>
      <c r="BV273" s="46" t="s">
        <v>376</v>
      </c>
      <c r="BW273" s="46" t="s">
        <v>376</v>
      </c>
      <c r="BX273" s="46"/>
      <c r="BZ273" s="53"/>
      <c r="CA273" s="53"/>
      <c r="CB273" s="93" t="str">
        <f>IF(OR(C273="",A273="",B273=""),"",TEXT(C273,"0000")&amp;TEXT(A273,"00")&amp;TEXT(B273,"00"))</f>
        <v>19100326</v>
      </c>
    </row>
    <row r="274" spans="1:80" s="52" customFormat="1" ht="12.95" customHeight="1" x14ac:dyDescent="0.2">
      <c r="A274" s="46">
        <v>4</v>
      </c>
      <c r="B274" s="46">
        <v>1</v>
      </c>
      <c r="C274" s="46">
        <v>1910</v>
      </c>
      <c r="D274" s="46" t="s">
        <v>658</v>
      </c>
      <c r="E274" s="46" t="s">
        <v>1238</v>
      </c>
      <c r="F274" s="47" t="s">
        <v>1010</v>
      </c>
      <c r="G274" s="46"/>
      <c r="H274" s="47" t="s">
        <v>1011</v>
      </c>
      <c r="I274" s="47" t="s">
        <v>1023</v>
      </c>
      <c r="J274" s="48">
        <v>3744</v>
      </c>
      <c r="K274" s="46" t="s">
        <v>1239</v>
      </c>
      <c r="L274" s="46" t="s">
        <v>3</v>
      </c>
      <c r="M274" s="46" t="s">
        <v>804</v>
      </c>
      <c r="N274" s="49">
        <v>3</v>
      </c>
      <c r="O274" s="49">
        <v>0</v>
      </c>
      <c r="P274" s="47" t="s">
        <v>1246</v>
      </c>
      <c r="Q274" s="47" t="s">
        <v>1101</v>
      </c>
      <c r="R274" s="47" t="s">
        <v>376</v>
      </c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50">
        <f>IF(L274="W",1,0)</f>
        <v>1</v>
      </c>
      <c r="AF274" s="50">
        <f>IF(L274="T",1,0)</f>
        <v>0</v>
      </c>
      <c r="AG274" s="50">
        <f>IF(L274="L",1,0)</f>
        <v>0</v>
      </c>
      <c r="AH274" s="46" t="s">
        <v>1239</v>
      </c>
      <c r="AI274" s="46" t="s">
        <v>1242</v>
      </c>
      <c r="AJ274" s="46" t="s">
        <v>376</v>
      </c>
      <c r="AK274" s="46" t="s">
        <v>658</v>
      </c>
      <c r="AL274" s="46" t="s">
        <v>588</v>
      </c>
      <c r="AM274" s="46" t="s">
        <v>1175</v>
      </c>
      <c r="AN274" s="46" t="s">
        <v>376</v>
      </c>
      <c r="AO274" s="46" t="s">
        <v>658</v>
      </c>
      <c r="AP274" s="46"/>
      <c r="AQ274" s="46">
        <v>2</v>
      </c>
      <c r="AR274" s="46"/>
      <c r="AS274" s="46"/>
      <c r="AT274" s="46"/>
      <c r="AU274" s="46" t="s">
        <v>376</v>
      </c>
      <c r="AV274" s="46"/>
      <c r="AW274" s="46" t="s">
        <v>30</v>
      </c>
      <c r="AX274" s="46"/>
      <c r="AY274" s="46" t="s">
        <v>30</v>
      </c>
      <c r="AZ274" s="46"/>
      <c r="BA274" s="47"/>
      <c r="BB274" s="51"/>
      <c r="BC274" s="46"/>
      <c r="BD274" s="46"/>
      <c r="BE274" s="46"/>
      <c r="BF274" s="46">
        <v>1</v>
      </c>
      <c r="BG274" s="46">
        <v>2</v>
      </c>
      <c r="BH274" s="46">
        <v>1</v>
      </c>
      <c r="BI274" s="46" t="s">
        <v>1239</v>
      </c>
      <c r="BJ274" s="46" t="s">
        <v>804</v>
      </c>
      <c r="BK274" s="46">
        <v>1910</v>
      </c>
      <c r="BL274" s="46" t="str">
        <f>BK274&amp;BI274</f>
        <v>1910Barnsley</v>
      </c>
      <c r="BM274" s="52" t="str">
        <f>IF(AD274="Home",BI274,IF(AD274="Away",BJ274,Q274))</f>
        <v>Manchester</v>
      </c>
      <c r="BN274" s="46"/>
      <c r="BO274" s="46"/>
      <c r="BP274" s="46"/>
      <c r="BQ274" s="46"/>
      <c r="BR274" s="46"/>
      <c r="BS274" s="46"/>
      <c r="BT274" s="46"/>
      <c r="BU274" s="46"/>
      <c r="BV274" s="46" t="s">
        <v>376</v>
      </c>
      <c r="BW274" s="46" t="s">
        <v>376</v>
      </c>
      <c r="BX274" s="46"/>
      <c r="BZ274" s="53"/>
      <c r="CA274" s="53"/>
      <c r="CB274" s="93" t="str">
        <f>IF(OR(C274="",A274="",B274=""),"",TEXT(C274,"0000")&amp;TEXT(A274,"00")&amp;TEXT(B274,"00"))</f>
        <v>19100401</v>
      </c>
    </row>
    <row r="275" spans="1:80" s="52" customFormat="1" ht="12.95" customHeight="1" x14ac:dyDescent="0.2">
      <c r="A275" s="46">
        <v>4</v>
      </c>
      <c r="B275" s="46">
        <v>1</v>
      </c>
      <c r="C275" s="46">
        <v>1910</v>
      </c>
      <c r="D275" s="46" t="s">
        <v>658</v>
      </c>
      <c r="E275" s="46" t="s">
        <v>1238</v>
      </c>
      <c r="F275" s="47" t="s">
        <v>1010</v>
      </c>
      <c r="G275" s="46"/>
      <c r="H275" s="47" t="s">
        <v>1011</v>
      </c>
      <c r="I275" s="47" t="s">
        <v>1023</v>
      </c>
      <c r="J275" s="48">
        <v>3744</v>
      </c>
      <c r="K275" s="46" t="s">
        <v>804</v>
      </c>
      <c r="L275" s="46" t="s">
        <v>4</v>
      </c>
      <c r="M275" s="46" t="s">
        <v>1239</v>
      </c>
      <c r="N275" s="49">
        <v>0</v>
      </c>
      <c r="O275" s="49">
        <v>3</v>
      </c>
      <c r="P275" s="47" t="s">
        <v>1246</v>
      </c>
      <c r="Q275" s="47" t="s">
        <v>1101</v>
      </c>
      <c r="R275" s="47" t="s">
        <v>376</v>
      </c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50">
        <f>IF(L275="W",1,0)</f>
        <v>0</v>
      </c>
      <c r="AF275" s="50">
        <f>IF(L275="T",1,0)</f>
        <v>0</v>
      </c>
      <c r="AG275" s="50">
        <f>IF(L275="L",1,0)</f>
        <v>1</v>
      </c>
      <c r="AH275" s="46" t="s">
        <v>588</v>
      </c>
      <c r="AI275" s="46" t="s">
        <v>1175</v>
      </c>
      <c r="AJ275" s="46" t="s">
        <v>376</v>
      </c>
      <c r="AK275" s="46" t="s">
        <v>658</v>
      </c>
      <c r="AL275" s="46" t="s">
        <v>1239</v>
      </c>
      <c r="AM275" s="46" t="s">
        <v>1242</v>
      </c>
      <c r="AN275" s="46" t="s">
        <v>376</v>
      </c>
      <c r="AO275" s="46" t="s">
        <v>658</v>
      </c>
      <c r="AP275" s="46"/>
      <c r="AQ275" s="46">
        <v>2</v>
      </c>
      <c r="AR275" s="46"/>
      <c r="AS275" s="46"/>
      <c r="AT275" s="46"/>
      <c r="AU275" s="46" t="s">
        <v>376</v>
      </c>
      <c r="AV275" s="46"/>
      <c r="AW275" s="46" t="s">
        <v>30</v>
      </c>
      <c r="AX275" s="46"/>
      <c r="AY275" s="46" t="s">
        <v>30</v>
      </c>
      <c r="AZ275" s="46"/>
      <c r="BA275" s="47"/>
      <c r="BB275" s="51"/>
      <c r="BC275" s="46"/>
      <c r="BD275" s="46"/>
      <c r="BE275" s="46"/>
      <c r="BF275" s="46">
        <v>1</v>
      </c>
      <c r="BG275" s="46">
        <v>1</v>
      </c>
      <c r="BH275" s="46">
        <v>2</v>
      </c>
      <c r="BI275" s="46" t="s">
        <v>804</v>
      </c>
      <c r="BJ275" s="46" t="s">
        <v>1239</v>
      </c>
      <c r="BK275" s="46">
        <v>1910</v>
      </c>
      <c r="BL275" s="46" t="str">
        <f>BK275&amp;BI275</f>
        <v>1910Everton</v>
      </c>
      <c r="BM275" s="52" t="str">
        <f>IF(AD275="Home",BI275,IF(AD275="Away",BJ275,Q275))</f>
        <v>Manchester</v>
      </c>
      <c r="BN275" s="46"/>
      <c r="BO275" s="46"/>
      <c r="BP275" s="46"/>
      <c r="BQ275" s="46"/>
      <c r="BR275" s="46"/>
      <c r="BS275" s="46"/>
      <c r="BT275" s="46"/>
      <c r="BU275" s="46"/>
      <c r="BV275" s="46" t="s">
        <v>376</v>
      </c>
      <c r="BW275" s="46" t="s">
        <v>376</v>
      </c>
      <c r="BX275" s="46"/>
      <c r="BZ275" s="53"/>
      <c r="CA275" s="53"/>
      <c r="CB275" s="93" t="str">
        <f>IF(OR(C275="",A275="",B275=""),"",TEXT(C275,"0000")&amp;TEXT(A275,"00")&amp;TEXT(B275,"00"))</f>
        <v>19100401</v>
      </c>
    </row>
    <row r="276" spans="1:80" s="52" customFormat="1" ht="12.95" customHeight="1" x14ac:dyDescent="0.2">
      <c r="A276" s="46">
        <v>4</v>
      </c>
      <c r="B276" s="46">
        <v>23</v>
      </c>
      <c r="C276" s="46">
        <v>1910</v>
      </c>
      <c r="D276" s="46" t="s">
        <v>658</v>
      </c>
      <c r="E276" s="46" t="s">
        <v>1238</v>
      </c>
      <c r="F276" s="47" t="s">
        <v>1010</v>
      </c>
      <c r="G276" s="46"/>
      <c r="H276" s="47" t="s">
        <v>1025</v>
      </c>
      <c r="I276" s="47"/>
      <c r="J276" s="48">
        <v>3766</v>
      </c>
      <c r="K276" s="46" t="s">
        <v>805</v>
      </c>
      <c r="L276" s="46" t="s">
        <v>1014</v>
      </c>
      <c r="M276" s="46" t="s">
        <v>1239</v>
      </c>
      <c r="N276" s="49">
        <v>1</v>
      </c>
      <c r="O276" s="49">
        <v>1</v>
      </c>
      <c r="P276" s="47" t="s">
        <v>1188</v>
      </c>
      <c r="Q276" s="47" t="s">
        <v>1017</v>
      </c>
      <c r="R276" s="47" t="s">
        <v>376</v>
      </c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50">
        <f>IF(L276="W",1,0)</f>
        <v>0</v>
      </c>
      <c r="AF276" s="50">
        <f>IF(L276="T",1,0)</f>
        <v>1</v>
      </c>
      <c r="AG276" s="50">
        <f>IF(L276="L",1,0)</f>
        <v>0</v>
      </c>
      <c r="AH276" s="46" t="s">
        <v>1227</v>
      </c>
      <c r="AI276" s="46" t="s">
        <v>1164</v>
      </c>
      <c r="AJ276" s="46" t="s">
        <v>376</v>
      </c>
      <c r="AK276" s="46" t="s">
        <v>658</v>
      </c>
      <c r="AL276" s="46" t="s">
        <v>1239</v>
      </c>
      <c r="AM276" s="46" t="s">
        <v>1242</v>
      </c>
      <c r="AN276" s="46" t="s">
        <v>376</v>
      </c>
      <c r="AO276" s="46" t="s">
        <v>658</v>
      </c>
      <c r="AP276" s="46"/>
      <c r="AQ276" s="46">
        <v>1</v>
      </c>
      <c r="AR276" s="46"/>
      <c r="AS276" s="46"/>
      <c r="AT276" s="46"/>
      <c r="AU276" s="46" t="s">
        <v>376</v>
      </c>
      <c r="AV276" s="46"/>
      <c r="AW276" s="46" t="s">
        <v>30</v>
      </c>
      <c r="AX276" s="46"/>
      <c r="AY276" s="46" t="s">
        <v>30</v>
      </c>
      <c r="AZ276" s="46"/>
      <c r="BA276" s="47"/>
      <c r="BB276" s="51"/>
      <c r="BC276" s="46" t="s">
        <v>30</v>
      </c>
      <c r="BD276" s="46"/>
      <c r="BE276" s="46"/>
      <c r="BF276" s="46">
        <v>1</v>
      </c>
      <c r="BG276" s="46">
        <v>1</v>
      </c>
      <c r="BH276" s="46">
        <v>2</v>
      </c>
      <c r="BI276" s="46" t="s">
        <v>805</v>
      </c>
      <c r="BJ276" s="46" t="s">
        <v>1239</v>
      </c>
      <c r="BK276" s="46">
        <v>1910</v>
      </c>
      <c r="BL276" s="46" t="str">
        <f>BK276&amp;BI276</f>
        <v>1910Newcastle United</v>
      </c>
      <c r="BM276" s="52" t="str">
        <f>IF(AD276="Home",BI276,IF(AD276="Away",BJ276,Q276))</f>
        <v>London</v>
      </c>
      <c r="BN276" s="46"/>
      <c r="BO276" s="46"/>
      <c r="BP276" s="46"/>
      <c r="BQ276" s="46"/>
      <c r="BR276" s="46"/>
      <c r="BS276" s="46"/>
      <c r="BT276" s="46"/>
      <c r="BU276" s="46"/>
      <c r="BV276" s="46" t="s">
        <v>376</v>
      </c>
      <c r="BW276" s="46" t="s">
        <v>376</v>
      </c>
      <c r="BX276" s="46"/>
      <c r="BZ276" s="53"/>
      <c r="CA276" s="53"/>
      <c r="CB276" s="93" t="str">
        <f>IF(OR(C276="",A276="",B276=""),"",TEXT(C276,"0000")&amp;TEXT(A276,"00")&amp;TEXT(B276,"00"))</f>
        <v>19100423</v>
      </c>
    </row>
    <row r="277" spans="1:80" s="52" customFormat="1" ht="12.95" customHeight="1" x14ac:dyDescent="0.2">
      <c r="A277" s="46">
        <v>4</v>
      </c>
      <c r="B277" s="46">
        <v>23</v>
      </c>
      <c r="C277" s="46">
        <v>1910</v>
      </c>
      <c r="D277" s="46" t="s">
        <v>658</v>
      </c>
      <c r="E277" s="46" t="s">
        <v>1238</v>
      </c>
      <c r="F277" s="47" t="s">
        <v>1010</v>
      </c>
      <c r="G277" s="46"/>
      <c r="H277" s="47" t="s">
        <v>1025</v>
      </c>
      <c r="I277" s="47"/>
      <c r="J277" s="48">
        <v>3766</v>
      </c>
      <c r="K277" s="46" t="s">
        <v>1239</v>
      </c>
      <c r="L277" s="46" t="s">
        <v>1014</v>
      </c>
      <c r="M277" s="46" t="s">
        <v>805</v>
      </c>
      <c r="N277" s="49">
        <v>1</v>
      </c>
      <c r="O277" s="49">
        <v>1</v>
      </c>
      <c r="P277" s="47" t="s">
        <v>1188</v>
      </c>
      <c r="Q277" s="47" t="s">
        <v>1017</v>
      </c>
      <c r="R277" s="47" t="s">
        <v>376</v>
      </c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50">
        <f>IF(L277="W",1,0)</f>
        <v>0</v>
      </c>
      <c r="AF277" s="50">
        <f>IF(L277="T",1,0)</f>
        <v>1</v>
      </c>
      <c r="AG277" s="50">
        <f>IF(L277="L",1,0)</f>
        <v>0</v>
      </c>
      <c r="AH277" s="46" t="s">
        <v>1239</v>
      </c>
      <c r="AI277" s="46" t="s">
        <v>1242</v>
      </c>
      <c r="AJ277" s="46" t="s">
        <v>376</v>
      </c>
      <c r="AK277" s="46" t="s">
        <v>658</v>
      </c>
      <c r="AL277" s="46" t="s">
        <v>1227</v>
      </c>
      <c r="AM277" s="46" t="s">
        <v>1164</v>
      </c>
      <c r="AN277" s="46" t="s">
        <v>376</v>
      </c>
      <c r="AO277" s="46" t="s">
        <v>658</v>
      </c>
      <c r="AP277" s="46"/>
      <c r="AQ277" s="46">
        <v>1</v>
      </c>
      <c r="AR277" s="46"/>
      <c r="AS277" s="46"/>
      <c r="AT277" s="46"/>
      <c r="AU277" s="46" t="s">
        <v>376</v>
      </c>
      <c r="AV277" s="46"/>
      <c r="AW277" s="46" t="s">
        <v>30</v>
      </c>
      <c r="AX277" s="46"/>
      <c r="AY277" s="46" t="s">
        <v>30</v>
      </c>
      <c r="AZ277" s="46"/>
      <c r="BA277" s="47"/>
      <c r="BB277" s="51"/>
      <c r="BC277" s="46" t="s">
        <v>30</v>
      </c>
      <c r="BD277" s="46"/>
      <c r="BE277" s="46"/>
      <c r="BF277" s="46">
        <v>1</v>
      </c>
      <c r="BG277" s="46">
        <v>2</v>
      </c>
      <c r="BH277" s="46">
        <v>1</v>
      </c>
      <c r="BI277" s="46" t="s">
        <v>1239</v>
      </c>
      <c r="BJ277" s="46" t="s">
        <v>805</v>
      </c>
      <c r="BK277" s="46">
        <v>1910</v>
      </c>
      <c r="BL277" s="46" t="str">
        <f>BK277&amp;BI277</f>
        <v>1910Barnsley</v>
      </c>
      <c r="BM277" s="52" t="str">
        <f>IF(AD277="Home",BI277,IF(AD277="Away",BJ277,Q277))</f>
        <v>London</v>
      </c>
      <c r="BN277" s="46"/>
      <c r="BO277" s="46"/>
      <c r="BP277" s="46"/>
      <c r="BQ277" s="46"/>
      <c r="BR277" s="46"/>
      <c r="BS277" s="46"/>
      <c r="BT277" s="46"/>
      <c r="BU277" s="46"/>
      <c r="BV277" s="46" t="s">
        <v>376</v>
      </c>
      <c r="BW277" s="46" t="s">
        <v>376</v>
      </c>
      <c r="BX277" s="46"/>
      <c r="BZ277" s="53"/>
      <c r="CA277" s="53"/>
      <c r="CB277" s="93" t="str">
        <f>IF(OR(C277="",A277="",B277=""),"",TEXT(C277,"0000")&amp;TEXT(A277,"00")&amp;TEXT(B277,"00"))</f>
        <v>19100423</v>
      </c>
    </row>
    <row r="278" spans="1:80" s="52" customFormat="1" ht="12.95" customHeight="1" x14ac:dyDescent="0.2">
      <c r="A278" s="46">
        <v>4</v>
      </c>
      <c r="B278" s="46">
        <v>28</v>
      </c>
      <c r="C278" s="46">
        <v>1910</v>
      </c>
      <c r="D278" s="46" t="s">
        <v>658</v>
      </c>
      <c r="E278" s="46" t="s">
        <v>1238</v>
      </c>
      <c r="F278" s="47" t="s">
        <v>1010</v>
      </c>
      <c r="G278" s="46"/>
      <c r="H278" s="47" t="s">
        <v>1025</v>
      </c>
      <c r="I278" s="47" t="s">
        <v>1023</v>
      </c>
      <c r="J278" s="48">
        <v>3771</v>
      </c>
      <c r="K278" s="46" t="s">
        <v>805</v>
      </c>
      <c r="L278" s="46" t="s">
        <v>3</v>
      </c>
      <c r="M278" s="46" t="s">
        <v>1239</v>
      </c>
      <c r="N278" s="49">
        <v>2</v>
      </c>
      <c r="O278" s="49">
        <v>0</v>
      </c>
      <c r="P278" s="47" t="s">
        <v>1246</v>
      </c>
      <c r="Q278" s="47" t="s">
        <v>1101</v>
      </c>
      <c r="R278" s="47" t="s">
        <v>376</v>
      </c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50">
        <f>IF(L278="W",1,0)</f>
        <v>1</v>
      </c>
      <c r="AF278" s="50">
        <f>IF(L278="T",1,0)</f>
        <v>0</v>
      </c>
      <c r="AG278" s="50">
        <f>IF(L278="L",1,0)</f>
        <v>0</v>
      </c>
      <c r="AH278" s="46" t="s">
        <v>1227</v>
      </c>
      <c r="AI278" s="46" t="s">
        <v>1164</v>
      </c>
      <c r="AJ278" s="46" t="s">
        <v>376</v>
      </c>
      <c r="AK278" s="46" t="s">
        <v>658</v>
      </c>
      <c r="AL278" s="46" t="s">
        <v>1239</v>
      </c>
      <c r="AM278" s="46" t="s">
        <v>1242</v>
      </c>
      <c r="AN278" s="46" t="s">
        <v>376</v>
      </c>
      <c r="AO278" s="46" t="s">
        <v>658</v>
      </c>
      <c r="AP278" s="46"/>
      <c r="AQ278" s="46">
        <v>1</v>
      </c>
      <c r="AR278" s="46"/>
      <c r="AS278" s="46"/>
      <c r="AT278" s="46"/>
      <c r="AU278" s="46" t="s">
        <v>376</v>
      </c>
      <c r="AV278" s="46"/>
      <c r="AW278" s="46" t="s">
        <v>30</v>
      </c>
      <c r="AX278" s="46"/>
      <c r="AY278" s="46" t="s">
        <v>30</v>
      </c>
      <c r="AZ278" s="46"/>
      <c r="BA278" s="47"/>
      <c r="BB278" s="51" t="s">
        <v>30</v>
      </c>
      <c r="BC278" s="46" t="s">
        <v>30</v>
      </c>
      <c r="BD278" s="46"/>
      <c r="BE278" s="46"/>
      <c r="BF278" s="46">
        <v>1</v>
      </c>
      <c r="BG278" s="46">
        <v>1</v>
      </c>
      <c r="BH278" s="46">
        <v>2</v>
      </c>
      <c r="BI278" s="46" t="s">
        <v>805</v>
      </c>
      <c r="BJ278" s="46" t="s">
        <v>1239</v>
      </c>
      <c r="BK278" s="46">
        <v>1910</v>
      </c>
      <c r="BL278" s="46" t="str">
        <f>BK278&amp;BI278</f>
        <v>1910Newcastle United</v>
      </c>
      <c r="BM278" s="52" t="str">
        <f>IF(AD278="Home",BI278,IF(AD278="Away",BJ278,Q278))</f>
        <v>Manchester</v>
      </c>
      <c r="BN278" s="46"/>
      <c r="BO278" s="46"/>
      <c r="BP278" s="46"/>
      <c r="BQ278" s="46"/>
      <c r="BR278" s="46"/>
      <c r="BS278" s="46"/>
      <c r="BT278" s="46"/>
      <c r="BU278" s="46"/>
      <c r="BV278" s="46" t="s">
        <v>376</v>
      </c>
      <c r="BW278" s="46" t="s">
        <v>376</v>
      </c>
      <c r="BX278" s="46"/>
      <c r="BZ278" s="53"/>
      <c r="CA278" s="53"/>
      <c r="CB278" s="93" t="str">
        <f>IF(OR(C278="",A278="",B278=""),"",TEXT(C278,"0000")&amp;TEXT(A278,"00")&amp;TEXT(B278,"00"))</f>
        <v>19100428</v>
      </c>
    </row>
    <row r="279" spans="1:80" s="52" customFormat="1" ht="12.95" customHeight="1" x14ac:dyDescent="0.2">
      <c r="A279" s="46">
        <v>4</v>
      </c>
      <c r="B279" s="46">
        <v>28</v>
      </c>
      <c r="C279" s="46">
        <v>1910</v>
      </c>
      <c r="D279" s="46" t="s">
        <v>658</v>
      </c>
      <c r="E279" s="46" t="s">
        <v>1238</v>
      </c>
      <c r="F279" s="47" t="s">
        <v>1010</v>
      </c>
      <c r="G279" s="46"/>
      <c r="H279" s="47" t="s">
        <v>1025</v>
      </c>
      <c r="I279" s="47" t="s">
        <v>1023</v>
      </c>
      <c r="J279" s="48">
        <v>3771</v>
      </c>
      <c r="K279" s="46" t="s">
        <v>1239</v>
      </c>
      <c r="L279" s="46" t="s">
        <v>4</v>
      </c>
      <c r="M279" s="46" t="s">
        <v>805</v>
      </c>
      <c r="N279" s="49">
        <v>0</v>
      </c>
      <c r="O279" s="49">
        <v>2</v>
      </c>
      <c r="P279" s="47" t="s">
        <v>1246</v>
      </c>
      <c r="Q279" s="47" t="s">
        <v>1101</v>
      </c>
      <c r="R279" s="47" t="s">
        <v>376</v>
      </c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50">
        <f>IF(L279="W",1,0)</f>
        <v>0</v>
      </c>
      <c r="AF279" s="50">
        <f>IF(L279="T",1,0)</f>
        <v>0</v>
      </c>
      <c r="AG279" s="50">
        <f>IF(L279="L",1,0)</f>
        <v>1</v>
      </c>
      <c r="AH279" s="46" t="s">
        <v>1239</v>
      </c>
      <c r="AI279" s="46" t="s">
        <v>1242</v>
      </c>
      <c r="AJ279" s="46" t="s">
        <v>376</v>
      </c>
      <c r="AK279" s="46" t="s">
        <v>658</v>
      </c>
      <c r="AL279" s="46" t="s">
        <v>1227</v>
      </c>
      <c r="AM279" s="46" t="s">
        <v>1164</v>
      </c>
      <c r="AN279" s="46" t="s">
        <v>376</v>
      </c>
      <c r="AO279" s="46" t="s">
        <v>658</v>
      </c>
      <c r="AP279" s="46"/>
      <c r="AQ279" s="46">
        <v>1</v>
      </c>
      <c r="AR279" s="46"/>
      <c r="AS279" s="46"/>
      <c r="AT279" s="46"/>
      <c r="AU279" s="46" t="s">
        <v>376</v>
      </c>
      <c r="AV279" s="46"/>
      <c r="AW279" s="46" t="s">
        <v>30</v>
      </c>
      <c r="AX279" s="46"/>
      <c r="AY279" s="46" t="s">
        <v>30</v>
      </c>
      <c r="AZ279" s="46"/>
      <c r="BA279" s="47"/>
      <c r="BB279" s="51"/>
      <c r="BC279" s="46" t="s">
        <v>30</v>
      </c>
      <c r="BD279" s="46"/>
      <c r="BE279" s="46"/>
      <c r="BF279" s="46">
        <v>1</v>
      </c>
      <c r="BG279" s="46">
        <v>2</v>
      </c>
      <c r="BH279" s="46">
        <v>1</v>
      </c>
      <c r="BI279" s="46" t="s">
        <v>1239</v>
      </c>
      <c r="BJ279" s="46" t="s">
        <v>805</v>
      </c>
      <c r="BK279" s="46">
        <v>1910</v>
      </c>
      <c r="BL279" s="46" t="str">
        <f>BK279&amp;BI279</f>
        <v>1910Barnsley</v>
      </c>
      <c r="BM279" s="52" t="str">
        <f>IF(AD279="Home",BI279,IF(AD279="Away",BJ279,Q279))</f>
        <v>Manchester</v>
      </c>
      <c r="BN279" s="46"/>
      <c r="BO279" s="46"/>
      <c r="BP279" s="46"/>
      <c r="BQ279" s="46"/>
      <c r="BR279" s="46"/>
      <c r="BS279" s="46"/>
      <c r="BT279" s="46"/>
      <c r="BU279" s="46"/>
      <c r="BV279" s="46" t="s">
        <v>376</v>
      </c>
      <c r="BW279" s="46" t="s">
        <v>376</v>
      </c>
      <c r="BX279" s="46"/>
      <c r="BZ279" s="53"/>
      <c r="CA279" s="53"/>
      <c r="CB279" s="93" t="str">
        <f>IF(OR(C279="",A279="",B279=""),"",TEXT(C279,"0000")&amp;TEXT(A279,"00")&amp;TEXT(B279,"00"))</f>
        <v>19100428</v>
      </c>
    </row>
    <row r="280" spans="1:80" s="52" customFormat="1" ht="12.95" customHeight="1" x14ac:dyDescent="0.2">
      <c r="A280" s="46">
        <v>3</v>
      </c>
      <c r="B280" s="46">
        <v>25</v>
      </c>
      <c r="C280" s="46">
        <v>1911</v>
      </c>
      <c r="D280" s="46" t="s">
        <v>658</v>
      </c>
      <c r="E280" s="46" t="s">
        <v>1247</v>
      </c>
      <c r="F280" s="47" t="s">
        <v>1010</v>
      </c>
      <c r="G280" s="46"/>
      <c r="H280" s="47" t="s">
        <v>1011</v>
      </c>
      <c r="I280" s="47"/>
      <c r="J280" s="48">
        <v>4102</v>
      </c>
      <c r="K280" s="46" t="s">
        <v>1248</v>
      </c>
      <c r="L280" s="46" t="s">
        <v>3</v>
      </c>
      <c r="M280" s="46" t="s">
        <v>1094</v>
      </c>
      <c r="N280" s="49">
        <v>3</v>
      </c>
      <c r="O280" s="49">
        <v>0</v>
      </c>
      <c r="P280" s="47" t="s">
        <v>1163</v>
      </c>
      <c r="Q280" s="47" t="s">
        <v>1097</v>
      </c>
      <c r="R280" s="47" t="s">
        <v>376</v>
      </c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50">
        <f>IF(L280="W",1,0)</f>
        <v>1</v>
      </c>
      <c r="AF280" s="50">
        <f>IF(L280="T",1,0)</f>
        <v>0</v>
      </c>
      <c r="AG280" s="50">
        <f>IF(L280="L",1,0)</f>
        <v>0</v>
      </c>
      <c r="AH280" s="46" t="s">
        <v>1249</v>
      </c>
      <c r="AI280" s="46" t="s">
        <v>1242</v>
      </c>
      <c r="AJ280" s="46" t="s">
        <v>376</v>
      </c>
      <c r="AK280" s="46" t="s">
        <v>658</v>
      </c>
      <c r="AL280" s="46" t="s">
        <v>1085</v>
      </c>
      <c r="AM280" s="46" t="s">
        <v>1086</v>
      </c>
      <c r="AN280" s="46" t="s">
        <v>376</v>
      </c>
      <c r="AO280" s="46" t="s">
        <v>658</v>
      </c>
      <c r="AP280" s="46"/>
      <c r="AQ280" s="46">
        <v>2</v>
      </c>
      <c r="AR280" s="46"/>
      <c r="AS280" s="46"/>
      <c r="AT280" s="46"/>
      <c r="AU280" s="46" t="s">
        <v>376</v>
      </c>
      <c r="AV280" s="46"/>
      <c r="AW280" s="46" t="s">
        <v>30</v>
      </c>
      <c r="AX280" s="46"/>
      <c r="AY280" s="46" t="s">
        <v>30</v>
      </c>
      <c r="AZ280" s="46"/>
      <c r="BA280" s="47"/>
      <c r="BB280" s="51"/>
      <c r="BC280" s="46"/>
      <c r="BD280" s="46"/>
      <c r="BE280" s="46"/>
      <c r="BF280" s="46">
        <v>1</v>
      </c>
      <c r="BG280" s="46">
        <v>1</v>
      </c>
      <c r="BH280" s="46">
        <v>1</v>
      </c>
      <c r="BI280" s="46" t="s">
        <v>1248</v>
      </c>
      <c r="BJ280" s="46" t="s">
        <v>1094</v>
      </c>
      <c r="BK280" s="46">
        <v>1911</v>
      </c>
      <c r="BL280" s="46" t="str">
        <f>BK280&amp;BI280</f>
        <v>1911Bradford City</v>
      </c>
      <c r="BM280" s="52" t="str">
        <f>IF(AD280="Home",BI280,IF(AD280="Away",BJ280,Q280))</f>
        <v>Sheffield</v>
      </c>
      <c r="BN280" s="46"/>
      <c r="BO280" s="46"/>
      <c r="BP280" s="46"/>
      <c r="BQ280" s="46"/>
      <c r="BR280" s="46"/>
      <c r="BS280" s="46"/>
      <c r="BT280" s="46"/>
      <c r="BU280" s="46"/>
      <c r="BV280" s="46" t="s">
        <v>376</v>
      </c>
      <c r="BW280" s="46" t="s">
        <v>376</v>
      </c>
      <c r="BX280" s="46"/>
      <c r="BY280" s="50"/>
      <c r="BZ280" s="53"/>
      <c r="CA280" s="53"/>
      <c r="CB280" s="93" t="str">
        <f>IF(OR(C280="",A280="",B280=""),"",TEXT(C280,"0000")&amp;TEXT(A280,"00")&amp;TEXT(B280,"00"))</f>
        <v>19110325</v>
      </c>
    </row>
    <row r="281" spans="1:80" s="52" customFormat="1" ht="12.95" customHeight="1" x14ac:dyDescent="0.2">
      <c r="A281" s="46">
        <v>3</v>
      </c>
      <c r="B281" s="46">
        <v>25</v>
      </c>
      <c r="C281" s="46">
        <v>1911</v>
      </c>
      <c r="D281" s="46" t="s">
        <v>658</v>
      </c>
      <c r="E281" s="46" t="s">
        <v>1247</v>
      </c>
      <c r="F281" s="47" t="s">
        <v>1010</v>
      </c>
      <c r="G281" s="46"/>
      <c r="H281" s="47" t="s">
        <v>1011</v>
      </c>
      <c r="I281" s="47"/>
      <c r="J281" s="48">
        <v>4102</v>
      </c>
      <c r="K281" s="46" t="s">
        <v>1094</v>
      </c>
      <c r="L281" s="46" t="s">
        <v>4</v>
      </c>
      <c r="M281" s="46" t="s">
        <v>1248</v>
      </c>
      <c r="N281" s="49">
        <v>0</v>
      </c>
      <c r="O281" s="49">
        <v>3</v>
      </c>
      <c r="P281" s="47" t="s">
        <v>1163</v>
      </c>
      <c r="Q281" s="47" t="s">
        <v>1097</v>
      </c>
      <c r="R281" s="47" t="s">
        <v>376</v>
      </c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50">
        <f>IF(L281="W",1,0)</f>
        <v>0</v>
      </c>
      <c r="AF281" s="50">
        <f>IF(L281="T",1,0)</f>
        <v>0</v>
      </c>
      <c r="AG281" s="50">
        <f>IF(L281="L",1,0)</f>
        <v>1</v>
      </c>
      <c r="AH281" s="46" t="s">
        <v>1085</v>
      </c>
      <c r="AI281" s="46" t="s">
        <v>1086</v>
      </c>
      <c r="AJ281" s="46" t="s">
        <v>376</v>
      </c>
      <c r="AK281" s="46" t="s">
        <v>658</v>
      </c>
      <c r="AL281" s="46" t="s">
        <v>1249</v>
      </c>
      <c r="AM281" s="46" t="s">
        <v>1242</v>
      </c>
      <c r="AN281" s="46" t="s">
        <v>376</v>
      </c>
      <c r="AO281" s="46" t="s">
        <v>658</v>
      </c>
      <c r="AP281" s="46"/>
      <c r="AQ281" s="46">
        <v>2</v>
      </c>
      <c r="AR281" s="46"/>
      <c r="AS281" s="46"/>
      <c r="AT281" s="46"/>
      <c r="AU281" s="46" t="s">
        <v>376</v>
      </c>
      <c r="AV281" s="46"/>
      <c r="AW281" s="46" t="s">
        <v>30</v>
      </c>
      <c r="AX281" s="46"/>
      <c r="AY281" s="46" t="s">
        <v>30</v>
      </c>
      <c r="AZ281" s="46"/>
      <c r="BA281" s="47"/>
      <c r="BB281" s="51"/>
      <c r="BC281" s="46"/>
      <c r="BD281" s="46"/>
      <c r="BE281" s="46"/>
      <c r="BF281" s="46">
        <v>1</v>
      </c>
      <c r="BG281" s="46">
        <v>1</v>
      </c>
      <c r="BH281" s="46">
        <v>1</v>
      </c>
      <c r="BI281" s="46" t="s">
        <v>1094</v>
      </c>
      <c r="BJ281" s="46" t="s">
        <v>1248</v>
      </c>
      <c r="BK281" s="46">
        <v>1911</v>
      </c>
      <c r="BL281" s="46" t="str">
        <f>BK281&amp;BI281</f>
        <v>1911Blackburn Rovers</v>
      </c>
      <c r="BM281" s="52" t="str">
        <f>IF(AD281="Home",BI281,IF(AD281="Away",BJ281,Q281))</f>
        <v>Sheffield</v>
      </c>
      <c r="BN281" s="46"/>
      <c r="BO281" s="46"/>
      <c r="BP281" s="46"/>
      <c r="BQ281" s="46"/>
      <c r="BR281" s="46"/>
      <c r="BS281" s="46"/>
      <c r="BT281" s="46"/>
      <c r="BU281" s="46"/>
      <c r="BV281" s="46" t="s">
        <v>376</v>
      </c>
      <c r="BW281" s="46" t="s">
        <v>376</v>
      </c>
      <c r="BX281" s="46"/>
      <c r="BY281" s="50"/>
      <c r="BZ281" s="53"/>
      <c r="CA281" s="53"/>
      <c r="CB281" s="93" t="str">
        <f>IF(OR(C281="",A281="",B281=""),"",TEXT(C281,"0000")&amp;TEXT(A281,"00")&amp;TEXT(B281,"00"))</f>
        <v>19110325</v>
      </c>
    </row>
    <row r="282" spans="1:80" s="52" customFormat="1" ht="12.95" customHeight="1" x14ac:dyDescent="0.2">
      <c r="A282" s="46">
        <v>3</v>
      </c>
      <c r="B282" s="46">
        <v>25</v>
      </c>
      <c r="C282" s="46">
        <v>1911</v>
      </c>
      <c r="D282" s="46" t="s">
        <v>658</v>
      </c>
      <c r="E282" s="46" t="s">
        <v>1247</v>
      </c>
      <c r="F282" s="47" t="s">
        <v>1010</v>
      </c>
      <c r="G282" s="46"/>
      <c r="H282" s="47" t="s">
        <v>1011</v>
      </c>
      <c r="I282" s="47"/>
      <c r="J282" s="48">
        <v>4102</v>
      </c>
      <c r="K282" s="46" t="s">
        <v>805</v>
      </c>
      <c r="L282" s="46" t="s">
        <v>3</v>
      </c>
      <c r="M282" s="46" t="s">
        <v>816</v>
      </c>
      <c r="N282" s="49">
        <v>3</v>
      </c>
      <c r="O282" s="49">
        <v>0</v>
      </c>
      <c r="P282" s="46" t="s">
        <v>1232</v>
      </c>
      <c r="Q282" s="46" t="s">
        <v>1111</v>
      </c>
      <c r="R282" s="47" t="s">
        <v>376</v>
      </c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50">
        <f>IF(L282="W",1,0)</f>
        <v>1</v>
      </c>
      <c r="AF282" s="50">
        <f>IF(L282="T",1,0)</f>
        <v>0</v>
      </c>
      <c r="AG282" s="50">
        <f>IF(L282="L",1,0)</f>
        <v>0</v>
      </c>
      <c r="AH282" s="46" t="s">
        <v>1227</v>
      </c>
      <c r="AI282" s="46" t="s">
        <v>1164</v>
      </c>
      <c r="AJ282" s="46" t="s">
        <v>376</v>
      </c>
      <c r="AK282" s="46" t="s">
        <v>658</v>
      </c>
      <c r="AL282" s="46" t="s">
        <v>1017</v>
      </c>
      <c r="AM282" s="46" t="s">
        <v>1018</v>
      </c>
      <c r="AN282" s="46" t="s">
        <v>376</v>
      </c>
      <c r="AO282" s="46" t="s">
        <v>658</v>
      </c>
      <c r="AP282" s="46"/>
      <c r="AQ282" s="46">
        <v>2</v>
      </c>
      <c r="AR282" s="46"/>
      <c r="AS282" s="46"/>
      <c r="AT282" s="46"/>
      <c r="AU282" s="46" t="s">
        <v>376</v>
      </c>
      <c r="AV282" s="46"/>
      <c r="AW282" s="46" t="s">
        <v>30</v>
      </c>
      <c r="AX282" s="46"/>
      <c r="AY282" s="46" t="s">
        <v>30</v>
      </c>
      <c r="AZ282" s="46"/>
      <c r="BA282" s="47"/>
      <c r="BB282" s="51"/>
      <c r="BC282" s="46"/>
      <c r="BD282" s="46"/>
      <c r="BE282" s="46"/>
      <c r="BF282" s="46">
        <v>1</v>
      </c>
      <c r="BG282" s="46">
        <v>1</v>
      </c>
      <c r="BH282" s="46">
        <v>2</v>
      </c>
      <c r="BI282" s="46" t="s">
        <v>805</v>
      </c>
      <c r="BJ282" s="46" t="s">
        <v>816</v>
      </c>
      <c r="BK282" s="46">
        <v>1911</v>
      </c>
      <c r="BL282" s="46" t="str">
        <f>BK282&amp;BI282</f>
        <v>1911Newcastle United</v>
      </c>
      <c r="BM282" s="52" t="str">
        <f>IF(AD282="Home",BI282,IF(AD282="Away",BJ282,Q282))</f>
        <v>Birmingham</v>
      </c>
      <c r="BN282" s="46"/>
      <c r="BO282" s="46"/>
      <c r="BP282" s="46"/>
      <c r="BQ282" s="46"/>
      <c r="BR282" s="46"/>
      <c r="BS282" s="46"/>
      <c r="BT282" s="46"/>
      <c r="BU282" s="46"/>
      <c r="BV282" s="46" t="s">
        <v>376</v>
      </c>
      <c r="BW282" s="46" t="s">
        <v>376</v>
      </c>
      <c r="BX282" s="46"/>
      <c r="BZ282" s="53"/>
      <c r="CA282" s="53"/>
      <c r="CB282" s="93" t="str">
        <f>IF(OR(C282="",A282="",B282=""),"",TEXT(C282,"0000")&amp;TEXT(A282,"00")&amp;TEXT(B282,"00"))</f>
        <v>19110325</v>
      </c>
    </row>
    <row r="283" spans="1:80" s="52" customFormat="1" ht="12.95" customHeight="1" x14ac:dyDescent="0.2">
      <c r="A283" s="46">
        <v>3</v>
      </c>
      <c r="B283" s="46">
        <v>25</v>
      </c>
      <c r="C283" s="46">
        <v>1911</v>
      </c>
      <c r="D283" s="46" t="s">
        <v>658</v>
      </c>
      <c r="E283" s="46" t="s">
        <v>1247</v>
      </c>
      <c r="F283" s="47" t="s">
        <v>1010</v>
      </c>
      <c r="G283" s="46"/>
      <c r="H283" s="47" t="s">
        <v>1011</v>
      </c>
      <c r="I283" s="47"/>
      <c r="J283" s="48">
        <v>4102</v>
      </c>
      <c r="K283" s="46" t="s">
        <v>816</v>
      </c>
      <c r="L283" s="46" t="s">
        <v>4</v>
      </c>
      <c r="M283" s="46" t="s">
        <v>805</v>
      </c>
      <c r="N283" s="49">
        <v>0</v>
      </c>
      <c r="O283" s="49">
        <v>3</v>
      </c>
      <c r="P283" s="46" t="s">
        <v>1232</v>
      </c>
      <c r="Q283" s="46" t="s">
        <v>1111</v>
      </c>
      <c r="R283" s="47" t="s">
        <v>376</v>
      </c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50">
        <f>IF(L283="W",1,0)</f>
        <v>0</v>
      </c>
      <c r="AF283" s="50">
        <f>IF(L283="T",1,0)</f>
        <v>0</v>
      </c>
      <c r="AG283" s="50">
        <f>IF(L283="L",1,0)</f>
        <v>1</v>
      </c>
      <c r="AH283" s="46" t="s">
        <v>1017</v>
      </c>
      <c r="AI283" s="46" t="s">
        <v>1018</v>
      </c>
      <c r="AJ283" s="46" t="s">
        <v>376</v>
      </c>
      <c r="AK283" s="46" t="s">
        <v>658</v>
      </c>
      <c r="AL283" s="46" t="s">
        <v>1227</v>
      </c>
      <c r="AM283" s="46" t="s">
        <v>1164</v>
      </c>
      <c r="AN283" s="46" t="s">
        <v>376</v>
      </c>
      <c r="AO283" s="46" t="s">
        <v>658</v>
      </c>
      <c r="AP283" s="46"/>
      <c r="AQ283" s="46">
        <v>2</v>
      </c>
      <c r="AR283" s="46"/>
      <c r="AS283" s="46"/>
      <c r="AT283" s="46"/>
      <c r="AU283" s="46" t="s">
        <v>376</v>
      </c>
      <c r="AV283" s="46"/>
      <c r="AW283" s="46" t="s">
        <v>30</v>
      </c>
      <c r="AX283" s="46"/>
      <c r="AY283" s="46" t="s">
        <v>30</v>
      </c>
      <c r="AZ283" s="46"/>
      <c r="BA283" s="47"/>
      <c r="BB283" s="51"/>
      <c r="BC283" s="46"/>
      <c r="BD283" s="46"/>
      <c r="BE283" s="46"/>
      <c r="BF283" s="46">
        <v>1</v>
      </c>
      <c r="BG283" s="46">
        <v>2</v>
      </c>
      <c r="BH283" s="46">
        <v>1</v>
      </c>
      <c r="BI283" s="46" t="s">
        <v>816</v>
      </c>
      <c r="BJ283" s="46" t="s">
        <v>805</v>
      </c>
      <c r="BK283" s="46">
        <v>1911</v>
      </c>
      <c r="BL283" s="46" t="str">
        <f>BK283&amp;BI283</f>
        <v>1911Chelsea</v>
      </c>
      <c r="BM283" s="52" t="str">
        <f>IF(AD283="Home",BI283,IF(AD283="Away",BJ283,Q283))</f>
        <v>Birmingham</v>
      </c>
      <c r="BN283" s="46"/>
      <c r="BO283" s="46"/>
      <c r="BP283" s="46"/>
      <c r="BQ283" s="46"/>
      <c r="BR283" s="46"/>
      <c r="BS283" s="46"/>
      <c r="BT283" s="46"/>
      <c r="BU283" s="46"/>
      <c r="BV283" s="46" t="s">
        <v>376</v>
      </c>
      <c r="BW283" s="46" t="s">
        <v>376</v>
      </c>
      <c r="BX283" s="46"/>
      <c r="BZ283" s="53"/>
      <c r="CA283" s="53"/>
      <c r="CB283" s="93" t="str">
        <f>IF(OR(C283="",A283="",B283=""),"",TEXT(C283,"0000")&amp;TEXT(A283,"00")&amp;TEXT(B283,"00"))</f>
        <v>19110325</v>
      </c>
    </row>
    <row r="284" spans="1:80" s="52" customFormat="1" ht="12.95" customHeight="1" x14ac:dyDescent="0.2">
      <c r="A284" s="46">
        <v>4</v>
      </c>
      <c r="B284" s="46">
        <v>22</v>
      </c>
      <c r="C284" s="46">
        <v>1911</v>
      </c>
      <c r="D284" s="46" t="s">
        <v>658</v>
      </c>
      <c r="E284" s="46" t="s">
        <v>1247</v>
      </c>
      <c r="F284" s="47" t="s">
        <v>1010</v>
      </c>
      <c r="G284" s="46"/>
      <c r="H284" s="47" t="s">
        <v>1025</v>
      </c>
      <c r="I284" s="47"/>
      <c r="J284" s="48">
        <v>4130</v>
      </c>
      <c r="K284" s="46" t="s">
        <v>805</v>
      </c>
      <c r="L284" s="46" t="s">
        <v>1014</v>
      </c>
      <c r="M284" s="46" t="s">
        <v>1248</v>
      </c>
      <c r="N284" s="49">
        <v>0</v>
      </c>
      <c r="O284" s="49">
        <v>0</v>
      </c>
      <c r="P284" s="47" t="s">
        <v>1188</v>
      </c>
      <c r="Q284" s="47" t="s">
        <v>1017</v>
      </c>
      <c r="R284" s="47" t="s">
        <v>376</v>
      </c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50">
        <f>IF(L284="W",1,0)</f>
        <v>0</v>
      </c>
      <c r="AF284" s="50">
        <f>IF(L284="T",1,0)</f>
        <v>1</v>
      </c>
      <c r="AG284" s="50">
        <f>IF(L284="L",1,0)</f>
        <v>0</v>
      </c>
      <c r="AH284" s="46" t="s">
        <v>1227</v>
      </c>
      <c r="AI284" s="46" t="s">
        <v>1164</v>
      </c>
      <c r="AJ284" s="46" t="s">
        <v>376</v>
      </c>
      <c r="AK284" s="46" t="s">
        <v>658</v>
      </c>
      <c r="AL284" s="46" t="s">
        <v>1249</v>
      </c>
      <c r="AM284" s="46" t="s">
        <v>1242</v>
      </c>
      <c r="AN284" s="46" t="s">
        <v>376</v>
      </c>
      <c r="AO284" s="46" t="s">
        <v>658</v>
      </c>
      <c r="AP284" s="46"/>
      <c r="AQ284" s="46">
        <v>1</v>
      </c>
      <c r="AR284" s="46"/>
      <c r="AS284" s="46"/>
      <c r="AT284" s="46"/>
      <c r="AU284" s="46" t="s">
        <v>376</v>
      </c>
      <c r="AV284" s="46"/>
      <c r="AW284" s="46" t="s">
        <v>30</v>
      </c>
      <c r="AX284" s="46"/>
      <c r="AY284" s="46" t="s">
        <v>30</v>
      </c>
      <c r="AZ284" s="46"/>
      <c r="BA284" s="47"/>
      <c r="BB284" s="51"/>
      <c r="BC284" s="46" t="s">
        <v>30</v>
      </c>
      <c r="BD284" s="46"/>
      <c r="BE284" s="46"/>
      <c r="BF284" s="46">
        <v>1</v>
      </c>
      <c r="BG284" s="46">
        <v>1</v>
      </c>
      <c r="BH284" s="46">
        <v>1</v>
      </c>
      <c r="BI284" s="46" t="s">
        <v>805</v>
      </c>
      <c r="BJ284" s="46" t="s">
        <v>1248</v>
      </c>
      <c r="BK284" s="46">
        <v>1911</v>
      </c>
      <c r="BL284" s="46" t="str">
        <f>BK284&amp;BI284</f>
        <v>1911Newcastle United</v>
      </c>
      <c r="BM284" s="52" t="str">
        <f>IF(AD284="Home",BI284,IF(AD284="Away",BJ284,Q284))</f>
        <v>London</v>
      </c>
      <c r="BN284" s="46"/>
      <c r="BO284" s="46"/>
      <c r="BP284" s="46"/>
      <c r="BQ284" s="46"/>
      <c r="BR284" s="46"/>
      <c r="BS284" s="46"/>
      <c r="BT284" s="46"/>
      <c r="BU284" s="46"/>
      <c r="BV284" s="46" t="s">
        <v>376</v>
      </c>
      <c r="BW284" s="46" t="s">
        <v>376</v>
      </c>
      <c r="BX284" s="46"/>
      <c r="BZ284" s="53"/>
      <c r="CA284" s="53"/>
      <c r="CB284" s="93" t="str">
        <f>IF(OR(C284="",A284="",B284=""),"",TEXT(C284,"0000")&amp;TEXT(A284,"00")&amp;TEXT(B284,"00"))</f>
        <v>19110422</v>
      </c>
    </row>
    <row r="285" spans="1:80" s="52" customFormat="1" ht="12.95" customHeight="1" x14ac:dyDescent="0.2">
      <c r="A285" s="46">
        <v>4</v>
      </c>
      <c r="B285" s="46">
        <v>22</v>
      </c>
      <c r="C285" s="46">
        <v>1911</v>
      </c>
      <c r="D285" s="46" t="s">
        <v>658</v>
      </c>
      <c r="E285" s="46" t="s">
        <v>1247</v>
      </c>
      <c r="F285" s="47" t="s">
        <v>1010</v>
      </c>
      <c r="G285" s="46"/>
      <c r="H285" s="47" t="s">
        <v>1025</v>
      </c>
      <c r="I285" s="47"/>
      <c r="J285" s="48">
        <v>4130</v>
      </c>
      <c r="K285" s="46" t="s">
        <v>1248</v>
      </c>
      <c r="L285" s="46" t="s">
        <v>1014</v>
      </c>
      <c r="M285" s="46" t="s">
        <v>805</v>
      </c>
      <c r="N285" s="49">
        <v>0</v>
      </c>
      <c r="O285" s="49">
        <v>0</v>
      </c>
      <c r="P285" s="47" t="s">
        <v>1188</v>
      </c>
      <c r="Q285" s="47" t="s">
        <v>1017</v>
      </c>
      <c r="R285" s="47" t="s">
        <v>376</v>
      </c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50">
        <f>IF(L285="W",1,0)</f>
        <v>0</v>
      </c>
      <c r="AF285" s="50">
        <f>IF(L285="T",1,0)</f>
        <v>1</v>
      </c>
      <c r="AG285" s="50">
        <f>IF(L285="L",1,0)</f>
        <v>0</v>
      </c>
      <c r="AH285" s="46" t="s">
        <v>1249</v>
      </c>
      <c r="AI285" s="46" t="s">
        <v>1242</v>
      </c>
      <c r="AJ285" s="46" t="s">
        <v>376</v>
      </c>
      <c r="AK285" s="46" t="s">
        <v>658</v>
      </c>
      <c r="AL285" s="46" t="s">
        <v>1227</v>
      </c>
      <c r="AM285" s="46" t="s">
        <v>1164</v>
      </c>
      <c r="AN285" s="46" t="s">
        <v>376</v>
      </c>
      <c r="AO285" s="46" t="s">
        <v>658</v>
      </c>
      <c r="AP285" s="46"/>
      <c r="AQ285" s="46">
        <v>1</v>
      </c>
      <c r="AR285" s="46"/>
      <c r="AS285" s="46"/>
      <c r="AT285" s="46"/>
      <c r="AU285" s="46" t="s">
        <v>376</v>
      </c>
      <c r="AV285" s="46"/>
      <c r="AW285" s="46" t="s">
        <v>30</v>
      </c>
      <c r="AX285" s="46"/>
      <c r="AY285" s="46" t="s">
        <v>30</v>
      </c>
      <c r="AZ285" s="46"/>
      <c r="BA285" s="47"/>
      <c r="BB285" s="51"/>
      <c r="BC285" s="46" t="s">
        <v>30</v>
      </c>
      <c r="BD285" s="46"/>
      <c r="BE285" s="46"/>
      <c r="BF285" s="46">
        <v>1</v>
      </c>
      <c r="BG285" s="46">
        <v>1</v>
      </c>
      <c r="BH285" s="46">
        <v>1</v>
      </c>
      <c r="BI285" s="46" t="s">
        <v>1248</v>
      </c>
      <c r="BJ285" s="46" t="s">
        <v>805</v>
      </c>
      <c r="BK285" s="46">
        <v>1911</v>
      </c>
      <c r="BL285" s="46" t="str">
        <f>BK285&amp;BI285</f>
        <v>1911Bradford City</v>
      </c>
      <c r="BM285" s="52" t="str">
        <f>IF(AD285="Home",BI285,IF(AD285="Away",BJ285,Q285))</f>
        <v>London</v>
      </c>
      <c r="BN285" s="46"/>
      <c r="BO285" s="46"/>
      <c r="BP285" s="46"/>
      <c r="BQ285" s="46"/>
      <c r="BR285" s="46"/>
      <c r="BS285" s="46"/>
      <c r="BT285" s="46"/>
      <c r="BU285" s="46"/>
      <c r="BV285" s="46" t="s">
        <v>376</v>
      </c>
      <c r="BW285" s="46" t="s">
        <v>376</v>
      </c>
      <c r="BX285" s="46"/>
      <c r="BZ285" s="53"/>
      <c r="CA285" s="53"/>
      <c r="CB285" s="93" t="str">
        <f>IF(OR(C285="",A285="",B285=""),"",TEXT(C285,"0000")&amp;TEXT(A285,"00")&amp;TEXT(B285,"00"))</f>
        <v>19110422</v>
      </c>
    </row>
    <row r="286" spans="1:80" s="52" customFormat="1" ht="12.95" customHeight="1" x14ac:dyDescent="0.2">
      <c r="A286" s="46">
        <v>4</v>
      </c>
      <c r="B286" s="46">
        <v>26</v>
      </c>
      <c r="C286" s="46">
        <v>1911</v>
      </c>
      <c r="D286" s="46" t="s">
        <v>658</v>
      </c>
      <c r="E286" s="46" t="s">
        <v>1247</v>
      </c>
      <c r="F286" s="47" t="s">
        <v>1010</v>
      </c>
      <c r="G286" s="46"/>
      <c r="H286" s="47" t="s">
        <v>1025</v>
      </c>
      <c r="I286" s="47" t="s">
        <v>1023</v>
      </c>
      <c r="J286" s="48">
        <v>4134</v>
      </c>
      <c r="K286" s="46" t="s">
        <v>1248</v>
      </c>
      <c r="L286" s="46" t="s">
        <v>3</v>
      </c>
      <c r="M286" s="46" t="s">
        <v>805</v>
      </c>
      <c r="N286" s="49">
        <v>1</v>
      </c>
      <c r="O286" s="49">
        <v>0</v>
      </c>
      <c r="P286" s="47" t="s">
        <v>1246</v>
      </c>
      <c r="Q286" s="47" t="s">
        <v>1101</v>
      </c>
      <c r="R286" s="47" t="s">
        <v>376</v>
      </c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50">
        <f>IF(L286="W",1,0)</f>
        <v>1</v>
      </c>
      <c r="AF286" s="50">
        <f>IF(L286="T",1,0)</f>
        <v>0</v>
      </c>
      <c r="AG286" s="50">
        <f>IF(L286="L",1,0)</f>
        <v>0</v>
      </c>
      <c r="AH286" s="46" t="s">
        <v>1249</v>
      </c>
      <c r="AI286" s="46" t="s">
        <v>1242</v>
      </c>
      <c r="AJ286" s="46" t="s">
        <v>376</v>
      </c>
      <c r="AK286" s="46" t="s">
        <v>658</v>
      </c>
      <c r="AL286" s="46" t="s">
        <v>1227</v>
      </c>
      <c r="AM286" s="46" t="s">
        <v>1164</v>
      </c>
      <c r="AN286" s="46" t="s">
        <v>376</v>
      </c>
      <c r="AO286" s="46" t="s">
        <v>658</v>
      </c>
      <c r="AP286" s="46"/>
      <c r="AQ286" s="46">
        <v>1</v>
      </c>
      <c r="AR286" s="46"/>
      <c r="AS286" s="46"/>
      <c r="AT286" s="46"/>
      <c r="AU286" s="46" t="s">
        <v>376</v>
      </c>
      <c r="AV286" s="46"/>
      <c r="AW286" s="46" t="s">
        <v>30</v>
      </c>
      <c r="AX286" s="46"/>
      <c r="AY286" s="46" t="s">
        <v>30</v>
      </c>
      <c r="AZ286" s="46"/>
      <c r="BA286" s="47"/>
      <c r="BB286" s="51" t="s">
        <v>30</v>
      </c>
      <c r="BC286" s="46" t="s">
        <v>30</v>
      </c>
      <c r="BD286" s="46"/>
      <c r="BE286" s="46"/>
      <c r="BF286" s="46">
        <v>1</v>
      </c>
      <c r="BG286" s="46">
        <v>1</v>
      </c>
      <c r="BH286" s="46">
        <v>1</v>
      </c>
      <c r="BI286" s="46" t="s">
        <v>1248</v>
      </c>
      <c r="BJ286" s="46" t="s">
        <v>805</v>
      </c>
      <c r="BK286" s="46">
        <v>1911</v>
      </c>
      <c r="BL286" s="46" t="str">
        <f>BK286&amp;BI286</f>
        <v>1911Bradford City</v>
      </c>
      <c r="BM286" s="52" t="str">
        <f>IF(AD286="Home",BI286,IF(AD286="Away",BJ286,Q286))</f>
        <v>Manchester</v>
      </c>
      <c r="BN286" s="46"/>
      <c r="BO286" s="46"/>
      <c r="BP286" s="46"/>
      <c r="BQ286" s="46"/>
      <c r="BR286" s="46"/>
      <c r="BS286" s="46"/>
      <c r="BT286" s="46"/>
      <c r="BU286" s="46"/>
      <c r="BV286" s="46" t="s">
        <v>376</v>
      </c>
      <c r="BW286" s="46" t="s">
        <v>376</v>
      </c>
      <c r="BX286" s="46"/>
      <c r="BZ286" s="53"/>
      <c r="CA286" s="53"/>
      <c r="CB286" s="93" t="str">
        <f>IF(OR(C286="",A286="",B286=""),"",TEXT(C286,"0000")&amp;TEXT(A286,"00")&amp;TEXT(B286,"00"))</f>
        <v>19110426</v>
      </c>
    </row>
    <row r="287" spans="1:80" s="52" customFormat="1" ht="12.95" customHeight="1" x14ac:dyDescent="0.2">
      <c r="A287" s="46">
        <v>4</v>
      </c>
      <c r="B287" s="46">
        <v>26</v>
      </c>
      <c r="C287" s="46">
        <v>1911</v>
      </c>
      <c r="D287" s="46" t="s">
        <v>658</v>
      </c>
      <c r="E287" s="46" t="s">
        <v>1247</v>
      </c>
      <c r="F287" s="47" t="s">
        <v>1010</v>
      </c>
      <c r="G287" s="46"/>
      <c r="H287" s="47" t="s">
        <v>1025</v>
      </c>
      <c r="I287" s="47" t="s">
        <v>1023</v>
      </c>
      <c r="J287" s="48">
        <v>4134</v>
      </c>
      <c r="K287" s="46" t="s">
        <v>805</v>
      </c>
      <c r="L287" s="46" t="s">
        <v>4</v>
      </c>
      <c r="M287" s="46" t="s">
        <v>1248</v>
      </c>
      <c r="N287" s="49">
        <v>0</v>
      </c>
      <c r="O287" s="49">
        <v>1</v>
      </c>
      <c r="P287" s="47" t="s">
        <v>1246</v>
      </c>
      <c r="Q287" s="47" t="s">
        <v>1101</v>
      </c>
      <c r="R287" s="47" t="s">
        <v>376</v>
      </c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50">
        <f>IF(L287="W",1,0)</f>
        <v>0</v>
      </c>
      <c r="AF287" s="50">
        <f>IF(L287="T",1,0)</f>
        <v>0</v>
      </c>
      <c r="AG287" s="50">
        <f>IF(L287="L",1,0)</f>
        <v>1</v>
      </c>
      <c r="AH287" s="46" t="s">
        <v>1227</v>
      </c>
      <c r="AI287" s="46" t="s">
        <v>1164</v>
      </c>
      <c r="AJ287" s="46" t="s">
        <v>376</v>
      </c>
      <c r="AK287" s="46" t="s">
        <v>658</v>
      </c>
      <c r="AL287" s="46" t="s">
        <v>1249</v>
      </c>
      <c r="AM287" s="46" t="s">
        <v>1242</v>
      </c>
      <c r="AN287" s="46" t="s">
        <v>376</v>
      </c>
      <c r="AO287" s="46" t="s">
        <v>658</v>
      </c>
      <c r="AP287" s="46"/>
      <c r="AQ287" s="46">
        <v>1</v>
      </c>
      <c r="AR287" s="46"/>
      <c r="AS287" s="46"/>
      <c r="AT287" s="46"/>
      <c r="AU287" s="46" t="s">
        <v>376</v>
      </c>
      <c r="AV287" s="46"/>
      <c r="AW287" s="46" t="s">
        <v>30</v>
      </c>
      <c r="AX287" s="46"/>
      <c r="AY287" s="46" t="s">
        <v>30</v>
      </c>
      <c r="AZ287" s="46"/>
      <c r="BA287" s="47"/>
      <c r="BB287" s="51"/>
      <c r="BC287" s="46" t="s">
        <v>30</v>
      </c>
      <c r="BD287" s="46"/>
      <c r="BE287" s="46"/>
      <c r="BF287" s="46">
        <v>1</v>
      </c>
      <c r="BG287" s="46">
        <v>1</v>
      </c>
      <c r="BH287" s="46">
        <v>1</v>
      </c>
      <c r="BI287" s="46" t="s">
        <v>805</v>
      </c>
      <c r="BJ287" s="46" t="s">
        <v>1248</v>
      </c>
      <c r="BK287" s="46">
        <v>1911</v>
      </c>
      <c r="BL287" s="46" t="str">
        <f>BK287&amp;BI287</f>
        <v>1911Newcastle United</v>
      </c>
      <c r="BM287" s="52" t="str">
        <f>IF(AD287="Home",BI287,IF(AD287="Away",BJ287,Q287))</f>
        <v>Manchester</v>
      </c>
      <c r="BN287" s="46"/>
      <c r="BO287" s="46"/>
      <c r="BP287" s="46"/>
      <c r="BQ287" s="46"/>
      <c r="BR287" s="46"/>
      <c r="BS287" s="46"/>
      <c r="BT287" s="46"/>
      <c r="BU287" s="46"/>
      <c r="BV287" s="46" t="s">
        <v>376</v>
      </c>
      <c r="BW287" s="46" t="s">
        <v>376</v>
      </c>
      <c r="BX287" s="46"/>
      <c r="BZ287" s="53"/>
      <c r="CA287" s="53"/>
      <c r="CB287" s="93" t="str">
        <f>IF(OR(C287="",A287="",B287=""),"",TEXT(C287,"0000")&amp;TEXT(A287,"00")&amp;TEXT(B287,"00"))</f>
        <v>19110426</v>
      </c>
    </row>
    <row r="288" spans="1:80" s="52" customFormat="1" ht="12.95" customHeight="1" x14ac:dyDescent="0.2">
      <c r="A288" s="46">
        <v>3</v>
      </c>
      <c r="B288" s="46">
        <v>30</v>
      </c>
      <c r="C288" s="46">
        <v>1912</v>
      </c>
      <c r="D288" s="46" t="s">
        <v>658</v>
      </c>
      <c r="E288" s="46" t="s">
        <v>1250</v>
      </c>
      <c r="F288" s="47" t="s">
        <v>1010</v>
      </c>
      <c r="G288" s="46"/>
      <c r="H288" s="47" t="s">
        <v>1011</v>
      </c>
      <c r="I288" s="47"/>
      <c r="J288" s="48">
        <v>4473</v>
      </c>
      <c r="K288" s="46" t="s">
        <v>1124</v>
      </c>
      <c r="L288" s="46" t="s">
        <v>1014</v>
      </c>
      <c r="M288" s="46" t="s">
        <v>1094</v>
      </c>
      <c r="N288" s="49">
        <v>0</v>
      </c>
      <c r="O288" s="49">
        <v>0</v>
      </c>
      <c r="P288" s="47" t="s">
        <v>1141</v>
      </c>
      <c r="Q288" s="47" t="s">
        <v>588</v>
      </c>
      <c r="R288" s="47" t="s">
        <v>376</v>
      </c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50">
        <f>IF(L288="W",1,0)</f>
        <v>0</v>
      </c>
      <c r="AF288" s="50">
        <f>IF(L288="T",1,0)</f>
        <v>1</v>
      </c>
      <c r="AG288" s="50">
        <f>IF(L288="L",1,0)</f>
        <v>0</v>
      </c>
      <c r="AH288" s="46" t="s">
        <v>1111</v>
      </c>
      <c r="AI288" s="46" t="s">
        <v>1126</v>
      </c>
      <c r="AJ288" s="46" t="s">
        <v>376</v>
      </c>
      <c r="AK288" s="46" t="s">
        <v>658</v>
      </c>
      <c r="AL288" s="46" t="s">
        <v>1085</v>
      </c>
      <c r="AM288" s="46" t="s">
        <v>1086</v>
      </c>
      <c r="AN288" s="46" t="s">
        <v>376</v>
      </c>
      <c r="AO288" s="46" t="s">
        <v>658</v>
      </c>
      <c r="AP288" s="46"/>
      <c r="AQ288" s="46">
        <v>2</v>
      </c>
      <c r="AR288" s="46"/>
      <c r="AS288" s="46"/>
      <c r="AT288" s="46"/>
      <c r="AU288" s="46" t="s">
        <v>376</v>
      </c>
      <c r="AV288" s="46"/>
      <c r="AW288" s="46" t="s">
        <v>30</v>
      </c>
      <c r="AX288" s="46"/>
      <c r="AY288" s="46" t="s">
        <v>30</v>
      </c>
      <c r="AZ288" s="46"/>
      <c r="BA288" s="47"/>
      <c r="BB288" s="51"/>
      <c r="BC288" s="46"/>
      <c r="BD288" s="46"/>
      <c r="BE288" s="46"/>
      <c r="BF288" s="46">
        <v>1</v>
      </c>
      <c r="BG288" s="46">
        <v>1</v>
      </c>
      <c r="BH288" s="46">
        <v>1</v>
      </c>
      <c r="BI288" s="46" t="s">
        <v>1124</v>
      </c>
      <c r="BJ288" s="46" t="s">
        <v>1094</v>
      </c>
      <c r="BK288" s="46">
        <v>1912</v>
      </c>
      <c r="BL288" s="46" t="str">
        <f>BK288&amp;BI288</f>
        <v>1912West Bromwich Albion</v>
      </c>
      <c r="BM288" s="52" t="str">
        <f>IF(AD288="Home",BI288,IF(AD288="Away",BJ288,Q288))</f>
        <v>Liverpool</v>
      </c>
      <c r="BN288" s="46"/>
      <c r="BO288" s="46"/>
      <c r="BP288" s="46"/>
      <c r="BQ288" s="46"/>
      <c r="BR288" s="46"/>
      <c r="BS288" s="46"/>
      <c r="BT288" s="46"/>
      <c r="BU288" s="46"/>
      <c r="BV288" s="46" t="s">
        <v>376</v>
      </c>
      <c r="BW288" s="46" t="s">
        <v>376</v>
      </c>
      <c r="BX288" s="46"/>
      <c r="BZ288" s="53"/>
      <c r="CA288" s="53"/>
      <c r="CB288" s="93" t="str">
        <f>IF(OR(C288="",A288="",B288=""),"",TEXT(C288,"0000")&amp;TEXT(A288,"00")&amp;TEXT(B288,"00"))</f>
        <v>19120330</v>
      </c>
    </row>
    <row r="289" spans="1:80" s="52" customFormat="1" ht="12.95" customHeight="1" x14ac:dyDescent="0.2">
      <c r="A289" s="46">
        <v>3</v>
      </c>
      <c r="B289" s="46">
        <v>30</v>
      </c>
      <c r="C289" s="46">
        <v>1912</v>
      </c>
      <c r="D289" s="46" t="s">
        <v>658</v>
      </c>
      <c r="E289" s="46" t="s">
        <v>1250</v>
      </c>
      <c r="F289" s="47" t="s">
        <v>1010</v>
      </c>
      <c r="G289" s="46"/>
      <c r="H289" s="47" t="s">
        <v>1011</v>
      </c>
      <c r="I289" s="47"/>
      <c r="J289" s="48">
        <v>4473</v>
      </c>
      <c r="K289" s="46" t="s">
        <v>1094</v>
      </c>
      <c r="L289" s="46" t="s">
        <v>1014</v>
      </c>
      <c r="M289" s="46" t="s">
        <v>1124</v>
      </c>
      <c r="N289" s="49">
        <v>0</v>
      </c>
      <c r="O289" s="49">
        <v>0</v>
      </c>
      <c r="P289" s="47" t="s">
        <v>1141</v>
      </c>
      <c r="Q289" s="47" t="s">
        <v>588</v>
      </c>
      <c r="R289" s="47" t="s">
        <v>376</v>
      </c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50">
        <f>IF(L289="W",1,0)</f>
        <v>0</v>
      </c>
      <c r="AF289" s="50">
        <f>IF(L289="T",1,0)</f>
        <v>1</v>
      </c>
      <c r="AG289" s="50">
        <f>IF(L289="L",1,0)</f>
        <v>0</v>
      </c>
      <c r="AH289" s="46" t="s">
        <v>1085</v>
      </c>
      <c r="AI289" s="46" t="s">
        <v>1086</v>
      </c>
      <c r="AJ289" s="46" t="s">
        <v>376</v>
      </c>
      <c r="AK289" s="46" t="s">
        <v>658</v>
      </c>
      <c r="AL289" s="46" t="s">
        <v>1111</v>
      </c>
      <c r="AM289" s="46" t="s">
        <v>1126</v>
      </c>
      <c r="AN289" s="46" t="s">
        <v>376</v>
      </c>
      <c r="AO289" s="46" t="s">
        <v>658</v>
      </c>
      <c r="AP289" s="46"/>
      <c r="AQ289" s="46">
        <v>2</v>
      </c>
      <c r="AR289" s="46"/>
      <c r="AS289" s="46"/>
      <c r="AT289" s="46"/>
      <c r="AU289" s="46" t="s">
        <v>376</v>
      </c>
      <c r="AV289" s="46"/>
      <c r="AW289" s="46" t="s">
        <v>30</v>
      </c>
      <c r="AX289" s="46"/>
      <c r="AY289" s="46" t="s">
        <v>30</v>
      </c>
      <c r="AZ289" s="46"/>
      <c r="BA289" s="47"/>
      <c r="BB289" s="51"/>
      <c r="BC289" s="46"/>
      <c r="BD289" s="46"/>
      <c r="BE289" s="46"/>
      <c r="BF289" s="46">
        <v>1</v>
      </c>
      <c r="BG289" s="46">
        <v>1</v>
      </c>
      <c r="BH289" s="46">
        <v>1</v>
      </c>
      <c r="BI289" s="46" t="s">
        <v>1094</v>
      </c>
      <c r="BJ289" s="46" t="s">
        <v>1124</v>
      </c>
      <c r="BK289" s="46">
        <v>1912</v>
      </c>
      <c r="BL289" s="46" t="str">
        <f>BK289&amp;BI289</f>
        <v>1912Blackburn Rovers</v>
      </c>
      <c r="BM289" s="52" t="str">
        <f>IF(AD289="Home",BI289,IF(AD289="Away",BJ289,Q289))</f>
        <v>Liverpool</v>
      </c>
      <c r="BN289" s="46"/>
      <c r="BO289" s="46"/>
      <c r="BP289" s="46"/>
      <c r="BQ289" s="46"/>
      <c r="BR289" s="46"/>
      <c r="BS289" s="46"/>
      <c r="BT289" s="46"/>
      <c r="BU289" s="46"/>
      <c r="BV289" s="46" t="s">
        <v>376</v>
      </c>
      <c r="BW289" s="46" t="s">
        <v>376</v>
      </c>
      <c r="BX289" s="46"/>
      <c r="BZ289" s="53"/>
      <c r="CA289" s="53"/>
      <c r="CB289" s="93" t="str">
        <f>IF(OR(C289="",A289="",B289=""),"",TEXT(C289,"0000")&amp;TEXT(A289,"00")&amp;TEXT(B289,"00"))</f>
        <v>19120330</v>
      </c>
    </row>
    <row r="290" spans="1:80" s="52" customFormat="1" ht="12.95" customHeight="1" x14ac:dyDescent="0.2">
      <c r="A290" s="46">
        <v>3</v>
      </c>
      <c r="B290" s="46">
        <v>30</v>
      </c>
      <c r="C290" s="46">
        <v>1912</v>
      </c>
      <c r="D290" s="46" t="s">
        <v>658</v>
      </c>
      <c r="E290" s="46" t="s">
        <v>1250</v>
      </c>
      <c r="F290" s="47" t="s">
        <v>1010</v>
      </c>
      <c r="G290" s="46"/>
      <c r="H290" s="47" t="s">
        <v>1011</v>
      </c>
      <c r="I290" s="47"/>
      <c r="J290" s="48">
        <v>4473</v>
      </c>
      <c r="K290" s="46" t="s">
        <v>1243</v>
      </c>
      <c r="L290" s="46" t="s">
        <v>1014</v>
      </c>
      <c r="M290" s="46" t="s">
        <v>1239</v>
      </c>
      <c r="N290" s="49">
        <v>0</v>
      </c>
      <c r="O290" s="49">
        <v>0</v>
      </c>
      <c r="P290" s="47" t="s">
        <v>1234</v>
      </c>
      <c r="Q290" s="47" t="s">
        <v>1017</v>
      </c>
      <c r="R290" s="47" t="s">
        <v>376</v>
      </c>
      <c r="S290" s="46"/>
      <c r="T290" s="46"/>
      <c r="U290" s="46"/>
      <c r="V290" s="46"/>
      <c r="W290" s="46"/>
      <c r="X290" s="46"/>
      <c r="Y290" s="46"/>
      <c r="Z290" s="46"/>
      <c r="AA290" s="46"/>
      <c r="AB290" s="46"/>
      <c r="AC290" s="46"/>
      <c r="AD290" s="46"/>
      <c r="AE290" s="50">
        <f>IF(L290="W",1,0)</f>
        <v>0</v>
      </c>
      <c r="AF290" s="50">
        <f>IF(L290="T",1,0)</f>
        <v>1</v>
      </c>
      <c r="AG290" s="50">
        <f>IF(L290="L",1,0)</f>
        <v>0</v>
      </c>
      <c r="AH290" s="46" t="s">
        <v>1244</v>
      </c>
      <c r="AI290" s="46" t="s">
        <v>1245</v>
      </c>
      <c r="AJ290" s="46" t="s">
        <v>376</v>
      </c>
      <c r="AK290" s="46" t="s">
        <v>658</v>
      </c>
      <c r="AL290" s="46" t="s">
        <v>1239</v>
      </c>
      <c r="AM290" s="46" t="s">
        <v>1242</v>
      </c>
      <c r="AN290" s="46" t="s">
        <v>376</v>
      </c>
      <c r="AO290" s="46" t="s">
        <v>658</v>
      </c>
      <c r="AP290" s="46"/>
      <c r="AQ290" s="46">
        <v>2</v>
      </c>
      <c r="AR290" s="46"/>
      <c r="AS290" s="46"/>
      <c r="AT290" s="46"/>
      <c r="AU290" s="46" t="s">
        <v>376</v>
      </c>
      <c r="AV290" s="46"/>
      <c r="AW290" s="46" t="s">
        <v>30</v>
      </c>
      <c r="AX290" s="46"/>
      <c r="AY290" s="46" t="s">
        <v>30</v>
      </c>
      <c r="AZ290" s="46"/>
      <c r="BA290" s="47"/>
      <c r="BB290" s="51"/>
      <c r="BC290" s="46"/>
      <c r="BD290" s="46"/>
      <c r="BE290" s="46"/>
      <c r="BF290" s="46">
        <v>1</v>
      </c>
      <c r="BG290" s="46"/>
      <c r="BH290" s="46">
        <v>2</v>
      </c>
      <c r="BI290" s="46" t="s">
        <v>1243</v>
      </c>
      <c r="BJ290" s="46" t="s">
        <v>1239</v>
      </c>
      <c r="BK290" s="46">
        <v>1912</v>
      </c>
      <c r="BL290" s="46" t="str">
        <f>BK290&amp;BI290</f>
        <v>1912Swindon Town</v>
      </c>
      <c r="BM290" s="52" t="str">
        <f>IF(AD290="Home",BI290,IF(AD290="Away",BJ290,Q290))</f>
        <v>London</v>
      </c>
      <c r="BN290" s="46"/>
      <c r="BO290" s="46"/>
      <c r="BP290" s="46"/>
      <c r="BQ290" s="46"/>
      <c r="BR290" s="46"/>
      <c r="BS290" s="46"/>
      <c r="BT290" s="46"/>
      <c r="BU290" s="46"/>
      <c r="BV290" s="46" t="s">
        <v>376</v>
      </c>
      <c r="BW290" s="46" t="s">
        <v>376</v>
      </c>
      <c r="BX290" s="46"/>
      <c r="BZ290" s="53"/>
      <c r="CA290" s="53"/>
      <c r="CB290" s="93" t="str">
        <f>IF(OR(C290="",A290="",B290=""),"",TEXT(C290,"0000")&amp;TEXT(A290,"00")&amp;TEXT(B290,"00"))</f>
        <v>19120330</v>
      </c>
    </row>
    <row r="291" spans="1:80" s="52" customFormat="1" ht="12.95" customHeight="1" x14ac:dyDescent="0.2">
      <c r="A291" s="46">
        <v>3</v>
      </c>
      <c r="B291" s="46">
        <v>30</v>
      </c>
      <c r="C291" s="46">
        <v>1912</v>
      </c>
      <c r="D291" s="46" t="s">
        <v>658</v>
      </c>
      <c r="E291" s="46" t="s">
        <v>1250</v>
      </c>
      <c r="F291" s="47" t="s">
        <v>1010</v>
      </c>
      <c r="G291" s="46"/>
      <c r="H291" s="47" t="s">
        <v>1011</v>
      </c>
      <c r="I291" s="47"/>
      <c r="J291" s="48">
        <v>4473</v>
      </c>
      <c r="K291" s="46" t="s">
        <v>1239</v>
      </c>
      <c r="L291" s="46" t="s">
        <v>1014</v>
      </c>
      <c r="M291" s="46" t="s">
        <v>1243</v>
      </c>
      <c r="N291" s="49">
        <v>0</v>
      </c>
      <c r="O291" s="49">
        <v>0</v>
      </c>
      <c r="P291" s="47" t="s">
        <v>1234</v>
      </c>
      <c r="Q291" s="47" t="s">
        <v>1017</v>
      </c>
      <c r="R291" s="47" t="s">
        <v>376</v>
      </c>
      <c r="S291" s="46"/>
      <c r="T291" s="46"/>
      <c r="U291" s="46"/>
      <c r="V291" s="46"/>
      <c r="W291" s="46"/>
      <c r="X291" s="46"/>
      <c r="Y291" s="46"/>
      <c r="Z291" s="46"/>
      <c r="AA291" s="46"/>
      <c r="AB291" s="46"/>
      <c r="AC291" s="46"/>
      <c r="AD291" s="46"/>
      <c r="AE291" s="50">
        <f>IF(L291="W",1,0)</f>
        <v>0</v>
      </c>
      <c r="AF291" s="50">
        <f>IF(L291="T",1,0)</f>
        <v>1</v>
      </c>
      <c r="AG291" s="50">
        <f>IF(L291="L",1,0)</f>
        <v>0</v>
      </c>
      <c r="AH291" s="46" t="s">
        <v>1239</v>
      </c>
      <c r="AI291" s="46" t="s">
        <v>1242</v>
      </c>
      <c r="AJ291" s="46" t="s">
        <v>376</v>
      </c>
      <c r="AK291" s="46" t="s">
        <v>658</v>
      </c>
      <c r="AL291" s="46" t="s">
        <v>1244</v>
      </c>
      <c r="AM291" s="46" t="s">
        <v>1245</v>
      </c>
      <c r="AN291" s="46" t="s">
        <v>376</v>
      </c>
      <c r="AO291" s="46" t="s">
        <v>658</v>
      </c>
      <c r="AP291" s="46"/>
      <c r="AQ291" s="46">
        <v>2</v>
      </c>
      <c r="AR291" s="46"/>
      <c r="AS291" s="46"/>
      <c r="AT291" s="46"/>
      <c r="AU291" s="46" t="s">
        <v>376</v>
      </c>
      <c r="AV291" s="46"/>
      <c r="AW291" s="46" t="s">
        <v>30</v>
      </c>
      <c r="AX291" s="46"/>
      <c r="AY291" s="46" t="s">
        <v>30</v>
      </c>
      <c r="AZ291" s="46"/>
      <c r="BA291" s="47"/>
      <c r="BB291" s="51"/>
      <c r="BC291" s="46"/>
      <c r="BD291" s="46"/>
      <c r="BE291" s="46"/>
      <c r="BF291" s="46">
        <v>1</v>
      </c>
      <c r="BG291" s="46">
        <v>2</v>
      </c>
      <c r="BH291" s="46"/>
      <c r="BI291" s="46" t="s">
        <v>1239</v>
      </c>
      <c r="BJ291" s="46" t="s">
        <v>1243</v>
      </c>
      <c r="BK291" s="46">
        <v>1912</v>
      </c>
      <c r="BL291" s="46" t="str">
        <f>BK291&amp;BI291</f>
        <v>1912Barnsley</v>
      </c>
      <c r="BM291" s="52" t="str">
        <f>IF(AD291="Home",BI291,IF(AD291="Away",BJ291,Q291))</f>
        <v>London</v>
      </c>
      <c r="BN291" s="46"/>
      <c r="BO291" s="46"/>
      <c r="BP291" s="46"/>
      <c r="BQ291" s="46"/>
      <c r="BR291" s="46"/>
      <c r="BS291" s="46"/>
      <c r="BT291" s="46"/>
      <c r="BU291" s="46"/>
      <c r="BV291" s="46" t="s">
        <v>376</v>
      </c>
      <c r="BW291" s="46" t="s">
        <v>376</v>
      </c>
      <c r="BX291" s="46"/>
      <c r="BZ291" s="53"/>
      <c r="CA291" s="53"/>
      <c r="CB291" s="93" t="str">
        <f>IF(OR(C291="",A291="",B291=""),"",TEXT(C291,"0000")&amp;TEXT(A291,"00")&amp;TEXT(B291,"00"))</f>
        <v>19120330</v>
      </c>
    </row>
    <row r="292" spans="1:80" s="52" customFormat="1" ht="12.95" customHeight="1" x14ac:dyDescent="0.2">
      <c r="A292" s="46">
        <v>4</v>
      </c>
      <c r="B292" s="46">
        <v>3</v>
      </c>
      <c r="C292" s="46">
        <v>1912</v>
      </c>
      <c r="D292" s="46" t="s">
        <v>658</v>
      </c>
      <c r="E292" s="46" t="s">
        <v>1250</v>
      </c>
      <c r="F292" s="47" t="s">
        <v>1010</v>
      </c>
      <c r="G292" s="46"/>
      <c r="H292" s="47" t="s">
        <v>1011</v>
      </c>
      <c r="I292" s="47" t="s">
        <v>1023</v>
      </c>
      <c r="J292" s="48">
        <v>4477</v>
      </c>
      <c r="K292" s="46" t="s">
        <v>1124</v>
      </c>
      <c r="L292" s="46" t="s">
        <v>3</v>
      </c>
      <c r="M292" s="46" t="s">
        <v>1094</v>
      </c>
      <c r="N292" s="49">
        <v>1</v>
      </c>
      <c r="O292" s="49">
        <v>0</v>
      </c>
      <c r="P292" s="46" t="s">
        <v>1252</v>
      </c>
      <c r="Q292" s="46" t="s">
        <v>1097</v>
      </c>
      <c r="R292" s="47" t="s">
        <v>376</v>
      </c>
      <c r="S292" s="46"/>
      <c r="T292" s="46"/>
      <c r="U292" s="46"/>
      <c r="V292" s="46"/>
      <c r="W292" s="46"/>
      <c r="X292" s="46"/>
      <c r="Y292" s="46"/>
      <c r="Z292" s="46"/>
      <c r="AA292" s="46"/>
      <c r="AB292" s="46"/>
      <c r="AC292" s="46"/>
      <c r="AD292" s="46"/>
      <c r="AE292" s="50">
        <f>IF(L292="W",1,0)</f>
        <v>1</v>
      </c>
      <c r="AF292" s="50">
        <f>IF(L292="T",1,0)</f>
        <v>0</v>
      </c>
      <c r="AG292" s="50">
        <f>IF(L292="L",1,0)</f>
        <v>0</v>
      </c>
      <c r="AH292" s="46" t="s">
        <v>1111</v>
      </c>
      <c r="AI292" s="46" t="s">
        <v>1126</v>
      </c>
      <c r="AJ292" s="46" t="s">
        <v>376</v>
      </c>
      <c r="AK292" s="46" t="s">
        <v>658</v>
      </c>
      <c r="AL292" s="46" t="s">
        <v>1085</v>
      </c>
      <c r="AM292" s="46" t="s">
        <v>1086</v>
      </c>
      <c r="AN292" s="46" t="s">
        <v>376</v>
      </c>
      <c r="AO292" s="46" t="s">
        <v>658</v>
      </c>
      <c r="AP292" s="46"/>
      <c r="AQ292" s="46">
        <v>2</v>
      </c>
      <c r="AR292" s="46"/>
      <c r="AS292" s="46"/>
      <c r="AT292" s="46"/>
      <c r="AU292" s="46" t="s">
        <v>376</v>
      </c>
      <c r="AV292" s="46"/>
      <c r="AW292" s="46" t="s">
        <v>30</v>
      </c>
      <c r="AX292" s="46"/>
      <c r="AY292" s="46" t="s">
        <v>30</v>
      </c>
      <c r="AZ292" s="46"/>
      <c r="BA292" s="47"/>
      <c r="BB292" s="51"/>
      <c r="BC292" s="46"/>
      <c r="BD292" s="46"/>
      <c r="BE292" s="46"/>
      <c r="BF292" s="46">
        <v>1</v>
      </c>
      <c r="BG292" s="46">
        <v>1</v>
      </c>
      <c r="BH292" s="46">
        <v>1</v>
      </c>
      <c r="BI292" s="46" t="s">
        <v>1124</v>
      </c>
      <c r="BJ292" s="46" t="s">
        <v>1094</v>
      </c>
      <c r="BK292" s="46">
        <v>1912</v>
      </c>
      <c r="BL292" s="46" t="str">
        <f>BK292&amp;BI292</f>
        <v>1912West Bromwich Albion</v>
      </c>
      <c r="BM292" s="52" t="str">
        <f>IF(AD292="Home",BI292,IF(AD292="Away",BJ292,Q292))</f>
        <v>Sheffield</v>
      </c>
      <c r="BN292" s="46"/>
      <c r="BO292" s="46"/>
      <c r="BP292" s="46"/>
      <c r="BQ292" s="46"/>
      <c r="BR292" s="46"/>
      <c r="BS292" s="46"/>
      <c r="BT292" s="46"/>
      <c r="BU292" s="46"/>
      <c r="BV292" s="46" t="s">
        <v>376</v>
      </c>
      <c r="BW292" s="46" t="s">
        <v>376</v>
      </c>
      <c r="BX292" s="46"/>
      <c r="BY292" s="50"/>
      <c r="BZ292" s="53"/>
      <c r="CA292" s="53"/>
      <c r="CB292" s="93" t="str">
        <f>IF(OR(C292="",A292="",B292=""),"",TEXT(C292,"0000")&amp;TEXT(A292,"00")&amp;TEXT(B292,"00"))</f>
        <v>19120403</v>
      </c>
    </row>
    <row r="293" spans="1:80" s="52" customFormat="1" ht="12.95" customHeight="1" x14ac:dyDescent="0.2">
      <c r="A293" s="46">
        <v>4</v>
      </c>
      <c r="B293" s="46">
        <v>3</v>
      </c>
      <c r="C293" s="46">
        <v>1912</v>
      </c>
      <c r="D293" s="46" t="s">
        <v>658</v>
      </c>
      <c r="E293" s="46" t="s">
        <v>1250</v>
      </c>
      <c r="F293" s="47" t="s">
        <v>1010</v>
      </c>
      <c r="G293" s="46"/>
      <c r="H293" s="47" t="s">
        <v>1011</v>
      </c>
      <c r="I293" s="47" t="s">
        <v>1023</v>
      </c>
      <c r="J293" s="48">
        <v>4477</v>
      </c>
      <c r="K293" s="46" t="s">
        <v>1094</v>
      </c>
      <c r="L293" s="46" t="s">
        <v>4</v>
      </c>
      <c r="M293" s="46" t="s">
        <v>1124</v>
      </c>
      <c r="N293" s="49">
        <v>0</v>
      </c>
      <c r="O293" s="49">
        <v>1</v>
      </c>
      <c r="P293" s="46" t="s">
        <v>1252</v>
      </c>
      <c r="Q293" s="46" t="s">
        <v>1097</v>
      </c>
      <c r="R293" s="47" t="s">
        <v>376</v>
      </c>
      <c r="S293" s="46"/>
      <c r="T293" s="46"/>
      <c r="U293" s="46"/>
      <c r="V293" s="46"/>
      <c r="W293" s="46"/>
      <c r="X293" s="46"/>
      <c r="Y293" s="46"/>
      <c r="Z293" s="46"/>
      <c r="AA293" s="46"/>
      <c r="AB293" s="46"/>
      <c r="AC293" s="46"/>
      <c r="AD293" s="46"/>
      <c r="AE293" s="50">
        <f>IF(L293="W",1,0)</f>
        <v>0</v>
      </c>
      <c r="AF293" s="50">
        <f>IF(L293="T",1,0)</f>
        <v>0</v>
      </c>
      <c r="AG293" s="50">
        <f>IF(L293="L",1,0)</f>
        <v>1</v>
      </c>
      <c r="AH293" s="46" t="s">
        <v>1085</v>
      </c>
      <c r="AI293" s="46" t="s">
        <v>1086</v>
      </c>
      <c r="AJ293" s="46" t="s">
        <v>376</v>
      </c>
      <c r="AK293" s="46" t="s">
        <v>658</v>
      </c>
      <c r="AL293" s="46" t="s">
        <v>1111</v>
      </c>
      <c r="AM293" s="46" t="s">
        <v>1126</v>
      </c>
      <c r="AN293" s="46" t="s">
        <v>376</v>
      </c>
      <c r="AO293" s="46" t="s">
        <v>658</v>
      </c>
      <c r="AP293" s="46"/>
      <c r="AQ293" s="46">
        <v>2</v>
      </c>
      <c r="AR293" s="46"/>
      <c r="AS293" s="46"/>
      <c r="AT293" s="46"/>
      <c r="AU293" s="46" t="s">
        <v>376</v>
      </c>
      <c r="AV293" s="46"/>
      <c r="AW293" s="46" t="s">
        <v>30</v>
      </c>
      <c r="AX293" s="46"/>
      <c r="AY293" s="46" t="s">
        <v>30</v>
      </c>
      <c r="AZ293" s="46"/>
      <c r="BA293" s="47"/>
      <c r="BB293" s="51"/>
      <c r="BC293" s="46"/>
      <c r="BD293" s="46"/>
      <c r="BE293" s="46"/>
      <c r="BF293" s="46">
        <v>1</v>
      </c>
      <c r="BG293" s="46">
        <v>1</v>
      </c>
      <c r="BH293" s="46">
        <v>1</v>
      </c>
      <c r="BI293" s="46" t="s">
        <v>1094</v>
      </c>
      <c r="BJ293" s="46" t="s">
        <v>1124</v>
      </c>
      <c r="BK293" s="46">
        <v>1912</v>
      </c>
      <c r="BL293" s="46" t="str">
        <f>BK293&amp;BI293</f>
        <v>1912Blackburn Rovers</v>
      </c>
      <c r="BM293" s="52" t="str">
        <f>IF(AD293="Home",BI293,IF(AD293="Away",BJ293,Q293))</f>
        <v>Sheffield</v>
      </c>
      <c r="BN293" s="46"/>
      <c r="BO293" s="46"/>
      <c r="BP293" s="46"/>
      <c r="BQ293" s="46"/>
      <c r="BR293" s="46"/>
      <c r="BS293" s="46"/>
      <c r="BT293" s="46"/>
      <c r="BU293" s="46"/>
      <c r="BV293" s="46" t="s">
        <v>376</v>
      </c>
      <c r="BW293" s="46" t="s">
        <v>376</v>
      </c>
      <c r="BX293" s="46"/>
      <c r="BY293" s="50"/>
      <c r="BZ293" s="53"/>
      <c r="CA293" s="53"/>
      <c r="CB293" s="93" t="str">
        <f>IF(OR(C293="",A293="",B293=""),"",TEXT(C293,"0000")&amp;TEXT(A293,"00")&amp;TEXT(B293,"00"))</f>
        <v>19120403</v>
      </c>
    </row>
    <row r="294" spans="1:80" s="52" customFormat="1" ht="12.95" customHeight="1" x14ac:dyDescent="0.2">
      <c r="A294" s="46">
        <v>4</v>
      </c>
      <c r="B294" s="46">
        <v>3</v>
      </c>
      <c r="C294" s="46">
        <v>1912</v>
      </c>
      <c r="D294" s="46" t="s">
        <v>658</v>
      </c>
      <c r="E294" s="46" t="s">
        <v>1250</v>
      </c>
      <c r="F294" s="47" t="s">
        <v>1010</v>
      </c>
      <c r="G294" s="46"/>
      <c r="H294" s="47" t="s">
        <v>1011</v>
      </c>
      <c r="I294" s="47" t="s">
        <v>1023</v>
      </c>
      <c r="J294" s="48">
        <v>4477</v>
      </c>
      <c r="K294" s="46" t="s">
        <v>1239</v>
      </c>
      <c r="L294" s="46" t="s">
        <v>3</v>
      </c>
      <c r="M294" s="46" t="s">
        <v>1243</v>
      </c>
      <c r="N294" s="49">
        <v>1</v>
      </c>
      <c r="O294" s="49">
        <v>0</v>
      </c>
      <c r="P294" s="47" t="s">
        <v>1251</v>
      </c>
      <c r="Q294" s="47" t="s">
        <v>1073</v>
      </c>
      <c r="R294" s="47" t="s">
        <v>376</v>
      </c>
      <c r="S294" s="46"/>
      <c r="T294" s="46"/>
      <c r="U294" s="46"/>
      <c r="V294" s="46"/>
      <c r="W294" s="46"/>
      <c r="X294" s="46"/>
      <c r="Y294" s="46"/>
      <c r="Z294" s="46"/>
      <c r="AA294" s="46"/>
      <c r="AB294" s="46"/>
      <c r="AC294" s="46"/>
      <c r="AD294" s="46"/>
      <c r="AE294" s="50">
        <f>IF(L294="W",1,0)</f>
        <v>1</v>
      </c>
      <c r="AF294" s="50">
        <f>IF(L294="T",1,0)</f>
        <v>0</v>
      </c>
      <c r="AG294" s="50">
        <f>IF(L294="L",1,0)</f>
        <v>0</v>
      </c>
      <c r="AH294" s="46" t="s">
        <v>1239</v>
      </c>
      <c r="AI294" s="46" t="s">
        <v>1242</v>
      </c>
      <c r="AJ294" s="46" t="s">
        <v>376</v>
      </c>
      <c r="AK294" s="46" t="s">
        <v>658</v>
      </c>
      <c r="AL294" s="46" t="s">
        <v>1244</v>
      </c>
      <c r="AM294" s="46" t="s">
        <v>1245</v>
      </c>
      <c r="AN294" s="46" t="s">
        <v>376</v>
      </c>
      <c r="AO294" s="46" t="s">
        <v>658</v>
      </c>
      <c r="AP294" s="46"/>
      <c r="AQ294" s="46">
        <v>2</v>
      </c>
      <c r="AR294" s="46"/>
      <c r="AS294" s="46"/>
      <c r="AT294" s="46"/>
      <c r="AU294" s="46" t="s">
        <v>376</v>
      </c>
      <c r="AV294" s="46"/>
      <c r="AW294" s="46" t="s">
        <v>30</v>
      </c>
      <c r="AX294" s="46"/>
      <c r="AY294" s="46" t="s">
        <v>30</v>
      </c>
      <c r="AZ294" s="46"/>
      <c r="BA294" s="47"/>
      <c r="BB294" s="51"/>
      <c r="BC294" s="46"/>
      <c r="BD294" s="46"/>
      <c r="BE294" s="46"/>
      <c r="BF294" s="46">
        <v>1</v>
      </c>
      <c r="BG294" s="46">
        <v>2</v>
      </c>
      <c r="BH294" s="46"/>
      <c r="BI294" s="46" t="s">
        <v>1239</v>
      </c>
      <c r="BJ294" s="46" t="s">
        <v>1243</v>
      </c>
      <c r="BK294" s="46">
        <v>1912</v>
      </c>
      <c r="BL294" s="46" t="str">
        <f>BK294&amp;BI294</f>
        <v>1912Barnsley</v>
      </c>
      <c r="BM294" s="52" t="str">
        <f>IF(AD294="Home",BI294,IF(AD294="Away",BJ294,Q294))</f>
        <v>Nottingham</v>
      </c>
      <c r="BN294" s="46"/>
      <c r="BO294" s="46"/>
      <c r="BP294" s="46"/>
      <c r="BQ294" s="46"/>
      <c r="BR294" s="46"/>
      <c r="BS294" s="46"/>
      <c r="BT294" s="46"/>
      <c r="BU294" s="46"/>
      <c r="BV294" s="46" t="s">
        <v>376</v>
      </c>
      <c r="BW294" s="46" t="s">
        <v>376</v>
      </c>
      <c r="BX294" s="46"/>
      <c r="BY294" s="35"/>
      <c r="BZ294" s="53"/>
      <c r="CA294" s="53"/>
      <c r="CB294" s="93" t="str">
        <f>IF(OR(C294="",A294="",B294=""),"",TEXT(C294,"0000")&amp;TEXT(A294,"00")&amp;TEXT(B294,"00"))</f>
        <v>19120403</v>
      </c>
    </row>
    <row r="295" spans="1:80" s="52" customFormat="1" ht="12.95" customHeight="1" x14ac:dyDescent="0.2">
      <c r="A295" s="46">
        <v>4</v>
      </c>
      <c r="B295" s="46">
        <v>3</v>
      </c>
      <c r="C295" s="46">
        <v>1912</v>
      </c>
      <c r="D295" s="46" t="s">
        <v>658</v>
      </c>
      <c r="E295" s="46" t="s">
        <v>1250</v>
      </c>
      <c r="F295" s="47" t="s">
        <v>1010</v>
      </c>
      <c r="G295" s="46"/>
      <c r="H295" s="47" t="s">
        <v>1011</v>
      </c>
      <c r="I295" s="47" t="s">
        <v>1023</v>
      </c>
      <c r="J295" s="48">
        <v>4477</v>
      </c>
      <c r="K295" s="46" t="s">
        <v>1243</v>
      </c>
      <c r="L295" s="46" t="s">
        <v>4</v>
      </c>
      <c r="M295" s="46" t="s">
        <v>1239</v>
      </c>
      <c r="N295" s="49">
        <v>0</v>
      </c>
      <c r="O295" s="49">
        <v>1</v>
      </c>
      <c r="P295" s="47" t="s">
        <v>1251</v>
      </c>
      <c r="Q295" s="47" t="s">
        <v>1073</v>
      </c>
      <c r="R295" s="47" t="s">
        <v>376</v>
      </c>
      <c r="S295" s="46"/>
      <c r="T295" s="46"/>
      <c r="U295" s="46"/>
      <c r="V295" s="46"/>
      <c r="W295" s="46"/>
      <c r="X295" s="46"/>
      <c r="Y295" s="46"/>
      <c r="Z295" s="46"/>
      <c r="AA295" s="46"/>
      <c r="AB295" s="46"/>
      <c r="AC295" s="46"/>
      <c r="AD295" s="46"/>
      <c r="AE295" s="50">
        <f>IF(L295="W",1,0)</f>
        <v>0</v>
      </c>
      <c r="AF295" s="50">
        <f>IF(L295="T",1,0)</f>
        <v>0</v>
      </c>
      <c r="AG295" s="50">
        <f>IF(L295="L",1,0)</f>
        <v>1</v>
      </c>
      <c r="AH295" s="46" t="s">
        <v>1244</v>
      </c>
      <c r="AI295" s="46" t="s">
        <v>1245</v>
      </c>
      <c r="AJ295" s="46" t="s">
        <v>376</v>
      </c>
      <c r="AK295" s="46" t="s">
        <v>658</v>
      </c>
      <c r="AL295" s="46" t="s">
        <v>1239</v>
      </c>
      <c r="AM295" s="46" t="s">
        <v>1242</v>
      </c>
      <c r="AN295" s="46" t="s">
        <v>376</v>
      </c>
      <c r="AO295" s="46" t="s">
        <v>658</v>
      </c>
      <c r="AP295" s="46"/>
      <c r="AQ295" s="46">
        <v>2</v>
      </c>
      <c r="AR295" s="46"/>
      <c r="AS295" s="46"/>
      <c r="AT295" s="46"/>
      <c r="AU295" s="46" t="s">
        <v>376</v>
      </c>
      <c r="AV295" s="46"/>
      <c r="AW295" s="46" t="s">
        <v>30</v>
      </c>
      <c r="AX295" s="46"/>
      <c r="AY295" s="46" t="s">
        <v>30</v>
      </c>
      <c r="AZ295" s="46"/>
      <c r="BA295" s="47"/>
      <c r="BB295" s="51"/>
      <c r="BC295" s="46"/>
      <c r="BD295" s="46"/>
      <c r="BE295" s="46"/>
      <c r="BF295" s="46">
        <v>1</v>
      </c>
      <c r="BG295" s="46"/>
      <c r="BH295" s="46">
        <v>2</v>
      </c>
      <c r="BI295" s="46" t="s">
        <v>1243</v>
      </c>
      <c r="BJ295" s="46" t="s">
        <v>1239</v>
      </c>
      <c r="BK295" s="46">
        <v>1912</v>
      </c>
      <c r="BL295" s="46" t="str">
        <f>BK295&amp;BI295</f>
        <v>1912Swindon Town</v>
      </c>
      <c r="BM295" s="52" t="str">
        <f>IF(AD295="Home",BI295,IF(AD295="Away",BJ295,Q295))</f>
        <v>Nottingham</v>
      </c>
      <c r="BN295" s="46"/>
      <c r="BO295" s="46"/>
      <c r="BP295" s="46"/>
      <c r="BQ295" s="46"/>
      <c r="BR295" s="46"/>
      <c r="BS295" s="46"/>
      <c r="BT295" s="46"/>
      <c r="BU295" s="46"/>
      <c r="BV295" s="46" t="s">
        <v>376</v>
      </c>
      <c r="BW295" s="46" t="s">
        <v>376</v>
      </c>
      <c r="BX295" s="46"/>
      <c r="BY295" s="35"/>
      <c r="BZ295" s="53"/>
      <c r="CA295" s="53"/>
      <c r="CB295" s="93" t="str">
        <f>IF(OR(C295="",A295="",B295=""),"",TEXT(C295,"0000")&amp;TEXT(A295,"00")&amp;TEXT(B295,"00"))</f>
        <v>19120403</v>
      </c>
    </row>
    <row r="296" spans="1:80" s="52" customFormat="1" ht="12.95" customHeight="1" x14ac:dyDescent="0.2">
      <c r="A296" s="46">
        <v>4</v>
      </c>
      <c r="B296" s="46">
        <v>20</v>
      </c>
      <c r="C296" s="46">
        <v>1912</v>
      </c>
      <c r="D296" s="46" t="s">
        <v>658</v>
      </c>
      <c r="E296" s="46" t="s">
        <v>1250</v>
      </c>
      <c r="F296" s="47" t="s">
        <v>1010</v>
      </c>
      <c r="G296" s="46"/>
      <c r="H296" s="47" t="s">
        <v>1025</v>
      </c>
      <c r="I296" s="47"/>
      <c r="J296" s="48">
        <v>4494</v>
      </c>
      <c r="K296" s="46" t="s">
        <v>1124</v>
      </c>
      <c r="L296" s="46" t="s">
        <v>1014</v>
      </c>
      <c r="M296" s="46" t="s">
        <v>1239</v>
      </c>
      <c r="N296" s="49">
        <v>0</v>
      </c>
      <c r="O296" s="49">
        <v>0</v>
      </c>
      <c r="P296" s="47" t="s">
        <v>1188</v>
      </c>
      <c r="Q296" s="47" t="s">
        <v>1017</v>
      </c>
      <c r="R296" s="47" t="s">
        <v>376</v>
      </c>
      <c r="S296" s="46"/>
      <c r="T296" s="46"/>
      <c r="U296" s="46"/>
      <c r="V296" s="46"/>
      <c r="W296" s="46"/>
      <c r="X296" s="46"/>
      <c r="Y296" s="46"/>
      <c r="Z296" s="46"/>
      <c r="AA296" s="46"/>
      <c r="AB296" s="46"/>
      <c r="AC296" s="46"/>
      <c r="AD296" s="46"/>
      <c r="AE296" s="50">
        <f>IF(L296="W",1,0)</f>
        <v>0</v>
      </c>
      <c r="AF296" s="50">
        <f>IF(L296="T",1,0)</f>
        <v>1</v>
      </c>
      <c r="AG296" s="50">
        <f>IF(L296="L",1,0)</f>
        <v>0</v>
      </c>
      <c r="AH296" s="46" t="s">
        <v>1111</v>
      </c>
      <c r="AI296" s="46" t="s">
        <v>1126</v>
      </c>
      <c r="AJ296" s="46" t="s">
        <v>376</v>
      </c>
      <c r="AK296" s="46" t="s">
        <v>658</v>
      </c>
      <c r="AL296" s="46" t="s">
        <v>1239</v>
      </c>
      <c r="AM296" s="46" t="s">
        <v>1242</v>
      </c>
      <c r="AN296" s="46" t="s">
        <v>376</v>
      </c>
      <c r="AO296" s="46" t="s">
        <v>658</v>
      </c>
      <c r="AP296" s="46"/>
      <c r="AQ296" s="46">
        <v>1</v>
      </c>
      <c r="AR296" s="46"/>
      <c r="AS296" s="46"/>
      <c r="AT296" s="46"/>
      <c r="AU296" s="46" t="s">
        <v>376</v>
      </c>
      <c r="AV296" s="46"/>
      <c r="AW296" s="46" t="s">
        <v>30</v>
      </c>
      <c r="AX296" s="46"/>
      <c r="AY296" s="46" t="s">
        <v>30</v>
      </c>
      <c r="AZ296" s="46"/>
      <c r="BA296" s="47"/>
      <c r="BB296" s="51"/>
      <c r="BC296" s="46" t="s">
        <v>30</v>
      </c>
      <c r="BD296" s="46"/>
      <c r="BE296" s="46"/>
      <c r="BF296" s="46">
        <v>1</v>
      </c>
      <c r="BG296" s="46">
        <v>1</v>
      </c>
      <c r="BH296" s="46">
        <v>2</v>
      </c>
      <c r="BI296" s="46" t="s">
        <v>1124</v>
      </c>
      <c r="BJ296" s="46" t="s">
        <v>1239</v>
      </c>
      <c r="BK296" s="46">
        <v>1912</v>
      </c>
      <c r="BL296" s="46" t="str">
        <f>BK296&amp;BI296</f>
        <v>1912West Bromwich Albion</v>
      </c>
      <c r="BM296" s="52" t="str">
        <f>IF(AD296="Home",BI296,IF(AD296="Away",BJ296,Q296))</f>
        <v>London</v>
      </c>
      <c r="BN296" s="46"/>
      <c r="BO296" s="46"/>
      <c r="BP296" s="46"/>
      <c r="BQ296" s="46"/>
      <c r="BR296" s="46"/>
      <c r="BS296" s="46"/>
      <c r="BT296" s="46"/>
      <c r="BU296" s="46"/>
      <c r="BV296" s="46" t="s">
        <v>376</v>
      </c>
      <c r="BW296" s="46" t="s">
        <v>376</v>
      </c>
      <c r="BX296" s="46"/>
      <c r="BZ296" s="53"/>
      <c r="CA296" s="53"/>
      <c r="CB296" s="93" t="str">
        <f>IF(OR(C296="",A296="",B296=""),"",TEXT(C296,"0000")&amp;TEXT(A296,"00")&amp;TEXT(B296,"00"))</f>
        <v>19120420</v>
      </c>
    </row>
    <row r="297" spans="1:80" s="52" customFormat="1" ht="12.95" customHeight="1" x14ac:dyDescent="0.2">
      <c r="A297" s="46">
        <v>4</v>
      </c>
      <c r="B297" s="46">
        <v>20</v>
      </c>
      <c r="C297" s="46">
        <v>1912</v>
      </c>
      <c r="D297" s="46" t="s">
        <v>658</v>
      </c>
      <c r="E297" s="46" t="s">
        <v>1250</v>
      </c>
      <c r="F297" s="47" t="s">
        <v>1010</v>
      </c>
      <c r="G297" s="46"/>
      <c r="H297" s="47" t="s">
        <v>1025</v>
      </c>
      <c r="I297" s="47"/>
      <c r="J297" s="48">
        <v>4494</v>
      </c>
      <c r="K297" s="46" t="s">
        <v>1239</v>
      </c>
      <c r="L297" s="46" t="s">
        <v>1014</v>
      </c>
      <c r="M297" s="46" t="s">
        <v>1124</v>
      </c>
      <c r="N297" s="49">
        <v>0</v>
      </c>
      <c r="O297" s="49">
        <v>0</v>
      </c>
      <c r="P297" s="47" t="s">
        <v>1188</v>
      </c>
      <c r="Q297" s="47" t="s">
        <v>1017</v>
      </c>
      <c r="R297" s="47" t="s">
        <v>376</v>
      </c>
      <c r="S297" s="46"/>
      <c r="T297" s="46"/>
      <c r="U297" s="46"/>
      <c r="V297" s="46"/>
      <c r="W297" s="46"/>
      <c r="X297" s="46"/>
      <c r="Y297" s="46"/>
      <c r="Z297" s="46"/>
      <c r="AA297" s="46"/>
      <c r="AB297" s="46"/>
      <c r="AC297" s="46"/>
      <c r="AD297" s="46"/>
      <c r="AE297" s="50">
        <f>IF(L297="W",1,0)</f>
        <v>0</v>
      </c>
      <c r="AF297" s="50">
        <f>IF(L297="T",1,0)</f>
        <v>1</v>
      </c>
      <c r="AG297" s="50">
        <f>IF(L297="L",1,0)</f>
        <v>0</v>
      </c>
      <c r="AH297" s="46" t="s">
        <v>1239</v>
      </c>
      <c r="AI297" s="46" t="s">
        <v>1242</v>
      </c>
      <c r="AJ297" s="46" t="s">
        <v>376</v>
      </c>
      <c r="AK297" s="46" t="s">
        <v>658</v>
      </c>
      <c r="AL297" s="46" t="s">
        <v>1111</v>
      </c>
      <c r="AM297" s="46" t="s">
        <v>1126</v>
      </c>
      <c r="AN297" s="46" t="s">
        <v>376</v>
      </c>
      <c r="AO297" s="46" t="s">
        <v>658</v>
      </c>
      <c r="AP297" s="46"/>
      <c r="AQ297" s="46">
        <v>1</v>
      </c>
      <c r="AR297" s="46"/>
      <c r="AS297" s="46"/>
      <c r="AT297" s="46"/>
      <c r="AU297" s="46" t="s">
        <v>376</v>
      </c>
      <c r="AV297" s="46"/>
      <c r="AW297" s="46" t="s">
        <v>30</v>
      </c>
      <c r="AX297" s="46"/>
      <c r="AY297" s="46" t="s">
        <v>30</v>
      </c>
      <c r="AZ297" s="46"/>
      <c r="BA297" s="47"/>
      <c r="BB297" s="51"/>
      <c r="BC297" s="46" t="s">
        <v>30</v>
      </c>
      <c r="BD297" s="46"/>
      <c r="BE297" s="46"/>
      <c r="BF297" s="46">
        <v>1</v>
      </c>
      <c r="BG297" s="46">
        <v>2</v>
      </c>
      <c r="BH297" s="46">
        <v>1</v>
      </c>
      <c r="BI297" s="46" t="s">
        <v>1239</v>
      </c>
      <c r="BJ297" s="46" t="s">
        <v>1124</v>
      </c>
      <c r="BK297" s="46">
        <v>1912</v>
      </c>
      <c r="BL297" s="46" t="str">
        <f>BK297&amp;BI297</f>
        <v>1912Barnsley</v>
      </c>
      <c r="BM297" s="52" t="str">
        <f>IF(AD297="Home",BI297,IF(AD297="Away",BJ297,Q297))</f>
        <v>London</v>
      </c>
      <c r="BN297" s="46"/>
      <c r="BO297" s="46"/>
      <c r="BP297" s="46"/>
      <c r="BQ297" s="46"/>
      <c r="BR297" s="46"/>
      <c r="BS297" s="46"/>
      <c r="BT297" s="46"/>
      <c r="BU297" s="46"/>
      <c r="BV297" s="46" t="s">
        <v>376</v>
      </c>
      <c r="BW297" s="46" t="s">
        <v>376</v>
      </c>
      <c r="BX297" s="46"/>
      <c r="BZ297" s="53"/>
      <c r="CA297" s="53"/>
      <c r="CB297" s="93" t="str">
        <f>IF(OR(C297="",A297="",B297=""),"",TEXT(C297,"0000")&amp;TEXT(A297,"00")&amp;TEXT(B297,"00"))</f>
        <v>19120420</v>
      </c>
    </row>
    <row r="298" spans="1:80" s="52" customFormat="1" ht="12.95" customHeight="1" x14ac:dyDescent="0.2">
      <c r="A298" s="46">
        <v>4</v>
      </c>
      <c r="B298" s="46">
        <v>24</v>
      </c>
      <c r="C298" s="46">
        <v>1912</v>
      </c>
      <c r="D298" s="46" t="s">
        <v>658</v>
      </c>
      <c r="E298" s="46" t="s">
        <v>1250</v>
      </c>
      <c r="F298" s="47" t="s">
        <v>1010</v>
      </c>
      <c r="G298" s="46"/>
      <c r="H298" s="47" t="s">
        <v>1025</v>
      </c>
      <c r="I298" s="47" t="s">
        <v>1023</v>
      </c>
      <c r="J298" s="48">
        <v>4498</v>
      </c>
      <c r="K298" s="46" t="s">
        <v>1239</v>
      </c>
      <c r="L298" s="46" t="s">
        <v>3</v>
      </c>
      <c r="M298" s="46" t="s">
        <v>1124</v>
      </c>
      <c r="N298" s="49">
        <v>1</v>
      </c>
      <c r="O298" s="49">
        <v>0</v>
      </c>
      <c r="P298" s="47" t="s">
        <v>1163</v>
      </c>
      <c r="Q298" s="47" t="s">
        <v>1097</v>
      </c>
      <c r="R298" s="47" t="s">
        <v>376</v>
      </c>
      <c r="S298" s="46"/>
      <c r="T298" s="46"/>
      <c r="U298" s="46"/>
      <c r="V298" s="46"/>
      <c r="W298" s="46"/>
      <c r="X298" s="46"/>
      <c r="Y298" s="46"/>
      <c r="Z298" s="46"/>
      <c r="AA298" s="46"/>
      <c r="AB298" s="46"/>
      <c r="AC298" s="46"/>
      <c r="AD298" s="46"/>
      <c r="AE298" s="50">
        <f>IF(L298="W",1,0)</f>
        <v>1</v>
      </c>
      <c r="AF298" s="50">
        <f>IF(L298="T",1,0)</f>
        <v>0</v>
      </c>
      <c r="AG298" s="50">
        <f>IF(L298="L",1,0)</f>
        <v>0</v>
      </c>
      <c r="AH298" s="46" t="s">
        <v>1239</v>
      </c>
      <c r="AI298" s="46" t="s">
        <v>1242</v>
      </c>
      <c r="AJ298" s="46" t="s">
        <v>376</v>
      </c>
      <c r="AK298" s="46" t="s">
        <v>658</v>
      </c>
      <c r="AL298" s="46" t="s">
        <v>1111</v>
      </c>
      <c r="AM298" s="46" t="s">
        <v>1126</v>
      </c>
      <c r="AN298" s="46" t="s">
        <v>376</v>
      </c>
      <c r="AO298" s="46" t="s">
        <v>658</v>
      </c>
      <c r="AP298" s="46"/>
      <c r="AQ298" s="46">
        <v>1</v>
      </c>
      <c r="AR298" s="46"/>
      <c r="AS298" s="46"/>
      <c r="AT298" s="46"/>
      <c r="AU298" s="46" t="s">
        <v>376</v>
      </c>
      <c r="AV298" s="46"/>
      <c r="AW298" s="46" t="s">
        <v>30</v>
      </c>
      <c r="AX298" s="46"/>
      <c r="AY298" s="46" t="s">
        <v>30</v>
      </c>
      <c r="AZ298" s="46"/>
      <c r="BA298" s="47"/>
      <c r="BB298" s="51" t="s">
        <v>30</v>
      </c>
      <c r="BC298" s="46" t="s">
        <v>30</v>
      </c>
      <c r="BD298" s="46"/>
      <c r="BE298" s="46"/>
      <c r="BF298" s="46">
        <v>1</v>
      </c>
      <c r="BG298" s="46">
        <v>2</v>
      </c>
      <c r="BH298" s="46">
        <v>1</v>
      </c>
      <c r="BI298" s="46" t="s">
        <v>1239</v>
      </c>
      <c r="BJ298" s="46" t="s">
        <v>1124</v>
      </c>
      <c r="BK298" s="46">
        <v>1912</v>
      </c>
      <c r="BL298" s="46" t="str">
        <f>BK298&amp;BI298</f>
        <v>1912Barnsley</v>
      </c>
      <c r="BM298" s="52" t="str">
        <f>IF(AD298="Home",BI298,IF(AD298="Away",BJ298,Q298))</f>
        <v>Sheffield</v>
      </c>
      <c r="BN298" s="46"/>
      <c r="BO298" s="46"/>
      <c r="BP298" s="46"/>
      <c r="BQ298" s="46"/>
      <c r="BR298" s="46"/>
      <c r="BS298" s="46"/>
      <c r="BT298" s="46"/>
      <c r="BU298" s="46"/>
      <c r="BV298" s="46" t="s">
        <v>376</v>
      </c>
      <c r="BW298" s="46" t="s">
        <v>376</v>
      </c>
      <c r="BX298" s="46"/>
      <c r="BY298" s="50"/>
      <c r="BZ298" s="53"/>
      <c r="CA298" s="53"/>
      <c r="CB298" s="93" t="str">
        <f>IF(OR(C298="",A298="",B298=""),"",TEXT(C298,"0000")&amp;TEXT(A298,"00")&amp;TEXT(B298,"00"))</f>
        <v>19120424</v>
      </c>
    </row>
    <row r="299" spans="1:80" s="52" customFormat="1" ht="12.95" customHeight="1" x14ac:dyDescent="0.2">
      <c r="A299" s="46">
        <v>4</v>
      </c>
      <c r="B299" s="46">
        <v>24</v>
      </c>
      <c r="C299" s="46">
        <v>1912</v>
      </c>
      <c r="D299" s="46" t="s">
        <v>658</v>
      </c>
      <c r="E299" s="46" t="s">
        <v>1250</v>
      </c>
      <c r="F299" s="47" t="s">
        <v>1010</v>
      </c>
      <c r="G299" s="46"/>
      <c r="H299" s="47" t="s">
        <v>1025</v>
      </c>
      <c r="I299" s="47" t="s">
        <v>1023</v>
      </c>
      <c r="J299" s="48">
        <v>4498</v>
      </c>
      <c r="K299" s="46" t="s">
        <v>1124</v>
      </c>
      <c r="L299" s="46" t="s">
        <v>4</v>
      </c>
      <c r="M299" s="46" t="s">
        <v>1239</v>
      </c>
      <c r="N299" s="49">
        <v>0</v>
      </c>
      <c r="O299" s="49">
        <v>1</v>
      </c>
      <c r="P299" s="47" t="s">
        <v>1163</v>
      </c>
      <c r="Q299" s="47" t="s">
        <v>1097</v>
      </c>
      <c r="R299" s="47" t="s">
        <v>376</v>
      </c>
      <c r="S299" s="46"/>
      <c r="T299" s="46"/>
      <c r="U299" s="46"/>
      <c r="V299" s="46"/>
      <c r="W299" s="46"/>
      <c r="X299" s="46"/>
      <c r="Y299" s="46"/>
      <c r="Z299" s="46"/>
      <c r="AA299" s="46"/>
      <c r="AB299" s="46"/>
      <c r="AC299" s="46"/>
      <c r="AD299" s="46"/>
      <c r="AE299" s="50">
        <f>IF(L299="W",1,0)</f>
        <v>0</v>
      </c>
      <c r="AF299" s="50">
        <f>IF(L299="T",1,0)</f>
        <v>0</v>
      </c>
      <c r="AG299" s="50">
        <f>IF(L299="L",1,0)</f>
        <v>1</v>
      </c>
      <c r="AH299" s="46" t="s">
        <v>1111</v>
      </c>
      <c r="AI299" s="46" t="s">
        <v>1126</v>
      </c>
      <c r="AJ299" s="46" t="s">
        <v>376</v>
      </c>
      <c r="AK299" s="46" t="s">
        <v>658</v>
      </c>
      <c r="AL299" s="46" t="s">
        <v>1239</v>
      </c>
      <c r="AM299" s="46" t="s">
        <v>1242</v>
      </c>
      <c r="AN299" s="46" t="s">
        <v>376</v>
      </c>
      <c r="AO299" s="46" t="s">
        <v>658</v>
      </c>
      <c r="AP299" s="46"/>
      <c r="AQ299" s="46">
        <v>1</v>
      </c>
      <c r="AR299" s="46"/>
      <c r="AS299" s="46"/>
      <c r="AT299" s="46"/>
      <c r="AU299" s="46" t="s">
        <v>376</v>
      </c>
      <c r="AV299" s="46"/>
      <c r="AW299" s="46" t="s">
        <v>30</v>
      </c>
      <c r="AX299" s="46"/>
      <c r="AY299" s="46" t="s">
        <v>30</v>
      </c>
      <c r="AZ299" s="46"/>
      <c r="BA299" s="47"/>
      <c r="BB299" s="51"/>
      <c r="BC299" s="46" t="s">
        <v>30</v>
      </c>
      <c r="BD299" s="46"/>
      <c r="BE299" s="46"/>
      <c r="BF299" s="46">
        <v>1</v>
      </c>
      <c r="BG299" s="46">
        <v>1</v>
      </c>
      <c r="BH299" s="46">
        <v>2</v>
      </c>
      <c r="BI299" s="46" t="s">
        <v>1124</v>
      </c>
      <c r="BJ299" s="46" t="s">
        <v>1239</v>
      </c>
      <c r="BK299" s="46">
        <v>1912</v>
      </c>
      <c r="BL299" s="46" t="str">
        <f>BK299&amp;BI299</f>
        <v>1912West Bromwich Albion</v>
      </c>
      <c r="BM299" s="52" t="str">
        <f>IF(AD299="Home",BI299,IF(AD299="Away",BJ299,Q299))</f>
        <v>Sheffield</v>
      </c>
      <c r="BN299" s="46"/>
      <c r="BO299" s="46"/>
      <c r="BP299" s="46"/>
      <c r="BQ299" s="46"/>
      <c r="BR299" s="46"/>
      <c r="BS299" s="46"/>
      <c r="BT299" s="46"/>
      <c r="BU299" s="46"/>
      <c r="BV299" s="46" t="s">
        <v>376</v>
      </c>
      <c r="BW299" s="46" t="s">
        <v>376</v>
      </c>
      <c r="BX299" s="46"/>
      <c r="BY299" s="50"/>
      <c r="BZ299" s="53"/>
      <c r="CA299" s="53"/>
      <c r="CB299" s="93" t="str">
        <f>IF(OR(C299="",A299="",B299=""),"",TEXT(C299,"0000")&amp;TEXT(A299,"00")&amp;TEXT(B299,"00"))</f>
        <v>19120424</v>
      </c>
    </row>
    <row r="300" spans="1:80" s="52" customFormat="1" ht="12.95" customHeight="1" x14ac:dyDescent="0.2">
      <c r="A300" s="46">
        <v>3</v>
      </c>
      <c r="B300" s="46">
        <v>29</v>
      </c>
      <c r="C300" s="46">
        <v>1913</v>
      </c>
      <c r="D300" s="46" t="s">
        <v>658</v>
      </c>
      <c r="E300" s="46" t="s">
        <v>1253</v>
      </c>
      <c r="F300" s="47" t="s">
        <v>1010</v>
      </c>
      <c r="G300" s="46"/>
      <c r="H300" s="47" t="s">
        <v>1011</v>
      </c>
      <c r="I300" s="47"/>
      <c r="J300" s="48">
        <v>4837</v>
      </c>
      <c r="K300" s="46" t="s">
        <v>793</v>
      </c>
      <c r="L300" s="46" t="s">
        <v>1014</v>
      </c>
      <c r="M300" s="46" t="s">
        <v>1255</v>
      </c>
      <c r="N300" s="49">
        <v>0</v>
      </c>
      <c r="O300" s="49">
        <v>0</v>
      </c>
      <c r="P300" s="47" t="s">
        <v>1163</v>
      </c>
      <c r="Q300" s="47" t="s">
        <v>1097</v>
      </c>
      <c r="R300" s="47" t="s">
        <v>376</v>
      </c>
      <c r="S300" s="46"/>
      <c r="T300" s="46"/>
      <c r="U300" s="46"/>
      <c r="V300" s="46"/>
      <c r="W300" s="46"/>
      <c r="X300" s="46"/>
      <c r="Y300" s="46"/>
      <c r="Z300" s="46"/>
      <c r="AA300" s="46"/>
      <c r="AB300" s="46"/>
      <c r="AC300" s="46"/>
      <c r="AD300" s="46"/>
      <c r="AE300" s="50">
        <f>IF(L300="W",1,0)</f>
        <v>0</v>
      </c>
      <c r="AF300" s="50">
        <f>IF(L300="T",1,0)</f>
        <v>1</v>
      </c>
      <c r="AG300" s="50">
        <f>IF(L300="L",1,0)</f>
        <v>0</v>
      </c>
      <c r="AH300" s="46" t="s">
        <v>793</v>
      </c>
      <c r="AI300" s="46" t="s">
        <v>1164</v>
      </c>
      <c r="AJ300" s="46" t="s">
        <v>376</v>
      </c>
      <c r="AK300" s="46" t="s">
        <v>658</v>
      </c>
      <c r="AL300" s="46" t="s">
        <v>1255</v>
      </c>
      <c r="AM300" s="46" t="s">
        <v>1086</v>
      </c>
      <c r="AN300" s="46" t="s">
        <v>376</v>
      </c>
      <c r="AO300" s="46" t="s">
        <v>658</v>
      </c>
      <c r="AP300" s="46"/>
      <c r="AQ300" s="46">
        <v>2</v>
      </c>
      <c r="AR300" s="46"/>
      <c r="AS300" s="46"/>
      <c r="AT300" s="46"/>
      <c r="AU300" s="46" t="s">
        <v>376</v>
      </c>
      <c r="AV300" s="46"/>
      <c r="AW300" s="46" t="s">
        <v>30</v>
      </c>
      <c r="AX300" s="46"/>
      <c r="AY300" s="46" t="s">
        <v>30</v>
      </c>
      <c r="AZ300" s="46"/>
      <c r="BA300" s="47"/>
      <c r="BB300" s="51"/>
      <c r="BC300" s="46"/>
      <c r="BD300" s="46"/>
      <c r="BE300" s="46"/>
      <c r="BF300" s="46">
        <v>1</v>
      </c>
      <c r="BG300" s="46">
        <v>1</v>
      </c>
      <c r="BH300" s="46">
        <v>2</v>
      </c>
      <c r="BI300" s="46" t="s">
        <v>793</v>
      </c>
      <c r="BJ300" s="46" t="s">
        <v>1255</v>
      </c>
      <c r="BK300" s="46">
        <v>1913</v>
      </c>
      <c r="BL300" s="46" t="str">
        <f>BK300&amp;BI300</f>
        <v>1913Sunderland</v>
      </c>
      <c r="BM300" s="52" t="str">
        <f>IF(AD300="Home",BI300,IF(AD300="Away",BJ300,Q300))</f>
        <v>Sheffield</v>
      </c>
      <c r="BN300" s="46"/>
      <c r="BO300" s="46"/>
      <c r="BP300" s="46"/>
      <c r="BQ300" s="46"/>
      <c r="BR300" s="46"/>
      <c r="BS300" s="46"/>
      <c r="BT300" s="46"/>
      <c r="BU300" s="46"/>
      <c r="BV300" s="46" t="s">
        <v>376</v>
      </c>
      <c r="BW300" s="46" t="s">
        <v>376</v>
      </c>
      <c r="BX300" s="46"/>
      <c r="BY300" s="50"/>
      <c r="BZ300" s="53"/>
      <c r="CA300" s="53"/>
      <c r="CB300" s="93" t="str">
        <f>IF(OR(C300="",A300="",B300=""),"",TEXT(C300,"0000")&amp;TEXT(A300,"00")&amp;TEXT(B300,"00"))</f>
        <v>19130329</v>
      </c>
    </row>
    <row r="301" spans="1:80" s="52" customFormat="1" ht="12.95" customHeight="1" x14ac:dyDescent="0.2">
      <c r="A301" s="46">
        <v>3</v>
      </c>
      <c r="B301" s="46">
        <v>29</v>
      </c>
      <c r="C301" s="46">
        <v>1913</v>
      </c>
      <c r="D301" s="46" t="s">
        <v>658</v>
      </c>
      <c r="E301" s="46" t="s">
        <v>1253</v>
      </c>
      <c r="F301" s="47" t="s">
        <v>1010</v>
      </c>
      <c r="G301" s="46"/>
      <c r="H301" s="47" t="s">
        <v>1011</v>
      </c>
      <c r="I301" s="47"/>
      <c r="J301" s="48">
        <v>4837</v>
      </c>
      <c r="K301" s="46" t="s">
        <v>1255</v>
      </c>
      <c r="L301" s="46" t="s">
        <v>1014</v>
      </c>
      <c r="M301" s="46" t="s">
        <v>793</v>
      </c>
      <c r="N301" s="49">
        <v>0</v>
      </c>
      <c r="O301" s="49">
        <v>0</v>
      </c>
      <c r="P301" s="47" t="s">
        <v>1163</v>
      </c>
      <c r="Q301" s="47" t="s">
        <v>1097</v>
      </c>
      <c r="R301" s="47" t="s">
        <v>376</v>
      </c>
      <c r="S301" s="46"/>
      <c r="T301" s="46"/>
      <c r="U301" s="46"/>
      <c r="V301" s="46"/>
      <c r="W301" s="46"/>
      <c r="X301" s="46"/>
      <c r="Y301" s="46"/>
      <c r="Z301" s="46"/>
      <c r="AA301" s="46"/>
      <c r="AB301" s="46"/>
      <c r="AC301" s="46"/>
      <c r="AD301" s="46"/>
      <c r="AE301" s="50">
        <f>IF(L301="W",1,0)</f>
        <v>0</v>
      </c>
      <c r="AF301" s="50">
        <f>IF(L301="T",1,0)</f>
        <v>1</v>
      </c>
      <c r="AG301" s="50">
        <f>IF(L301="L",1,0)</f>
        <v>0</v>
      </c>
      <c r="AH301" s="46" t="s">
        <v>1255</v>
      </c>
      <c r="AI301" s="46" t="s">
        <v>1086</v>
      </c>
      <c r="AJ301" s="46" t="s">
        <v>376</v>
      </c>
      <c r="AK301" s="46" t="s">
        <v>658</v>
      </c>
      <c r="AL301" s="46" t="s">
        <v>793</v>
      </c>
      <c r="AM301" s="46" t="s">
        <v>1164</v>
      </c>
      <c r="AN301" s="46" t="s">
        <v>376</v>
      </c>
      <c r="AO301" s="46" t="s">
        <v>658</v>
      </c>
      <c r="AP301" s="46"/>
      <c r="AQ301" s="46">
        <v>2</v>
      </c>
      <c r="AR301" s="46"/>
      <c r="AS301" s="46"/>
      <c r="AT301" s="46"/>
      <c r="AU301" s="46" t="s">
        <v>376</v>
      </c>
      <c r="AV301" s="46"/>
      <c r="AW301" s="46" t="s">
        <v>30</v>
      </c>
      <c r="AX301" s="46"/>
      <c r="AY301" s="46" t="s">
        <v>30</v>
      </c>
      <c r="AZ301" s="46"/>
      <c r="BA301" s="47"/>
      <c r="BB301" s="51"/>
      <c r="BC301" s="46"/>
      <c r="BD301" s="46"/>
      <c r="BE301" s="46"/>
      <c r="BF301" s="46">
        <v>1</v>
      </c>
      <c r="BG301" s="46">
        <v>2</v>
      </c>
      <c r="BH301" s="46">
        <v>1</v>
      </c>
      <c r="BI301" s="46" t="s">
        <v>1255</v>
      </c>
      <c r="BJ301" s="46" t="s">
        <v>793</v>
      </c>
      <c r="BK301" s="46">
        <v>1913</v>
      </c>
      <c r="BL301" s="46" t="str">
        <f>BK301&amp;BI301</f>
        <v>1913Burnley</v>
      </c>
      <c r="BM301" s="52" t="str">
        <f>IF(AD301="Home",BI301,IF(AD301="Away",BJ301,Q301))</f>
        <v>Sheffield</v>
      </c>
      <c r="BN301" s="46"/>
      <c r="BO301" s="46"/>
      <c r="BP301" s="46"/>
      <c r="BQ301" s="46"/>
      <c r="BR301" s="46"/>
      <c r="BS301" s="46"/>
      <c r="BT301" s="46"/>
      <c r="BU301" s="46"/>
      <c r="BV301" s="46" t="s">
        <v>376</v>
      </c>
      <c r="BW301" s="46" t="s">
        <v>376</v>
      </c>
      <c r="BX301" s="46"/>
      <c r="BY301" s="50"/>
      <c r="BZ301" s="53"/>
      <c r="CA301" s="53"/>
      <c r="CB301" s="93" t="str">
        <f>IF(OR(C301="",A301="",B301=""),"",TEXT(C301,"0000")&amp;TEXT(A301,"00")&amp;TEXT(B301,"00"))</f>
        <v>19130329</v>
      </c>
    </row>
    <row r="302" spans="1:80" s="52" customFormat="1" ht="12.95" customHeight="1" x14ac:dyDescent="0.2">
      <c r="A302" s="46">
        <v>3</v>
      </c>
      <c r="B302" s="46">
        <v>29</v>
      </c>
      <c r="C302" s="46">
        <v>1913</v>
      </c>
      <c r="D302" s="46" t="s">
        <v>658</v>
      </c>
      <c r="E302" s="46" t="s">
        <v>1253</v>
      </c>
      <c r="F302" s="47" t="s">
        <v>1010</v>
      </c>
      <c r="G302" s="46"/>
      <c r="H302" s="47" t="s">
        <v>1011</v>
      </c>
      <c r="I302" s="47"/>
      <c r="J302" s="48">
        <v>4837</v>
      </c>
      <c r="K302" s="46" t="s">
        <v>806</v>
      </c>
      <c r="L302" s="46" t="s">
        <v>3</v>
      </c>
      <c r="M302" s="46" t="s">
        <v>1254</v>
      </c>
      <c r="N302" s="49">
        <v>1</v>
      </c>
      <c r="O302" s="49">
        <v>0</v>
      </c>
      <c r="P302" s="47" t="s">
        <v>1178</v>
      </c>
      <c r="Q302" s="47" t="s">
        <v>1085</v>
      </c>
      <c r="R302" s="47" t="s">
        <v>376</v>
      </c>
      <c r="S302" s="46"/>
      <c r="T302" s="46"/>
      <c r="U302" s="46"/>
      <c r="V302" s="46"/>
      <c r="W302" s="46"/>
      <c r="X302" s="46"/>
      <c r="Y302" s="46"/>
      <c r="Z302" s="46"/>
      <c r="AA302" s="46"/>
      <c r="AB302" s="46"/>
      <c r="AC302" s="46"/>
      <c r="AD302" s="46"/>
      <c r="AE302" s="50">
        <f>IF(L302="W",1,0)</f>
        <v>1</v>
      </c>
      <c r="AF302" s="50">
        <f>IF(L302="T",1,0)</f>
        <v>0</v>
      </c>
      <c r="AG302" s="50">
        <f>IF(L302="L",1,0)</f>
        <v>0</v>
      </c>
      <c r="AH302" s="46" t="s">
        <v>1111</v>
      </c>
      <c r="AI302" s="46" t="s">
        <v>1126</v>
      </c>
      <c r="AJ302" s="46" t="s">
        <v>376</v>
      </c>
      <c r="AK302" s="46" t="s">
        <v>658</v>
      </c>
      <c r="AL302" s="46" t="s">
        <v>1101</v>
      </c>
      <c r="AM302" s="46" t="s">
        <v>1159</v>
      </c>
      <c r="AN302" s="46" t="s">
        <v>376</v>
      </c>
      <c r="AO302" s="46" t="s">
        <v>658</v>
      </c>
      <c r="AP302" s="46"/>
      <c r="AQ302" s="46">
        <v>2</v>
      </c>
      <c r="AR302" s="46"/>
      <c r="AS302" s="46"/>
      <c r="AT302" s="46"/>
      <c r="AU302" s="46" t="s">
        <v>376</v>
      </c>
      <c r="AV302" s="46"/>
      <c r="AW302" s="46" t="s">
        <v>30</v>
      </c>
      <c r="AX302" s="46"/>
      <c r="AY302" s="46" t="s">
        <v>30</v>
      </c>
      <c r="AZ302" s="46"/>
      <c r="BA302" s="47"/>
      <c r="BB302" s="51"/>
      <c r="BC302" s="46"/>
      <c r="BD302" s="46"/>
      <c r="BE302" s="46"/>
      <c r="BF302" s="46">
        <v>1</v>
      </c>
      <c r="BG302" s="46">
        <v>1</v>
      </c>
      <c r="BH302" s="46">
        <v>1</v>
      </c>
      <c r="BI302" s="46" t="s">
        <v>806</v>
      </c>
      <c r="BJ302" s="46" t="s">
        <v>1254</v>
      </c>
      <c r="BK302" s="46">
        <v>1913</v>
      </c>
      <c r="BL302" s="46" t="str">
        <f>BK302&amp;BI302</f>
        <v>1913Aston Villa</v>
      </c>
      <c r="BM302" s="52" t="str">
        <f>IF(AD302="Home",BI302,IF(AD302="Away",BJ302,Q302))</f>
        <v>Blackburn</v>
      </c>
      <c r="BN302" s="46"/>
      <c r="BO302" s="46"/>
      <c r="BP302" s="46"/>
      <c r="BQ302" s="46"/>
      <c r="BR302" s="46"/>
      <c r="BS302" s="46"/>
      <c r="BT302" s="46"/>
      <c r="BU302" s="46"/>
      <c r="BV302" s="46" t="s">
        <v>376</v>
      </c>
      <c r="BW302" s="46" t="s">
        <v>376</v>
      </c>
      <c r="BX302" s="46"/>
      <c r="BZ302" s="53"/>
      <c r="CA302" s="53"/>
      <c r="CB302" s="93" t="str">
        <f>IF(OR(C302="",A302="",B302=""),"",TEXT(C302,"0000")&amp;TEXT(A302,"00")&amp;TEXT(B302,"00"))</f>
        <v>19130329</v>
      </c>
    </row>
    <row r="303" spans="1:80" s="52" customFormat="1" ht="12.95" customHeight="1" x14ac:dyDescent="0.2">
      <c r="A303" s="46">
        <v>3</v>
      </c>
      <c r="B303" s="46">
        <v>29</v>
      </c>
      <c r="C303" s="46">
        <v>1913</v>
      </c>
      <c r="D303" s="46" t="s">
        <v>658</v>
      </c>
      <c r="E303" s="46" t="s">
        <v>1253</v>
      </c>
      <c r="F303" s="47" t="s">
        <v>1010</v>
      </c>
      <c r="G303" s="46"/>
      <c r="H303" s="47" t="s">
        <v>1011</v>
      </c>
      <c r="I303" s="47"/>
      <c r="J303" s="48">
        <v>4837</v>
      </c>
      <c r="K303" s="46" t="s">
        <v>1254</v>
      </c>
      <c r="L303" s="46" t="s">
        <v>4</v>
      </c>
      <c r="M303" s="46" t="s">
        <v>806</v>
      </c>
      <c r="N303" s="49">
        <v>0</v>
      </c>
      <c r="O303" s="49">
        <v>1</v>
      </c>
      <c r="P303" s="47" t="s">
        <v>1178</v>
      </c>
      <c r="Q303" s="47" t="s">
        <v>1085</v>
      </c>
      <c r="R303" s="47" t="s">
        <v>376</v>
      </c>
      <c r="S303" s="46"/>
      <c r="T303" s="46"/>
      <c r="U303" s="46"/>
      <c r="V303" s="46"/>
      <c r="W303" s="46"/>
      <c r="X303" s="46"/>
      <c r="Y303" s="46"/>
      <c r="Z303" s="46"/>
      <c r="AA303" s="46"/>
      <c r="AB303" s="46"/>
      <c r="AC303" s="46"/>
      <c r="AD303" s="46"/>
      <c r="AE303" s="50">
        <f>IF(L303="W",1,0)</f>
        <v>0</v>
      </c>
      <c r="AF303" s="50">
        <f>IF(L303="T",1,0)</f>
        <v>0</v>
      </c>
      <c r="AG303" s="50">
        <f>IF(L303="L",1,0)</f>
        <v>1</v>
      </c>
      <c r="AH303" s="46" t="s">
        <v>1101</v>
      </c>
      <c r="AI303" s="46" t="s">
        <v>1159</v>
      </c>
      <c r="AJ303" s="46" t="s">
        <v>376</v>
      </c>
      <c r="AK303" s="46" t="s">
        <v>658</v>
      </c>
      <c r="AL303" s="46" t="s">
        <v>1111</v>
      </c>
      <c r="AM303" s="46" t="s">
        <v>1126</v>
      </c>
      <c r="AN303" s="46" t="s">
        <v>376</v>
      </c>
      <c r="AO303" s="46" t="s">
        <v>658</v>
      </c>
      <c r="AP303" s="46"/>
      <c r="AQ303" s="46">
        <v>2</v>
      </c>
      <c r="AR303" s="46"/>
      <c r="AS303" s="46"/>
      <c r="AT303" s="46"/>
      <c r="AU303" s="46" t="s">
        <v>376</v>
      </c>
      <c r="AV303" s="46"/>
      <c r="AW303" s="46" t="s">
        <v>30</v>
      </c>
      <c r="AX303" s="46"/>
      <c r="AY303" s="46" t="s">
        <v>30</v>
      </c>
      <c r="AZ303" s="46"/>
      <c r="BA303" s="47"/>
      <c r="BB303" s="51"/>
      <c r="BC303" s="46"/>
      <c r="BD303" s="46"/>
      <c r="BE303" s="46"/>
      <c r="BF303" s="46">
        <v>1</v>
      </c>
      <c r="BG303" s="46">
        <v>1</v>
      </c>
      <c r="BH303" s="46">
        <v>1</v>
      </c>
      <c r="BI303" s="46" t="s">
        <v>1254</v>
      </c>
      <c r="BJ303" s="46" t="s">
        <v>806</v>
      </c>
      <c r="BK303" s="46">
        <v>1913</v>
      </c>
      <c r="BL303" s="46" t="str">
        <f>BK303&amp;BI303</f>
        <v>1913Oldham Athletic</v>
      </c>
      <c r="BM303" s="52" t="str">
        <f>IF(AD303="Home",BI303,IF(AD303="Away",BJ303,Q303))</f>
        <v>Blackburn</v>
      </c>
      <c r="BN303" s="46"/>
      <c r="BO303" s="46"/>
      <c r="BP303" s="46"/>
      <c r="BQ303" s="46"/>
      <c r="BR303" s="46"/>
      <c r="BS303" s="46"/>
      <c r="BT303" s="46"/>
      <c r="BU303" s="46"/>
      <c r="BV303" s="46" t="s">
        <v>376</v>
      </c>
      <c r="BW303" s="46" t="s">
        <v>376</v>
      </c>
      <c r="BX303" s="46"/>
      <c r="BZ303" s="53"/>
      <c r="CA303" s="53"/>
      <c r="CB303" s="93" t="str">
        <f>IF(OR(C303="",A303="",B303=""),"",TEXT(C303,"0000")&amp;TEXT(A303,"00")&amp;TEXT(B303,"00"))</f>
        <v>19130329</v>
      </c>
    </row>
    <row r="304" spans="1:80" s="52" customFormat="1" ht="12.95" customHeight="1" x14ac:dyDescent="0.2">
      <c r="A304" s="46">
        <v>4</v>
      </c>
      <c r="B304" s="46">
        <v>2</v>
      </c>
      <c r="C304" s="46">
        <v>1913</v>
      </c>
      <c r="D304" s="46" t="s">
        <v>658</v>
      </c>
      <c r="E304" s="46" t="s">
        <v>1253</v>
      </c>
      <c r="F304" s="47" t="s">
        <v>1010</v>
      </c>
      <c r="G304" s="46"/>
      <c r="H304" s="47" t="s">
        <v>1011</v>
      </c>
      <c r="I304" s="47" t="s">
        <v>1023</v>
      </c>
      <c r="J304" s="48">
        <v>4841</v>
      </c>
      <c r="K304" s="46" t="s">
        <v>793</v>
      </c>
      <c r="L304" s="46" t="s">
        <v>3</v>
      </c>
      <c r="M304" s="46" t="s">
        <v>1255</v>
      </c>
      <c r="N304" s="49">
        <v>3</v>
      </c>
      <c r="O304" s="49">
        <v>2</v>
      </c>
      <c r="P304" s="47" t="s">
        <v>1232</v>
      </c>
      <c r="Q304" s="47" t="s">
        <v>1111</v>
      </c>
      <c r="R304" s="47" t="s">
        <v>376</v>
      </c>
      <c r="S304" s="46"/>
      <c r="T304" s="46"/>
      <c r="U304" s="46"/>
      <c r="V304" s="46"/>
      <c r="W304" s="46"/>
      <c r="X304" s="46"/>
      <c r="Y304" s="46"/>
      <c r="Z304" s="46"/>
      <c r="AA304" s="46"/>
      <c r="AB304" s="46"/>
      <c r="AC304" s="46"/>
      <c r="AD304" s="46"/>
      <c r="AE304" s="50">
        <f>IF(L304="W",1,0)</f>
        <v>1</v>
      </c>
      <c r="AF304" s="50">
        <f>IF(L304="T",1,0)</f>
        <v>0</v>
      </c>
      <c r="AG304" s="50">
        <f>IF(L304="L",1,0)</f>
        <v>0</v>
      </c>
      <c r="AH304" s="46" t="s">
        <v>793</v>
      </c>
      <c r="AI304" s="46" t="s">
        <v>1164</v>
      </c>
      <c r="AJ304" s="46" t="s">
        <v>376</v>
      </c>
      <c r="AK304" s="46" t="s">
        <v>658</v>
      </c>
      <c r="AL304" s="46" t="s">
        <v>1255</v>
      </c>
      <c r="AM304" s="46" t="s">
        <v>1086</v>
      </c>
      <c r="AN304" s="46" t="s">
        <v>376</v>
      </c>
      <c r="AO304" s="46" t="s">
        <v>658</v>
      </c>
      <c r="AP304" s="46"/>
      <c r="AQ304" s="46">
        <v>2</v>
      </c>
      <c r="AR304" s="46"/>
      <c r="AS304" s="46"/>
      <c r="AT304" s="46"/>
      <c r="AU304" s="46" t="s">
        <v>376</v>
      </c>
      <c r="AV304" s="46"/>
      <c r="AW304" s="46" t="s">
        <v>30</v>
      </c>
      <c r="AX304" s="46"/>
      <c r="AY304" s="46" t="s">
        <v>30</v>
      </c>
      <c r="AZ304" s="46"/>
      <c r="BA304" s="47"/>
      <c r="BB304" s="51"/>
      <c r="BC304" s="46"/>
      <c r="BD304" s="46"/>
      <c r="BE304" s="46"/>
      <c r="BF304" s="46">
        <v>1</v>
      </c>
      <c r="BG304" s="46">
        <v>1</v>
      </c>
      <c r="BH304" s="46">
        <v>2</v>
      </c>
      <c r="BI304" s="46" t="s">
        <v>793</v>
      </c>
      <c r="BJ304" s="46" t="s">
        <v>1255</v>
      </c>
      <c r="BK304" s="46">
        <v>1913</v>
      </c>
      <c r="BL304" s="46" t="str">
        <f>BK304&amp;BI304</f>
        <v>1913Sunderland</v>
      </c>
      <c r="BM304" s="52" t="str">
        <f>IF(AD304="Home",BI304,IF(AD304="Away",BJ304,Q304))</f>
        <v>Birmingham</v>
      </c>
      <c r="BN304" s="46"/>
      <c r="BO304" s="46"/>
      <c r="BP304" s="46"/>
      <c r="BQ304" s="46"/>
      <c r="BR304" s="46"/>
      <c r="BS304" s="46"/>
      <c r="BT304" s="46"/>
      <c r="BU304" s="46"/>
      <c r="BV304" s="46" t="s">
        <v>376</v>
      </c>
      <c r="BW304" s="46" t="s">
        <v>376</v>
      </c>
      <c r="BX304" s="46"/>
      <c r="BZ304" s="53"/>
      <c r="CA304" s="53"/>
      <c r="CB304" s="93" t="str">
        <f>IF(OR(C304="",A304="",B304=""),"",TEXT(C304,"0000")&amp;TEXT(A304,"00")&amp;TEXT(B304,"00"))</f>
        <v>19130402</v>
      </c>
    </row>
    <row r="305" spans="1:80" s="52" customFormat="1" ht="12.95" customHeight="1" x14ac:dyDescent="0.2">
      <c r="A305" s="46">
        <v>4</v>
      </c>
      <c r="B305" s="46">
        <v>2</v>
      </c>
      <c r="C305" s="46">
        <v>1913</v>
      </c>
      <c r="D305" s="46" t="s">
        <v>658</v>
      </c>
      <c r="E305" s="46" t="s">
        <v>1253</v>
      </c>
      <c r="F305" s="47" t="s">
        <v>1010</v>
      </c>
      <c r="G305" s="46"/>
      <c r="H305" s="47" t="s">
        <v>1011</v>
      </c>
      <c r="I305" s="47" t="s">
        <v>1023</v>
      </c>
      <c r="J305" s="48">
        <v>4841</v>
      </c>
      <c r="K305" s="46" t="s">
        <v>1255</v>
      </c>
      <c r="L305" s="46" t="s">
        <v>4</v>
      </c>
      <c r="M305" s="46" t="s">
        <v>793</v>
      </c>
      <c r="N305" s="49">
        <v>2</v>
      </c>
      <c r="O305" s="49">
        <v>3</v>
      </c>
      <c r="P305" s="47" t="s">
        <v>1232</v>
      </c>
      <c r="Q305" s="47" t="s">
        <v>1111</v>
      </c>
      <c r="R305" s="47" t="s">
        <v>376</v>
      </c>
      <c r="S305" s="46"/>
      <c r="T305" s="46"/>
      <c r="U305" s="46"/>
      <c r="V305" s="46"/>
      <c r="W305" s="46"/>
      <c r="X305" s="46"/>
      <c r="Y305" s="46"/>
      <c r="Z305" s="46"/>
      <c r="AA305" s="46"/>
      <c r="AB305" s="46"/>
      <c r="AC305" s="46"/>
      <c r="AD305" s="46"/>
      <c r="AE305" s="50">
        <f>IF(L305="W",1,0)</f>
        <v>0</v>
      </c>
      <c r="AF305" s="50">
        <f>IF(L305="T",1,0)</f>
        <v>0</v>
      </c>
      <c r="AG305" s="50">
        <f>IF(L305="L",1,0)</f>
        <v>1</v>
      </c>
      <c r="AH305" s="46" t="s">
        <v>1255</v>
      </c>
      <c r="AI305" s="46" t="s">
        <v>1086</v>
      </c>
      <c r="AJ305" s="46" t="s">
        <v>376</v>
      </c>
      <c r="AK305" s="46" t="s">
        <v>658</v>
      </c>
      <c r="AL305" s="46" t="s">
        <v>793</v>
      </c>
      <c r="AM305" s="46" t="s">
        <v>1164</v>
      </c>
      <c r="AN305" s="46" t="s">
        <v>376</v>
      </c>
      <c r="AO305" s="46" t="s">
        <v>658</v>
      </c>
      <c r="AP305" s="46"/>
      <c r="AQ305" s="46">
        <v>2</v>
      </c>
      <c r="AR305" s="46"/>
      <c r="AS305" s="46"/>
      <c r="AT305" s="46"/>
      <c r="AU305" s="46" t="s">
        <v>376</v>
      </c>
      <c r="AV305" s="46"/>
      <c r="AW305" s="46" t="s">
        <v>30</v>
      </c>
      <c r="AX305" s="46"/>
      <c r="AY305" s="46" t="s">
        <v>30</v>
      </c>
      <c r="AZ305" s="46"/>
      <c r="BA305" s="47"/>
      <c r="BB305" s="51"/>
      <c r="BC305" s="46"/>
      <c r="BD305" s="46"/>
      <c r="BE305" s="46"/>
      <c r="BF305" s="46">
        <v>1</v>
      </c>
      <c r="BG305" s="46">
        <v>2</v>
      </c>
      <c r="BH305" s="46">
        <v>1</v>
      </c>
      <c r="BI305" s="46" t="s">
        <v>1255</v>
      </c>
      <c r="BJ305" s="46" t="s">
        <v>793</v>
      </c>
      <c r="BK305" s="46">
        <v>1913</v>
      </c>
      <c r="BL305" s="46" t="str">
        <f>BK305&amp;BI305</f>
        <v>1913Burnley</v>
      </c>
      <c r="BM305" s="52" t="str">
        <f>IF(AD305="Home",BI305,IF(AD305="Away",BJ305,Q305))</f>
        <v>Birmingham</v>
      </c>
      <c r="BN305" s="46"/>
      <c r="BO305" s="46"/>
      <c r="BP305" s="46"/>
      <c r="BQ305" s="46"/>
      <c r="BR305" s="46"/>
      <c r="BS305" s="46"/>
      <c r="BT305" s="46"/>
      <c r="BU305" s="46"/>
      <c r="BV305" s="46" t="s">
        <v>376</v>
      </c>
      <c r="BW305" s="46" t="s">
        <v>376</v>
      </c>
      <c r="BX305" s="46"/>
      <c r="BZ305" s="53"/>
      <c r="CA305" s="53"/>
      <c r="CB305" s="93" t="str">
        <f>IF(OR(C305="",A305="",B305=""),"",TEXT(C305,"0000")&amp;TEXT(A305,"00")&amp;TEXT(B305,"00"))</f>
        <v>19130402</v>
      </c>
    </row>
    <row r="306" spans="1:80" s="52" customFormat="1" ht="12.95" customHeight="1" x14ac:dyDescent="0.2">
      <c r="A306" s="46">
        <v>4</v>
      </c>
      <c r="B306" s="46">
        <v>19</v>
      </c>
      <c r="C306" s="46">
        <v>1913</v>
      </c>
      <c r="D306" s="46" t="s">
        <v>658</v>
      </c>
      <c r="E306" s="46" t="s">
        <v>1253</v>
      </c>
      <c r="F306" s="47" t="s">
        <v>1010</v>
      </c>
      <c r="G306" s="46"/>
      <c r="H306" s="47" t="s">
        <v>1025</v>
      </c>
      <c r="I306" s="47"/>
      <c r="J306" s="48">
        <v>4858</v>
      </c>
      <c r="K306" s="46" t="s">
        <v>806</v>
      </c>
      <c r="L306" s="46" t="s">
        <v>3</v>
      </c>
      <c r="M306" s="46" t="s">
        <v>793</v>
      </c>
      <c r="N306" s="49">
        <v>1</v>
      </c>
      <c r="O306" s="49">
        <v>0</v>
      </c>
      <c r="P306" s="47" t="s">
        <v>1188</v>
      </c>
      <c r="Q306" s="47" t="s">
        <v>1017</v>
      </c>
      <c r="R306" s="47" t="s">
        <v>376</v>
      </c>
      <c r="S306" s="46"/>
      <c r="T306" s="46"/>
      <c r="U306" s="46"/>
      <c r="V306" s="46"/>
      <c r="W306" s="46"/>
      <c r="X306" s="46"/>
      <c r="Y306" s="46"/>
      <c r="Z306" s="46"/>
      <c r="AA306" s="46"/>
      <c r="AB306" s="46"/>
      <c r="AC306" s="46"/>
      <c r="AD306" s="46"/>
      <c r="AE306" s="50">
        <f>IF(L306="W",1,0)</f>
        <v>1</v>
      </c>
      <c r="AF306" s="50">
        <f>IF(L306="T",1,0)</f>
        <v>0</v>
      </c>
      <c r="AG306" s="50">
        <f>IF(L306="L",1,0)</f>
        <v>0</v>
      </c>
      <c r="AH306" s="46" t="s">
        <v>1111</v>
      </c>
      <c r="AI306" s="46" t="s">
        <v>1126</v>
      </c>
      <c r="AJ306" s="46" t="s">
        <v>376</v>
      </c>
      <c r="AK306" s="46" t="s">
        <v>658</v>
      </c>
      <c r="AL306" s="46" t="s">
        <v>793</v>
      </c>
      <c r="AM306" s="46" t="s">
        <v>1164</v>
      </c>
      <c r="AN306" s="46" t="s">
        <v>376</v>
      </c>
      <c r="AO306" s="46" t="s">
        <v>658</v>
      </c>
      <c r="AP306" s="46"/>
      <c r="AQ306" s="46">
        <v>1</v>
      </c>
      <c r="AR306" s="46"/>
      <c r="AS306" s="46"/>
      <c r="AT306" s="46"/>
      <c r="AU306" s="46" t="s">
        <v>376</v>
      </c>
      <c r="AV306" s="46"/>
      <c r="AW306" s="46" t="s">
        <v>30</v>
      </c>
      <c r="AX306" s="46"/>
      <c r="AY306" s="46" t="s">
        <v>30</v>
      </c>
      <c r="AZ306" s="46"/>
      <c r="BA306" s="47"/>
      <c r="BB306" s="51" t="s">
        <v>30</v>
      </c>
      <c r="BC306" s="46" t="s">
        <v>30</v>
      </c>
      <c r="BD306" s="46"/>
      <c r="BE306" s="46"/>
      <c r="BF306" s="46">
        <v>1</v>
      </c>
      <c r="BG306" s="46">
        <v>1</v>
      </c>
      <c r="BH306" s="46">
        <v>1</v>
      </c>
      <c r="BI306" s="46" t="s">
        <v>806</v>
      </c>
      <c r="BJ306" s="46" t="s">
        <v>793</v>
      </c>
      <c r="BK306" s="46">
        <v>1913</v>
      </c>
      <c r="BL306" s="46" t="str">
        <f>BK306&amp;BI306</f>
        <v>1913Aston Villa</v>
      </c>
      <c r="BM306" s="52" t="str">
        <f>IF(AD306="Home",BI306,IF(AD306="Away",BJ306,Q306))</f>
        <v>London</v>
      </c>
      <c r="BN306" s="46"/>
      <c r="BO306" s="46"/>
      <c r="BP306" s="46"/>
      <c r="BQ306" s="46"/>
      <c r="BR306" s="46"/>
      <c r="BS306" s="46"/>
      <c r="BT306" s="46"/>
      <c r="BU306" s="46"/>
      <c r="BV306" s="46" t="s">
        <v>376</v>
      </c>
      <c r="BW306" s="46" t="s">
        <v>376</v>
      </c>
      <c r="BX306" s="46"/>
      <c r="BZ306" s="53"/>
      <c r="CA306" s="53"/>
      <c r="CB306" s="93" t="str">
        <f>IF(OR(C306="",A306="",B306=""),"",TEXT(C306,"0000")&amp;TEXT(A306,"00")&amp;TEXT(B306,"00"))</f>
        <v>19130419</v>
      </c>
    </row>
    <row r="307" spans="1:80" s="52" customFormat="1" ht="12.95" customHeight="1" x14ac:dyDescent="0.2">
      <c r="A307" s="46">
        <v>4</v>
      </c>
      <c r="B307" s="46">
        <v>19</v>
      </c>
      <c r="C307" s="46">
        <v>1913</v>
      </c>
      <c r="D307" s="46" t="s">
        <v>658</v>
      </c>
      <c r="E307" s="46" t="s">
        <v>1253</v>
      </c>
      <c r="F307" s="47" t="s">
        <v>1010</v>
      </c>
      <c r="G307" s="46"/>
      <c r="H307" s="47" t="s">
        <v>1025</v>
      </c>
      <c r="I307" s="47"/>
      <c r="J307" s="48">
        <v>4858</v>
      </c>
      <c r="K307" s="46" t="s">
        <v>793</v>
      </c>
      <c r="L307" s="46" t="s">
        <v>4</v>
      </c>
      <c r="M307" s="46" t="s">
        <v>806</v>
      </c>
      <c r="N307" s="49">
        <v>0</v>
      </c>
      <c r="O307" s="49">
        <v>1</v>
      </c>
      <c r="P307" s="47" t="s">
        <v>1188</v>
      </c>
      <c r="Q307" s="47" t="s">
        <v>1017</v>
      </c>
      <c r="R307" s="47" t="s">
        <v>376</v>
      </c>
      <c r="S307" s="46"/>
      <c r="T307" s="46"/>
      <c r="U307" s="46"/>
      <c r="V307" s="46"/>
      <c r="W307" s="46"/>
      <c r="X307" s="46"/>
      <c r="Y307" s="46"/>
      <c r="Z307" s="46"/>
      <c r="AA307" s="46"/>
      <c r="AB307" s="46"/>
      <c r="AC307" s="46"/>
      <c r="AD307" s="46"/>
      <c r="AE307" s="50">
        <f>IF(L307="W",1,0)</f>
        <v>0</v>
      </c>
      <c r="AF307" s="50">
        <f>IF(L307="T",1,0)</f>
        <v>0</v>
      </c>
      <c r="AG307" s="50">
        <f>IF(L307="L",1,0)</f>
        <v>1</v>
      </c>
      <c r="AH307" s="46" t="s">
        <v>793</v>
      </c>
      <c r="AI307" s="46" t="s">
        <v>1164</v>
      </c>
      <c r="AJ307" s="46" t="s">
        <v>376</v>
      </c>
      <c r="AK307" s="46" t="s">
        <v>658</v>
      </c>
      <c r="AL307" s="46" t="s">
        <v>1111</v>
      </c>
      <c r="AM307" s="46" t="s">
        <v>1126</v>
      </c>
      <c r="AN307" s="46" t="s">
        <v>376</v>
      </c>
      <c r="AO307" s="46" t="s">
        <v>658</v>
      </c>
      <c r="AP307" s="46"/>
      <c r="AQ307" s="46">
        <v>1</v>
      </c>
      <c r="AR307" s="46"/>
      <c r="AS307" s="46"/>
      <c r="AT307" s="46"/>
      <c r="AU307" s="46" t="s">
        <v>376</v>
      </c>
      <c r="AV307" s="46"/>
      <c r="AW307" s="46" t="s">
        <v>30</v>
      </c>
      <c r="AX307" s="46"/>
      <c r="AY307" s="46" t="s">
        <v>30</v>
      </c>
      <c r="AZ307" s="46"/>
      <c r="BA307" s="47"/>
      <c r="BB307" s="51"/>
      <c r="BC307" s="46" t="s">
        <v>30</v>
      </c>
      <c r="BD307" s="46"/>
      <c r="BE307" s="46"/>
      <c r="BF307" s="46">
        <v>1</v>
      </c>
      <c r="BG307" s="46">
        <v>1</v>
      </c>
      <c r="BH307" s="46">
        <v>1</v>
      </c>
      <c r="BI307" s="46" t="s">
        <v>793</v>
      </c>
      <c r="BJ307" s="46" t="s">
        <v>806</v>
      </c>
      <c r="BK307" s="46">
        <v>1913</v>
      </c>
      <c r="BL307" s="46" t="str">
        <f>BK307&amp;BI307</f>
        <v>1913Sunderland</v>
      </c>
      <c r="BM307" s="52" t="str">
        <f>IF(AD307="Home",BI307,IF(AD307="Away",BJ307,Q307))</f>
        <v>London</v>
      </c>
      <c r="BN307" s="46"/>
      <c r="BO307" s="46"/>
      <c r="BP307" s="46"/>
      <c r="BQ307" s="46"/>
      <c r="BR307" s="46"/>
      <c r="BS307" s="46"/>
      <c r="BT307" s="46"/>
      <c r="BU307" s="46"/>
      <c r="BV307" s="46" t="s">
        <v>376</v>
      </c>
      <c r="BW307" s="46" t="s">
        <v>376</v>
      </c>
      <c r="BX307" s="46"/>
      <c r="BZ307" s="53"/>
      <c r="CA307" s="53"/>
      <c r="CB307" s="93" t="str">
        <f>IF(OR(C307="",A307="",B307=""),"",TEXT(C307,"0000")&amp;TEXT(A307,"00")&amp;TEXT(B307,"00"))</f>
        <v>19130419</v>
      </c>
    </row>
    <row r="308" spans="1:80" s="52" customFormat="1" ht="12.95" customHeight="1" x14ac:dyDescent="0.2">
      <c r="A308" s="46">
        <v>3</v>
      </c>
      <c r="B308" s="46">
        <v>28</v>
      </c>
      <c r="C308" s="46">
        <v>1914</v>
      </c>
      <c r="D308" s="46" t="s">
        <v>658</v>
      </c>
      <c r="E308" s="46" t="s">
        <v>1256</v>
      </c>
      <c r="F308" s="47" t="s">
        <v>1010</v>
      </c>
      <c r="G308" s="46"/>
      <c r="H308" s="47" t="s">
        <v>1011</v>
      </c>
      <c r="I308" s="47"/>
      <c r="J308" s="48">
        <v>5201</v>
      </c>
      <c r="K308" s="46" t="s">
        <v>1207</v>
      </c>
      <c r="L308" s="46" t="s">
        <v>1014</v>
      </c>
      <c r="M308" s="46" t="s">
        <v>1255</v>
      </c>
      <c r="N308" s="49">
        <v>0</v>
      </c>
      <c r="O308" s="49">
        <v>0</v>
      </c>
      <c r="P308" s="47" t="s">
        <v>1246</v>
      </c>
      <c r="Q308" s="47" t="s">
        <v>1101</v>
      </c>
      <c r="R308" s="47" t="s">
        <v>376</v>
      </c>
      <c r="S308" s="46"/>
      <c r="T308" s="46"/>
      <c r="U308" s="46"/>
      <c r="V308" s="46"/>
      <c r="W308" s="46"/>
      <c r="X308" s="46"/>
      <c r="Y308" s="46"/>
      <c r="Z308" s="46"/>
      <c r="AA308" s="46"/>
      <c r="AB308" s="46"/>
      <c r="AC308" s="46"/>
      <c r="AD308" s="46"/>
      <c r="AE308" s="50">
        <f>IF(L308="W",1,0)</f>
        <v>0</v>
      </c>
      <c r="AF308" s="50">
        <f>IF(L308="T",1,0)</f>
        <v>1</v>
      </c>
      <c r="AG308" s="50">
        <f>IF(L308="L",1,0)</f>
        <v>0</v>
      </c>
      <c r="AH308" s="46" t="s">
        <v>1097</v>
      </c>
      <c r="AI308" s="46" t="s">
        <v>1098</v>
      </c>
      <c r="AJ308" s="46" t="s">
        <v>376</v>
      </c>
      <c r="AK308" s="46" t="s">
        <v>658</v>
      </c>
      <c r="AL308" s="46" t="s">
        <v>1255</v>
      </c>
      <c r="AM308" s="46" t="s">
        <v>1086</v>
      </c>
      <c r="AN308" s="46" t="s">
        <v>376</v>
      </c>
      <c r="AO308" s="46" t="s">
        <v>658</v>
      </c>
      <c r="AP308" s="46"/>
      <c r="AQ308" s="46">
        <v>2</v>
      </c>
      <c r="AR308" s="46"/>
      <c r="AS308" s="46"/>
      <c r="AT308" s="46"/>
      <c r="AU308" s="46" t="s">
        <v>376</v>
      </c>
      <c r="AV308" s="46"/>
      <c r="AW308" s="46" t="s">
        <v>30</v>
      </c>
      <c r="AX308" s="46"/>
      <c r="AY308" s="46" t="s">
        <v>30</v>
      </c>
      <c r="AZ308" s="46"/>
      <c r="BA308" s="47"/>
      <c r="BB308" s="51"/>
      <c r="BC308" s="46"/>
      <c r="BD308" s="46"/>
      <c r="BE308" s="46"/>
      <c r="BF308" s="46">
        <v>1</v>
      </c>
      <c r="BG308" s="46">
        <v>1</v>
      </c>
      <c r="BH308" s="46">
        <v>1</v>
      </c>
      <c r="BI308" s="46" t="s">
        <v>1207</v>
      </c>
      <c r="BJ308" s="46" t="s">
        <v>1255</v>
      </c>
      <c r="BK308" s="46">
        <v>1914</v>
      </c>
      <c r="BL308" s="46" t="str">
        <f>BK308&amp;BI308</f>
        <v>1914Sheffield United</v>
      </c>
      <c r="BM308" s="52" t="str">
        <f>IF(AD308="Home",BI308,IF(AD308="Away",BJ308,Q308))</f>
        <v>Manchester</v>
      </c>
      <c r="BN308" s="46"/>
      <c r="BO308" s="46"/>
      <c r="BP308" s="46"/>
      <c r="BQ308" s="46"/>
      <c r="BR308" s="46"/>
      <c r="BS308" s="46"/>
      <c r="BT308" s="46"/>
      <c r="BU308" s="46"/>
      <c r="BV308" s="46" t="s">
        <v>376</v>
      </c>
      <c r="BW308" s="46" t="s">
        <v>376</v>
      </c>
      <c r="BX308" s="46"/>
      <c r="BZ308" s="53"/>
      <c r="CA308" s="53"/>
      <c r="CB308" s="93" t="str">
        <f>IF(OR(C308="",A308="",B308=""),"",TEXT(C308,"0000")&amp;TEXT(A308,"00")&amp;TEXT(B308,"00"))</f>
        <v>19140328</v>
      </c>
    </row>
    <row r="309" spans="1:80" s="52" customFormat="1" ht="12.95" customHeight="1" x14ac:dyDescent="0.2">
      <c r="A309" s="46">
        <v>3</v>
      </c>
      <c r="B309" s="46">
        <v>28</v>
      </c>
      <c r="C309" s="46">
        <v>1914</v>
      </c>
      <c r="D309" s="46" t="s">
        <v>658</v>
      </c>
      <c r="E309" s="46" t="s">
        <v>1256</v>
      </c>
      <c r="F309" s="47" t="s">
        <v>1010</v>
      </c>
      <c r="G309" s="46"/>
      <c r="H309" s="47" t="s">
        <v>1011</v>
      </c>
      <c r="I309" s="47"/>
      <c r="J309" s="48">
        <v>5201</v>
      </c>
      <c r="K309" s="46" t="s">
        <v>1255</v>
      </c>
      <c r="L309" s="46" t="s">
        <v>1014</v>
      </c>
      <c r="M309" s="46" t="s">
        <v>1207</v>
      </c>
      <c r="N309" s="49">
        <v>0</v>
      </c>
      <c r="O309" s="49">
        <v>0</v>
      </c>
      <c r="P309" s="47" t="s">
        <v>1246</v>
      </c>
      <c r="Q309" s="47" t="s">
        <v>1101</v>
      </c>
      <c r="R309" s="47" t="s">
        <v>376</v>
      </c>
      <c r="S309" s="46"/>
      <c r="T309" s="46"/>
      <c r="U309" s="46"/>
      <c r="V309" s="46"/>
      <c r="W309" s="46"/>
      <c r="X309" s="46"/>
      <c r="Y309" s="46"/>
      <c r="Z309" s="46"/>
      <c r="AA309" s="46"/>
      <c r="AB309" s="46"/>
      <c r="AC309" s="46"/>
      <c r="AD309" s="46"/>
      <c r="AE309" s="50">
        <f>IF(L309="W",1,0)</f>
        <v>0</v>
      </c>
      <c r="AF309" s="50">
        <f>IF(L309="T",1,0)</f>
        <v>1</v>
      </c>
      <c r="AG309" s="50">
        <f>IF(L309="L",1,0)</f>
        <v>0</v>
      </c>
      <c r="AH309" s="46" t="s">
        <v>1255</v>
      </c>
      <c r="AI309" s="46" t="s">
        <v>1086</v>
      </c>
      <c r="AJ309" s="46" t="s">
        <v>376</v>
      </c>
      <c r="AK309" s="46" t="s">
        <v>658</v>
      </c>
      <c r="AL309" s="46" t="s">
        <v>1097</v>
      </c>
      <c r="AM309" s="46" t="s">
        <v>1098</v>
      </c>
      <c r="AN309" s="46" t="s">
        <v>376</v>
      </c>
      <c r="AO309" s="46" t="s">
        <v>658</v>
      </c>
      <c r="AP309" s="46"/>
      <c r="AQ309" s="46">
        <v>2</v>
      </c>
      <c r="AR309" s="46"/>
      <c r="AS309" s="46"/>
      <c r="AT309" s="46"/>
      <c r="AU309" s="46" t="s">
        <v>376</v>
      </c>
      <c r="AV309" s="46"/>
      <c r="AW309" s="46" t="s">
        <v>30</v>
      </c>
      <c r="AX309" s="46"/>
      <c r="AY309" s="46" t="s">
        <v>30</v>
      </c>
      <c r="AZ309" s="46"/>
      <c r="BA309" s="47"/>
      <c r="BB309" s="51"/>
      <c r="BC309" s="46"/>
      <c r="BD309" s="46"/>
      <c r="BE309" s="46"/>
      <c r="BF309" s="46">
        <v>1</v>
      </c>
      <c r="BG309" s="46">
        <v>1</v>
      </c>
      <c r="BH309" s="46">
        <v>1</v>
      </c>
      <c r="BI309" s="46" t="s">
        <v>1255</v>
      </c>
      <c r="BJ309" s="46" t="s">
        <v>1207</v>
      </c>
      <c r="BK309" s="46">
        <v>1914</v>
      </c>
      <c r="BL309" s="46" t="str">
        <f>BK309&amp;BI309</f>
        <v>1914Burnley</v>
      </c>
      <c r="BM309" s="52" t="str">
        <f>IF(AD309="Home",BI309,IF(AD309="Away",BJ309,Q309))</f>
        <v>Manchester</v>
      </c>
      <c r="BN309" s="46"/>
      <c r="BO309" s="46"/>
      <c r="BP309" s="46"/>
      <c r="BQ309" s="46"/>
      <c r="BR309" s="46"/>
      <c r="BS309" s="46"/>
      <c r="BT309" s="46"/>
      <c r="BU309" s="46"/>
      <c r="BV309" s="46" t="s">
        <v>376</v>
      </c>
      <c r="BW309" s="46" t="s">
        <v>376</v>
      </c>
      <c r="BX309" s="46"/>
      <c r="BZ309" s="53"/>
      <c r="CA309" s="53"/>
      <c r="CB309" s="93" t="str">
        <f>IF(OR(C309="",A309="",B309=""),"",TEXT(C309,"0000")&amp;TEXT(A309,"00")&amp;TEXT(B309,"00"))</f>
        <v>19140328</v>
      </c>
    </row>
    <row r="310" spans="1:80" s="52" customFormat="1" ht="12.95" customHeight="1" x14ac:dyDescent="0.2">
      <c r="A310" s="46">
        <v>3</v>
      </c>
      <c r="B310" s="46">
        <v>28</v>
      </c>
      <c r="C310" s="46">
        <v>1914</v>
      </c>
      <c r="D310" s="46" t="s">
        <v>658</v>
      </c>
      <c r="E310" s="46" t="s">
        <v>1256</v>
      </c>
      <c r="F310" s="47" t="s">
        <v>1010</v>
      </c>
      <c r="G310" s="46"/>
      <c r="H310" s="47" t="s">
        <v>1011</v>
      </c>
      <c r="I310" s="47"/>
      <c r="J310" s="48">
        <v>5201</v>
      </c>
      <c r="K310" s="46" t="s">
        <v>588</v>
      </c>
      <c r="L310" s="46" t="s">
        <v>3</v>
      </c>
      <c r="M310" s="46" t="s">
        <v>806</v>
      </c>
      <c r="N310" s="49">
        <v>2</v>
      </c>
      <c r="O310" s="49">
        <v>0</v>
      </c>
      <c r="P310" s="47" t="s">
        <v>1222</v>
      </c>
      <c r="Q310" s="47" t="s">
        <v>1017</v>
      </c>
      <c r="R310" s="47" t="s">
        <v>376</v>
      </c>
      <c r="S310" s="46"/>
      <c r="T310" s="46"/>
      <c r="U310" s="46"/>
      <c r="V310" s="46"/>
      <c r="W310" s="46"/>
      <c r="X310" s="46"/>
      <c r="Y310" s="46"/>
      <c r="Z310" s="46"/>
      <c r="AA310" s="46"/>
      <c r="AB310" s="46"/>
      <c r="AC310" s="46"/>
      <c r="AD310" s="46"/>
      <c r="AE310" s="50">
        <f>IF(L310="W",1,0)</f>
        <v>1</v>
      </c>
      <c r="AF310" s="50">
        <f>IF(L310="T",1,0)</f>
        <v>0</v>
      </c>
      <c r="AG310" s="50">
        <f>IF(L310="L",1,0)</f>
        <v>0</v>
      </c>
      <c r="AH310" s="46" t="s">
        <v>588</v>
      </c>
      <c r="AI310" s="46" t="s">
        <v>1175</v>
      </c>
      <c r="AJ310" s="46" t="s">
        <v>376</v>
      </c>
      <c r="AK310" s="46" t="s">
        <v>658</v>
      </c>
      <c r="AL310" s="46" t="s">
        <v>1111</v>
      </c>
      <c r="AM310" s="46" t="s">
        <v>1126</v>
      </c>
      <c r="AN310" s="46" t="s">
        <v>376</v>
      </c>
      <c r="AO310" s="46" t="s">
        <v>658</v>
      </c>
      <c r="AP310" s="46"/>
      <c r="AQ310" s="46">
        <v>2</v>
      </c>
      <c r="AR310" s="46"/>
      <c r="AS310" s="46"/>
      <c r="AT310" s="46"/>
      <c r="AU310" s="46" t="s">
        <v>376</v>
      </c>
      <c r="AV310" s="46"/>
      <c r="AW310" s="46" t="s">
        <v>30</v>
      </c>
      <c r="AX310" s="46"/>
      <c r="AY310" s="46" t="s">
        <v>30</v>
      </c>
      <c r="AZ310" s="46"/>
      <c r="BA310" s="47"/>
      <c r="BB310" s="51"/>
      <c r="BC310" s="46"/>
      <c r="BD310" s="46"/>
      <c r="BE310" s="46"/>
      <c r="BF310" s="46">
        <v>1</v>
      </c>
      <c r="BG310" s="46">
        <v>1</v>
      </c>
      <c r="BH310" s="46">
        <v>1</v>
      </c>
      <c r="BI310" s="46" t="s">
        <v>588</v>
      </c>
      <c r="BJ310" s="46" t="s">
        <v>806</v>
      </c>
      <c r="BK310" s="46">
        <v>1914</v>
      </c>
      <c r="BL310" s="46" t="str">
        <f>BK310&amp;BI310</f>
        <v>1914Liverpool</v>
      </c>
      <c r="BM310" s="52" t="str">
        <f>IF(AD310="Home",BI310,IF(AD310="Away",BJ310,Q310))</f>
        <v>London</v>
      </c>
      <c r="BN310" s="46"/>
      <c r="BO310" s="46"/>
      <c r="BP310" s="46"/>
      <c r="BQ310" s="46"/>
      <c r="BR310" s="46"/>
      <c r="BS310" s="46"/>
      <c r="BT310" s="46"/>
      <c r="BU310" s="46"/>
      <c r="BV310" s="46" t="s">
        <v>376</v>
      </c>
      <c r="BW310" s="46" t="s">
        <v>376</v>
      </c>
      <c r="BX310" s="46"/>
      <c r="BZ310" s="53"/>
      <c r="CA310" s="53"/>
      <c r="CB310" s="93" t="str">
        <f>IF(OR(C310="",A310="",B310=""),"",TEXT(C310,"0000")&amp;TEXT(A310,"00")&amp;TEXT(B310,"00"))</f>
        <v>19140328</v>
      </c>
    </row>
    <row r="311" spans="1:80" s="52" customFormat="1" ht="12.95" customHeight="1" x14ac:dyDescent="0.2">
      <c r="A311" s="46">
        <v>3</v>
      </c>
      <c r="B311" s="46">
        <v>28</v>
      </c>
      <c r="C311" s="46">
        <v>1914</v>
      </c>
      <c r="D311" s="46" t="s">
        <v>658</v>
      </c>
      <c r="E311" s="46" t="s">
        <v>1256</v>
      </c>
      <c r="F311" s="47" t="s">
        <v>1010</v>
      </c>
      <c r="G311" s="46"/>
      <c r="H311" s="47" t="s">
        <v>1011</v>
      </c>
      <c r="I311" s="47"/>
      <c r="J311" s="48">
        <v>5201</v>
      </c>
      <c r="K311" s="46" t="s">
        <v>806</v>
      </c>
      <c r="L311" s="46" t="s">
        <v>4</v>
      </c>
      <c r="M311" s="46" t="s">
        <v>588</v>
      </c>
      <c r="N311" s="49">
        <v>0</v>
      </c>
      <c r="O311" s="49">
        <v>2</v>
      </c>
      <c r="P311" s="47" t="s">
        <v>1222</v>
      </c>
      <c r="Q311" s="47" t="s">
        <v>1017</v>
      </c>
      <c r="R311" s="47" t="s">
        <v>376</v>
      </c>
      <c r="S311" s="46"/>
      <c r="T311" s="46"/>
      <c r="U311" s="46"/>
      <c r="V311" s="46"/>
      <c r="W311" s="46"/>
      <c r="X311" s="46"/>
      <c r="Y311" s="46"/>
      <c r="Z311" s="46"/>
      <c r="AA311" s="46"/>
      <c r="AB311" s="46"/>
      <c r="AC311" s="46"/>
      <c r="AD311" s="46"/>
      <c r="AE311" s="50">
        <f>IF(L311="W",1,0)</f>
        <v>0</v>
      </c>
      <c r="AF311" s="50">
        <f>IF(L311="T",1,0)</f>
        <v>0</v>
      </c>
      <c r="AG311" s="50">
        <f>IF(L311="L",1,0)</f>
        <v>1</v>
      </c>
      <c r="AH311" s="46" t="s">
        <v>1111</v>
      </c>
      <c r="AI311" s="46" t="s">
        <v>1126</v>
      </c>
      <c r="AJ311" s="46" t="s">
        <v>376</v>
      </c>
      <c r="AK311" s="46" t="s">
        <v>658</v>
      </c>
      <c r="AL311" s="46" t="s">
        <v>588</v>
      </c>
      <c r="AM311" s="46" t="s">
        <v>1175</v>
      </c>
      <c r="AN311" s="46" t="s">
        <v>376</v>
      </c>
      <c r="AO311" s="46" t="s">
        <v>658</v>
      </c>
      <c r="AP311" s="46"/>
      <c r="AQ311" s="46">
        <v>2</v>
      </c>
      <c r="AR311" s="46"/>
      <c r="AS311" s="46"/>
      <c r="AT311" s="46"/>
      <c r="AU311" s="46" t="s">
        <v>376</v>
      </c>
      <c r="AV311" s="46"/>
      <c r="AW311" s="46" t="s">
        <v>30</v>
      </c>
      <c r="AX311" s="46"/>
      <c r="AY311" s="46" t="s">
        <v>30</v>
      </c>
      <c r="AZ311" s="46"/>
      <c r="BA311" s="47"/>
      <c r="BB311" s="51"/>
      <c r="BC311" s="46"/>
      <c r="BD311" s="46"/>
      <c r="BE311" s="46"/>
      <c r="BF311" s="46">
        <v>1</v>
      </c>
      <c r="BG311" s="46">
        <v>1</v>
      </c>
      <c r="BH311" s="46">
        <v>1</v>
      </c>
      <c r="BI311" s="46" t="s">
        <v>806</v>
      </c>
      <c r="BJ311" s="46" t="s">
        <v>588</v>
      </c>
      <c r="BK311" s="46">
        <v>1914</v>
      </c>
      <c r="BL311" s="46" t="str">
        <f>BK311&amp;BI311</f>
        <v>1914Aston Villa</v>
      </c>
      <c r="BM311" s="52" t="str">
        <f>IF(AD311="Home",BI311,IF(AD311="Away",BJ311,Q311))</f>
        <v>London</v>
      </c>
      <c r="BN311" s="46"/>
      <c r="BO311" s="46"/>
      <c r="BP311" s="46"/>
      <c r="BQ311" s="46"/>
      <c r="BR311" s="46"/>
      <c r="BS311" s="46"/>
      <c r="BT311" s="46"/>
      <c r="BU311" s="46"/>
      <c r="BV311" s="46" t="s">
        <v>376</v>
      </c>
      <c r="BW311" s="46" t="s">
        <v>376</v>
      </c>
      <c r="BX311" s="46"/>
      <c r="BZ311" s="53"/>
      <c r="CA311" s="53"/>
      <c r="CB311" s="93" t="str">
        <f>IF(OR(C311="",A311="",B311=""),"",TEXT(C311,"0000")&amp;TEXT(A311,"00")&amp;TEXT(B311,"00"))</f>
        <v>19140328</v>
      </c>
    </row>
    <row r="312" spans="1:80" s="52" customFormat="1" ht="12.95" customHeight="1" x14ac:dyDescent="0.2">
      <c r="A312" s="46">
        <v>4</v>
      </c>
      <c r="B312" s="46">
        <v>1</v>
      </c>
      <c r="C312" s="46">
        <v>1914</v>
      </c>
      <c r="D312" s="46" t="s">
        <v>658</v>
      </c>
      <c r="E312" s="46" t="s">
        <v>1256</v>
      </c>
      <c r="F312" s="47" t="s">
        <v>1010</v>
      </c>
      <c r="G312" s="46"/>
      <c r="H312" s="47" t="s">
        <v>1011</v>
      </c>
      <c r="I312" s="47" t="s">
        <v>1023</v>
      </c>
      <c r="J312" s="48">
        <v>5205</v>
      </c>
      <c r="K312" s="46" t="s">
        <v>1255</v>
      </c>
      <c r="L312" s="46" t="s">
        <v>3</v>
      </c>
      <c r="M312" s="46" t="s">
        <v>1207</v>
      </c>
      <c r="N312" s="49">
        <v>1</v>
      </c>
      <c r="O312" s="49">
        <v>0</v>
      </c>
      <c r="P312" s="47" t="s">
        <v>1184</v>
      </c>
      <c r="Q312" s="47" t="s">
        <v>588</v>
      </c>
      <c r="R312" s="47" t="s">
        <v>376</v>
      </c>
      <c r="S312" s="46"/>
      <c r="T312" s="46"/>
      <c r="U312" s="46"/>
      <c r="V312" s="46"/>
      <c r="W312" s="46"/>
      <c r="X312" s="46"/>
      <c r="Y312" s="46"/>
      <c r="Z312" s="46"/>
      <c r="AA312" s="46"/>
      <c r="AB312" s="46"/>
      <c r="AC312" s="46"/>
      <c r="AD312" s="46"/>
      <c r="AE312" s="50">
        <f>IF(L312="W",1,0)</f>
        <v>1</v>
      </c>
      <c r="AF312" s="50">
        <f>IF(L312="T",1,0)</f>
        <v>0</v>
      </c>
      <c r="AG312" s="50">
        <f>IF(L312="L",1,0)</f>
        <v>0</v>
      </c>
      <c r="AH312" s="46" t="s">
        <v>1255</v>
      </c>
      <c r="AI312" s="46" t="s">
        <v>1086</v>
      </c>
      <c r="AJ312" s="46" t="s">
        <v>376</v>
      </c>
      <c r="AK312" s="46" t="s">
        <v>658</v>
      </c>
      <c r="AL312" s="46" t="s">
        <v>1097</v>
      </c>
      <c r="AM312" s="46" t="s">
        <v>1098</v>
      </c>
      <c r="AN312" s="46" t="s">
        <v>376</v>
      </c>
      <c r="AO312" s="46" t="s">
        <v>658</v>
      </c>
      <c r="AP312" s="46"/>
      <c r="AQ312" s="46">
        <v>2</v>
      </c>
      <c r="AR312" s="46"/>
      <c r="AS312" s="46"/>
      <c r="AT312" s="46"/>
      <c r="AU312" s="46" t="s">
        <v>376</v>
      </c>
      <c r="AV312" s="46"/>
      <c r="AW312" s="46" t="s">
        <v>30</v>
      </c>
      <c r="AX312" s="46"/>
      <c r="AY312" s="46" t="s">
        <v>30</v>
      </c>
      <c r="AZ312" s="46"/>
      <c r="BA312" s="47"/>
      <c r="BB312" s="51"/>
      <c r="BC312" s="46"/>
      <c r="BD312" s="46"/>
      <c r="BE312" s="46"/>
      <c r="BF312" s="46">
        <v>1</v>
      </c>
      <c r="BG312" s="46">
        <v>1</v>
      </c>
      <c r="BH312" s="46">
        <v>1</v>
      </c>
      <c r="BI312" s="46" t="s">
        <v>1255</v>
      </c>
      <c r="BJ312" s="46" t="s">
        <v>1207</v>
      </c>
      <c r="BK312" s="46">
        <v>1914</v>
      </c>
      <c r="BL312" s="46" t="str">
        <f>BK312&amp;BI312</f>
        <v>1914Burnley</v>
      </c>
      <c r="BM312" s="52" t="str">
        <f>IF(AD312="Home",BI312,IF(AD312="Away",BJ312,Q312))</f>
        <v>Liverpool</v>
      </c>
      <c r="BN312" s="46"/>
      <c r="BO312" s="46"/>
      <c r="BP312" s="46"/>
      <c r="BQ312" s="46"/>
      <c r="BR312" s="46"/>
      <c r="BS312" s="46"/>
      <c r="BT312" s="46"/>
      <c r="BU312" s="46"/>
      <c r="BV312" s="46" t="s">
        <v>376</v>
      </c>
      <c r="BW312" s="46" t="s">
        <v>376</v>
      </c>
      <c r="BX312" s="46"/>
      <c r="BZ312" s="53"/>
      <c r="CA312" s="53"/>
      <c r="CB312" s="93" t="str">
        <f>IF(OR(C312="",A312="",B312=""),"",TEXT(C312,"0000")&amp;TEXT(A312,"00")&amp;TEXT(B312,"00"))</f>
        <v>19140401</v>
      </c>
    </row>
    <row r="313" spans="1:80" s="52" customFormat="1" ht="12.95" customHeight="1" x14ac:dyDescent="0.2">
      <c r="A313" s="46">
        <v>4</v>
      </c>
      <c r="B313" s="46">
        <v>1</v>
      </c>
      <c r="C313" s="46">
        <v>1914</v>
      </c>
      <c r="D313" s="46" t="s">
        <v>658</v>
      </c>
      <c r="E313" s="46" t="s">
        <v>1256</v>
      </c>
      <c r="F313" s="47" t="s">
        <v>1010</v>
      </c>
      <c r="G313" s="46"/>
      <c r="H313" s="47" t="s">
        <v>1011</v>
      </c>
      <c r="I313" s="47" t="s">
        <v>1023</v>
      </c>
      <c r="J313" s="48">
        <v>5205</v>
      </c>
      <c r="K313" s="46" t="s">
        <v>1207</v>
      </c>
      <c r="L313" s="46" t="s">
        <v>4</v>
      </c>
      <c r="M313" s="46" t="s">
        <v>1255</v>
      </c>
      <c r="N313" s="49">
        <v>0</v>
      </c>
      <c r="O313" s="49">
        <v>1</v>
      </c>
      <c r="P313" s="47" t="s">
        <v>1184</v>
      </c>
      <c r="Q313" s="47" t="s">
        <v>588</v>
      </c>
      <c r="R313" s="47" t="s">
        <v>376</v>
      </c>
      <c r="S313" s="46"/>
      <c r="T313" s="46"/>
      <c r="U313" s="46"/>
      <c r="V313" s="46"/>
      <c r="W313" s="46"/>
      <c r="X313" s="46"/>
      <c r="Y313" s="46"/>
      <c r="Z313" s="46"/>
      <c r="AA313" s="46"/>
      <c r="AB313" s="46"/>
      <c r="AC313" s="46"/>
      <c r="AD313" s="46"/>
      <c r="AE313" s="50">
        <f>IF(L313="W",1,0)</f>
        <v>0</v>
      </c>
      <c r="AF313" s="50">
        <f>IF(L313="T",1,0)</f>
        <v>0</v>
      </c>
      <c r="AG313" s="50">
        <f>IF(L313="L",1,0)</f>
        <v>1</v>
      </c>
      <c r="AH313" s="46" t="s">
        <v>1097</v>
      </c>
      <c r="AI313" s="46" t="s">
        <v>1098</v>
      </c>
      <c r="AJ313" s="46" t="s">
        <v>376</v>
      </c>
      <c r="AK313" s="46" t="s">
        <v>658</v>
      </c>
      <c r="AL313" s="46" t="s">
        <v>1255</v>
      </c>
      <c r="AM313" s="46" t="s">
        <v>1086</v>
      </c>
      <c r="AN313" s="46" t="s">
        <v>376</v>
      </c>
      <c r="AO313" s="46" t="s">
        <v>658</v>
      </c>
      <c r="AP313" s="46"/>
      <c r="AQ313" s="46">
        <v>2</v>
      </c>
      <c r="AR313" s="46"/>
      <c r="AS313" s="46"/>
      <c r="AT313" s="46"/>
      <c r="AU313" s="46" t="s">
        <v>376</v>
      </c>
      <c r="AV313" s="46"/>
      <c r="AW313" s="46" t="s">
        <v>30</v>
      </c>
      <c r="AX313" s="46"/>
      <c r="AY313" s="46" t="s">
        <v>30</v>
      </c>
      <c r="AZ313" s="46"/>
      <c r="BA313" s="47"/>
      <c r="BB313" s="51"/>
      <c r="BC313" s="46"/>
      <c r="BD313" s="46"/>
      <c r="BE313" s="46"/>
      <c r="BF313" s="46">
        <v>1</v>
      </c>
      <c r="BG313" s="46">
        <v>1</v>
      </c>
      <c r="BH313" s="46">
        <v>1</v>
      </c>
      <c r="BI313" s="46" t="s">
        <v>1207</v>
      </c>
      <c r="BJ313" s="46" t="s">
        <v>1255</v>
      </c>
      <c r="BK313" s="46">
        <v>1914</v>
      </c>
      <c r="BL313" s="46" t="str">
        <f>BK313&amp;BI313</f>
        <v>1914Sheffield United</v>
      </c>
      <c r="BM313" s="52" t="str">
        <f>IF(AD313="Home",BI313,IF(AD313="Away",BJ313,Q313))</f>
        <v>Liverpool</v>
      </c>
      <c r="BN313" s="46"/>
      <c r="BO313" s="46"/>
      <c r="BP313" s="46"/>
      <c r="BQ313" s="46"/>
      <c r="BR313" s="46"/>
      <c r="BS313" s="46"/>
      <c r="BT313" s="46"/>
      <c r="BU313" s="46"/>
      <c r="BV313" s="46" t="s">
        <v>376</v>
      </c>
      <c r="BW313" s="46" t="s">
        <v>376</v>
      </c>
      <c r="BX313" s="46"/>
      <c r="BZ313" s="53"/>
      <c r="CA313" s="53"/>
      <c r="CB313" s="93" t="str">
        <f>IF(OR(C313="",A313="",B313=""),"",TEXT(C313,"0000")&amp;TEXT(A313,"00")&amp;TEXT(B313,"00"))</f>
        <v>19140401</v>
      </c>
    </row>
    <row r="314" spans="1:80" s="52" customFormat="1" ht="12.95" customHeight="1" x14ac:dyDescent="0.2">
      <c r="A314" s="46">
        <v>4</v>
      </c>
      <c r="B314" s="46">
        <v>24</v>
      </c>
      <c r="C314" s="46">
        <v>1914</v>
      </c>
      <c r="D314" s="46" t="s">
        <v>658</v>
      </c>
      <c r="E314" s="46" t="s">
        <v>1256</v>
      </c>
      <c r="F314" s="47" t="s">
        <v>1010</v>
      </c>
      <c r="G314" s="46"/>
      <c r="H314" s="47" t="s">
        <v>1025</v>
      </c>
      <c r="I314" s="47"/>
      <c r="J314" s="48">
        <v>5228</v>
      </c>
      <c r="K314" s="46" t="s">
        <v>1255</v>
      </c>
      <c r="L314" s="46" t="s">
        <v>3</v>
      </c>
      <c r="M314" s="46" t="s">
        <v>588</v>
      </c>
      <c r="N314" s="49">
        <v>1</v>
      </c>
      <c r="O314" s="49">
        <v>0</v>
      </c>
      <c r="P314" s="47" t="s">
        <v>1188</v>
      </c>
      <c r="Q314" s="47" t="s">
        <v>1017</v>
      </c>
      <c r="R314" s="47" t="s">
        <v>376</v>
      </c>
      <c r="S314" s="46"/>
      <c r="T314" s="46"/>
      <c r="U314" s="46"/>
      <c r="V314" s="46"/>
      <c r="W314" s="46"/>
      <c r="X314" s="46"/>
      <c r="Y314" s="46"/>
      <c r="Z314" s="46"/>
      <c r="AA314" s="46"/>
      <c r="AB314" s="46"/>
      <c r="AC314" s="46"/>
      <c r="AD314" s="46"/>
      <c r="AE314" s="50">
        <f>IF(L314="W",1,0)</f>
        <v>1</v>
      </c>
      <c r="AF314" s="50">
        <f>IF(L314="T",1,0)</f>
        <v>0</v>
      </c>
      <c r="AG314" s="50">
        <f>IF(L314="L",1,0)</f>
        <v>0</v>
      </c>
      <c r="AH314" s="46" t="s">
        <v>1255</v>
      </c>
      <c r="AI314" s="46" t="s">
        <v>1086</v>
      </c>
      <c r="AJ314" s="46" t="s">
        <v>376</v>
      </c>
      <c r="AK314" s="46" t="s">
        <v>658</v>
      </c>
      <c r="AL314" s="46" t="s">
        <v>588</v>
      </c>
      <c r="AM314" s="46" t="s">
        <v>1175</v>
      </c>
      <c r="AN314" s="46" t="s">
        <v>376</v>
      </c>
      <c r="AO314" s="46" t="s">
        <v>658</v>
      </c>
      <c r="AP314" s="46"/>
      <c r="AQ314" s="46">
        <v>1</v>
      </c>
      <c r="AR314" s="46"/>
      <c r="AS314" s="46"/>
      <c r="AT314" s="46"/>
      <c r="AU314" s="46" t="s">
        <v>376</v>
      </c>
      <c r="AV314" s="46"/>
      <c r="AW314" s="46" t="s">
        <v>30</v>
      </c>
      <c r="AX314" s="46"/>
      <c r="AY314" s="46" t="s">
        <v>30</v>
      </c>
      <c r="AZ314" s="46"/>
      <c r="BA314" s="47"/>
      <c r="BB314" s="51" t="s">
        <v>30</v>
      </c>
      <c r="BC314" s="46" t="s">
        <v>30</v>
      </c>
      <c r="BD314" s="46"/>
      <c r="BE314" s="46"/>
      <c r="BF314" s="46">
        <v>1</v>
      </c>
      <c r="BG314" s="46">
        <v>1</v>
      </c>
      <c r="BH314" s="46">
        <v>1</v>
      </c>
      <c r="BI314" s="46" t="s">
        <v>1255</v>
      </c>
      <c r="BJ314" s="46" t="s">
        <v>588</v>
      </c>
      <c r="BK314" s="46">
        <v>1914</v>
      </c>
      <c r="BL314" s="46" t="str">
        <f>BK314&amp;BI314</f>
        <v>1914Burnley</v>
      </c>
      <c r="BM314" s="52" t="str">
        <f>IF(AD314="Home",BI314,IF(AD314="Away",BJ314,Q314))</f>
        <v>London</v>
      </c>
      <c r="BN314" s="46"/>
      <c r="BO314" s="46"/>
      <c r="BP314" s="46"/>
      <c r="BQ314" s="46"/>
      <c r="BR314" s="46"/>
      <c r="BS314" s="46"/>
      <c r="BT314" s="46"/>
      <c r="BU314" s="46"/>
      <c r="BV314" s="46" t="s">
        <v>376</v>
      </c>
      <c r="BW314" s="46" t="s">
        <v>376</v>
      </c>
      <c r="BX314" s="46"/>
      <c r="BZ314" s="53"/>
      <c r="CA314" s="53"/>
      <c r="CB314" s="93" t="str">
        <f>IF(OR(C314="",A314="",B314=""),"",TEXT(C314,"0000")&amp;TEXT(A314,"00")&amp;TEXT(B314,"00"))</f>
        <v>19140424</v>
      </c>
    </row>
    <row r="315" spans="1:80" s="52" customFormat="1" ht="12.95" customHeight="1" x14ac:dyDescent="0.2">
      <c r="A315" s="46">
        <v>4</v>
      </c>
      <c r="B315" s="46">
        <v>24</v>
      </c>
      <c r="C315" s="46">
        <v>1914</v>
      </c>
      <c r="D315" s="46" t="s">
        <v>658</v>
      </c>
      <c r="E315" s="46" t="s">
        <v>1256</v>
      </c>
      <c r="F315" s="47" t="s">
        <v>1010</v>
      </c>
      <c r="G315" s="46"/>
      <c r="H315" s="47" t="s">
        <v>1025</v>
      </c>
      <c r="I315" s="47"/>
      <c r="J315" s="48">
        <v>5228</v>
      </c>
      <c r="K315" s="46" t="s">
        <v>588</v>
      </c>
      <c r="L315" s="46" t="s">
        <v>4</v>
      </c>
      <c r="M315" s="46" t="s">
        <v>1255</v>
      </c>
      <c r="N315" s="49">
        <v>0</v>
      </c>
      <c r="O315" s="49">
        <v>1</v>
      </c>
      <c r="P315" s="47" t="s">
        <v>1188</v>
      </c>
      <c r="Q315" s="47" t="s">
        <v>1017</v>
      </c>
      <c r="R315" s="47" t="s">
        <v>376</v>
      </c>
      <c r="S315" s="46"/>
      <c r="T315" s="46"/>
      <c r="U315" s="46"/>
      <c r="V315" s="46"/>
      <c r="W315" s="46"/>
      <c r="X315" s="46"/>
      <c r="Y315" s="46"/>
      <c r="Z315" s="46"/>
      <c r="AA315" s="46"/>
      <c r="AB315" s="46"/>
      <c r="AC315" s="46"/>
      <c r="AD315" s="46"/>
      <c r="AE315" s="50">
        <f>IF(L315="W",1,0)</f>
        <v>0</v>
      </c>
      <c r="AF315" s="50">
        <f>IF(L315="T",1,0)</f>
        <v>0</v>
      </c>
      <c r="AG315" s="50">
        <f>IF(L315="L",1,0)</f>
        <v>1</v>
      </c>
      <c r="AH315" s="46" t="s">
        <v>588</v>
      </c>
      <c r="AI315" s="46" t="s">
        <v>1175</v>
      </c>
      <c r="AJ315" s="46" t="s">
        <v>376</v>
      </c>
      <c r="AK315" s="46" t="s">
        <v>658</v>
      </c>
      <c r="AL315" s="46" t="s">
        <v>1255</v>
      </c>
      <c r="AM315" s="46" t="s">
        <v>1086</v>
      </c>
      <c r="AN315" s="46" t="s">
        <v>376</v>
      </c>
      <c r="AO315" s="46" t="s">
        <v>658</v>
      </c>
      <c r="AP315" s="46"/>
      <c r="AQ315" s="46">
        <v>1</v>
      </c>
      <c r="AR315" s="46"/>
      <c r="AS315" s="46"/>
      <c r="AT315" s="46"/>
      <c r="AU315" s="46" t="s">
        <v>376</v>
      </c>
      <c r="AV315" s="46"/>
      <c r="AW315" s="46" t="s">
        <v>30</v>
      </c>
      <c r="AX315" s="46"/>
      <c r="AY315" s="46" t="s">
        <v>30</v>
      </c>
      <c r="AZ315" s="46"/>
      <c r="BA315" s="47"/>
      <c r="BB315" s="51"/>
      <c r="BC315" s="46" t="s">
        <v>30</v>
      </c>
      <c r="BD315" s="46"/>
      <c r="BE315" s="46"/>
      <c r="BF315" s="46">
        <v>1</v>
      </c>
      <c r="BG315" s="46">
        <v>1</v>
      </c>
      <c r="BH315" s="46">
        <v>1</v>
      </c>
      <c r="BI315" s="46" t="s">
        <v>588</v>
      </c>
      <c r="BJ315" s="46" t="s">
        <v>1255</v>
      </c>
      <c r="BK315" s="46">
        <v>1914</v>
      </c>
      <c r="BL315" s="46" t="str">
        <f>BK315&amp;BI315</f>
        <v>1914Liverpool</v>
      </c>
      <c r="BM315" s="52" t="str">
        <f>IF(AD315="Home",BI315,IF(AD315="Away",BJ315,Q315))</f>
        <v>London</v>
      </c>
      <c r="BN315" s="46"/>
      <c r="BO315" s="46"/>
      <c r="BP315" s="46"/>
      <c r="BQ315" s="46"/>
      <c r="BR315" s="46"/>
      <c r="BS315" s="46"/>
      <c r="BT315" s="46"/>
      <c r="BU315" s="46"/>
      <c r="BV315" s="46" t="s">
        <v>376</v>
      </c>
      <c r="BW315" s="46" t="s">
        <v>376</v>
      </c>
      <c r="BX315" s="46"/>
      <c r="BZ315" s="53"/>
      <c r="CA315" s="53"/>
      <c r="CB315" s="93" t="str">
        <f>IF(OR(C315="",A315="",B315=""),"",TEXT(C315,"0000")&amp;TEXT(A315,"00")&amp;TEXT(B315,"00"))</f>
        <v>19140424</v>
      </c>
    </row>
    <row r="316" spans="1:80" s="52" customFormat="1" ht="12.95" customHeight="1" x14ac:dyDescent="0.2">
      <c r="A316" s="46">
        <v>3</v>
      </c>
      <c r="B316" s="46">
        <v>27</v>
      </c>
      <c r="C316" s="46">
        <v>1915</v>
      </c>
      <c r="D316" s="46" t="s">
        <v>658</v>
      </c>
      <c r="E316" s="46" t="s">
        <v>1257</v>
      </c>
      <c r="F316" s="47" t="s">
        <v>1010</v>
      </c>
      <c r="G316" s="46"/>
      <c r="H316" s="47" t="s">
        <v>1011</v>
      </c>
      <c r="I316" s="47"/>
      <c r="J316" s="48">
        <v>5565</v>
      </c>
      <c r="K316" s="46" t="s">
        <v>1207</v>
      </c>
      <c r="L316" s="46" t="s">
        <v>3</v>
      </c>
      <c r="M316" s="46" t="s">
        <v>1157</v>
      </c>
      <c r="N316" s="49">
        <v>2</v>
      </c>
      <c r="O316" s="49">
        <v>1</v>
      </c>
      <c r="P316" s="47" t="s">
        <v>1178</v>
      </c>
      <c r="Q316" s="47" t="s">
        <v>1085</v>
      </c>
      <c r="R316" s="47" t="s">
        <v>376</v>
      </c>
      <c r="S316" s="46"/>
      <c r="T316" s="46"/>
      <c r="U316" s="46"/>
      <c r="V316" s="46"/>
      <c r="W316" s="46"/>
      <c r="X316" s="46"/>
      <c r="Y316" s="46"/>
      <c r="Z316" s="46"/>
      <c r="AA316" s="46"/>
      <c r="AB316" s="46"/>
      <c r="AC316" s="46"/>
      <c r="AD316" s="46"/>
      <c r="AE316" s="50">
        <f>IF(L316="W",1,0)</f>
        <v>1</v>
      </c>
      <c r="AF316" s="50">
        <f>IF(L316="T",1,0)</f>
        <v>0</v>
      </c>
      <c r="AG316" s="50">
        <f>IF(L316="L",1,0)</f>
        <v>0</v>
      </c>
      <c r="AH316" s="46" t="s">
        <v>1097</v>
      </c>
      <c r="AI316" s="46" t="s">
        <v>1098</v>
      </c>
      <c r="AJ316" s="46" t="s">
        <v>376</v>
      </c>
      <c r="AK316" s="46" t="s">
        <v>658</v>
      </c>
      <c r="AL316" s="46" t="s">
        <v>1101</v>
      </c>
      <c r="AM316" s="46" t="s">
        <v>1159</v>
      </c>
      <c r="AN316" s="46" t="s">
        <v>376</v>
      </c>
      <c r="AO316" s="46" t="s">
        <v>658</v>
      </c>
      <c r="AP316" s="46"/>
      <c r="AQ316" s="46">
        <v>2</v>
      </c>
      <c r="AR316" s="46"/>
      <c r="AS316" s="46"/>
      <c r="AT316" s="46"/>
      <c r="AU316" s="46" t="s">
        <v>376</v>
      </c>
      <c r="AV316" s="46"/>
      <c r="AW316" s="46" t="s">
        <v>30</v>
      </c>
      <c r="AX316" s="46"/>
      <c r="AY316" s="46" t="s">
        <v>30</v>
      </c>
      <c r="AZ316" s="46"/>
      <c r="BA316" s="47"/>
      <c r="BB316" s="51"/>
      <c r="BC316" s="46"/>
      <c r="BD316" s="46"/>
      <c r="BE316" s="46"/>
      <c r="BF316" s="46">
        <v>1</v>
      </c>
      <c r="BG316" s="46">
        <v>1</v>
      </c>
      <c r="BH316" s="46">
        <v>1</v>
      </c>
      <c r="BI316" s="46" t="s">
        <v>1207</v>
      </c>
      <c r="BJ316" s="46" t="s">
        <v>1157</v>
      </c>
      <c r="BK316" s="46">
        <v>1915</v>
      </c>
      <c r="BL316" s="46" t="str">
        <f>BK316&amp;BI316</f>
        <v>1915Sheffield United</v>
      </c>
      <c r="BM316" s="52" t="str">
        <f>IF(AD316="Home",BI316,IF(AD316="Away",BJ316,Q316))</f>
        <v>Blackburn</v>
      </c>
      <c r="BN316" s="46"/>
      <c r="BO316" s="46"/>
      <c r="BP316" s="46"/>
      <c r="BQ316" s="46"/>
      <c r="BR316" s="46"/>
      <c r="BS316" s="46"/>
      <c r="BT316" s="46"/>
      <c r="BU316" s="46"/>
      <c r="BV316" s="46" t="s">
        <v>376</v>
      </c>
      <c r="BW316" s="46" t="s">
        <v>376</v>
      </c>
      <c r="BX316" s="46"/>
      <c r="BZ316" s="53"/>
      <c r="CA316" s="53"/>
      <c r="CB316" s="93" t="str">
        <f>IF(OR(C316="",A316="",B316=""),"",TEXT(C316,"0000")&amp;TEXT(A316,"00")&amp;TEXT(B316,"00"))</f>
        <v>19150327</v>
      </c>
    </row>
    <row r="317" spans="1:80" s="52" customFormat="1" ht="12.95" customHeight="1" x14ac:dyDescent="0.2">
      <c r="A317" s="46">
        <v>3</v>
      </c>
      <c r="B317" s="46">
        <v>27</v>
      </c>
      <c r="C317" s="46">
        <v>1915</v>
      </c>
      <c r="D317" s="46" t="s">
        <v>658</v>
      </c>
      <c r="E317" s="46" t="s">
        <v>1257</v>
      </c>
      <c r="F317" s="47" t="s">
        <v>1010</v>
      </c>
      <c r="G317" s="46"/>
      <c r="H317" s="47" t="s">
        <v>1011</v>
      </c>
      <c r="I317" s="47"/>
      <c r="J317" s="48">
        <v>5565</v>
      </c>
      <c r="K317" s="46" t="s">
        <v>1157</v>
      </c>
      <c r="L317" s="46" t="s">
        <v>4</v>
      </c>
      <c r="M317" s="46" t="s">
        <v>1207</v>
      </c>
      <c r="N317" s="49">
        <v>1</v>
      </c>
      <c r="O317" s="49">
        <v>2</v>
      </c>
      <c r="P317" s="47" t="s">
        <v>1178</v>
      </c>
      <c r="Q317" s="47" t="s">
        <v>1085</v>
      </c>
      <c r="R317" s="47" t="s">
        <v>376</v>
      </c>
      <c r="S317" s="46"/>
      <c r="T317" s="46"/>
      <c r="U317" s="46"/>
      <c r="V317" s="46"/>
      <c r="W317" s="46"/>
      <c r="X317" s="46"/>
      <c r="Y317" s="46"/>
      <c r="Z317" s="46"/>
      <c r="AA317" s="46"/>
      <c r="AB317" s="46"/>
      <c r="AC317" s="46"/>
      <c r="AD317" s="46"/>
      <c r="AE317" s="50">
        <f>IF(L317="W",1,0)</f>
        <v>0</v>
      </c>
      <c r="AF317" s="50">
        <f>IF(L317="T",1,0)</f>
        <v>0</v>
      </c>
      <c r="AG317" s="50">
        <f>IF(L317="L",1,0)</f>
        <v>1</v>
      </c>
      <c r="AH317" s="46" t="s">
        <v>1101</v>
      </c>
      <c r="AI317" s="46" t="s">
        <v>1159</v>
      </c>
      <c r="AJ317" s="46" t="s">
        <v>376</v>
      </c>
      <c r="AK317" s="46" t="s">
        <v>658</v>
      </c>
      <c r="AL317" s="46" t="s">
        <v>1097</v>
      </c>
      <c r="AM317" s="46" t="s">
        <v>1098</v>
      </c>
      <c r="AN317" s="46" t="s">
        <v>376</v>
      </c>
      <c r="AO317" s="46" t="s">
        <v>658</v>
      </c>
      <c r="AP317" s="46"/>
      <c r="AQ317" s="46">
        <v>2</v>
      </c>
      <c r="AR317" s="46"/>
      <c r="AS317" s="46"/>
      <c r="AT317" s="46"/>
      <c r="AU317" s="46" t="s">
        <v>376</v>
      </c>
      <c r="AV317" s="46"/>
      <c r="AW317" s="46" t="s">
        <v>30</v>
      </c>
      <c r="AX317" s="46"/>
      <c r="AY317" s="46" t="s">
        <v>30</v>
      </c>
      <c r="AZ317" s="46"/>
      <c r="BA317" s="47"/>
      <c r="BB317" s="51"/>
      <c r="BC317" s="46"/>
      <c r="BD317" s="46"/>
      <c r="BE317" s="46"/>
      <c r="BF317" s="46">
        <v>1</v>
      </c>
      <c r="BG317" s="46">
        <v>1</v>
      </c>
      <c r="BH317" s="46">
        <v>1</v>
      </c>
      <c r="BI317" s="46" t="s">
        <v>1157</v>
      </c>
      <c r="BJ317" s="46" t="s">
        <v>1207</v>
      </c>
      <c r="BK317" s="46">
        <v>1915</v>
      </c>
      <c r="BL317" s="46" t="str">
        <f>BK317&amp;BI317</f>
        <v>1915Bolton Wanderers</v>
      </c>
      <c r="BM317" s="52" t="str">
        <f>IF(AD317="Home",BI317,IF(AD317="Away",BJ317,Q317))</f>
        <v>Blackburn</v>
      </c>
      <c r="BN317" s="46"/>
      <c r="BO317" s="46"/>
      <c r="BP317" s="46"/>
      <c r="BQ317" s="46"/>
      <c r="BR317" s="46"/>
      <c r="BS317" s="46"/>
      <c r="BT317" s="46"/>
      <c r="BU317" s="46"/>
      <c r="BV317" s="46" t="s">
        <v>376</v>
      </c>
      <c r="BW317" s="46" t="s">
        <v>376</v>
      </c>
      <c r="BX317" s="46"/>
      <c r="BZ317" s="53"/>
      <c r="CA317" s="53"/>
      <c r="CB317" s="93" t="str">
        <f>IF(OR(C317="",A317="",B317=""),"",TEXT(C317,"0000")&amp;TEXT(A317,"00")&amp;TEXT(B317,"00"))</f>
        <v>19150327</v>
      </c>
    </row>
    <row r="318" spans="1:80" s="52" customFormat="1" ht="12.95" customHeight="1" x14ac:dyDescent="0.2">
      <c r="A318" s="46">
        <v>3</v>
      </c>
      <c r="B318" s="46">
        <v>27</v>
      </c>
      <c r="C318" s="46">
        <v>1915</v>
      </c>
      <c r="D318" s="46" t="s">
        <v>658</v>
      </c>
      <c r="E318" s="46" t="s">
        <v>1257</v>
      </c>
      <c r="F318" s="47" t="s">
        <v>1010</v>
      </c>
      <c r="G318" s="46"/>
      <c r="H318" s="47" t="s">
        <v>1011</v>
      </c>
      <c r="I318" s="47"/>
      <c r="J318" s="48">
        <v>5565</v>
      </c>
      <c r="K318" s="46" t="s">
        <v>816</v>
      </c>
      <c r="L318" s="46" t="s">
        <v>3</v>
      </c>
      <c r="M318" s="46" t="s">
        <v>804</v>
      </c>
      <c r="N318" s="49">
        <v>2</v>
      </c>
      <c r="O318" s="49">
        <v>0</v>
      </c>
      <c r="P318" s="47" t="s">
        <v>1219</v>
      </c>
      <c r="Q318" s="47" t="s">
        <v>1111</v>
      </c>
      <c r="R318" s="47" t="s">
        <v>376</v>
      </c>
      <c r="S318" s="46"/>
      <c r="T318" s="46"/>
      <c r="U318" s="46"/>
      <c r="V318" s="46"/>
      <c r="W318" s="46"/>
      <c r="X318" s="46"/>
      <c r="Y318" s="46"/>
      <c r="Z318" s="46"/>
      <c r="AA318" s="46"/>
      <c r="AB318" s="46"/>
      <c r="AC318" s="46"/>
      <c r="AD318" s="46"/>
      <c r="AE318" s="50">
        <f>IF(L318="W",1,0)</f>
        <v>1</v>
      </c>
      <c r="AF318" s="50">
        <f>IF(L318="T",1,0)</f>
        <v>0</v>
      </c>
      <c r="AG318" s="50">
        <f>IF(L318="L",1,0)</f>
        <v>0</v>
      </c>
      <c r="AH318" s="46" t="s">
        <v>1017</v>
      </c>
      <c r="AI318" s="46" t="s">
        <v>1018</v>
      </c>
      <c r="AJ318" s="46" t="s">
        <v>376</v>
      </c>
      <c r="AK318" s="46" t="s">
        <v>658</v>
      </c>
      <c r="AL318" s="46" t="s">
        <v>588</v>
      </c>
      <c r="AM318" s="46" t="s">
        <v>1175</v>
      </c>
      <c r="AN318" s="46" t="s">
        <v>376</v>
      </c>
      <c r="AO318" s="46" t="s">
        <v>658</v>
      </c>
      <c r="AP318" s="46"/>
      <c r="AQ318" s="46">
        <v>2</v>
      </c>
      <c r="AR318" s="46"/>
      <c r="AS318" s="46"/>
      <c r="AT318" s="46"/>
      <c r="AU318" s="46" t="s">
        <v>376</v>
      </c>
      <c r="AV318" s="46"/>
      <c r="AW318" s="46" t="s">
        <v>30</v>
      </c>
      <c r="AX318" s="46"/>
      <c r="AY318" s="46" t="s">
        <v>30</v>
      </c>
      <c r="AZ318" s="46"/>
      <c r="BA318" s="47"/>
      <c r="BB318" s="51"/>
      <c r="BC318" s="46"/>
      <c r="BD318" s="46"/>
      <c r="BE318" s="46"/>
      <c r="BF318" s="46">
        <v>1</v>
      </c>
      <c r="BG318" s="46">
        <v>1</v>
      </c>
      <c r="BH318" s="46">
        <v>1</v>
      </c>
      <c r="BI318" s="46" t="s">
        <v>816</v>
      </c>
      <c r="BJ318" s="46" t="s">
        <v>804</v>
      </c>
      <c r="BK318" s="46">
        <v>1915</v>
      </c>
      <c r="BL318" s="46" t="str">
        <f>BK318&amp;BI318</f>
        <v>1915Chelsea</v>
      </c>
      <c r="BM318" s="52" t="str">
        <f>IF(AD318="Home",BI318,IF(AD318="Away",BJ318,Q318))</f>
        <v>Birmingham</v>
      </c>
      <c r="BN318" s="46"/>
      <c r="BO318" s="46"/>
      <c r="BP318" s="46"/>
      <c r="BQ318" s="46"/>
      <c r="BR318" s="46"/>
      <c r="BS318" s="46"/>
      <c r="BT318" s="46"/>
      <c r="BU318" s="46"/>
      <c r="BV318" s="46" t="s">
        <v>376</v>
      </c>
      <c r="BW318" s="46" t="s">
        <v>376</v>
      </c>
      <c r="BX318" s="46"/>
      <c r="BZ318" s="53"/>
      <c r="CA318" s="53"/>
      <c r="CB318" s="93" t="str">
        <f>IF(OR(C318="",A318="",B318=""),"",TEXT(C318,"0000")&amp;TEXT(A318,"00")&amp;TEXT(B318,"00"))</f>
        <v>19150327</v>
      </c>
    </row>
    <row r="319" spans="1:80" s="52" customFormat="1" ht="12.95" customHeight="1" x14ac:dyDescent="0.2">
      <c r="A319" s="46">
        <v>3</v>
      </c>
      <c r="B319" s="46">
        <v>27</v>
      </c>
      <c r="C319" s="46">
        <v>1915</v>
      </c>
      <c r="D319" s="46" t="s">
        <v>658</v>
      </c>
      <c r="E319" s="46" t="s">
        <v>1257</v>
      </c>
      <c r="F319" s="47" t="s">
        <v>1010</v>
      </c>
      <c r="G319" s="46"/>
      <c r="H319" s="47" t="s">
        <v>1011</v>
      </c>
      <c r="I319" s="47"/>
      <c r="J319" s="48">
        <v>5565</v>
      </c>
      <c r="K319" s="46" t="s">
        <v>804</v>
      </c>
      <c r="L319" s="46" t="s">
        <v>4</v>
      </c>
      <c r="M319" s="46" t="s">
        <v>816</v>
      </c>
      <c r="N319" s="49">
        <v>0</v>
      </c>
      <c r="O319" s="49">
        <v>2</v>
      </c>
      <c r="P319" s="47" t="s">
        <v>1219</v>
      </c>
      <c r="Q319" s="47" t="s">
        <v>1111</v>
      </c>
      <c r="R319" s="47" t="s">
        <v>376</v>
      </c>
      <c r="S319" s="46"/>
      <c r="T319" s="46"/>
      <c r="U319" s="46"/>
      <c r="V319" s="46"/>
      <c r="W319" s="46"/>
      <c r="X319" s="46"/>
      <c r="Y319" s="46"/>
      <c r="Z319" s="46"/>
      <c r="AA319" s="46"/>
      <c r="AB319" s="46"/>
      <c r="AC319" s="46"/>
      <c r="AD319" s="46"/>
      <c r="AE319" s="50">
        <f>IF(L319="W",1,0)</f>
        <v>0</v>
      </c>
      <c r="AF319" s="50">
        <f>IF(L319="T",1,0)</f>
        <v>0</v>
      </c>
      <c r="AG319" s="50">
        <f>IF(L319="L",1,0)</f>
        <v>1</v>
      </c>
      <c r="AH319" s="46" t="s">
        <v>588</v>
      </c>
      <c r="AI319" s="46" t="s">
        <v>1175</v>
      </c>
      <c r="AJ319" s="46" t="s">
        <v>376</v>
      </c>
      <c r="AK319" s="46" t="s">
        <v>658</v>
      </c>
      <c r="AL319" s="46" t="s">
        <v>1017</v>
      </c>
      <c r="AM319" s="46" t="s">
        <v>1018</v>
      </c>
      <c r="AN319" s="46" t="s">
        <v>376</v>
      </c>
      <c r="AO319" s="46" t="s">
        <v>658</v>
      </c>
      <c r="AP319" s="46"/>
      <c r="AQ319" s="46">
        <v>2</v>
      </c>
      <c r="AR319" s="46"/>
      <c r="AS319" s="46"/>
      <c r="AT319" s="46"/>
      <c r="AU319" s="46" t="s">
        <v>376</v>
      </c>
      <c r="AV319" s="46"/>
      <c r="AW319" s="46" t="s">
        <v>30</v>
      </c>
      <c r="AX319" s="46"/>
      <c r="AY319" s="46" t="s">
        <v>30</v>
      </c>
      <c r="AZ319" s="46"/>
      <c r="BA319" s="47"/>
      <c r="BB319" s="51"/>
      <c r="BC319" s="46"/>
      <c r="BD319" s="46"/>
      <c r="BE319" s="46"/>
      <c r="BF319" s="46">
        <v>1</v>
      </c>
      <c r="BG319" s="46">
        <v>1</v>
      </c>
      <c r="BH319" s="46">
        <v>1</v>
      </c>
      <c r="BI319" s="46" t="s">
        <v>804</v>
      </c>
      <c r="BJ319" s="46" t="s">
        <v>816</v>
      </c>
      <c r="BK319" s="46">
        <v>1915</v>
      </c>
      <c r="BL319" s="46" t="str">
        <f>BK319&amp;BI319</f>
        <v>1915Everton</v>
      </c>
      <c r="BM319" s="52" t="str">
        <f>IF(AD319="Home",BI319,IF(AD319="Away",BJ319,Q319))</f>
        <v>Birmingham</v>
      </c>
      <c r="BN319" s="46"/>
      <c r="BO319" s="46"/>
      <c r="BP319" s="46"/>
      <c r="BQ319" s="46"/>
      <c r="BR319" s="46"/>
      <c r="BS319" s="46"/>
      <c r="BT319" s="46"/>
      <c r="BU319" s="46"/>
      <c r="BV319" s="46" t="s">
        <v>376</v>
      </c>
      <c r="BW319" s="46" t="s">
        <v>376</v>
      </c>
      <c r="BX319" s="46"/>
      <c r="BZ319" s="53"/>
      <c r="CA319" s="53"/>
      <c r="CB319" s="93" t="str">
        <f>IF(OR(C319="",A319="",B319=""),"",TEXT(C319,"0000")&amp;TEXT(A319,"00")&amp;TEXT(B319,"00"))</f>
        <v>19150327</v>
      </c>
    </row>
    <row r="320" spans="1:80" s="52" customFormat="1" ht="12.95" customHeight="1" x14ac:dyDescent="0.2">
      <c r="A320" s="46">
        <v>4</v>
      </c>
      <c r="B320" s="46">
        <v>24</v>
      </c>
      <c r="C320" s="46">
        <v>1915</v>
      </c>
      <c r="D320" s="46" t="s">
        <v>658</v>
      </c>
      <c r="E320" s="46" t="s">
        <v>1257</v>
      </c>
      <c r="F320" s="47" t="s">
        <v>1010</v>
      </c>
      <c r="G320" s="46"/>
      <c r="H320" s="47" t="s">
        <v>1025</v>
      </c>
      <c r="I320" s="47"/>
      <c r="J320" s="48">
        <v>5593</v>
      </c>
      <c r="K320" s="46" t="s">
        <v>1207</v>
      </c>
      <c r="L320" s="46" t="s">
        <v>3</v>
      </c>
      <c r="M320" s="46" t="s">
        <v>816</v>
      </c>
      <c r="N320" s="49">
        <v>3</v>
      </c>
      <c r="O320" s="49">
        <v>0</v>
      </c>
      <c r="P320" s="47" t="s">
        <v>1246</v>
      </c>
      <c r="Q320" s="47" t="s">
        <v>1101</v>
      </c>
      <c r="R320" s="47" t="s">
        <v>376</v>
      </c>
      <c r="S320" s="46"/>
      <c r="T320" s="46"/>
      <c r="U320" s="46"/>
      <c r="V320" s="46"/>
      <c r="W320" s="46"/>
      <c r="X320" s="46"/>
      <c r="Y320" s="46"/>
      <c r="Z320" s="46"/>
      <c r="AA320" s="46"/>
      <c r="AB320" s="46"/>
      <c r="AC320" s="46"/>
      <c r="AD320" s="46"/>
      <c r="AE320" s="50">
        <f>IF(L320="W",1,0)</f>
        <v>1</v>
      </c>
      <c r="AF320" s="50">
        <f>IF(L320="T",1,0)</f>
        <v>0</v>
      </c>
      <c r="AG320" s="50">
        <f>IF(L320="L",1,0)</f>
        <v>0</v>
      </c>
      <c r="AH320" s="46" t="s">
        <v>1097</v>
      </c>
      <c r="AI320" s="46" t="s">
        <v>1098</v>
      </c>
      <c r="AJ320" s="46" t="s">
        <v>376</v>
      </c>
      <c r="AK320" s="46" t="s">
        <v>658</v>
      </c>
      <c r="AL320" s="46" t="s">
        <v>1017</v>
      </c>
      <c r="AM320" s="46" t="s">
        <v>1018</v>
      </c>
      <c r="AN320" s="46" t="s">
        <v>376</v>
      </c>
      <c r="AO320" s="46" t="s">
        <v>658</v>
      </c>
      <c r="AP320" s="46"/>
      <c r="AQ320" s="46">
        <v>1</v>
      </c>
      <c r="AR320" s="46"/>
      <c r="AS320" s="46"/>
      <c r="AT320" s="46"/>
      <c r="AU320" s="46" t="s">
        <v>376</v>
      </c>
      <c r="AV320" s="46"/>
      <c r="AW320" s="46" t="s">
        <v>30</v>
      </c>
      <c r="AX320" s="46"/>
      <c r="AY320" s="46" t="s">
        <v>30</v>
      </c>
      <c r="AZ320" s="46"/>
      <c r="BA320" s="47"/>
      <c r="BB320" s="51" t="s">
        <v>30</v>
      </c>
      <c r="BC320" s="46" t="s">
        <v>30</v>
      </c>
      <c r="BD320" s="46"/>
      <c r="BE320" s="46"/>
      <c r="BF320" s="46">
        <v>1</v>
      </c>
      <c r="BG320" s="46">
        <v>1</v>
      </c>
      <c r="BH320" s="46">
        <v>1</v>
      </c>
      <c r="BI320" s="46" t="s">
        <v>1207</v>
      </c>
      <c r="BJ320" s="46" t="s">
        <v>816</v>
      </c>
      <c r="BK320" s="46">
        <v>1915</v>
      </c>
      <c r="BL320" s="46" t="str">
        <f>BK320&amp;BI320</f>
        <v>1915Sheffield United</v>
      </c>
      <c r="BM320" s="52" t="str">
        <f>IF(AD320="Home",BI320,IF(AD320="Away",BJ320,Q320))</f>
        <v>Manchester</v>
      </c>
      <c r="BN320" s="46"/>
      <c r="BO320" s="46"/>
      <c r="BP320" s="46"/>
      <c r="BQ320" s="46"/>
      <c r="BR320" s="46"/>
      <c r="BS320" s="46"/>
      <c r="BT320" s="46"/>
      <c r="BU320" s="46"/>
      <c r="BV320" s="46" t="s">
        <v>376</v>
      </c>
      <c r="BW320" s="46" t="s">
        <v>376</v>
      </c>
      <c r="BX320" s="46"/>
      <c r="BZ320" s="53"/>
      <c r="CA320" s="53"/>
      <c r="CB320" s="93" t="str">
        <f>IF(OR(C320="",A320="",B320=""),"",TEXT(C320,"0000")&amp;TEXT(A320,"00")&amp;TEXT(B320,"00"))</f>
        <v>19150424</v>
      </c>
    </row>
    <row r="321" spans="1:80" s="52" customFormat="1" ht="12.95" customHeight="1" x14ac:dyDescent="0.2">
      <c r="A321" s="46">
        <v>4</v>
      </c>
      <c r="B321" s="46">
        <v>24</v>
      </c>
      <c r="C321" s="46">
        <v>1915</v>
      </c>
      <c r="D321" s="46" t="s">
        <v>658</v>
      </c>
      <c r="E321" s="46" t="s">
        <v>1257</v>
      </c>
      <c r="F321" s="47" t="s">
        <v>1010</v>
      </c>
      <c r="G321" s="46"/>
      <c r="H321" s="47" t="s">
        <v>1025</v>
      </c>
      <c r="I321" s="47"/>
      <c r="J321" s="48">
        <v>5593</v>
      </c>
      <c r="K321" s="46" t="s">
        <v>816</v>
      </c>
      <c r="L321" s="46" t="s">
        <v>4</v>
      </c>
      <c r="M321" s="46" t="s">
        <v>1207</v>
      </c>
      <c r="N321" s="49">
        <v>0</v>
      </c>
      <c r="O321" s="49">
        <v>3</v>
      </c>
      <c r="P321" s="47" t="s">
        <v>1246</v>
      </c>
      <c r="Q321" s="47" t="s">
        <v>1101</v>
      </c>
      <c r="R321" s="47" t="s">
        <v>376</v>
      </c>
      <c r="S321" s="46"/>
      <c r="T321" s="46"/>
      <c r="U321" s="46"/>
      <c r="V321" s="46"/>
      <c r="W321" s="46"/>
      <c r="X321" s="46"/>
      <c r="Y321" s="46"/>
      <c r="Z321" s="46"/>
      <c r="AA321" s="46"/>
      <c r="AB321" s="46"/>
      <c r="AC321" s="46"/>
      <c r="AD321" s="46"/>
      <c r="AE321" s="50">
        <f>IF(L321="W",1,0)</f>
        <v>0</v>
      </c>
      <c r="AF321" s="50">
        <f>IF(L321="T",1,0)</f>
        <v>0</v>
      </c>
      <c r="AG321" s="50">
        <f>IF(L321="L",1,0)</f>
        <v>1</v>
      </c>
      <c r="AH321" s="46" t="s">
        <v>1017</v>
      </c>
      <c r="AI321" s="46" t="s">
        <v>1018</v>
      </c>
      <c r="AJ321" s="46" t="s">
        <v>376</v>
      </c>
      <c r="AK321" s="46" t="s">
        <v>658</v>
      </c>
      <c r="AL321" s="46" t="s">
        <v>1097</v>
      </c>
      <c r="AM321" s="46" t="s">
        <v>1098</v>
      </c>
      <c r="AN321" s="46" t="s">
        <v>376</v>
      </c>
      <c r="AO321" s="46" t="s">
        <v>658</v>
      </c>
      <c r="AP321" s="46"/>
      <c r="AQ321" s="46">
        <v>1</v>
      </c>
      <c r="AR321" s="46"/>
      <c r="AS321" s="46"/>
      <c r="AT321" s="46"/>
      <c r="AU321" s="46" t="s">
        <v>376</v>
      </c>
      <c r="AV321" s="46"/>
      <c r="AW321" s="46" t="s">
        <v>30</v>
      </c>
      <c r="AX321" s="46"/>
      <c r="AY321" s="46" t="s">
        <v>30</v>
      </c>
      <c r="AZ321" s="46"/>
      <c r="BA321" s="47"/>
      <c r="BB321" s="51"/>
      <c r="BC321" s="46" t="s">
        <v>30</v>
      </c>
      <c r="BD321" s="46"/>
      <c r="BE321" s="46"/>
      <c r="BF321" s="46">
        <v>1</v>
      </c>
      <c r="BG321" s="46">
        <v>1</v>
      </c>
      <c r="BH321" s="46">
        <v>1</v>
      </c>
      <c r="BI321" s="46" t="s">
        <v>816</v>
      </c>
      <c r="BJ321" s="46" t="s">
        <v>1207</v>
      </c>
      <c r="BK321" s="46">
        <v>1915</v>
      </c>
      <c r="BL321" s="46" t="str">
        <f>BK321&amp;BI321</f>
        <v>1915Chelsea</v>
      </c>
      <c r="BM321" s="52" t="str">
        <f>IF(AD321="Home",BI321,IF(AD321="Away",BJ321,Q321))</f>
        <v>Manchester</v>
      </c>
      <c r="BN321" s="46"/>
      <c r="BO321" s="46"/>
      <c r="BP321" s="46"/>
      <c r="BQ321" s="46"/>
      <c r="BR321" s="46"/>
      <c r="BS321" s="46"/>
      <c r="BT321" s="46"/>
      <c r="BU321" s="46"/>
      <c r="BV321" s="46" t="s">
        <v>376</v>
      </c>
      <c r="BW321" s="46" t="s">
        <v>376</v>
      </c>
      <c r="BX321" s="46"/>
      <c r="BZ321" s="53"/>
      <c r="CA321" s="53"/>
      <c r="CB321" s="93" t="str">
        <f>IF(OR(C321="",A321="",B321=""),"",TEXT(C321,"0000")&amp;TEXT(A321,"00")&amp;TEXT(B321,"00"))</f>
        <v>19150424</v>
      </c>
    </row>
    <row r="322" spans="1:80" s="52" customFormat="1" ht="12.95" customHeight="1" x14ac:dyDescent="0.2">
      <c r="A322" s="46">
        <v>3</v>
      </c>
      <c r="B322" s="46">
        <v>27</v>
      </c>
      <c r="C322" s="46">
        <v>1920</v>
      </c>
      <c r="D322" s="46" t="s">
        <v>658</v>
      </c>
      <c r="E322" s="46" t="s">
        <v>1258</v>
      </c>
      <c r="F322" s="47" t="s">
        <v>1010</v>
      </c>
      <c r="G322" s="46"/>
      <c r="H322" s="47" t="s">
        <v>1011</v>
      </c>
      <c r="I322" s="47"/>
      <c r="J322" s="48">
        <v>7392</v>
      </c>
      <c r="K322" s="46" t="s">
        <v>806</v>
      </c>
      <c r="L322" s="46" t="s">
        <v>3</v>
      </c>
      <c r="M322" s="46" t="s">
        <v>816</v>
      </c>
      <c r="N322" s="49">
        <v>3</v>
      </c>
      <c r="O322" s="49">
        <v>1</v>
      </c>
      <c r="P322" s="47" t="s">
        <v>1163</v>
      </c>
      <c r="Q322" s="47" t="s">
        <v>1097</v>
      </c>
      <c r="R322" s="47" t="s">
        <v>376</v>
      </c>
      <c r="S322" s="46"/>
      <c r="T322" s="46"/>
      <c r="U322" s="46"/>
      <c r="V322" s="46"/>
      <c r="W322" s="46"/>
      <c r="X322" s="46"/>
      <c r="Y322" s="46"/>
      <c r="Z322" s="46"/>
      <c r="AA322" s="46"/>
      <c r="AB322" s="46"/>
      <c r="AC322" s="46"/>
      <c r="AD322" s="46"/>
      <c r="AE322" s="50">
        <f>IF(L322="W",1,0)</f>
        <v>1</v>
      </c>
      <c r="AF322" s="50">
        <f>IF(L322="T",1,0)</f>
        <v>0</v>
      </c>
      <c r="AG322" s="50">
        <f>IF(L322="L",1,0)</f>
        <v>0</v>
      </c>
      <c r="AH322" s="46" t="s">
        <v>1111</v>
      </c>
      <c r="AI322" s="46" t="s">
        <v>1126</v>
      </c>
      <c r="AJ322" s="46" t="s">
        <v>376</v>
      </c>
      <c r="AK322" s="46" t="s">
        <v>658</v>
      </c>
      <c r="AL322" s="46" t="s">
        <v>1017</v>
      </c>
      <c r="AM322" s="46" t="s">
        <v>1018</v>
      </c>
      <c r="AN322" s="46" t="s">
        <v>376</v>
      </c>
      <c r="AO322" s="46" t="s">
        <v>658</v>
      </c>
      <c r="AP322" s="46"/>
      <c r="AQ322" s="46">
        <v>2</v>
      </c>
      <c r="AR322" s="46"/>
      <c r="AS322" s="46"/>
      <c r="AT322" s="46"/>
      <c r="AU322" s="46" t="s">
        <v>376</v>
      </c>
      <c r="AV322" s="46"/>
      <c r="AW322" s="46" t="s">
        <v>30</v>
      </c>
      <c r="AX322" s="46"/>
      <c r="AY322" s="46" t="s">
        <v>30</v>
      </c>
      <c r="AZ322" s="46"/>
      <c r="BA322" s="47"/>
      <c r="BB322" s="51"/>
      <c r="BC322" s="46"/>
      <c r="BD322" s="46"/>
      <c r="BE322" s="46"/>
      <c r="BF322" s="46">
        <v>1</v>
      </c>
      <c r="BG322" s="46">
        <v>1</v>
      </c>
      <c r="BH322" s="46">
        <v>1</v>
      </c>
      <c r="BI322" s="46" t="s">
        <v>806</v>
      </c>
      <c r="BJ322" s="46" t="s">
        <v>816</v>
      </c>
      <c r="BK322" s="46">
        <v>1920</v>
      </c>
      <c r="BL322" s="46" t="str">
        <f>BK322&amp;BI322</f>
        <v>1920Aston Villa</v>
      </c>
      <c r="BM322" s="52" t="str">
        <f>IF(AD322="Home",BI322,IF(AD322="Away",BJ322,Q322))</f>
        <v>Sheffield</v>
      </c>
      <c r="BN322" s="46"/>
      <c r="BO322" s="46"/>
      <c r="BP322" s="46"/>
      <c r="BQ322" s="46"/>
      <c r="BR322" s="46"/>
      <c r="BS322" s="46"/>
      <c r="BT322" s="46"/>
      <c r="BU322" s="46"/>
      <c r="BV322" s="46" t="s">
        <v>376</v>
      </c>
      <c r="BW322" s="46" t="s">
        <v>376</v>
      </c>
      <c r="BX322" s="46"/>
      <c r="BY322" s="50"/>
      <c r="BZ322" s="53"/>
      <c r="CA322" s="53"/>
      <c r="CB322" s="93" t="str">
        <f>IF(OR(C322="",A322="",B322=""),"",TEXT(C322,"0000")&amp;TEXT(A322,"00")&amp;TEXT(B322,"00"))</f>
        <v>19200327</v>
      </c>
    </row>
    <row r="323" spans="1:80" s="52" customFormat="1" ht="12.95" customHeight="1" x14ac:dyDescent="0.2">
      <c r="A323" s="46">
        <v>3</v>
      </c>
      <c r="B323" s="46">
        <v>27</v>
      </c>
      <c r="C323" s="46">
        <v>1920</v>
      </c>
      <c r="D323" s="46" t="s">
        <v>658</v>
      </c>
      <c r="E323" s="46" t="s">
        <v>1258</v>
      </c>
      <c r="F323" s="47" t="s">
        <v>1010</v>
      </c>
      <c r="G323" s="46"/>
      <c r="H323" s="47" t="s">
        <v>1011</v>
      </c>
      <c r="I323" s="47"/>
      <c r="J323" s="48">
        <v>7392</v>
      </c>
      <c r="K323" s="46" t="s">
        <v>816</v>
      </c>
      <c r="L323" s="46" t="s">
        <v>4</v>
      </c>
      <c r="M323" s="46" t="s">
        <v>806</v>
      </c>
      <c r="N323" s="49">
        <v>1</v>
      </c>
      <c r="O323" s="49">
        <v>3</v>
      </c>
      <c r="P323" s="47" t="s">
        <v>1163</v>
      </c>
      <c r="Q323" s="47" t="s">
        <v>1097</v>
      </c>
      <c r="R323" s="47" t="s">
        <v>376</v>
      </c>
      <c r="S323" s="46"/>
      <c r="T323" s="46"/>
      <c r="U323" s="46"/>
      <c r="V323" s="46"/>
      <c r="W323" s="46"/>
      <c r="X323" s="46"/>
      <c r="Y323" s="46"/>
      <c r="Z323" s="46"/>
      <c r="AA323" s="46"/>
      <c r="AB323" s="46"/>
      <c r="AC323" s="46"/>
      <c r="AD323" s="46"/>
      <c r="AE323" s="50">
        <f>IF(L323="W",1,0)</f>
        <v>0</v>
      </c>
      <c r="AF323" s="50">
        <f>IF(L323="T",1,0)</f>
        <v>0</v>
      </c>
      <c r="AG323" s="50">
        <f>IF(L323="L",1,0)</f>
        <v>1</v>
      </c>
      <c r="AH323" s="46" t="s">
        <v>1017</v>
      </c>
      <c r="AI323" s="46" t="s">
        <v>1018</v>
      </c>
      <c r="AJ323" s="46" t="s">
        <v>376</v>
      </c>
      <c r="AK323" s="46" t="s">
        <v>658</v>
      </c>
      <c r="AL323" s="46" t="s">
        <v>1111</v>
      </c>
      <c r="AM323" s="46" t="s">
        <v>1126</v>
      </c>
      <c r="AN323" s="46" t="s">
        <v>376</v>
      </c>
      <c r="AO323" s="46" t="s">
        <v>658</v>
      </c>
      <c r="AP323" s="46"/>
      <c r="AQ323" s="46">
        <v>2</v>
      </c>
      <c r="AR323" s="46"/>
      <c r="AS323" s="46"/>
      <c r="AT323" s="46"/>
      <c r="AU323" s="46" t="s">
        <v>376</v>
      </c>
      <c r="AV323" s="46"/>
      <c r="AW323" s="46" t="s">
        <v>30</v>
      </c>
      <c r="AX323" s="46"/>
      <c r="AY323" s="46" t="s">
        <v>30</v>
      </c>
      <c r="AZ323" s="46"/>
      <c r="BA323" s="47"/>
      <c r="BB323" s="51"/>
      <c r="BC323" s="46"/>
      <c r="BD323" s="46"/>
      <c r="BE323" s="46"/>
      <c r="BF323" s="46">
        <v>1</v>
      </c>
      <c r="BG323" s="46">
        <v>1</v>
      </c>
      <c r="BH323" s="46">
        <v>1</v>
      </c>
      <c r="BI323" s="46" t="s">
        <v>816</v>
      </c>
      <c r="BJ323" s="46" t="s">
        <v>806</v>
      </c>
      <c r="BK323" s="46">
        <v>1920</v>
      </c>
      <c r="BL323" s="46" t="str">
        <f>BK323&amp;BI323</f>
        <v>1920Chelsea</v>
      </c>
      <c r="BM323" s="52" t="str">
        <f>IF(AD323="Home",BI323,IF(AD323="Away",BJ323,Q323))</f>
        <v>Sheffield</v>
      </c>
      <c r="BN323" s="46"/>
      <c r="BO323" s="46"/>
      <c r="BP323" s="46"/>
      <c r="BQ323" s="46"/>
      <c r="BR323" s="46"/>
      <c r="BS323" s="46"/>
      <c r="BT323" s="46"/>
      <c r="BU323" s="46"/>
      <c r="BV323" s="46" t="s">
        <v>376</v>
      </c>
      <c r="BW323" s="46" t="s">
        <v>376</v>
      </c>
      <c r="BX323" s="46"/>
      <c r="BY323" s="50"/>
      <c r="BZ323" s="53"/>
      <c r="CA323" s="53"/>
      <c r="CB323" s="93" t="str">
        <f>IF(OR(C323="",A323="",B323=""),"",TEXT(C323,"0000")&amp;TEXT(A323,"00")&amp;TEXT(B323,"00"))</f>
        <v>19200327</v>
      </c>
    </row>
    <row r="324" spans="1:80" s="52" customFormat="1" ht="12.95" customHeight="1" x14ac:dyDescent="0.2">
      <c r="A324" s="46">
        <v>3</v>
      </c>
      <c r="B324" s="46">
        <v>27</v>
      </c>
      <c r="C324" s="46">
        <v>1920</v>
      </c>
      <c r="D324" s="46" t="s">
        <v>658</v>
      </c>
      <c r="E324" s="46" t="s">
        <v>1258</v>
      </c>
      <c r="F324" s="47" t="s">
        <v>1010</v>
      </c>
      <c r="G324" s="46"/>
      <c r="H324" s="47" t="s">
        <v>1011</v>
      </c>
      <c r="I324" s="47"/>
      <c r="J324" s="48">
        <v>7392</v>
      </c>
      <c r="K324" s="46" t="s">
        <v>1259</v>
      </c>
      <c r="L324" s="46" t="s">
        <v>3</v>
      </c>
      <c r="M324" s="46" t="s">
        <v>1236</v>
      </c>
      <c r="N324" s="49">
        <v>2</v>
      </c>
      <c r="O324" s="49">
        <v>1</v>
      </c>
      <c r="P324" s="47" t="s">
        <v>1234</v>
      </c>
      <c r="Q324" s="47" t="s">
        <v>1017</v>
      </c>
      <c r="R324" s="47" t="s">
        <v>376</v>
      </c>
      <c r="S324" s="46"/>
      <c r="T324" s="46"/>
      <c r="U324" s="46"/>
      <c r="V324" s="46"/>
      <c r="W324" s="46"/>
      <c r="X324" s="46"/>
      <c r="Y324" s="46"/>
      <c r="Z324" s="46"/>
      <c r="AA324" s="46"/>
      <c r="AB324" s="46"/>
      <c r="AC324" s="46"/>
      <c r="AD324" s="46"/>
      <c r="AE324" s="50">
        <f>IF(L324="W",1,0)</f>
        <v>1</v>
      </c>
      <c r="AF324" s="50">
        <f>IF(L324="T",1,0)</f>
        <v>0</v>
      </c>
      <c r="AG324" s="50">
        <f>IF(L324="L",1,0)</f>
        <v>0</v>
      </c>
      <c r="AH324" s="46" t="s">
        <v>1096</v>
      </c>
      <c r="AI324" s="46" t="s">
        <v>1260</v>
      </c>
      <c r="AJ324" s="46" t="s">
        <v>376</v>
      </c>
      <c r="AK324" s="46" t="s">
        <v>658</v>
      </c>
      <c r="AL324" s="46" t="s">
        <v>1237</v>
      </c>
      <c r="AM324" s="46" t="s">
        <v>1237</v>
      </c>
      <c r="AN324" s="46" t="s">
        <v>376</v>
      </c>
      <c r="AO324" s="46" t="s">
        <v>658</v>
      </c>
      <c r="AP324" s="46"/>
      <c r="AQ324" s="46">
        <v>2</v>
      </c>
      <c r="AR324" s="46"/>
      <c r="AS324" s="46"/>
      <c r="AT324" s="46"/>
      <c r="AU324" s="46" t="s">
        <v>376</v>
      </c>
      <c r="AV324" s="46"/>
      <c r="AW324" s="46" t="s">
        <v>30</v>
      </c>
      <c r="AX324" s="46"/>
      <c r="AY324" s="46" t="s">
        <v>30</v>
      </c>
      <c r="AZ324" s="46"/>
      <c r="BA324" s="47"/>
      <c r="BB324" s="51"/>
      <c r="BC324" s="46"/>
      <c r="BD324" s="46"/>
      <c r="BE324" s="46"/>
      <c r="BF324" s="46">
        <v>1</v>
      </c>
      <c r="BG324" s="46">
        <v>2</v>
      </c>
      <c r="BH324" s="46">
        <v>2</v>
      </c>
      <c r="BI324" s="46" t="s">
        <v>1259</v>
      </c>
      <c r="BJ324" s="46" t="s">
        <v>1236</v>
      </c>
      <c r="BK324" s="46">
        <v>1920</v>
      </c>
      <c r="BL324" s="46" t="str">
        <f>BK324&amp;BI324</f>
        <v>1920Huddersfield Town</v>
      </c>
      <c r="BM324" s="52" t="str">
        <f>IF(AD324="Home",BI324,IF(AD324="Away",BJ324,Q324))</f>
        <v>London</v>
      </c>
      <c r="BN324" s="46"/>
      <c r="BO324" s="46"/>
      <c r="BP324" s="46"/>
      <c r="BQ324" s="46"/>
      <c r="BR324" s="46"/>
      <c r="BS324" s="46"/>
      <c r="BT324" s="46"/>
      <c r="BU324" s="46"/>
      <c r="BV324" s="46" t="s">
        <v>376</v>
      </c>
      <c r="BW324" s="46" t="s">
        <v>376</v>
      </c>
      <c r="BX324" s="46"/>
      <c r="BZ324" s="53"/>
      <c r="CA324" s="53"/>
      <c r="CB324" s="93" t="str">
        <f>IF(OR(C324="",A324="",B324=""),"",TEXT(C324,"0000")&amp;TEXT(A324,"00")&amp;TEXT(B324,"00"))</f>
        <v>19200327</v>
      </c>
    </row>
    <row r="325" spans="1:80" s="52" customFormat="1" ht="12.95" customHeight="1" x14ac:dyDescent="0.2">
      <c r="A325" s="46">
        <v>3</v>
      </c>
      <c r="B325" s="46">
        <v>27</v>
      </c>
      <c r="C325" s="46">
        <v>1920</v>
      </c>
      <c r="D325" s="46" t="s">
        <v>658</v>
      </c>
      <c r="E325" s="46" t="s">
        <v>1258</v>
      </c>
      <c r="F325" s="47" t="s">
        <v>1010</v>
      </c>
      <c r="G325" s="46"/>
      <c r="H325" s="47" t="s">
        <v>1011</v>
      </c>
      <c r="I325" s="47"/>
      <c r="J325" s="48">
        <v>7392</v>
      </c>
      <c r="K325" s="46" t="s">
        <v>1236</v>
      </c>
      <c r="L325" s="46" t="s">
        <v>4</v>
      </c>
      <c r="M325" s="46" t="s">
        <v>1259</v>
      </c>
      <c r="N325" s="49">
        <v>1</v>
      </c>
      <c r="O325" s="49">
        <v>2</v>
      </c>
      <c r="P325" s="47" t="s">
        <v>1234</v>
      </c>
      <c r="Q325" s="47" t="s">
        <v>1017</v>
      </c>
      <c r="R325" s="47" t="s">
        <v>376</v>
      </c>
      <c r="S325" s="46"/>
      <c r="T325" s="46"/>
      <c r="U325" s="46"/>
      <c r="V325" s="46"/>
      <c r="W325" s="46"/>
      <c r="X325" s="46"/>
      <c r="Y325" s="46"/>
      <c r="Z325" s="46"/>
      <c r="AA325" s="46"/>
      <c r="AB325" s="46"/>
      <c r="AC325" s="46"/>
      <c r="AD325" s="46"/>
      <c r="AE325" s="50">
        <f>IF(L325="W",1,0)</f>
        <v>0</v>
      </c>
      <c r="AF325" s="50">
        <f>IF(L325="T",1,0)</f>
        <v>0</v>
      </c>
      <c r="AG325" s="50">
        <f>IF(L325="L",1,0)</f>
        <v>1</v>
      </c>
      <c r="AH325" s="46" t="s">
        <v>1237</v>
      </c>
      <c r="AI325" s="46" t="s">
        <v>1237</v>
      </c>
      <c r="AJ325" s="46" t="s">
        <v>376</v>
      </c>
      <c r="AK325" s="46" t="s">
        <v>658</v>
      </c>
      <c r="AL325" s="46" t="s">
        <v>1096</v>
      </c>
      <c r="AM325" s="46" t="s">
        <v>1260</v>
      </c>
      <c r="AN325" s="46" t="s">
        <v>376</v>
      </c>
      <c r="AO325" s="46" t="s">
        <v>658</v>
      </c>
      <c r="AP325" s="46"/>
      <c r="AQ325" s="46">
        <v>2</v>
      </c>
      <c r="AR325" s="46"/>
      <c r="AS325" s="46"/>
      <c r="AT325" s="46"/>
      <c r="AU325" s="46" t="s">
        <v>376</v>
      </c>
      <c r="AV325" s="46"/>
      <c r="AW325" s="46" t="s">
        <v>30</v>
      </c>
      <c r="AX325" s="46"/>
      <c r="AY325" s="46" t="s">
        <v>30</v>
      </c>
      <c r="AZ325" s="46"/>
      <c r="BA325" s="47"/>
      <c r="BB325" s="51"/>
      <c r="BC325" s="46"/>
      <c r="BD325" s="46"/>
      <c r="BE325" s="46"/>
      <c r="BF325" s="46">
        <v>1</v>
      </c>
      <c r="BG325" s="46">
        <v>2</v>
      </c>
      <c r="BH325" s="46">
        <v>2</v>
      </c>
      <c r="BI325" s="46" t="s">
        <v>1236</v>
      </c>
      <c r="BJ325" s="46" t="s">
        <v>1259</v>
      </c>
      <c r="BK325" s="46">
        <v>1920</v>
      </c>
      <c r="BL325" s="46" t="str">
        <f>BK325&amp;BI325</f>
        <v>1920Bristol City</v>
      </c>
      <c r="BM325" s="52" t="str">
        <f>IF(AD325="Home",BI325,IF(AD325="Away",BJ325,Q325))</f>
        <v>London</v>
      </c>
      <c r="BN325" s="46"/>
      <c r="BO325" s="46"/>
      <c r="BP325" s="46"/>
      <c r="BQ325" s="46"/>
      <c r="BR325" s="46"/>
      <c r="BS325" s="46"/>
      <c r="BT325" s="46"/>
      <c r="BU325" s="46"/>
      <c r="BV325" s="46" t="s">
        <v>376</v>
      </c>
      <c r="BW325" s="46" t="s">
        <v>376</v>
      </c>
      <c r="BX325" s="46"/>
      <c r="BZ325" s="53"/>
      <c r="CA325" s="53"/>
      <c r="CB325" s="93" t="str">
        <f>IF(OR(C325="",A325="",B325=""),"",TEXT(C325,"0000")&amp;TEXT(A325,"00")&amp;TEXT(B325,"00"))</f>
        <v>19200327</v>
      </c>
    </row>
    <row r="326" spans="1:80" s="52" customFormat="1" ht="12.95" customHeight="1" x14ac:dyDescent="0.2">
      <c r="A326" s="46">
        <v>4</v>
      </c>
      <c r="B326" s="46">
        <v>24</v>
      </c>
      <c r="C326" s="46">
        <v>1920</v>
      </c>
      <c r="D326" s="46" t="s">
        <v>658</v>
      </c>
      <c r="E326" s="46" t="s">
        <v>1258</v>
      </c>
      <c r="F326" s="47" t="s">
        <v>1010</v>
      </c>
      <c r="G326" s="46"/>
      <c r="H326" s="47" t="s">
        <v>1025</v>
      </c>
      <c r="I326" s="47"/>
      <c r="J326" s="48">
        <v>7420</v>
      </c>
      <c r="K326" s="46" t="s">
        <v>806</v>
      </c>
      <c r="L326" s="46" t="s">
        <v>3</v>
      </c>
      <c r="M326" s="46" t="s">
        <v>1259</v>
      </c>
      <c r="N326" s="49">
        <v>1</v>
      </c>
      <c r="O326" s="49">
        <v>0</v>
      </c>
      <c r="P326" s="47" t="s">
        <v>1234</v>
      </c>
      <c r="Q326" s="47" t="s">
        <v>1017</v>
      </c>
      <c r="R326" s="47" t="s">
        <v>376</v>
      </c>
      <c r="S326" s="46"/>
      <c r="T326" s="46"/>
      <c r="U326" s="46"/>
      <c r="V326" s="46"/>
      <c r="W326" s="46"/>
      <c r="X326" s="46"/>
      <c r="Y326" s="46"/>
      <c r="Z326" s="46"/>
      <c r="AA326" s="46"/>
      <c r="AB326" s="46"/>
      <c r="AC326" s="46"/>
      <c r="AD326" s="46"/>
      <c r="AE326" s="50">
        <f>IF(L326="W",1,0)</f>
        <v>1</v>
      </c>
      <c r="AF326" s="50">
        <f>IF(L326="T",1,0)</f>
        <v>0</v>
      </c>
      <c r="AG326" s="50">
        <f>IF(L326="L",1,0)</f>
        <v>0</v>
      </c>
      <c r="AH326" s="46" t="s">
        <v>1111</v>
      </c>
      <c r="AI326" s="46" t="s">
        <v>1126</v>
      </c>
      <c r="AJ326" s="46" t="s">
        <v>376</v>
      </c>
      <c r="AK326" s="46" t="s">
        <v>658</v>
      </c>
      <c r="AL326" s="46" t="s">
        <v>1096</v>
      </c>
      <c r="AM326" s="46" t="s">
        <v>1260</v>
      </c>
      <c r="AN326" s="46" t="s">
        <v>376</v>
      </c>
      <c r="AO326" s="46" t="s">
        <v>658</v>
      </c>
      <c r="AP326" s="46"/>
      <c r="AQ326" s="46">
        <v>1</v>
      </c>
      <c r="AR326" s="46"/>
      <c r="AS326" s="46"/>
      <c r="AT326" s="46"/>
      <c r="AU326" s="46" t="s">
        <v>376</v>
      </c>
      <c r="AV326" s="46"/>
      <c r="AW326" s="46" t="s">
        <v>30</v>
      </c>
      <c r="AX326" s="46"/>
      <c r="AY326" s="46" t="s">
        <v>30</v>
      </c>
      <c r="AZ326" s="46"/>
      <c r="BA326" s="47"/>
      <c r="BB326" s="51" t="s">
        <v>30</v>
      </c>
      <c r="BC326" s="46" t="s">
        <v>30</v>
      </c>
      <c r="BD326" s="46"/>
      <c r="BE326" s="46"/>
      <c r="BF326" s="46">
        <v>1</v>
      </c>
      <c r="BG326" s="46">
        <v>1</v>
      </c>
      <c r="BH326" s="46">
        <v>2</v>
      </c>
      <c r="BI326" s="46" t="s">
        <v>806</v>
      </c>
      <c r="BJ326" s="46" t="s">
        <v>1259</v>
      </c>
      <c r="BK326" s="46">
        <v>1920</v>
      </c>
      <c r="BL326" s="46" t="str">
        <f>BK326&amp;BI326</f>
        <v>1920Aston Villa</v>
      </c>
      <c r="BM326" s="52" t="str">
        <f>IF(AD326="Home",BI326,IF(AD326="Away",BJ326,Q326))</f>
        <v>London</v>
      </c>
      <c r="BN326" s="46"/>
      <c r="BO326" s="46"/>
      <c r="BP326" s="46"/>
      <c r="BQ326" s="46"/>
      <c r="BR326" s="46"/>
      <c r="BS326" s="46"/>
      <c r="BT326" s="46"/>
      <c r="BU326" s="46"/>
      <c r="BV326" s="46" t="s">
        <v>376</v>
      </c>
      <c r="BW326" s="46" t="s">
        <v>376</v>
      </c>
      <c r="BX326" s="46"/>
      <c r="BZ326" s="53"/>
      <c r="CA326" s="53"/>
      <c r="CB326" s="93" t="str">
        <f>IF(OR(C326="",A326="",B326=""),"",TEXT(C326,"0000")&amp;TEXT(A326,"00")&amp;TEXT(B326,"00"))</f>
        <v>19200424</v>
      </c>
    </row>
    <row r="327" spans="1:80" s="52" customFormat="1" ht="12.95" customHeight="1" x14ac:dyDescent="0.2">
      <c r="A327" s="46">
        <v>4</v>
      </c>
      <c r="B327" s="46">
        <v>24</v>
      </c>
      <c r="C327" s="46">
        <v>1920</v>
      </c>
      <c r="D327" s="46" t="s">
        <v>658</v>
      </c>
      <c r="E327" s="46" t="s">
        <v>1258</v>
      </c>
      <c r="F327" s="47" t="s">
        <v>1010</v>
      </c>
      <c r="G327" s="46"/>
      <c r="H327" s="47" t="s">
        <v>1025</v>
      </c>
      <c r="I327" s="47"/>
      <c r="J327" s="48">
        <v>7420</v>
      </c>
      <c r="K327" s="46" t="s">
        <v>1259</v>
      </c>
      <c r="L327" s="46" t="s">
        <v>4</v>
      </c>
      <c r="M327" s="46" t="s">
        <v>806</v>
      </c>
      <c r="N327" s="49">
        <v>0</v>
      </c>
      <c r="O327" s="49">
        <v>1</v>
      </c>
      <c r="P327" s="47" t="s">
        <v>1234</v>
      </c>
      <c r="Q327" s="47" t="s">
        <v>1017</v>
      </c>
      <c r="R327" s="47" t="s">
        <v>376</v>
      </c>
      <c r="S327" s="46"/>
      <c r="T327" s="46"/>
      <c r="U327" s="46"/>
      <c r="V327" s="46"/>
      <c r="W327" s="46"/>
      <c r="X327" s="46"/>
      <c r="Y327" s="46"/>
      <c r="Z327" s="46"/>
      <c r="AA327" s="46"/>
      <c r="AB327" s="46"/>
      <c r="AC327" s="46"/>
      <c r="AD327" s="46"/>
      <c r="AE327" s="50">
        <f>IF(L327="W",1,0)</f>
        <v>0</v>
      </c>
      <c r="AF327" s="50">
        <f>IF(L327="T",1,0)</f>
        <v>0</v>
      </c>
      <c r="AG327" s="50">
        <f>IF(L327="L",1,0)</f>
        <v>1</v>
      </c>
      <c r="AH327" s="46" t="s">
        <v>1096</v>
      </c>
      <c r="AI327" s="46" t="s">
        <v>1260</v>
      </c>
      <c r="AJ327" s="46" t="s">
        <v>376</v>
      </c>
      <c r="AK327" s="46" t="s">
        <v>658</v>
      </c>
      <c r="AL327" s="46" t="s">
        <v>1111</v>
      </c>
      <c r="AM327" s="46" t="s">
        <v>1126</v>
      </c>
      <c r="AN327" s="46" t="s">
        <v>376</v>
      </c>
      <c r="AO327" s="46" t="s">
        <v>658</v>
      </c>
      <c r="AP327" s="46"/>
      <c r="AQ327" s="46">
        <v>1</v>
      </c>
      <c r="AR327" s="46"/>
      <c r="AS327" s="46"/>
      <c r="AT327" s="46"/>
      <c r="AU327" s="46" t="s">
        <v>376</v>
      </c>
      <c r="AV327" s="46"/>
      <c r="AW327" s="46" t="s">
        <v>30</v>
      </c>
      <c r="AX327" s="46"/>
      <c r="AY327" s="46" t="s">
        <v>30</v>
      </c>
      <c r="AZ327" s="46"/>
      <c r="BA327" s="47"/>
      <c r="BB327" s="51"/>
      <c r="BC327" s="46" t="s">
        <v>30</v>
      </c>
      <c r="BD327" s="46"/>
      <c r="BE327" s="46"/>
      <c r="BF327" s="46">
        <v>1</v>
      </c>
      <c r="BG327" s="46">
        <v>2</v>
      </c>
      <c r="BH327" s="46">
        <v>1</v>
      </c>
      <c r="BI327" s="46" t="s">
        <v>1259</v>
      </c>
      <c r="BJ327" s="46" t="s">
        <v>806</v>
      </c>
      <c r="BK327" s="46">
        <v>1920</v>
      </c>
      <c r="BL327" s="46" t="str">
        <f>BK327&amp;BI327</f>
        <v>1920Huddersfield Town</v>
      </c>
      <c r="BM327" s="52" t="str">
        <f>IF(AD327="Home",BI327,IF(AD327="Away",BJ327,Q327))</f>
        <v>London</v>
      </c>
      <c r="BN327" s="46"/>
      <c r="BO327" s="46"/>
      <c r="BP327" s="46"/>
      <c r="BQ327" s="46"/>
      <c r="BR327" s="46"/>
      <c r="BS327" s="46"/>
      <c r="BT327" s="46"/>
      <c r="BU327" s="46"/>
      <c r="BV327" s="46" t="s">
        <v>376</v>
      </c>
      <c r="BW327" s="46" t="s">
        <v>376</v>
      </c>
      <c r="BX327" s="46"/>
      <c r="BZ327" s="53"/>
      <c r="CA327" s="53"/>
      <c r="CB327" s="93" t="str">
        <f>IF(OR(C327="",A327="",B327=""),"",TEXT(C327,"0000")&amp;TEXT(A327,"00")&amp;TEXT(B327,"00"))</f>
        <v>19200424</v>
      </c>
    </row>
    <row r="328" spans="1:80" s="52" customFormat="1" ht="12.95" customHeight="1" x14ac:dyDescent="0.2">
      <c r="A328" s="46">
        <v>3</v>
      </c>
      <c r="B328" s="46">
        <v>19</v>
      </c>
      <c r="C328" s="46">
        <v>1921</v>
      </c>
      <c r="D328" s="46" t="s">
        <v>658</v>
      </c>
      <c r="E328" s="46" t="s">
        <v>1261</v>
      </c>
      <c r="F328" s="47" t="s">
        <v>1010</v>
      </c>
      <c r="G328" s="46"/>
      <c r="H328" s="47" t="s">
        <v>1011</v>
      </c>
      <c r="I328" s="47"/>
      <c r="J328" s="48">
        <v>7749</v>
      </c>
      <c r="K328" s="46" t="s">
        <v>1151</v>
      </c>
      <c r="L328" s="46" t="s">
        <v>1014</v>
      </c>
      <c r="M328" s="46" t="s">
        <v>1262</v>
      </c>
      <c r="N328" s="49">
        <v>0</v>
      </c>
      <c r="O328" s="49">
        <v>0</v>
      </c>
      <c r="P328" s="47" t="s">
        <v>1141</v>
      </c>
      <c r="Q328" s="47" t="s">
        <v>588</v>
      </c>
      <c r="R328" s="47" t="s">
        <v>376</v>
      </c>
      <c r="S328" s="46"/>
      <c r="T328" s="46"/>
      <c r="U328" s="46"/>
      <c r="V328" s="46"/>
      <c r="W328" s="46"/>
      <c r="X328" s="46"/>
      <c r="Y328" s="46"/>
      <c r="Z328" s="46"/>
      <c r="AA328" s="46"/>
      <c r="AB328" s="46"/>
      <c r="AC328" s="46"/>
      <c r="AD328" s="46"/>
      <c r="AE328" s="50">
        <f>IF(L328="W",1,0)</f>
        <v>0</v>
      </c>
      <c r="AF328" s="50">
        <f>IF(L328="T",1,0)</f>
        <v>1</v>
      </c>
      <c r="AG328" s="50">
        <f>IF(L328="L",1,0)</f>
        <v>0</v>
      </c>
      <c r="AH328" s="46" t="s">
        <v>1111</v>
      </c>
      <c r="AI328" s="46" t="s">
        <v>1126</v>
      </c>
      <c r="AJ328" s="46" t="s">
        <v>376</v>
      </c>
      <c r="AK328" s="46" t="s">
        <v>658</v>
      </c>
      <c r="AL328" s="46" t="s">
        <v>1263</v>
      </c>
      <c r="AM328" s="46" t="s">
        <v>1264</v>
      </c>
      <c r="AN328" s="46" t="s">
        <v>376</v>
      </c>
      <c r="AO328" s="46" t="s">
        <v>658</v>
      </c>
      <c r="AP328" s="46"/>
      <c r="AQ328" s="46">
        <v>2</v>
      </c>
      <c r="AR328" s="46"/>
      <c r="AS328" s="46"/>
      <c r="AT328" s="46"/>
      <c r="AU328" s="46" t="s">
        <v>376</v>
      </c>
      <c r="AV328" s="46"/>
      <c r="AW328" s="46" t="s">
        <v>30</v>
      </c>
      <c r="AX328" s="46"/>
      <c r="AY328" s="46" t="s">
        <v>30</v>
      </c>
      <c r="AZ328" s="46"/>
      <c r="BA328" s="47"/>
      <c r="BB328" s="51"/>
      <c r="BC328" s="46"/>
      <c r="BD328" s="46"/>
      <c r="BE328" s="46"/>
      <c r="BF328" s="46">
        <v>1</v>
      </c>
      <c r="BG328" s="46">
        <v>2</v>
      </c>
      <c r="BH328" s="46">
        <v>2</v>
      </c>
      <c r="BI328" s="46" t="s">
        <v>1151</v>
      </c>
      <c r="BJ328" s="46" t="s">
        <v>1262</v>
      </c>
      <c r="BK328" s="46">
        <v>1921</v>
      </c>
      <c r="BL328" s="46" t="str">
        <f>BK328&amp;BI328</f>
        <v>1921Wolverhampton Wanderers</v>
      </c>
      <c r="BM328" s="52" t="str">
        <f>IF(AD328="Home",BI328,IF(AD328="Away",BJ328,Q328))</f>
        <v>Liverpool</v>
      </c>
      <c r="BN328" s="46"/>
      <c r="BO328" s="46"/>
      <c r="BP328" s="46"/>
      <c r="BQ328" s="46"/>
      <c r="BR328" s="46"/>
      <c r="BS328" s="46"/>
      <c r="BT328" s="46"/>
      <c r="BU328" s="46"/>
      <c r="BV328" s="46" t="s">
        <v>376</v>
      </c>
      <c r="BW328" s="46" t="s">
        <v>376</v>
      </c>
      <c r="BX328" s="46"/>
      <c r="BZ328" s="53"/>
      <c r="CA328" s="53"/>
      <c r="CB328" s="93" t="str">
        <f>IF(OR(C328="",A328="",B328=""),"",TEXT(C328,"0000")&amp;TEXT(A328,"00")&amp;TEXT(B328,"00"))</f>
        <v>19210319</v>
      </c>
    </row>
    <row r="329" spans="1:80" s="52" customFormat="1" ht="12.95" customHeight="1" x14ac:dyDescent="0.2">
      <c r="A329" s="46">
        <v>3</v>
      </c>
      <c r="B329" s="46">
        <v>19</v>
      </c>
      <c r="C329" s="46">
        <v>1921</v>
      </c>
      <c r="D329" s="46" t="s">
        <v>658</v>
      </c>
      <c r="E329" s="46" t="s">
        <v>1261</v>
      </c>
      <c r="F329" s="47" t="s">
        <v>1010</v>
      </c>
      <c r="G329" s="46"/>
      <c r="H329" s="47" t="s">
        <v>1011</v>
      </c>
      <c r="I329" s="47"/>
      <c r="J329" s="48">
        <v>7749</v>
      </c>
      <c r="K329" s="46" t="s">
        <v>1262</v>
      </c>
      <c r="L329" s="46" t="s">
        <v>1014</v>
      </c>
      <c r="M329" s="46" t="s">
        <v>1151</v>
      </c>
      <c r="N329" s="49">
        <v>0</v>
      </c>
      <c r="O329" s="49">
        <v>0</v>
      </c>
      <c r="P329" s="47" t="s">
        <v>1141</v>
      </c>
      <c r="Q329" s="47" t="s">
        <v>588</v>
      </c>
      <c r="R329" s="47" t="s">
        <v>376</v>
      </c>
      <c r="S329" s="46"/>
      <c r="T329" s="46"/>
      <c r="U329" s="46"/>
      <c r="V329" s="46"/>
      <c r="W329" s="46"/>
      <c r="X329" s="46"/>
      <c r="Y329" s="46"/>
      <c r="Z329" s="46"/>
      <c r="AA329" s="46"/>
      <c r="AB329" s="46"/>
      <c r="AC329" s="46"/>
      <c r="AD329" s="46"/>
      <c r="AE329" s="50">
        <f>IF(L329="W",1,0)</f>
        <v>0</v>
      </c>
      <c r="AF329" s="50">
        <f>IF(L329="T",1,0)</f>
        <v>1</v>
      </c>
      <c r="AG329" s="50">
        <f>IF(L329="L",1,0)</f>
        <v>0</v>
      </c>
      <c r="AH329" s="46" t="s">
        <v>1263</v>
      </c>
      <c r="AI329" s="46" t="s">
        <v>1264</v>
      </c>
      <c r="AJ329" s="46" t="s">
        <v>376</v>
      </c>
      <c r="AK329" s="46" t="s">
        <v>658</v>
      </c>
      <c r="AL329" s="46" t="s">
        <v>1111</v>
      </c>
      <c r="AM329" s="46" t="s">
        <v>1126</v>
      </c>
      <c r="AN329" s="46" t="s">
        <v>376</v>
      </c>
      <c r="AO329" s="46" t="s">
        <v>658</v>
      </c>
      <c r="AP329" s="46"/>
      <c r="AQ329" s="46">
        <v>2</v>
      </c>
      <c r="AR329" s="46"/>
      <c r="AS329" s="46"/>
      <c r="AT329" s="46"/>
      <c r="AU329" s="46" t="s">
        <v>376</v>
      </c>
      <c r="AV329" s="46"/>
      <c r="AW329" s="46" t="s">
        <v>30</v>
      </c>
      <c r="AX329" s="46"/>
      <c r="AY329" s="46" t="s">
        <v>30</v>
      </c>
      <c r="AZ329" s="46"/>
      <c r="BA329" s="47"/>
      <c r="BB329" s="51"/>
      <c r="BC329" s="46"/>
      <c r="BD329" s="46"/>
      <c r="BE329" s="46"/>
      <c r="BF329" s="46">
        <v>1</v>
      </c>
      <c r="BG329" s="46">
        <v>2</v>
      </c>
      <c r="BH329" s="46">
        <v>2</v>
      </c>
      <c r="BI329" s="46" t="s">
        <v>1262</v>
      </c>
      <c r="BJ329" s="46" t="s">
        <v>1151</v>
      </c>
      <c r="BK329" s="46">
        <v>1921</v>
      </c>
      <c r="BL329" s="46" t="str">
        <f>BK329&amp;BI329</f>
        <v>1921Cardiff City</v>
      </c>
      <c r="BM329" s="52" t="str">
        <f>IF(AD329="Home",BI329,IF(AD329="Away",BJ329,Q329))</f>
        <v>Liverpool</v>
      </c>
      <c r="BN329" s="46"/>
      <c r="BO329" s="46"/>
      <c r="BP329" s="46"/>
      <c r="BQ329" s="46"/>
      <c r="BR329" s="46"/>
      <c r="BS329" s="46"/>
      <c r="BT329" s="46"/>
      <c r="BU329" s="46"/>
      <c r="BV329" s="46" t="s">
        <v>376</v>
      </c>
      <c r="BW329" s="46" t="s">
        <v>376</v>
      </c>
      <c r="BX329" s="46"/>
      <c r="BZ329" s="53"/>
      <c r="CA329" s="53"/>
      <c r="CB329" s="93" t="str">
        <f>IF(OR(C329="",A329="",B329=""),"",TEXT(C329,"0000")&amp;TEXT(A329,"00")&amp;TEXT(B329,"00"))</f>
        <v>19210319</v>
      </c>
    </row>
    <row r="330" spans="1:80" s="52" customFormat="1" ht="12.95" customHeight="1" x14ac:dyDescent="0.2">
      <c r="A330" s="46">
        <v>3</v>
      </c>
      <c r="B330" s="46">
        <v>19</v>
      </c>
      <c r="C330" s="46">
        <v>1921</v>
      </c>
      <c r="D330" s="46" t="s">
        <v>658</v>
      </c>
      <c r="E330" s="46" t="s">
        <v>1261</v>
      </c>
      <c r="F330" s="47" t="s">
        <v>1010</v>
      </c>
      <c r="G330" s="46"/>
      <c r="H330" s="47" t="s">
        <v>1011</v>
      </c>
      <c r="I330" s="47"/>
      <c r="J330" s="48">
        <v>7749</v>
      </c>
      <c r="K330" s="46" t="s">
        <v>813</v>
      </c>
      <c r="L330" s="46" t="s">
        <v>3</v>
      </c>
      <c r="M330" s="46" t="s">
        <v>640</v>
      </c>
      <c r="N330" s="49">
        <v>2</v>
      </c>
      <c r="O330" s="49">
        <v>1</v>
      </c>
      <c r="P330" s="47" t="s">
        <v>1252</v>
      </c>
      <c r="Q330" s="47" t="s">
        <v>1097</v>
      </c>
      <c r="R330" s="47" t="s">
        <v>376</v>
      </c>
      <c r="S330" s="46"/>
      <c r="T330" s="46"/>
      <c r="U330" s="46"/>
      <c r="V330" s="46"/>
      <c r="W330" s="46"/>
      <c r="X330" s="46"/>
      <c r="Y330" s="46"/>
      <c r="Z330" s="46"/>
      <c r="AA330" s="46"/>
      <c r="AB330" s="46"/>
      <c r="AC330" s="46"/>
      <c r="AD330" s="46"/>
      <c r="AE330" s="50">
        <f>IF(L330="W",1,0)</f>
        <v>1</v>
      </c>
      <c r="AF330" s="50">
        <f>IF(L330="T",1,0)</f>
        <v>0</v>
      </c>
      <c r="AG330" s="50">
        <f>IF(L330="L",1,0)</f>
        <v>0</v>
      </c>
      <c r="AH330" s="46" t="s">
        <v>1017</v>
      </c>
      <c r="AI330" s="46" t="s">
        <v>1018</v>
      </c>
      <c r="AJ330" s="46" t="s">
        <v>376</v>
      </c>
      <c r="AK330" s="46" t="s">
        <v>658</v>
      </c>
      <c r="AL330" s="46" t="s">
        <v>1136</v>
      </c>
      <c r="AM330" s="46" t="s">
        <v>1086</v>
      </c>
      <c r="AN330" s="46" t="s">
        <v>376</v>
      </c>
      <c r="AO330" s="46" t="s">
        <v>658</v>
      </c>
      <c r="AP330" s="46"/>
      <c r="AQ330" s="46">
        <v>2</v>
      </c>
      <c r="AR330" s="46"/>
      <c r="AS330" s="46"/>
      <c r="AT330" s="46"/>
      <c r="AU330" s="46" t="s">
        <v>376</v>
      </c>
      <c r="AV330" s="46"/>
      <c r="AW330" s="46" t="s">
        <v>30</v>
      </c>
      <c r="AX330" s="46"/>
      <c r="AY330" s="46" t="s">
        <v>30</v>
      </c>
      <c r="AZ330" s="46"/>
      <c r="BA330" s="47"/>
      <c r="BB330" s="51"/>
      <c r="BC330" s="46"/>
      <c r="BD330" s="46"/>
      <c r="BE330" s="46"/>
      <c r="BF330" s="46">
        <v>1</v>
      </c>
      <c r="BG330" s="46">
        <v>1</v>
      </c>
      <c r="BH330" s="46">
        <v>1</v>
      </c>
      <c r="BI330" s="46" t="s">
        <v>813</v>
      </c>
      <c r="BJ330" s="46" t="s">
        <v>640</v>
      </c>
      <c r="BK330" s="46">
        <v>1921</v>
      </c>
      <c r="BL330" s="46" t="str">
        <f>BK330&amp;BI330</f>
        <v>1921Tottenham Hotspur</v>
      </c>
      <c r="BM330" s="52" t="str">
        <f>IF(AD330="Home",BI330,IF(AD330="Away",BJ330,Q330))</f>
        <v>Sheffield</v>
      </c>
      <c r="BN330" s="46"/>
      <c r="BO330" s="46"/>
      <c r="BP330" s="46"/>
      <c r="BQ330" s="46"/>
      <c r="BR330" s="46"/>
      <c r="BS330" s="46"/>
      <c r="BT330" s="46"/>
      <c r="BU330" s="46"/>
      <c r="BV330" s="46" t="s">
        <v>376</v>
      </c>
      <c r="BW330" s="46" t="s">
        <v>376</v>
      </c>
      <c r="BX330" s="46"/>
      <c r="BY330" s="50"/>
      <c r="BZ330" s="53"/>
      <c r="CA330" s="53"/>
      <c r="CB330" s="93" t="str">
        <f>IF(OR(C330="",A330="",B330=""),"",TEXT(C330,"0000")&amp;TEXT(A330,"00")&amp;TEXT(B330,"00"))</f>
        <v>19210319</v>
      </c>
    </row>
    <row r="331" spans="1:80" s="52" customFormat="1" ht="12.95" customHeight="1" x14ac:dyDescent="0.2">
      <c r="A331" s="46">
        <v>3</v>
      </c>
      <c r="B331" s="46">
        <v>19</v>
      </c>
      <c r="C331" s="46">
        <v>1921</v>
      </c>
      <c r="D331" s="46" t="s">
        <v>658</v>
      </c>
      <c r="E331" s="46" t="s">
        <v>1261</v>
      </c>
      <c r="F331" s="47" t="s">
        <v>1010</v>
      </c>
      <c r="G331" s="46"/>
      <c r="H331" s="47" t="s">
        <v>1011</v>
      </c>
      <c r="I331" s="47"/>
      <c r="J331" s="48">
        <v>7749</v>
      </c>
      <c r="K331" s="46" t="s">
        <v>640</v>
      </c>
      <c r="L331" s="46" t="s">
        <v>4</v>
      </c>
      <c r="M331" s="46" t="s">
        <v>813</v>
      </c>
      <c r="N331" s="49">
        <v>1</v>
      </c>
      <c r="O331" s="49">
        <v>2</v>
      </c>
      <c r="P331" s="47" t="s">
        <v>1252</v>
      </c>
      <c r="Q331" s="47" t="s">
        <v>1097</v>
      </c>
      <c r="R331" s="47" t="s">
        <v>376</v>
      </c>
      <c r="S331" s="46"/>
      <c r="T331" s="46"/>
      <c r="U331" s="46"/>
      <c r="V331" s="46"/>
      <c r="W331" s="46"/>
      <c r="X331" s="46"/>
      <c r="Y331" s="46"/>
      <c r="Z331" s="46"/>
      <c r="AA331" s="46"/>
      <c r="AB331" s="46"/>
      <c r="AC331" s="46"/>
      <c r="AD331" s="46"/>
      <c r="AE331" s="50">
        <f>IF(L331="W",1,0)</f>
        <v>0</v>
      </c>
      <c r="AF331" s="50">
        <f>IF(L331="T",1,0)</f>
        <v>0</v>
      </c>
      <c r="AG331" s="50">
        <f>IF(L331="L",1,0)</f>
        <v>1</v>
      </c>
      <c r="AH331" s="46" t="s">
        <v>1136</v>
      </c>
      <c r="AI331" s="46" t="s">
        <v>1086</v>
      </c>
      <c r="AJ331" s="46" t="s">
        <v>376</v>
      </c>
      <c r="AK331" s="46" t="s">
        <v>658</v>
      </c>
      <c r="AL331" s="46" t="s">
        <v>1017</v>
      </c>
      <c r="AM331" s="46" t="s">
        <v>1018</v>
      </c>
      <c r="AN331" s="46" t="s">
        <v>376</v>
      </c>
      <c r="AO331" s="46" t="s">
        <v>658</v>
      </c>
      <c r="AP331" s="46"/>
      <c r="AQ331" s="46">
        <v>2</v>
      </c>
      <c r="AR331" s="46"/>
      <c r="AS331" s="46"/>
      <c r="AT331" s="46"/>
      <c r="AU331" s="46" t="s">
        <v>376</v>
      </c>
      <c r="AV331" s="46"/>
      <c r="AW331" s="46" t="s">
        <v>30</v>
      </c>
      <c r="AX331" s="46"/>
      <c r="AY331" s="46" t="s">
        <v>30</v>
      </c>
      <c r="AZ331" s="46"/>
      <c r="BA331" s="47"/>
      <c r="BB331" s="51"/>
      <c r="BC331" s="46"/>
      <c r="BD331" s="46"/>
      <c r="BE331" s="46"/>
      <c r="BF331" s="46">
        <v>1</v>
      </c>
      <c r="BG331" s="46">
        <v>1</v>
      </c>
      <c r="BH331" s="46">
        <v>1</v>
      </c>
      <c r="BI331" s="46" t="s">
        <v>640</v>
      </c>
      <c r="BJ331" s="46" t="s">
        <v>813</v>
      </c>
      <c r="BK331" s="46">
        <v>1921</v>
      </c>
      <c r="BL331" s="46" t="str">
        <f>BK331&amp;BI331</f>
        <v>1921Preston North End</v>
      </c>
      <c r="BM331" s="52" t="str">
        <f>IF(AD331="Home",BI331,IF(AD331="Away",BJ331,Q331))</f>
        <v>Sheffield</v>
      </c>
      <c r="BN331" s="46"/>
      <c r="BO331" s="46"/>
      <c r="BP331" s="46"/>
      <c r="BQ331" s="46"/>
      <c r="BR331" s="46"/>
      <c r="BS331" s="46"/>
      <c r="BT331" s="46"/>
      <c r="BU331" s="46"/>
      <c r="BV331" s="46" t="s">
        <v>376</v>
      </c>
      <c r="BW331" s="46" t="s">
        <v>376</v>
      </c>
      <c r="BX331" s="46"/>
      <c r="BY331" s="50"/>
      <c r="BZ331" s="53"/>
      <c r="CA331" s="53"/>
      <c r="CB331" s="93" t="str">
        <f>IF(OR(C331="",A331="",B331=""),"",TEXT(C331,"0000")&amp;TEXT(A331,"00")&amp;TEXT(B331,"00"))</f>
        <v>19210319</v>
      </c>
    </row>
    <row r="332" spans="1:80" s="52" customFormat="1" ht="12.95" customHeight="1" x14ac:dyDescent="0.2">
      <c r="A332" s="46">
        <v>3</v>
      </c>
      <c r="B332" s="46">
        <v>23</v>
      </c>
      <c r="C332" s="46">
        <v>1921</v>
      </c>
      <c r="D332" s="46" t="s">
        <v>658</v>
      </c>
      <c r="E332" s="46" t="s">
        <v>1261</v>
      </c>
      <c r="F332" s="47" t="s">
        <v>1010</v>
      </c>
      <c r="G332" s="46"/>
      <c r="H332" s="47" t="s">
        <v>1011</v>
      </c>
      <c r="I332" s="47" t="s">
        <v>1023</v>
      </c>
      <c r="J332" s="48">
        <v>7753</v>
      </c>
      <c r="K332" s="46" t="s">
        <v>1151</v>
      </c>
      <c r="L332" s="46" t="s">
        <v>3</v>
      </c>
      <c r="M332" s="46" t="s">
        <v>1262</v>
      </c>
      <c r="N332" s="49">
        <v>3</v>
      </c>
      <c r="O332" s="49">
        <v>1</v>
      </c>
      <c r="P332" s="47" t="s">
        <v>1246</v>
      </c>
      <c r="Q332" s="47" t="s">
        <v>1101</v>
      </c>
      <c r="R332" s="47" t="s">
        <v>376</v>
      </c>
      <c r="S332" s="46"/>
      <c r="T332" s="46"/>
      <c r="U332" s="46"/>
      <c r="V332" s="46"/>
      <c r="W332" s="46"/>
      <c r="X332" s="46"/>
      <c r="Y332" s="46"/>
      <c r="Z332" s="46"/>
      <c r="AA332" s="46"/>
      <c r="AB332" s="46"/>
      <c r="AC332" s="46"/>
      <c r="AD332" s="46"/>
      <c r="AE332" s="50">
        <f>IF(L332="W",1,0)</f>
        <v>1</v>
      </c>
      <c r="AF332" s="50">
        <f>IF(L332="T",1,0)</f>
        <v>0</v>
      </c>
      <c r="AG332" s="50">
        <f>IF(L332="L",1,0)</f>
        <v>0</v>
      </c>
      <c r="AH332" s="46" t="s">
        <v>1111</v>
      </c>
      <c r="AI332" s="46" t="s">
        <v>1126</v>
      </c>
      <c r="AJ332" s="46" t="s">
        <v>376</v>
      </c>
      <c r="AK332" s="46" t="s">
        <v>658</v>
      </c>
      <c r="AL332" s="46" t="s">
        <v>1263</v>
      </c>
      <c r="AM332" s="46" t="s">
        <v>1264</v>
      </c>
      <c r="AN332" s="46" t="s">
        <v>376</v>
      </c>
      <c r="AO332" s="46" t="s">
        <v>658</v>
      </c>
      <c r="AP332" s="46"/>
      <c r="AQ332" s="46">
        <v>2</v>
      </c>
      <c r="AR332" s="46"/>
      <c r="AS332" s="46"/>
      <c r="AT332" s="46"/>
      <c r="AU332" s="46" t="s">
        <v>376</v>
      </c>
      <c r="AV332" s="46"/>
      <c r="AW332" s="46" t="s">
        <v>30</v>
      </c>
      <c r="AX332" s="46"/>
      <c r="AY332" s="46" t="s">
        <v>30</v>
      </c>
      <c r="AZ332" s="46"/>
      <c r="BA332" s="47"/>
      <c r="BB332" s="51"/>
      <c r="BC332" s="46"/>
      <c r="BD332" s="46"/>
      <c r="BE332" s="46"/>
      <c r="BF332" s="46">
        <v>1</v>
      </c>
      <c r="BG332" s="46">
        <v>2</v>
      </c>
      <c r="BH332" s="46">
        <v>2</v>
      </c>
      <c r="BI332" s="46" t="s">
        <v>1151</v>
      </c>
      <c r="BJ332" s="46" t="s">
        <v>1262</v>
      </c>
      <c r="BK332" s="46">
        <v>1921</v>
      </c>
      <c r="BL332" s="46" t="str">
        <f>BK332&amp;BI332</f>
        <v>1921Wolverhampton Wanderers</v>
      </c>
      <c r="BM332" s="52" t="str">
        <f>IF(AD332="Home",BI332,IF(AD332="Away",BJ332,Q332))</f>
        <v>Manchester</v>
      </c>
      <c r="BN332" s="46"/>
      <c r="BO332" s="46"/>
      <c r="BP332" s="46"/>
      <c r="BQ332" s="46"/>
      <c r="BR332" s="46"/>
      <c r="BS332" s="46"/>
      <c r="BT332" s="46"/>
      <c r="BU332" s="46"/>
      <c r="BV332" s="46" t="s">
        <v>376</v>
      </c>
      <c r="BW332" s="46" t="s">
        <v>376</v>
      </c>
      <c r="BX332" s="46"/>
      <c r="BZ332" s="53"/>
      <c r="CA332" s="53"/>
      <c r="CB332" s="93" t="str">
        <f>IF(OR(C332="",A332="",B332=""),"",TEXT(C332,"0000")&amp;TEXT(A332,"00")&amp;TEXT(B332,"00"))</f>
        <v>19210323</v>
      </c>
    </row>
    <row r="333" spans="1:80" s="52" customFormat="1" ht="12.95" customHeight="1" x14ac:dyDescent="0.2">
      <c r="A333" s="46">
        <v>3</v>
      </c>
      <c r="B333" s="46">
        <v>23</v>
      </c>
      <c r="C333" s="46">
        <v>1921</v>
      </c>
      <c r="D333" s="46" t="s">
        <v>658</v>
      </c>
      <c r="E333" s="46" t="s">
        <v>1261</v>
      </c>
      <c r="F333" s="47" t="s">
        <v>1010</v>
      </c>
      <c r="G333" s="46"/>
      <c r="H333" s="47" t="s">
        <v>1011</v>
      </c>
      <c r="I333" s="47" t="s">
        <v>1023</v>
      </c>
      <c r="J333" s="48">
        <v>7753</v>
      </c>
      <c r="K333" s="46" t="s">
        <v>1262</v>
      </c>
      <c r="L333" s="46" t="s">
        <v>4</v>
      </c>
      <c r="M333" s="46" t="s">
        <v>1151</v>
      </c>
      <c r="N333" s="49">
        <v>1</v>
      </c>
      <c r="O333" s="49">
        <v>3</v>
      </c>
      <c r="P333" s="47" t="s">
        <v>1246</v>
      </c>
      <c r="Q333" s="47" t="s">
        <v>1101</v>
      </c>
      <c r="R333" s="47" t="s">
        <v>376</v>
      </c>
      <c r="S333" s="46"/>
      <c r="T333" s="46"/>
      <c r="U333" s="46"/>
      <c r="V333" s="46"/>
      <c r="W333" s="46"/>
      <c r="X333" s="46"/>
      <c r="Y333" s="46"/>
      <c r="Z333" s="46"/>
      <c r="AA333" s="46"/>
      <c r="AB333" s="46"/>
      <c r="AC333" s="46"/>
      <c r="AD333" s="46"/>
      <c r="AE333" s="50">
        <f>IF(L333="W",1,0)</f>
        <v>0</v>
      </c>
      <c r="AF333" s="50">
        <f>IF(L333="T",1,0)</f>
        <v>0</v>
      </c>
      <c r="AG333" s="50">
        <f>IF(L333="L",1,0)</f>
        <v>1</v>
      </c>
      <c r="AH333" s="46" t="s">
        <v>1263</v>
      </c>
      <c r="AI333" s="46" t="s">
        <v>1264</v>
      </c>
      <c r="AJ333" s="46" t="s">
        <v>376</v>
      </c>
      <c r="AK333" s="46" t="s">
        <v>658</v>
      </c>
      <c r="AL333" s="46" t="s">
        <v>1111</v>
      </c>
      <c r="AM333" s="46" t="s">
        <v>1126</v>
      </c>
      <c r="AN333" s="46" t="s">
        <v>376</v>
      </c>
      <c r="AO333" s="46" t="s">
        <v>658</v>
      </c>
      <c r="AP333" s="46"/>
      <c r="AQ333" s="46">
        <v>2</v>
      </c>
      <c r="AR333" s="46"/>
      <c r="AS333" s="46"/>
      <c r="AT333" s="46"/>
      <c r="AU333" s="46" t="s">
        <v>376</v>
      </c>
      <c r="AV333" s="46"/>
      <c r="AW333" s="46" t="s">
        <v>30</v>
      </c>
      <c r="AX333" s="46"/>
      <c r="AY333" s="46" t="s">
        <v>30</v>
      </c>
      <c r="AZ333" s="46"/>
      <c r="BA333" s="47"/>
      <c r="BB333" s="51"/>
      <c r="BC333" s="46"/>
      <c r="BD333" s="46"/>
      <c r="BE333" s="46"/>
      <c r="BF333" s="46">
        <v>1</v>
      </c>
      <c r="BG333" s="46">
        <v>2</v>
      </c>
      <c r="BH333" s="46">
        <v>2</v>
      </c>
      <c r="BI333" s="46" t="s">
        <v>1262</v>
      </c>
      <c r="BJ333" s="46" t="s">
        <v>1151</v>
      </c>
      <c r="BK333" s="46">
        <v>1921</v>
      </c>
      <c r="BL333" s="46" t="str">
        <f>BK333&amp;BI333</f>
        <v>1921Cardiff City</v>
      </c>
      <c r="BM333" s="52" t="str">
        <f>IF(AD333="Home",BI333,IF(AD333="Away",BJ333,Q333))</f>
        <v>Manchester</v>
      </c>
      <c r="BN333" s="46"/>
      <c r="BO333" s="46"/>
      <c r="BP333" s="46"/>
      <c r="BQ333" s="46"/>
      <c r="BR333" s="46"/>
      <c r="BS333" s="46"/>
      <c r="BT333" s="46"/>
      <c r="BU333" s="46"/>
      <c r="BV333" s="46" t="s">
        <v>376</v>
      </c>
      <c r="BW333" s="46" t="s">
        <v>376</v>
      </c>
      <c r="BX333" s="46"/>
      <c r="BZ333" s="53"/>
      <c r="CA333" s="53"/>
      <c r="CB333" s="93" t="str">
        <f>IF(OR(C333="",A333="",B333=""),"",TEXT(C333,"0000")&amp;TEXT(A333,"00")&amp;TEXT(B333,"00"))</f>
        <v>19210323</v>
      </c>
    </row>
    <row r="334" spans="1:80" s="52" customFormat="1" ht="12.95" customHeight="1" x14ac:dyDescent="0.2">
      <c r="A334" s="46">
        <v>4</v>
      </c>
      <c r="B334" s="46">
        <v>23</v>
      </c>
      <c r="C334" s="46">
        <v>1921</v>
      </c>
      <c r="D334" s="46" t="s">
        <v>658</v>
      </c>
      <c r="E334" s="46" t="s">
        <v>1261</v>
      </c>
      <c r="F334" s="47" t="s">
        <v>1010</v>
      </c>
      <c r="G334" s="46"/>
      <c r="H334" s="47" t="s">
        <v>1025</v>
      </c>
      <c r="I334" s="47"/>
      <c r="J334" s="48">
        <v>7784</v>
      </c>
      <c r="K334" s="46" t="s">
        <v>813</v>
      </c>
      <c r="L334" s="46" t="s">
        <v>3</v>
      </c>
      <c r="M334" s="46" t="s">
        <v>1151</v>
      </c>
      <c r="N334" s="49">
        <v>1</v>
      </c>
      <c r="O334" s="49">
        <v>0</v>
      </c>
      <c r="P334" s="47" t="s">
        <v>1234</v>
      </c>
      <c r="Q334" s="47" t="s">
        <v>1017</v>
      </c>
      <c r="R334" s="47" t="s">
        <v>376</v>
      </c>
      <c r="S334" s="46"/>
      <c r="T334" s="46"/>
      <c r="U334" s="46"/>
      <c r="V334" s="46"/>
      <c r="W334" s="46"/>
      <c r="X334" s="46"/>
      <c r="Y334" s="46"/>
      <c r="Z334" s="46"/>
      <c r="AA334" s="46"/>
      <c r="AB334" s="46"/>
      <c r="AC334" s="46"/>
      <c r="AD334" s="46"/>
      <c r="AE334" s="50">
        <f>IF(L334="W",1,0)</f>
        <v>1</v>
      </c>
      <c r="AF334" s="50">
        <f>IF(L334="T",1,0)</f>
        <v>0</v>
      </c>
      <c r="AG334" s="50">
        <f>IF(L334="L",1,0)</f>
        <v>0</v>
      </c>
      <c r="AH334" s="46" t="s">
        <v>1017</v>
      </c>
      <c r="AI334" s="46" t="s">
        <v>1018</v>
      </c>
      <c r="AJ334" s="46" t="s">
        <v>376</v>
      </c>
      <c r="AK334" s="46" t="s">
        <v>658</v>
      </c>
      <c r="AL334" s="46" t="s">
        <v>1111</v>
      </c>
      <c r="AM334" s="46" t="s">
        <v>1126</v>
      </c>
      <c r="AN334" s="46" t="s">
        <v>376</v>
      </c>
      <c r="AO334" s="46" t="s">
        <v>658</v>
      </c>
      <c r="AP334" s="46"/>
      <c r="AQ334" s="46">
        <v>1</v>
      </c>
      <c r="AR334" s="46"/>
      <c r="AS334" s="46"/>
      <c r="AT334" s="46"/>
      <c r="AU334" s="46" t="s">
        <v>376</v>
      </c>
      <c r="AV334" s="46"/>
      <c r="AW334" s="46" t="s">
        <v>30</v>
      </c>
      <c r="AX334" s="46"/>
      <c r="AY334" s="46" t="s">
        <v>30</v>
      </c>
      <c r="AZ334" s="46"/>
      <c r="BA334" s="47"/>
      <c r="BB334" s="51" t="s">
        <v>30</v>
      </c>
      <c r="BC334" s="46" t="s">
        <v>30</v>
      </c>
      <c r="BD334" s="46"/>
      <c r="BE334" s="46"/>
      <c r="BF334" s="46">
        <v>1</v>
      </c>
      <c r="BG334" s="46">
        <v>1</v>
      </c>
      <c r="BH334" s="46">
        <v>2</v>
      </c>
      <c r="BI334" s="46" t="s">
        <v>813</v>
      </c>
      <c r="BJ334" s="46" t="s">
        <v>1151</v>
      </c>
      <c r="BK334" s="46">
        <v>1921</v>
      </c>
      <c r="BL334" s="46" t="str">
        <f>BK334&amp;BI334</f>
        <v>1921Tottenham Hotspur</v>
      </c>
      <c r="BM334" s="52" t="str">
        <f>IF(AD334="Home",BI334,IF(AD334="Away",BJ334,Q334))</f>
        <v>London</v>
      </c>
      <c r="BN334" s="46"/>
      <c r="BO334" s="46"/>
      <c r="BP334" s="46"/>
      <c r="BQ334" s="46"/>
      <c r="BR334" s="46"/>
      <c r="BS334" s="46"/>
      <c r="BT334" s="46"/>
      <c r="BU334" s="46"/>
      <c r="BV334" s="46" t="s">
        <v>376</v>
      </c>
      <c r="BW334" s="46" t="s">
        <v>376</v>
      </c>
      <c r="BX334" s="46"/>
      <c r="BZ334" s="53"/>
      <c r="CA334" s="53"/>
      <c r="CB334" s="93" t="str">
        <f>IF(OR(C334="",A334="",B334=""),"",TEXT(C334,"0000")&amp;TEXT(A334,"00")&amp;TEXT(B334,"00"))</f>
        <v>19210423</v>
      </c>
    </row>
    <row r="335" spans="1:80" s="52" customFormat="1" ht="12.95" customHeight="1" x14ac:dyDescent="0.2">
      <c r="A335" s="46">
        <v>4</v>
      </c>
      <c r="B335" s="46">
        <v>23</v>
      </c>
      <c r="C335" s="46">
        <v>1921</v>
      </c>
      <c r="D335" s="46" t="s">
        <v>658</v>
      </c>
      <c r="E335" s="46" t="s">
        <v>1261</v>
      </c>
      <c r="F335" s="47" t="s">
        <v>1010</v>
      </c>
      <c r="G335" s="46"/>
      <c r="H335" s="47" t="s">
        <v>1025</v>
      </c>
      <c r="I335" s="47"/>
      <c r="J335" s="48">
        <v>7784</v>
      </c>
      <c r="K335" s="46" t="s">
        <v>1151</v>
      </c>
      <c r="L335" s="46" t="s">
        <v>4</v>
      </c>
      <c r="M335" s="46" t="s">
        <v>813</v>
      </c>
      <c r="N335" s="49">
        <v>0</v>
      </c>
      <c r="O335" s="49">
        <v>1</v>
      </c>
      <c r="P335" s="47" t="s">
        <v>1234</v>
      </c>
      <c r="Q335" s="47" t="s">
        <v>1017</v>
      </c>
      <c r="R335" s="47" t="s">
        <v>376</v>
      </c>
      <c r="S335" s="46"/>
      <c r="T335" s="46"/>
      <c r="U335" s="46"/>
      <c r="V335" s="46"/>
      <c r="W335" s="46"/>
      <c r="X335" s="46"/>
      <c r="Y335" s="46"/>
      <c r="Z335" s="46"/>
      <c r="AA335" s="46"/>
      <c r="AB335" s="46"/>
      <c r="AC335" s="46"/>
      <c r="AD335" s="46"/>
      <c r="AE335" s="50">
        <f>IF(L335="W",1,0)</f>
        <v>0</v>
      </c>
      <c r="AF335" s="50">
        <f>IF(L335="T",1,0)</f>
        <v>0</v>
      </c>
      <c r="AG335" s="50">
        <f>IF(L335="L",1,0)</f>
        <v>1</v>
      </c>
      <c r="AH335" s="46" t="s">
        <v>1111</v>
      </c>
      <c r="AI335" s="46" t="s">
        <v>1126</v>
      </c>
      <c r="AJ335" s="46" t="s">
        <v>376</v>
      </c>
      <c r="AK335" s="46" t="s">
        <v>658</v>
      </c>
      <c r="AL335" s="46" t="s">
        <v>1017</v>
      </c>
      <c r="AM335" s="46" t="s">
        <v>1018</v>
      </c>
      <c r="AN335" s="46" t="s">
        <v>376</v>
      </c>
      <c r="AO335" s="46" t="s">
        <v>658</v>
      </c>
      <c r="AP335" s="46"/>
      <c r="AQ335" s="46">
        <v>1</v>
      </c>
      <c r="AR335" s="46"/>
      <c r="AS335" s="46"/>
      <c r="AT335" s="46"/>
      <c r="AU335" s="46" t="s">
        <v>376</v>
      </c>
      <c r="AV335" s="46"/>
      <c r="AW335" s="46" t="s">
        <v>30</v>
      </c>
      <c r="AX335" s="46"/>
      <c r="AY335" s="46" t="s">
        <v>30</v>
      </c>
      <c r="AZ335" s="46"/>
      <c r="BA335" s="47"/>
      <c r="BB335" s="51"/>
      <c r="BC335" s="46" t="s">
        <v>30</v>
      </c>
      <c r="BD335" s="46"/>
      <c r="BE335" s="46"/>
      <c r="BF335" s="46">
        <v>1</v>
      </c>
      <c r="BG335" s="46">
        <v>2</v>
      </c>
      <c r="BH335" s="46">
        <v>1</v>
      </c>
      <c r="BI335" s="46" t="s">
        <v>1151</v>
      </c>
      <c r="BJ335" s="46" t="s">
        <v>813</v>
      </c>
      <c r="BK335" s="46">
        <v>1921</v>
      </c>
      <c r="BL335" s="46" t="str">
        <f>BK335&amp;BI335</f>
        <v>1921Wolverhampton Wanderers</v>
      </c>
      <c r="BM335" s="52" t="str">
        <f>IF(AD335="Home",BI335,IF(AD335="Away",BJ335,Q335))</f>
        <v>London</v>
      </c>
      <c r="BN335" s="46"/>
      <c r="BO335" s="46"/>
      <c r="BP335" s="46"/>
      <c r="BQ335" s="46"/>
      <c r="BR335" s="46"/>
      <c r="BS335" s="46"/>
      <c r="BT335" s="46"/>
      <c r="BU335" s="46"/>
      <c r="BV335" s="46" t="s">
        <v>376</v>
      </c>
      <c r="BW335" s="46" t="s">
        <v>376</v>
      </c>
      <c r="BX335" s="46"/>
      <c r="BZ335" s="53"/>
      <c r="CA335" s="53"/>
      <c r="CB335" s="93" t="str">
        <f>IF(OR(C335="",A335="",B335=""),"",TEXT(C335,"0000")&amp;TEXT(A335,"00")&amp;TEXT(B335,"00"))</f>
        <v>19210423</v>
      </c>
    </row>
    <row r="336" spans="1:80" s="52" customFormat="1" ht="12.95" customHeight="1" x14ac:dyDescent="0.2">
      <c r="A336" s="46">
        <v>3</v>
      </c>
      <c r="B336" s="46">
        <v>25</v>
      </c>
      <c r="C336" s="46">
        <v>1922</v>
      </c>
      <c r="D336" s="46" t="s">
        <v>658</v>
      </c>
      <c r="E336" s="46" t="s">
        <v>1265</v>
      </c>
      <c r="F336" s="47" t="s">
        <v>1010</v>
      </c>
      <c r="G336" s="46"/>
      <c r="H336" s="47" t="s">
        <v>1011</v>
      </c>
      <c r="I336" s="47"/>
      <c r="J336" s="48">
        <v>8120</v>
      </c>
      <c r="K336" s="46" t="s">
        <v>640</v>
      </c>
      <c r="L336" s="46" t="s">
        <v>3</v>
      </c>
      <c r="M336" s="46" t="s">
        <v>813</v>
      </c>
      <c r="N336" s="49">
        <v>2</v>
      </c>
      <c r="O336" s="49">
        <v>1</v>
      </c>
      <c r="P336" s="47" t="s">
        <v>1252</v>
      </c>
      <c r="Q336" s="47" t="s">
        <v>1097</v>
      </c>
      <c r="R336" s="47" t="s">
        <v>376</v>
      </c>
      <c r="S336" s="46"/>
      <c r="T336" s="46"/>
      <c r="U336" s="46"/>
      <c r="V336" s="46"/>
      <c r="W336" s="46"/>
      <c r="X336" s="46"/>
      <c r="Y336" s="46"/>
      <c r="Z336" s="46"/>
      <c r="AA336" s="46"/>
      <c r="AB336" s="46"/>
      <c r="AC336" s="46"/>
      <c r="AD336" s="46"/>
      <c r="AE336" s="50">
        <f>IF(L336="W",1,0)</f>
        <v>1</v>
      </c>
      <c r="AF336" s="50">
        <f>IF(L336="T",1,0)</f>
        <v>0</v>
      </c>
      <c r="AG336" s="50">
        <f>IF(L336="L",1,0)</f>
        <v>0</v>
      </c>
      <c r="AH336" s="46" t="s">
        <v>1136</v>
      </c>
      <c r="AI336" s="46" t="s">
        <v>1086</v>
      </c>
      <c r="AJ336" s="46" t="s">
        <v>376</v>
      </c>
      <c r="AK336" s="46" t="s">
        <v>658</v>
      </c>
      <c r="AL336" s="46" t="s">
        <v>1017</v>
      </c>
      <c r="AM336" s="46" t="s">
        <v>1018</v>
      </c>
      <c r="AN336" s="46" t="s">
        <v>376</v>
      </c>
      <c r="AO336" s="46" t="s">
        <v>658</v>
      </c>
      <c r="AP336" s="46"/>
      <c r="AQ336" s="46">
        <v>2</v>
      </c>
      <c r="AR336" s="46"/>
      <c r="AS336" s="46"/>
      <c r="AT336" s="46"/>
      <c r="AU336" s="46" t="s">
        <v>376</v>
      </c>
      <c r="AV336" s="46"/>
      <c r="AW336" s="46" t="s">
        <v>30</v>
      </c>
      <c r="AX336" s="46"/>
      <c r="AY336" s="46" t="s">
        <v>30</v>
      </c>
      <c r="AZ336" s="46"/>
      <c r="BA336" s="47"/>
      <c r="BB336" s="51"/>
      <c r="BC336" s="46"/>
      <c r="BD336" s="46"/>
      <c r="BE336" s="46"/>
      <c r="BF336" s="46">
        <v>1</v>
      </c>
      <c r="BG336" s="46">
        <v>1</v>
      </c>
      <c r="BH336" s="46">
        <v>1</v>
      </c>
      <c r="BI336" s="46" t="s">
        <v>640</v>
      </c>
      <c r="BJ336" s="46" t="s">
        <v>813</v>
      </c>
      <c r="BK336" s="46">
        <v>1922</v>
      </c>
      <c r="BL336" s="46" t="str">
        <f>BK336&amp;BI336</f>
        <v>1922Preston North End</v>
      </c>
      <c r="BM336" s="52" t="str">
        <f>IF(AD336="Home",BI336,IF(AD336="Away",BJ336,Q336))</f>
        <v>Sheffield</v>
      </c>
      <c r="BN336" s="46"/>
      <c r="BO336" s="46"/>
      <c r="BP336" s="46"/>
      <c r="BQ336" s="46"/>
      <c r="BR336" s="46"/>
      <c r="BS336" s="46"/>
      <c r="BT336" s="46"/>
      <c r="BU336" s="46"/>
      <c r="BV336" s="46" t="s">
        <v>376</v>
      </c>
      <c r="BW336" s="46" t="s">
        <v>376</v>
      </c>
      <c r="BX336" s="46"/>
      <c r="BY336" s="50"/>
      <c r="BZ336" s="53"/>
      <c r="CA336" s="53"/>
      <c r="CB336" s="93" t="str">
        <f>IF(OR(C336="",A336="",B336=""),"",TEXT(C336,"0000")&amp;TEXT(A336,"00")&amp;TEXT(B336,"00"))</f>
        <v>19220325</v>
      </c>
    </row>
    <row r="337" spans="1:80" s="52" customFormat="1" ht="12.95" customHeight="1" x14ac:dyDescent="0.2">
      <c r="A337" s="46">
        <v>3</v>
      </c>
      <c r="B337" s="46">
        <v>25</v>
      </c>
      <c r="C337" s="46">
        <v>1922</v>
      </c>
      <c r="D337" s="46" t="s">
        <v>658</v>
      </c>
      <c r="E337" s="46" t="s">
        <v>1265</v>
      </c>
      <c r="F337" s="47" t="s">
        <v>1010</v>
      </c>
      <c r="G337" s="46"/>
      <c r="H337" s="47" t="s">
        <v>1011</v>
      </c>
      <c r="I337" s="47"/>
      <c r="J337" s="48">
        <v>8120</v>
      </c>
      <c r="K337" s="46" t="s">
        <v>813</v>
      </c>
      <c r="L337" s="46" t="s">
        <v>4</v>
      </c>
      <c r="M337" s="46" t="s">
        <v>640</v>
      </c>
      <c r="N337" s="49">
        <v>1</v>
      </c>
      <c r="O337" s="49">
        <v>2</v>
      </c>
      <c r="P337" s="47" t="s">
        <v>1252</v>
      </c>
      <c r="Q337" s="47" t="s">
        <v>1097</v>
      </c>
      <c r="R337" s="47" t="s">
        <v>376</v>
      </c>
      <c r="S337" s="46"/>
      <c r="T337" s="46"/>
      <c r="U337" s="46"/>
      <c r="V337" s="46"/>
      <c r="W337" s="46"/>
      <c r="X337" s="46"/>
      <c r="Y337" s="46"/>
      <c r="Z337" s="46"/>
      <c r="AA337" s="46"/>
      <c r="AB337" s="46"/>
      <c r="AC337" s="46"/>
      <c r="AD337" s="46"/>
      <c r="AE337" s="50">
        <f>IF(L337="W",1,0)</f>
        <v>0</v>
      </c>
      <c r="AF337" s="50">
        <f>IF(L337="T",1,0)</f>
        <v>0</v>
      </c>
      <c r="AG337" s="50">
        <f>IF(L337="L",1,0)</f>
        <v>1</v>
      </c>
      <c r="AH337" s="46" t="s">
        <v>1017</v>
      </c>
      <c r="AI337" s="46" t="s">
        <v>1018</v>
      </c>
      <c r="AJ337" s="46" t="s">
        <v>376</v>
      </c>
      <c r="AK337" s="46" t="s">
        <v>658</v>
      </c>
      <c r="AL337" s="46" t="s">
        <v>1136</v>
      </c>
      <c r="AM337" s="46" t="s">
        <v>1086</v>
      </c>
      <c r="AN337" s="46" t="s">
        <v>376</v>
      </c>
      <c r="AO337" s="46" t="s">
        <v>658</v>
      </c>
      <c r="AP337" s="46"/>
      <c r="AQ337" s="46">
        <v>2</v>
      </c>
      <c r="AR337" s="46"/>
      <c r="AS337" s="46"/>
      <c r="AT337" s="46"/>
      <c r="AU337" s="46" t="s">
        <v>376</v>
      </c>
      <c r="AV337" s="46"/>
      <c r="AW337" s="46" t="s">
        <v>30</v>
      </c>
      <c r="AX337" s="46"/>
      <c r="AY337" s="46" t="s">
        <v>30</v>
      </c>
      <c r="AZ337" s="46"/>
      <c r="BA337" s="47"/>
      <c r="BB337" s="51"/>
      <c r="BC337" s="46"/>
      <c r="BD337" s="46"/>
      <c r="BE337" s="46"/>
      <c r="BF337" s="46">
        <v>1</v>
      </c>
      <c r="BG337" s="46">
        <v>1</v>
      </c>
      <c r="BH337" s="46">
        <v>1</v>
      </c>
      <c r="BI337" s="46" t="s">
        <v>813</v>
      </c>
      <c r="BJ337" s="46" t="s">
        <v>640</v>
      </c>
      <c r="BK337" s="46">
        <v>1922</v>
      </c>
      <c r="BL337" s="46" t="str">
        <f>BK337&amp;BI337</f>
        <v>1922Tottenham Hotspur</v>
      </c>
      <c r="BM337" s="52" t="str">
        <f>IF(AD337="Home",BI337,IF(AD337="Away",BJ337,Q337))</f>
        <v>Sheffield</v>
      </c>
      <c r="BN337" s="46"/>
      <c r="BO337" s="46"/>
      <c r="BP337" s="46"/>
      <c r="BQ337" s="46"/>
      <c r="BR337" s="46"/>
      <c r="BS337" s="46"/>
      <c r="BT337" s="46"/>
      <c r="BU337" s="46"/>
      <c r="BV337" s="46" t="s">
        <v>376</v>
      </c>
      <c r="BW337" s="46" t="s">
        <v>376</v>
      </c>
      <c r="BX337" s="46"/>
      <c r="BY337" s="50"/>
      <c r="BZ337" s="53"/>
      <c r="CA337" s="53"/>
      <c r="CB337" s="93" t="str">
        <f>IF(OR(C337="",A337="",B337=""),"",TEXT(C337,"0000")&amp;TEXT(A337,"00")&amp;TEXT(B337,"00"))</f>
        <v>19220325</v>
      </c>
    </row>
    <row r="338" spans="1:80" s="52" customFormat="1" ht="12.95" customHeight="1" x14ac:dyDescent="0.2">
      <c r="A338" s="46">
        <v>3</v>
      </c>
      <c r="B338" s="46">
        <v>25</v>
      </c>
      <c r="C338" s="46">
        <v>1922</v>
      </c>
      <c r="D338" s="46" t="s">
        <v>658</v>
      </c>
      <c r="E338" s="46" t="s">
        <v>1265</v>
      </c>
      <c r="F338" s="47" t="s">
        <v>1010</v>
      </c>
      <c r="G338" s="46"/>
      <c r="H338" s="47" t="s">
        <v>1011</v>
      </c>
      <c r="I338" s="47"/>
      <c r="J338" s="48">
        <v>8120</v>
      </c>
      <c r="K338" s="46" t="s">
        <v>1259</v>
      </c>
      <c r="L338" s="46" t="s">
        <v>3</v>
      </c>
      <c r="M338" s="46" t="s">
        <v>1105</v>
      </c>
      <c r="N338" s="49">
        <v>3</v>
      </c>
      <c r="O338" s="49">
        <v>1</v>
      </c>
      <c r="P338" s="47" t="s">
        <v>1266</v>
      </c>
      <c r="Q338" s="47" t="s">
        <v>1255</v>
      </c>
      <c r="R338" s="47" t="s">
        <v>376</v>
      </c>
      <c r="S338" s="46"/>
      <c r="T338" s="46"/>
      <c r="U338" s="46"/>
      <c r="V338" s="46"/>
      <c r="W338" s="46"/>
      <c r="X338" s="46"/>
      <c r="Y338" s="46"/>
      <c r="Z338" s="46"/>
      <c r="AA338" s="46"/>
      <c r="AB338" s="46"/>
      <c r="AC338" s="46"/>
      <c r="AD338" s="46"/>
      <c r="AE338" s="50">
        <f>IF(L338="W",1,0)</f>
        <v>1</v>
      </c>
      <c r="AF338" s="50">
        <f>IF(L338="T",1,0)</f>
        <v>0</v>
      </c>
      <c r="AG338" s="50">
        <f>IF(L338="L",1,0)</f>
        <v>0</v>
      </c>
      <c r="AH338" s="46" t="s">
        <v>1096</v>
      </c>
      <c r="AI338" s="46" t="s">
        <v>1260</v>
      </c>
      <c r="AJ338" s="46" t="s">
        <v>376</v>
      </c>
      <c r="AK338" s="46" t="s">
        <v>658</v>
      </c>
      <c r="AL338" s="46" t="s">
        <v>1073</v>
      </c>
      <c r="AM338" s="46" t="s">
        <v>1074</v>
      </c>
      <c r="AN338" s="46" t="s">
        <v>376</v>
      </c>
      <c r="AO338" s="46" t="s">
        <v>658</v>
      </c>
      <c r="AP338" s="46"/>
      <c r="AQ338" s="46">
        <v>2</v>
      </c>
      <c r="AR338" s="46"/>
      <c r="AS338" s="46"/>
      <c r="AT338" s="46"/>
      <c r="AU338" s="46" t="s">
        <v>376</v>
      </c>
      <c r="AV338" s="46"/>
      <c r="AW338" s="46" t="s">
        <v>30</v>
      </c>
      <c r="AX338" s="46"/>
      <c r="AY338" s="46" t="s">
        <v>30</v>
      </c>
      <c r="AZ338" s="46"/>
      <c r="BA338" s="47"/>
      <c r="BB338" s="51"/>
      <c r="BC338" s="46"/>
      <c r="BD338" s="46"/>
      <c r="BE338" s="46"/>
      <c r="BF338" s="46">
        <v>1</v>
      </c>
      <c r="BG338" s="46">
        <v>1</v>
      </c>
      <c r="BH338" s="46">
        <v>2</v>
      </c>
      <c r="BI338" s="46" t="s">
        <v>1259</v>
      </c>
      <c r="BJ338" s="46" t="s">
        <v>1105</v>
      </c>
      <c r="BK338" s="46">
        <v>1922</v>
      </c>
      <c r="BL338" s="46" t="str">
        <f>BK338&amp;BI338</f>
        <v>1922Huddersfield Town</v>
      </c>
      <c r="BM338" s="52" t="str">
        <f>IF(AD338="Home",BI338,IF(AD338="Away",BJ338,Q338))</f>
        <v>Burnley</v>
      </c>
      <c r="BN338" s="46"/>
      <c r="BO338" s="46"/>
      <c r="BP338" s="46"/>
      <c r="BQ338" s="46"/>
      <c r="BR338" s="46"/>
      <c r="BS338" s="46"/>
      <c r="BT338" s="46"/>
      <c r="BU338" s="46"/>
      <c r="BV338" s="46" t="s">
        <v>376</v>
      </c>
      <c r="BW338" s="46" t="s">
        <v>376</v>
      </c>
      <c r="BX338" s="46"/>
      <c r="BZ338" s="53"/>
      <c r="CA338" s="53"/>
      <c r="CB338" s="93" t="str">
        <f>IF(OR(C338="",A338="",B338=""),"",TEXT(C338,"0000")&amp;TEXT(A338,"00")&amp;TEXT(B338,"00"))</f>
        <v>19220325</v>
      </c>
    </row>
    <row r="339" spans="1:80" s="52" customFormat="1" ht="12.95" customHeight="1" x14ac:dyDescent="0.2">
      <c r="A339" s="46">
        <v>3</v>
      </c>
      <c r="B339" s="46">
        <v>25</v>
      </c>
      <c r="C339" s="46">
        <v>1922</v>
      </c>
      <c r="D339" s="46" t="s">
        <v>658</v>
      </c>
      <c r="E339" s="46" t="s">
        <v>1265</v>
      </c>
      <c r="F339" s="47" t="s">
        <v>1010</v>
      </c>
      <c r="G339" s="46"/>
      <c r="H339" s="47" t="s">
        <v>1011</v>
      </c>
      <c r="I339" s="47"/>
      <c r="J339" s="48">
        <v>8120</v>
      </c>
      <c r="K339" s="46" t="s">
        <v>1105</v>
      </c>
      <c r="L339" s="46" t="s">
        <v>4</v>
      </c>
      <c r="M339" s="46" t="s">
        <v>1259</v>
      </c>
      <c r="N339" s="49">
        <v>1</v>
      </c>
      <c r="O339" s="49">
        <v>3</v>
      </c>
      <c r="P339" s="47" t="s">
        <v>1266</v>
      </c>
      <c r="Q339" s="47" t="s">
        <v>1255</v>
      </c>
      <c r="R339" s="47" t="s">
        <v>376</v>
      </c>
      <c r="S339" s="46"/>
      <c r="T339" s="46"/>
      <c r="U339" s="46"/>
      <c r="V339" s="46"/>
      <c r="W339" s="46"/>
      <c r="X339" s="46"/>
      <c r="Y339" s="46"/>
      <c r="Z339" s="46"/>
      <c r="AA339" s="46"/>
      <c r="AB339" s="46"/>
      <c r="AC339" s="46"/>
      <c r="AD339" s="46"/>
      <c r="AE339" s="50">
        <f>IF(L339="W",1,0)</f>
        <v>0</v>
      </c>
      <c r="AF339" s="50">
        <f>IF(L339="T",1,0)</f>
        <v>0</v>
      </c>
      <c r="AG339" s="50">
        <f>IF(L339="L",1,0)</f>
        <v>1</v>
      </c>
      <c r="AH339" s="46" t="s">
        <v>1073</v>
      </c>
      <c r="AI339" s="46" t="s">
        <v>1074</v>
      </c>
      <c r="AJ339" s="46" t="s">
        <v>376</v>
      </c>
      <c r="AK339" s="46" t="s">
        <v>658</v>
      </c>
      <c r="AL339" s="46" t="s">
        <v>1096</v>
      </c>
      <c r="AM339" s="46" t="s">
        <v>1260</v>
      </c>
      <c r="AN339" s="46" t="s">
        <v>376</v>
      </c>
      <c r="AO339" s="46" t="s">
        <v>658</v>
      </c>
      <c r="AP339" s="46"/>
      <c r="AQ339" s="46">
        <v>2</v>
      </c>
      <c r="AR339" s="46"/>
      <c r="AS339" s="46"/>
      <c r="AT339" s="46"/>
      <c r="AU339" s="46" t="s">
        <v>376</v>
      </c>
      <c r="AV339" s="46"/>
      <c r="AW339" s="46" t="s">
        <v>30</v>
      </c>
      <c r="AX339" s="46"/>
      <c r="AY339" s="46" t="s">
        <v>30</v>
      </c>
      <c r="AZ339" s="46"/>
      <c r="BA339" s="47"/>
      <c r="BB339" s="51"/>
      <c r="BC339" s="46"/>
      <c r="BD339" s="46"/>
      <c r="BE339" s="46"/>
      <c r="BF339" s="46">
        <v>1</v>
      </c>
      <c r="BG339" s="46">
        <v>2</v>
      </c>
      <c r="BH339" s="46">
        <v>1</v>
      </c>
      <c r="BI339" s="46" t="s">
        <v>1105</v>
      </c>
      <c r="BJ339" s="46" t="s">
        <v>1259</v>
      </c>
      <c r="BK339" s="46">
        <v>1922</v>
      </c>
      <c r="BL339" s="46" t="str">
        <f>BK339&amp;BI339</f>
        <v>1922Notts County</v>
      </c>
      <c r="BM339" s="52" t="str">
        <f>IF(AD339="Home",BI339,IF(AD339="Away",BJ339,Q339))</f>
        <v>Burnley</v>
      </c>
      <c r="BN339" s="46"/>
      <c r="BO339" s="46"/>
      <c r="BP339" s="46"/>
      <c r="BQ339" s="46"/>
      <c r="BR339" s="46"/>
      <c r="BS339" s="46"/>
      <c r="BT339" s="46"/>
      <c r="BU339" s="46"/>
      <c r="BV339" s="46" t="s">
        <v>376</v>
      </c>
      <c r="BW339" s="46" t="s">
        <v>376</v>
      </c>
      <c r="BX339" s="46"/>
      <c r="BZ339" s="53"/>
      <c r="CA339" s="53"/>
      <c r="CB339" s="93" t="str">
        <f>IF(OR(C339="",A339="",B339=""),"",TEXT(C339,"0000")&amp;TEXT(A339,"00")&amp;TEXT(B339,"00"))</f>
        <v>19220325</v>
      </c>
    </row>
    <row r="340" spans="1:80" s="52" customFormat="1" ht="12.95" customHeight="1" x14ac:dyDescent="0.2">
      <c r="A340" s="46">
        <v>4</v>
      </c>
      <c r="B340" s="46">
        <v>29</v>
      </c>
      <c r="C340" s="46">
        <v>1922</v>
      </c>
      <c r="D340" s="46" t="s">
        <v>658</v>
      </c>
      <c r="E340" s="46" t="s">
        <v>1265</v>
      </c>
      <c r="F340" s="47" t="s">
        <v>1010</v>
      </c>
      <c r="G340" s="46"/>
      <c r="H340" s="47" t="s">
        <v>1025</v>
      </c>
      <c r="I340" s="47"/>
      <c r="J340" s="48">
        <v>8155</v>
      </c>
      <c r="K340" s="46" t="s">
        <v>1259</v>
      </c>
      <c r="L340" s="46" t="s">
        <v>3</v>
      </c>
      <c r="M340" s="46" t="s">
        <v>640</v>
      </c>
      <c r="N340" s="49">
        <v>1</v>
      </c>
      <c r="O340" s="49">
        <v>0</v>
      </c>
      <c r="P340" s="47" t="s">
        <v>1234</v>
      </c>
      <c r="Q340" s="47" t="s">
        <v>1017</v>
      </c>
      <c r="R340" s="47" t="s">
        <v>376</v>
      </c>
      <c r="S340" s="46"/>
      <c r="T340" s="46"/>
      <c r="U340" s="46"/>
      <c r="V340" s="46"/>
      <c r="W340" s="46"/>
      <c r="X340" s="46"/>
      <c r="Y340" s="46"/>
      <c r="Z340" s="46"/>
      <c r="AA340" s="46"/>
      <c r="AB340" s="46"/>
      <c r="AC340" s="46"/>
      <c r="AD340" s="46"/>
      <c r="AE340" s="50">
        <f>IF(L340="W",1,0)</f>
        <v>1</v>
      </c>
      <c r="AF340" s="50">
        <f>IF(L340="T",1,0)</f>
        <v>0</v>
      </c>
      <c r="AG340" s="50">
        <f>IF(L340="L",1,0)</f>
        <v>0</v>
      </c>
      <c r="AH340" s="46" t="s">
        <v>1096</v>
      </c>
      <c r="AI340" s="46" t="s">
        <v>1260</v>
      </c>
      <c r="AJ340" s="46" t="s">
        <v>376</v>
      </c>
      <c r="AK340" s="46" t="s">
        <v>658</v>
      </c>
      <c r="AL340" s="46" t="s">
        <v>1136</v>
      </c>
      <c r="AM340" s="46" t="s">
        <v>1086</v>
      </c>
      <c r="AN340" s="46" t="s">
        <v>376</v>
      </c>
      <c r="AO340" s="46" t="s">
        <v>658</v>
      </c>
      <c r="AP340" s="46"/>
      <c r="AQ340" s="46">
        <v>1</v>
      </c>
      <c r="AR340" s="46"/>
      <c r="AS340" s="46"/>
      <c r="AT340" s="46"/>
      <c r="AU340" s="46" t="s">
        <v>376</v>
      </c>
      <c r="AV340" s="46"/>
      <c r="AW340" s="46" t="s">
        <v>30</v>
      </c>
      <c r="AX340" s="46"/>
      <c r="AY340" s="46" t="s">
        <v>30</v>
      </c>
      <c r="AZ340" s="46"/>
      <c r="BA340" s="47"/>
      <c r="BB340" s="51" t="s">
        <v>30</v>
      </c>
      <c r="BC340" s="46" t="s">
        <v>30</v>
      </c>
      <c r="BD340" s="46"/>
      <c r="BE340" s="46"/>
      <c r="BF340" s="46">
        <v>1</v>
      </c>
      <c r="BG340" s="46">
        <v>1</v>
      </c>
      <c r="BH340" s="46">
        <v>1</v>
      </c>
      <c r="BI340" s="46" t="s">
        <v>1259</v>
      </c>
      <c r="BJ340" s="46" t="s">
        <v>640</v>
      </c>
      <c r="BK340" s="46">
        <v>1922</v>
      </c>
      <c r="BL340" s="46" t="str">
        <f>BK340&amp;BI340</f>
        <v>1922Huddersfield Town</v>
      </c>
      <c r="BM340" s="52" t="str">
        <f>IF(AD340="Home",BI340,IF(AD340="Away",BJ340,Q340))</f>
        <v>London</v>
      </c>
      <c r="BN340" s="46"/>
      <c r="BO340" s="46"/>
      <c r="BP340" s="46"/>
      <c r="BQ340" s="46"/>
      <c r="BR340" s="46"/>
      <c r="BS340" s="46"/>
      <c r="BT340" s="46"/>
      <c r="BU340" s="46"/>
      <c r="BV340" s="46" t="s">
        <v>376</v>
      </c>
      <c r="BW340" s="46" t="s">
        <v>376</v>
      </c>
      <c r="BX340" s="46"/>
      <c r="BZ340" s="53"/>
      <c r="CA340" s="53"/>
      <c r="CB340" s="93" t="str">
        <f>IF(OR(C340="",A340="",B340=""),"",TEXT(C340,"0000")&amp;TEXT(A340,"00")&amp;TEXT(B340,"00"))</f>
        <v>19220429</v>
      </c>
    </row>
    <row r="341" spans="1:80" s="52" customFormat="1" ht="12.95" customHeight="1" x14ac:dyDescent="0.2">
      <c r="A341" s="46">
        <v>4</v>
      </c>
      <c r="B341" s="46">
        <v>29</v>
      </c>
      <c r="C341" s="46">
        <v>1922</v>
      </c>
      <c r="D341" s="46" t="s">
        <v>658</v>
      </c>
      <c r="E341" s="46" t="s">
        <v>1265</v>
      </c>
      <c r="F341" s="47" t="s">
        <v>1010</v>
      </c>
      <c r="G341" s="46"/>
      <c r="H341" s="47" t="s">
        <v>1025</v>
      </c>
      <c r="I341" s="47"/>
      <c r="J341" s="48">
        <v>8155</v>
      </c>
      <c r="K341" s="46" t="s">
        <v>640</v>
      </c>
      <c r="L341" s="46" t="s">
        <v>4</v>
      </c>
      <c r="M341" s="46" t="s">
        <v>1259</v>
      </c>
      <c r="N341" s="49">
        <v>0</v>
      </c>
      <c r="O341" s="49">
        <v>1</v>
      </c>
      <c r="P341" s="47" t="s">
        <v>1234</v>
      </c>
      <c r="Q341" s="47" t="s">
        <v>1017</v>
      </c>
      <c r="R341" s="47" t="s">
        <v>376</v>
      </c>
      <c r="S341" s="46"/>
      <c r="T341" s="46"/>
      <c r="U341" s="46"/>
      <c r="V341" s="46"/>
      <c r="W341" s="46"/>
      <c r="X341" s="46"/>
      <c r="Y341" s="46"/>
      <c r="Z341" s="46"/>
      <c r="AA341" s="46"/>
      <c r="AB341" s="46"/>
      <c r="AC341" s="46"/>
      <c r="AD341" s="46"/>
      <c r="AE341" s="50">
        <f>IF(L341="W",1,0)</f>
        <v>0</v>
      </c>
      <c r="AF341" s="50">
        <f>IF(L341="T",1,0)</f>
        <v>0</v>
      </c>
      <c r="AG341" s="50">
        <f>IF(L341="L",1,0)</f>
        <v>1</v>
      </c>
      <c r="AH341" s="46" t="s">
        <v>1136</v>
      </c>
      <c r="AI341" s="46" t="s">
        <v>1086</v>
      </c>
      <c r="AJ341" s="46" t="s">
        <v>376</v>
      </c>
      <c r="AK341" s="46" t="s">
        <v>658</v>
      </c>
      <c r="AL341" s="46" t="s">
        <v>1096</v>
      </c>
      <c r="AM341" s="46" t="s">
        <v>1260</v>
      </c>
      <c r="AN341" s="46" t="s">
        <v>376</v>
      </c>
      <c r="AO341" s="46" t="s">
        <v>658</v>
      </c>
      <c r="AP341" s="46"/>
      <c r="AQ341" s="46">
        <v>1</v>
      </c>
      <c r="AR341" s="46"/>
      <c r="AS341" s="46"/>
      <c r="AT341" s="46"/>
      <c r="AU341" s="46" t="s">
        <v>376</v>
      </c>
      <c r="AV341" s="46"/>
      <c r="AW341" s="46" t="s">
        <v>30</v>
      </c>
      <c r="AX341" s="46"/>
      <c r="AY341" s="46" t="s">
        <v>30</v>
      </c>
      <c r="AZ341" s="46"/>
      <c r="BA341" s="47"/>
      <c r="BB341" s="51"/>
      <c r="BC341" s="46" t="s">
        <v>30</v>
      </c>
      <c r="BD341" s="46"/>
      <c r="BE341" s="46"/>
      <c r="BF341" s="46">
        <v>1</v>
      </c>
      <c r="BG341" s="46">
        <v>1</v>
      </c>
      <c r="BH341" s="46">
        <v>1</v>
      </c>
      <c r="BI341" s="46" t="s">
        <v>640</v>
      </c>
      <c r="BJ341" s="46" t="s">
        <v>1259</v>
      </c>
      <c r="BK341" s="46">
        <v>1922</v>
      </c>
      <c r="BL341" s="46" t="str">
        <f>BK341&amp;BI341</f>
        <v>1922Preston North End</v>
      </c>
      <c r="BM341" s="52" t="str">
        <f>IF(AD341="Home",BI341,IF(AD341="Away",BJ341,Q341))</f>
        <v>London</v>
      </c>
      <c r="BN341" s="46"/>
      <c r="BO341" s="46"/>
      <c r="BP341" s="46"/>
      <c r="BQ341" s="46"/>
      <c r="BR341" s="46"/>
      <c r="BS341" s="46"/>
      <c r="BT341" s="46"/>
      <c r="BU341" s="46"/>
      <c r="BV341" s="46" t="s">
        <v>376</v>
      </c>
      <c r="BW341" s="46" t="s">
        <v>376</v>
      </c>
      <c r="BX341" s="46"/>
      <c r="BZ341" s="53"/>
      <c r="CA341" s="53"/>
      <c r="CB341" s="93" t="str">
        <f>IF(OR(C341="",A341="",B341=""),"",TEXT(C341,"0000")&amp;TEXT(A341,"00")&amp;TEXT(B341,"00"))</f>
        <v>19220429</v>
      </c>
    </row>
    <row r="342" spans="1:80" s="52" customFormat="1" ht="12.95" customHeight="1" x14ac:dyDescent="0.2">
      <c r="A342" s="46">
        <v>3</v>
      </c>
      <c r="B342" s="46">
        <v>24</v>
      </c>
      <c r="C342" s="46">
        <v>1923</v>
      </c>
      <c r="D342" s="46" t="s">
        <v>658</v>
      </c>
      <c r="E342" s="46" t="s">
        <v>1267</v>
      </c>
      <c r="F342" s="47" t="s">
        <v>1010</v>
      </c>
      <c r="G342" s="46"/>
      <c r="H342" s="47" t="s">
        <v>1011</v>
      </c>
      <c r="I342" s="47"/>
      <c r="J342" s="48">
        <v>8484</v>
      </c>
      <c r="K342" s="46" t="s">
        <v>1157</v>
      </c>
      <c r="L342" s="46" t="s">
        <v>3</v>
      </c>
      <c r="M342" s="46" t="s">
        <v>1207</v>
      </c>
      <c r="N342" s="49">
        <v>1</v>
      </c>
      <c r="O342" s="49">
        <v>0</v>
      </c>
      <c r="P342" s="47" t="s">
        <v>1246</v>
      </c>
      <c r="Q342" s="47" t="s">
        <v>1101</v>
      </c>
      <c r="R342" s="47" t="s">
        <v>376</v>
      </c>
      <c r="S342" s="46"/>
      <c r="T342" s="46"/>
      <c r="U342" s="46"/>
      <c r="V342" s="46"/>
      <c r="W342" s="46"/>
      <c r="X342" s="46"/>
      <c r="Y342" s="46"/>
      <c r="Z342" s="46"/>
      <c r="AA342" s="46"/>
      <c r="AB342" s="46"/>
      <c r="AC342" s="46"/>
      <c r="AD342" s="46"/>
      <c r="AE342" s="50">
        <f>IF(L342="W",1,0)</f>
        <v>1</v>
      </c>
      <c r="AF342" s="50">
        <f>IF(L342="T",1,0)</f>
        <v>0</v>
      </c>
      <c r="AG342" s="50">
        <f>IF(L342="L",1,0)</f>
        <v>0</v>
      </c>
      <c r="AH342" s="46" t="s">
        <v>1101</v>
      </c>
      <c r="AI342" s="46" t="s">
        <v>1159</v>
      </c>
      <c r="AJ342" s="46" t="s">
        <v>376</v>
      </c>
      <c r="AK342" s="46" t="s">
        <v>658</v>
      </c>
      <c r="AL342" s="46" t="s">
        <v>1097</v>
      </c>
      <c r="AM342" s="46" t="s">
        <v>1098</v>
      </c>
      <c r="AN342" s="46" t="s">
        <v>376</v>
      </c>
      <c r="AO342" s="46" t="s">
        <v>658</v>
      </c>
      <c r="AP342" s="46"/>
      <c r="AQ342" s="46">
        <v>2</v>
      </c>
      <c r="AR342" s="46"/>
      <c r="AS342" s="46"/>
      <c r="AT342" s="46"/>
      <c r="AU342" s="46" t="s">
        <v>376</v>
      </c>
      <c r="AV342" s="46"/>
      <c r="AW342" s="46" t="s">
        <v>30</v>
      </c>
      <c r="AX342" s="46"/>
      <c r="AY342" s="46" t="s">
        <v>30</v>
      </c>
      <c r="AZ342" s="46"/>
      <c r="BA342" s="47"/>
      <c r="BB342" s="51"/>
      <c r="BC342" s="46"/>
      <c r="BD342" s="46"/>
      <c r="BE342" s="46"/>
      <c r="BF342" s="46">
        <v>1</v>
      </c>
      <c r="BG342" s="46">
        <v>1</v>
      </c>
      <c r="BH342" s="46">
        <v>1</v>
      </c>
      <c r="BI342" s="46" t="s">
        <v>1157</v>
      </c>
      <c r="BJ342" s="46" t="s">
        <v>1207</v>
      </c>
      <c r="BK342" s="46">
        <v>1923</v>
      </c>
      <c r="BL342" s="46" t="str">
        <f>BK342&amp;BI342</f>
        <v>1923Bolton Wanderers</v>
      </c>
      <c r="BM342" s="52" t="str">
        <f>IF(AD342="Home",BI342,IF(AD342="Away",BJ342,Q342))</f>
        <v>Manchester</v>
      </c>
      <c r="BN342" s="46"/>
      <c r="BO342" s="46"/>
      <c r="BP342" s="46"/>
      <c r="BQ342" s="46"/>
      <c r="BR342" s="46"/>
      <c r="BS342" s="46"/>
      <c r="BT342" s="46"/>
      <c r="BU342" s="46"/>
      <c r="BV342" s="46" t="s">
        <v>376</v>
      </c>
      <c r="BW342" s="46" t="s">
        <v>376</v>
      </c>
      <c r="BX342" s="46"/>
      <c r="BZ342" s="53"/>
      <c r="CA342" s="53"/>
      <c r="CB342" s="93" t="str">
        <f>IF(OR(C342="",A342="",B342=""),"",TEXT(C342,"0000")&amp;TEXT(A342,"00")&amp;TEXT(B342,"00"))</f>
        <v>19230324</v>
      </c>
    </row>
    <row r="343" spans="1:80" s="52" customFormat="1" ht="12.95" customHeight="1" x14ac:dyDescent="0.2">
      <c r="A343" s="46">
        <v>3</v>
      </c>
      <c r="B343" s="46">
        <v>24</v>
      </c>
      <c r="C343" s="46">
        <v>1923</v>
      </c>
      <c r="D343" s="46" t="s">
        <v>658</v>
      </c>
      <c r="E343" s="46" t="s">
        <v>1267</v>
      </c>
      <c r="F343" s="47" t="s">
        <v>1010</v>
      </c>
      <c r="G343" s="46"/>
      <c r="H343" s="47" t="s">
        <v>1011</v>
      </c>
      <c r="I343" s="47"/>
      <c r="J343" s="48">
        <v>8484</v>
      </c>
      <c r="K343" s="46" t="s">
        <v>1207</v>
      </c>
      <c r="L343" s="46" t="s">
        <v>4</v>
      </c>
      <c r="M343" s="46" t="s">
        <v>1157</v>
      </c>
      <c r="N343" s="49">
        <v>0</v>
      </c>
      <c r="O343" s="49">
        <v>1</v>
      </c>
      <c r="P343" s="47" t="s">
        <v>1246</v>
      </c>
      <c r="Q343" s="47" t="s">
        <v>1101</v>
      </c>
      <c r="R343" s="47" t="s">
        <v>376</v>
      </c>
      <c r="S343" s="46"/>
      <c r="T343" s="46"/>
      <c r="U343" s="46"/>
      <c r="V343" s="46"/>
      <c r="W343" s="46"/>
      <c r="X343" s="46"/>
      <c r="Y343" s="46"/>
      <c r="Z343" s="46"/>
      <c r="AA343" s="46"/>
      <c r="AB343" s="46"/>
      <c r="AC343" s="46"/>
      <c r="AD343" s="46"/>
      <c r="AE343" s="50">
        <f>IF(L343="W",1,0)</f>
        <v>0</v>
      </c>
      <c r="AF343" s="50">
        <f>IF(L343="T",1,0)</f>
        <v>0</v>
      </c>
      <c r="AG343" s="50">
        <f>IF(L343="L",1,0)</f>
        <v>1</v>
      </c>
      <c r="AH343" s="46" t="s">
        <v>1097</v>
      </c>
      <c r="AI343" s="46" t="s">
        <v>1098</v>
      </c>
      <c r="AJ343" s="46" t="s">
        <v>376</v>
      </c>
      <c r="AK343" s="46" t="s">
        <v>658</v>
      </c>
      <c r="AL343" s="46" t="s">
        <v>1101</v>
      </c>
      <c r="AM343" s="46" t="s">
        <v>1159</v>
      </c>
      <c r="AN343" s="46" t="s">
        <v>376</v>
      </c>
      <c r="AO343" s="46" t="s">
        <v>658</v>
      </c>
      <c r="AP343" s="46"/>
      <c r="AQ343" s="46">
        <v>2</v>
      </c>
      <c r="AR343" s="46"/>
      <c r="AS343" s="46"/>
      <c r="AT343" s="46"/>
      <c r="AU343" s="46" t="s">
        <v>376</v>
      </c>
      <c r="AV343" s="46"/>
      <c r="AW343" s="46" t="s">
        <v>30</v>
      </c>
      <c r="AX343" s="46"/>
      <c r="AY343" s="46" t="s">
        <v>30</v>
      </c>
      <c r="AZ343" s="46"/>
      <c r="BA343" s="47"/>
      <c r="BB343" s="51"/>
      <c r="BC343" s="46"/>
      <c r="BD343" s="46"/>
      <c r="BE343" s="46"/>
      <c r="BF343" s="46">
        <v>1</v>
      </c>
      <c r="BG343" s="46">
        <v>1</v>
      </c>
      <c r="BH343" s="46">
        <v>1</v>
      </c>
      <c r="BI343" s="46" t="s">
        <v>1207</v>
      </c>
      <c r="BJ343" s="46" t="s">
        <v>1157</v>
      </c>
      <c r="BK343" s="46">
        <v>1923</v>
      </c>
      <c r="BL343" s="46" t="str">
        <f>BK343&amp;BI343</f>
        <v>1923Sheffield United</v>
      </c>
      <c r="BM343" s="52" t="str">
        <f>IF(AD343="Home",BI343,IF(AD343="Away",BJ343,Q343))</f>
        <v>Manchester</v>
      </c>
      <c r="BN343" s="46"/>
      <c r="BO343" s="46"/>
      <c r="BP343" s="46"/>
      <c r="BQ343" s="46"/>
      <c r="BR343" s="46"/>
      <c r="BS343" s="46"/>
      <c r="BT343" s="46"/>
      <c r="BU343" s="46"/>
      <c r="BV343" s="46" t="s">
        <v>376</v>
      </c>
      <c r="BW343" s="46" t="s">
        <v>376</v>
      </c>
      <c r="BX343" s="46"/>
      <c r="BZ343" s="53"/>
      <c r="CA343" s="53"/>
      <c r="CB343" s="93" t="str">
        <f>IF(OR(C343="",A343="",B343=""),"",TEXT(C343,"0000")&amp;TEXT(A343,"00")&amp;TEXT(B343,"00"))</f>
        <v>19230324</v>
      </c>
    </row>
    <row r="344" spans="1:80" s="52" customFormat="1" ht="12.95" customHeight="1" x14ac:dyDescent="0.2">
      <c r="A344" s="46">
        <v>3</v>
      </c>
      <c r="B344" s="46">
        <v>24</v>
      </c>
      <c r="C344" s="46">
        <v>1923</v>
      </c>
      <c r="D344" s="46" t="s">
        <v>658</v>
      </c>
      <c r="E344" s="46" t="s">
        <v>1267</v>
      </c>
      <c r="F344" s="47" t="s">
        <v>1010</v>
      </c>
      <c r="G344" s="46"/>
      <c r="H344" s="47" t="s">
        <v>1011</v>
      </c>
      <c r="I344" s="47"/>
      <c r="J344" s="48">
        <v>8484</v>
      </c>
      <c r="K344" s="46" t="s">
        <v>803</v>
      </c>
      <c r="L344" s="46" t="s">
        <v>3</v>
      </c>
      <c r="M344" s="46" t="s">
        <v>1191</v>
      </c>
      <c r="N344" s="49">
        <v>5</v>
      </c>
      <c r="O344" s="49">
        <v>2</v>
      </c>
      <c r="P344" s="47" t="s">
        <v>1234</v>
      </c>
      <c r="Q344" s="47" t="s">
        <v>1017</v>
      </c>
      <c r="R344" s="47" t="s">
        <v>376</v>
      </c>
      <c r="S344" s="46"/>
      <c r="T344" s="46"/>
      <c r="U344" s="46"/>
      <c r="V344" s="46"/>
      <c r="W344" s="46"/>
      <c r="X344" s="46"/>
      <c r="Y344" s="46"/>
      <c r="Z344" s="46"/>
      <c r="AA344" s="46"/>
      <c r="AB344" s="46"/>
      <c r="AC344" s="46"/>
      <c r="AD344" s="46"/>
      <c r="AE344" s="50">
        <f>IF(L344="W",1,0)</f>
        <v>1</v>
      </c>
      <c r="AF344" s="50">
        <f>IF(L344="T",1,0)</f>
        <v>0</v>
      </c>
      <c r="AG344" s="50">
        <f>IF(L344="L",1,0)</f>
        <v>0</v>
      </c>
      <c r="AH344" s="46" t="s">
        <v>1017</v>
      </c>
      <c r="AI344" s="46" t="s">
        <v>1018</v>
      </c>
      <c r="AJ344" s="46" t="s">
        <v>376</v>
      </c>
      <c r="AK344" s="46" t="s">
        <v>658</v>
      </c>
      <c r="AL344" s="46" t="s">
        <v>979</v>
      </c>
      <c r="AM344" s="46" t="s">
        <v>1146</v>
      </c>
      <c r="AN344" s="46" t="s">
        <v>376</v>
      </c>
      <c r="AO344" s="46" t="s">
        <v>658</v>
      </c>
      <c r="AP344" s="46"/>
      <c r="AQ344" s="46">
        <v>2</v>
      </c>
      <c r="AR344" s="46"/>
      <c r="AS344" s="46"/>
      <c r="AT344" s="46"/>
      <c r="AU344" s="46" t="s">
        <v>376</v>
      </c>
      <c r="AV344" s="46"/>
      <c r="AW344" s="46" t="s">
        <v>30</v>
      </c>
      <c r="AX344" s="46"/>
      <c r="AY344" s="46" t="s">
        <v>30</v>
      </c>
      <c r="AZ344" s="46"/>
      <c r="BA344" s="47"/>
      <c r="BB344" s="51"/>
      <c r="BC344" s="46"/>
      <c r="BD344" s="46"/>
      <c r="BE344" s="46"/>
      <c r="BF344" s="46">
        <v>1</v>
      </c>
      <c r="BG344" s="46">
        <v>2</v>
      </c>
      <c r="BH344" s="46">
        <v>2</v>
      </c>
      <c r="BI344" s="46" t="s">
        <v>803</v>
      </c>
      <c r="BJ344" s="46" t="s">
        <v>1191</v>
      </c>
      <c r="BK344" s="46">
        <v>1923</v>
      </c>
      <c r="BL344" s="46" t="str">
        <f>BK344&amp;BI344</f>
        <v>1923West Ham United</v>
      </c>
      <c r="BM344" s="52" t="str">
        <f>IF(AD344="Home",BI344,IF(AD344="Away",BJ344,Q344))</f>
        <v>London</v>
      </c>
      <c r="BN344" s="46"/>
      <c r="BO344" s="46"/>
      <c r="BP344" s="46"/>
      <c r="BQ344" s="46"/>
      <c r="BR344" s="46"/>
      <c r="BS344" s="46"/>
      <c r="BT344" s="46"/>
      <c r="BU344" s="46"/>
      <c r="BV344" s="46" t="s">
        <v>376</v>
      </c>
      <c r="BW344" s="46" t="s">
        <v>376</v>
      </c>
      <c r="BX344" s="46"/>
      <c r="BZ344" s="53"/>
      <c r="CA344" s="53"/>
      <c r="CB344" s="93" t="str">
        <f>IF(OR(C344="",A344="",B344=""),"",TEXT(C344,"0000")&amp;TEXT(A344,"00")&amp;TEXT(B344,"00"))</f>
        <v>19230324</v>
      </c>
    </row>
    <row r="345" spans="1:80" s="52" customFormat="1" ht="12.95" customHeight="1" x14ac:dyDescent="0.2">
      <c r="A345" s="46">
        <v>3</v>
      </c>
      <c r="B345" s="46">
        <v>24</v>
      </c>
      <c r="C345" s="46">
        <v>1923</v>
      </c>
      <c r="D345" s="46" t="s">
        <v>658</v>
      </c>
      <c r="E345" s="46" t="s">
        <v>1267</v>
      </c>
      <c r="F345" s="47" t="s">
        <v>1010</v>
      </c>
      <c r="G345" s="46"/>
      <c r="H345" s="47" t="s">
        <v>1011</v>
      </c>
      <c r="I345" s="47"/>
      <c r="J345" s="48">
        <v>8484</v>
      </c>
      <c r="K345" s="46" t="s">
        <v>1191</v>
      </c>
      <c r="L345" s="46" t="s">
        <v>4</v>
      </c>
      <c r="M345" s="46" t="s">
        <v>803</v>
      </c>
      <c r="N345" s="49">
        <v>2</v>
      </c>
      <c r="O345" s="49">
        <v>5</v>
      </c>
      <c r="P345" s="47" t="s">
        <v>1234</v>
      </c>
      <c r="Q345" s="47" t="s">
        <v>1017</v>
      </c>
      <c r="R345" s="47" t="s">
        <v>376</v>
      </c>
      <c r="S345" s="46"/>
      <c r="T345" s="46"/>
      <c r="U345" s="46"/>
      <c r="V345" s="46"/>
      <c r="W345" s="46"/>
      <c r="X345" s="46"/>
      <c r="Y345" s="46"/>
      <c r="Z345" s="46"/>
      <c r="AA345" s="46"/>
      <c r="AB345" s="46"/>
      <c r="AC345" s="46"/>
      <c r="AD345" s="46"/>
      <c r="AE345" s="50">
        <f>IF(L345="W",1,0)</f>
        <v>0</v>
      </c>
      <c r="AF345" s="50">
        <f>IF(L345="T",1,0)</f>
        <v>0</v>
      </c>
      <c r="AG345" s="50">
        <f>IF(L345="L",1,0)</f>
        <v>1</v>
      </c>
      <c r="AH345" s="46" t="s">
        <v>979</v>
      </c>
      <c r="AI345" s="46" t="s">
        <v>1146</v>
      </c>
      <c r="AJ345" s="46" t="s">
        <v>376</v>
      </c>
      <c r="AK345" s="46" t="s">
        <v>658</v>
      </c>
      <c r="AL345" s="46" t="s">
        <v>1017</v>
      </c>
      <c r="AM345" s="46" t="s">
        <v>1018</v>
      </c>
      <c r="AN345" s="46" t="s">
        <v>376</v>
      </c>
      <c r="AO345" s="46" t="s">
        <v>658</v>
      </c>
      <c r="AP345" s="46"/>
      <c r="AQ345" s="46">
        <v>2</v>
      </c>
      <c r="AR345" s="46"/>
      <c r="AS345" s="46"/>
      <c r="AT345" s="46"/>
      <c r="AU345" s="46" t="s">
        <v>376</v>
      </c>
      <c r="AV345" s="46"/>
      <c r="AW345" s="46" t="s">
        <v>30</v>
      </c>
      <c r="AX345" s="46"/>
      <c r="AY345" s="46" t="s">
        <v>30</v>
      </c>
      <c r="AZ345" s="46"/>
      <c r="BA345" s="47"/>
      <c r="BB345" s="51"/>
      <c r="BC345" s="46"/>
      <c r="BD345" s="46"/>
      <c r="BE345" s="46"/>
      <c r="BF345" s="46">
        <v>1</v>
      </c>
      <c r="BG345" s="46">
        <v>2</v>
      </c>
      <c r="BH345" s="46">
        <v>2</v>
      </c>
      <c r="BI345" s="46" t="s">
        <v>1191</v>
      </c>
      <c r="BJ345" s="46" t="s">
        <v>803</v>
      </c>
      <c r="BK345" s="46">
        <v>1923</v>
      </c>
      <c r="BL345" s="46" t="str">
        <f>BK345&amp;BI345</f>
        <v>1923Derby County</v>
      </c>
      <c r="BM345" s="52" t="str">
        <f>IF(AD345="Home",BI345,IF(AD345="Away",BJ345,Q345))</f>
        <v>London</v>
      </c>
      <c r="BN345" s="46"/>
      <c r="BO345" s="46"/>
      <c r="BP345" s="46"/>
      <c r="BQ345" s="46"/>
      <c r="BR345" s="46"/>
      <c r="BS345" s="46"/>
      <c r="BT345" s="46"/>
      <c r="BU345" s="46"/>
      <c r="BV345" s="46" t="s">
        <v>376</v>
      </c>
      <c r="BW345" s="46" t="s">
        <v>376</v>
      </c>
      <c r="BX345" s="46"/>
      <c r="BZ345" s="53"/>
      <c r="CA345" s="53"/>
      <c r="CB345" s="93" t="str">
        <f>IF(OR(C345="",A345="",B345=""),"",TEXT(C345,"0000")&amp;TEXT(A345,"00")&amp;TEXT(B345,"00"))</f>
        <v>19230324</v>
      </c>
    </row>
    <row r="346" spans="1:80" s="52" customFormat="1" ht="12.95" customHeight="1" x14ac:dyDescent="0.2">
      <c r="A346" s="46">
        <v>4</v>
      </c>
      <c r="B346" s="46">
        <v>28</v>
      </c>
      <c r="C346" s="46">
        <v>1923</v>
      </c>
      <c r="D346" s="46" t="s">
        <v>658</v>
      </c>
      <c r="E346" s="46" t="s">
        <v>1267</v>
      </c>
      <c r="F346" s="47" t="s">
        <v>1010</v>
      </c>
      <c r="G346" s="46"/>
      <c r="H346" s="47" t="s">
        <v>1025</v>
      </c>
      <c r="I346" s="47"/>
      <c r="J346" s="48">
        <v>8519</v>
      </c>
      <c r="K346" s="46" t="s">
        <v>1157</v>
      </c>
      <c r="L346" s="46" t="s">
        <v>3</v>
      </c>
      <c r="M346" s="46" t="s">
        <v>803</v>
      </c>
      <c r="N346" s="49">
        <v>2</v>
      </c>
      <c r="O346" s="49">
        <v>0</v>
      </c>
      <c r="P346" s="47" t="s">
        <v>1268</v>
      </c>
      <c r="Q346" s="47" t="s">
        <v>1017</v>
      </c>
      <c r="R346" s="47" t="s">
        <v>376</v>
      </c>
      <c r="S346" s="46"/>
      <c r="T346" s="46"/>
      <c r="U346" s="46"/>
      <c r="V346" s="46"/>
      <c r="W346" s="46"/>
      <c r="X346" s="46"/>
      <c r="Y346" s="46"/>
      <c r="Z346" s="46"/>
      <c r="AA346" s="46"/>
      <c r="AB346" s="46"/>
      <c r="AC346" s="46"/>
      <c r="AD346" s="46"/>
      <c r="AE346" s="50">
        <f>IF(L346="W",1,0)</f>
        <v>1</v>
      </c>
      <c r="AF346" s="50">
        <f>IF(L346="T",1,0)</f>
        <v>0</v>
      </c>
      <c r="AG346" s="50">
        <f>IF(L346="L",1,0)</f>
        <v>0</v>
      </c>
      <c r="AH346" s="46" t="s">
        <v>1101</v>
      </c>
      <c r="AI346" s="46" t="s">
        <v>1159</v>
      </c>
      <c r="AJ346" s="46" t="s">
        <v>376</v>
      </c>
      <c r="AK346" s="46" t="s">
        <v>658</v>
      </c>
      <c r="AL346" s="46" t="s">
        <v>1017</v>
      </c>
      <c r="AM346" s="46" t="s">
        <v>1018</v>
      </c>
      <c r="AN346" s="46" t="s">
        <v>376</v>
      </c>
      <c r="AO346" s="46" t="s">
        <v>658</v>
      </c>
      <c r="AP346" s="46"/>
      <c r="AQ346" s="46">
        <v>1</v>
      </c>
      <c r="AR346" s="46"/>
      <c r="AS346" s="46"/>
      <c r="AT346" s="46"/>
      <c r="AU346" s="46" t="s">
        <v>376</v>
      </c>
      <c r="AV346" s="46"/>
      <c r="AW346" s="46" t="s">
        <v>30</v>
      </c>
      <c r="AX346" s="46"/>
      <c r="AY346" s="46" t="s">
        <v>30</v>
      </c>
      <c r="AZ346" s="46"/>
      <c r="BA346" s="47"/>
      <c r="BB346" s="51" t="s">
        <v>30</v>
      </c>
      <c r="BC346" s="46" t="s">
        <v>30</v>
      </c>
      <c r="BD346" s="46"/>
      <c r="BE346" s="46"/>
      <c r="BF346" s="46">
        <v>1</v>
      </c>
      <c r="BG346" s="46">
        <v>1</v>
      </c>
      <c r="BH346" s="46">
        <v>2</v>
      </c>
      <c r="BI346" s="46" t="s">
        <v>1157</v>
      </c>
      <c r="BJ346" s="46" t="s">
        <v>803</v>
      </c>
      <c r="BK346" s="46">
        <v>1923</v>
      </c>
      <c r="BL346" s="46" t="str">
        <f>BK346&amp;BI346</f>
        <v>1923Bolton Wanderers</v>
      </c>
      <c r="BM346" s="52" t="str">
        <f>IF(AD346="Home",BI346,IF(AD346="Away",BJ346,Q346))</f>
        <v>London</v>
      </c>
      <c r="BN346" s="46"/>
      <c r="BO346" s="46"/>
      <c r="BP346" s="46"/>
      <c r="BQ346" s="46"/>
      <c r="BR346" s="46"/>
      <c r="BS346" s="46"/>
      <c r="BT346" s="46"/>
      <c r="BU346" s="46"/>
      <c r="BV346" s="46" t="s">
        <v>376</v>
      </c>
      <c r="BW346" s="46" t="s">
        <v>376</v>
      </c>
      <c r="BX346" s="46"/>
      <c r="BZ346" s="53"/>
      <c r="CA346" s="53"/>
      <c r="CB346" s="93" t="str">
        <f>IF(OR(C346="",A346="",B346=""),"",TEXT(C346,"0000")&amp;TEXT(A346,"00")&amp;TEXT(B346,"00"))</f>
        <v>19230428</v>
      </c>
    </row>
    <row r="347" spans="1:80" s="52" customFormat="1" ht="12.95" customHeight="1" x14ac:dyDescent="0.2">
      <c r="A347" s="46">
        <v>4</v>
      </c>
      <c r="B347" s="46">
        <v>28</v>
      </c>
      <c r="C347" s="46">
        <v>1923</v>
      </c>
      <c r="D347" s="46" t="s">
        <v>658</v>
      </c>
      <c r="E347" s="46" t="s">
        <v>1267</v>
      </c>
      <c r="F347" s="47" t="s">
        <v>1010</v>
      </c>
      <c r="G347" s="46"/>
      <c r="H347" s="47" t="s">
        <v>1025</v>
      </c>
      <c r="I347" s="47"/>
      <c r="J347" s="48">
        <v>8519</v>
      </c>
      <c r="K347" s="46" t="s">
        <v>803</v>
      </c>
      <c r="L347" s="46" t="s">
        <v>4</v>
      </c>
      <c r="M347" s="46" t="s">
        <v>1157</v>
      </c>
      <c r="N347" s="49">
        <v>0</v>
      </c>
      <c r="O347" s="49">
        <v>2</v>
      </c>
      <c r="P347" s="47" t="s">
        <v>1268</v>
      </c>
      <c r="Q347" s="47" t="s">
        <v>1017</v>
      </c>
      <c r="R347" s="47" t="s">
        <v>376</v>
      </c>
      <c r="S347" s="46"/>
      <c r="T347" s="46"/>
      <c r="U347" s="46"/>
      <c r="V347" s="46"/>
      <c r="W347" s="46"/>
      <c r="X347" s="46"/>
      <c r="Y347" s="46"/>
      <c r="Z347" s="46"/>
      <c r="AA347" s="46"/>
      <c r="AB347" s="46"/>
      <c r="AC347" s="46"/>
      <c r="AD347" s="46"/>
      <c r="AE347" s="50">
        <f>IF(L347="W",1,0)</f>
        <v>0</v>
      </c>
      <c r="AF347" s="50">
        <f>IF(L347="T",1,0)</f>
        <v>0</v>
      </c>
      <c r="AG347" s="50">
        <f>IF(L347="L",1,0)</f>
        <v>1</v>
      </c>
      <c r="AH347" s="46" t="s">
        <v>1017</v>
      </c>
      <c r="AI347" s="46" t="s">
        <v>1018</v>
      </c>
      <c r="AJ347" s="46" t="s">
        <v>376</v>
      </c>
      <c r="AK347" s="46" t="s">
        <v>658</v>
      </c>
      <c r="AL347" s="46" t="s">
        <v>1101</v>
      </c>
      <c r="AM347" s="46" t="s">
        <v>1159</v>
      </c>
      <c r="AN347" s="46" t="s">
        <v>376</v>
      </c>
      <c r="AO347" s="46" t="s">
        <v>658</v>
      </c>
      <c r="AP347" s="46"/>
      <c r="AQ347" s="46">
        <v>1</v>
      </c>
      <c r="AR347" s="46"/>
      <c r="AS347" s="46"/>
      <c r="AT347" s="46"/>
      <c r="AU347" s="46" t="s">
        <v>376</v>
      </c>
      <c r="AV347" s="46"/>
      <c r="AW347" s="46" t="s">
        <v>30</v>
      </c>
      <c r="AX347" s="46"/>
      <c r="AY347" s="46" t="s">
        <v>30</v>
      </c>
      <c r="AZ347" s="46"/>
      <c r="BA347" s="47"/>
      <c r="BB347" s="51"/>
      <c r="BC347" s="46" t="s">
        <v>30</v>
      </c>
      <c r="BD347" s="46"/>
      <c r="BE347" s="46"/>
      <c r="BF347" s="46">
        <v>1</v>
      </c>
      <c r="BG347" s="46">
        <v>2</v>
      </c>
      <c r="BH347" s="46">
        <v>1</v>
      </c>
      <c r="BI347" s="46" t="s">
        <v>803</v>
      </c>
      <c r="BJ347" s="46" t="s">
        <v>1157</v>
      </c>
      <c r="BK347" s="46">
        <v>1923</v>
      </c>
      <c r="BL347" s="46" t="str">
        <f>BK347&amp;BI347</f>
        <v>1923West Ham United</v>
      </c>
      <c r="BM347" s="52" t="str">
        <f>IF(AD347="Home",BI347,IF(AD347="Away",BJ347,Q347))</f>
        <v>London</v>
      </c>
      <c r="BN347" s="46"/>
      <c r="BO347" s="46"/>
      <c r="BP347" s="46"/>
      <c r="BQ347" s="46"/>
      <c r="BR347" s="46"/>
      <c r="BS347" s="46"/>
      <c r="BT347" s="46"/>
      <c r="BU347" s="46"/>
      <c r="BV347" s="46" t="s">
        <v>376</v>
      </c>
      <c r="BW347" s="46" t="s">
        <v>376</v>
      </c>
      <c r="BX347" s="46"/>
      <c r="BZ347" s="53"/>
      <c r="CA347" s="53"/>
      <c r="CB347" s="93" t="str">
        <f>IF(OR(C347="",A347="",B347=""),"",TEXT(C347,"0000")&amp;TEXT(A347,"00")&amp;TEXT(B347,"00"))</f>
        <v>19230428</v>
      </c>
    </row>
    <row r="348" spans="1:80" s="52" customFormat="1" ht="12.95" customHeight="1" x14ac:dyDescent="0.2">
      <c r="A348" s="46">
        <v>3</v>
      </c>
      <c r="B348" s="46">
        <v>29</v>
      </c>
      <c r="C348" s="46">
        <v>1924</v>
      </c>
      <c r="D348" s="46" t="s">
        <v>658</v>
      </c>
      <c r="E348" s="46" t="s">
        <v>1269</v>
      </c>
      <c r="F348" s="47" t="s">
        <v>1010</v>
      </c>
      <c r="G348" s="46"/>
      <c r="H348" s="47" t="s">
        <v>1011</v>
      </c>
      <c r="I348" s="47"/>
      <c r="J348" s="48">
        <v>8855</v>
      </c>
      <c r="K348" s="46" t="s">
        <v>806</v>
      </c>
      <c r="L348" s="46" t="s">
        <v>3</v>
      </c>
      <c r="M348" s="46" t="s">
        <v>1255</v>
      </c>
      <c r="N348" s="49">
        <v>3</v>
      </c>
      <c r="O348" s="49">
        <v>0</v>
      </c>
      <c r="P348" s="47" t="s">
        <v>1163</v>
      </c>
      <c r="Q348" s="47" t="s">
        <v>1097</v>
      </c>
      <c r="R348" s="47" t="s">
        <v>376</v>
      </c>
      <c r="S348" s="46"/>
      <c r="T348" s="46"/>
      <c r="U348" s="46"/>
      <c r="V348" s="46"/>
      <c r="W348" s="46"/>
      <c r="X348" s="46"/>
      <c r="Y348" s="46"/>
      <c r="Z348" s="46"/>
      <c r="AA348" s="46"/>
      <c r="AB348" s="46"/>
      <c r="AC348" s="46"/>
      <c r="AD348" s="46"/>
      <c r="AE348" s="50">
        <f>IF(L348="W",1,0)</f>
        <v>1</v>
      </c>
      <c r="AF348" s="50">
        <f>IF(L348="T",1,0)</f>
        <v>0</v>
      </c>
      <c r="AG348" s="50">
        <f>IF(L348="L",1,0)</f>
        <v>0</v>
      </c>
      <c r="AH348" s="46" t="s">
        <v>1111</v>
      </c>
      <c r="AI348" s="46" t="s">
        <v>1126</v>
      </c>
      <c r="AJ348" s="46" t="s">
        <v>376</v>
      </c>
      <c r="AK348" s="46" t="s">
        <v>658</v>
      </c>
      <c r="AL348" s="46" t="s">
        <v>1255</v>
      </c>
      <c r="AM348" s="46" t="s">
        <v>1086</v>
      </c>
      <c r="AN348" s="46" t="s">
        <v>376</v>
      </c>
      <c r="AO348" s="46" t="s">
        <v>658</v>
      </c>
      <c r="AP348" s="46"/>
      <c r="AQ348" s="46">
        <v>2</v>
      </c>
      <c r="AR348" s="46"/>
      <c r="AS348" s="46"/>
      <c r="AT348" s="46"/>
      <c r="AU348" s="46" t="s">
        <v>376</v>
      </c>
      <c r="AV348" s="46"/>
      <c r="AW348" s="46" t="s">
        <v>30</v>
      </c>
      <c r="AX348" s="46"/>
      <c r="AY348" s="46" t="s">
        <v>30</v>
      </c>
      <c r="AZ348" s="46"/>
      <c r="BA348" s="47"/>
      <c r="BB348" s="51"/>
      <c r="BC348" s="46"/>
      <c r="BD348" s="46"/>
      <c r="BE348" s="46"/>
      <c r="BF348" s="46">
        <v>1</v>
      </c>
      <c r="BG348" s="46">
        <v>1</v>
      </c>
      <c r="BH348" s="46">
        <v>1</v>
      </c>
      <c r="BI348" s="46" t="s">
        <v>806</v>
      </c>
      <c r="BJ348" s="46" t="s">
        <v>1255</v>
      </c>
      <c r="BK348" s="46">
        <v>1924</v>
      </c>
      <c r="BL348" s="46" t="str">
        <f>BK348&amp;BI348</f>
        <v>1924Aston Villa</v>
      </c>
      <c r="BM348" s="52" t="str">
        <f>IF(AD348="Home",BI348,IF(AD348="Away",BJ348,Q348))</f>
        <v>Sheffield</v>
      </c>
      <c r="BN348" s="46"/>
      <c r="BO348" s="46"/>
      <c r="BP348" s="46"/>
      <c r="BQ348" s="46"/>
      <c r="BR348" s="46"/>
      <c r="BS348" s="46"/>
      <c r="BT348" s="46"/>
      <c r="BU348" s="46"/>
      <c r="BV348" s="46" t="s">
        <v>376</v>
      </c>
      <c r="BW348" s="46" t="s">
        <v>376</v>
      </c>
      <c r="BX348" s="46"/>
      <c r="BY348" s="50"/>
      <c r="BZ348" s="53"/>
      <c r="CA348" s="53"/>
      <c r="CB348" s="93" t="str">
        <f>IF(OR(C348="",A348="",B348=""),"",TEXT(C348,"0000")&amp;TEXT(A348,"00")&amp;TEXT(B348,"00"))</f>
        <v>19240329</v>
      </c>
    </row>
    <row r="349" spans="1:80" s="52" customFormat="1" ht="12.95" customHeight="1" x14ac:dyDescent="0.2">
      <c r="A349" s="46">
        <v>3</v>
      </c>
      <c r="B349" s="46">
        <v>29</v>
      </c>
      <c r="C349" s="46">
        <v>1924</v>
      </c>
      <c r="D349" s="46" t="s">
        <v>658</v>
      </c>
      <c r="E349" s="46" t="s">
        <v>1269</v>
      </c>
      <c r="F349" s="47" t="s">
        <v>1010</v>
      </c>
      <c r="G349" s="46"/>
      <c r="H349" s="47" t="s">
        <v>1011</v>
      </c>
      <c r="I349" s="47"/>
      <c r="J349" s="48">
        <v>8855</v>
      </c>
      <c r="K349" s="46" t="s">
        <v>1255</v>
      </c>
      <c r="L349" s="46" t="s">
        <v>4</v>
      </c>
      <c r="M349" s="46" t="s">
        <v>806</v>
      </c>
      <c r="N349" s="49">
        <v>0</v>
      </c>
      <c r="O349" s="49">
        <v>3</v>
      </c>
      <c r="P349" s="47" t="s">
        <v>1163</v>
      </c>
      <c r="Q349" s="47" t="s">
        <v>1097</v>
      </c>
      <c r="R349" s="47" t="s">
        <v>376</v>
      </c>
      <c r="S349" s="46"/>
      <c r="T349" s="46"/>
      <c r="U349" s="46"/>
      <c r="V349" s="46"/>
      <c r="W349" s="46"/>
      <c r="X349" s="46"/>
      <c r="Y349" s="46"/>
      <c r="Z349" s="46"/>
      <c r="AA349" s="46"/>
      <c r="AB349" s="46"/>
      <c r="AC349" s="46"/>
      <c r="AD349" s="46"/>
      <c r="AE349" s="50">
        <f>IF(L349="W",1,0)</f>
        <v>0</v>
      </c>
      <c r="AF349" s="50">
        <f>IF(L349="T",1,0)</f>
        <v>0</v>
      </c>
      <c r="AG349" s="50">
        <f>IF(L349="L",1,0)</f>
        <v>1</v>
      </c>
      <c r="AH349" s="46" t="s">
        <v>1255</v>
      </c>
      <c r="AI349" s="46" t="s">
        <v>1086</v>
      </c>
      <c r="AJ349" s="46" t="s">
        <v>376</v>
      </c>
      <c r="AK349" s="46" t="s">
        <v>658</v>
      </c>
      <c r="AL349" s="46" t="s">
        <v>1111</v>
      </c>
      <c r="AM349" s="46" t="s">
        <v>1126</v>
      </c>
      <c r="AN349" s="46" t="s">
        <v>376</v>
      </c>
      <c r="AO349" s="46" t="s">
        <v>658</v>
      </c>
      <c r="AP349" s="46"/>
      <c r="AQ349" s="46">
        <v>2</v>
      </c>
      <c r="AR349" s="46"/>
      <c r="AS349" s="46"/>
      <c r="AT349" s="46"/>
      <c r="AU349" s="46" t="s">
        <v>376</v>
      </c>
      <c r="AV349" s="46"/>
      <c r="AW349" s="46" t="s">
        <v>30</v>
      </c>
      <c r="AX349" s="46"/>
      <c r="AY349" s="46" t="s">
        <v>30</v>
      </c>
      <c r="AZ349" s="46"/>
      <c r="BA349" s="47"/>
      <c r="BB349" s="51"/>
      <c r="BC349" s="46"/>
      <c r="BD349" s="46"/>
      <c r="BE349" s="46"/>
      <c r="BF349" s="46">
        <v>1</v>
      </c>
      <c r="BG349" s="46">
        <v>1</v>
      </c>
      <c r="BH349" s="46">
        <v>1</v>
      </c>
      <c r="BI349" s="46" t="s">
        <v>1255</v>
      </c>
      <c r="BJ349" s="46" t="s">
        <v>806</v>
      </c>
      <c r="BK349" s="46">
        <v>1924</v>
      </c>
      <c r="BL349" s="46" t="str">
        <f>BK349&amp;BI349</f>
        <v>1924Burnley</v>
      </c>
      <c r="BM349" s="52" t="str">
        <f>IF(AD349="Home",BI349,IF(AD349="Away",BJ349,Q349))</f>
        <v>Sheffield</v>
      </c>
      <c r="BN349" s="46"/>
      <c r="BO349" s="46"/>
      <c r="BP349" s="46"/>
      <c r="BQ349" s="46"/>
      <c r="BR349" s="46"/>
      <c r="BS349" s="46"/>
      <c r="BT349" s="46"/>
      <c r="BU349" s="46"/>
      <c r="BV349" s="46" t="s">
        <v>376</v>
      </c>
      <c r="BW349" s="46" t="s">
        <v>376</v>
      </c>
      <c r="BX349" s="46"/>
      <c r="BY349" s="50"/>
      <c r="BZ349" s="53"/>
      <c r="CA349" s="53"/>
      <c r="CB349" s="93" t="str">
        <f>IF(OR(C349="",A349="",B349=""),"",TEXT(C349,"0000")&amp;TEXT(A349,"00")&amp;TEXT(B349,"00"))</f>
        <v>19240329</v>
      </c>
    </row>
    <row r="350" spans="1:80" s="52" customFormat="1" ht="12.95" customHeight="1" x14ac:dyDescent="0.2">
      <c r="A350" s="46">
        <v>3</v>
      </c>
      <c r="B350" s="46">
        <v>29</v>
      </c>
      <c r="C350" s="46">
        <v>1924</v>
      </c>
      <c r="D350" s="46" t="s">
        <v>658</v>
      </c>
      <c r="E350" s="46" t="s">
        <v>1269</v>
      </c>
      <c r="F350" s="47" t="s">
        <v>1010</v>
      </c>
      <c r="G350" s="46"/>
      <c r="H350" s="47" t="s">
        <v>1011</v>
      </c>
      <c r="I350" s="47"/>
      <c r="J350" s="48">
        <v>8855</v>
      </c>
      <c r="K350" s="46" t="s">
        <v>805</v>
      </c>
      <c r="L350" s="46" t="s">
        <v>3</v>
      </c>
      <c r="M350" s="46" t="s">
        <v>823</v>
      </c>
      <c r="N350" s="49">
        <v>2</v>
      </c>
      <c r="O350" s="49">
        <v>0</v>
      </c>
      <c r="P350" s="47" t="s">
        <v>1232</v>
      </c>
      <c r="Q350" s="47" t="s">
        <v>1111</v>
      </c>
      <c r="R350" s="47" t="s">
        <v>376</v>
      </c>
      <c r="S350" s="46"/>
      <c r="T350" s="46"/>
      <c r="U350" s="46"/>
      <c r="V350" s="46"/>
      <c r="W350" s="46"/>
      <c r="X350" s="46"/>
      <c r="Y350" s="46"/>
      <c r="Z350" s="46"/>
      <c r="AA350" s="46"/>
      <c r="AB350" s="46"/>
      <c r="AC350" s="46"/>
      <c r="AD350" s="46"/>
      <c r="AE350" s="50">
        <f>IF(L350="W",1,0)</f>
        <v>1</v>
      </c>
      <c r="AF350" s="50">
        <f>IF(L350="T",1,0)</f>
        <v>0</v>
      </c>
      <c r="AG350" s="50">
        <f>IF(L350="L",1,0)</f>
        <v>0</v>
      </c>
      <c r="AH350" s="46" t="s">
        <v>1227</v>
      </c>
      <c r="AI350" s="46" t="s">
        <v>1164</v>
      </c>
      <c r="AJ350" s="46" t="s">
        <v>376</v>
      </c>
      <c r="AK350" s="46" t="s">
        <v>658</v>
      </c>
      <c r="AL350" s="46" t="s">
        <v>1101</v>
      </c>
      <c r="AM350" s="46" t="s">
        <v>1159</v>
      </c>
      <c r="AN350" s="46" t="s">
        <v>376</v>
      </c>
      <c r="AO350" s="46" t="s">
        <v>658</v>
      </c>
      <c r="AP350" s="46"/>
      <c r="AQ350" s="46">
        <v>2</v>
      </c>
      <c r="AR350" s="46"/>
      <c r="AS350" s="46"/>
      <c r="AT350" s="46"/>
      <c r="AU350" s="46" t="s">
        <v>376</v>
      </c>
      <c r="AV350" s="46"/>
      <c r="AW350" s="46" t="s">
        <v>30</v>
      </c>
      <c r="AX350" s="46"/>
      <c r="AY350" s="46" t="s">
        <v>30</v>
      </c>
      <c r="AZ350" s="46"/>
      <c r="BA350" s="47"/>
      <c r="BB350" s="51"/>
      <c r="BC350" s="46"/>
      <c r="BD350" s="46"/>
      <c r="BE350" s="46"/>
      <c r="BF350" s="46">
        <v>1</v>
      </c>
      <c r="BG350" s="46">
        <v>1</v>
      </c>
      <c r="BH350" s="46">
        <v>1</v>
      </c>
      <c r="BI350" s="46" t="s">
        <v>805</v>
      </c>
      <c r="BJ350" s="46" t="s">
        <v>823</v>
      </c>
      <c r="BK350" s="46">
        <v>1924</v>
      </c>
      <c r="BL350" s="46" t="str">
        <f>BK350&amp;BI350</f>
        <v>1924Newcastle United</v>
      </c>
      <c r="BM350" s="52" t="str">
        <f>IF(AD350="Home",BI350,IF(AD350="Away",BJ350,Q350))</f>
        <v>Birmingham</v>
      </c>
      <c r="BN350" s="46"/>
      <c r="BO350" s="46"/>
      <c r="BP350" s="46"/>
      <c r="BQ350" s="46"/>
      <c r="BR350" s="46"/>
      <c r="BS350" s="46"/>
      <c r="BT350" s="46"/>
      <c r="BU350" s="46"/>
      <c r="BV350" s="46" t="s">
        <v>376</v>
      </c>
      <c r="BW350" s="46" t="s">
        <v>376</v>
      </c>
      <c r="BX350" s="46"/>
      <c r="BZ350" s="53"/>
      <c r="CA350" s="53"/>
      <c r="CB350" s="93" t="str">
        <f>IF(OR(C350="",A350="",B350=""),"",TEXT(C350,"0000")&amp;TEXT(A350,"00")&amp;TEXT(B350,"00"))</f>
        <v>19240329</v>
      </c>
    </row>
    <row r="351" spans="1:80" s="52" customFormat="1" ht="12.95" customHeight="1" x14ac:dyDescent="0.2">
      <c r="A351" s="46">
        <v>3</v>
      </c>
      <c r="B351" s="46">
        <v>29</v>
      </c>
      <c r="C351" s="46">
        <v>1924</v>
      </c>
      <c r="D351" s="46" t="s">
        <v>658</v>
      </c>
      <c r="E351" s="46" t="s">
        <v>1269</v>
      </c>
      <c r="F351" s="47" t="s">
        <v>1010</v>
      </c>
      <c r="G351" s="46"/>
      <c r="H351" s="47" t="s">
        <v>1011</v>
      </c>
      <c r="I351" s="47"/>
      <c r="J351" s="48">
        <v>8855</v>
      </c>
      <c r="K351" s="46" t="s">
        <v>823</v>
      </c>
      <c r="L351" s="46" t="s">
        <v>4</v>
      </c>
      <c r="M351" s="46" t="s">
        <v>805</v>
      </c>
      <c r="N351" s="49">
        <v>0</v>
      </c>
      <c r="O351" s="49">
        <v>2</v>
      </c>
      <c r="P351" s="47" t="s">
        <v>1232</v>
      </c>
      <c r="Q351" s="47" t="s">
        <v>1111</v>
      </c>
      <c r="R351" s="47" t="s">
        <v>376</v>
      </c>
      <c r="S351" s="46"/>
      <c r="T351" s="46"/>
      <c r="U351" s="46"/>
      <c r="V351" s="46"/>
      <c r="W351" s="46"/>
      <c r="X351" s="46"/>
      <c r="Y351" s="46"/>
      <c r="Z351" s="46"/>
      <c r="AA351" s="46"/>
      <c r="AB351" s="46"/>
      <c r="AC351" s="46"/>
      <c r="AD351" s="46"/>
      <c r="AE351" s="50">
        <f>IF(L351="W",1,0)</f>
        <v>0</v>
      </c>
      <c r="AF351" s="50">
        <f>IF(L351="T",1,0)</f>
        <v>0</v>
      </c>
      <c r="AG351" s="50">
        <f>IF(L351="L",1,0)</f>
        <v>1</v>
      </c>
      <c r="AH351" s="46" t="s">
        <v>1101</v>
      </c>
      <c r="AI351" s="46" t="s">
        <v>1159</v>
      </c>
      <c r="AJ351" s="46" t="s">
        <v>376</v>
      </c>
      <c r="AK351" s="46" t="s">
        <v>658</v>
      </c>
      <c r="AL351" s="46" t="s">
        <v>1227</v>
      </c>
      <c r="AM351" s="46" t="s">
        <v>1164</v>
      </c>
      <c r="AN351" s="46" t="s">
        <v>376</v>
      </c>
      <c r="AO351" s="46" t="s">
        <v>658</v>
      </c>
      <c r="AP351" s="46"/>
      <c r="AQ351" s="46">
        <v>2</v>
      </c>
      <c r="AR351" s="46"/>
      <c r="AS351" s="46"/>
      <c r="AT351" s="46"/>
      <c r="AU351" s="46" t="s">
        <v>376</v>
      </c>
      <c r="AV351" s="46"/>
      <c r="AW351" s="46" t="s">
        <v>30</v>
      </c>
      <c r="AX351" s="46"/>
      <c r="AY351" s="46" t="s">
        <v>30</v>
      </c>
      <c r="AZ351" s="46"/>
      <c r="BA351" s="47"/>
      <c r="BB351" s="51"/>
      <c r="BC351" s="46"/>
      <c r="BD351" s="46"/>
      <c r="BE351" s="46"/>
      <c r="BF351" s="46">
        <v>1</v>
      </c>
      <c r="BG351" s="46">
        <v>1</v>
      </c>
      <c r="BH351" s="46">
        <v>1</v>
      </c>
      <c r="BI351" s="46" t="s">
        <v>823</v>
      </c>
      <c r="BJ351" s="46" t="s">
        <v>805</v>
      </c>
      <c r="BK351" s="46">
        <v>1924</v>
      </c>
      <c r="BL351" s="46" t="str">
        <f>BK351&amp;BI351</f>
        <v>1924Manchester City</v>
      </c>
      <c r="BM351" s="52" t="str">
        <f>IF(AD351="Home",BI351,IF(AD351="Away",BJ351,Q351))</f>
        <v>Birmingham</v>
      </c>
      <c r="BN351" s="46"/>
      <c r="BO351" s="46"/>
      <c r="BP351" s="46"/>
      <c r="BQ351" s="46"/>
      <c r="BR351" s="46"/>
      <c r="BS351" s="46"/>
      <c r="BT351" s="46"/>
      <c r="BU351" s="46"/>
      <c r="BV351" s="46" t="s">
        <v>376</v>
      </c>
      <c r="BW351" s="46" t="s">
        <v>376</v>
      </c>
      <c r="BX351" s="46"/>
      <c r="BZ351" s="53"/>
      <c r="CA351" s="53"/>
      <c r="CB351" s="93" t="str">
        <f>IF(OR(C351="",A351="",B351=""),"",TEXT(C351,"0000")&amp;TEXT(A351,"00")&amp;TEXT(B351,"00"))</f>
        <v>19240329</v>
      </c>
    </row>
    <row r="352" spans="1:80" s="52" customFormat="1" ht="12.95" customHeight="1" x14ac:dyDescent="0.2">
      <c r="A352" s="46">
        <v>4</v>
      </c>
      <c r="B352" s="46">
        <v>26</v>
      </c>
      <c r="C352" s="46">
        <v>1924</v>
      </c>
      <c r="D352" s="46" t="s">
        <v>658</v>
      </c>
      <c r="E352" s="46" t="s">
        <v>1269</v>
      </c>
      <c r="F352" s="47" t="s">
        <v>1010</v>
      </c>
      <c r="G352" s="46"/>
      <c r="H352" s="47" t="s">
        <v>1025</v>
      </c>
      <c r="I352" s="47"/>
      <c r="J352" s="48">
        <v>8883</v>
      </c>
      <c r="K352" s="46" t="s">
        <v>805</v>
      </c>
      <c r="L352" s="46" t="s">
        <v>3</v>
      </c>
      <c r="M352" s="46" t="s">
        <v>806</v>
      </c>
      <c r="N352" s="49">
        <v>2</v>
      </c>
      <c r="O352" s="49">
        <v>0</v>
      </c>
      <c r="P352" s="47" t="s">
        <v>1268</v>
      </c>
      <c r="Q352" s="47" t="s">
        <v>1017</v>
      </c>
      <c r="R352" s="47" t="s">
        <v>376</v>
      </c>
      <c r="S352" s="46"/>
      <c r="T352" s="46"/>
      <c r="U352" s="46"/>
      <c r="V352" s="46"/>
      <c r="W352" s="46"/>
      <c r="X352" s="46"/>
      <c r="Y352" s="46"/>
      <c r="Z352" s="46"/>
      <c r="AA352" s="46"/>
      <c r="AB352" s="46"/>
      <c r="AC352" s="46"/>
      <c r="AD352" s="46"/>
      <c r="AE352" s="50">
        <f>IF(L352="W",1,0)</f>
        <v>1</v>
      </c>
      <c r="AF352" s="50">
        <f>IF(L352="T",1,0)</f>
        <v>0</v>
      </c>
      <c r="AG352" s="50">
        <f>IF(L352="L",1,0)</f>
        <v>0</v>
      </c>
      <c r="AH352" s="46" t="s">
        <v>1227</v>
      </c>
      <c r="AI352" s="46" t="s">
        <v>1164</v>
      </c>
      <c r="AJ352" s="46" t="s">
        <v>376</v>
      </c>
      <c r="AK352" s="46" t="s">
        <v>658</v>
      </c>
      <c r="AL352" s="46" t="s">
        <v>1111</v>
      </c>
      <c r="AM352" s="46" t="s">
        <v>1126</v>
      </c>
      <c r="AN352" s="46" t="s">
        <v>376</v>
      </c>
      <c r="AO352" s="46" t="s">
        <v>658</v>
      </c>
      <c r="AP352" s="46"/>
      <c r="AQ352" s="46">
        <v>1</v>
      </c>
      <c r="AR352" s="46"/>
      <c r="AS352" s="46"/>
      <c r="AT352" s="46"/>
      <c r="AU352" s="46" t="s">
        <v>376</v>
      </c>
      <c r="AV352" s="46"/>
      <c r="AW352" s="46" t="s">
        <v>30</v>
      </c>
      <c r="AX352" s="46"/>
      <c r="AY352" s="46" t="s">
        <v>30</v>
      </c>
      <c r="AZ352" s="46"/>
      <c r="BA352" s="47"/>
      <c r="BB352" s="51" t="s">
        <v>30</v>
      </c>
      <c r="BC352" s="46" t="s">
        <v>30</v>
      </c>
      <c r="BD352" s="46"/>
      <c r="BE352" s="46"/>
      <c r="BF352" s="46">
        <v>1</v>
      </c>
      <c r="BG352" s="46">
        <v>1</v>
      </c>
      <c r="BH352" s="46">
        <v>1</v>
      </c>
      <c r="BI352" s="46" t="s">
        <v>805</v>
      </c>
      <c r="BJ352" s="46" t="s">
        <v>806</v>
      </c>
      <c r="BK352" s="46">
        <v>1924</v>
      </c>
      <c r="BL352" s="46" t="str">
        <f>BK352&amp;BI352</f>
        <v>1924Newcastle United</v>
      </c>
      <c r="BM352" s="52" t="str">
        <f>IF(AD352="Home",BI352,IF(AD352="Away",BJ352,Q352))</f>
        <v>London</v>
      </c>
      <c r="BN352" s="46"/>
      <c r="BO352" s="46"/>
      <c r="BP352" s="46"/>
      <c r="BQ352" s="46"/>
      <c r="BR352" s="46"/>
      <c r="BS352" s="46"/>
      <c r="BT352" s="46"/>
      <c r="BU352" s="46"/>
      <c r="BV352" s="46" t="s">
        <v>376</v>
      </c>
      <c r="BW352" s="46" t="s">
        <v>376</v>
      </c>
      <c r="BX352" s="46"/>
      <c r="BZ352" s="53"/>
      <c r="CA352" s="53"/>
      <c r="CB352" s="93" t="str">
        <f>IF(OR(C352="",A352="",B352=""),"",TEXT(C352,"0000")&amp;TEXT(A352,"00")&amp;TEXT(B352,"00"))</f>
        <v>19240426</v>
      </c>
    </row>
    <row r="353" spans="1:80" s="52" customFormat="1" ht="12.95" customHeight="1" x14ac:dyDescent="0.2">
      <c r="A353" s="46">
        <v>4</v>
      </c>
      <c r="B353" s="46">
        <v>26</v>
      </c>
      <c r="C353" s="46">
        <v>1924</v>
      </c>
      <c r="D353" s="46" t="s">
        <v>658</v>
      </c>
      <c r="E353" s="46" t="s">
        <v>1269</v>
      </c>
      <c r="F353" s="47" t="s">
        <v>1010</v>
      </c>
      <c r="G353" s="46"/>
      <c r="H353" s="47" t="s">
        <v>1025</v>
      </c>
      <c r="I353" s="47"/>
      <c r="J353" s="48">
        <v>8883</v>
      </c>
      <c r="K353" s="46" t="s">
        <v>806</v>
      </c>
      <c r="L353" s="46" t="s">
        <v>4</v>
      </c>
      <c r="M353" s="46" t="s">
        <v>805</v>
      </c>
      <c r="N353" s="49">
        <v>0</v>
      </c>
      <c r="O353" s="49">
        <v>2</v>
      </c>
      <c r="P353" s="47" t="s">
        <v>1268</v>
      </c>
      <c r="Q353" s="47" t="s">
        <v>1017</v>
      </c>
      <c r="R353" s="47" t="s">
        <v>376</v>
      </c>
      <c r="S353" s="46"/>
      <c r="T353" s="46"/>
      <c r="U353" s="46"/>
      <c r="V353" s="46"/>
      <c r="W353" s="46"/>
      <c r="X353" s="46"/>
      <c r="Y353" s="46"/>
      <c r="Z353" s="46"/>
      <c r="AA353" s="46"/>
      <c r="AB353" s="46"/>
      <c r="AC353" s="46"/>
      <c r="AD353" s="46"/>
      <c r="AE353" s="50">
        <f>IF(L353="W",1,0)</f>
        <v>0</v>
      </c>
      <c r="AF353" s="50">
        <f>IF(L353="T",1,0)</f>
        <v>0</v>
      </c>
      <c r="AG353" s="50">
        <f>IF(L353="L",1,0)</f>
        <v>1</v>
      </c>
      <c r="AH353" s="46" t="s">
        <v>1111</v>
      </c>
      <c r="AI353" s="46" t="s">
        <v>1126</v>
      </c>
      <c r="AJ353" s="46" t="s">
        <v>376</v>
      </c>
      <c r="AK353" s="46" t="s">
        <v>658</v>
      </c>
      <c r="AL353" s="46" t="s">
        <v>1227</v>
      </c>
      <c r="AM353" s="46" t="s">
        <v>1164</v>
      </c>
      <c r="AN353" s="46" t="s">
        <v>376</v>
      </c>
      <c r="AO353" s="46" t="s">
        <v>658</v>
      </c>
      <c r="AP353" s="46"/>
      <c r="AQ353" s="46">
        <v>1</v>
      </c>
      <c r="AR353" s="46"/>
      <c r="AS353" s="46"/>
      <c r="AT353" s="46"/>
      <c r="AU353" s="46" t="s">
        <v>376</v>
      </c>
      <c r="AV353" s="46"/>
      <c r="AW353" s="46" t="s">
        <v>30</v>
      </c>
      <c r="AX353" s="46"/>
      <c r="AY353" s="46" t="s">
        <v>30</v>
      </c>
      <c r="AZ353" s="46"/>
      <c r="BA353" s="47"/>
      <c r="BB353" s="51"/>
      <c r="BC353" s="46" t="s">
        <v>30</v>
      </c>
      <c r="BD353" s="46"/>
      <c r="BE353" s="46"/>
      <c r="BF353" s="46">
        <v>1</v>
      </c>
      <c r="BG353" s="46">
        <v>1</v>
      </c>
      <c r="BH353" s="46">
        <v>1</v>
      </c>
      <c r="BI353" s="46" t="s">
        <v>806</v>
      </c>
      <c r="BJ353" s="46" t="s">
        <v>805</v>
      </c>
      <c r="BK353" s="46">
        <v>1924</v>
      </c>
      <c r="BL353" s="46" t="str">
        <f>BK353&amp;BI353</f>
        <v>1924Aston Villa</v>
      </c>
      <c r="BM353" s="52" t="str">
        <f>IF(AD353="Home",BI353,IF(AD353="Away",BJ353,Q353))</f>
        <v>London</v>
      </c>
      <c r="BN353" s="46"/>
      <c r="BO353" s="46"/>
      <c r="BP353" s="46"/>
      <c r="BQ353" s="46"/>
      <c r="BR353" s="46"/>
      <c r="BS353" s="46"/>
      <c r="BT353" s="46"/>
      <c r="BU353" s="46"/>
      <c r="BV353" s="46" t="s">
        <v>376</v>
      </c>
      <c r="BW353" s="46" t="s">
        <v>376</v>
      </c>
      <c r="BX353" s="46"/>
      <c r="BZ353" s="53"/>
      <c r="CA353" s="53"/>
      <c r="CB353" s="93" t="str">
        <f>IF(OR(C353="",A353="",B353=""),"",TEXT(C353,"0000")&amp;TEXT(A353,"00")&amp;TEXT(B353,"00"))</f>
        <v>19240426</v>
      </c>
    </row>
    <row r="354" spans="1:80" s="52" customFormat="1" ht="12.95" customHeight="1" x14ac:dyDescent="0.2">
      <c r="A354" s="46">
        <v>3</v>
      </c>
      <c r="B354" s="46">
        <v>28</v>
      </c>
      <c r="C354" s="46">
        <v>1925</v>
      </c>
      <c r="D354" s="46" t="s">
        <v>658</v>
      </c>
      <c r="E354" s="46" t="s">
        <v>1270</v>
      </c>
      <c r="F354" s="47" t="s">
        <v>1010</v>
      </c>
      <c r="G354" s="46"/>
      <c r="H354" s="47" t="s">
        <v>1011</v>
      </c>
      <c r="I354" s="47"/>
      <c r="J354" s="48">
        <v>9219</v>
      </c>
      <c r="K354" s="46" t="s">
        <v>1262</v>
      </c>
      <c r="L354" s="46" t="s">
        <v>3</v>
      </c>
      <c r="M354" s="46" t="s">
        <v>1094</v>
      </c>
      <c r="N354" s="49">
        <v>3</v>
      </c>
      <c r="O354" s="49">
        <v>1</v>
      </c>
      <c r="P354" s="47" t="s">
        <v>1251</v>
      </c>
      <c r="Q354" s="47" t="s">
        <v>1073</v>
      </c>
      <c r="R354" s="47" t="s">
        <v>376</v>
      </c>
      <c r="S354" s="46"/>
      <c r="T354" s="46"/>
      <c r="U354" s="46"/>
      <c r="V354" s="46"/>
      <c r="W354" s="46"/>
      <c r="X354" s="46"/>
      <c r="Y354" s="46"/>
      <c r="Z354" s="46"/>
      <c r="AA354" s="46"/>
      <c r="AB354" s="46"/>
      <c r="AC354" s="46"/>
      <c r="AD354" s="46"/>
      <c r="AE354" s="50">
        <f>IF(L354="W",1,0)</f>
        <v>1</v>
      </c>
      <c r="AF354" s="50">
        <f>IF(L354="T",1,0)</f>
        <v>0</v>
      </c>
      <c r="AG354" s="50">
        <f>IF(L354="L",1,0)</f>
        <v>0</v>
      </c>
      <c r="AH354" s="46" t="s">
        <v>1263</v>
      </c>
      <c r="AI354" s="46" t="s">
        <v>1264</v>
      </c>
      <c r="AJ354" s="46" t="s">
        <v>376</v>
      </c>
      <c r="AK354" s="46" t="s">
        <v>658</v>
      </c>
      <c r="AL354" s="46" t="s">
        <v>1085</v>
      </c>
      <c r="AM354" s="46" t="s">
        <v>1086</v>
      </c>
      <c r="AN354" s="46" t="s">
        <v>376</v>
      </c>
      <c r="AO354" s="46" t="s">
        <v>658</v>
      </c>
      <c r="AP354" s="46"/>
      <c r="AQ354" s="46">
        <v>2</v>
      </c>
      <c r="AR354" s="46"/>
      <c r="AS354" s="46"/>
      <c r="AT354" s="46"/>
      <c r="AU354" s="46" t="s">
        <v>376</v>
      </c>
      <c r="AV354" s="46"/>
      <c r="AW354" s="46" t="s">
        <v>30</v>
      </c>
      <c r="AX354" s="46"/>
      <c r="AY354" s="46" t="s">
        <v>30</v>
      </c>
      <c r="AZ354" s="46"/>
      <c r="BA354" s="47"/>
      <c r="BB354" s="51"/>
      <c r="BC354" s="46"/>
      <c r="BD354" s="46"/>
      <c r="BE354" s="46"/>
      <c r="BF354" s="46">
        <v>1</v>
      </c>
      <c r="BG354" s="46">
        <v>1</v>
      </c>
      <c r="BH354" s="46">
        <v>1</v>
      </c>
      <c r="BI354" s="46" t="s">
        <v>1262</v>
      </c>
      <c r="BJ354" s="46" t="s">
        <v>1094</v>
      </c>
      <c r="BK354" s="46">
        <v>1925</v>
      </c>
      <c r="BL354" s="46" t="str">
        <f>BK354&amp;BI354</f>
        <v>1925Cardiff City</v>
      </c>
      <c r="BM354" s="52" t="str">
        <f>IF(AD354="Home",BI354,IF(AD354="Away",BJ354,Q354))</f>
        <v>Nottingham</v>
      </c>
      <c r="BN354" s="46"/>
      <c r="BO354" s="46"/>
      <c r="BP354" s="46"/>
      <c r="BQ354" s="46"/>
      <c r="BR354" s="46"/>
      <c r="BS354" s="46"/>
      <c r="BT354" s="46"/>
      <c r="BU354" s="46"/>
      <c r="BV354" s="46" t="s">
        <v>376</v>
      </c>
      <c r="BW354" s="46" t="s">
        <v>376</v>
      </c>
      <c r="BX354" s="46"/>
      <c r="BY354" s="35"/>
      <c r="BZ354" s="53"/>
      <c r="CA354" s="53"/>
      <c r="CB354" s="93" t="str">
        <f>IF(OR(C354="",A354="",B354=""),"",TEXT(C354,"0000")&amp;TEXT(A354,"00")&amp;TEXT(B354,"00"))</f>
        <v>19250328</v>
      </c>
    </row>
    <row r="355" spans="1:80" s="52" customFormat="1" ht="12.95" customHeight="1" x14ac:dyDescent="0.2">
      <c r="A355" s="46">
        <v>3</v>
      </c>
      <c r="B355" s="46">
        <v>28</v>
      </c>
      <c r="C355" s="46">
        <v>1925</v>
      </c>
      <c r="D355" s="46" t="s">
        <v>658</v>
      </c>
      <c r="E355" s="46" t="s">
        <v>1270</v>
      </c>
      <c r="F355" s="47" t="s">
        <v>1010</v>
      </c>
      <c r="G355" s="46"/>
      <c r="H355" s="47" t="s">
        <v>1011</v>
      </c>
      <c r="I355" s="47"/>
      <c r="J355" s="48">
        <v>9219</v>
      </c>
      <c r="K355" s="46" t="s">
        <v>1094</v>
      </c>
      <c r="L355" s="46" t="s">
        <v>4</v>
      </c>
      <c r="M355" s="46" t="s">
        <v>1262</v>
      </c>
      <c r="N355" s="49">
        <v>1</v>
      </c>
      <c r="O355" s="49">
        <v>3</v>
      </c>
      <c r="P355" s="47" t="s">
        <v>1251</v>
      </c>
      <c r="Q355" s="47" t="s">
        <v>1073</v>
      </c>
      <c r="R355" s="47" t="s">
        <v>376</v>
      </c>
      <c r="S355" s="46"/>
      <c r="T355" s="46"/>
      <c r="U355" s="46"/>
      <c r="V355" s="46"/>
      <c r="W355" s="46"/>
      <c r="X355" s="46"/>
      <c r="Y355" s="46"/>
      <c r="Z355" s="46"/>
      <c r="AA355" s="46"/>
      <c r="AB355" s="46"/>
      <c r="AC355" s="46"/>
      <c r="AD355" s="46"/>
      <c r="AE355" s="50">
        <f>IF(L355="W",1,0)</f>
        <v>0</v>
      </c>
      <c r="AF355" s="50">
        <f>IF(L355="T",1,0)</f>
        <v>0</v>
      </c>
      <c r="AG355" s="50">
        <f>IF(L355="L",1,0)</f>
        <v>1</v>
      </c>
      <c r="AH355" s="46" t="s">
        <v>1085</v>
      </c>
      <c r="AI355" s="46" t="s">
        <v>1086</v>
      </c>
      <c r="AJ355" s="46" t="s">
        <v>376</v>
      </c>
      <c r="AK355" s="46" t="s">
        <v>658</v>
      </c>
      <c r="AL355" s="46" t="s">
        <v>1263</v>
      </c>
      <c r="AM355" s="46" t="s">
        <v>1264</v>
      </c>
      <c r="AN355" s="46" t="s">
        <v>376</v>
      </c>
      <c r="AO355" s="46" t="s">
        <v>658</v>
      </c>
      <c r="AP355" s="46"/>
      <c r="AQ355" s="46">
        <v>2</v>
      </c>
      <c r="AR355" s="46"/>
      <c r="AS355" s="46"/>
      <c r="AT355" s="46"/>
      <c r="AU355" s="46" t="s">
        <v>376</v>
      </c>
      <c r="AV355" s="46"/>
      <c r="AW355" s="46" t="s">
        <v>30</v>
      </c>
      <c r="AX355" s="46"/>
      <c r="AY355" s="46" t="s">
        <v>30</v>
      </c>
      <c r="AZ355" s="46"/>
      <c r="BA355" s="47"/>
      <c r="BB355" s="51"/>
      <c r="BC355" s="46"/>
      <c r="BD355" s="46"/>
      <c r="BE355" s="46"/>
      <c r="BF355" s="46">
        <v>1</v>
      </c>
      <c r="BG355" s="46">
        <v>1</v>
      </c>
      <c r="BH355" s="46">
        <v>1</v>
      </c>
      <c r="BI355" s="46" t="s">
        <v>1094</v>
      </c>
      <c r="BJ355" s="46" t="s">
        <v>1262</v>
      </c>
      <c r="BK355" s="46">
        <v>1925</v>
      </c>
      <c r="BL355" s="46" t="str">
        <f>BK355&amp;BI355</f>
        <v>1925Blackburn Rovers</v>
      </c>
      <c r="BM355" s="52" t="str">
        <f>IF(AD355="Home",BI355,IF(AD355="Away",BJ355,Q355))</f>
        <v>Nottingham</v>
      </c>
      <c r="BN355" s="46"/>
      <c r="BO355" s="46"/>
      <c r="BP355" s="46"/>
      <c r="BQ355" s="46"/>
      <c r="BR355" s="46"/>
      <c r="BS355" s="46"/>
      <c r="BT355" s="46"/>
      <c r="BU355" s="46"/>
      <c r="BV355" s="46" t="s">
        <v>376</v>
      </c>
      <c r="BW355" s="46" t="s">
        <v>376</v>
      </c>
      <c r="BX355" s="46"/>
      <c r="BY355" s="35"/>
      <c r="BZ355" s="53"/>
      <c r="CA355" s="53"/>
      <c r="CB355" s="93" t="str">
        <f>IF(OR(C355="",A355="",B355=""),"",TEXT(C355,"0000")&amp;TEXT(A355,"00")&amp;TEXT(B355,"00"))</f>
        <v>19250328</v>
      </c>
    </row>
    <row r="356" spans="1:80" s="52" customFormat="1" ht="12.95" customHeight="1" x14ac:dyDescent="0.2">
      <c r="A356" s="46">
        <v>3</v>
      </c>
      <c r="B356" s="46">
        <v>28</v>
      </c>
      <c r="C356" s="46">
        <v>1925</v>
      </c>
      <c r="D356" s="46" t="s">
        <v>658</v>
      </c>
      <c r="E356" s="46" t="s">
        <v>1270</v>
      </c>
      <c r="F356" s="47" t="s">
        <v>1010</v>
      </c>
      <c r="G356" s="46"/>
      <c r="H356" s="47" t="s">
        <v>1011</v>
      </c>
      <c r="I356" s="47"/>
      <c r="J356" s="48">
        <v>9219</v>
      </c>
      <c r="K356" s="46" t="s">
        <v>1207</v>
      </c>
      <c r="L356" s="46" t="s">
        <v>3</v>
      </c>
      <c r="M356" s="46" t="s">
        <v>629</v>
      </c>
      <c r="N356" s="49">
        <v>2</v>
      </c>
      <c r="O356" s="49">
        <v>0</v>
      </c>
      <c r="P356" s="47" t="s">
        <v>1234</v>
      </c>
      <c r="Q356" s="47" t="s">
        <v>1017</v>
      </c>
      <c r="R356" s="47" t="s">
        <v>376</v>
      </c>
      <c r="S356" s="46"/>
      <c r="T356" s="46"/>
      <c r="U356" s="46"/>
      <c r="V356" s="46"/>
      <c r="W356" s="46"/>
      <c r="X356" s="46"/>
      <c r="Y356" s="46"/>
      <c r="Z356" s="46"/>
      <c r="AA356" s="46"/>
      <c r="AB356" s="46"/>
      <c r="AC356" s="46"/>
      <c r="AD356" s="46"/>
      <c r="AE356" s="50">
        <f>IF(L356="W",1,0)</f>
        <v>1</v>
      </c>
      <c r="AF356" s="50">
        <f>IF(L356="T",1,0)</f>
        <v>0</v>
      </c>
      <c r="AG356" s="50">
        <f>IF(L356="L",1,0)</f>
        <v>0</v>
      </c>
      <c r="AH356" s="46" t="s">
        <v>1097</v>
      </c>
      <c r="AI356" s="46" t="s">
        <v>1098</v>
      </c>
      <c r="AJ356" s="46" t="s">
        <v>376</v>
      </c>
      <c r="AK356" s="46" t="s">
        <v>658</v>
      </c>
      <c r="AL356" s="46" t="s">
        <v>629</v>
      </c>
      <c r="AM356" s="46" t="s">
        <v>1199</v>
      </c>
      <c r="AN356" s="46" t="s">
        <v>376</v>
      </c>
      <c r="AO356" s="46" t="s">
        <v>658</v>
      </c>
      <c r="AP356" s="46"/>
      <c r="AQ356" s="46">
        <v>2</v>
      </c>
      <c r="AR356" s="46"/>
      <c r="AS356" s="46"/>
      <c r="AT356" s="46"/>
      <c r="AU356" s="46" t="s">
        <v>376</v>
      </c>
      <c r="AV356" s="46"/>
      <c r="AW356" s="46" t="s">
        <v>30</v>
      </c>
      <c r="AX356" s="46"/>
      <c r="AY356" s="46" t="s">
        <v>30</v>
      </c>
      <c r="AZ356" s="46"/>
      <c r="BA356" s="47"/>
      <c r="BB356" s="51"/>
      <c r="BC356" s="46"/>
      <c r="BD356" s="46"/>
      <c r="BE356" s="46"/>
      <c r="BF356" s="46">
        <v>1</v>
      </c>
      <c r="BG356" s="46">
        <v>1</v>
      </c>
      <c r="BH356" s="46">
        <v>2</v>
      </c>
      <c r="BI356" s="46" t="s">
        <v>1207</v>
      </c>
      <c r="BJ356" s="46" t="s">
        <v>629</v>
      </c>
      <c r="BK356" s="46">
        <v>1925</v>
      </c>
      <c r="BL356" s="46" t="str">
        <f>BK356&amp;BI356</f>
        <v>1925Sheffield United</v>
      </c>
      <c r="BM356" s="52" t="str">
        <f>IF(AD356="Home",BI356,IF(AD356="Away",BJ356,Q356))</f>
        <v>London</v>
      </c>
      <c r="BN356" s="46"/>
      <c r="BO356" s="46"/>
      <c r="BP356" s="46"/>
      <c r="BQ356" s="46"/>
      <c r="BR356" s="46"/>
      <c r="BS356" s="46"/>
      <c r="BT356" s="46"/>
      <c r="BU356" s="46"/>
      <c r="BV356" s="46" t="s">
        <v>376</v>
      </c>
      <c r="BW356" s="46" t="s">
        <v>376</v>
      </c>
      <c r="BX356" s="46"/>
      <c r="BZ356" s="53"/>
      <c r="CA356" s="53"/>
      <c r="CB356" s="93" t="str">
        <f>IF(OR(C356="",A356="",B356=""),"",TEXT(C356,"0000")&amp;TEXT(A356,"00")&amp;TEXT(B356,"00"))</f>
        <v>19250328</v>
      </c>
    </row>
    <row r="357" spans="1:80" s="52" customFormat="1" ht="12.95" customHeight="1" x14ac:dyDescent="0.2">
      <c r="A357" s="46">
        <v>3</v>
      </c>
      <c r="B357" s="46">
        <v>28</v>
      </c>
      <c r="C357" s="46">
        <v>1925</v>
      </c>
      <c r="D357" s="46" t="s">
        <v>658</v>
      </c>
      <c r="E357" s="46" t="s">
        <v>1270</v>
      </c>
      <c r="F357" s="47" t="s">
        <v>1010</v>
      </c>
      <c r="G357" s="46"/>
      <c r="H357" s="47" t="s">
        <v>1011</v>
      </c>
      <c r="I357" s="47"/>
      <c r="J357" s="48">
        <v>9219</v>
      </c>
      <c r="K357" s="46" t="s">
        <v>629</v>
      </c>
      <c r="L357" s="46" t="s">
        <v>4</v>
      </c>
      <c r="M357" s="46" t="s">
        <v>1207</v>
      </c>
      <c r="N357" s="49">
        <v>0</v>
      </c>
      <c r="O357" s="49">
        <v>2</v>
      </c>
      <c r="P357" s="47" t="s">
        <v>1234</v>
      </c>
      <c r="Q357" s="47" t="s">
        <v>1017</v>
      </c>
      <c r="R357" s="47" t="s">
        <v>376</v>
      </c>
      <c r="S357" s="46"/>
      <c r="T357" s="46"/>
      <c r="U357" s="46"/>
      <c r="V357" s="46"/>
      <c r="W357" s="46"/>
      <c r="X357" s="46"/>
      <c r="Y357" s="46"/>
      <c r="Z357" s="46"/>
      <c r="AA357" s="46"/>
      <c r="AB357" s="46"/>
      <c r="AC357" s="46"/>
      <c r="AD357" s="46"/>
      <c r="AE357" s="50">
        <f>IF(L357="W",1,0)</f>
        <v>0</v>
      </c>
      <c r="AF357" s="50">
        <f>IF(L357="T",1,0)</f>
        <v>0</v>
      </c>
      <c r="AG357" s="50">
        <f>IF(L357="L",1,0)</f>
        <v>1</v>
      </c>
      <c r="AH357" s="46" t="s">
        <v>629</v>
      </c>
      <c r="AI357" s="46" t="s">
        <v>1199</v>
      </c>
      <c r="AJ357" s="46" t="s">
        <v>376</v>
      </c>
      <c r="AK357" s="46" t="s">
        <v>658</v>
      </c>
      <c r="AL357" s="46" t="s">
        <v>1097</v>
      </c>
      <c r="AM357" s="46" t="s">
        <v>1098</v>
      </c>
      <c r="AN357" s="46" t="s">
        <v>376</v>
      </c>
      <c r="AO357" s="46" t="s">
        <v>658</v>
      </c>
      <c r="AP357" s="46"/>
      <c r="AQ357" s="46">
        <v>2</v>
      </c>
      <c r="AR357" s="46"/>
      <c r="AS357" s="46"/>
      <c r="AT357" s="46"/>
      <c r="AU357" s="46" t="s">
        <v>376</v>
      </c>
      <c r="AV357" s="46"/>
      <c r="AW357" s="46" t="s">
        <v>30</v>
      </c>
      <c r="AX357" s="46"/>
      <c r="AY357" s="46" t="s">
        <v>30</v>
      </c>
      <c r="AZ357" s="46"/>
      <c r="BA357" s="47"/>
      <c r="BB357" s="51"/>
      <c r="BC357" s="46"/>
      <c r="BD357" s="46"/>
      <c r="BE357" s="46"/>
      <c r="BF357" s="46">
        <v>1</v>
      </c>
      <c r="BG357" s="46">
        <v>2</v>
      </c>
      <c r="BH357" s="46">
        <v>1</v>
      </c>
      <c r="BI357" s="46" t="s">
        <v>629</v>
      </c>
      <c r="BJ357" s="46" t="s">
        <v>1207</v>
      </c>
      <c r="BK357" s="46">
        <v>1925</v>
      </c>
      <c r="BL357" s="46" t="str">
        <f>BK357&amp;BI357</f>
        <v>1925Southampton</v>
      </c>
      <c r="BM357" s="52" t="str">
        <f>IF(AD357="Home",BI357,IF(AD357="Away",BJ357,Q357))</f>
        <v>London</v>
      </c>
      <c r="BN357" s="46"/>
      <c r="BO357" s="46"/>
      <c r="BP357" s="46"/>
      <c r="BQ357" s="46"/>
      <c r="BR357" s="46"/>
      <c r="BS357" s="46"/>
      <c r="BT357" s="46"/>
      <c r="BU357" s="46"/>
      <c r="BV357" s="46" t="s">
        <v>376</v>
      </c>
      <c r="BW357" s="46" t="s">
        <v>376</v>
      </c>
      <c r="BX357" s="46"/>
      <c r="BZ357" s="53"/>
      <c r="CA357" s="53"/>
      <c r="CB357" s="93" t="str">
        <f>IF(OR(C357="",A357="",B357=""),"",TEXT(C357,"0000")&amp;TEXT(A357,"00")&amp;TEXT(B357,"00"))</f>
        <v>19250328</v>
      </c>
    </row>
    <row r="358" spans="1:80" s="52" customFormat="1" ht="12.95" customHeight="1" x14ac:dyDescent="0.2">
      <c r="A358" s="46">
        <v>4</v>
      </c>
      <c r="B358" s="46">
        <v>25</v>
      </c>
      <c r="C358" s="46">
        <v>1925</v>
      </c>
      <c r="D358" s="46" t="s">
        <v>658</v>
      </c>
      <c r="E358" s="46" t="s">
        <v>1270</v>
      </c>
      <c r="F358" s="47" t="s">
        <v>1010</v>
      </c>
      <c r="G358" s="46"/>
      <c r="H358" s="47" t="s">
        <v>1025</v>
      </c>
      <c r="I358" s="47"/>
      <c r="J358" s="48">
        <v>9247</v>
      </c>
      <c r="K358" s="46" t="s">
        <v>1207</v>
      </c>
      <c r="L358" s="46" t="s">
        <v>3</v>
      </c>
      <c r="M358" s="46" t="s">
        <v>1262</v>
      </c>
      <c r="N358" s="49">
        <v>1</v>
      </c>
      <c r="O358" s="49">
        <v>0</v>
      </c>
      <c r="P358" s="47" t="s">
        <v>1268</v>
      </c>
      <c r="Q358" s="47" t="s">
        <v>1017</v>
      </c>
      <c r="R358" s="47" t="s">
        <v>376</v>
      </c>
      <c r="S358" s="46"/>
      <c r="T358" s="46"/>
      <c r="U358" s="46"/>
      <c r="V358" s="46"/>
      <c r="W358" s="46"/>
      <c r="X358" s="46"/>
      <c r="Y358" s="46"/>
      <c r="Z358" s="46"/>
      <c r="AA358" s="46"/>
      <c r="AB358" s="46"/>
      <c r="AC358" s="46"/>
      <c r="AD358" s="46"/>
      <c r="AE358" s="50">
        <f>IF(L358="W",1,0)</f>
        <v>1</v>
      </c>
      <c r="AF358" s="50">
        <f>IF(L358="T",1,0)</f>
        <v>0</v>
      </c>
      <c r="AG358" s="50">
        <f>IF(L358="L",1,0)</f>
        <v>0</v>
      </c>
      <c r="AH358" s="46" t="s">
        <v>1097</v>
      </c>
      <c r="AI358" s="46" t="s">
        <v>1098</v>
      </c>
      <c r="AJ358" s="46" t="s">
        <v>376</v>
      </c>
      <c r="AK358" s="46" t="s">
        <v>658</v>
      </c>
      <c r="AL358" s="46" t="s">
        <v>1263</v>
      </c>
      <c r="AM358" s="46" t="s">
        <v>1264</v>
      </c>
      <c r="AN358" s="46" t="s">
        <v>376</v>
      </c>
      <c r="AO358" s="46" t="s">
        <v>658</v>
      </c>
      <c r="AP358" s="46"/>
      <c r="AQ358" s="46">
        <v>1</v>
      </c>
      <c r="AR358" s="46"/>
      <c r="AS358" s="46"/>
      <c r="AT358" s="46"/>
      <c r="AU358" s="46" t="s">
        <v>376</v>
      </c>
      <c r="AV358" s="46"/>
      <c r="AW358" s="46" t="s">
        <v>30</v>
      </c>
      <c r="AX358" s="46"/>
      <c r="AY358" s="46" t="s">
        <v>30</v>
      </c>
      <c r="AZ358" s="46"/>
      <c r="BA358" s="47"/>
      <c r="BB358" s="51" t="s">
        <v>30</v>
      </c>
      <c r="BC358" s="46" t="s">
        <v>30</v>
      </c>
      <c r="BD358" s="46"/>
      <c r="BE358" s="46"/>
      <c r="BF358" s="46">
        <v>1</v>
      </c>
      <c r="BG358" s="46">
        <v>1</v>
      </c>
      <c r="BH358" s="46">
        <v>1</v>
      </c>
      <c r="BI358" s="46" t="s">
        <v>1207</v>
      </c>
      <c r="BJ358" s="46" t="s">
        <v>1262</v>
      </c>
      <c r="BK358" s="46">
        <v>1925</v>
      </c>
      <c r="BL358" s="46" t="str">
        <f>BK358&amp;BI358</f>
        <v>1925Sheffield United</v>
      </c>
      <c r="BM358" s="52" t="str">
        <f>IF(AD358="Home",BI358,IF(AD358="Away",BJ358,Q358))</f>
        <v>London</v>
      </c>
      <c r="BN358" s="46"/>
      <c r="BO358" s="46"/>
      <c r="BP358" s="46"/>
      <c r="BQ358" s="46"/>
      <c r="BR358" s="46"/>
      <c r="BS358" s="46"/>
      <c r="BT358" s="46"/>
      <c r="BU358" s="46"/>
      <c r="BV358" s="46" t="s">
        <v>376</v>
      </c>
      <c r="BW358" s="46" t="s">
        <v>376</v>
      </c>
      <c r="BX358" s="46"/>
      <c r="BZ358" s="53"/>
      <c r="CA358" s="53"/>
      <c r="CB358" s="93" t="str">
        <f>IF(OR(C358="",A358="",B358=""),"",TEXT(C358,"0000")&amp;TEXT(A358,"00")&amp;TEXT(B358,"00"))</f>
        <v>19250425</v>
      </c>
    </row>
    <row r="359" spans="1:80" s="52" customFormat="1" ht="12.95" customHeight="1" x14ac:dyDescent="0.2">
      <c r="A359" s="46">
        <v>4</v>
      </c>
      <c r="B359" s="46">
        <v>25</v>
      </c>
      <c r="C359" s="46">
        <v>1925</v>
      </c>
      <c r="D359" s="46" t="s">
        <v>658</v>
      </c>
      <c r="E359" s="46" t="s">
        <v>1270</v>
      </c>
      <c r="F359" s="47" t="s">
        <v>1010</v>
      </c>
      <c r="G359" s="46"/>
      <c r="H359" s="47" t="s">
        <v>1025</v>
      </c>
      <c r="I359" s="47"/>
      <c r="J359" s="48">
        <v>9247</v>
      </c>
      <c r="K359" s="46" t="s">
        <v>1262</v>
      </c>
      <c r="L359" s="46" t="s">
        <v>4</v>
      </c>
      <c r="M359" s="46" t="s">
        <v>1207</v>
      </c>
      <c r="N359" s="49">
        <v>0</v>
      </c>
      <c r="O359" s="49">
        <v>1</v>
      </c>
      <c r="P359" s="47" t="s">
        <v>1268</v>
      </c>
      <c r="Q359" s="47" t="s">
        <v>1017</v>
      </c>
      <c r="R359" s="47" t="s">
        <v>376</v>
      </c>
      <c r="S359" s="46"/>
      <c r="T359" s="46"/>
      <c r="U359" s="46"/>
      <c r="V359" s="46"/>
      <c r="W359" s="46"/>
      <c r="X359" s="46"/>
      <c r="Y359" s="46"/>
      <c r="Z359" s="46"/>
      <c r="AA359" s="46"/>
      <c r="AB359" s="46"/>
      <c r="AC359" s="46"/>
      <c r="AD359" s="46"/>
      <c r="AE359" s="50">
        <f>IF(L359="W",1,0)</f>
        <v>0</v>
      </c>
      <c r="AF359" s="50">
        <f>IF(L359="T",1,0)</f>
        <v>0</v>
      </c>
      <c r="AG359" s="50">
        <f>IF(L359="L",1,0)</f>
        <v>1</v>
      </c>
      <c r="AH359" s="46" t="s">
        <v>1263</v>
      </c>
      <c r="AI359" s="46" t="s">
        <v>1264</v>
      </c>
      <c r="AJ359" s="46" t="s">
        <v>376</v>
      </c>
      <c r="AK359" s="46" t="s">
        <v>658</v>
      </c>
      <c r="AL359" s="46" t="s">
        <v>1097</v>
      </c>
      <c r="AM359" s="46" t="s">
        <v>1098</v>
      </c>
      <c r="AN359" s="46" t="s">
        <v>376</v>
      </c>
      <c r="AO359" s="46" t="s">
        <v>658</v>
      </c>
      <c r="AP359" s="46"/>
      <c r="AQ359" s="46">
        <v>1</v>
      </c>
      <c r="AR359" s="46"/>
      <c r="AS359" s="46"/>
      <c r="AT359" s="46"/>
      <c r="AU359" s="46" t="s">
        <v>376</v>
      </c>
      <c r="AV359" s="46"/>
      <c r="AW359" s="46" t="s">
        <v>30</v>
      </c>
      <c r="AX359" s="46"/>
      <c r="AY359" s="46" t="s">
        <v>30</v>
      </c>
      <c r="AZ359" s="46"/>
      <c r="BA359" s="47"/>
      <c r="BB359" s="51"/>
      <c r="BC359" s="46" t="s">
        <v>30</v>
      </c>
      <c r="BD359" s="46"/>
      <c r="BE359" s="46"/>
      <c r="BF359" s="46">
        <v>1</v>
      </c>
      <c r="BG359" s="46">
        <v>1</v>
      </c>
      <c r="BH359" s="46">
        <v>1</v>
      </c>
      <c r="BI359" s="46" t="s">
        <v>1262</v>
      </c>
      <c r="BJ359" s="46" t="s">
        <v>1207</v>
      </c>
      <c r="BK359" s="46">
        <v>1925</v>
      </c>
      <c r="BL359" s="46" t="str">
        <f>BK359&amp;BI359</f>
        <v>1925Cardiff City</v>
      </c>
      <c r="BM359" s="52" t="str">
        <f>IF(AD359="Home",BI359,IF(AD359="Away",BJ359,Q359))</f>
        <v>London</v>
      </c>
      <c r="BN359" s="46"/>
      <c r="BO359" s="46"/>
      <c r="BP359" s="46"/>
      <c r="BQ359" s="46"/>
      <c r="BR359" s="46"/>
      <c r="BS359" s="46"/>
      <c r="BT359" s="46"/>
      <c r="BU359" s="46"/>
      <c r="BV359" s="46" t="s">
        <v>376</v>
      </c>
      <c r="BW359" s="46" t="s">
        <v>376</v>
      </c>
      <c r="BX359" s="46"/>
      <c r="BZ359" s="53"/>
      <c r="CA359" s="53"/>
      <c r="CB359" s="93" t="str">
        <f>IF(OR(C359="",A359="",B359=""),"",TEXT(C359,"0000")&amp;TEXT(A359,"00")&amp;TEXT(B359,"00"))</f>
        <v>19250425</v>
      </c>
    </row>
    <row r="360" spans="1:80" s="52" customFormat="1" ht="12.95" customHeight="1" x14ac:dyDescent="0.2">
      <c r="A360" s="46">
        <v>3</v>
      </c>
      <c r="B360" s="46">
        <v>21</v>
      </c>
      <c r="C360" s="46">
        <v>1926</v>
      </c>
      <c r="D360" s="46" t="s">
        <v>658</v>
      </c>
      <c r="E360" s="46" t="s">
        <v>1271</v>
      </c>
      <c r="F360" s="47" t="s">
        <v>1010</v>
      </c>
      <c r="G360" s="46"/>
      <c r="H360" s="47" t="s">
        <v>1011</v>
      </c>
      <c r="I360" s="47"/>
      <c r="J360" s="48">
        <v>9577</v>
      </c>
      <c r="K360" s="46" t="s">
        <v>823</v>
      </c>
      <c r="L360" s="46" t="s">
        <v>3</v>
      </c>
      <c r="M360" s="46" t="s">
        <v>821</v>
      </c>
      <c r="N360" s="49">
        <v>3</v>
      </c>
      <c r="O360" s="49">
        <v>0</v>
      </c>
      <c r="P360" s="47" t="s">
        <v>1163</v>
      </c>
      <c r="Q360" s="47" t="s">
        <v>1097</v>
      </c>
      <c r="R360" s="47" t="s">
        <v>376</v>
      </c>
      <c r="S360" s="46"/>
      <c r="T360" s="46"/>
      <c r="U360" s="46"/>
      <c r="V360" s="46"/>
      <c r="W360" s="46"/>
      <c r="X360" s="46"/>
      <c r="Y360" s="46"/>
      <c r="Z360" s="46"/>
      <c r="AA360" s="46"/>
      <c r="AB360" s="46"/>
      <c r="AC360" s="46"/>
      <c r="AD360" s="46"/>
      <c r="AE360" s="50">
        <f>IF(L360="W",1,0)</f>
        <v>1</v>
      </c>
      <c r="AF360" s="50">
        <f>IF(L360="T",1,0)</f>
        <v>0</v>
      </c>
      <c r="AG360" s="50">
        <f>IF(L360="L",1,0)</f>
        <v>0</v>
      </c>
      <c r="AH360" s="46" t="s">
        <v>1101</v>
      </c>
      <c r="AI360" s="46" t="s">
        <v>1159</v>
      </c>
      <c r="AJ360" s="46" t="s">
        <v>376</v>
      </c>
      <c r="AK360" s="46" t="s">
        <v>658</v>
      </c>
      <c r="AL360" s="46" t="s">
        <v>1101</v>
      </c>
      <c r="AM360" s="46" t="s">
        <v>1159</v>
      </c>
      <c r="AN360" s="46" t="s">
        <v>376</v>
      </c>
      <c r="AO360" s="46" t="s">
        <v>658</v>
      </c>
      <c r="AP360" s="46"/>
      <c r="AQ360" s="46">
        <v>2</v>
      </c>
      <c r="AR360" s="46"/>
      <c r="AS360" s="46"/>
      <c r="AT360" s="46" t="s">
        <v>1272</v>
      </c>
      <c r="AU360" s="46" t="s">
        <v>376</v>
      </c>
      <c r="AV360" s="46"/>
      <c r="AW360" s="46" t="s">
        <v>30</v>
      </c>
      <c r="AX360" s="46"/>
      <c r="AY360" s="46" t="s">
        <v>30</v>
      </c>
      <c r="AZ360" s="46"/>
      <c r="BA360" s="47"/>
      <c r="BB360" s="51"/>
      <c r="BC360" s="46"/>
      <c r="BD360" s="46"/>
      <c r="BE360" s="46"/>
      <c r="BF360" s="46">
        <v>1</v>
      </c>
      <c r="BG360" s="46">
        <v>1</v>
      </c>
      <c r="BH360" s="46">
        <v>1</v>
      </c>
      <c r="BI360" s="46" t="s">
        <v>823</v>
      </c>
      <c r="BJ360" s="46" t="s">
        <v>821</v>
      </c>
      <c r="BK360" s="46">
        <v>1926</v>
      </c>
      <c r="BL360" s="46" t="str">
        <f>BK360&amp;BI360</f>
        <v>1926Manchester City</v>
      </c>
      <c r="BM360" s="52" t="str">
        <f>IF(AD360="Home",BI360,IF(AD360="Away",BJ360,Q360))</f>
        <v>Sheffield</v>
      </c>
      <c r="BN360" s="46"/>
      <c r="BO360" s="46"/>
      <c r="BP360" s="46"/>
      <c r="BQ360" s="46"/>
      <c r="BR360" s="46"/>
      <c r="BS360" s="46"/>
      <c r="BT360" s="46"/>
      <c r="BU360" s="46"/>
      <c r="BV360" s="46" t="s">
        <v>376</v>
      </c>
      <c r="BW360" s="46" t="s">
        <v>376</v>
      </c>
      <c r="BX360" s="46"/>
      <c r="BY360" s="50"/>
      <c r="BZ360" s="53"/>
      <c r="CA360" s="53"/>
      <c r="CB360" s="93" t="str">
        <f>IF(OR(C360="",A360="",B360=""),"",TEXT(C360,"0000")&amp;TEXT(A360,"00")&amp;TEXT(B360,"00"))</f>
        <v>19260321</v>
      </c>
    </row>
    <row r="361" spans="1:80" s="52" customFormat="1" ht="12.95" customHeight="1" x14ac:dyDescent="0.2">
      <c r="A361" s="46">
        <v>3</v>
      </c>
      <c r="B361" s="46">
        <v>21</v>
      </c>
      <c r="C361" s="46">
        <v>1926</v>
      </c>
      <c r="D361" s="46" t="s">
        <v>658</v>
      </c>
      <c r="E361" s="46" t="s">
        <v>1271</v>
      </c>
      <c r="F361" s="47" t="s">
        <v>1010</v>
      </c>
      <c r="G361" s="46"/>
      <c r="H361" s="47" t="s">
        <v>1011</v>
      </c>
      <c r="I361" s="47"/>
      <c r="J361" s="48">
        <v>9577</v>
      </c>
      <c r="K361" s="46" t="s">
        <v>821</v>
      </c>
      <c r="L361" s="46" t="s">
        <v>4</v>
      </c>
      <c r="M361" s="46" t="s">
        <v>823</v>
      </c>
      <c r="N361" s="49">
        <v>0</v>
      </c>
      <c r="O361" s="49">
        <v>3</v>
      </c>
      <c r="P361" s="47" t="s">
        <v>1163</v>
      </c>
      <c r="Q361" s="47" t="s">
        <v>1097</v>
      </c>
      <c r="R361" s="47" t="s">
        <v>376</v>
      </c>
      <c r="S361" s="46"/>
      <c r="T361" s="46"/>
      <c r="U361" s="46"/>
      <c r="V361" s="46"/>
      <c r="W361" s="46"/>
      <c r="X361" s="46"/>
      <c r="Y361" s="46"/>
      <c r="Z361" s="46"/>
      <c r="AA361" s="46"/>
      <c r="AB361" s="46"/>
      <c r="AC361" s="46"/>
      <c r="AD361" s="46"/>
      <c r="AE361" s="50">
        <f>IF(L361="W",1,0)</f>
        <v>0</v>
      </c>
      <c r="AF361" s="50">
        <f>IF(L361="T",1,0)</f>
        <v>0</v>
      </c>
      <c r="AG361" s="50">
        <f>IF(L361="L",1,0)</f>
        <v>1</v>
      </c>
      <c r="AH361" s="46" t="s">
        <v>1101</v>
      </c>
      <c r="AI361" s="46" t="s">
        <v>1159</v>
      </c>
      <c r="AJ361" s="46" t="s">
        <v>376</v>
      </c>
      <c r="AK361" s="46" t="s">
        <v>658</v>
      </c>
      <c r="AL361" s="46" t="s">
        <v>1101</v>
      </c>
      <c r="AM361" s="46" t="s">
        <v>1159</v>
      </c>
      <c r="AN361" s="46" t="s">
        <v>376</v>
      </c>
      <c r="AO361" s="46" t="s">
        <v>658</v>
      </c>
      <c r="AP361" s="46"/>
      <c r="AQ361" s="46">
        <v>2</v>
      </c>
      <c r="AR361" s="46"/>
      <c r="AS361" s="46"/>
      <c r="AT361" s="46" t="s">
        <v>1272</v>
      </c>
      <c r="AU361" s="46" t="s">
        <v>376</v>
      </c>
      <c r="AV361" s="46"/>
      <c r="AW361" s="46" t="s">
        <v>30</v>
      </c>
      <c r="AX361" s="46"/>
      <c r="AY361" s="46" t="s">
        <v>30</v>
      </c>
      <c r="AZ361" s="46"/>
      <c r="BA361" s="47"/>
      <c r="BB361" s="51"/>
      <c r="BC361" s="46"/>
      <c r="BD361" s="46"/>
      <c r="BE361" s="46"/>
      <c r="BF361" s="46">
        <v>1</v>
      </c>
      <c r="BG361" s="46">
        <v>1</v>
      </c>
      <c r="BH361" s="46">
        <v>1</v>
      </c>
      <c r="BI361" s="46" t="s">
        <v>821</v>
      </c>
      <c r="BJ361" s="46" t="s">
        <v>823</v>
      </c>
      <c r="BK361" s="46">
        <v>1926</v>
      </c>
      <c r="BL361" s="46" t="str">
        <f>BK361&amp;BI361</f>
        <v>1926Manchester United</v>
      </c>
      <c r="BM361" s="52" t="str">
        <f>IF(AD361="Home",BI361,IF(AD361="Away",BJ361,Q361))</f>
        <v>Sheffield</v>
      </c>
      <c r="BN361" s="46"/>
      <c r="BO361" s="46"/>
      <c r="BP361" s="46"/>
      <c r="BQ361" s="46"/>
      <c r="BR361" s="46"/>
      <c r="BS361" s="46"/>
      <c r="BT361" s="46"/>
      <c r="BU361" s="46"/>
      <c r="BV361" s="46" t="s">
        <v>376</v>
      </c>
      <c r="BW361" s="46" t="s">
        <v>376</v>
      </c>
      <c r="BX361" s="46"/>
      <c r="BY361" s="50"/>
      <c r="BZ361" s="53"/>
      <c r="CA361" s="53"/>
      <c r="CB361" s="93" t="str">
        <f>IF(OR(C361="",A361="",B361=""),"",TEXT(C361,"0000")&amp;TEXT(A361,"00")&amp;TEXT(B361,"00"))</f>
        <v>19260321</v>
      </c>
    </row>
    <row r="362" spans="1:80" s="52" customFormat="1" ht="12.95" customHeight="1" x14ac:dyDescent="0.2">
      <c r="A362" s="46">
        <v>3</v>
      </c>
      <c r="B362" s="46">
        <v>27</v>
      </c>
      <c r="C362" s="46">
        <v>1926</v>
      </c>
      <c r="D362" s="46" t="s">
        <v>658</v>
      </c>
      <c r="E362" s="46" t="s">
        <v>1271</v>
      </c>
      <c r="F362" s="47" t="s">
        <v>1010</v>
      </c>
      <c r="G362" s="46"/>
      <c r="H362" s="47" t="s">
        <v>1011</v>
      </c>
      <c r="I362" s="47"/>
      <c r="J362" s="48">
        <v>9583</v>
      </c>
      <c r="K362" s="46" t="s">
        <v>1157</v>
      </c>
      <c r="L362" s="46" t="s">
        <v>3</v>
      </c>
      <c r="M362" s="46" t="s">
        <v>1273</v>
      </c>
      <c r="N362" s="49">
        <v>3</v>
      </c>
      <c r="O362" s="49">
        <v>0</v>
      </c>
      <c r="P362" s="47" t="s">
        <v>1222</v>
      </c>
      <c r="Q362" s="47" t="s">
        <v>1017</v>
      </c>
      <c r="R362" s="47" t="s">
        <v>376</v>
      </c>
      <c r="S362" s="46"/>
      <c r="T362" s="46"/>
      <c r="U362" s="46"/>
      <c r="V362" s="46"/>
      <c r="W362" s="46"/>
      <c r="X362" s="46"/>
      <c r="Y362" s="46"/>
      <c r="Z362" s="46"/>
      <c r="AA362" s="46"/>
      <c r="AB362" s="46"/>
      <c r="AC362" s="46"/>
      <c r="AD362" s="46"/>
      <c r="AE362" s="50">
        <f>IF(L362="W",1,0)</f>
        <v>1</v>
      </c>
      <c r="AF362" s="50">
        <f>IF(L362="T",1,0)</f>
        <v>0</v>
      </c>
      <c r="AG362" s="50">
        <f>IF(L362="L",1,0)</f>
        <v>0</v>
      </c>
      <c r="AH362" s="46" t="s">
        <v>1101</v>
      </c>
      <c r="AI362" s="46" t="s">
        <v>1159</v>
      </c>
      <c r="AJ362" s="46" t="s">
        <v>376</v>
      </c>
      <c r="AK362" s="46" t="s">
        <v>658</v>
      </c>
      <c r="AL362" s="46" t="s">
        <v>1274</v>
      </c>
      <c r="AM362" s="46" t="s">
        <v>1264</v>
      </c>
      <c r="AN362" s="46" t="s">
        <v>376</v>
      </c>
      <c r="AO362" s="46" t="s">
        <v>658</v>
      </c>
      <c r="AP362" s="46"/>
      <c r="AQ362" s="46">
        <v>2</v>
      </c>
      <c r="AR362" s="46"/>
      <c r="AS362" s="46"/>
      <c r="AT362" s="46"/>
      <c r="AU362" s="46" t="s">
        <v>376</v>
      </c>
      <c r="AV362" s="46"/>
      <c r="AW362" s="46" t="s">
        <v>30</v>
      </c>
      <c r="AX362" s="46"/>
      <c r="AY362" s="46" t="s">
        <v>30</v>
      </c>
      <c r="AZ362" s="46"/>
      <c r="BA362" s="47"/>
      <c r="BB362" s="51"/>
      <c r="BC362" s="46"/>
      <c r="BD362" s="46"/>
      <c r="BE362" s="46"/>
      <c r="BF362" s="46">
        <v>1</v>
      </c>
      <c r="BG362" s="46">
        <v>1</v>
      </c>
      <c r="BH362" s="46">
        <v>2</v>
      </c>
      <c r="BI362" s="46" t="s">
        <v>1157</v>
      </c>
      <c r="BJ362" s="46" t="s">
        <v>1273</v>
      </c>
      <c r="BK362" s="46">
        <v>1926</v>
      </c>
      <c r="BL362" s="46" t="str">
        <f>BK362&amp;BI362</f>
        <v>1926Bolton Wanderers</v>
      </c>
      <c r="BM362" s="52" t="str">
        <f>IF(AD362="Home",BI362,IF(AD362="Away",BJ362,Q362))</f>
        <v>London</v>
      </c>
      <c r="BN362" s="46"/>
      <c r="BO362" s="46"/>
      <c r="BP362" s="46"/>
      <c r="BQ362" s="46"/>
      <c r="BR362" s="46"/>
      <c r="BS362" s="46"/>
      <c r="BT362" s="46"/>
      <c r="BU362" s="46"/>
      <c r="BV362" s="46" t="s">
        <v>376</v>
      </c>
      <c r="BW362" s="46" t="s">
        <v>376</v>
      </c>
      <c r="BX362" s="46"/>
      <c r="BZ362" s="53"/>
      <c r="CA362" s="53"/>
      <c r="CB362" s="93" t="str">
        <f>IF(OR(C362="",A362="",B362=""),"",TEXT(C362,"0000")&amp;TEXT(A362,"00")&amp;TEXT(B362,"00"))</f>
        <v>19260327</v>
      </c>
    </row>
    <row r="363" spans="1:80" s="52" customFormat="1" ht="12.95" customHeight="1" x14ac:dyDescent="0.2">
      <c r="A363" s="46">
        <v>3</v>
      </c>
      <c r="B363" s="46">
        <v>27</v>
      </c>
      <c r="C363" s="46">
        <v>1926</v>
      </c>
      <c r="D363" s="46" t="s">
        <v>658</v>
      </c>
      <c r="E363" s="46" t="s">
        <v>1271</v>
      </c>
      <c r="F363" s="47" t="s">
        <v>1010</v>
      </c>
      <c r="G363" s="46"/>
      <c r="H363" s="47" t="s">
        <v>1011</v>
      </c>
      <c r="I363" s="47"/>
      <c r="J363" s="48">
        <v>9583</v>
      </c>
      <c r="K363" s="46" t="s">
        <v>1273</v>
      </c>
      <c r="L363" s="46" t="s">
        <v>4</v>
      </c>
      <c r="M363" s="46" t="s">
        <v>1157</v>
      </c>
      <c r="N363" s="49">
        <v>0</v>
      </c>
      <c r="O363" s="49">
        <v>3</v>
      </c>
      <c r="P363" s="47" t="s">
        <v>1222</v>
      </c>
      <c r="Q363" s="47" t="s">
        <v>1017</v>
      </c>
      <c r="R363" s="47" t="s">
        <v>376</v>
      </c>
      <c r="S363" s="46"/>
      <c r="T363" s="46"/>
      <c r="U363" s="46"/>
      <c r="V363" s="46"/>
      <c r="W363" s="46"/>
      <c r="X363" s="46"/>
      <c r="Y363" s="46"/>
      <c r="Z363" s="46"/>
      <c r="AA363" s="46"/>
      <c r="AB363" s="46"/>
      <c r="AC363" s="46"/>
      <c r="AD363" s="46"/>
      <c r="AE363" s="50">
        <f>IF(L363="W",1,0)</f>
        <v>0</v>
      </c>
      <c r="AF363" s="50">
        <f>IF(L363="T",1,0)</f>
        <v>0</v>
      </c>
      <c r="AG363" s="50">
        <f>IF(L363="L",1,0)</f>
        <v>1</v>
      </c>
      <c r="AH363" s="46" t="s">
        <v>1274</v>
      </c>
      <c r="AI363" s="46" t="s">
        <v>1264</v>
      </c>
      <c r="AJ363" s="46" t="s">
        <v>376</v>
      </c>
      <c r="AK363" s="46" t="s">
        <v>658</v>
      </c>
      <c r="AL363" s="46" t="s">
        <v>1101</v>
      </c>
      <c r="AM363" s="46" t="s">
        <v>1159</v>
      </c>
      <c r="AN363" s="46" t="s">
        <v>376</v>
      </c>
      <c r="AO363" s="46" t="s">
        <v>658</v>
      </c>
      <c r="AP363" s="46"/>
      <c r="AQ363" s="46">
        <v>2</v>
      </c>
      <c r="AR363" s="46"/>
      <c r="AS363" s="46"/>
      <c r="AT363" s="46"/>
      <c r="AU363" s="46" t="s">
        <v>376</v>
      </c>
      <c r="AV363" s="46"/>
      <c r="AW363" s="46" t="s">
        <v>30</v>
      </c>
      <c r="AX363" s="46"/>
      <c r="AY363" s="46" t="s">
        <v>30</v>
      </c>
      <c r="AZ363" s="46"/>
      <c r="BA363" s="47"/>
      <c r="BB363" s="51"/>
      <c r="BC363" s="46"/>
      <c r="BD363" s="46"/>
      <c r="BE363" s="46"/>
      <c r="BF363" s="46">
        <v>1</v>
      </c>
      <c r="BG363" s="46">
        <v>2</v>
      </c>
      <c r="BH363" s="46">
        <v>1</v>
      </c>
      <c r="BI363" s="46" t="s">
        <v>1273</v>
      </c>
      <c r="BJ363" s="46" t="s">
        <v>1157</v>
      </c>
      <c r="BK363" s="46">
        <v>1926</v>
      </c>
      <c r="BL363" s="46" t="str">
        <f>BK363&amp;BI363</f>
        <v>1926Swansea City</v>
      </c>
      <c r="BM363" s="52" t="str">
        <f>IF(AD363="Home",BI363,IF(AD363="Away",BJ363,Q363))</f>
        <v>London</v>
      </c>
      <c r="BN363" s="46"/>
      <c r="BO363" s="46"/>
      <c r="BP363" s="46"/>
      <c r="BQ363" s="46"/>
      <c r="BR363" s="46"/>
      <c r="BS363" s="46"/>
      <c r="BT363" s="46"/>
      <c r="BU363" s="46"/>
      <c r="BV363" s="46" t="s">
        <v>376</v>
      </c>
      <c r="BW363" s="46" t="s">
        <v>376</v>
      </c>
      <c r="BX363" s="46"/>
      <c r="BZ363" s="53"/>
      <c r="CA363" s="53"/>
      <c r="CB363" s="93" t="str">
        <f>IF(OR(C363="",A363="",B363=""),"",TEXT(C363,"0000")&amp;TEXT(A363,"00")&amp;TEXT(B363,"00"))</f>
        <v>19260327</v>
      </c>
    </row>
    <row r="364" spans="1:80" s="52" customFormat="1" ht="12.95" customHeight="1" x14ac:dyDescent="0.2">
      <c r="A364" s="46">
        <v>4</v>
      </c>
      <c r="B364" s="46">
        <v>24</v>
      </c>
      <c r="C364" s="46">
        <v>1926</v>
      </c>
      <c r="D364" s="46" t="s">
        <v>658</v>
      </c>
      <c r="E364" s="46" t="s">
        <v>1271</v>
      </c>
      <c r="F364" s="47" t="s">
        <v>1010</v>
      </c>
      <c r="G364" s="46"/>
      <c r="H364" s="47" t="s">
        <v>1025</v>
      </c>
      <c r="I364" s="47"/>
      <c r="J364" s="48">
        <v>9611</v>
      </c>
      <c r="K364" s="46" t="s">
        <v>1157</v>
      </c>
      <c r="L364" s="46" t="s">
        <v>3</v>
      </c>
      <c r="M364" s="46" t="s">
        <v>823</v>
      </c>
      <c r="N364" s="49">
        <v>1</v>
      </c>
      <c r="O364" s="49">
        <v>0</v>
      </c>
      <c r="P364" s="47" t="s">
        <v>1268</v>
      </c>
      <c r="Q364" s="47" t="s">
        <v>1017</v>
      </c>
      <c r="R364" s="47" t="s">
        <v>376</v>
      </c>
      <c r="S364" s="46"/>
      <c r="T364" s="46"/>
      <c r="U364" s="46"/>
      <c r="V364" s="46"/>
      <c r="W364" s="46"/>
      <c r="X364" s="46"/>
      <c r="Y364" s="46"/>
      <c r="Z364" s="46"/>
      <c r="AA364" s="46"/>
      <c r="AB364" s="46"/>
      <c r="AC364" s="46"/>
      <c r="AD364" s="46"/>
      <c r="AE364" s="50">
        <f>IF(L364="W",1,0)</f>
        <v>1</v>
      </c>
      <c r="AF364" s="50">
        <f>IF(L364="T",1,0)</f>
        <v>0</v>
      </c>
      <c r="AG364" s="50">
        <f>IF(L364="L",1,0)</f>
        <v>0</v>
      </c>
      <c r="AH364" s="46" t="s">
        <v>1101</v>
      </c>
      <c r="AI364" s="46" t="s">
        <v>1159</v>
      </c>
      <c r="AJ364" s="46" t="s">
        <v>376</v>
      </c>
      <c r="AK364" s="46" t="s">
        <v>658</v>
      </c>
      <c r="AL364" s="46" t="s">
        <v>1101</v>
      </c>
      <c r="AM364" s="46" t="s">
        <v>1159</v>
      </c>
      <c r="AN364" s="46" t="s">
        <v>376</v>
      </c>
      <c r="AO364" s="46" t="s">
        <v>658</v>
      </c>
      <c r="AP364" s="46"/>
      <c r="AQ364" s="46">
        <v>1</v>
      </c>
      <c r="AR364" s="46"/>
      <c r="AS364" s="46"/>
      <c r="AT364" s="46"/>
      <c r="AU364" s="46" t="s">
        <v>376</v>
      </c>
      <c r="AV364" s="46"/>
      <c r="AW364" s="46" t="s">
        <v>30</v>
      </c>
      <c r="AX364" s="46"/>
      <c r="AY364" s="46" t="s">
        <v>30</v>
      </c>
      <c r="AZ364" s="46"/>
      <c r="BA364" s="47"/>
      <c r="BB364" s="51" t="s">
        <v>30</v>
      </c>
      <c r="BC364" s="46" t="s">
        <v>30</v>
      </c>
      <c r="BD364" s="46"/>
      <c r="BE364" s="46"/>
      <c r="BF364" s="46">
        <v>1</v>
      </c>
      <c r="BG364" s="46">
        <v>1</v>
      </c>
      <c r="BH364" s="46">
        <v>1</v>
      </c>
      <c r="BI364" s="46" t="s">
        <v>1157</v>
      </c>
      <c r="BJ364" s="46" t="s">
        <v>823</v>
      </c>
      <c r="BK364" s="46">
        <v>1926</v>
      </c>
      <c r="BL364" s="46" t="str">
        <f>BK364&amp;BI364</f>
        <v>1926Bolton Wanderers</v>
      </c>
      <c r="BM364" s="52" t="str">
        <f>IF(AD364="Home",BI364,IF(AD364="Away",BJ364,Q364))</f>
        <v>London</v>
      </c>
      <c r="BN364" s="46"/>
      <c r="BO364" s="46"/>
      <c r="BP364" s="46"/>
      <c r="BQ364" s="46"/>
      <c r="BR364" s="46"/>
      <c r="BS364" s="46"/>
      <c r="BT364" s="46"/>
      <c r="BU364" s="46"/>
      <c r="BV364" s="46" t="s">
        <v>376</v>
      </c>
      <c r="BW364" s="46" t="s">
        <v>376</v>
      </c>
      <c r="BX364" s="46"/>
      <c r="BZ364" s="53"/>
      <c r="CA364" s="53"/>
      <c r="CB364" s="93" t="str">
        <f>IF(OR(C364="",A364="",B364=""),"",TEXT(C364,"0000")&amp;TEXT(A364,"00")&amp;TEXT(B364,"00"))</f>
        <v>19260424</v>
      </c>
    </row>
    <row r="365" spans="1:80" s="52" customFormat="1" ht="12.95" customHeight="1" x14ac:dyDescent="0.2">
      <c r="A365" s="46">
        <v>4</v>
      </c>
      <c r="B365" s="46">
        <v>24</v>
      </c>
      <c r="C365" s="46">
        <v>1926</v>
      </c>
      <c r="D365" s="46" t="s">
        <v>658</v>
      </c>
      <c r="E365" s="46" t="s">
        <v>1271</v>
      </c>
      <c r="F365" s="47" t="s">
        <v>1010</v>
      </c>
      <c r="G365" s="46"/>
      <c r="H365" s="47" t="s">
        <v>1025</v>
      </c>
      <c r="I365" s="47"/>
      <c r="J365" s="48">
        <v>9611</v>
      </c>
      <c r="K365" s="46" t="s">
        <v>823</v>
      </c>
      <c r="L365" s="46" t="s">
        <v>4</v>
      </c>
      <c r="M365" s="46" t="s">
        <v>1157</v>
      </c>
      <c r="N365" s="49">
        <v>0</v>
      </c>
      <c r="O365" s="49">
        <v>1</v>
      </c>
      <c r="P365" s="47" t="s">
        <v>1268</v>
      </c>
      <c r="Q365" s="47" t="s">
        <v>1017</v>
      </c>
      <c r="R365" s="47" t="s">
        <v>376</v>
      </c>
      <c r="S365" s="46"/>
      <c r="T365" s="46"/>
      <c r="U365" s="46"/>
      <c r="V365" s="46"/>
      <c r="W365" s="46"/>
      <c r="X365" s="46"/>
      <c r="Y365" s="46"/>
      <c r="Z365" s="46"/>
      <c r="AA365" s="46"/>
      <c r="AB365" s="46"/>
      <c r="AC365" s="46"/>
      <c r="AD365" s="46"/>
      <c r="AE365" s="50">
        <f>IF(L365="W",1,0)</f>
        <v>0</v>
      </c>
      <c r="AF365" s="50">
        <f>IF(L365="T",1,0)</f>
        <v>0</v>
      </c>
      <c r="AG365" s="50">
        <f>IF(L365="L",1,0)</f>
        <v>1</v>
      </c>
      <c r="AH365" s="46" t="s">
        <v>1101</v>
      </c>
      <c r="AI365" s="46" t="s">
        <v>1159</v>
      </c>
      <c r="AJ365" s="46" t="s">
        <v>376</v>
      </c>
      <c r="AK365" s="46" t="s">
        <v>658</v>
      </c>
      <c r="AL365" s="46" t="s">
        <v>1101</v>
      </c>
      <c r="AM365" s="46" t="s">
        <v>1159</v>
      </c>
      <c r="AN365" s="46" t="s">
        <v>376</v>
      </c>
      <c r="AO365" s="46" t="s">
        <v>658</v>
      </c>
      <c r="AP365" s="46"/>
      <c r="AQ365" s="46">
        <v>1</v>
      </c>
      <c r="AR365" s="46"/>
      <c r="AS365" s="46"/>
      <c r="AT365" s="46"/>
      <c r="AU365" s="46" t="s">
        <v>376</v>
      </c>
      <c r="AV365" s="46"/>
      <c r="AW365" s="46" t="s">
        <v>30</v>
      </c>
      <c r="AX365" s="46"/>
      <c r="AY365" s="46" t="s">
        <v>30</v>
      </c>
      <c r="AZ365" s="46"/>
      <c r="BA365" s="47"/>
      <c r="BB365" s="51"/>
      <c r="BC365" s="46" t="s">
        <v>30</v>
      </c>
      <c r="BD365" s="46"/>
      <c r="BE365" s="46"/>
      <c r="BF365" s="46">
        <v>1</v>
      </c>
      <c r="BG365" s="46">
        <v>1</v>
      </c>
      <c r="BH365" s="46">
        <v>1</v>
      </c>
      <c r="BI365" s="46" t="s">
        <v>823</v>
      </c>
      <c r="BJ365" s="46" t="s">
        <v>1157</v>
      </c>
      <c r="BK365" s="46">
        <v>1926</v>
      </c>
      <c r="BL365" s="46" t="str">
        <f>BK365&amp;BI365</f>
        <v>1926Manchester City</v>
      </c>
      <c r="BM365" s="52" t="str">
        <f>IF(AD365="Home",BI365,IF(AD365="Away",BJ365,Q365))</f>
        <v>London</v>
      </c>
      <c r="BN365" s="46"/>
      <c r="BO365" s="46"/>
      <c r="BP365" s="46"/>
      <c r="BQ365" s="46"/>
      <c r="BR365" s="46"/>
      <c r="BS365" s="46"/>
      <c r="BT365" s="46"/>
      <c r="BU365" s="46"/>
      <c r="BV365" s="46" t="s">
        <v>376</v>
      </c>
      <c r="BW365" s="46" t="s">
        <v>376</v>
      </c>
      <c r="BX365" s="46"/>
      <c r="BZ365" s="53"/>
      <c r="CA365" s="53"/>
      <c r="CB365" s="93" t="str">
        <f>IF(OR(C365="",A365="",B365=""),"",TEXT(C365,"0000")&amp;TEXT(A365,"00")&amp;TEXT(B365,"00"))</f>
        <v>19260424</v>
      </c>
    </row>
    <row r="366" spans="1:80" s="52" customFormat="1" ht="12.95" customHeight="1" x14ac:dyDescent="0.2">
      <c r="A366" s="46">
        <v>3</v>
      </c>
      <c r="B366" s="46">
        <v>26</v>
      </c>
      <c r="C366" s="46">
        <v>1927</v>
      </c>
      <c r="D366" s="46" t="s">
        <v>658</v>
      </c>
      <c r="E366" s="46" t="s">
        <v>1275</v>
      </c>
      <c r="F366" s="47" t="s">
        <v>1010</v>
      </c>
      <c r="G366" s="46"/>
      <c r="H366" s="47" t="s">
        <v>1011</v>
      </c>
      <c r="I366" s="47"/>
      <c r="J366" s="48">
        <v>9947</v>
      </c>
      <c r="K366" s="46" t="s">
        <v>1262</v>
      </c>
      <c r="L366" s="46" t="s">
        <v>3</v>
      </c>
      <c r="M366" s="46" t="s">
        <v>1217</v>
      </c>
      <c r="N366" s="49">
        <v>3</v>
      </c>
      <c r="O366" s="49">
        <v>0</v>
      </c>
      <c r="P366" s="47" t="s">
        <v>1152</v>
      </c>
      <c r="Q366" s="47" t="s">
        <v>1111</v>
      </c>
      <c r="R366" s="47" t="s">
        <v>376</v>
      </c>
      <c r="S366" s="46"/>
      <c r="T366" s="46"/>
      <c r="U366" s="46"/>
      <c r="V366" s="46"/>
      <c r="W366" s="46"/>
      <c r="X366" s="46"/>
      <c r="Y366" s="46"/>
      <c r="Z366" s="46"/>
      <c r="AA366" s="46"/>
      <c r="AB366" s="46"/>
      <c r="AC366" s="46"/>
      <c r="AD366" s="46"/>
      <c r="AE366" s="50">
        <f>IF(L366="W",1,0)</f>
        <v>1</v>
      </c>
      <c r="AF366" s="50">
        <f>IF(L366="T",1,0)</f>
        <v>0</v>
      </c>
      <c r="AG366" s="50">
        <f>IF(L366="L",1,0)</f>
        <v>0</v>
      </c>
      <c r="AH366" s="46" t="s">
        <v>1263</v>
      </c>
      <c r="AI366" s="46" t="s">
        <v>1264</v>
      </c>
      <c r="AJ366" s="46" t="s">
        <v>376</v>
      </c>
      <c r="AK366" s="46" t="s">
        <v>658</v>
      </c>
      <c r="AL366" s="46" t="s">
        <v>1217</v>
      </c>
      <c r="AM366" s="46" t="s">
        <v>1036</v>
      </c>
      <c r="AN366" s="46" t="s">
        <v>376</v>
      </c>
      <c r="AO366" s="46" t="s">
        <v>658</v>
      </c>
      <c r="AP366" s="46"/>
      <c r="AQ366" s="46">
        <v>2</v>
      </c>
      <c r="AR366" s="46"/>
      <c r="AS366" s="46"/>
      <c r="AT366" s="46"/>
      <c r="AU366" s="46" t="s">
        <v>376</v>
      </c>
      <c r="AV366" s="46"/>
      <c r="AW366" s="46" t="s">
        <v>30</v>
      </c>
      <c r="AX366" s="46"/>
      <c r="AY366" s="46" t="s">
        <v>30</v>
      </c>
      <c r="AZ366" s="46"/>
      <c r="BA366" s="47"/>
      <c r="BB366" s="51"/>
      <c r="BC366" s="46"/>
      <c r="BD366" s="46"/>
      <c r="BE366" s="46"/>
      <c r="BF366" s="46">
        <v>1</v>
      </c>
      <c r="BG366" s="46">
        <v>1</v>
      </c>
      <c r="BH366" s="46">
        <v>2</v>
      </c>
      <c r="BI366" s="46" t="s">
        <v>1262</v>
      </c>
      <c r="BJ366" s="46" t="s">
        <v>1217</v>
      </c>
      <c r="BK366" s="46">
        <v>1927</v>
      </c>
      <c r="BL366" s="46" t="str">
        <f>BK366&amp;BI366</f>
        <v>1927Cardiff City</v>
      </c>
      <c r="BM366" s="52" t="str">
        <f>IF(AD366="Home",BI366,IF(AD366="Away",BJ366,Q366))</f>
        <v>Birmingham</v>
      </c>
      <c r="BN366" s="46"/>
      <c r="BO366" s="46"/>
      <c r="BP366" s="46"/>
      <c r="BQ366" s="46"/>
      <c r="BR366" s="46"/>
      <c r="BS366" s="46"/>
      <c r="BT366" s="46"/>
      <c r="BU366" s="46"/>
      <c r="BV366" s="46" t="s">
        <v>376</v>
      </c>
      <c r="BW366" s="46" t="s">
        <v>376</v>
      </c>
      <c r="BX366" s="46"/>
      <c r="BZ366" s="53"/>
      <c r="CA366" s="53"/>
      <c r="CB366" s="93" t="str">
        <f>IF(OR(C366="",A366="",B366=""),"",TEXT(C366,"0000")&amp;TEXT(A366,"00")&amp;TEXT(B366,"00"))</f>
        <v>19270326</v>
      </c>
    </row>
    <row r="367" spans="1:80" s="52" customFormat="1" ht="12.95" customHeight="1" x14ac:dyDescent="0.2">
      <c r="A367" s="46">
        <v>3</v>
      </c>
      <c r="B367" s="46">
        <v>26</v>
      </c>
      <c r="C367" s="46">
        <v>1927</v>
      </c>
      <c r="D367" s="46" t="s">
        <v>658</v>
      </c>
      <c r="E367" s="46" t="s">
        <v>1275</v>
      </c>
      <c r="F367" s="47" t="s">
        <v>1010</v>
      </c>
      <c r="G367" s="46"/>
      <c r="H367" s="47" t="s">
        <v>1011</v>
      </c>
      <c r="I367" s="47"/>
      <c r="J367" s="48">
        <v>9947</v>
      </c>
      <c r="K367" s="46" t="s">
        <v>1217</v>
      </c>
      <c r="L367" s="46" t="s">
        <v>4</v>
      </c>
      <c r="M367" s="46" t="s">
        <v>1262</v>
      </c>
      <c r="N367" s="49">
        <v>0</v>
      </c>
      <c r="O367" s="49">
        <v>3</v>
      </c>
      <c r="P367" s="47" t="s">
        <v>1152</v>
      </c>
      <c r="Q367" s="47" t="s">
        <v>1111</v>
      </c>
      <c r="R367" s="47" t="s">
        <v>376</v>
      </c>
      <c r="S367" s="46"/>
      <c r="T367" s="46"/>
      <c r="U367" s="46"/>
      <c r="V367" s="46"/>
      <c r="W367" s="46"/>
      <c r="X367" s="46"/>
      <c r="Y367" s="46"/>
      <c r="Z367" s="46"/>
      <c r="AA367" s="46"/>
      <c r="AB367" s="46"/>
      <c r="AC367" s="46"/>
      <c r="AD367" s="46"/>
      <c r="AE367" s="50">
        <f>IF(L367="W",1,0)</f>
        <v>0</v>
      </c>
      <c r="AF367" s="50">
        <f>IF(L367="T",1,0)</f>
        <v>0</v>
      </c>
      <c r="AG367" s="50">
        <f>IF(L367="L",1,0)</f>
        <v>1</v>
      </c>
      <c r="AH367" s="46" t="s">
        <v>1217</v>
      </c>
      <c r="AI367" s="46" t="s">
        <v>1036</v>
      </c>
      <c r="AJ367" s="46" t="s">
        <v>376</v>
      </c>
      <c r="AK367" s="46" t="s">
        <v>658</v>
      </c>
      <c r="AL367" s="46" t="s">
        <v>1263</v>
      </c>
      <c r="AM367" s="46" t="s">
        <v>1264</v>
      </c>
      <c r="AN367" s="46" t="s">
        <v>376</v>
      </c>
      <c r="AO367" s="46" t="s">
        <v>658</v>
      </c>
      <c r="AP367" s="46"/>
      <c r="AQ367" s="46">
        <v>2</v>
      </c>
      <c r="AR367" s="46"/>
      <c r="AS367" s="46"/>
      <c r="AT367" s="46"/>
      <c r="AU367" s="46" t="s">
        <v>376</v>
      </c>
      <c r="AV367" s="46"/>
      <c r="AW367" s="46" t="s">
        <v>30</v>
      </c>
      <c r="AX367" s="46"/>
      <c r="AY367" s="46" t="s">
        <v>30</v>
      </c>
      <c r="AZ367" s="46"/>
      <c r="BA367" s="47"/>
      <c r="BB367" s="51"/>
      <c r="BC367" s="46"/>
      <c r="BD367" s="46"/>
      <c r="BE367" s="46"/>
      <c r="BF367" s="46">
        <v>1</v>
      </c>
      <c r="BG367" s="46">
        <v>2</v>
      </c>
      <c r="BH367" s="46">
        <v>1</v>
      </c>
      <c r="BI367" s="46" t="s">
        <v>1217</v>
      </c>
      <c r="BJ367" s="46" t="s">
        <v>1262</v>
      </c>
      <c r="BK367" s="46">
        <v>1927</v>
      </c>
      <c r="BL367" s="46" t="str">
        <f>BK367&amp;BI367</f>
        <v>1927Reading</v>
      </c>
      <c r="BM367" s="52" t="str">
        <f>IF(AD367="Home",BI367,IF(AD367="Away",BJ367,Q367))</f>
        <v>Birmingham</v>
      </c>
      <c r="BN367" s="46"/>
      <c r="BO367" s="46"/>
      <c r="BP367" s="46"/>
      <c r="BQ367" s="46"/>
      <c r="BR367" s="46"/>
      <c r="BS367" s="46"/>
      <c r="BT367" s="46"/>
      <c r="BU367" s="46"/>
      <c r="BV367" s="46" t="s">
        <v>376</v>
      </c>
      <c r="BW367" s="46" t="s">
        <v>376</v>
      </c>
      <c r="BX367" s="46"/>
      <c r="BZ367" s="53"/>
      <c r="CA367" s="53"/>
      <c r="CB367" s="93" t="str">
        <f>IF(OR(C367="",A367="",B367=""),"",TEXT(C367,"0000")&amp;TEXT(A367,"00")&amp;TEXT(B367,"00"))</f>
        <v>19270326</v>
      </c>
    </row>
    <row r="368" spans="1:80" s="52" customFormat="1" ht="12.95" customHeight="1" x14ac:dyDescent="0.2">
      <c r="A368" s="46">
        <v>3</v>
      </c>
      <c r="B368" s="46">
        <v>26</v>
      </c>
      <c r="C368" s="46">
        <v>1927</v>
      </c>
      <c r="D368" s="46" t="s">
        <v>658</v>
      </c>
      <c r="E368" s="46" t="s">
        <v>1275</v>
      </c>
      <c r="F368" s="47" t="s">
        <v>1010</v>
      </c>
      <c r="G368" s="46"/>
      <c r="H368" s="47" t="s">
        <v>1011</v>
      </c>
      <c r="I368" s="47"/>
      <c r="J368" s="48">
        <v>9947</v>
      </c>
      <c r="K368" s="46" t="s">
        <v>587</v>
      </c>
      <c r="L368" s="46" t="s">
        <v>3</v>
      </c>
      <c r="M368" s="46" t="s">
        <v>629</v>
      </c>
      <c r="N368" s="49">
        <v>2</v>
      </c>
      <c r="O368" s="49">
        <v>1</v>
      </c>
      <c r="P368" s="47" t="s">
        <v>1234</v>
      </c>
      <c r="Q368" s="47" t="s">
        <v>1017</v>
      </c>
      <c r="R368" s="47" t="s">
        <v>376</v>
      </c>
      <c r="S368" s="46"/>
      <c r="T368" s="46"/>
      <c r="U368" s="46"/>
      <c r="V368" s="46"/>
      <c r="W368" s="46"/>
      <c r="X368" s="46"/>
      <c r="Y368" s="46"/>
      <c r="Z368" s="46"/>
      <c r="AA368" s="46"/>
      <c r="AB368" s="46"/>
      <c r="AC368" s="46"/>
      <c r="AD368" s="46"/>
      <c r="AE368" s="50">
        <f>IF(L368="W",1,0)</f>
        <v>1</v>
      </c>
      <c r="AF368" s="50">
        <f>IF(L368="T",1,0)</f>
        <v>0</v>
      </c>
      <c r="AG368" s="50">
        <f>IF(L368="L",1,0)</f>
        <v>0</v>
      </c>
      <c r="AH368" s="46" t="s">
        <v>1017</v>
      </c>
      <c r="AI368" s="46" t="s">
        <v>1018</v>
      </c>
      <c r="AJ368" s="46" t="s">
        <v>376</v>
      </c>
      <c r="AK368" s="46" t="s">
        <v>658</v>
      </c>
      <c r="AL368" s="46" t="s">
        <v>629</v>
      </c>
      <c r="AM368" s="46" t="s">
        <v>1199</v>
      </c>
      <c r="AN368" s="46" t="s">
        <v>376</v>
      </c>
      <c r="AO368" s="46" t="s">
        <v>658</v>
      </c>
      <c r="AP368" s="46"/>
      <c r="AQ368" s="46">
        <v>2</v>
      </c>
      <c r="AR368" s="46"/>
      <c r="AS368" s="46"/>
      <c r="AT368" s="46"/>
      <c r="AU368" s="46" t="s">
        <v>376</v>
      </c>
      <c r="AV368" s="46"/>
      <c r="AW368" s="46" t="s">
        <v>30</v>
      </c>
      <c r="AX368" s="46"/>
      <c r="AY368" s="46" t="s">
        <v>30</v>
      </c>
      <c r="AZ368" s="46"/>
      <c r="BA368" s="47"/>
      <c r="BB368" s="51"/>
      <c r="BC368" s="46"/>
      <c r="BD368" s="46"/>
      <c r="BE368" s="46"/>
      <c r="BF368" s="46">
        <v>1</v>
      </c>
      <c r="BG368" s="46">
        <v>1</v>
      </c>
      <c r="BH368" s="46">
        <v>2</v>
      </c>
      <c r="BI368" s="46" t="s">
        <v>587</v>
      </c>
      <c r="BJ368" s="46" t="s">
        <v>629</v>
      </c>
      <c r="BK368" s="46">
        <v>1927</v>
      </c>
      <c r="BL368" s="46" t="str">
        <f>BK368&amp;BI368</f>
        <v>1927Arsenal</v>
      </c>
      <c r="BM368" s="52" t="str">
        <f>IF(AD368="Home",BI368,IF(AD368="Away",BJ368,Q368))</f>
        <v>London</v>
      </c>
      <c r="BN368" s="46"/>
      <c r="BO368" s="46"/>
      <c r="BP368" s="46"/>
      <c r="BQ368" s="46"/>
      <c r="BR368" s="46"/>
      <c r="BS368" s="46"/>
      <c r="BT368" s="46"/>
      <c r="BU368" s="46"/>
      <c r="BV368" s="46" t="s">
        <v>376</v>
      </c>
      <c r="BW368" s="46" t="s">
        <v>376</v>
      </c>
      <c r="BX368" s="46"/>
      <c r="BZ368" s="53"/>
      <c r="CA368" s="53"/>
      <c r="CB368" s="93" t="str">
        <f>IF(OR(C368="",A368="",B368=""),"",TEXT(C368,"0000")&amp;TEXT(A368,"00")&amp;TEXT(B368,"00"))</f>
        <v>19270326</v>
      </c>
    </row>
    <row r="369" spans="1:80" s="52" customFormat="1" ht="12.95" customHeight="1" x14ac:dyDescent="0.2">
      <c r="A369" s="46">
        <v>3</v>
      </c>
      <c r="B369" s="46">
        <v>26</v>
      </c>
      <c r="C369" s="46">
        <v>1927</v>
      </c>
      <c r="D369" s="46" t="s">
        <v>658</v>
      </c>
      <c r="E369" s="46" t="s">
        <v>1275</v>
      </c>
      <c r="F369" s="47" t="s">
        <v>1010</v>
      </c>
      <c r="G369" s="46"/>
      <c r="H369" s="47" t="s">
        <v>1011</v>
      </c>
      <c r="I369" s="47"/>
      <c r="J369" s="48">
        <v>9947</v>
      </c>
      <c r="K369" s="46" t="s">
        <v>629</v>
      </c>
      <c r="L369" s="46" t="s">
        <v>4</v>
      </c>
      <c r="M369" s="46" t="s">
        <v>587</v>
      </c>
      <c r="N369" s="49">
        <v>1</v>
      </c>
      <c r="O369" s="49">
        <v>2</v>
      </c>
      <c r="P369" s="47" t="s">
        <v>1234</v>
      </c>
      <c r="Q369" s="47" t="s">
        <v>1017</v>
      </c>
      <c r="R369" s="47" t="s">
        <v>376</v>
      </c>
      <c r="S369" s="46"/>
      <c r="T369" s="46"/>
      <c r="U369" s="46"/>
      <c r="V369" s="46"/>
      <c r="W369" s="46"/>
      <c r="X369" s="46"/>
      <c r="Y369" s="46"/>
      <c r="Z369" s="46"/>
      <c r="AA369" s="46"/>
      <c r="AB369" s="46"/>
      <c r="AC369" s="46"/>
      <c r="AD369" s="46"/>
      <c r="AE369" s="50">
        <f>IF(L369="W",1,0)</f>
        <v>0</v>
      </c>
      <c r="AF369" s="50">
        <f>IF(L369="T",1,0)</f>
        <v>0</v>
      </c>
      <c r="AG369" s="50">
        <f>IF(L369="L",1,0)</f>
        <v>1</v>
      </c>
      <c r="AH369" s="46" t="s">
        <v>629</v>
      </c>
      <c r="AI369" s="46" t="s">
        <v>1199</v>
      </c>
      <c r="AJ369" s="46" t="s">
        <v>376</v>
      </c>
      <c r="AK369" s="46" t="s">
        <v>658</v>
      </c>
      <c r="AL369" s="46" t="s">
        <v>1017</v>
      </c>
      <c r="AM369" s="46" t="s">
        <v>1018</v>
      </c>
      <c r="AN369" s="46" t="s">
        <v>376</v>
      </c>
      <c r="AO369" s="46" t="s">
        <v>658</v>
      </c>
      <c r="AP369" s="46"/>
      <c r="AQ369" s="46">
        <v>2</v>
      </c>
      <c r="AR369" s="46"/>
      <c r="AS369" s="46"/>
      <c r="AT369" s="46"/>
      <c r="AU369" s="46" t="s">
        <v>376</v>
      </c>
      <c r="AV369" s="46"/>
      <c r="AW369" s="46" t="s">
        <v>30</v>
      </c>
      <c r="AX369" s="46"/>
      <c r="AY369" s="46" t="s">
        <v>30</v>
      </c>
      <c r="AZ369" s="46"/>
      <c r="BA369" s="47"/>
      <c r="BB369" s="51"/>
      <c r="BC369" s="46"/>
      <c r="BD369" s="46"/>
      <c r="BE369" s="46"/>
      <c r="BF369" s="46">
        <v>1</v>
      </c>
      <c r="BG369" s="46">
        <v>2</v>
      </c>
      <c r="BH369" s="46">
        <v>1</v>
      </c>
      <c r="BI369" s="46" t="s">
        <v>629</v>
      </c>
      <c r="BJ369" s="46" t="s">
        <v>587</v>
      </c>
      <c r="BK369" s="46">
        <v>1927</v>
      </c>
      <c r="BL369" s="46" t="str">
        <f>BK369&amp;BI369</f>
        <v>1927Southampton</v>
      </c>
      <c r="BM369" s="52" t="str">
        <f>IF(AD369="Home",BI369,IF(AD369="Away",BJ369,Q369))</f>
        <v>London</v>
      </c>
      <c r="BN369" s="46"/>
      <c r="BO369" s="46"/>
      <c r="BP369" s="46"/>
      <c r="BQ369" s="46"/>
      <c r="BR369" s="46"/>
      <c r="BS369" s="46"/>
      <c r="BT369" s="46"/>
      <c r="BU369" s="46"/>
      <c r="BV369" s="46" t="s">
        <v>376</v>
      </c>
      <c r="BW369" s="46" t="s">
        <v>376</v>
      </c>
      <c r="BX369" s="46"/>
      <c r="BZ369" s="53"/>
      <c r="CA369" s="53"/>
      <c r="CB369" s="93" t="str">
        <f>IF(OR(C369="",A369="",B369=""),"",TEXT(C369,"0000")&amp;TEXT(A369,"00")&amp;TEXT(B369,"00"))</f>
        <v>19270326</v>
      </c>
    </row>
    <row r="370" spans="1:80" s="52" customFormat="1" ht="12.95" customHeight="1" x14ac:dyDescent="0.2">
      <c r="A370" s="46">
        <v>4</v>
      </c>
      <c r="B370" s="46">
        <v>23</v>
      </c>
      <c r="C370" s="46">
        <v>1927</v>
      </c>
      <c r="D370" s="46" t="s">
        <v>658</v>
      </c>
      <c r="E370" s="46" t="s">
        <v>1275</v>
      </c>
      <c r="F370" s="47" t="s">
        <v>1010</v>
      </c>
      <c r="G370" s="46"/>
      <c r="H370" s="47" t="s">
        <v>1025</v>
      </c>
      <c r="I370" s="47"/>
      <c r="J370" s="48">
        <v>9975</v>
      </c>
      <c r="K370" s="46" t="s">
        <v>1262</v>
      </c>
      <c r="L370" s="46" t="s">
        <v>3</v>
      </c>
      <c r="M370" s="46" t="s">
        <v>587</v>
      </c>
      <c r="N370" s="49">
        <v>1</v>
      </c>
      <c r="O370" s="49">
        <v>0</v>
      </c>
      <c r="P370" s="47" t="s">
        <v>1268</v>
      </c>
      <c r="Q370" s="47" t="s">
        <v>1017</v>
      </c>
      <c r="R370" s="47" t="s">
        <v>376</v>
      </c>
      <c r="S370" s="46"/>
      <c r="T370" s="46"/>
      <c r="U370" s="46"/>
      <c r="V370" s="46"/>
      <c r="W370" s="46"/>
      <c r="X370" s="46"/>
      <c r="Y370" s="46"/>
      <c r="Z370" s="46"/>
      <c r="AA370" s="46"/>
      <c r="AB370" s="46"/>
      <c r="AC370" s="46"/>
      <c r="AD370" s="46"/>
      <c r="AE370" s="50">
        <f>IF(L370="W",1,0)</f>
        <v>1</v>
      </c>
      <c r="AF370" s="50">
        <f>IF(L370="T",1,0)</f>
        <v>0</v>
      </c>
      <c r="AG370" s="50">
        <f>IF(L370="L",1,0)</f>
        <v>0</v>
      </c>
      <c r="AH370" s="46" t="s">
        <v>1263</v>
      </c>
      <c r="AI370" s="46" t="s">
        <v>1264</v>
      </c>
      <c r="AJ370" s="46" t="s">
        <v>376</v>
      </c>
      <c r="AK370" s="46" t="s">
        <v>658</v>
      </c>
      <c r="AL370" s="46" t="s">
        <v>1017</v>
      </c>
      <c r="AM370" s="46" t="s">
        <v>1018</v>
      </c>
      <c r="AN370" s="46" t="s">
        <v>376</v>
      </c>
      <c r="AO370" s="46" t="s">
        <v>658</v>
      </c>
      <c r="AP370" s="46"/>
      <c r="AQ370" s="46">
        <v>1</v>
      </c>
      <c r="AR370" s="46"/>
      <c r="AS370" s="46"/>
      <c r="AT370" s="46"/>
      <c r="AU370" s="46" t="s">
        <v>376</v>
      </c>
      <c r="AV370" s="46"/>
      <c r="AW370" s="46" t="s">
        <v>30</v>
      </c>
      <c r="AX370" s="46"/>
      <c r="AY370" s="46" t="s">
        <v>30</v>
      </c>
      <c r="AZ370" s="46"/>
      <c r="BA370" s="47"/>
      <c r="BB370" s="51" t="s">
        <v>30</v>
      </c>
      <c r="BC370" s="46" t="s">
        <v>30</v>
      </c>
      <c r="BD370" s="46"/>
      <c r="BE370" s="46"/>
      <c r="BF370" s="46">
        <v>1</v>
      </c>
      <c r="BG370" s="46">
        <v>1</v>
      </c>
      <c r="BH370" s="46">
        <v>1</v>
      </c>
      <c r="BI370" s="46" t="s">
        <v>1262</v>
      </c>
      <c r="BJ370" s="46" t="s">
        <v>587</v>
      </c>
      <c r="BK370" s="46">
        <v>1927</v>
      </c>
      <c r="BL370" s="46" t="str">
        <f>BK370&amp;BI370</f>
        <v>1927Cardiff City</v>
      </c>
      <c r="BM370" s="52" t="str">
        <f>IF(AD370="Home",BI370,IF(AD370="Away",BJ370,Q370))</f>
        <v>London</v>
      </c>
      <c r="BN370" s="46"/>
      <c r="BO370" s="46"/>
      <c r="BP370" s="46"/>
      <c r="BQ370" s="46"/>
      <c r="BR370" s="46"/>
      <c r="BS370" s="46"/>
      <c r="BT370" s="46"/>
      <c r="BU370" s="46"/>
      <c r="BV370" s="46" t="s">
        <v>376</v>
      </c>
      <c r="BW370" s="46" t="s">
        <v>376</v>
      </c>
      <c r="BX370" s="46"/>
      <c r="BZ370" s="53"/>
      <c r="CA370" s="53"/>
      <c r="CB370" s="93" t="str">
        <f>IF(OR(C370="",A370="",B370=""),"",TEXT(C370,"0000")&amp;TEXT(A370,"00")&amp;TEXT(B370,"00"))</f>
        <v>19270423</v>
      </c>
    </row>
    <row r="371" spans="1:80" s="52" customFormat="1" ht="12.95" customHeight="1" x14ac:dyDescent="0.2">
      <c r="A371" s="46">
        <v>4</v>
      </c>
      <c r="B371" s="46">
        <v>23</v>
      </c>
      <c r="C371" s="46">
        <v>1927</v>
      </c>
      <c r="D371" s="46" t="s">
        <v>658</v>
      </c>
      <c r="E371" s="46" t="s">
        <v>1275</v>
      </c>
      <c r="F371" s="47" t="s">
        <v>1010</v>
      </c>
      <c r="G371" s="46"/>
      <c r="H371" s="47" t="s">
        <v>1025</v>
      </c>
      <c r="I371" s="47"/>
      <c r="J371" s="48">
        <v>9975</v>
      </c>
      <c r="K371" s="46" t="s">
        <v>587</v>
      </c>
      <c r="L371" s="46" t="s">
        <v>4</v>
      </c>
      <c r="M371" s="46" t="s">
        <v>1262</v>
      </c>
      <c r="N371" s="49">
        <v>0</v>
      </c>
      <c r="O371" s="49">
        <v>1</v>
      </c>
      <c r="P371" s="47" t="s">
        <v>1268</v>
      </c>
      <c r="Q371" s="47" t="s">
        <v>1017</v>
      </c>
      <c r="R371" s="47" t="s">
        <v>376</v>
      </c>
      <c r="S371" s="46"/>
      <c r="T371" s="46"/>
      <c r="U371" s="46"/>
      <c r="V371" s="46"/>
      <c r="W371" s="46"/>
      <c r="X371" s="46"/>
      <c r="Y371" s="46"/>
      <c r="Z371" s="46"/>
      <c r="AA371" s="46"/>
      <c r="AB371" s="46"/>
      <c r="AC371" s="46"/>
      <c r="AD371" s="46"/>
      <c r="AE371" s="50">
        <f>IF(L371="W",1,0)</f>
        <v>0</v>
      </c>
      <c r="AF371" s="50">
        <f>IF(L371="T",1,0)</f>
        <v>0</v>
      </c>
      <c r="AG371" s="50">
        <f>IF(L371="L",1,0)</f>
        <v>1</v>
      </c>
      <c r="AH371" s="46" t="s">
        <v>1017</v>
      </c>
      <c r="AI371" s="46" t="s">
        <v>1018</v>
      </c>
      <c r="AJ371" s="46" t="s">
        <v>376</v>
      </c>
      <c r="AK371" s="46" t="s">
        <v>658</v>
      </c>
      <c r="AL371" s="46" t="s">
        <v>1263</v>
      </c>
      <c r="AM371" s="46" t="s">
        <v>1264</v>
      </c>
      <c r="AN371" s="46" t="s">
        <v>376</v>
      </c>
      <c r="AO371" s="46" t="s">
        <v>658</v>
      </c>
      <c r="AP371" s="46"/>
      <c r="AQ371" s="46">
        <v>1</v>
      </c>
      <c r="AR371" s="46"/>
      <c r="AS371" s="46"/>
      <c r="AT371" s="46"/>
      <c r="AU371" s="46" t="s">
        <v>376</v>
      </c>
      <c r="AV371" s="46"/>
      <c r="AW371" s="46" t="s">
        <v>30</v>
      </c>
      <c r="AX371" s="46"/>
      <c r="AY371" s="46" t="s">
        <v>30</v>
      </c>
      <c r="AZ371" s="46"/>
      <c r="BA371" s="47"/>
      <c r="BB371" s="51"/>
      <c r="BC371" s="46" t="s">
        <v>30</v>
      </c>
      <c r="BD371" s="46"/>
      <c r="BE371" s="46"/>
      <c r="BF371" s="46">
        <v>1</v>
      </c>
      <c r="BG371" s="46">
        <v>1</v>
      </c>
      <c r="BH371" s="46">
        <v>1</v>
      </c>
      <c r="BI371" s="46" t="s">
        <v>587</v>
      </c>
      <c r="BJ371" s="46" t="s">
        <v>1262</v>
      </c>
      <c r="BK371" s="46">
        <v>1927</v>
      </c>
      <c r="BL371" s="46" t="str">
        <f>BK371&amp;BI371</f>
        <v>1927Arsenal</v>
      </c>
      <c r="BM371" s="52" t="str">
        <f>IF(AD371="Home",BI371,IF(AD371="Away",BJ371,Q371))</f>
        <v>London</v>
      </c>
      <c r="BN371" s="46"/>
      <c r="BO371" s="46"/>
      <c r="BP371" s="46"/>
      <c r="BQ371" s="46"/>
      <c r="BR371" s="46"/>
      <c r="BS371" s="46"/>
      <c r="BT371" s="46"/>
      <c r="BU371" s="46"/>
      <c r="BV371" s="46" t="s">
        <v>376</v>
      </c>
      <c r="BW371" s="46" t="s">
        <v>376</v>
      </c>
      <c r="BX371" s="46"/>
      <c r="BZ371" s="53"/>
      <c r="CA371" s="53"/>
      <c r="CB371" s="93" t="str">
        <f>IF(OR(C371="",A371="",B371=""),"",TEXT(C371,"0000")&amp;TEXT(A371,"00")&amp;TEXT(B371,"00"))</f>
        <v>19270423</v>
      </c>
    </row>
    <row r="372" spans="1:80" s="52" customFormat="1" ht="12.95" customHeight="1" x14ac:dyDescent="0.2">
      <c r="A372" s="46">
        <v>3</v>
      </c>
      <c r="B372" s="46">
        <v>24</v>
      </c>
      <c r="C372" s="46">
        <v>1928</v>
      </c>
      <c r="D372" s="46" t="s">
        <v>658</v>
      </c>
      <c r="E372" s="46" t="s">
        <v>1276</v>
      </c>
      <c r="F372" s="47" t="s">
        <v>1010</v>
      </c>
      <c r="G372" s="46"/>
      <c r="H372" s="47" t="s">
        <v>1011</v>
      </c>
      <c r="I372" s="47"/>
      <c r="J372" s="48">
        <v>10311</v>
      </c>
      <c r="K372" s="46" t="s">
        <v>1094</v>
      </c>
      <c r="L372" s="46" t="s">
        <v>3</v>
      </c>
      <c r="M372" s="46" t="s">
        <v>587</v>
      </c>
      <c r="N372" s="49">
        <v>1</v>
      </c>
      <c r="O372" s="49">
        <v>0</v>
      </c>
      <c r="P372" s="47" t="s">
        <v>1277</v>
      </c>
      <c r="Q372" s="47" t="s">
        <v>1278</v>
      </c>
      <c r="R372" s="47" t="s">
        <v>376</v>
      </c>
      <c r="S372" s="46"/>
      <c r="T372" s="46"/>
      <c r="U372" s="46"/>
      <c r="V372" s="46"/>
      <c r="W372" s="46"/>
      <c r="X372" s="46"/>
      <c r="Y372" s="46"/>
      <c r="Z372" s="46"/>
      <c r="AA372" s="46"/>
      <c r="AB372" s="46"/>
      <c r="AC372" s="46"/>
      <c r="AD372" s="46"/>
      <c r="AE372" s="50">
        <f>IF(L372="W",1,0)</f>
        <v>1</v>
      </c>
      <c r="AF372" s="50">
        <f>IF(L372="T",1,0)</f>
        <v>0</v>
      </c>
      <c r="AG372" s="50">
        <f>IF(L372="L",1,0)</f>
        <v>0</v>
      </c>
      <c r="AH372" s="46" t="s">
        <v>1085</v>
      </c>
      <c r="AI372" s="46" t="s">
        <v>1086</v>
      </c>
      <c r="AJ372" s="46" t="s">
        <v>376</v>
      </c>
      <c r="AK372" s="46" t="s">
        <v>658</v>
      </c>
      <c r="AL372" s="46" t="s">
        <v>1017</v>
      </c>
      <c r="AM372" s="46" t="s">
        <v>1018</v>
      </c>
      <c r="AN372" s="46" t="s">
        <v>376</v>
      </c>
      <c r="AO372" s="46" t="s">
        <v>658</v>
      </c>
      <c r="AP372" s="46"/>
      <c r="AQ372" s="46">
        <v>2</v>
      </c>
      <c r="AR372" s="46"/>
      <c r="AS372" s="46"/>
      <c r="AT372" s="46"/>
      <c r="AU372" s="46" t="s">
        <v>376</v>
      </c>
      <c r="AV372" s="46"/>
      <c r="AW372" s="46" t="s">
        <v>30</v>
      </c>
      <c r="AX372" s="46"/>
      <c r="AY372" s="46" t="s">
        <v>30</v>
      </c>
      <c r="AZ372" s="46"/>
      <c r="BA372" s="47"/>
      <c r="BB372" s="51"/>
      <c r="BC372" s="46"/>
      <c r="BD372" s="46"/>
      <c r="BE372" s="46"/>
      <c r="BF372" s="46">
        <v>1</v>
      </c>
      <c r="BG372" s="46">
        <v>1</v>
      </c>
      <c r="BH372" s="46">
        <v>1</v>
      </c>
      <c r="BI372" s="46" t="s">
        <v>1094</v>
      </c>
      <c r="BJ372" s="46" t="s">
        <v>587</v>
      </c>
      <c r="BK372" s="46">
        <v>1928</v>
      </c>
      <c r="BL372" s="46" t="str">
        <f>BK372&amp;BI372</f>
        <v>1928Blackburn Rovers</v>
      </c>
      <c r="BM372" s="52" t="str">
        <f>IF(AD372="Home",BI372,IF(AD372="Away",BJ372,Q372))</f>
        <v>Leicester</v>
      </c>
      <c r="BN372" s="46"/>
      <c r="BO372" s="46"/>
      <c r="BP372" s="46"/>
      <c r="BQ372" s="46"/>
      <c r="BR372" s="46"/>
      <c r="BS372" s="46"/>
      <c r="BT372" s="46"/>
      <c r="BU372" s="46"/>
      <c r="BV372" s="46" t="s">
        <v>376</v>
      </c>
      <c r="BW372" s="46" t="s">
        <v>376</v>
      </c>
      <c r="BX372" s="46"/>
      <c r="BZ372" s="53"/>
      <c r="CA372" s="53"/>
      <c r="CB372" s="93" t="str">
        <f>IF(OR(C372="",A372="",B372=""),"",TEXT(C372,"0000")&amp;TEXT(A372,"00")&amp;TEXT(B372,"00"))</f>
        <v>19280324</v>
      </c>
    </row>
    <row r="373" spans="1:80" s="52" customFormat="1" ht="12.95" customHeight="1" x14ac:dyDescent="0.2">
      <c r="A373" s="46">
        <v>3</v>
      </c>
      <c r="B373" s="46">
        <v>24</v>
      </c>
      <c r="C373" s="46">
        <v>1928</v>
      </c>
      <c r="D373" s="46" t="s">
        <v>658</v>
      </c>
      <c r="E373" s="46" t="s">
        <v>1276</v>
      </c>
      <c r="F373" s="47" t="s">
        <v>1010</v>
      </c>
      <c r="G373" s="46"/>
      <c r="H373" s="47" t="s">
        <v>1011</v>
      </c>
      <c r="I373" s="47"/>
      <c r="J373" s="48">
        <v>10311</v>
      </c>
      <c r="K373" s="46" t="s">
        <v>587</v>
      </c>
      <c r="L373" s="46" t="s">
        <v>4</v>
      </c>
      <c r="M373" s="46" t="s">
        <v>1094</v>
      </c>
      <c r="N373" s="49">
        <v>0</v>
      </c>
      <c r="O373" s="49">
        <v>1</v>
      </c>
      <c r="P373" s="47" t="s">
        <v>1277</v>
      </c>
      <c r="Q373" s="47" t="s">
        <v>1278</v>
      </c>
      <c r="R373" s="47" t="s">
        <v>376</v>
      </c>
      <c r="S373" s="46"/>
      <c r="T373" s="46"/>
      <c r="U373" s="46"/>
      <c r="V373" s="46"/>
      <c r="W373" s="46"/>
      <c r="X373" s="46"/>
      <c r="Y373" s="46"/>
      <c r="Z373" s="46"/>
      <c r="AA373" s="46"/>
      <c r="AB373" s="46"/>
      <c r="AC373" s="46"/>
      <c r="AD373" s="46"/>
      <c r="AE373" s="50">
        <f>IF(L373="W",1,0)</f>
        <v>0</v>
      </c>
      <c r="AF373" s="50">
        <f>IF(L373="T",1,0)</f>
        <v>0</v>
      </c>
      <c r="AG373" s="50">
        <f>IF(L373="L",1,0)</f>
        <v>1</v>
      </c>
      <c r="AH373" s="46" t="s">
        <v>1017</v>
      </c>
      <c r="AI373" s="46" t="s">
        <v>1018</v>
      </c>
      <c r="AJ373" s="46" t="s">
        <v>376</v>
      </c>
      <c r="AK373" s="46" t="s">
        <v>658</v>
      </c>
      <c r="AL373" s="46" t="s">
        <v>1085</v>
      </c>
      <c r="AM373" s="46" t="s">
        <v>1086</v>
      </c>
      <c r="AN373" s="46" t="s">
        <v>376</v>
      </c>
      <c r="AO373" s="46" t="s">
        <v>658</v>
      </c>
      <c r="AP373" s="46"/>
      <c r="AQ373" s="46">
        <v>2</v>
      </c>
      <c r="AR373" s="46"/>
      <c r="AS373" s="46"/>
      <c r="AT373" s="46"/>
      <c r="AU373" s="46" t="s">
        <v>376</v>
      </c>
      <c r="AV373" s="46"/>
      <c r="AW373" s="46" t="s">
        <v>30</v>
      </c>
      <c r="AX373" s="46"/>
      <c r="AY373" s="46" t="s">
        <v>30</v>
      </c>
      <c r="AZ373" s="46"/>
      <c r="BA373" s="47"/>
      <c r="BB373" s="51"/>
      <c r="BC373" s="46"/>
      <c r="BD373" s="46"/>
      <c r="BE373" s="46"/>
      <c r="BF373" s="46">
        <v>1</v>
      </c>
      <c r="BG373" s="46">
        <v>1</v>
      </c>
      <c r="BH373" s="46">
        <v>1</v>
      </c>
      <c r="BI373" s="46" t="s">
        <v>587</v>
      </c>
      <c r="BJ373" s="46" t="s">
        <v>1094</v>
      </c>
      <c r="BK373" s="46">
        <v>1928</v>
      </c>
      <c r="BL373" s="46" t="str">
        <f>BK373&amp;BI373</f>
        <v>1928Arsenal</v>
      </c>
      <c r="BM373" s="52" t="str">
        <f>IF(AD373="Home",BI373,IF(AD373="Away",BJ373,Q373))</f>
        <v>Leicester</v>
      </c>
      <c r="BN373" s="46"/>
      <c r="BO373" s="46"/>
      <c r="BP373" s="46"/>
      <c r="BQ373" s="46"/>
      <c r="BR373" s="46"/>
      <c r="BS373" s="46"/>
      <c r="BT373" s="46"/>
      <c r="BU373" s="46"/>
      <c r="BV373" s="46" t="s">
        <v>376</v>
      </c>
      <c r="BW373" s="46" t="s">
        <v>376</v>
      </c>
      <c r="BX373" s="46"/>
      <c r="BZ373" s="53"/>
      <c r="CA373" s="53"/>
      <c r="CB373" s="93" t="str">
        <f>IF(OR(C373="",A373="",B373=""),"",TEXT(C373,"0000")&amp;TEXT(A373,"00")&amp;TEXT(B373,"00"))</f>
        <v>19280324</v>
      </c>
    </row>
    <row r="374" spans="1:80" s="52" customFormat="1" ht="12.95" customHeight="1" x14ac:dyDescent="0.2">
      <c r="A374" s="46">
        <v>3</v>
      </c>
      <c r="B374" s="46">
        <v>24</v>
      </c>
      <c r="C374" s="46">
        <v>1928</v>
      </c>
      <c r="D374" s="46" t="s">
        <v>658</v>
      </c>
      <c r="E374" s="46" t="s">
        <v>1276</v>
      </c>
      <c r="F374" s="47" t="s">
        <v>1010</v>
      </c>
      <c r="G374" s="46"/>
      <c r="H374" s="47" t="s">
        <v>1011</v>
      </c>
      <c r="I374" s="47"/>
      <c r="J374" s="48">
        <v>10311</v>
      </c>
      <c r="K374" s="46" t="s">
        <v>1207</v>
      </c>
      <c r="L374" s="46" t="s">
        <v>1014</v>
      </c>
      <c r="M374" s="46" t="s">
        <v>1259</v>
      </c>
      <c r="N374" s="49">
        <v>2</v>
      </c>
      <c r="O374" s="49">
        <v>2</v>
      </c>
      <c r="P374" s="47" t="s">
        <v>1246</v>
      </c>
      <c r="Q374" s="47" t="s">
        <v>1101</v>
      </c>
      <c r="R374" s="47" t="s">
        <v>376</v>
      </c>
      <c r="S374" s="46"/>
      <c r="T374" s="46"/>
      <c r="U374" s="46"/>
      <c r="V374" s="46"/>
      <c r="W374" s="46"/>
      <c r="X374" s="46"/>
      <c r="Y374" s="46"/>
      <c r="Z374" s="46"/>
      <c r="AA374" s="46"/>
      <c r="AB374" s="46"/>
      <c r="AC374" s="46"/>
      <c r="AD374" s="46"/>
      <c r="AE374" s="50">
        <f>IF(L374="W",1,0)</f>
        <v>0</v>
      </c>
      <c r="AF374" s="50">
        <f>IF(L374="T",1,0)</f>
        <v>1</v>
      </c>
      <c r="AG374" s="50">
        <f>IF(L374="L",1,0)</f>
        <v>0</v>
      </c>
      <c r="AH374" s="46" t="s">
        <v>1097</v>
      </c>
      <c r="AI374" s="46" t="s">
        <v>1098</v>
      </c>
      <c r="AJ374" s="46" t="s">
        <v>376</v>
      </c>
      <c r="AK374" s="46" t="s">
        <v>658</v>
      </c>
      <c r="AL374" s="46" t="s">
        <v>1096</v>
      </c>
      <c r="AM374" s="46" t="s">
        <v>1260</v>
      </c>
      <c r="AN374" s="46" t="s">
        <v>376</v>
      </c>
      <c r="AO374" s="46" t="s">
        <v>658</v>
      </c>
      <c r="AP374" s="46"/>
      <c r="AQ374" s="46">
        <v>2</v>
      </c>
      <c r="AR374" s="46"/>
      <c r="AS374" s="46"/>
      <c r="AT374" s="46"/>
      <c r="AU374" s="46" t="s">
        <v>376</v>
      </c>
      <c r="AV374" s="46"/>
      <c r="AW374" s="46" t="s">
        <v>30</v>
      </c>
      <c r="AX374" s="46"/>
      <c r="AY374" s="46" t="s">
        <v>30</v>
      </c>
      <c r="AZ374" s="46"/>
      <c r="BA374" s="47"/>
      <c r="BB374" s="51"/>
      <c r="BC374" s="46"/>
      <c r="BD374" s="46"/>
      <c r="BE374" s="46"/>
      <c r="BF374" s="46">
        <v>1</v>
      </c>
      <c r="BG374" s="46">
        <v>1</v>
      </c>
      <c r="BH374" s="46">
        <v>1</v>
      </c>
      <c r="BI374" s="46" t="s">
        <v>1207</v>
      </c>
      <c r="BJ374" s="46" t="s">
        <v>1259</v>
      </c>
      <c r="BK374" s="46">
        <v>1928</v>
      </c>
      <c r="BL374" s="46" t="str">
        <f>BK374&amp;BI374</f>
        <v>1928Sheffield United</v>
      </c>
      <c r="BM374" s="52" t="str">
        <f>IF(AD374="Home",BI374,IF(AD374="Away",BJ374,Q374))</f>
        <v>Manchester</v>
      </c>
      <c r="BN374" s="46"/>
      <c r="BO374" s="46"/>
      <c r="BP374" s="46"/>
      <c r="BQ374" s="46"/>
      <c r="BR374" s="46"/>
      <c r="BS374" s="46"/>
      <c r="BT374" s="46"/>
      <c r="BU374" s="46"/>
      <c r="BV374" s="46" t="s">
        <v>376</v>
      </c>
      <c r="BW374" s="46" t="s">
        <v>376</v>
      </c>
      <c r="BX374" s="46"/>
      <c r="BZ374" s="53"/>
      <c r="CA374" s="53"/>
      <c r="CB374" s="93" t="str">
        <f>IF(OR(C374="",A374="",B374=""),"",TEXT(C374,"0000")&amp;TEXT(A374,"00")&amp;TEXT(B374,"00"))</f>
        <v>19280324</v>
      </c>
    </row>
    <row r="375" spans="1:80" s="52" customFormat="1" ht="12.95" customHeight="1" x14ac:dyDescent="0.2">
      <c r="A375" s="46">
        <v>3</v>
      </c>
      <c r="B375" s="46">
        <v>24</v>
      </c>
      <c r="C375" s="46">
        <v>1928</v>
      </c>
      <c r="D375" s="46" t="s">
        <v>658</v>
      </c>
      <c r="E375" s="46" t="s">
        <v>1276</v>
      </c>
      <c r="F375" s="47" t="s">
        <v>1010</v>
      </c>
      <c r="G375" s="46"/>
      <c r="H375" s="47" t="s">
        <v>1011</v>
      </c>
      <c r="I375" s="47"/>
      <c r="J375" s="48">
        <v>10311</v>
      </c>
      <c r="K375" s="46" t="s">
        <v>1259</v>
      </c>
      <c r="L375" s="46" t="s">
        <v>1014</v>
      </c>
      <c r="M375" s="46" t="s">
        <v>1207</v>
      </c>
      <c r="N375" s="49">
        <v>2</v>
      </c>
      <c r="O375" s="49">
        <v>2</v>
      </c>
      <c r="P375" s="47" t="s">
        <v>1246</v>
      </c>
      <c r="Q375" s="47" t="s">
        <v>1101</v>
      </c>
      <c r="R375" s="47" t="s">
        <v>376</v>
      </c>
      <c r="S375" s="46"/>
      <c r="T375" s="46"/>
      <c r="U375" s="46"/>
      <c r="V375" s="46"/>
      <c r="W375" s="46"/>
      <c r="X375" s="46"/>
      <c r="Y375" s="46"/>
      <c r="Z375" s="46"/>
      <c r="AA375" s="46"/>
      <c r="AB375" s="46"/>
      <c r="AC375" s="46"/>
      <c r="AD375" s="46"/>
      <c r="AE375" s="50">
        <f>IF(L375="W",1,0)</f>
        <v>0</v>
      </c>
      <c r="AF375" s="50">
        <f>IF(L375="T",1,0)</f>
        <v>1</v>
      </c>
      <c r="AG375" s="50">
        <f>IF(L375="L",1,0)</f>
        <v>0</v>
      </c>
      <c r="AH375" s="46" t="s">
        <v>1096</v>
      </c>
      <c r="AI375" s="46" t="s">
        <v>1260</v>
      </c>
      <c r="AJ375" s="46" t="s">
        <v>376</v>
      </c>
      <c r="AK375" s="46" t="s">
        <v>658</v>
      </c>
      <c r="AL375" s="46" t="s">
        <v>1097</v>
      </c>
      <c r="AM375" s="46" t="s">
        <v>1098</v>
      </c>
      <c r="AN375" s="46" t="s">
        <v>376</v>
      </c>
      <c r="AO375" s="46" t="s">
        <v>658</v>
      </c>
      <c r="AP375" s="46"/>
      <c r="AQ375" s="46">
        <v>2</v>
      </c>
      <c r="AR375" s="46"/>
      <c r="AS375" s="46"/>
      <c r="AT375" s="46"/>
      <c r="AU375" s="46" t="s">
        <v>376</v>
      </c>
      <c r="AV375" s="46"/>
      <c r="AW375" s="46" t="s">
        <v>30</v>
      </c>
      <c r="AX375" s="46"/>
      <c r="AY375" s="46" t="s">
        <v>30</v>
      </c>
      <c r="AZ375" s="46"/>
      <c r="BA375" s="47"/>
      <c r="BB375" s="51"/>
      <c r="BC375" s="46"/>
      <c r="BD375" s="46"/>
      <c r="BE375" s="46"/>
      <c r="BF375" s="46">
        <v>1</v>
      </c>
      <c r="BG375" s="46">
        <v>1</v>
      </c>
      <c r="BH375" s="46">
        <v>1</v>
      </c>
      <c r="BI375" s="46" t="s">
        <v>1259</v>
      </c>
      <c r="BJ375" s="46" t="s">
        <v>1207</v>
      </c>
      <c r="BK375" s="46">
        <v>1928</v>
      </c>
      <c r="BL375" s="46" t="str">
        <f>BK375&amp;BI375</f>
        <v>1928Huddersfield Town</v>
      </c>
      <c r="BM375" s="52" t="str">
        <f>IF(AD375="Home",BI375,IF(AD375="Away",BJ375,Q375))</f>
        <v>Manchester</v>
      </c>
      <c r="BN375" s="46"/>
      <c r="BO375" s="46"/>
      <c r="BP375" s="46"/>
      <c r="BQ375" s="46"/>
      <c r="BR375" s="46"/>
      <c r="BS375" s="46"/>
      <c r="BT375" s="46"/>
      <c r="BU375" s="46"/>
      <c r="BV375" s="46" t="s">
        <v>376</v>
      </c>
      <c r="BW375" s="46" t="s">
        <v>376</v>
      </c>
      <c r="BX375" s="46"/>
      <c r="BZ375" s="53"/>
      <c r="CA375" s="53"/>
      <c r="CB375" s="93" t="str">
        <f>IF(OR(C375="",A375="",B375=""),"",TEXT(C375,"0000")&amp;TEXT(A375,"00")&amp;TEXT(B375,"00"))</f>
        <v>19280324</v>
      </c>
    </row>
    <row r="376" spans="1:80" s="52" customFormat="1" ht="12.95" customHeight="1" x14ac:dyDescent="0.2">
      <c r="A376" s="46">
        <v>3</v>
      </c>
      <c r="B376" s="46">
        <v>26</v>
      </c>
      <c r="C376" s="46">
        <v>1928</v>
      </c>
      <c r="D376" s="46" t="s">
        <v>658</v>
      </c>
      <c r="E376" s="46" t="s">
        <v>1276</v>
      </c>
      <c r="F376" s="47" t="s">
        <v>1010</v>
      </c>
      <c r="G376" s="46"/>
      <c r="H376" s="47" t="s">
        <v>1011</v>
      </c>
      <c r="I376" s="47" t="s">
        <v>1023</v>
      </c>
      <c r="J376" s="48">
        <v>10313</v>
      </c>
      <c r="K376" s="46" t="s">
        <v>1207</v>
      </c>
      <c r="L376" s="46" t="s">
        <v>1014</v>
      </c>
      <c r="M376" s="46" t="s">
        <v>1259</v>
      </c>
      <c r="N376" s="49">
        <v>0</v>
      </c>
      <c r="O376" s="49">
        <v>0</v>
      </c>
      <c r="P376" s="47" t="s">
        <v>1184</v>
      </c>
      <c r="Q376" s="47" t="s">
        <v>588</v>
      </c>
      <c r="R376" s="47" t="s">
        <v>376</v>
      </c>
      <c r="S376" s="46"/>
      <c r="T376" s="46"/>
      <c r="U376" s="46"/>
      <c r="V376" s="46"/>
      <c r="W376" s="46"/>
      <c r="X376" s="46"/>
      <c r="Y376" s="46"/>
      <c r="Z376" s="46"/>
      <c r="AA376" s="46"/>
      <c r="AB376" s="46"/>
      <c r="AC376" s="46"/>
      <c r="AD376" s="46"/>
      <c r="AE376" s="50">
        <f>IF(L376="W",1,0)</f>
        <v>0</v>
      </c>
      <c r="AF376" s="50">
        <f>IF(L376="T",1,0)</f>
        <v>1</v>
      </c>
      <c r="AG376" s="50">
        <f>IF(L376="L",1,0)</f>
        <v>0</v>
      </c>
      <c r="AH376" s="46" t="s">
        <v>1097</v>
      </c>
      <c r="AI376" s="46" t="s">
        <v>1098</v>
      </c>
      <c r="AJ376" s="46" t="s">
        <v>376</v>
      </c>
      <c r="AK376" s="46" t="s">
        <v>658</v>
      </c>
      <c r="AL376" s="46" t="s">
        <v>1096</v>
      </c>
      <c r="AM376" s="46" t="s">
        <v>1260</v>
      </c>
      <c r="AN376" s="46" t="s">
        <v>376</v>
      </c>
      <c r="AO376" s="46" t="s">
        <v>658</v>
      </c>
      <c r="AP376" s="46"/>
      <c r="AQ376" s="46">
        <v>2</v>
      </c>
      <c r="AR376" s="46"/>
      <c r="AS376" s="46"/>
      <c r="AT376" s="46"/>
      <c r="AU376" s="46" t="s">
        <v>376</v>
      </c>
      <c r="AV376" s="46"/>
      <c r="AW376" s="46" t="s">
        <v>30</v>
      </c>
      <c r="AX376" s="46"/>
      <c r="AY376" s="46" t="s">
        <v>30</v>
      </c>
      <c r="AZ376" s="46"/>
      <c r="BA376" s="47"/>
      <c r="BB376" s="51"/>
      <c r="BC376" s="46"/>
      <c r="BD376" s="46"/>
      <c r="BE376" s="46"/>
      <c r="BF376" s="46">
        <v>1</v>
      </c>
      <c r="BG376" s="46">
        <v>1</v>
      </c>
      <c r="BH376" s="46">
        <v>1</v>
      </c>
      <c r="BI376" s="46" t="s">
        <v>1207</v>
      </c>
      <c r="BJ376" s="46" t="s">
        <v>1259</v>
      </c>
      <c r="BK376" s="46">
        <v>1928</v>
      </c>
      <c r="BL376" s="46" t="str">
        <f>BK376&amp;BI376</f>
        <v>1928Sheffield United</v>
      </c>
      <c r="BM376" s="52" t="str">
        <f>IF(AD376="Home",BI376,IF(AD376="Away",BJ376,Q376))</f>
        <v>Liverpool</v>
      </c>
      <c r="BN376" s="46"/>
      <c r="BO376" s="46"/>
      <c r="BP376" s="46"/>
      <c r="BQ376" s="46"/>
      <c r="BR376" s="46"/>
      <c r="BS376" s="46"/>
      <c r="BT376" s="46"/>
      <c r="BU376" s="46"/>
      <c r="BV376" s="46" t="s">
        <v>376</v>
      </c>
      <c r="BW376" s="46" t="s">
        <v>376</v>
      </c>
      <c r="BX376" s="46"/>
      <c r="BZ376" s="53"/>
      <c r="CA376" s="53"/>
      <c r="CB376" s="93" t="str">
        <f>IF(OR(C376="",A376="",B376=""),"",TEXT(C376,"0000")&amp;TEXT(A376,"00")&amp;TEXT(B376,"00"))</f>
        <v>19280326</v>
      </c>
    </row>
    <row r="377" spans="1:80" s="52" customFormat="1" ht="12.95" customHeight="1" x14ac:dyDescent="0.2">
      <c r="A377" s="46">
        <v>3</v>
      </c>
      <c r="B377" s="46">
        <v>26</v>
      </c>
      <c r="C377" s="46">
        <v>1928</v>
      </c>
      <c r="D377" s="46" t="s">
        <v>658</v>
      </c>
      <c r="E377" s="46" t="s">
        <v>1276</v>
      </c>
      <c r="F377" s="47" t="s">
        <v>1010</v>
      </c>
      <c r="G377" s="46"/>
      <c r="H377" s="47" t="s">
        <v>1011</v>
      </c>
      <c r="I377" s="47" t="s">
        <v>1023</v>
      </c>
      <c r="J377" s="48">
        <v>10313</v>
      </c>
      <c r="K377" s="46" t="s">
        <v>1259</v>
      </c>
      <c r="L377" s="46" t="s">
        <v>1014</v>
      </c>
      <c r="M377" s="46" t="s">
        <v>1207</v>
      </c>
      <c r="N377" s="49">
        <v>0</v>
      </c>
      <c r="O377" s="49">
        <v>0</v>
      </c>
      <c r="P377" s="47" t="s">
        <v>1184</v>
      </c>
      <c r="Q377" s="47" t="s">
        <v>588</v>
      </c>
      <c r="R377" s="47" t="s">
        <v>376</v>
      </c>
      <c r="S377" s="46"/>
      <c r="T377" s="46"/>
      <c r="U377" s="46"/>
      <c r="V377" s="46"/>
      <c r="W377" s="46"/>
      <c r="X377" s="46"/>
      <c r="Y377" s="46"/>
      <c r="Z377" s="46"/>
      <c r="AA377" s="46"/>
      <c r="AB377" s="46"/>
      <c r="AC377" s="46"/>
      <c r="AD377" s="46"/>
      <c r="AE377" s="50">
        <f>IF(L377="W",1,0)</f>
        <v>0</v>
      </c>
      <c r="AF377" s="50">
        <f>IF(L377="T",1,0)</f>
        <v>1</v>
      </c>
      <c r="AG377" s="50">
        <f>IF(L377="L",1,0)</f>
        <v>0</v>
      </c>
      <c r="AH377" s="46" t="s">
        <v>1096</v>
      </c>
      <c r="AI377" s="46" t="s">
        <v>1260</v>
      </c>
      <c r="AJ377" s="46" t="s">
        <v>376</v>
      </c>
      <c r="AK377" s="46" t="s">
        <v>658</v>
      </c>
      <c r="AL377" s="46" t="s">
        <v>1097</v>
      </c>
      <c r="AM377" s="46" t="s">
        <v>1098</v>
      </c>
      <c r="AN377" s="46" t="s">
        <v>376</v>
      </c>
      <c r="AO377" s="46" t="s">
        <v>658</v>
      </c>
      <c r="AP377" s="46"/>
      <c r="AQ377" s="46">
        <v>2</v>
      </c>
      <c r="AR377" s="46"/>
      <c r="AS377" s="46"/>
      <c r="AT377" s="46"/>
      <c r="AU377" s="46" t="s">
        <v>376</v>
      </c>
      <c r="AV377" s="46"/>
      <c r="AW377" s="46" t="s">
        <v>30</v>
      </c>
      <c r="AX377" s="46"/>
      <c r="AY377" s="46" t="s">
        <v>30</v>
      </c>
      <c r="AZ377" s="46"/>
      <c r="BA377" s="47"/>
      <c r="BB377" s="51"/>
      <c r="BC377" s="46"/>
      <c r="BD377" s="46"/>
      <c r="BE377" s="46"/>
      <c r="BF377" s="46">
        <v>1</v>
      </c>
      <c r="BG377" s="46">
        <v>1</v>
      </c>
      <c r="BH377" s="46">
        <v>1</v>
      </c>
      <c r="BI377" s="46" t="s">
        <v>1259</v>
      </c>
      <c r="BJ377" s="46" t="s">
        <v>1207</v>
      </c>
      <c r="BK377" s="46">
        <v>1928</v>
      </c>
      <c r="BL377" s="46" t="str">
        <f>BK377&amp;BI377</f>
        <v>1928Huddersfield Town</v>
      </c>
      <c r="BM377" s="52" t="str">
        <f>IF(AD377="Home",BI377,IF(AD377="Away",BJ377,Q377))</f>
        <v>Liverpool</v>
      </c>
      <c r="BN377" s="46"/>
      <c r="BO377" s="46"/>
      <c r="BP377" s="46"/>
      <c r="BQ377" s="46"/>
      <c r="BR377" s="46"/>
      <c r="BS377" s="46"/>
      <c r="BT377" s="46"/>
      <c r="BU377" s="46"/>
      <c r="BV377" s="46" t="s">
        <v>376</v>
      </c>
      <c r="BW377" s="46" t="s">
        <v>376</v>
      </c>
      <c r="BX377" s="46"/>
      <c r="BZ377" s="53"/>
      <c r="CA377" s="53"/>
      <c r="CB377" s="93" t="str">
        <f>IF(OR(C377="",A377="",B377=""),"",TEXT(C377,"0000")&amp;TEXT(A377,"00")&amp;TEXT(B377,"00"))</f>
        <v>19280326</v>
      </c>
    </row>
    <row r="378" spans="1:80" s="52" customFormat="1" ht="12.95" customHeight="1" x14ac:dyDescent="0.2">
      <c r="A378" s="46">
        <v>4</v>
      </c>
      <c r="B378" s="46">
        <v>2</v>
      </c>
      <c r="C378" s="46">
        <v>1928</v>
      </c>
      <c r="D378" s="46" t="s">
        <v>658</v>
      </c>
      <c r="E378" s="46" t="s">
        <v>1276</v>
      </c>
      <c r="F378" s="47" t="s">
        <v>1010</v>
      </c>
      <c r="G378" s="46"/>
      <c r="H378" s="47" t="s">
        <v>1011</v>
      </c>
      <c r="I378" s="47" t="s">
        <v>1170</v>
      </c>
      <c r="J378" s="48">
        <v>10320</v>
      </c>
      <c r="K378" s="46" t="s">
        <v>1259</v>
      </c>
      <c r="L378" s="46" t="s">
        <v>3</v>
      </c>
      <c r="M378" s="46" t="s">
        <v>1207</v>
      </c>
      <c r="N378" s="49">
        <v>1</v>
      </c>
      <c r="O378" s="49">
        <v>0</v>
      </c>
      <c r="P378" s="47" t="s">
        <v>1226</v>
      </c>
      <c r="Q378" s="47" t="s">
        <v>1101</v>
      </c>
      <c r="R378" s="47" t="s">
        <v>376</v>
      </c>
      <c r="S378" s="46"/>
      <c r="T378" s="46"/>
      <c r="U378" s="46"/>
      <c r="V378" s="46"/>
      <c r="W378" s="46"/>
      <c r="X378" s="46"/>
      <c r="Y378" s="46"/>
      <c r="Z378" s="46"/>
      <c r="AA378" s="46"/>
      <c r="AB378" s="46"/>
      <c r="AC378" s="46"/>
      <c r="AD378" s="46"/>
      <c r="AE378" s="50">
        <f>IF(L378="W",1,0)</f>
        <v>1</v>
      </c>
      <c r="AF378" s="50">
        <f>IF(L378="T",1,0)</f>
        <v>0</v>
      </c>
      <c r="AG378" s="50">
        <f>IF(L378="L",1,0)</f>
        <v>0</v>
      </c>
      <c r="AH378" s="46" t="s">
        <v>1096</v>
      </c>
      <c r="AI378" s="46" t="s">
        <v>1260</v>
      </c>
      <c r="AJ378" s="46" t="s">
        <v>376</v>
      </c>
      <c r="AK378" s="46" t="s">
        <v>658</v>
      </c>
      <c r="AL378" s="46" t="s">
        <v>1097</v>
      </c>
      <c r="AM378" s="46" t="s">
        <v>1098</v>
      </c>
      <c r="AN378" s="46" t="s">
        <v>376</v>
      </c>
      <c r="AO378" s="46" t="s">
        <v>658</v>
      </c>
      <c r="AP378" s="46"/>
      <c r="AQ378" s="46">
        <v>2</v>
      </c>
      <c r="AR378" s="46"/>
      <c r="AS378" s="46"/>
      <c r="AT378" s="46"/>
      <c r="AU378" s="46" t="s">
        <v>376</v>
      </c>
      <c r="AV378" s="46"/>
      <c r="AW378" s="46" t="s">
        <v>30</v>
      </c>
      <c r="AX378" s="46"/>
      <c r="AY378" s="46" t="s">
        <v>30</v>
      </c>
      <c r="AZ378" s="46"/>
      <c r="BA378" s="47"/>
      <c r="BB378" s="51"/>
      <c r="BC378" s="46"/>
      <c r="BD378" s="46"/>
      <c r="BE378" s="46"/>
      <c r="BF378" s="46">
        <v>1</v>
      </c>
      <c r="BG378" s="46">
        <v>1</v>
      </c>
      <c r="BH378" s="46">
        <v>1</v>
      </c>
      <c r="BI378" s="46" t="s">
        <v>1259</v>
      </c>
      <c r="BJ378" s="46" t="s">
        <v>1207</v>
      </c>
      <c r="BK378" s="46">
        <v>1928</v>
      </c>
      <c r="BL378" s="46" t="str">
        <f>BK378&amp;BI378</f>
        <v>1928Huddersfield Town</v>
      </c>
      <c r="BM378" s="52" t="str">
        <f>IF(AD378="Home",BI378,IF(AD378="Away",BJ378,Q378))</f>
        <v>Manchester</v>
      </c>
      <c r="BN378" s="46"/>
      <c r="BO378" s="46"/>
      <c r="BP378" s="46"/>
      <c r="BQ378" s="46"/>
      <c r="BR378" s="46"/>
      <c r="BS378" s="46"/>
      <c r="BT378" s="46"/>
      <c r="BU378" s="46"/>
      <c r="BV378" s="46" t="s">
        <v>376</v>
      </c>
      <c r="BW378" s="46" t="s">
        <v>376</v>
      </c>
      <c r="BX378" s="46"/>
      <c r="BZ378" s="53"/>
      <c r="CA378" s="53"/>
      <c r="CB378" s="93" t="str">
        <f>IF(OR(C378="",A378="",B378=""),"",TEXT(C378,"0000")&amp;TEXT(A378,"00")&amp;TEXT(B378,"00"))</f>
        <v>19280402</v>
      </c>
    </row>
    <row r="379" spans="1:80" s="52" customFormat="1" ht="12.95" customHeight="1" x14ac:dyDescent="0.2">
      <c r="A379" s="46">
        <v>4</v>
      </c>
      <c r="B379" s="46">
        <v>2</v>
      </c>
      <c r="C379" s="46">
        <v>1928</v>
      </c>
      <c r="D379" s="46" t="s">
        <v>658</v>
      </c>
      <c r="E379" s="46" t="s">
        <v>1276</v>
      </c>
      <c r="F379" s="47" t="s">
        <v>1010</v>
      </c>
      <c r="G379" s="46"/>
      <c r="H379" s="47" t="s">
        <v>1011</v>
      </c>
      <c r="I379" s="47" t="s">
        <v>1170</v>
      </c>
      <c r="J379" s="48">
        <v>10320</v>
      </c>
      <c r="K379" s="46" t="s">
        <v>1207</v>
      </c>
      <c r="L379" s="46" t="s">
        <v>4</v>
      </c>
      <c r="M379" s="46" t="s">
        <v>1259</v>
      </c>
      <c r="N379" s="49">
        <v>0</v>
      </c>
      <c r="O379" s="49">
        <v>1</v>
      </c>
      <c r="P379" s="47" t="s">
        <v>1226</v>
      </c>
      <c r="Q379" s="47" t="s">
        <v>1101</v>
      </c>
      <c r="R379" s="47" t="s">
        <v>376</v>
      </c>
      <c r="S379" s="46"/>
      <c r="T379" s="46"/>
      <c r="U379" s="46"/>
      <c r="V379" s="46"/>
      <c r="W379" s="46"/>
      <c r="X379" s="46"/>
      <c r="Y379" s="46"/>
      <c r="Z379" s="46"/>
      <c r="AA379" s="46"/>
      <c r="AB379" s="46"/>
      <c r="AC379" s="46"/>
      <c r="AD379" s="46"/>
      <c r="AE379" s="50">
        <f>IF(L379="W",1,0)</f>
        <v>0</v>
      </c>
      <c r="AF379" s="50">
        <f>IF(L379="T",1,0)</f>
        <v>0</v>
      </c>
      <c r="AG379" s="50">
        <f>IF(L379="L",1,0)</f>
        <v>1</v>
      </c>
      <c r="AH379" s="46" t="s">
        <v>1097</v>
      </c>
      <c r="AI379" s="46" t="s">
        <v>1098</v>
      </c>
      <c r="AJ379" s="46" t="s">
        <v>376</v>
      </c>
      <c r="AK379" s="46" t="s">
        <v>658</v>
      </c>
      <c r="AL379" s="46" t="s">
        <v>1096</v>
      </c>
      <c r="AM379" s="46" t="s">
        <v>1260</v>
      </c>
      <c r="AN379" s="46" t="s">
        <v>376</v>
      </c>
      <c r="AO379" s="46" t="s">
        <v>658</v>
      </c>
      <c r="AP379" s="46"/>
      <c r="AQ379" s="46">
        <v>2</v>
      </c>
      <c r="AR379" s="46"/>
      <c r="AS379" s="46"/>
      <c r="AT379" s="46"/>
      <c r="AU379" s="46" t="s">
        <v>376</v>
      </c>
      <c r="AV379" s="46"/>
      <c r="AW379" s="46" t="s">
        <v>30</v>
      </c>
      <c r="AX379" s="46"/>
      <c r="AY379" s="46" t="s">
        <v>30</v>
      </c>
      <c r="AZ379" s="46"/>
      <c r="BA379" s="47"/>
      <c r="BB379" s="51"/>
      <c r="BC379" s="46"/>
      <c r="BD379" s="46"/>
      <c r="BE379" s="46"/>
      <c r="BF379" s="46">
        <v>1</v>
      </c>
      <c r="BG379" s="46">
        <v>1</v>
      </c>
      <c r="BH379" s="46">
        <v>1</v>
      </c>
      <c r="BI379" s="46" t="s">
        <v>1207</v>
      </c>
      <c r="BJ379" s="46" t="s">
        <v>1259</v>
      </c>
      <c r="BK379" s="46">
        <v>1928</v>
      </c>
      <c r="BL379" s="46" t="str">
        <f>BK379&amp;BI379</f>
        <v>1928Sheffield United</v>
      </c>
      <c r="BM379" s="52" t="str">
        <f>IF(AD379="Home",BI379,IF(AD379="Away",BJ379,Q379))</f>
        <v>Manchester</v>
      </c>
      <c r="BN379" s="46"/>
      <c r="BO379" s="46"/>
      <c r="BP379" s="46"/>
      <c r="BQ379" s="46"/>
      <c r="BR379" s="46"/>
      <c r="BS379" s="46"/>
      <c r="BT379" s="46"/>
      <c r="BU379" s="46"/>
      <c r="BV379" s="46" t="s">
        <v>376</v>
      </c>
      <c r="BW379" s="46" t="s">
        <v>376</v>
      </c>
      <c r="BX379" s="46"/>
      <c r="BZ379" s="53"/>
      <c r="CA379" s="53"/>
      <c r="CB379" s="93" t="str">
        <f>IF(OR(C379="",A379="",B379=""),"",TEXT(C379,"0000")&amp;TEXT(A379,"00")&amp;TEXT(B379,"00"))</f>
        <v>19280402</v>
      </c>
    </row>
    <row r="380" spans="1:80" s="52" customFormat="1" ht="12.95" customHeight="1" x14ac:dyDescent="0.2">
      <c r="A380" s="46">
        <v>4</v>
      </c>
      <c r="B380" s="46">
        <v>21</v>
      </c>
      <c r="C380" s="46">
        <v>1928</v>
      </c>
      <c r="D380" s="46" t="s">
        <v>658</v>
      </c>
      <c r="E380" s="46" t="s">
        <v>1276</v>
      </c>
      <c r="F380" s="47" t="s">
        <v>1010</v>
      </c>
      <c r="G380" s="46"/>
      <c r="H380" s="47" t="s">
        <v>1025</v>
      </c>
      <c r="I380" s="47"/>
      <c r="J380" s="48">
        <v>10339</v>
      </c>
      <c r="K380" s="46" t="s">
        <v>1094</v>
      </c>
      <c r="L380" s="46" t="s">
        <v>3</v>
      </c>
      <c r="M380" s="46" t="s">
        <v>1259</v>
      </c>
      <c r="N380" s="49">
        <v>3</v>
      </c>
      <c r="O380" s="49">
        <v>1</v>
      </c>
      <c r="P380" s="47" t="s">
        <v>1268</v>
      </c>
      <c r="Q380" s="47" t="s">
        <v>1017</v>
      </c>
      <c r="R380" s="47" t="s">
        <v>376</v>
      </c>
      <c r="S380" s="46"/>
      <c r="T380" s="46"/>
      <c r="U380" s="46"/>
      <c r="V380" s="46"/>
      <c r="W380" s="46"/>
      <c r="X380" s="46"/>
      <c r="Y380" s="46"/>
      <c r="Z380" s="46"/>
      <c r="AA380" s="46"/>
      <c r="AB380" s="46"/>
      <c r="AC380" s="46"/>
      <c r="AD380" s="46"/>
      <c r="AE380" s="50">
        <f>IF(L380="W",1,0)</f>
        <v>1</v>
      </c>
      <c r="AF380" s="50">
        <f>IF(L380="T",1,0)</f>
        <v>0</v>
      </c>
      <c r="AG380" s="50">
        <f>IF(L380="L",1,0)</f>
        <v>0</v>
      </c>
      <c r="AH380" s="46" t="s">
        <v>1085</v>
      </c>
      <c r="AI380" s="46" t="s">
        <v>1086</v>
      </c>
      <c r="AJ380" s="46" t="s">
        <v>376</v>
      </c>
      <c r="AK380" s="46" t="s">
        <v>658</v>
      </c>
      <c r="AL380" s="46" t="s">
        <v>1096</v>
      </c>
      <c r="AM380" s="46" t="s">
        <v>1260</v>
      </c>
      <c r="AN380" s="46" t="s">
        <v>376</v>
      </c>
      <c r="AO380" s="46" t="s">
        <v>658</v>
      </c>
      <c r="AP380" s="46"/>
      <c r="AQ380" s="46">
        <v>1</v>
      </c>
      <c r="AR380" s="46"/>
      <c r="AS380" s="46"/>
      <c r="AT380" s="46"/>
      <c r="AU380" s="46" t="s">
        <v>376</v>
      </c>
      <c r="AV380" s="46"/>
      <c r="AW380" s="46" t="s">
        <v>30</v>
      </c>
      <c r="AX380" s="46"/>
      <c r="AY380" s="46" t="s">
        <v>30</v>
      </c>
      <c r="AZ380" s="46"/>
      <c r="BA380" s="47"/>
      <c r="BB380" s="51" t="s">
        <v>30</v>
      </c>
      <c r="BC380" s="46" t="s">
        <v>30</v>
      </c>
      <c r="BD380" s="46"/>
      <c r="BE380" s="46"/>
      <c r="BF380" s="46">
        <v>1</v>
      </c>
      <c r="BG380" s="46">
        <v>1</v>
      </c>
      <c r="BH380" s="46">
        <v>1</v>
      </c>
      <c r="BI380" s="46" t="s">
        <v>1094</v>
      </c>
      <c r="BJ380" s="46" t="s">
        <v>1259</v>
      </c>
      <c r="BK380" s="46">
        <v>1928</v>
      </c>
      <c r="BL380" s="46" t="str">
        <f>BK380&amp;BI380</f>
        <v>1928Blackburn Rovers</v>
      </c>
      <c r="BM380" s="52" t="str">
        <f>IF(AD380="Home",BI380,IF(AD380="Away",BJ380,Q380))</f>
        <v>London</v>
      </c>
      <c r="BN380" s="46"/>
      <c r="BO380" s="46"/>
      <c r="BP380" s="46"/>
      <c r="BQ380" s="46"/>
      <c r="BR380" s="46"/>
      <c r="BS380" s="46"/>
      <c r="BT380" s="46"/>
      <c r="BU380" s="46"/>
      <c r="BV380" s="46" t="s">
        <v>376</v>
      </c>
      <c r="BW380" s="46" t="s">
        <v>376</v>
      </c>
      <c r="BX380" s="46"/>
      <c r="BZ380" s="53"/>
      <c r="CA380" s="53"/>
      <c r="CB380" s="93" t="str">
        <f>IF(OR(C380="",A380="",B380=""),"",TEXT(C380,"0000")&amp;TEXT(A380,"00")&amp;TEXT(B380,"00"))</f>
        <v>19280421</v>
      </c>
    </row>
    <row r="381" spans="1:80" s="52" customFormat="1" ht="12.95" customHeight="1" x14ac:dyDescent="0.2">
      <c r="A381" s="46">
        <v>4</v>
      </c>
      <c r="B381" s="46">
        <v>21</v>
      </c>
      <c r="C381" s="46">
        <v>1928</v>
      </c>
      <c r="D381" s="46" t="s">
        <v>658</v>
      </c>
      <c r="E381" s="46" t="s">
        <v>1276</v>
      </c>
      <c r="F381" s="47" t="s">
        <v>1010</v>
      </c>
      <c r="G381" s="46"/>
      <c r="H381" s="47" t="s">
        <v>1025</v>
      </c>
      <c r="I381" s="47"/>
      <c r="J381" s="48">
        <v>10339</v>
      </c>
      <c r="K381" s="46" t="s">
        <v>1259</v>
      </c>
      <c r="L381" s="46" t="s">
        <v>4</v>
      </c>
      <c r="M381" s="46" t="s">
        <v>1094</v>
      </c>
      <c r="N381" s="49">
        <v>1</v>
      </c>
      <c r="O381" s="49">
        <v>3</v>
      </c>
      <c r="P381" s="47" t="s">
        <v>1268</v>
      </c>
      <c r="Q381" s="47" t="s">
        <v>1017</v>
      </c>
      <c r="R381" s="47" t="s">
        <v>376</v>
      </c>
      <c r="S381" s="46"/>
      <c r="T381" s="46"/>
      <c r="U381" s="46"/>
      <c r="V381" s="46"/>
      <c r="W381" s="46"/>
      <c r="X381" s="46"/>
      <c r="Y381" s="46"/>
      <c r="Z381" s="46"/>
      <c r="AA381" s="46"/>
      <c r="AB381" s="46"/>
      <c r="AC381" s="46"/>
      <c r="AD381" s="46"/>
      <c r="AE381" s="50">
        <f>IF(L381="W",1,0)</f>
        <v>0</v>
      </c>
      <c r="AF381" s="50">
        <f>IF(L381="T",1,0)</f>
        <v>0</v>
      </c>
      <c r="AG381" s="50">
        <f>IF(L381="L",1,0)</f>
        <v>1</v>
      </c>
      <c r="AH381" s="46" t="s">
        <v>1096</v>
      </c>
      <c r="AI381" s="46" t="s">
        <v>1260</v>
      </c>
      <c r="AJ381" s="46" t="s">
        <v>376</v>
      </c>
      <c r="AK381" s="46" t="s">
        <v>658</v>
      </c>
      <c r="AL381" s="46" t="s">
        <v>1085</v>
      </c>
      <c r="AM381" s="46" t="s">
        <v>1086</v>
      </c>
      <c r="AN381" s="46" t="s">
        <v>376</v>
      </c>
      <c r="AO381" s="46" t="s">
        <v>658</v>
      </c>
      <c r="AP381" s="46"/>
      <c r="AQ381" s="46">
        <v>1</v>
      </c>
      <c r="AR381" s="46"/>
      <c r="AS381" s="46"/>
      <c r="AT381" s="46"/>
      <c r="AU381" s="46" t="s">
        <v>376</v>
      </c>
      <c r="AV381" s="46"/>
      <c r="AW381" s="46" t="s">
        <v>30</v>
      </c>
      <c r="AX381" s="46"/>
      <c r="AY381" s="46" t="s">
        <v>30</v>
      </c>
      <c r="AZ381" s="46"/>
      <c r="BA381" s="47"/>
      <c r="BB381" s="51"/>
      <c r="BC381" s="46" t="s">
        <v>30</v>
      </c>
      <c r="BD381" s="46"/>
      <c r="BE381" s="46"/>
      <c r="BF381" s="46">
        <v>1</v>
      </c>
      <c r="BG381" s="46">
        <v>1</v>
      </c>
      <c r="BH381" s="46">
        <v>1</v>
      </c>
      <c r="BI381" s="46" t="s">
        <v>1259</v>
      </c>
      <c r="BJ381" s="46" t="s">
        <v>1094</v>
      </c>
      <c r="BK381" s="46">
        <v>1928</v>
      </c>
      <c r="BL381" s="46" t="str">
        <f>BK381&amp;BI381</f>
        <v>1928Huddersfield Town</v>
      </c>
      <c r="BM381" s="52" t="str">
        <f>IF(AD381="Home",BI381,IF(AD381="Away",BJ381,Q381))</f>
        <v>London</v>
      </c>
      <c r="BN381" s="46"/>
      <c r="BO381" s="46"/>
      <c r="BP381" s="46"/>
      <c r="BQ381" s="46"/>
      <c r="BR381" s="46"/>
      <c r="BS381" s="46"/>
      <c r="BT381" s="46"/>
      <c r="BU381" s="46"/>
      <c r="BV381" s="46" t="s">
        <v>376</v>
      </c>
      <c r="BW381" s="46" t="s">
        <v>376</v>
      </c>
      <c r="BX381" s="46"/>
      <c r="BZ381" s="53"/>
      <c r="CA381" s="53"/>
      <c r="CB381" s="93" t="str">
        <f>IF(OR(C381="",A381="",B381=""),"",TEXT(C381,"0000")&amp;TEXT(A381,"00")&amp;TEXT(B381,"00"))</f>
        <v>19280421</v>
      </c>
    </row>
    <row r="382" spans="1:80" s="52" customFormat="1" ht="12.95" customHeight="1" x14ac:dyDescent="0.2">
      <c r="A382" s="46">
        <v>3</v>
      </c>
      <c r="B382" s="46">
        <v>23</v>
      </c>
      <c r="C382" s="46">
        <v>1929</v>
      </c>
      <c r="D382" s="46" t="s">
        <v>658</v>
      </c>
      <c r="E382" s="46" t="s">
        <v>1279</v>
      </c>
      <c r="F382" s="47" t="s">
        <v>1010</v>
      </c>
      <c r="G382" s="46"/>
      <c r="H382" s="47" t="s">
        <v>1011</v>
      </c>
      <c r="I382" s="47"/>
      <c r="J382" s="48">
        <v>10675</v>
      </c>
      <c r="K382" s="46" t="s">
        <v>1157</v>
      </c>
      <c r="L382" s="46" t="s">
        <v>3</v>
      </c>
      <c r="M382" s="46" t="s">
        <v>1259</v>
      </c>
      <c r="N382" s="49">
        <v>3</v>
      </c>
      <c r="O382" s="49">
        <v>1</v>
      </c>
      <c r="P382" s="47" t="s">
        <v>1141</v>
      </c>
      <c r="Q382" s="47" t="s">
        <v>588</v>
      </c>
      <c r="R382" s="47" t="s">
        <v>376</v>
      </c>
      <c r="S382" s="46"/>
      <c r="T382" s="46"/>
      <c r="U382" s="46"/>
      <c r="V382" s="46"/>
      <c r="W382" s="46"/>
      <c r="X382" s="46"/>
      <c r="Y382" s="46"/>
      <c r="Z382" s="46"/>
      <c r="AA382" s="46"/>
      <c r="AB382" s="46"/>
      <c r="AC382" s="46"/>
      <c r="AD382" s="46"/>
      <c r="AE382" s="50">
        <f>IF(L382="W",1,0)</f>
        <v>1</v>
      </c>
      <c r="AF382" s="50">
        <f>IF(L382="T",1,0)</f>
        <v>0</v>
      </c>
      <c r="AG382" s="50">
        <f>IF(L382="L",1,0)</f>
        <v>0</v>
      </c>
      <c r="AH382" s="46" t="s">
        <v>1101</v>
      </c>
      <c r="AI382" s="46" t="s">
        <v>1159</v>
      </c>
      <c r="AJ382" s="46" t="s">
        <v>376</v>
      </c>
      <c r="AK382" s="46" t="s">
        <v>658</v>
      </c>
      <c r="AL382" s="46" t="s">
        <v>1096</v>
      </c>
      <c r="AM382" s="46" t="s">
        <v>1260</v>
      </c>
      <c r="AN382" s="46" t="s">
        <v>376</v>
      </c>
      <c r="AO382" s="46" t="s">
        <v>658</v>
      </c>
      <c r="AP382" s="46"/>
      <c r="AQ382" s="46">
        <v>2</v>
      </c>
      <c r="AR382" s="46"/>
      <c r="AS382" s="46"/>
      <c r="AT382" s="46"/>
      <c r="AU382" s="46" t="s">
        <v>376</v>
      </c>
      <c r="AV382" s="46"/>
      <c r="AW382" s="46" t="s">
        <v>30</v>
      </c>
      <c r="AX382" s="46"/>
      <c r="AY382" s="46" t="s">
        <v>30</v>
      </c>
      <c r="AZ382" s="46"/>
      <c r="BA382" s="47"/>
      <c r="BB382" s="51"/>
      <c r="BC382" s="46"/>
      <c r="BD382" s="46"/>
      <c r="BE382" s="46"/>
      <c r="BF382" s="46">
        <v>1</v>
      </c>
      <c r="BG382" s="46">
        <v>1</v>
      </c>
      <c r="BH382" s="46">
        <v>1</v>
      </c>
      <c r="BI382" s="46" t="s">
        <v>1157</v>
      </c>
      <c r="BJ382" s="46" t="s">
        <v>1259</v>
      </c>
      <c r="BK382" s="46">
        <v>1929</v>
      </c>
      <c r="BL382" s="46" t="str">
        <f>BK382&amp;BI382</f>
        <v>1929Bolton Wanderers</v>
      </c>
      <c r="BM382" s="52" t="str">
        <f>IF(AD382="Home",BI382,IF(AD382="Away",BJ382,Q382))</f>
        <v>Liverpool</v>
      </c>
      <c r="BN382" s="46"/>
      <c r="BO382" s="46"/>
      <c r="BP382" s="46"/>
      <c r="BQ382" s="46"/>
      <c r="BR382" s="46"/>
      <c r="BS382" s="46"/>
      <c r="BT382" s="46"/>
      <c r="BU382" s="46"/>
      <c r="BV382" s="46" t="s">
        <v>376</v>
      </c>
      <c r="BW382" s="46" t="s">
        <v>376</v>
      </c>
      <c r="BX382" s="46"/>
      <c r="BZ382" s="53"/>
      <c r="CA382" s="53"/>
      <c r="CB382" s="93" t="str">
        <f>IF(OR(C382="",A382="",B382=""),"",TEXT(C382,"0000")&amp;TEXT(A382,"00")&amp;TEXT(B382,"00"))</f>
        <v>19290323</v>
      </c>
    </row>
    <row r="383" spans="1:80" s="52" customFormat="1" ht="12.95" customHeight="1" x14ac:dyDescent="0.2">
      <c r="A383" s="46">
        <v>3</v>
      </c>
      <c r="B383" s="46">
        <v>23</v>
      </c>
      <c r="C383" s="46">
        <v>1929</v>
      </c>
      <c r="D383" s="46" t="s">
        <v>658</v>
      </c>
      <c r="E383" s="46" t="s">
        <v>1279</v>
      </c>
      <c r="F383" s="47" t="s">
        <v>1010</v>
      </c>
      <c r="G383" s="46"/>
      <c r="H383" s="47" t="s">
        <v>1011</v>
      </c>
      <c r="I383" s="47"/>
      <c r="J383" s="48">
        <v>10675</v>
      </c>
      <c r="K383" s="46" t="s">
        <v>1259</v>
      </c>
      <c r="L383" s="46" t="s">
        <v>4</v>
      </c>
      <c r="M383" s="46" t="s">
        <v>1157</v>
      </c>
      <c r="N383" s="49">
        <v>1</v>
      </c>
      <c r="O383" s="49">
        <v>3</v>
      </c>
      <c r="P383" s="47" t="s">
        <v>1141</v>
      </c>
      <c r="Q383" s="47" t="s">
        <v>588</v>
      </c>
      <c r="R383" s="47" t="s">
        <v>376</v>
      </c>
      <c r="S383" s="46"/>
      <c r="T383" s="46"/>
      <c r="U383" s="46"/>
      <c r="V383" s="46"/>
      <c r="W383" s="46"/>
      <c r="X383" s="46"/>
      <c r="Y383" s="46"/>
      <c r="Z383" s="46"/>
      <c r="AA383" s="46"/>
      <c r="AB383" s="46"/>
      <c r="AC383" s="46"/>
      <c r="AD383" s="46"/>
      <c r="AE383" s="50">
        <f>IF(L383="W",1,0)</f>
        <v>0</v>
      </c>
      <c r="AF383" s="50">
        <f>IF(L383="T",1,0)</f>
        <v>0</v>
      </c>
      <c r="AG383" s="50">
        <f>IF(L383="L",1,0)</f>
        <v>1</v>
      </c>
      <c r="AH383" s="46" t="s">
        <v>1096</v>
      </c>
      <c r="AI383" s="46" t="s">
        <v>1260</v>
      </c>
      <c r="AJ383" s="46" t="s">
        <v>376</v>
      </c>
      <c r="AK383" s="46" t="s">
        <v>658</v>
      </c>
      <c r="AL383" s="46" t="s">
        <v>1101</v>
      </c>
      <c r="AM383" s="46" t="s">
        <v>1159</v>
      </c>
      <c r="AN383" s="46" t="s">
        <v>376</v>
      </c>
      <c r="AO383" s="46" t="s">
        <v>658</v>
      </c>
      <c r="AP383" s="46"/>
      <c r="AQ383" s="46">
        <v>2</v>
      </c>
      <c r="AR383" s="46"/>
      <c r="AS383" s="46"/>
      <c r="AT383" s="46"/>
      <c r="AU383" s="46" t="s">
        <v>376</v>
      </c>
      <c r="AV383" s="46"/>
      <c r="AW383" s="46" t="s">
        <v>30</v>
      </c>
      <c r="AX383" s="46"/>
      <c r="AY383" s="46" t="s">
        <v>30</v>
      </c>
      <c r="AZ383" s="46"/>
      <c r="BA383" s="47"/>
      <c r="BB383" s="51"/>
      <c r="BC383" s="46"/>
      <c r="BD383" s="46"/>
      <c r="BE383" s="46"/>
      <c r="BF383" s="46">
        <v>1</v>
      </c>
      <c r="BG383" s="46">
        <v>1</v>
      </c>
      <c r="BH383" s="46">
        <v>1</v>
      </c>
      <c r="BI383" s="46" t="s">
        <v>1259</v>
      </c>
      <c r="BJ383" s="46" t="s">
        <v>1157</v>
      </c>
      <c r="BK383" s="46">
        <v>1929</v>
      </c>
      <c r="BL383" s="46" t="str">
        <f>BK383&amp;BI383</f>
        <v>1929Huddersfield Town</v>
      </c>
      <c r="BM383" s="52" t="str">
        <f>IF(AD383="Home",BI383,IF(AD383="Away",BJ383,Q383))</f>
        <v>Liverpool</v>
      </c>
      <c r="BN383" s="46"/>
      <c r="BO383" s="46"/>
      <c r="BP383" s="46"/>
      <c r="BQ383" s="46"/>
      <c r="BR383" s="46"/>
      <c r="BS383" s="46"/>
      <c r="BT383" s="46"/>
      <c r="BU383" s="46"/>
      <c r="BV383" s="46" t="s">
        <v>376</v>
      </c>
      <c r="BW383" s="46" t="s">
        <v>376</v>
      </c>
      <c r="BX383" s="46"/>
      <c r="BZ383" s="53"/>
      <c r="CA383" s="53"/>
      <c r="CB383" s="93" t="str">
        <f>IF(OR(C383="",A383="",B383=""),"",TEXT(C383,"0000")&amp;TEXT(A383,"00")&amp;TEXT(B383,"00"))</f>
        <v>19290323</v>
      </c>
    </row>
    <row r="384" spans="1:80" s="52" customFormat="1" ht="12.95" customHeight="1" x14ac:dyDescent="0.2">
      <c r="A384" s="46">
        <v>3</v>
      </c>
      <c r="B384" s="46">
        <v>23</v>
      </c>
      <c r="C384" s="46">
        <v>1929</v>
      </c>
      <c r="D384" s="46" t="s">
        <v>658</v>
      </c>
      <c r="E384" s="46" t="s">
        <v>1279</v>
      </c>
      <c r="F384" s="47" t="s">
        <v>1010</v>
      </c>
      <c r="G384" s="46"/>
      <c r="H384" s="47" t="s">
        <v>1011</v>
      </c>
      <c r="I384" s="47"/>
      <c r="J384" s="48">
        <v>10675</v>
      </c>
      <c r="K384" s="46" t="s">
        <v>1280</v>
      </c>
      <c r="L384" s="46" t="s">
        <v>3</v>
      </c>
      <c r="M384" s="46" t="s">
        <v>806</v>
      </c>
      <c r="N384" s="49">
        <v>1</v>
      </c>
      <c r="O384" s="49">
        <v>0</v>
      </c>
      <c r="P384" s="47" t="s">
        <v>1281</v>
      </c>
      <c r="Q384" s="47" t="s">
        <v>1017</v>
      </c>
      <c r="R384" s="47" t="s">
        <v>376</v>
      </c>
      <c r="S384" s="46"/>
      <c r="T384" s="46"/>
      <c r="U384" s="46"/>
      <c r="V384" s="46"/>
      <c r="W384" s="46"/>
      <c r="X384" s="46"/>
      <c r="Y384" s="46"/>
      <c r="Z384" s="46"/>
      <c r="AA384" s="46"/>
      <c r="AB384" s="46"/>
      <c r="AC384" s="46"/>
      <c r="AD384" s="46"/>
      <c r="AE384" s="50">
        <f>IF(L384="W",1,0)</f>
        <v>1</v>
      </c>
      <c r="AF384" s="50">
        <f>IF(L384="T",1,0)</f>
        <v>0</v>
      </c>
      <c r="AG384" s="50">
        <f>IF(L384="L",1,0)</f>
        <v>0</v>
      </c>
      <c r="AH384" s="46" t="s">
        <v>1280</v>
      </c>
      <c r="AI384" s="46" t="s">
        <v>1199</v>
      </c>
      <c r="AJ384" s="46" t="s">
        <v>376</v>
      </c>
      <c r="AK384" s="46" t="s">
        <v>658</v>
      </c>
      <c r="AL384" s="46" t="s">
        <v>1111</v>
      </c>
      <c r="AM384" s="46" t="s">
        <v>1126</v>
      </c>
      <c r="AN384" s="46" t="s">
        <v>376</v>
      </c>
      <c r="AO384" s="46" t="s">
        <v>658</v>
      </c>
      <c r="AP384" s="46"/>
      <c r="AQ384" s="46">
        <v>2</v>
      </c>
      <c r="AR384" s="46"/>
      <c r="AS384" s="46"/>
      <c r="AT384" s="46"/>
      <c r="AU384" s="46" t="s">
        <v>376</v>
      </c>
      <c r="AV384" s="46"/>
      <c r="AW384" s="46" t="s">
        <v>30</v>
      </c>
      <c r="AX384" s="46"/>
      <c r="AY384" s="46" t="s">
        <v>30</v>
      </c>
      <c r="AZ384" s="46"/>
      <c r="BA384" s="47"/>
      <c r="BB384" s="51"/>
      <c r="BC384" s="46"/>
      <c r="BD384" s="46"/>
      <c r="BE384" s="46"/>
      <c r="BF384" s="46">
        <v>1</v>
      </c>
      <c r="BG384" s="46">
        <v>1</v>
      </c>
      <c r="BH384" s="46">
        <v>1</v>
      </c>
      <c r="BI384" s="46" t="s">
        <v>1280</v>
      </c>
      <c r="BJ384" s="46" t="s">
        <v>806</v>
      </c>
      <c r="BK384" s="46">
        <v>1929</v>
      </c>
      <c r="BL384" s="46" t="str">
        <f>BK384&amp;BI384</f>
        <v>1929Portsmouth</v>
      </c>
      <c r="BM384" s="52" t="str">
        <f>IF(AD384="Home",BI384,IF(AD384="Away",BJ384,Q384))</f>
        <v>London</v>
      </c>
      <c r="BN384" s="46"/>
      <c r="BO384" s="46"/>
      <c r="BP384" s="46"/>
      <c r="BQ384" s="46"/>
      <c r="BR384" s="46"/>
      <c r="BS384" s="46"/>
      <c r="BT384" s="46"/>
      <c r="BU384" s="46"/>
      <c r="BV384" s="46" t="s">
        <v>376</v>
      </c>
      <c r="BW384" s="46" t="s">
        <v>376</v>
      </c>
      <c r="BX384" s="46"/>
      <c r="BZ384" s="53"/>
      <c r="CA384" s="53"/>
      <c r="CB384" s="93" t="str">
        <f>IF(OR(C384="",A384="",B384=""),"",TEXT(C384,"0000")&amp;TEXT(A384,"00")&amp;TEXT(B384,"00"))</f>
        <v>19290323</v>
      </c>
    </row>
    <row r="385" spans="1:80" s="52" customFormat="1" ht="12.95" customHeight="1" x14ac:dyDescent="0.2">
      <c r="A385" s="46">
        <v>3</v>
      </c>
      <c r="B385" s="46">
        <v>23</v>
      </c>
      <c r="C385" s="46">
        <v>1929</v>
      </c>
      <c r="D385" s="46" t="s">
        <v>658</v>
      </c>
      <c r="E385" s="46" t="s">
        <v>1279</v>
      </c>
      <c r="F385" s="47" t="s">
        <v>1010</v>
      </c>
      <c r="G385" s="46"/>
      <c r="H385" s="47" t="s">
        <v>1011</v>
      </c>
      <c r="I385" s="47"/>
      <c r="J385" s="48">
        <v>10675</v>
      </c>
      <c r="K385" s="46" t="s">
        <v>806</v>
      </c>
      <c r="L385" s="46" t="s">
        <v>4</v>
      </c>
      <c r="M385" s="46" t="s">
        <v>1280</v>
      </c>
      <c r="N385" s="49">
        <v>0</v>
      </c>
      <c r="O385" s="49">
        <v>1</v>
      </c>
      <c r="P385" s="47" t="s">
        <v>1281</v>
      </c>
      <c r="Q385" s="47" t="s">
        <v>1017</v>
      </c>
      <c r="R385" s="47" t="s">
        <v>376</v>
      </c>
      <c r="S385" s="46"/>
      <c r="T385" s="46"/>
      <c r="U385" s="46"/>
      <c r="V385" s="46"/>
      <c r="W385" s="46"/>
      <c r="X385" s="46"/>
      <c r="Y385" s="46"/>
      <c r="Z385" s="46"/>
      <c r="AA385" s="46"/>
      <c r="AB385" s="46"/>
      <c r="AC385" s="46"/>
      <c r="AD385" s="46"/>
      <c r="AE385" s="50">
        <f>IF(L385="W",1,0)</f>
        <v>0</v>
      </c>
      <c r="AF385" s="50">
        <f>IF(L385="T",1,0)</f>
        <v>0</v>
      </c>
      <c r="AG385" s="50">
        <f>IF(L385="L",1,0)</f>
        <v>1</v>
      </c>
      <c r="AH385" s="46" t="s">
        <v>1111</v>
      </c>
      <c r="AI385" s="46" t="s">
        <v>1126</v>
      </c>
      <c r="AJ385" s="46" t="s">
        <v>376</v>
      </c>
      <c r="AK385" s="46" t="s">
        <v>658</v>
      </c>
      <c r="AL385" s="46" t="s">
        <v>1280</v>
      </c>
      <c r="AM385" s="46" t="s">
        <v>1199</v>
      </c>
      <c r="AN385" s="46" t="s">
        <v>376</v>
      </c>
      <c r="AO385" s="46" t="s">
        <v>658</v>
      </c>
      <c r="AP385" s="46"/>
      <c r="AQ385" s="46">
        <v>2</v>
      </c>
      <c r="AR385" s="46"/>
      <c r="AS385" s="46"/>
      <c r="AT385" s="46"/>
      <c r="AU385" s="46" t="s">
        <v>376</v>
      </c>
      <c r="AV385" s="46"/>
      <c r="AW385" s="46" t="s">
        <v>30</v>
      </c>
      <c r="AX385" s="46"/>
      <c r="AY385" s="46" t="s">
        <v>30</v>
      </c>
      <c r="AZ385" s="46"/>
      <c r="BA385" s="47"/>
      <c r="BB385" s="51"/>
      <c r="BC385" s="46"/>
      <c r="BD385" s="46"/>
      <c r="BE385" s="46"/>
      <c r="BF385" s="46">
        <v>1</v>
      </c>
      <c r="BG385" s="46">
        <v>1</v>
      </c>
      <c r="BH385" s="46">
        <v>1</v>
      </c>
      <c r="BI385" s="46" t="s">
        <v>806</v>
      </c>
      <c r="BJ385" s="46" t="s">
        <v>1280</v>
      </c>
      <c r="BK385" s="46">
        <v>1929</v>
      </c>
      <c r="BL385" s="46" t="str">
        <f>BK385&amp;BI385</f>
        <v>1929Aston Villa</v>
      </c>
      <c r="BM385" s="52" t="str">
        <f>IF(AD385="Home",BI385,IF(AD385="Away",BJ385,Q385))</f>
        <v>London</v>
      </c>
      <c r="BN385" s="46"/>
      <c r="BO385" s="46"/>
      <c r="BP385" s="46"/>
      <c r="BQ385" s="46"/>
      <c r="BR385" s="46"/>
      <c r="BS385" s="46"/>
      <c r="BT385" s="46"/>
      <c r="BU385" s="46"/>
      <c r="BV385" s="46" t="s">
        <v>376</v>
      </c>
      <c r="BW385" s="46" t="s">
        <v>376</v>
      </c>
      <c r="BX385" s="46"/>
      <c r="BZ385" s="53"/>
      <c r="CA385" s="53"/>
      <c r="CB385" s="93" t="str">
        <f>IF(OR(C385="",A385="",B385=""),"",TEXT(C385,"0000")&amp;TEXT(A385,"00")&amp;TEXT(B385,"00"))</f>
        <v>19290323</v>
      </c>
    </row>
    <row r="386" spans="1:80" s="52" customFormat="1" ht="12.95" customHeight="1" x14ac:dyDescent="0.2">
      <c r="A386" s="46">
        <v>4</v>
      </c>
      <c r="B386" s="46">
        <v>27</v>
      </c>
      <c r="C386" s="46">
        <v>1929</v>
      </c>
      <c r="D386" s="46" t="s">
        <v>658</v>
      </c>
      <c r="E386" s="46" t="s">
        <v>1279</v>
      </c>
      <c r="F386" s="47" t="s">
        <v>1010</v>
      </c>
      <c r="G386" s="46"/>
      <c r="H386" s="47" t="s">
        <v>1025</v>
      </c>
      <c r="I386" s="47"/>
      <c r="J386" s="48">
        <v>10710</v>
      </c>
      <c r="K386" s="46" t="s">
        <v>1157</v>
      </c>
      <c r="L386" s="46" t="s">
        <v>3</v>
      </c>
      <c r="M386" s="46" t="s">
        <v>1280</v>
      </c>
      <c r="N386" s="49">
        <v>2</v>
      </c>
      <c r="O386" s="49">
        <v>0</v>
      </c>
      <c r="P386" s="47" t="s">
        <v>1268</v>
      </c>
      <c r="Q386" s="47" t="s">
        <v>1017</v>
      </c>
      <c r="R386" s="47" t="s">
        <v>376</v>
      </c>
      <c r="S386" s="46"/>
      <c r="T386" s="46"/>
      <c r="U386" s="46"/>
      <c r="V386" s="46"/>
      <c r="W386" s="46"/>
      <c r="X386" s="46"/>
      <c r="Y386" s="46"/>
      <c r="Z386" s="46"/>
      <c r="AA386" s="46"/>
      <c r="AB386" s="46"/>
      <c r="AC386" s="46"/>
      <c r="AD386" s="46"/>
      <c r="AE386" s="50">
        <f>IF(L386="W",1,0)</f>
        <v>1</v>
      </c>
      <c r="AF386" s="50">
        <f>IF(L386="T",1,0)</f>
        <v>0</v>
      </c>
      <c r="AG386" s="50">
        <f>IF(L386="L",1,0)</f>
        <v>0</v>
      </c>
      <c r="AH386" s="46" t="s">
        <v>1101</v>
      </c>
      <c r="AI386" s="46" t="s">
        <v>1159</v>
      </c>
      <c r="AJ386" s="46" t="s">
        <v>376</v>
      </c>
      <c r="AK386" s="46" t="s">
        <v>658</v>
      </c>
      <c r="AL386" s="46" t="s">
        <v>1280</v>
      </c>
      <c r="AM386" s="46" t="s">
        <v>1199</v>
      </c>
      <c r="AN386" s="46" t="s">
        <v>376</v>
      </c>
      <c r="AO386" s="46" t="s">
        <v>658</v>
      </c>
      <c r="AP386" s="46"/>
      <c r="AQ386" s="46">
        <v>1</v>
      </c>
      <c r="AR386" s="46"/>
      <c r="AS386" s="46"/>
      <c r="AT386" s="46"/>
      <c r="AU386" s="46" t="s">
        <v>376</v>
      </c>
      <c r="AV386" s="46"/>
      <c r="AW386" s="46" t="s">
        <v>30</v>
      </c>
      <c r="AX386" s="46"/>
      <c r="AY386" s="46" t="s">
        <v>30</v>
      </c>
      <c r="AZ386" s="46"/>
      <c r="BA386" s="47"/>
      <c r="BB386" s="51" t="s">
        <v>30</v>
      </c>
      <c r="BC386" s="46" t="s">
        <v>30</v>
      </c>
      <c r="BD386" s="46"/>
      <c r="BE386" s="46"/>
      <c r="BF386" s="46">
        <v>1</v>
      </c>
      <c r="BG386" s="46">
        <v>1</v>
      </c>
      <c r="BH386" s="46">
        <v>1</v>
      </c>
      <c r="BI386" s="46" t="s">
        <v>1157</v>
      </c>
      <c r="BJ386" s="46" t="s">
        <v>1280</v>
      </c>
      <c r="BK386" s="46">
        <v>1929</v>
      </c>
      <c r="BL386" s="46" t="str">
        <f>BK386&amp;BI386</f>
        <v>1929Bolton Wanderers</v>
      </c>
      <c r="BM386" s="52" t="str">
        <f>IF(AD386="Home",BI386,IF(AD386="Away",BJ386,Q386))</f>
        <v>London</v>
      </c>
      <c r="BN386" s="46"/>
      <c r="BO386" s="46"/>
      <c r="BP386" s="46"/>
      <c r="BQ386" s="46"/>
      <c r="BR386" s="46"/>
      <c r="BS386" s="46"/>
      <c r="BT386" s="46"/>
      <c r="BU386" s="46"/>
      <c r="BV386" s="46" t="s">
        <v>376</v>
      </c>
      <c r="BW386" s="46" t="s">
        <v>376</v>
      </c>
      <c r="BX386" s="46"/>
      <c r="BZ386" s="53"/>
      <c r="CA386" s="53"/>
      <c r="CB386" s="93" t="str">
        <f>IF(OR(C386="",A386="",B386=""),"",TEXT(C386,"0000")&amp;TEXT(A386,"00")&amp;TEXT(B386,"00"))</f>
        <v>19290427</v>
      </c>
    </row>
    <row r="387" spans="1:80" s="52" customFormat="1" ht="12.95" customHeight="1" x14ac:dyDescent="0.2">
      <c r="A387" s="46">
        <v>4</v>
      </c>
      <c r="B387" s="46">
        <v>27</v>
      </c>
      <c r="C387" s="46">
        <v>1929</v>
      </c>
      <c r="D387" s="46" t="s">
        <v>658</v>
      </c>
      <c r="E387" s="46" t="s">
        <v>1279</v>
      </c>
      <c r="F387" s="47" t="s">
        <v>1010</v>
      </c>
      <c r="G387" s="46"/>
      <c r="H387" s="47" t="s">
        <v>1025</v>
      </c>
      <c r="I387" s="47"/>
      <c r="J387" s="48">
        <v>10710</v>
      </c>
      <c r="K387" s="46" t="s">
        <v>1280</v>
      </c>
      <c r="L387" s="46" t="s">
        <v>4</v>
      </c>
      <c r="M387" s="46" t="s">
        <v>1157</v>
      </c>
      <c r="N387" s="49">
        <v>0</v>
      </c>
      <c r="O387" s="49">
        <v>2</v>
      </c>
      <c r="P387" s="47" t="s">
        <v>1268</v>
      </c>
      <c r="Q387" s="47" t="s">
        <v>1017</v>
      </c>
      <c r="R387" s="47" t="s">
        <v>376</v>
      </c>
      <c r="S387" s="46"/>
      <c r="T387" s="46"/>
      <c r="U387" s="46"/>
      <c r="V387" s="46"/>
      <c r="W387" s="46"/>
      <c r="X387" s="46"/>
      <c r="Y387" s="46"/>
      <c r="Z387" s="46"/>
      <c r="AA387" s="46"/>
      <c r="AB387" s="46"/>
      <c r="AC387" s="46"/>
      <c r="AD387" s="46"/>
      <c r="AE387" s="50">
        <f>IF(L387="W",1,0)</f>
        <v>0</v>
      </c>
      <c r="AF387" s="50">
        <f>IF(L387="T",1,0)</f>
        <v>0</v>
      </c>
      <c r="AG387" s="50">
        <f>IF(L387="L",1,0)</f>
        <v>1</v>
      </c>
      <c r="AH387" s="46" t="s">
        <v>1280</v>
      </c>
      <c r="AI387" s="46" t="s">
        <v>1199</v>
      </c>
      <c r="AJ387" s="46" t="s">
        <v>376</v>
      </c>
      <c r="AK387" s="46" t="s">
        <v>658</v>
      </c>
      <c r="AL387" s="46" t="s">
        <v>1101</v>
      </c>
      <c r="AM387" s="46" t="s">
        <v>1159</v>
      </c>
      <c r="AN387" s="46" t="s">
        <v>376</v>
      </c>
      <c r="AO387" s="46" t="s">
        <v>658</v>
      </c>
      <c r="AP387" s="46"/>
      <c r="AQ387" s="46">
        <v>1</v>
      </c>
      <c r="AR387" s="46"/>
      <c r="AS387" s="46"/>
      <c r="AT387" s="46"/>
      <c r="AU387" s="46" t="s">
        <v>376</v>
      </c>
      <c r="AV387" s="46"/>
      <c r="AW387" s="46" t="s">
        <v>30</v>
      </c>
      <c r="AX387" s="46"/>
      <c r="AY387" s="46" t="s">
        <v>30</v>
      </c>
      <c r="AZ387" s="46"/>
      <c r="BA387" s="47"/>
      <c r="BB387" s="51"/>
      <c r="BC387" s="46" t="s">
        <v>30</v>
      </c>
      <c r="BD387" s="46"/>
      <c r="BE387" s="46"/>
      <c r="BF387" s="46">
        <v>1</v>
      </c>
      <c r="BG387" s="46">
        <v>1</v>
      </c>
      <c r="BH387" s="46">
        <v>1</v>
      </c>
      <c r="BI387" s="46" t="s">
        <v>1280</v>
      </c>
      <c r="BJ387" s="46" t="s">
        <v>1157</v>
      </c>
      <c r="BK387" s="46">
        <v>1929</v>
      </c>
      <c r="BL387" s="46" t="str">
        <f>BK387&amp;BI387</f>
        <v>1929Portsmouth</v>
      </c>
      <c r="BM387" s="52" t="str">
        <f>IF(AD387="Home",BI387,IF(AD387="Away",BJ387,Q387))</f>
        <v>London</v>
      </c>
      <c r="BN387" s="46"/>
      <c r="BO387" s="46"/>
      <c r="BP387" s="46"/>
      <c r="BQ387" s="46"/>
      <c r="BR387" s="46"/>
      <c r="BS387" s="46"/>
      <c r="BT387" s="46"/>
      <c r="BU387" s="46"/>
      <c r="BV387" s="46" t="s">
        <v>376</v>
      </c>
      <c r="BW387" s="46" t="s">
        <v>376</v>
      </c>
      <c r="BX387" s="46"/>
      <c r="BZ387" s="53"/>
      <c r="CA387" s="53"/>
      <c r="CB387" s="93" t="str">
        <f>IF(OR(C387="",A387="",B387=""),"",TEXT(C387,"0000")&amp;TEXT(A387,"00")&amp;TEXT(B387,"00"))</f>
        <v>19290427</v>
      </c>
    </row>
    <row r="388" spans="1:80" s="52" customFormat="1" ht="12.95" customHeight="1" x14ac:dyDescent="0.2">
      <c r="A388" s="46">
        <v>3</v>
      </c>
      <c r="B388" s="46">
        <v>22</v>
      </c>
      <c r="C388" s="46">
        <v>1930</v>
      </c>
      <c r="D388" s="46" t="s">
        <v>658</v>
      </c>
      <c r="E388" s="46" t="s">
        <v>1282</v>
      </c>
      <c r="F388" s="47" t="s">
        <v>1010</v>
      </c>
      <c r="G388" s="46"/>
      <c r="H388" s="47" t="s">
        <v>1011</v>
      </c>
      <c r="I388" s="47"/>
      <c r="J388" s="48">
        <v>11039</v>
      </c>
      <c r="K388" s="46" t="s">
        <v>1283</v>
      </c>
      <c r="L388" s="46" t="s">
        <v>1014</v>
      </c>
      <c r="M388" s="46" t="s">
        <v>587</v>
      </c>
      <c r="N388" s="49">
        <v>2</v>
      </c>
      <c r="O388" s="49">
        <v>2</v>
      </c>
      <c r="P388" s="47" t="s">
        <v>1240</v>
      </c>
      <c r="Q388" s="47" t="s">
        <v>1241</v>
      </c>
      <c r="R388" s="47" t="s">
        <v>376</v>
      </c>
      <c r="S388" s="46"/>
      <c r="T388" s="46"/>
      <c r="U388" s="46"/>
      <c r="V388" s="46"/>
      <c r="W388" s="46"/>
      <c r="X388" s="46"/>
      <c r="Y388" s="46"/>
      <c r="Z388" s="46"/>
      <c r="AA388" s="46"/>
      <c r="AB388" s="46"/>
      <c r="AC388" s="46"/>
      <c r="AD388" s="46"/>
      <c r="AE388" s="50">
        <f>IF(L388="W",1,0)</f>
        <v>0</v>
      </c>
      <c r="AF388" s="50">
        <f>IF(L388="T",1,0)</f>
        <v>1</v>
      </c>
      <c r="AG388" s="50">
        <f>IF(L388="L",1,0)</f>
        <v>0</v>
      </c>
      <c r="AH388" s="46" t="s">
        <v>1284</v>
      </c>
      <c r="AI388" s="46" t="s">
        <v>1285</v>
      </c>
      <c r="AJ388" s="46" t="s">
        <v>376</v>
      </c>
      <c r="AK388" s="46" t="s">
        <v>658</v>
      </c>
      <c r="AL388" s="46" t="s">
        <v>1017</v>
      </c>
      <c r="AM388" s="46" t="s">
        <v>1018</v>
      </c>
      <c r="AN388" s="46" t="s">
        <v>376</v>
      </c>
      <c r="AO388" s="46" t="s">
        <v>658</v>
      </c>
      <c r="AP388" s="46"/>
      <c r="AQ388" s="46">
        <v>2</v>
      </c>
      <c r="AR388" s="46"/>
      <c r="AS388" s="46"/>
      <c r="AT388" s="46"/>
      <c r="AU388" s="46" t="s">
        <v>376</v>
      </c>
      <c r="AV388" s="46"/>
      <c r="AW388" s="46" t="s">
        <v>30</v>
      </c>
      <c r="AX388" s="46"/>
      <c r="AY388" s="46" t="s">
        <v>30</v>
      </c>
      <c r="AZ388" s="46"/>
      <c r="BA388" s="47"/>
      <c r="BB388" s="51"/>
      <c r="BC388" s="46"/>
      <c r="BD388" s="46"/>
      <c r="BE388" s="46"/>
      <c r="BF388" s="46">
        <v>1</v>
      </c>
      <c r="BG388" s="46">
        <v>2</v>
      </c>
      <c r="BH388" s="46">
        <v>1</v>
      </c>
      <c r="BI388" s="46" t="s">
        <v>1283</v>
      </c>
      <c r="BJ388" s="46" t="s">
        <v>587</v>
      </c>
      <c r="BK388" s="46">
        <v>1930</v>
      </c>
      <c r="BL388" s="46" t="str">
        <f>BK388&amp;BI388</f>
        <v>1930Hull City</v>
      </c>
      <c r="BM388" s="52" t="str">
        <f>IF(AD388="Home",BI388,IF(AD388="Away",BJ388,Q388))</f>
        <v>Leeds</v>
      </c>
      <c r="BN388" s="46"/>
      <c r="BO388" s="46"/>
      <c r="BP388" s="46"/>
      <c r="BQ388" s="46"/>
      <c r="BR388" s="46"/>
      <c r="BS388" s="46"/>
      <c r="BT388" s="46"/>
      <c r="BU388" s="46"/>
      <c r="BV388" s="46" t="s">
        <v>376</v>
      </c>
      <c r="BW388" s="46" t="s">
        <v>376</v>
      </c>
      <c r="BX388" s="46"/>
      <c r="BZ388" s="53"/>
      <c r="CA388" s="53"/>
      <c r="CB388" s="93" t="str">
        <f>IF(OR(C388="",A388="",B388=""),"",TEXT(C388,"0000")&amp;TEXT(A388,"00")&amp;TEXT(B388,"00"))</f>
        <v>19300322</v>
      </c>
    </row>
    <row r="389" spans="1:80" s="52" customFormat="1" ht="12.95" customHeight="1" x14ac:dyDescent="0.2">
      <c r="A389" s="46">
        <v>3</v>
      </c>
      <c r="B389" s="46">
        <v>22</v>
      </c>
      <c r="C389" s="46">
        <v>1930</v>
      </c>
      <c r="D389" s="46" t="s">
        <v>658</v>
      </c>
      <c r="E389" s="46" t="s">
        <v>1282</v>
      </c>
      <c r="F389" s="47" t="s">
        <v>1010</v>
      </c>
      <c r="G389" s="46"/>
      <c r="H389" s="47" t="s">
        <v>1011</v>
      </c>
      <c r="I389" s="47"/>
      <c r="J389" s="48">
        <v>11039</v>
      </c>
      <c r="K389" s="46" t="s">
        <v>587</v>
      </c>
      <c r="L389" s="46" t="s">
        <v>1014</v>
      </c>
      <c r="M389" s="46" t="s">
        <v>1283</v>
      </c>
      <c r="N389" s="49">
        <v>2</v>
      </c>
      <c r="O389" s="49">
        <v>2</v>
      </c>
      <c r="P389" s="47" t="s">
        <v>1240</v>
      </c>
      <c r="Q389" s="47" t="s">
        <v>1241</v>
      </c>
      <c r="R389" s="47" t="s">
        <v>376</v>
      </c>
      <c r="S389" s="46"/>
      <c r="T389" s="46"/>
      <c r="U389" s="46"/>
      <c r="V389" s="46"/>
      <c r="W389" s="46"/>
      <c r="X389" s="46"/>
      <c r="Y389" s="46"/>
      <c r="Z389" s="46"/>
      <c r="AA389" s="46"/>
      <c r="AB389" s="46"/>
      <c r="AC389" s="46"/>
      <c r="AD389" s="46"/>
      <c r="AE389" s="50">
        <f>IF(L389="W",1,0)</f>
        <v>0</v>
      </c>
      <c r="AF389" s="50">
        <f>IF(L389="T",1,0)</f>
        <v>1</v>
      </c>
      <c r="AG389" s="50">
        <f>IF(L389="L",1,0)</f>
        <v>0</v>
      </c>
      <c r="AH389" s="46" t="s">
        <v>1017</v>
      </c>
      <c r="AI389" s="46" t="s">
        <v>1018</v>
      </c>
      <c r="AJ389" s="46" t="s">
        <v>376</v>
      </c>
      <c r="AK389" s="46" t="s">
        <v>658</v>
      </c>
      <c r="AL389" s="46" t="s">
        <v>1284</v>
      </c>
      <c r="AM389" s="46" t="s">
        <v>1285</v>
      </c>
      <c r="AN389" s="46" t="s">
        <v>376</v>
      </c>
      <c r="AO389" s="46" t="s">
        <v>658</v>
      </c>
      <c r="AP389" s="46"/>
      <c r="AQ389" s="46">
        <v>2</v>
      </c>
      <c r="AR389" s="46"/>
      <c r="AS389" s="46"/>
      <c r="AT389" s="46"/>
      <c r="AU389" s="46" t="s">
        <v>376</v>
      </c>
      <c r="AV389" s="46"/>
      <c r="AW389" s="46" t="s">
        <v>30</v>
      </c>
      <c r="AX389" s="46"/>
      <c r="AY389" s="46" t="s">
        <v>30</v>
      </c>
      <c r="AZ389" s="46"/>
      <c r="BA389" s="47"/>
      <c r="BB389" s="51"/>
      <c r="BC389" s="46"/>
      <c r="BD389" s="46"/>
      <c r="BE389" s="46"/>
      <c r="BF389" s="46">
        <v>1</v>
      </c>
      <c r="BG389" s="46">
        <v>1</v>
      </c>
      <c r="BH389" s="46">
        <v>2</v>
      </c>
      <c r="BI389" s="46" t="s">
        <v>587</v>
      </c>
      <c r="BJ389" s="46" t="s">
        <v>1283</v>
      </c>
      <c r="BK389" s="46">
        <v>1930</v>
      </c>
      <c r="BL389" s="46" t="str">
        <f>BK389&amp;BI389</f>
        <v>1930Arsenal</v>
      </c>
      <c r="BM389" s="52" t="str">
        <f>IF(AD389="Home",BI389,IF(AD389="Away",BJ389,Q389))</f>
        <v>Leeds</v>
      </c>
      <c r="BN389" s="46"/>
      <c r="BO389" s="46"/>
      <c r="BP389" s="46"/>
      <c r="BQ389" s="46"/>
      <c r="BR389" s="46"/>
      <c r="BS389" s="46"/>
      <c r="BT389" s="46"/>
      <c r="BU389" s="46"/>
      <c r="BV389" s="46" t="s">
        <v>376</v>
      </c>
      <c r="BW389" s="46" t="s">
        <v>376</v>
      </c>
      <c r="BX389" s="46"/>
      <c r="BZ389" s="53"/>
      <c r="CA389" s="53"/>
      <c r="CB389" s="93" t="str">
        <f>IF(OR(C389="",A389="",B389=""),"",TEXT(C389,"0000")&amp;TEXT(A389,"00")&amp;TEXT(B389,"00"))</f>
        <v>19300322</v>
      </c>
    </row>
    <row r="390" spans="1:80" s="52" customFormat="1" ht="12.95" customHeight="1" x14ac:dyDescent="0.2">
      <c r="A390" s="46">
        <v>3</v>
      </c>
      <c r="B390" s="46">
        <v>22</v>
      </c>
      <c r="C390" s="46">
        <v>1930</v>
      </c>
      <c r="D390" s="46" t="s">
        <v>658</v>
      </c>
      <c r="E390" s="46" t="s">
        <v>1282</v>
      </c>
      <c r="F390" s="47" t="s">
        <v>1010</v>
      </c>
      <c r="G390" s="46"/>
      <c r="H390" s="47" t="s">
        <v>1011</v>
      </c>
      <c r="I390" s="47"/>
      <c r="J390" s="48">
        <v>11039</v>
      </c>
      <c r="K390" s="46" t="s">
        <v>1259</v>
      </c>
      <c r="L390" s="46" t="s">
        <v>3</v>
      </c>
      <c r="M390" s="46" t="s">
        <v>1093</v>
      </c>
      <c r="N390" s="49">
        <v>2</v>
      </c>
      <c r="O390" s="49">
        <v>1</v>
      </c>
      <c r="P390" s="47" t="s">
        <v>1246</v>
      </c>
      <c r="Q390" s="47" t="s">
        <v>1101</v>
      </c>
      <c r="R390" s="47" t="s">
        <v>376</v>
      </c>
      <c r="S390" s="46"/>
      <c r="T390" s="46"/>
      <c r="U390" s="46"/>
      <c r="V390" s="46"/>
      <c r="W390" s="46"/>
      <c r="X390" s="46"/>
      <c r="Y390" s="46"/>
      <c r="Z390" s="46"/>
      <c r="AA390" s="46"/>
      <c r="AB390" s="46"/>
      <c r="AC390" s="46"/>
      <c r="AD390" s="46"/>
      <c r="AE390" s="50">
        <f>IF(L390="W",1,0)</f>
        <v>1</v>
      </c>
      <c r="AF390" s="50">
        <f>IF(L390="T",1,0)</f>
        <v>0</v>
      </c>
      <c r="AG390" s="50">
        <f>IF(L390="L",1,0)</f>
        <v>0</v>
      </c>
      <c r="AH390" s="46" t="s">
        <v>1096</v>
      </c>
      <c r="AI390" s="46" t="s">
        <v>1260</v>
      </c>
      <c r="AJ390" s="46" t="s">
        <v>376</v>
      </c>
      <c r="AK390" s="46" t="s">
        <v>658</v>
      </c>
      <c r="AL390" s="46" t="s">
        <v>1097</v>
      </c>
      <c r="AM390" s="46" t="s">
        <v>1098</v>
      </c>
      <c r="AN390" s="46" t="s">
        <v>376</v>
      </c>
      <c r="AO390" s="46" t="s">
        <v>658</v>
      </c>
      <c r="AP390" s="46"/>
      <c r="AQ390" s="46">
        <v>2</v>
      </c>
      <c r="AR390" s="46"/>
      <c r="AS390" s="46"/>
      <c r="AT390" s="46"/>
      <c r="AU390" s="46" t="s">
        <v>376</v>
      </c>
      <c r="AV390" s="46"/>
      <c r="AW390" s="46" t="s">
        <v>30</v>
      </c>
      <c r="AX390" s="46"/>
      <c r="AY390" s="46" t="s">
        <v>30</v>
      </c>
      <c r="AZ390" s="46"/>
      <c r="BA390" s="47"/>
      <c r="BB390" s="51"/>
      <c r="BC390" s="46"/>
      <c r="BD390" s="46"/>
      <c r="BE390" s="46"/>
      <c r="BF390" s="46">
        <v>1</v>
      </c>
      <c r="BG390" s="46">
        <v>1</v>
      </c>
      <c r="BH390" s="46">
        <v>1</v>
      </c>
      <c r="BI390" s="46" t="s">
        <v>1259</v>
      </c>
      <c r="BJ390" s="46" t="s">
        <v>1093</v>
      </c>
      <c r="BK390" s="46">
        <v>1930</v>
      </c>
      <c r="BL390" s="46" t="str">
        <f>BK390&amp;BI390</f>
        <v>1930Huddersfield Town</v>
      </c>
      <c r="BM390" s="52" t="str">
        <f>IF(AD390="Home",BI390,IF(AD390="Away",BJ390,Q390))</f>
        <v>Manchester</v>
      </c>
      <c r="BN390" s="46"/>
      <c r="BO390" s="46"/>
      <c r="BP390" s="46"/>
      <c r="BQ390" s="46"/>
      <c r="BR390" s="46"/>
      <c r="BS390" s="46"/>
      <c r="BT390" s="46"/>
      <c r="BU390" s="46"/>
      <c r="BV390" s="46" t="s">
        <v>376</v>
      </c>
      <c r="BW390" s="46" t="s">
        <v>376</v>
      </c>
      <c r="BX390" s="46"/>
      <c r="BZ390" s="53"/>
      <c r="CA390" s="53"/>
      <c r="CB390" s="93" t="str">
        <f>IF(OR(C390="",A390="",B390=""),"",TEXT(C390,"0000")&amp;TEXT(A390,"00")&amp;TEXT(B390,"00"))</f>
        <v>19300322</v>
      </c>
    </row>
    <row r="391" spans="1:80" s="52" customFormat="1" ht="12.95" customHeight="1" x14ac:dyDescent="0.2">
      <c r="A391" s="46">
        <v>3</v>
      </c>
      <c r="B391" s="46">
        <v>22</v>
      </c>
      <c r="C391" s="46">
        <v>1930</v>
      </c>
      <c r="D391" s="46" t="s">
        <v>658</v>
      </c>
      <c r="E391" s="46" t="s">
        <v>1282</v>
      </c>
      <c r="F391" s="47" t="s">
        <v>1010</v>
      </c>
      <c r="G391" s="46"/>
      <c r="H391" s="47" t="s">
        <v>1011</v>
      </c>
      <c r="I391" s="47"/>
      <c r="J391" s="48">
        <v>11039</v>
      </c>
      <c r="K391" s="46" t="s">
        <v>1093</v>
      </c>
      <c r="L391" s="46" t="s">
        <v>4</v>
      </c>
      <c r="M391" s="46" t="s">
        <v>1259</v>
      </c>
      <c r="N391" s="49">
        <v>1</v>
      </c>
      <c r="O391" s="49">
        <v>2</v>
      </c>
      <c r="P391" s="47" t="s">
        <v>1246</v>
      </c>
      <c r="Q391" s="47" t="s">
        <v>1101</v>
      </c>
      <c r="R391" s="47" t="s">
        <v>376</v>
      </c>
      <c r="S391" s="46"/>
      <c r="T391" s="46"/>
      <c r="U391" s="46"/>
      <c r="V391" s="46"/>
      <c r="W391" s="46"/>
      <c r="X391" s="46"/>
      <c r="Y391" s="46"/>
      <c r="Z391" s="46"/>
      <c r="AA391" s="46"/>
      <c r="AB391" s="46"/>
      <c r="AC391" s="46"/>
      <c r="AD391" s="46"/>
      <c r="AE391" s="50">
        <f>IF(L391="W",1,0)</f>
        <v>0</v>
      </c>
      <c r="AF391" s="50">
        <f>IF(L391="T",1,0)</f>
        <v>0</v>
      </c>
      <c r="AG391" s="50">
        <f>IF(L391="L",1,0)</f>
        <v>1</v>
      </c>
      <c r="AH391" s="46" t="s">
        <v>1097</v>
      </c>
      <c r="AI391" s="46" t="s">
        <v>1098</v>
      </c>
      <c r="AJ391" s="46" t="s">
        <v>376</v>
      </c>
      <c r="AK391" s="46" t="s">
        <v>658</v>
      </c>
      <c r="AL391" s="46" t="s">
        <v>1096</v>
      </c>
      <c r="AM391" s="46" t="s">
        <v>1260</v>
      </c>
      <c r="AN391" s="46" t="s">
        <v>376</v>
      </c>
      <c r="AO391" s="46" t="s">
        <v>658</v>
      </c>
      <c r="AP391" s="46"/>
      <c r="AQ391" s="46">
        <v>2</v>
      </c>
      <c r="AR391" s="46"/>
      <c r="AS391" s="46"/>
      <c r="AT391" s="46"/>
      <c r="AU391" s="46" t="s">
        <v>376</v>
      </c>
      <c r="AV391" s="46"/>
      <c r="AW391" s="46" t="s">
        <v>30</v>
      </c>
      <c r="AX391" s="46"/>
      <c r="AY391" s="46" t="s">
        <v>30</v>
      </c>
      <c r="AZ391" s="46"/>
      <c r="BA391" s="47"/>
      <c r="BB391" s="51"/>
      <c r="BC391" s="46"/>
      <c r="BD391" s="46"/>
      <c r="BE391" s="46"/>
      <c r="BF391" s="46">
        <v>1</v>
      </c>
      <c r="BG391" s="46">
        <v>1</v>
      </c>
      <c r="BH391" s="46">
        <v>1</v>
      </c>
      <c r="BI391" s="46" t="s">
        <v>1093</v>
      </c>
      <c r="BJ391" s="46" t="s">
        <v>1259</v>
      </c>
      <c r="BK391" s="46">
        <v>1930</v>
      </c>
      <c r="BL391" s="46" t="str">
        <f>BK391&amp;BI391</f>
        <v>1930Sheffield Wednesday</v>
      </c>
      <c r="BM391" s="52" t="str">
        <f>IF(AD391="Home",BI391,IF(AD391="Away",BJ391,Q391))</f>
        <v>Manchester</v>
      </c>
      <c r="BN391" s="46"/>
      <c r="BO391" s="46"/>
      <c r="BP391" s="46"/>
      <c r="BQ391" s="46"/>
      <c r="BR391" s="46"/>
      <c r="BS391" s="46"/>
      <c r="BT391" s="46"/>
      <c r="BU391" s="46"/>
      <c r="BV391" s="46" t="s">
        <v>376</v>
      </c>
      <c r="BW391" s="46" t="s">
        <v>376</v>
      </c>
      <c r="BX391" s="46"/>
      <c r="BZ391" s="53"/>
      <c r="CA391" s="53"/>
      <c r="CB391" s="93" t="str">
        <f>IF(OR(C391="",A391="",B391=""),"",TEXT(C391,"0000")&amp;TEXT(A391,"00")&amp;TEXT(B391,"00"))</f>
        <v>19300322</v>
      </c>
    </row>
    <row r="392" spans="1:80" s="52" customFormat="1" ht="12.95" customHeight="1" x14ac:dyDescent="0.2">
      <c r="A392" s="46">
        <v>3</v>
      </c>
      <c r="B392" s="46">
        <v>26</v>
      </c>
      <c r="C392" s="46">
        <v>1930</v>
      </c>
      <c r="D392" s="46" t="s">
        <v>658</v>
      </c>
      <c r="E392" s="46" t="s">
        <v>1282</v>
      </c>
      <c r="F392" s="47" t="s">
        <v>1010</v>
      </c>
      <c r="G392" s="46"/>
      <c r="H392" s="47" t="s">
        <v>1011</v>
      </c>
      <c r="I392" s="47" t="s">
        <v>1023</v>
      </c>
      <c r="J392" s="48">
        <v>11043</v>
      </c>
      <c r="K392" s="46" t="s">
        <v>587</v>
      </c>
      <c r="L392" s="46" t="s">
        <v>3</v>
      </c>
      <c r="M392" s="46" t="s">
        <v>1283</v>
      </c>
      <c r="N392" s="49">
        <v>1</v>
      </c>
      <c r="O392" s="49">
        <v>0</v>
      </c>
      <c r="P392" s="47" t="s">
        <v>1219</v>
      </c>
      <c r="Q392" s="47" t="s">
        <v>1111</v>
      </c>
      <c r="R392" s="47" t="s">
        <v>376</v>
      </c>
      <c r="S392" s="46"/>
      <c r="T392" s="46"/>
      <c r="U392" s="46"/>
      <c r="V392" s="46"/>
      <c r="W392" s="46"/>
      <c r="X392" s="46"/>
      <c r="Y392" s="46"/>
      <c r="Z392" s="46"/>
      <c r="AA392" s="46"/>
      <c r="AB392" s="46"/>
      <c r="AC392" s="46"/>
      <c r="AD392" s="46"/>
      <c r="AE392" s="50">
        <f>IF(L392="W",1,0)</f>
        <v>1</v>
      </c>
      <c r="AF392" s="50">
        <f>IF(L392="T",1,0)</f>
        <v>0</v>
      </c>
      <c r="AG392" s="50">
        <f>IF(L392="L",1,0)</f>
        <v>0</v>
      </c>
      <c r="AH392" s="46" t="s">
        <v>1017</v>
      </c>
      <c r="AI392" s="46" t="s">
        <v>1018</v>
      </c>
      <c r="AJ392" s="46" t="s">
        <v>376</v>
      </c>
      <c r="AK392" s="46" t="s">
        <v>658</v>
      </c>
      <c r="AL392" s="46" t="s">
        <v>1284</v>
      </c>
      <c r="AM392" s="46" t="s">
        <v>1285</v>
      </c>
      <c r="AN392" s="46" t="s">
        <v>376</v>
      </c>
      <c r="AO392" s="46" t="s">
        <v>658</v>
      </c>
      <c r="AP392" s="46"/>
      <c r="AQ392" s="46">
        <v>2</v>
      </c>
      <c r="AR392" s="46"/>
      <c r="AS392" s="46"/>
      <c r="AT392" s="46"/>
      <c r="AU392" s="46" t="s">
        <v>376</v>
      </c>
      <c r="AV392" s="46"/>
      <c r="AW392" s="46" t="s">
        <v>30</v>
      </c>
      <c r="AX392" s="46"/>
      <c r="AY392" s="46" t="s">
        <v>30</v>
      </c>
      <c r="AZ392" s="46"/>
      <c r="BA392" s="47"/>
      <c r="BB392" s="51"/>
      <c r="BC392" s="46"/>
      <c r="BD392" s="46"/>
      <c r="BE392" s="46"/>
      <c r="BF392" s="46">
        <v>1</v>
      </c>
      <c r="BG392" s="46">
        <v>1</v>
      </c>
      <c r="BH392" s="46">
        <v>2</v>
      </c>
      <c r="BI392" s="46" t="s">
        <v>587</v>
      </c>
      <c r="BJ392" s="46" t="s">
        <v>1283</v>
      </c>
      <c r="BK392" s="46">
        <v>1930</v>
      </c>
      <c r="BL392" s="46" t="str">
        <f>BK392&amp;BI392</f>
        <v>1930Arsenal</v>
      </c>
      <c r="BM392" s="52" t="str">
        <f>IF(AD392="Home",BI392,IF(AD392="Away",BJ392,Q392))</f>
        <v>Birmingham</v>
      </c>
      <c r="BN392" s="46"/>
      <c r="BO392" s="46"/>
      <c r="BP392" s="46"/>
      <c r="BQ392" s="46"/>
      <c r="BR392" s="46"/>
      <c r="BS392" s="46"/>
      <c r="BT392" s="46"/>
      <c r="BU392" s="46"/>
      <c r="BV392" s="46" t="s">
        <v>376</v>
      </c>
      <c r="BW392" s="46" t="s">
        <v>376</v>
      </c>
      <c r="BX392" s="46"/>
      <c r="BZ392" s="53"/>
      <c r="CA392" s="53"/>
      <c r="CB392" s="93" t="str">
        <f>IF(OR(C392="",A392="",B392=""),"",TEXT(C392,"0000")&amp;TEXT(A392,"00")&amp;TEXT(B392,"00"))</f>
        <v>19300326</v>
      </c>
    </row>
    <row r="393" spans="1:80" s="52" customFormat="1" ht="12.95" customHeight="1" x14ac:dyDescent="0.2">
      <c r="A393" s="46">
        <v>3</v>
      </c>
      <c r="B393" s="46">
        <v>26</v>
      </c>
      <c r="C393" s="46">
        <v>1930</v>
      </c>
      <c r="D393" s="46" t="s">
        <v>658</v>
      </c>
      <c r="E393" s="46" t="s">
        <v>1282</v>
      </c>
      <c r="F393" s="47" t="s">
        <v>1010</v>
      </c>
      <c r="G393" s="46"/>
      <c r="H393" s="47" t="s">
        <v>1011</v>
      </c>
      <c r="I393" s="47" t="s">
        <v>1023</v>
      </c>
      <c r="J393" s="48">
        <v>11043</v>
      </c>
      <c r="K393" s="46" t="s">
        <v>1283</v>
      </c>
      <c r="L393" s="46" t="s">
        <v>4</v>
      </c>
      <c r="M393" s="46" t="s">
        <v>587</v>
      </c>
      <c r="N393" s="49">
        <v>0</v>
      </c>
      <c r="O393" s="49">
        <v>1</v>
      </c>
      <c r="P393" s="47" t="s">
        <v>1219</v>
      </c>
      <c r="Q393" s="47" t="s">
        <v>1111</v>
      </c>
      <c r="R393" s="47" t="s">
        <v>376</v>
      </c>
      <c r="S393" s="46"/>
      <c r="T393" s="46"/>
      <c r="U393" s="46"/>
      <c r="V393" s="46"/>
      <c r="W393" s="46"/>
      <c r="X393" s="46"/>
      <c r="Y393" s="46"/>
      <c r="Z393" s="46"/>
      <c r="AA393" s="46"/>
      <c r="AB393" s="46"/>
      <c r="AC393" s="46"/>
      <c r="AD393" s="46"/>
      <c r="AE393" s="50">
        <f>IF(L393="W",1,0)</f>
        <v>0</v>
      </c>
      <c r="AF393" s="50">
        <f>IF(L393="T",1,0)</f>
        <v>0</v>
      </c>
      <c r="AG393" s="50">
        <f>IF(L393="L",1,0)</f>
        <v>1</v>
      </c>
      <c r="AH393" s="46" t="s">
        <v>1284</v>
      </c>
      <c r="AI393" s="46" t="s">
        <v>1285</v>
      </c>
      <c r="AJ393" s="46" t="s">
        <v>376</v>
      </c>
      <c r="AK393" s="46" t="s">
        <v>658</v>
      </c>
      <c r="AL393" s="46" t="s">
        <v>1017</v>
      </c>
      <c r="AM393" s="46" t="s">
        <v>1018</v>
      </c>
      <c r="AN393" s="46" t="s">
        <v>376</v>
      </c>
      <c r="AO393" s="46" t="s">
        <v>658</v>
      </c>
      <c r="AP393" s="46"/>
      <c r="AQ393" s="46">
        <v>2</v>
      </c>
      <c r="AR393" s="46"/>
      <c r="AS393" s="46"/>
      <c r="AT393" s="46"/>
      <c r="AU393" s="46" t="s">
        <v>376</v>
      </c>
      <c r="AV393" s="46"/>
      <c r="AW393" s="46" t="s">
        <v>30</v>
      </c>
      <c r="AX393" s="46"/>
      <c r="AY393" s="46" t="s">
        <v>30</v>
      </c>
      <c r="AZ393" s="46"/>
      <c r="BA393" s="47"/>
      <c r="BB393" s="51"/>
      <c r="BC393" s="46"/>
      <c r="BD393" s="46"/>
      <c r="BE393" s="46"/>
      <c r="BF393" s="46">
        <v>1</v>
      </c>
      <c r="BG393" s="46">
        <v>2</v>
      </c>
      <c r="BH393" s="46">
        <v>1</v>
      </c>
      <c r="BI393" s="46" t="s">
        <v>1283</v>
      </c>
      <c r="BJ393" s="46" t="s">
        <v>587</v>
      </c>
      <c r="BK393" s="46">
        <v>1930</v>
      </c>
      <c r="BL393" s="46" t="str">
        <f>BK393&amp;BI393</f>
        <v>1930Hull City</v>
      </c>
      <c r="BM393" s="52" t="str">
        <f>IF(AD393="Home",BI393,IF(AD393="Away",BJ393,Q393))</f>
        <v>Birmingham</v>
      </c>
      <c r="BN393" s="46"/>
      <c r="BO393" s="46"/>
      <c r="BP393" s="46"/>
      <c r="BQ393" s="46"/>
      <c r="BR393" s="46"/>
      <c r="BS393" s="46"/>
      <c r="BT393" s="46"/>
      <c r="BU393" s="46"/>
      <c r="BV393" s="46" t="s">
        <v>376</v>
      </c>
      <c r="BW393" s="46" t="s">
        <v>376</v>
      </c>
      <c r="BX393" s="46"/>
      <c r="BZ393" s="53"/>
      <c r="CA393" s="53"/>
      <c r="CB393" s="93" t="str">
        <f>IF(OR(C393="",A393="",B393=""),"",TEXT(C393,"0000")&amp;TEXT(A393,"00")&amp;TEXT(B393,"00"))</f>
        <v>19300326</v>
      </c>
    </row>
    <row r="394" spans="1:80" s="52" customFormat="1" ht="12.95" customHeight="1" x14ac:dyDescent="0.2">
      <c r="A394" s="46">
        <v>4</v>
      </c>
      <c r="B394" s="46">
        <v>26</v>
      </c>
      <c r="C394" s="46">
        <v>1930</v>
      </c>
      <c r="D394" s="46" t="s">
        <v>658</v>
      </c>
      <c r="E394" s="46" t="s">
        <v>1282</v>
      </c>
      <c r="F394" s="47" t="s">
        <v>1010</v>
      </c>
      <c r="G394" s="46"/>
      <c r="H394" s="47" t="s">
        <v>1025</v>
      </c>
      <c r="I394" s="47"/>
      <c r="J394" s="48">
        <v>11074</v>
      </c>
      <c r="K394" s="46" t="s">
        <v>587</v>
      </c>
      <c r="L394" s="46" t="s">
        <v>3</v>
      </c>
      <c r="M394" s="46" t="s">
        <v>1259</v>
      </c>
      <c r="N394" s="49">
        <v>2</v>
      </c>
      <c r="O394" s="49">
        <v>0</v>
      </c>
      <c r="P394" s="47" t="s">
        <v>1268</v>
      </c>
      <c r="Q394" s="47" t="s">
        <v>1017</v>
      </c>
      <c r="R394" s="47" t="s">
        <v>376</v>
      </c>
      <c r="S394" s="46"/>
      <c r="T394" s="46"/>
      <c r="U394" s="46"/>
      <c r="V394" s="46"/>
      <c r="W394" s="46"/>
      <c r="X394" s="46"/>
      <c r="Y394" s="46"/>
      <c r="Z394" s="46"/>
      <c r="AA394" s="46"/>
      <c r="AB394" s="46"/>
      <c r="AC394" s="46"/>
      <c r="AD394" s="46"/>
      <c r="AE394" s="50">
        <f>IF(L394="W",1,0)</f>
        <v>1</v>
      </c>
      <c r="AF394" s="50">
        <f>IF(L394="T",1,0)</f>
        <v>0</v>
      </c>
      <c r="AG394" s="50">
        <f>IF(L394="L",1,0)</f>
        <v>0</v>
      </c>
      <c r="AH394" s="46" t="s">
        <v>1017</v>
      </c>
      <c r="AI394" s="46" t="s">
        <v>1018</v>
      </c>
      <c r="AJ394" s="46" t="s">
        <v>376</v>
      </c>
      <c r="AK394" s="46" t="s">
        <v>658</v>
      </c>
      <c r="AL394" s="46" t="s">
        <v>1096</v>
      </c>
      <c r="AM394" s="46" t="s">
        <v>1260</v>
      </c>
      <c r="AN394" s="46" t="s">
        <v>376</v>
      </c>
      <c r="AO394" s="46" t="s">
        <v>658</v>
      </c>
      <c r="AP394" s="46"/>
      <c r="AQ394" s="46">
        <v>1</v>
      </c>
      <c r="AR394" s="46"/>
      <c r="AS394" s="46"/>
      <c r="AT394" s="46"/>
      <c r="AU394" s="46" t="s">
        <v>376</v>
      </c>
      <c r="AV394" s="46"/>
      <c r="AW394" s="46" t="s">
        <v>30</v>
      </c>
      <c r="AX394" s="46"/>
      <c r="AY394" s="46" t="s">
        <v>30</v>
      </c>
      <c r="AZ394" s="46"/>
      <c r="BA394" s="47"/>
      <c r="BB394" s="51" t="s">
        <v>30</v>
      </c>
      <c r="BC394" s="46" t="s">
        <v>30</v>
      </c>
      <c r="BD394" s="46"/>
      <c r="BE394" s="46"/>
      <c r="BF394" s="46">
        <v>1</v>
      </c>
      <c r="BG394" s="46">
        <v>1</v>
      </c>
      <c r="BH394" s="46">
        <v>1</v>
      </c>
      <c r="BI394" s="46" t="s">
        <v>587</v>
      </c>
      <c r="BJ394" s="46" t="s">
        <v>1259</v>
      </c>
      <c r="BK394" s="46">
        <v>1930</v>
      </c>
      <c r="BL394" s="46" t="str">
        <f>BK394&amp;BI394</f>
        <v>1930Arsenal</v>
      </c>
      <c r="BM394" s="52" t="str">
        <f>IF(AD394="Home",BI394,IF(AD394="Away",BJ394,Q394))</f>
        <v>London</v>
      </c>
      <c r="BN394" s="46"/>
      <c r="BO394" s="46"/>
      <c r="BP394" s="46"/>
      <c r="BQ394" s="46"/>
      <c r="BR394" s="46"/>
      <c r="BS394" s="46"/>
      <c r="BT394" s="46"/>
      <c r="BU394" s="46"/>
      <c r="BV394" s="46" t="s">
        <v>376</v>
      </c>
      <c r="BW394" s="46" t="s">
        <v>376</v>
      </c>
      <c r="BX394" s="46"/>
      <c r="BZ394" s="53"/>
      <c r="CA394" s="53"/>
      <c r="CB394" s="93" t="str">
        <f>IF(OR(C394="",A394="",B394=""),"",TEXT(C394,"0000")&amp;TEXT(A394,"00")&amp;TEXT(B394,"00"))</f>
        <v>19300426</v>
      </c>
    </row>
    <row r="395" spans="1:80" s="52" customFormat="1" ht="12.95" customHeight="1" x14ac:dyDescent="0.2">
      <c r="A395" s="46">
        <v>4</v>
      </c>
      <c r="B395" s="46">
        <v>26</v>
      </c>
      <c r="C395" s="46">
        <v>1930</v>
      </c>
      <c r="D395" s="46" t="s">
        <v>658</v>
      </c>
      <c r="E395" s="46" t="s">
        <v>1282</v>
      </c>
      <c r="F395" s="47" t="s">
        <v>1010</v>
      </c>
      <c r="G395" s="46"/>
      <c r="H395" s="47" t="s">
        <v>1025</v>
      </c>
      <c r="I395" s="47"/>
      <c r="J395" s="48">
        <v>11074</v>
      </c>
      <c r="K395" s="46" t="s">
        <v>1259</v>
      </c>
      <c r="L395" s="46" t="s">
        <v>4</v>
      </c>
      <c r="M395" s="46" t="s">
        <v>587</v>
      </c>
      <c r="N395" s="49">
        <v>0</v>
      </c>
      <c r="O395" s="49">
        <v>2</v>
      </c>
      <c r="P395" s="47" t="s">
        <v>1268</v>
      </c>
      <c r="Q395" s="47" t="s">
        <v>1017</v>
      </c>
      <c r="R395" s="47" t="s">
        <v>376</v>
      </c>
      <c r="S395" s="46"/>
      <c r="T395" s="46"/>
      <c r="U395" s="46"/>
      <c r="V395" s="46"/>
      <c r="W395" s="46"/>
      <c r="X395" s="46"/>
      <c r="Y395" s="46"/>
      <c r="Z395" s="46"/>
      <c r="AA395" s="46"/>
      <c r="AB395" s="46"/>
      <c r="AC395" s="46"/>
      <c r="AD395" s="46"/>
      <c r="AE395" s="50">
        <f>IF(L395="W",1,0)</f>
        <v>0</v>
      </c>
      <c r="AF395" s="50">
        <f>IF(L395="T",1,0)</f>
        <v>0</v>
      </c>
      <c r="AG395" s="50">
        <f>IF(L395="L",1,0)</f>
        <v>1</v>
      </c>
      <c r="AH395" s="46" t="s">
        <v>1096</v>
      </c>
      <c r="AI395" s="46" t="s">
        <v>1260</v>
      </c>
      <c r="AJ395" s="46" t="s">
        <v>376</v>
      </c>
      <c r="AK395" s="46" t="s">
        <v>658</v>
      </c>
      <c r="AL395" s="46" t="s">
        <v>1017</v>
      </c>
      <c r="AM395" s="46" t="s">
        <v>1018</v>
      </c>
      <c r="AN395" s="46" t="s">
        <v>376</v>
      </c>
      <c r="AO395" s="46" t="s">
        <v>658</v>
      </c>
      <c r="AP395" s="46"/>
      <c r="AQ395" s="46">
        <v>1</v>
      </c>
      <c r="AR395" s="46"/>
      <c r="AS395" s="46"/>
      <c r="AT395" s="46"/>
      <c r="AU395" s="46" t="s">
        <v>376</v>
      </c>
      <c r="AV395" s="46"/>
      <c r="AW395" s="46" t="s">
        <v>30</v>
      </c>
      <c r="AX395" s="46"/>
      <c r="AY395" s="46" t="s">
        <v>30</v>
      </c>
      <c r="AZ395" s="46"/>
      <c r="BA395" s="47"/>
      <c r="BB395" s="51"/>
      <c r="BC395" s="46" t="s">
        <v>30</v>
      </c>
      <c r="BD395" s="46"/>
      <c r="BE395" s="46"/>
      <c r="BF395" s="46">
        <v>1</v>
      </c>
      <c r="BG395" s="46">
        <v>1</v>
      </c>
      <c r="BH395" s="46">
        <v>1</v>
      </c>
      <c r="BI395" s="46" t="s">
        <v>1259</v>
      </c>
      <c r="BJ395" s="46" t="s">
        <v>587</v>
      </c>
      <c r="BK395" s="46">
        <v>1930</v>
      </c>
      <c r="BL395" s="46" t="str">
        <f>BK395&amp;BI395</f>
        <v>1930Huddersfield Town</v>
      </c>
      <c r="BM395" s="52" t="str">
        <f>IF(AD395="Home",BI395,IF(AD395="Away",BJ395,Q395))</f>
        <v>London</v>
      </c>
      <c r="BN395" s="46"/>
      <c r="BO395" s="46"/>
      <c r="BP395" s="46"/>
      <c r="BQ395" s="46"/>
      <c r="BR395" s="46"/>
      <c r="BS395" s="46"/>
      <c r="BT395" s="46"/>
      <c r="BU395" s="46"/>
      <c r="BV395" s="46" t="s">
        <v>376</v>
      </c>
      <c r="BW395" s="46" t="s">
        <v>376</v>
      </c>
      <c r="BX395" s="46"/>
      <c r="BZ395" s="53"/>
      <c r="CA395" s="53"/>
      <c r="CB395" s="93" t="str">
        <f>IF(OR(C395="",A395="",B395=""),"",TEXT(C395,"0000")&amp;TEXT(A395,"00")&amp;TEXT(B395,"00"))</f>
        <v>19300426</v>
      </c>
    </row>
    <row r="396" spans="1:80" s="52" customFormat="1" ht="12.95" customHeight="1" x14ac:dyDescent="0.2">
      <c r="A396" s="46">
        <v>3</v>
      </c>
      <c r="B396" s="46">
        <v>14</v>
      </c>
      <c r="C396" s="46">
        <v>1931</v>
      </c>
      <c r="D396" s="46" t="s">
        <v>658</v>
      </c>
      <c r="E396" s="46" t="s">
        <v>1286</v>
      </c>
      <c r="F396" s="47" t="s">
        <v>1010</v>
      </c>
      <c r="G396" s="46"/>
      <c r="H396" s="47" t="s">
        <v>1011</v>
      </c>
      <c r="I396" s="47"/>
      <c r="J396" s="48">
        <v>11396</v>
      </c>
      <c r="K396" s="46" t="s">
        <v>1125</v>
      </c>
      <c r="L396" s="46" t="s">
        <v>3</v>
      </c>
      <c r="M396" s="46" t="s">
        <v>793</v>
      </c>
      <c r="N396" s="49">
        <v>2</v>
      </c>
      <c r="O396" s="49">
        <v>0</v>
      </c>
      <c r="P396" s="47" t="s">
        <v>1240</v>
      </c>
      <c r="Q396" s="47" t="s">
        <v>1241</v>
      </c>
      <c r="R396" s="47" t="s">
        <v>376</v>
      </c>
      <c r="S396" s="46"/>
      <c r="T396" s="46"/>
      <c r="U396" s="46"/>
      <c r="V396" s="46"/>
      <c r="W396" s="46"/>
      <c r="X396" s="46"/>
      <c r="Y396" s="46"/>
      <c r="Z396" s="46"/>
      <c r="AA396" s="46"/>
      <c r="AB396" s="46"/>
      <c r="AC396" s="46"/>
      <c r="AD396" s="46"/>
      <c r="AE396" s="50">
        <f>IF(L396="W",1,0)</f>
        <v>1</v>
      </c>
      <c r="AF396" s="50">
        <f>IF(L396="T",1,0)</f>
        <v>0</v>
      </c>
      <c r="AG396" s="50">
        <f>IF(L396="L",1,0)</f>
        <v>0</v>
      </c>
      <c r="AH396" s="46" t="s">
        <v>1111</v>
      </c>
      <c r="AI396" s="46" t="s">
        <v>1126</v>
      </c>
      <c r="AJ396" s="46" t="s">
        <v>376</v>
      </c>
      <c r="AK396" s="46" t="s">
        <v>658</v>
      </c>
      <c r="AL396" s="46" t="s">
        <v>793</v>
      </c>
      <c r="AM396" s="46" t="s">
        <v>1164</v>
      </c>
      <c r="AN396" s="46" t="s">
        <v>376</v>
      </c>
      <c r="AO396" s="46" t="s">
        <v>658</v>
      </c>
      <c r="AP396" s="46"/>
      <c r="AQ396" s="46">
        <v>2</v>
      </c>
      <c r="AR396" s="46"/>
      <c r="AS396" s="46"/>
      <c r="AT396" s="46"/>
      <c r="AU396" s="46" t="s">
        <v>376</v>
      </c>
      <c r="AV396" s="46"/>
      <c r="AW396" s="46" t="s">
        <v>30</v>
      </c>
      <c r="AX396" s="46"/>
      <c r="AY396" s="46" t="s">
        <v>30</v>
      </c>
      <c r="AZ396" s="46"/>
      <c r="BA396" s="47"/>
      <c r="BB396" s="51"/>
      <c r="BC396" s="46"/>
      <c r="BD396" s="46"/>
      <c r="BE396" s="46"/>
      <c r="BF396" s="46">
        <v>1</v>
      </c>
      <c r="BG396" s="46">
        <v>1</v>
      </c>
      <c r="BH396" s="46">
        <v>1</v>
      </c>
      <c r="BI396" s="46" t="s">
        <v>1125</v>
      </c>
      <c r="BJ396" s="46" t="s">
        <v>793</v>
      </c>
      <c r="BK396" s="46">
        <v>1931</v>
      </c>
      <c r="BL396" s="46" t="str">
        <f>BK396&amp;BI396</f>
        <v>1931Birmingham City</v>
      </c>
      <c r="BM396" s="52" t="str">
        <f>IF(AD396="Home",BI396,IF(AD396="Away",BJ396,Q396))</f>
        <v>Leeds</v>
      </c>
      <c r="BN396" s="46"/>
      <c r="BO396" s="46"/>
      <c r="BP396" s="46"/>
      <c r="BQ396" s="46"/>
      <c r="BR396" s="46"/>
      <c r="BS396" s="46"/>
      <c r="BT396" s="46"/>
      <c r="BU396" s="46"/>
      <c r="BV396" s="46" t="s">
        <v>376</v>
      </c>
      <c r="BW396" s="46" t="s">
        <v>376</v>
      </c>
      <c r="BX396" s="46"/>
      <c r="BZ396" s="53"/>
      <c r="CA396" s="53"/>
      <c r="CB396" s="93" t="str">
        <f>IF(OR(C396="",A396="",B396=""),"",TEXT(C396,"0000")&amp;TEXT(A396,"00")&amp;TEXT(B396,"00"))</f>
        <v>19310314</v>
      </c>
    </row>
    <row r="397" spans="1:80" s="52" customFormat="1" ht="12.95" customHeight="1" x14ac:dyDescent="0.2">
      <c r="A397" s="46">
        <v>3</v>
      </c>
      <c r="B397" s="46">
        <v>14</v>
      </c>
      <c r="C397" s="46">
        <v>1931</v>
      </c>
      <c r="D397" s="46" t="s">
        <v>658</v>
      </c>
      <c r="E397" s="46" t="s">
        <v>1286</v>
      </c>
      <c r="F397" s="47" t="s">
        <v>1010</v>
      </c>
      <c r="G397" s="46"/>
      <c r="H397" s="47" t="s">
        <v>1011</v>
      </c>
      <c r="I397" s="47"/>
      <c r="J397" s="48">
        <v>11396</v>
      </c>
      <c r="K397" s="46" t="s">
        <v>793</v>
      </c>
      <c r="L397" s="46" t="s">
        <v>4</v>
      </c>
      <c r="M397" s="46" t="s">
        <v>1125</v>
      </c>
      <c r="N397" s="49">
        <v>0</v>
      </c>
      <c r="O397" s="49">
        <v>2</v>
      </c>
      <c r="P397" s="47" t="s">
        <v>1240</v>
      </c>
      <c r="Q397" s="47" t="s">
        <v>1241</v>
      </c>
      <c r="R397" s="47" t="s">
        <v>376</v>
      </c>
      <c r="S397" s="46"/>
      <c r="T397" s="46"/>
      <c r="U397" s="46"/>
      <c r="V397" s="46"/>
      <c r="W397" s="46"/>
      <c r="X397" s="46"/>
      <c r="Y397" s="46"/>
      <c r="Z397" s="46"/>
      <c r="AA397" s="46"/>
      <c r="AB397" s="46"/>
      <c r="AC397" s="46"/>
      <c r="AD397" s="46"/>
      <c r="AE397" s="50">
        <f>IF(L397="W",1,0)</f>
        <v>0</v>
      </c>
      <c r="AF397" s="50">
        <f>IF(L397="T",1,0)</f>
        <v>0</v>
      </c>
      <c r="AG397" s="50">
        <f>IF(L397="L",1,0)</f>
        <v>1</v>
      </c>
      <c r="AH397" s="46" t="s">
        <v>793</v>
      </c>
      <c r="AI397" s="46" t="s">
        <v>1164</v>
      </c>
      <c r="AJ397" s="46" t="s">
        <v>376</v>
      </c>
      <c r="AK397" s="46" t="s">
        <v>658</v>
      </c>
      <c r="AL397" s="46" t="s">
        <v>1111</v>
      </c>
      <c r="AM397" s="46" t="s">
        <v>1126</v>
      </c>
      <c r="AN397" s="46" t="s">
        <v>376</v>
      </c>
      <c r="AO397" s="46" t="s">
        <v>658</v>
      </c>
      <c r="AP397" s="46"/>
      <c r="AQ397" s="46">
        <v>2</v>
      </c>
      <c r="AR397" s="46"/>
      <c r="AS397" s="46"/>
      <c r="AT397" s="46"/>
      <c r="AU397" s="46" t="s">
        <v>376</v>
      </c>
      <c r="AV397" s="46"/>
      <c r="AW397" s="46" t="s">
        <v>30</v>
      </c>
      <c r="AX397" s="46"/>
      <c r="AY397" s="46" t="s">
        <v>30</v>
      </c>
      <c r="AZ397" s="46"/>
      <c r="BA397" s="47"/>
      <c r="BB397" s="51"/>
      <c r="BC397" s="46"/>
      <c r="BD397" s="46"/>
      <c r="BE397" s="46"/>
      <c r="BF397" s="46">
        <v>1</v>
      </c>
      <c r="BG397" s="46">
        <v>1</v>
      </c>
      <c r="BH397" s="46">
        <v>1</v>
      </c>
      <c r="BI397" s="46" t="s">
        <v>793</v>
      </c>
      <c r="BJ397" s="46" t="s">
        <v>1125</v>
      </c>
      <c r="BK397" s="46">
        <v>1931</v>
      </c>
      <c r="BL397" s="46" t="str">
        <f>BK397&amp;BI397</f>
        <v>1931Sunderland</v>
      </c>
      <c r="BM397" s="52" t="str">
        <f>IF(AD397="Home",BI397,IF(AD397="Away",BJ397,Q397))</f>
        <v>Leeds</v>
      </c>
      <c r="BN397" s="46"/>
      <c r="BO397" s="46"/>
      <c r="BP397" s="46"/>
      <c r="BQ397" s="46"/>
      <c r="BR397" s="46"/>
      <c r="BS397" s="46"/>
      <c r="BT397" s="46"/>
      <c r="BU397" s="46"/>
      <c r="BV397" s="46" t="s">
        <v>376</v>
      </c>
      <c r="BW397" s="46" t="s">
        <v>376</v>
      </c>
      <c r="BX397" s="46"/>
      <c r="BZ397" s="53"/>
      <c r="CA397" s="53"/>
      <c r="CB397" s="93" t="str">
        <f>IF(OR(C397="",A397="",B397=""),"",TEXT(C397,"0000")&amp;TEXT(A397,"00")&amp;TEXT(B397,"00"))</f>
        <v>19310314</v>
      </c>
    </row>
    <row r="398" spans="1:80" s="52" customFormat="1" ht="12.95" customHeight="1" x14ac:dyDescent="0.2">
      <c r="A398" s="46">
        <v>3</v>
      </c>
      <c r="B398" s="46">
        <v>14</v>
      </c>
      <c r="C398" s="46">
        <v>1931</v>
      </c>
      <c r="D398" s="46" t="s">
        <v>658</v>
      </c>
      <c r="E398" s="46" t="s">
        <v>1286</v>
      </c>
      <c r="F398" s="47" t="s">
        <v>1010</v>
      </c>
      <c r="G398" s="46"/>
      <c r="H398" s="47" t="s">
        <v>1011</v>
      </c>
      <c r="I398" s="47"/>
      <c r="J398" s="48">
        <v>11396</v>
      </c>
      <c r="K398" s="46" t="s">
        <v>1124</v>
      </c>
      <c r="L398" s="46" t="s">
        <v>3</v>
      </c>
      <c r="M398" s="46" t="s">
        <v>804</v>
      </c>
      <c r="N398" s="49">
        <v>1</v>
      </c>
      <c r="O398" s="49">
        <v>0</v>
      </c>
      <c r="P398" s="47" t="s">
        <v>1246</v>
      </c>
      <c r="Q398" s="47" t="s">
        <v>1101</v>
      </c>
      <c r="R398" s="47" t="s">
        <v>376</v>
      </c>
      <c r="S398" s="46"/>
      <c r="T398" s="46"/>
      <c r="U398" s="46"/>
      <c r="V398" s="46"/>
      <c r="W398" s="46"/>
      <c r="X398" s="46"/>
      <c r="Y398" s="46"/>
      <c r="Z398" s="46"/>
      <c r="AA398" s="46"/>
      <c r="AB398" s="46"/>
      <c r="AC398" s="46"/>
      <c r="AD398" s="46"/>
      <c r="AE398" s="50">
        <f>IF(L398="W",1,0)</f>
        <v>1</v>
      </c>
      <c r="AF398" s="50">
        <f>IF(L398="T",1,0)</f>
        <v>0</v>
      </c>
      <c r="AG398" s="50">
        <f>IF(L398="L",1,0)</f>
        <v>0</v>
      </c>
      <c r="AH398" s="46" t="s">
        <v>1111</v>
      </c>
      <c r="AI398" s="46" t="s">
        <v>1126</v>
      </c>
      <c r="AJ398" s="46" t="s">
        <v>376</v>
      </c>
      <c r="AK398" s="46" t="s">
        <v>658</v>
      </c>
      <c r="AL398" s="46" t="s">
        <v>588</v>
      </c>
      <c r="AM398" s="46" t="s">
        <v>1175</v>
      </c>
      <c r="AN398" s="46" t="s">
        <v>376</v>
      </c>
      <c r="AO398" s="46" t="s">
        <v>658</v>
      </c>
      <c r="AP398" s="46"/>
      <c r="AQ398" s="46">
        <v>2</v>
      </c>
      <c r="AR398" s="46"/>
      <c r="AS398" s="46"/>
      <c r="AT398" s="46"/>
      <c r="AU398" s="46" t="s">
        <v>376</v>
      </c>
      <c r="AV398" s="46"/>
      <c r="AW398" s="46" t="s">
        <v>30</v>
      </c>
      <c r="AX398" s="46"/>
      <c r="AY398" s="46" t="s">
        <v>30</v>
      </c>
      <c r="AZ398" s="46"/>
      <c r="BA398" s="47"/>
      <c r="BB398" s="51"/>
      <c r="BC398" s="46"/>
      <c r="BD398" s="46"/>
      <c r="BE398" s="46"/>
      <c r="BF398" s="46">
        <v>1</v>
      </c>
      <c r="BG398" s="46">
        <v>2</v>
      </c>
      <c r="BH398" s="46">
        <v>2</v>
      </c>
      <c r="BI398" s="46" t="s">
        <v>1124</v>
      </c>
      <c r="BJ398" s="46" t="s">
        <v>804</v>
      </c>
      <c r="BK398" s="46">
        <v>1931</v>
      </c>
      <c r="BL398" s="46" t="str">
        <f>BK398&amp;BI398</f>
        <v>1931West Bromwich Albion</v>
      </c>
      <c r="BM398" s="52" t="str">
        <f>IF(AD398="Home",BI398,IF(AD398="Away",BJ398,Q398))</f>
        <v>Manchester</v>
      </c>
      <c r="BN398" s="46"/>
      <c r="BO398" s="46"/>
      <c r="BP398" s="46"/>
      <c r="BQ398" s="46"/>
      <c r="BR398" s="46"/>
      <c r="BS398" s="46"/>
      <c r="BT398" s="46"/>
      <c r="BU398" s="46"/>
      <c r="BV398" s="46" t="s">
        <v>376</v>
      </c>
      <c r="BW398" s="46" t="s">
        <v>376</v>
      </c>
      <c r="BX398" s="46"/>
      <c r="BZ398" s="53"/>
      <c r="CA398" s="53"/>
      <c r="CB398" s="93" t="str">
        <f>IF(OR(C398="",A398="",B398=""),"",TEXT(C398,"0000")&amp;TEXT(A398,"00")&amp;TEXT(B398,"00"))</f>
        <v>19310314</v>
      </c>
    </row>
    <row r="399" spans="1:80" s="52" customFormat="1" ht="12.95" customHeight="1" x14ac:dyDescent="0.2">
      <c r="A399" s="46">
        <v>3</v>
      </c>
      <c r="B399" s="46">
        <v>14</v>
      </c>
      <c r="C399" s="46">
        <v>1931</v>
      </c>
      <c r="D399" s="46" t="s">
        <v>658</v>
      </c>
      <c r="E399" s="46" t="s">
        <v>1286</v>
      </c>
      <c r="F399" s="47" t="s">
        <v>1010</v>
      </c>
      <c r="G399" s="46"/>
      <c r="H399" s="47" t="s">
        <v>1011</v>
      </c>
      <c r="I399" s="47"/>
      <c r="J399" s="48">
        <v>11396</v>
      </c>
      <c r="K399" s="46" t="s">
        <v>804</v>
      </c>
      <c r="L399" s="46" t="s">
        <v>4</v>
      </c>
      <c r="M399" s="46" t="s">
        <v>1124</v>
      </c>
      <c r="N399" s="49">
        <v>0</v>
      </c>
      <c r="O399" s="49">
        <v>1</v>
      </c>
      <c r="P399" s="47" t="s">
        <v>1246</v>
      </c>
      <c r="Q399" s="47" t="s">
        <v>1101</v>
      </c>
      <c r="R399" s="47" t="s">
        <v>376</v>
      </c>
      <c r="S399" s="46"/>
      <c r="T399" s="46"/>
      <c r="U399" s="46"/>
      <c r="V399" s="46"/>
      <c r="W399" s="46"/>
      <c r="X399" s="46"/>
      <c r="Y399" s="46"/>
      <c r="Z399" s="46"/>
      <c r="AA399" s="46"/>
      <c r="AB399" s="46"/>
      <c r="AC399" s="46"/>
      <c r="AD399" s="46"/>
      <c r="AE399" s="50">
        <f>IF(L399="W",1,0)</f>
        <v>0</v>
      </c>
      <c r="AF399" s="50">
        <f>IF(L399="T",1,0)</f>
        <v>0</v>
      </c>
      <c r="AG399" s="50">
        <f>IF(L399="L",1,0)</f>
        <v>1</v>
      </c>
      <c r="AH399" s="46" t="s">
        <v>588</v>
      </c>
      <c r="AI399" s="46" t="s">
        <v>1175</v>
      </c>
      <c r="AJ399" s="46" t="s">
        <v>376</v>
      </c>
      <c r="AK399" s="46" t="s">
        <v>658</v>
      </c>
      <c r="AL399" s="46" t="s">
        <v>1111</v>
      </c>
      <c r="AM399" s="46" t="s">
        <v>1126</v>
      </c>
      <c r="AN399" s="46" t="s">
        <v>376</v>
      </c>
      <c r="AO399" s="46" t="s">
        <v>658</v>
      </c>
      <c r="AP399" s="46"/>
      <c r="AQ399" s="46">
        <v>2</v>
      </c>
      <c r="AR399" s="46"/>
      <c r="AS399" s="46"/>
      <c r="AT399" s="46"/>
      <c r="AU399" s="46" t="s">
        <v>376</v>
      </c>
      <c r="AV399" s="46"/>
      <c r="AW399" s="46" t="s">
        <v>30</v>
      </c>
      <c r="AX399" s="46"/>
      <c r="AY399" s="46" t="s">
        <v>30</v>
      </c>
      <c r="AZ399" s="46"/>
      <c r="BA399" s="47"/>
      <c r="BB399" s="51"/>
      <c r="BC399" s="46"/>
      <c r="BD399" s="46"/>
      <c r="BE399" s="46"/>
      <c r="BF399" s="46">
        <v>1</v>
      </c>
      <c r="BG399" s="46">
        <v>2</v>
      </c>
      <c r="BH399" s="46">
        <v>2</v>
      </c>
      <c r="BI399" s="46" t="s">
        <v>804</v>
      </c>
      <c r="BJ399" s="46" t="s">
        <v>1124</v>
      </c>
      <c r="BK399" s="46">
        <v>1931</v>
      </c>
      <c r="BL399" s="46" t="str">
        <f>BK399&amp;BI399</f>
        <v>1931Everton</v>
      </c>
      <c r="BM399" s="52" t="str">
        <f>IF(AD399="Home",BI399,IF(AD399="Away",BJ399,Q399))</f>
        <v>Manchester</v>
      </c>
      <c r="BN399" s="46"/>
      <c r="BO399" s="46"/>
      <c r="BP399" s="46"/>
      <c r="BQ399" s="46"/>
      <c r="BR399" s="46"/>
      <c r="BS399" s="46"/>
      <c r="BT399" s="46"/>
      <c r="BU399" s="46"/>
      <c r="BV399" s="46" t="s">
        <v>376</v>
      </c>
      <c r="BW399" s="46" t="s">
        <v>376</v>
      </c>
      <c r="BX399" s="46"/>
      <c r="BZ399" s="53"/>
      <c r="CA399" s="53"/>
      <c r="CB399" s="93" t="str">
        <f>IF(OR(C399="",A399="",B399=""),"",TEXT(C399,"0000")&amp;TEXT(A399,"00")&amp;TEXT(B399,"00"))</f>
        <v>19310314</v>
      </c>
    </row>
    <row r="400" spans="1:80" s="52" customFormat="1" ht="12.95" customHeight="1" x14ac:dyDescent="0.2">
      <c r="A400" s="46">
        <v>4</v>
      </c>
      <c r="B400" s="46">
        <v>25</v>
      </c>
      <c r="C400" s="46">
        <v>1931</v>
      </c>
      <c r="D400" s="46" t="s">
        <v>658</v>
      </c>
      <c r="E400" s="46" t="s">
        <v>1286</v>
      </c>
      <c r="F400" s="47" t="s">
        <v>1010</v>
      </c>
      <c r="G400" s="46"/>
      <c r="H400" s="47" t="s">
        <v>1025</v>
      </c>
      <c r="I400" s="47"/>
      <c r="J400" s="48">
        <v>11438</v>
      </c>
      <c r="K400" s="46" t="s">
        <v>1124</v>
      </c>
      <c r="L400" s="46" t="s">
        <v>3</v>
      </c>
      <c r="M400" s="46" t="s">
        <v>1125</v>
      </c>
      <c r="N400" s="49">
        <v>2</v>
      </c>
      <c r="O400" s="49">
        <v>1</v>
      </c>
      <c r="P400" s="47" t="s">
        <v>1268</v>
      </c>
      <c r="Q400" s="47" t="s">
        <v>1017</v>
      </c>
      <c r="R400" s="47" t="s">
        <v>376</v>
      </c>
      <c r="S400" s="46"/>
      <c r="T400" s="46"/>
      <c r="U400" s="46"/>
      <c r="V400" s="46"/>
      <c r="W400" s="46"/>
      <c r="X400" s="46"/>
      <c r="Y400" s="46"/>
      <c r="Z400" s="46"/>
      <c r="AA400" s="46"/>
      <c r="AB400" s="46"/>
      <c r="AC400" s="46"/>
      <c r="AD400" s="46"/>
      <c r="AE400" s="50">
        <f>IF(L400="W",1,0)</f>
        <v>1</v>
      </c>
      <c r="AF400" s="50">
        <f>IF(L400="T",1,0)</f>
        <v>0</v>
      </c>
      <c r="AG400" s="50">
        <f>IF(L400="L",1,0)</f>
        <v>0</v>
      </c>
      <c r="AH400" s="46" t="s">
        <v>1111</v>
      </c>
      <c r="AI400" s="46" t="s">
        <v>1126</v>
      </c>
      <c r="AJ400" s="46" t="s">
        <v>376</v>
      </c>
      <c r="AK400" s="46" t="s">
        <v>658</v>
      </c>
      <c r="AL400" s="46" t="s">
        <v>1111</v>
      </c>
      <c r="AM400" s="46" t="s">
        <v>1126</v>
      </c>
      <c r="AN400" s="46" t="s">
        <v>376</v>
      </c>
      <c r="AO400" s="46" t="s">
        <v>658</v>
      </c>
      <c r="AP400" s="46"/>
      <c r="AQ400" s="46">
        <v>1</v>
      </c>
      <c r="AR400" s="46"/>
      <c r="AS400" s="46"/>
      <c r="AT400" s="46"/>
      <c r="AU400" s="46" t="s">
        <v>376</v>
      </c>
      <c r="AV400" s="46"/>
      <c r="AW400" s="46" t="s">
        <v>30</v>
      </c>
      <c r="AX400" s="46"/>
      <c r="AY400" s="46" t="s">
        <v>30</v>
      </c>
      <c r="AZ400" s="46"/>
      <c r="BA400" s="47"/>
      <c r="BB400" s="51" t="s">
        <v>30</v>
      </c>
      <c r="BC400" s="46" t="s">
        <v>30</v>
      </c>
      <c r="BD400" s="46"/>
      <c r="BE400" s="46"/>
      <c r="BF400" s="46">
        <v>1</v>
      </c>
      <c r="BG400" s="46">
        <v>2</v>
      </c>
      <c r="BH400" s="46">
        <v>1</v>
      </c>
      <c r="BI400" s="46" t="s">
        <v>1124</v>
      </c>
      <c r="BJ400" s="46" t="s">
        <v>1125</v>
      </c>
      <c r="BK400" s="46">
        <v>1931</v>
      </c>
      <c r="BL400" s="46" t="str">
        <f>BK400&amp;BI400</f>
        <v>1931West Bromwich Albion</v>
      </c>
      <c r="BM400" s="52" t="str">
        <f>IF(AD400="Home",BI400,IF(AD400="Away",BJ400,Q400))</f>
        <v>London</v>
      </c>
      <c r="BN400" s="46"/>
      <c r="BO400" s="46"/>
      <c r="BP400" s="46"/>
      <c r="BQ400" s="46"/>
      <c r="BR400" s="46"/>
      <c r="BS400" s="46"/>
      <c r="BT400" s="46"/>
      <c r="BU400" s="46"/>
      <c r="BV400" s="46" t="s">
        <v>376</v>
      </c>
      <c r="BW400" s="46" t="s">
        <v>376</v>
      </c>
      <c r="BX400" s="46"/>
      <c r="BZ400" s="53"/>
      <c r="CA400" s="53"/>
      <c r="CB400" s="93" t="str">
        <f>IF(OR(C400="",A400="",B400=""),"",TEXT(C400,"0000")&amp;TEXT(A400,"00")&amp;TEXT(B400,"00"))</f>
        <v>19310425</v>
      </c>
    </row>
    <row r="401" spans="1:80" s="52" customFormat="1" ht="12.95" customHeight="1" x14ac:dyDescent="0.2">
      <c r="A401" s="46">
        <v>4</v>
      </c>
      <c r="B401" s="46">
        <v>25</v>
      </c>
      <c r="C401" s="46">
        <v>1931</v>
      </c>
      <c r="D401" s="46" t="s">
        <v>658</v>
      </c>
      <c r="E401" s="46" t="s">
        <v>1286</v>
      </c>
      <c r="F401" s="47" t="s">
        <v>1010</v>
      </c>
      <c r="G401" s="46"/>
      <c r="H401" s="47" t="s">
        <v>1025</v>
      </c>
      <c r="I401" s="47"/>
      <c r="J401" s="48">
        <v>11438</v>
      </c>
      <c r="K401" s="46" t="s">
        <v>1125</v>
      </c>
      <c r="L401" s="46" t="s">
        <v>4</v>
      </c>
      <c r="M401" s="46" t="s">
        <v>1124</v>
      </c>
      <c r="N401" s="49">
        <v>1</v>
      </c>
      <c r="O401" s="49">
        <v>2</v>
      </c>
      <c r="P401" s="47" t="s">
        <v>1268</v>
      </c>
      <c r="Q401" s="47" t="s">
        <v>1017</v>
      </c>
      <c r="R401" s="47" t="s">
        <v>376</v>
      </c>
      <c r="S401" s="46"/>
      <c r="T401" s="46"/>
      <c r="U401" s="46"/>
      <c r="V401" s="46"/>
      <c r="W401" s="46"/>
      <c r="X401" s="46"/>
      <c r="Y401" s="46"/>
      <c r="Z401" s="46"/>
      <c r="AA401" s="46"/>
      <c r="AB401" s="46"/>
      <c r="AC401" s="46"/>
      <c r="AD401" s="46"/>
      <c r="AE401" s="50">
        <f>IF(L401="W",1,0)</f>
        <v>0</v>
      </c>
      <c r="AF401" s="50">
        <f>IF(L401="T",1,0)</f>
        <v>0</v>
      </c>
      <c r="AG401" s="50">
        <f>IF(L401="L",1,0)</f>
        <v>1</v>
      </c>
      <c r="AH401" s="46" t="s">
        <v>1111</v>
      </c>
      <c r="AI401" s="46" t="s">
        <v>1126</v>
      </c>
      <c r="AJ401" s="46" t="s">
        <v>376</v>
      </c>
      <c r="AK401" s="46" t="s">
        <v>658</v>
      </c>
      <c r="AL401" s="46" t="s">
        <v>1111</v>
      </c>
      <c r="AM401" s="46" t="s">
        <v>1126</v>
      </c>
      <c r="AN401" s="46" t="s">
        <v>376</v>
      </c>
      <c r="AO401" s="46" t="s">
        <v>658</v>
      </c>
      <c r="AP401" s="46"/>
      <c r="AQ401" s="46">
        <v>1</v>
      </c>
      <c r="AR401" s="46"/>
      <c r="AS401" s="46"/>
      <c r="AT401" s="46"/>
      <c r="AU401" s="46" t="s">
        <v>376</v>
      </c>
      <c r="AV401" s="46"/>
      <c r="AW401" s="46" t="s">
        <v>30</v>
      </c>
      <c r="AX401" s="46"/>
      <c r="AY401" s="46" t="s">
        <v>30</v>
      </c>
      <c r="AZ401" s="46"/>
      <c r="BA401" s="47"/>
      <c r="BB401" s="51"/>
      <c r="BC401" s="46" t="s">
        <v>30</v>
      </c>
      <c r="BD401" s="46"/>
      <c r="BE401" s="46"/>
      <c r="BF401" s="46">
        <v>1</v>
      </c>
      <c r="BG401" s="46">
        <v>1</v>
      </c>
      <c r="BH401" s="46">
        <v>2</v>
      </c>
      <c r="BI401" s="46" t="s">
        <v>1125</v>
      </c>
      <c r="BJ401" s="46" t="s">
        <v>1124</v>
      </c>
      <c r="BK401" s="46">
        <v>1931</v>
      </c>
      <c r="BL401" s="46" t="str">
        <f>BK401&amp;BI401</f>
        <v>1931Birmingham City</v>
      </c>
      <c r="BM401" s="52" t="str">
        <f>IF(AD401="Home",BI401,IF(AD401="Away",BJ401,Q401))</f>
        <v>London</v>
      </c>
      <c r="BN401" s="46"/>
      <c r="BO401" s="46"/>
      <c r="BP401" s="46"/>
      <c r="BQ401" s="46"/>
      <c r="BR401" s="46"/>
      <c r="BS401" s="46"/>
      <c r="BT401" s="46"/>
      <c r="BU401" s="46"/>
      <c r="BV401" s="46" t="s">
        <v>376</v>
      </c>
      <c r="BW401" s="46" t="s">
        <v>376</v>
      </c>
      <c r="BX401" s="46"/>
      <c r="BZ401" s="53"/>
      <c r="CA401" s="53"/>
      <c r="CB401" s="93" t="str">
        <f>IF(OR(C401="",A401="",B401=""),"",TEXT(C401,"0000")&amp;TEXT(A401,"00")&amp;TEXT(B401,"00"))</f>
        <v>19310425</v>
      </c>
    </row>
    <row r="402" spans="1:80" s="52" customFormat="1" ht="12.95" customHeight="1" x14ac:dyDescent="0.2">
      <c r="A402" s="46">
        <v>3</v>
      </c>
      <c r="B402" s="46">
        <v>12</v>
      </c>
      <c r="C402" s="46">
        <v>1932</v>
      </c>
      <c r="D402" s="46" t="s">
        <v>658</v>
      </c>
      <c r="E402" s="46" t="s">
        <v>1287</v>
      </c>
      <c r="F402" s="47" t="s">
        <v>1010</v>
      </c>
      <c r="G402" s="46"/>
      <c r="H402" s="47" t="s">
        <v>1011</v>
      </c>
      <c r="I402" s="47"/>
      <c r="J402" s="48">
        <v>11760</v>
      </c>
      <c r="K402" s="46" t="s">
        <v>805</v>
      </c>
      <c r="L402" s="46" t="s">
        <v>3</v>
      </c>
      <c r="M402" s="46" t="s">
        <v>816</v>
      </c>
      <c r="N402" s="49">
        <v>2</v>
      </c>
      <c r="O402" s="49">
        <v>1</v>
      </c>
      <c r="P402" s="47" t="s">
        <v>1288</v>
      </c>
      <c r="Q402" s="47" t="s">
        <v>1096</v>
      </c>
      <c r="R402" s="47" t="s">
        <v>376</v>
      </c>
      <c r="S402" s="46"/>
      <c r="T402" s="46"/>
      <c r="U402" s="46"/>
      <c r="V402" s="46"/>
      <c r="W402" s="46"/>
      <c r="X402" s="46"/>
      <c r="Y402" s="46"/>
      <c r="Z402" s="46"/>
      <c r="AA402" s="46"/>
      <c r="AB402" s="46"/>
      <c r="AC402" s="46"/>
      <c r="AD402" s="46"/>
      <c r="AE402" s="50">
        <f>IF(L402="W",1,0)</f>
        <v>1</v>
      </c>
      <c r="AF402" s="50">
        <f>IF(L402="T",1,0)</f>
        <v>0</v>
      </c>
      <c r="AG402" s="50">
        <f>IF(L402="L",1,0)</f>
        <v>0</v>
      </c>
      <c r="AH402" s="46" t="s">
        <v>1227</v>
      </c>
      <c r="AI402" s="46" t="s">
        <v>1164</v>
      </c>
      <c r="AJ402" s="46" t="s">
        <v>376</v>
      </c>
      <c r="AK402" s="46" t="s">
        <v>658</v>
      </c>
      <c r="AL402" s="46" t="s">
        <v>1017</v>
      </c>
      <c r="AM402" s="46" t="s">
        <v>1018</v>
      </c>
      <c r="AN402" s="46" t="s">
        <v>376</v>
      </c>
      <c r="AO402" s="46" t="s">
        <v>658</v>
      </c>
      <c r="AP402" s="46"/>
      <c r="AQ402" s="46">
        <v>2</v>
      </c>
      <c r="AR402" s="46"/>
      <c r="AS402" s="46"/>
      <c r="AT402" s="46"/>
      <c r="AU402" s="46" t="s">
        <v>376</v>
      </c>
      <c r="AV402" s="46"/>
      <c r="AW402" s="46" t="s">
        <v>30</v>
      </c>
      <c r="AX402" s="46"/>
      <c r="AY402" s="46" t="s">
        <v>30</v>
      </c>
      <c r="AZ402" s="46"/>
      <c r="BA402" s="47"/>
      <c r="BB402" s="51"/>
      <c r="BC402" s="46"/>
      <c r="BD402" s="46"/>
      <c r="BE402" s="46"/>
      <c r="BF402" s="46">
        <v>1</v>
      </c>
      <c r="BG402" s="46">
        <v>1</v>
      </c>
      <c r="BH402" s="46">
        <v>1</v>
      </c>
      <c r="BI402" s="46" t="s">
        <v>805</v>
      </c>
      <c r="BJ402" s="46" t="s">
        <v>816</v>
      </c>
      <c r="BK402" s="46">
        <v>1932</v>
      </c>
      <c r="BL402" s="46" t="str">
        <f>BK402&amp;BI402</f>
        <v>1932Newcastle United</v>
      </c>
      <c r="BM402" s="52" t="str">
        <f>IF(AD402="Home",BI402,IF(AD402="Away",BJ402,Q402))</f>
        <v>Kirklees</v>
      </c>
      <c r="BN402" s="46"/>
      <c r="BO402" s="46"/>
      <c r="BP402" s="46"/>
      <c r="BQ402" s="46"/>
      <c r="BR402" s="46"/>
      <c r="BS402" s="46"/>
      <c r="BT402" s="46"/>
      <c r="BU402" s="46"/>
      <c r="BV402" s="46" t="s">
        <v>376</v>
      </c>
      <c r="BW402" s="46" t="s">
        <v>376</v>
      </c>
      <c r="BX402" s="46"/>
      <c r="BZ402" s="53"/>
      <c r="CA402" s="53"/>
      <c r="CB402" s="93" t="str">
        <f>IF(OR(C402="",A402="",B402=""),"",TEXT(C402,"0000")&amp;TEXT(A402,"00")&amp;TEXT(B402,"00"))</f>
        <v>19320312</v>
      </c>
    </row>
    <row r="403" spans="1:80" s="52" customFormat="1" ht="12.95" customHeight="1" x14ac:dyDescent="0.2">
      <c r="A403" s="46">
        <v>3</v>
      </c>
      <c r="B403" s="46">
        <v>12</v>
      </c>
      <c r="C403" s="46">
        <v>1932</v>
      </c>
      <c r="D403" s="46" t="s">
        <v>658</v>
      </c>
      <c r="E403" s="46" t="s">
        <v>1287</v>
      </c>
      <c r="F403" s="47" t="s">
        <v>1010</v>
      </c>
      <c r="G403" s="46"/>
      <c r="H403" s="47" t="s">
        <v>1011</v>
      </c>
      <c r="I403" s="47"/>
      <c r="J403" s="48">
        <v>11760</v>
      </c>
      <c r="K403" s="46" t="s">
        <v>816</v>
      </c>
      <c r="L403" s="46" t="s">
        <v>4</v>
      </c>
      <c r="M403" s="46" t="s">
        <v>805</v>
      </c>
      <c r="N403" s="49">
        <v>1</v>
      </c>
      <c r="O403" s="49">
        <v>2</v>
      </c>
      <c r="P403" s="47" t="s">
        <v>1288</v>
      </c>
      <c r="Q403" s="47" t="s">
        <v>1096</v>
      </c>
      <c r="R403" s="47" t="s">
        <v>376</v>
      </c>
      <c r="S403" s="46"/>
      <c r="T403" s="46"/>
      <c r="U403" s="46"/>
      <c r="V403" s="46"/>
      <c r="W403" s="46"/>
      <c r="X403" s="46"/>
      <c r="Y403" s="46"/>
      <c r="Z403" s="46"/>
      <c r="AA403" s="46"/>
      <c r="AB403" s="46"/>
      <c r="AC403" s="46"/>
      <c r="AD403" s="46"/>
      <c r="AE403" s="50">
        <f>IF(L403="W",1,0)</f>
        <v>0</v>
      </c>
      <c r="AF403" s="50">
        <f>IF(L403="T",1,0)</f>
        <v>0</v>
      </c>
      <c r="AG403" s="50">
        <f>IF(L403="L",1,0)</f>
        <v>1</v>
      </c>
      <c r="AH403" s="46" t="s">
        <v>1017</v>
      </c>
      <c r="AI403" s="46" t="s">
        <v>1018</v>
      </c>
      <c r="AJ403" s="46" t="s">
        <v>376</v>
      </c>
      <c r="AK403" s="46" t="s">
        <v>658</v>
      </c>
      <c r="AL403" s="46" t="s">
        <v>1227</v>
      </c>
      <c r="AM403" s="46" t="s">
        <v>1164</v>
      </c>
      <c r="AN403" s="46" t="s">
        <v>376</v>
      </c>
      <c r="AO403" s="46" t="s">
        <v>658</v>
      </c>
      <c r="AP403" s="46"/>
      <c r="AQ403" s="46">
        <v>2</v>
      </c>
      <c r="AR403" s="46"/>
      <c r="AS403" s="46"/>
      <c r="AT403" s="46"/>
      <c r="AU403" s="46" t="s">
        <v>376</v>
      </c>
      <c r="AV403" s="46"/>
      <c r="AW403" s="46" t="s">
        <v>30</v>
      </c>
      <c r="AX403" s="46"/>
      <c r="AY403" s="46" t="s">
        <v>30</v>
      </c>
      <c r="AZ403" s="46"/>
      <c r="BA403" s="47"/>
      <c r="BB403" s="51"/>
      <c r="BC403" s="46"/>
      <c r="BD403" s="46"/>
      <c r="BE403" s="46"/>
      <c r="BF403" s="46">
        <v>1</v>
      </c>
      <c r="BG403" s="46">
        <v>1</v>
      </c>
      <c r="BH403" s="46">
        <v>1</v>
      </c>
      <c r="BI403" s="46" t="s">
        <v>816</v>
      </c>
      <c r="BJ403" s="46" t="s">
        <v>805</v>
      </c>
      <c r="BK403" s="46">
        <v>1932</v>
      </c>
      <c r="BL403" s="46" t="str">
        <f>BK403&amp;BI403</f>
        <v>1932Chelsea</v>
      </c>
      <c r="BM403" s="52" t="str">
        <f>IF(AD403="Home",BI403,IF(AD403="Away",BJ403,Q403))</f>
        <v>Kirklees</v>
      </c>
      <c r="BN403" s="46"/>
      <c r="BO403" s="46"/>
      <c r="BP403" s="46"/>
      <c r="BQ403" s="46"/>
      <c r="BR403" s="46"/>
      <c r="BS403" s="46"/>
      <c r="BT403" s="46"/>
      <c r="BU403" s="46"/>
      <c r="BV403" s="46" t="s">
        <v>376</v>
      </c>
      <c r="BW403" s="46" t="s">
        <v>376</v>
      </c>
      <c r="BX403" s="46"/>
      <c r="BZ403" s="53"/>
      <c r="CA403" s="53"/>
      <c r="CB403" s="93" t="str">
        <f>IF(OR(C403="",A403="",B403=""),"",TEXT(C403,"0000")&amp;TEXT(A403,"00")&amp;TEXT(B403,"00"))</f>
        <v>19320312</v>
      </c>
    </row>
    <row r="404" spans="1:80" s="52" customFormat="1" ht="12.95" customHeight="1" x14ac:dyDescent="0.2">
      <c r="A404" s="46">
        <v>3</v>
      </c>
      <c r="B404" s="46">
        <v>12</v>
      </c>
      <c r="C404" s="46">
        <v>1932</v>
      </c>
      <c r="D404" s="46" t="s">
        <v>658</v>
      </c>
      <c r="E404" s="46" t="s">
        <v>1287</v>
      </c>
      <c r="F404" s="47" t="s">
        <v>1010</v>
      </c>
      <c r="G404" s="46"/>
      <c r="H404" s="47" t="s">
        <v>1011</v>
      </c>
      <c r="I404" s="47"/>
      <c r="J404" s="48">
        <v>11760</v>
      </c>
      <c r="K404" s="46" t="s">
        <v>587</v>
      </c>
      <c r="L404" s="46" t="s">
        <v>3</v>
      </c>
      <c r="M404" s="46" t="s">
        <v>823</v>
      </c>
      <c r="N404" s="49">
        <v>1</v>
      </c>
      <c r="O404" s="49">
        <v>0</v>
      </c>
      <c r="P404" s="47" t="s">
        <v>1219</v>
      </c>
      <c r="Q404" s="47" t="s">
        <v>1111</v>
      </c>
      <c r="R404" s="47" t="s">
        <v>376</v>
      </c>
      <c r="S404" s="46"/>
      <c r="T404" s="46"/>
      <c r="U404" s="46"/>
      <c r="V404" s="46"/>
      <c r="W404" s="46"/>
      <c r="X404" s="46"/>
      <c r="Y404" s="46"/>
      <c r="Z404" s="46"/>
      <c r="AA404" s="46"/>
      <c r="AB404" s="46"/>
      <c r="AC404" s="46"/>
      <c r="AD404" s="46"/>
      <c r="AE404" s="50">
        <f>IF(L404="W",1,0)</f>
        <v>1</v>
      </c>
      <c r="AF404" s="50">
        <f>IF(L404="T",1,0)</f>
        <v>0</v>
      </c>
      <c r="AG404" s="50">
        <f>IF(L404="L",1,0)</f>
        <v>0</v>
      </c>
      <c r="AH404" s="46" t="s">
        <v>1017</v>
      </c>
      <c r="AI404" s="46" t="s">
        <v>1018</v>
      </c>
      <c r="AJ404" s="46" t="s">
        <v>376</v>
      </c>
      <c r="AK404" s="46" t="s">
        <v>658</v>
      </c>
      <c r="AL404" s="46" t="s">
        <v>1101</v>
      </c>
      <c r="AM404" s="46" t="s">
        <v>1159</v>
      </c>
      <c r="AN404" s="46" t="s">
        <v>376</v>
      </c>
      <c r="AO404" s="46" t="s">
        <v>658</v>
      </c>
      <c r="AP404" s="46"/>
      <c r="AQ404" s="46">
        <v>2</v>
      </c>
      <c r="AR404" s="46"/>
      <c r="AS404" s="46"/>
      <c r="AT404" s="46"/>
      <c r="AU404" s="46" t="s">
        <v>376</v>
      </c>
      <c r="AV404" s="46"/>
      <c r="AW404" s="46" t="s">
        <v>30</v>
      </c>
      <c r="AX404" s="46"/>
      <c r="AY404" s="46" t="s">
        <v>30</v>
      </c>
      <c r="AZ404" s="46"/>
      <c r="BA404" s="47"/>
      <c r="BB404" s="51"/>
      <c r="BC404" s="46"/>
      <c r="BD404" s="46"/>
      <c r="BE404" s="46"/>
      <c r="BF404" s="46">
        <v>1</v>
      </c>
      <c r="BG404" s="46">
        <v>1</v>
      </c>
      <c r="BH404" s="46">
        <v>1</v>
      </c>
      <c r="BI404" s="46" t="s">
        <v>587</v>
      </c>
      <c r="BJ404" s="46" t="s">
        <v>823</v>
      </c>
      <c r="BK404" s="46">
        <v>1932</v>
      </c>
      <c r="BL404" s="46" t="str">
        <f>BK404&amp;BI404</f>
        <v>1932Arsenal</v>
      </c>
      <c r="BM404" s="52" t="str">
        <f>IF(AD404="Home",BI404,IF(AD404="Away",BJ404,Q404))</f>
        <v>Birmingham</v>
      </c>
      <c r="BN404" s="46"/>
      <c r="BO404" s="46"/>
      <c r="BP404" s="46"/>
      <c r="BQ404" s="46"/>
      <c r="BR404" s="46"/>
      <c r="BS404" s="46"/>
      <c r="BT404" s="46"/>
      <c r="BU404" s="46"/>
      <c r="BV404" s="46" t="s">
        <v>376</v>
      </c>
      <c r="BW404" s="46" t="s">
        <v>376</v>
      </c>
      <c r="BX404" s="46"/>
      <c r="BZ404" s="53"/>
      <c r="CA404" s="53"/>
      <c r="CB404" s="93" t="str">
        <f>IF(OR(C404="",A404="",B404=""),"",TEXT(C404,"0000")&amp;TEXT(A404,"00")&amp;TEXT(B404,"00"))</f>
        <v>19320312</v>
      </c>
    </row>
    <row r="405" spans="1:80" s="52" customFormat="1" ht="12.95" customHeight="1" x14ac:dyDescent="0.2">
      <c r="A405" s="46">
        <v>3</v>
      </c>
      <c r="B405" s="46">
        <v>12</v>
      </c>
      <c r="C405" s="46">
        <v>1932</v>
      </c>
      <c r="D405" s="46" t="s">
        <v>658</v>
      </c>
      <c r="E405" s="46" t="s">
        <v>1287</v>
      </c>
      <c r="F405" s="47" t="s">
        <v>1010</v>
      </c>
      <c r="G405" s="46"/>
      <c r="H405" s="47" t="s">
        <v>1011</v>
      </c>
      <c r="I405" s="47"/>
      <c r="J405" s="48">
        <v>11760</v>
      </c>
      <c r="K405" s="46" t="s">
        <v>823</v>
      </c>
      <c r="L405" s="46" t="s">
        <v>4</v>
      </c>
      <c r="M405" s="46" t="s">
        <v>587</v>
      </c>
      <c r="N405" s="49">
        <v>0</v>
      </c>
      <c r="O405" s="49">
        <v>1</v>
      </c>
      <c r="P405" s="47" t="s">
        <v>1219</v>
      </c>
      <c r="Q405" s="47" t="s">
        <v>1111</v>
      </c>
      <c r="R405" s="47" t="s">
        <v>376</v>
      </c>
      <c r="S405" s="46"/>
      <c r="T405" s="46"/>
      <c r="U405" s="46"/>
      <c r="V405" s="46"/>
      <c r="W405" s="46"/>
      <c r="X405" s="46"/>
      <c r="Y405" s="46"/>
      <c r="Z405" s="46"/>
      <c r="AA405" s="46"/>
      <c r="AB405" s="46"/>
      <c r="AC405" s="46"/>
      <c r="AD405" s="46"/>
      <c r="AE405" s="50">
        <f>IF(L405="W",1,0)</f>
        <v>0</v>
      </c>
      <c r="AF405" s="50">
        <f>IF(L405="T",1,0)</f>
        <v>0</v>
      </c>
      <c r="AG405" s="50">
        <f>IF(L405="L",1,0)</f>
        <v>1</v>
      </c>
      <c r="AH405" s="46" t="s">
        <v>1101</v>
      </c>
      <c r="AI405" s="46" t="s">
        <v>1159</v>
      </c>
      <c r="AJ405" s="46" t="s">
        <v>376</v>
      </c>
      <c r="AK405" s="46" t="s">
        <v>658</v>
      </c>
      <c r="AL405" s="46" t="s">
        <v>1017</v>
      </c>
      <c r="AM405" s="46" t="s">
        <v>1018</v>
      </c>
      <c r="AN405" s="46" t="s">
        <v>376</v>
      </c>
      <c r="AO405" s="46" t="s">
        <v>658</v>
      </c>
      <c r="AP405" s="46"/>
      <c r="AQ405" s="46">
        <v>2</v>
      </c>
      <c r="AR405" s="46"/>
      <c r="AS405" s="46"/>
      <c r="AT405" s="46"/>
      <c r="AU405" s="46" t="s">
        <v>376</v>
      </c>
      <c r="AV405" s="46"/>
      <c r="AW405" s="46" t="s">
        <v>30</v>
      </c>
      <c r="AX405" s="46"/>
      <c r="AY405" s="46" t="s">
        <v>30</v>
      </c>
      <c r="AZ405" s="46"/>
      <c r="BA405" s="47"/>
      <c r="BB405" s="51"/>
      <c r="BC405" s="46"/>
      <c r="BD405" s="46"/>
      <c r="BE405" s="46"/>
      <c r="BF405" s="46">
        <v>1</v>
      </c>
      <c r="BG405" s="46">
        <v>1</v>
      </c>
      <c r="BH405" s="46">
        <v>1</v>
      </c>
      <c r="BI405" s="46" t="s">
        <v>823</v>
      </c>
      <c r="BJ405" s="46" t="s">
        <v>587</v>
      </c>
      <c r="BK405" s="46">
        <v>1932</v>
      </c>
      <c r="BL405" s="46" t="str">
        <f>BK405&amp;BI405</f>
        <v>1932Manchester City</v>
      </c>
      <c r="BM405" s="52" t="str">
        <f>IF(AD405="Home",BI405,IF(AD405="Away",BJ405,Q405))</f>
        <v>Birmingham</v>
      </c>
      <c r="BN405" s="46"/>
      <c r="BO405" s="46"/>
      <c r="BP405" s="46"/>
      <c r="BQ405" s="46"/>
      <c r="BR405" s="46"/>
      <c r="BS405" s="46"/>
      <c r="BT405" s="46"/>
      <c r="BU405" s="46"/>
      <c r="BV405" s="46" t="s">
        <v>376</v>
      </c>
      <c r="BW405" s="46" t="s">
        <v>376</v>
      </c>
      <c r="BX405" s="46"/>
      <c r="BZ405" s="53"/>
      <c r="CA405" s="53"/>
      <c r="CB405" s="93" t="str">
        <f>IF(OR(C405="",A405="",B405=""),"",TEXT(C405,"0000")&amp;TEXT(A405,"00")&amp;TEXT(B405,"00"))</f>
        <v>19320312</v>
      </c>
    </row>
    <row r="406" spans="1:80" s="52" customFormat="1" ht="12.95" customHeight="1" x14ac:dyDescent="0.2">
      <c r="A406" s="46">
        <v>4</v>
      </c>
      <c r="B406" s="46">
        <v>23</v>
      </c>
      <c r="C406" s="46">
        <v>1932</v>
      </c>
      <c r="D406" s="46" t="s">
        <v>658</v>
      </c>
      <c r="E406" s="46" t="s">
        <v>1287</v>
      </c>
      <c r="F406" s="47" t="s">
        <v>1010</v>
      </c>
      <c r="G406" s="46"/>
      <c r="H406" s="47" t="s">
        <v>1025</v>
      </c>
      <c r="I406" s="47"/>
      <c r="J406" s="48">
        <v>11802</v>
      </c>
      <c r="K406" s="46" t="s">
        <v>805</v>
      </c>
      <c r="L406" s="46" t="s">
        <v>3</v>
      </c>
      <c r="M406" s="46" t="s">
        <v>587</v>
      </c>
      <c r="N406" s="49">
        <v>2</v>
      </c>
      <c r="O406" s="49">
        <v>1</v>
      </c>
      <c r="P406" s="47" t="s">
        <v>1268</v>
      </c>
      <c r="Q406" s="47" t="s">
        <v>1017</v>
      </c>
      <c r="R406" s="47" t="s">
        <v>376</v>
      </c>
      <c r="S406" s="46"/>
      <c r="T406" s="46"/>
      <c r="U406" s="46"/>
      <c r="V406" s="46"/>
      <c r="W406" s="46"/>
      <c r="X406" s="46"/>
      <c r="Y406" s="46"/>
      <c r="Z406" s="46"/>
      <c r="AA406" s="46"/>
      <c r="AB406" s="46"/>
      <c r="AC406" s="46"/>
      <c r="AD406" s="46"/>
      <c r="AE406" s="50">
        <f>IF(L406="W",1,0)</f>
        <v>1</v>
      </c>
      <c r="AF406" s="50">
        <f>IF(L406="T",1,0)</f>
        <v>0</v>
      </c>
      <c r="AG406" s="50">
        <f>IF(L406="L",1,0)</f>
        <v>0</v>
      </c>
      <c r="AH406" s="46" t="s">
        <v>1227</v>
      </c>
      <c r="AI406" s="46" t="s">
        <v>1164</v>
      </c>
      <c r="AJ406" s="46" t="s">
        <v>376</v>
      </c>
      <c r="AK406" s="46" t="s">
        <v>658</v>
      </c>
      <c r="AL406" s="46" t="s">
        <v>1017</v>
      </c>
      <c r="AM406" s="46" t="s">
        <v>1018</v>
      </c>
      <c r="AN406" s="46" t="s">
        <v>376</v>
      </c>
      <c r="AO406" s="46" t="s">
        <v>658</v>
      </c>
      <c r="AP406" s="46"/>
      <c r="AQ406" s="46">
        <v>1</v>
      </c>
      <c r="AR406" s="46"/>
      <c r="AS406" s="46"/>
      <c r="AT406" s="46"/>
      <c r="AU406" s="46" t="s">
        <v>376</v>
      </c>
      <c r="AV406" s="46"/>
      <c r="AW406" s="46" t="s">
        <v>30</v>
      </c>
      <c r="AX406" s="46"/>
      <c r="AY406" s="46" t="s">
        <v>30</v>
      </c>
      <c r="AZ406" s="46"/>
      <c r="BA406" s="47"/>
      <c r="BB406" s="51" t="s">
        <v>30</v>
      </c>
      <c r="BC406" s="46" t="s">
        <v>30</v>
      </c>
      <c r="BD406" s="46"/>
      <c r="BE406" s="46"/>
      <c r="BF406" s="46">
        <v>1</v>
      </c>
      <c r="BG406" s="46">
        <v>1</v>
      </c>
      <c r="BH406" s="46">
        <v>1</v>
      </c>
      <c r="BI406" s="46" t="s">
        <v>805</v>
      </c>
      <c r="BJ406" s="46" t="s">
        <v>587</v>
      </c>
      <c r="BK406" s="46">
        <v>1932</v>
      </c>
      <c r="BL406" s="46" t="str">
        <f>BK406&amp;BI406</f>
        <v>1932Newcastle United</v>
      </c>
      <c r="BM406" s="52" t="str">
        <f>IF(AD406="Home",BI406,IF(AD406="Away",BJ406,Q406))</f>
        <v>London</v>
      </c>
      <c r="BN406" s="46"/>
      <c r="BO406" s="46"/>
      <c r="BP406" s="46"/>
      <c r="BQ406" s="46"/>
      <c r="BR406" s="46"/>
      <c r="BS406" s="46"/>
      <c r="BT406" s="46"/>
      <c r="BU406" s="46"/>
      <c r="BV406" s="46" t="s">
        <v>376</v>
      </c>
      <c r="BW406" s="46" t="s">
        <v>376</v>
      </c>
      <c r="BX406" s="46"/>
      <c r="BZ406" s="53"/>
      <c r="CA406" s="53"/>
      <c r="CB406" s="93" t="str">
        <f>IF(OR(C406="",A406="",B406=""),"",TEXT(C406,"0000")&amp;TEXT(A406,"00")&amp;TEXT(B406,"00"))</f>
        <v>19320423</v>
      </c>
    </row>
    <row r="407" spans="1:80" s="52" customFormat="1" ht="12.95" customHeight="1" x14ac:dyDescent="0.2">
      <c r="A407" s="46">
        <v>4</v>
      </c>
      <c r="B407" s="46">
        <v>23</v>
      </c>
      <c r="C407" s="46">
        <v>1932</v>
      </c>
      <c r="D407" s="46" t="s">
        <v>658</v>
      </c>
      <c r="E407" s="46" t="s">
        <v>1287</v>
      </c>
      <c r="F407" s="47" t="s">
        <v>1010</v>
      </c>
      <c r="G407" s="46"/>
      <c r="H407" s="47" t="s">
        <v>1025</v>
      </c>
      <c r="I407" s="47"/>
      <c r="J407" s="48">
        <v>11802</v>
      </c>
      <c r="K407" s="46" t="s">
        <v>587</v>
      </c>
      <c r="L407" s="46" t="s">
        <v>4</v>
      </c>
      <c r="M407" s="46" t="s">
        <v>805</v>
      </c>
      <c r="N407" s="49">
        <v>1</v>
      </c>
      <c r="O407" s="49">
        <v>2</v>
      </c>
      <c r="P407" s="47" t="s">
        <v>1268</v>
      </c>
      <c r="Q407" s="47" t="s">
        <v>1017</v>
      </c>
      <c r="R407" s="47" t="s">
        <v>376</v>
      </c>
      <c r="S407" s="46"/>
      <c r="T407" s="46"/>
      <c r="U407" s="46"/>
      <c r="V407" s="46"/>
      <c r="W407" s="46"/>
      <c r="X407" s="46"/>
      <c r="Y407" s="46"/>
      <c r="Z407" s="46"/>
      <c r="AA407" s="46"/>
      <c r="AB407" s="46"/>
      <c r="AC407" s="46"/>
      <c r="AD407" s="46"/>
      <c r="AE407" s="50">
        <f>IF(L407="W",1,0)</f>
        <v>0</v>
      </c>
      <c r="AF407" s="50">
        <f>IF(L407="T",1,0)</f>
        <v>0</v>
      </c>
      <c r="AG407" s="50">
        <f>IF(L407="L",1,0)</f>
        <v>1</v>
      </c>
      <c r="AH407" s="46" t="s">
        <v>1017</v>
      </c>
      <c r="AI407" s="46" t="s">
        <v>1018</v>
      </c>
      <c r="AJ407" s="46" t="s">
        <v>376</v>
      </c>
      <c r="AK407" s="46" t="s">
        <v>658</v>
      </c>
      <c r="AL407" s="46" t="s">
        <v>1227</v>
      </c>
      <c r="AM407" s="46" t="s">
        <v>1164</v>
      </c>
      <c r="AN407" s="46" t="s">
        <v>376</v>
      </c>
      <c r="AO407" s="46" t="s">
        <v>658</v>
      </c>
      <c r="AP407" s="46"/>
      <c r="AQ407" s="46">
        <v>1</v>
      </c>
      <c r="AR407" s="46"/>
      <c r="AS407" s="46"/>
      <c r="AT407" s="46"/>
      <c r="AU407" s="46" t="s">
        <v>376</v>
      </c>
      <c r="AV407" s="46"/>
      <c r="AW407" s="46" t="s">
        <v>30</v>
      </c>
      <c r="AX407" s="46"/>
      <c r="AY407" s="46" t="s">
        <v>30</v>
      </c>
      <c r="AZ407" s="46"/>
      <c r="BA407" s="47"/>
      <c r="BB407" s="51"/>
      <c r="BC407" s="46" t="s">
        <v>30</v>
      </c>
      <c r="BD407" s="46"/>
      <c r="BE407" s="46"/>
      <c r="BF407" s="46">
        <v>1</v>
      </c>
      <c r="BG407" s="46">
        <v>1</v>
      </c>
      <c r="BH407" s="46">
        <v>1</v>
      </c>
      <c r="BI407" s="46" t="s">
        <v>587</v>
      </c>
      <c r="BJ407" s="46" t="s">
        <v>805</v>
      </c>
      <c r="BK407" s="46">
        <v>1932</v>
      </c>
      <c r="BL407" s="46" t="str">
        <f>BK407&amp;BI407</f>
        <v>1932Arsenal</v>
      </c>
      <c r="BM407" s="52" t="str">
        <f>IF(AD407="Home",BI407,IF(AD407="Away",BJ407,Q407))</f>
        <v>London</v>
      </c>
      <c r="BN407" s="46"/>
      <c r="BO407" s="46"/>
      <c r="BP407" s="46"/>
      <c r="BQ407" s="46"/>
      <c r="BR407" s="46"/>
      <c r="BS407" s="46"/>
      <c r="BT407" s="46"/>
      <c r="BU407" s="46"/>
      <c r="BV407" s="46" t="s">
        <v>376</v>
      </c>
      <c r="BW407" s="46" t="s">
        <v>376</v>
      </c>
      <c r="BX407" s="46"/>
      <c r="BZ407" s="53"/>
      <c r="CA407" s="53"/>
      <c r="CB407" s="93" t="str">
        <f>IF(OR(C407="",A407="",B407=""),"",TEXT(C407,"0000")&amp;TEXT(A407,"00")&amp;TEXT(B407,"00"))</f>
        <v>19320423</v>
      </c>
    </row>
    <row r="408" spans="1:80" s="52" customFormat="1" ht="12.95" customHeight="1" x14ac:dyDescent="0.2">
      <c r="A408" s="46">
        <v>3</v>
      </c>
      <c r="B408" s="46">
        <v>18</v>
      </c>
      <c r="C408" s="46">
        <v>1933</v>
      </c>
      <c r="D408" s="46" t="s">
        <v>658</v>
      </c>
      <c r="E408" s="46" t="s">
        <v>1289</v>
      </c>
      <c r="F408" s="47" t="s">
        <v>1010</v>
      </c>
      <c r="G408" s="46"/>
      <c r="H408" s="47" t="s">
        <v>1011</v>
      </c>
      <c r="I408" s="47"/>
      <c r="J408" s="48">
        <v>12131</v>
      </c>
      <c r="K408" s="46" t="s">
        <v>823</v>
      </c>
      <c r="L408" s="46" t="s">
        <v>3</v>
      </c>
      <c r="M408" s="46" t="s">
        <v>1191</v>
      </c>
      <c r="N408" s="49">
        <v>3</v>
      </c>
      <c r="O408" s="49">
        <v>2</v>
      </c>
      <c r="P408" s="47" t="s">
        <v>1288</v>
      </c>
      <c r="Q408" s="47" t="s">
        <v>1096</v>
      </c>
      <c r="R408" s="47" t="s">
        <v>376</v>
      </c>
      <c r="S408" s="46"/>
      <c r="T408" s="46"/>
      <c r="U408" s="46"/>
      <c r="V408" s="46"/>
      <c r="W408" s="46"/>
      <c r="X408" s="46"/>
      <c r="Y408" s="46"/>
      <c r="Z408" s="46"/>
      <c r="AA408" s="46"/>
      <c r="AB408" s="46"/>
      <c r="AC408" s="46"/>
      <c r="AD408" s="46"/>
      <c r="AE408" s="50">
        <f>IF(L408="W",1,0)</f>
        <v>1</v>
      </c>
      <c r="AF408" s="50">
        <f>IF(L408="T",1,0)</f>
        <v>0</v>
      </c>
      <c r="AG408" s="50">
        <f>IF(L408="L",1,0)</f>
        <v>0</v>
      </c>
      <c r="AH408" s="46" t="s">
        <v>1101</v>
      </c>
      <c r="AI408" s="46" t="s">
        <v>1159</v>
      </c>
      <c r="AJ408" s="46" t="s">
        <v>376</v>
      </c>
      <c r="AK408" s="46" t="s">
        <v>658</v>
      </c>
      <c r="AL408" s="46" t="s">
        <v>979</v>
      </c>
      <c r="AM408" s="46" t="s">
        <v>1146</v>
      </c>
      <c r="AN408" s="46" t="s">
        <v>376</v>
      </c>
      <c r="AO408" s="46" t="s">
        <v>658</v>
      </c>
      <c r="AP408" s="46"/>
      <c r="AQ408" s="46">
        <v>2</v>
      </c>
      <c r="AR408" s="46"/>
      <c r="AS408" s="46"/>
      <c r="AT408" s="46"/>
      <c r="AU408" s="46" t="s">
        <v>376</v>
      </c>
      <c r="AV408" s="46"/>
      <c r="AW408" s="46" t="s">
        <v>30</v>
      </c>
      <c r="AX408" s="46"/>
      <c r="AY408" s="46" t="s">
        <v>30</v>
      </c>
      <c r="AZ408" s="46"/>
      <c r="BA408" s="47"/>
      <c r="BB408" s="51"/>
      <c r="BC408" s="46"/>
      <c r="BD408" s="46"/>
      <c r="BE408" s="46"/>
      <c r="BF408" s="46">
        <v>1</v>
      </c>
      <c r="BG408" s="46">
        <v>1</v>
      </c>
      <c r="BH408" s="46">
        <v>1</v>
      </c>
      <c r="BI408" s="46" t="s">
        <v>823</v>
      </c>
      <c r="BJ408" s="46" t="s">
        <v>1191</v>
      </c>
      <c r="BK408" s="46">
        <v>1933</v>
      </c>
      <c r="BL408" s="46" t="str">
        <f>BK408&amp;BI408</f>
        <v>1933Manchester City</v>
      </c>
      <c r="BM408" s="52" t="str">
        <f>IF(AD408="Home",BI408,IF(AD408="Away",BJ408,Q408))</f>
        <v>Kirklees</v>
      </c>
      <c r="BN408" s="46"/>
      <c r="BO408" s="46"/>
      <c r="BP408" s="46"/>
      <c r="BQ408" s="46"/>
      <c r="BR408" s="46"/>
      <c r="BS408" s="46"/>
      <c r="BT408" s="46"/>
      <c r="BU408" s="46"/>
      <c r="BV408" s="46" t="s">
        <v>376</v>
      </c>
      <c r="BW408" s="46" t="s">
        <v>376</v>
      </c>
      <c r="BX408" s="46"/>
      <c r="BZ408" s="53"/>
      <c r="CA408" s="53"/>
      <c r="CB408" s="93" t="str">
        <f>IF(OR(C408="",A408="",B408=""),"",TEXT(C408,"0000")&amp;TEXT(A408,"00")&amp;TEXT(B408,"00"))</f>
        <v>19330318</v>
      </c>
    </row>
    <row r="409" spans="1:80" s="52" customFormat="1" ht="12.95" customHeight="1" x14ac:dyDescent="0.2">
      <c r="A409" s="46">
        <v>3</v>
      </c>
      <c r="B409" s="46">
        <v>18</v>
      </c>
      <c r="C409" s="46">
        <v>1933</v>
      </c>
      <c r="D409" s="46" t="s">
        <v>658</v>
      </c>
      <c r="E409" s="46" t="s">
        <v>1289</v>
      </c>
      <c r="F409" s="47" t="s">
        <v>1010</v>
      </c>
      <c r="G409" s="46"/>
      <c r="H409" s="47" t="s">
        <v>1011</v>
      </c>
      <c r="I409" s="47"/>
      <c r="J409" s="48">
        <v>12131</v>
      </c>
      <c r="K409" s="46" t="s">
        <v>1191</v>
      </c>
      <c r="L409" s="46" t="s">
        <v>4</v>
      </c>
      <c r="M409" s="46" t="s">
        <v>823</v>
      </c>
      <c r="N409" s="49">
        <v>2</v>
      </c>
      <c r="O409" s="49">
        <v>3</v>
      </c>
      <c r="P409" s="47" t="s">
        <v>1288</v>
      </c>
      <c r="Q409" s="47" t="s">
        <v>1096</v>
      </c>
      <c r="R409" s="47" t="s">
        <v>376</v>
      </c>
      <c r="S409" s="46"/>
      <c r="T409" s="46"/>
      <c r="U409" s="46"/>
      <c r="V409" s="46"/>
      <c r="W409" s="46"/>
      <c r="X409" s="46"/>
      <c r="Y409" s="46"/>
      <c r="Z409" s="46"/>
      <c r="AA409" s="46"/>
      <c r="AB409" s="46"/>
      <c r="AC409" s="46"/>
      <c r="AD409" s="46"/>
      <c r="AE409" s="50">
        <f>IF(L409="W",1,0)</f>
        <v>0</v>
      </c>
      <c r="AF409" s="50">
        <f>IF(L409="T",1,0)</f>
        <v>0</v>
      </c>
      <c r="AG409" s="50">
        <f>IF(L409="L",1,0)</f>
        <v>1</v>
      </c>
      <c r="AH409" s="46" t="s">
        <v>979</v>
      </c>
      <c r="AI409" s="46" t="s">
        <v>1146</v>
      </c>
      <c r="AJ409" s="46" t="s">
        <v>376</v>
      </c>
      <c r="AK409" s="46" t="s">
        <v>658</v>
      </c>
      <c r="AL409" s="46" t="s">
        <v>1101</v>
      </c>
      <c r="AM409" s="46" t="s">
        <v>1159</v>
      </c>
      <c r="AN409" s="46" t="s">
        <v>376</v>
      </c>
      <c r="AO409" s="46" t="s">
        <v>658</v>
      </c>
      <c r="AP409" s="46"/>
      <c r="AQ409" s="46">
        <v>2</v>
      </c>
      <c r="AR409" s="46"/>
      <c r="AS409" s="46"/>
      <c r="AT409" s="46"/>
      <c r="AU409" s="46" t="s">
        <v>376</v>
      </c>
      <c r="AV409" s="46"/>
      <c r="AW409" s="46" t="s">
        <v>30</v>
      </c>
      <c r="AX409" s="46"/>
      <c r="AY409" s="46" t="s">
        <v>30</v>
      </c>
      <c r="AZ409" s="46"/>
      <c r="BA409" s="47"/>
      <c r="BB409" s="51"/>
      <c r="BC409" s="46"/>
      <c r="BD409" s="46"/>
      <c r="BE409" s="46"/>
      <c r="BF409" s="46">
        <v>1</v>
      </c>
      <c r="BG409" s="46">
        <v>1</v>
      </c>
      <c r="BH409" s="46">
        <v>1</v>
      </c>
      <c r="BI409" s="46" t="s">
        <v>1191</v>
      </c>
      <c r="BJ409" s="46" t="s">
        <v>823</v>
      </c>
      <c r="BK409" s="46">
        <v>1933</v>
      </c>
      <c r="BL409" s="46" t="str">
        <f>BK409&amp;BI409</f>
        <v>1933Derby County</v>
      </c>
      <c r="BM409" s="52" t="str">
        <f>IF(AD409="Home",BI409,IF(AD409="Away",BJ409,Q409))</f>
        <v>Kirklees</v>
      </c>
      <c r="BN409" s="46"/>
      <c r="BO409" s="46"/>
      <c r="BP409" s="46"/>
      <c r="BQ409" s="46"/>
      <c r="BR409" s="46"/>
      <c r="BS409" s="46"/>
      <c r="BT409" s="46"/>
      <c r="BU409" s="46"/>
      <c r="BV409" s="46" t="s">
        <v>376</v>
      </c>
      <c r="BW409" s="46" t="s">
        <v>376</v>
      </c>
      <c r="BX409" s="46"/>
      <c r="BZ409" s="53"/>
      <c r="CA409" s="53"/>
      <c r="CB409" s="93" t="str">
        <f>IF(OR(C409="",A409="",B409=""),"",TEXT(C409,"0000")&amp;TEXT(A409,"00")&amp;TEXT(B409,"00"))</f>
        <v>19330318</v>
      </c>
    </row>
    <row r="410" spans="1:80" s="52" customFormat="1" ht="12.95" customHeight="1" x14ac:dyDescent="0.2">
      <c r="A410" s="46">
        <v>3</v>
      </c>
      <c r="B410" s="46">
        <v>18</v>
      </c>
      <c r="C410" s="46">
        <v>1933</v>
      </c>
      <c r="D410" s="46" t="s">
        <v>658</v>
      </c>
      <c r="E410" s="46" t="s">
        <v>1289</v>
      </c>
      <c r="F410" s="47" t="s">
        <v>1010</v>
      </c>
      <c r="G410" s="46"/>
      <c r="H410" s="47" t="s">
        <v>1011</v>
      </c>
      <c r="I410" s="47"/>
      <c r="J410" s="48">
        <v>12131</v>
      </c>
      <c r="K410" s="46" t="s">
        <v>804</v>
      </c>
      <c r="L410" s="46" t="s">
        <v>3</v>
      </c>
      <c r="M410" s="46" t="s">
        <v>803</v>
      </c>
      <c r="N410" s="49">
        <v>2</v>
      </c>
      <c r="O410" s="49">
        <v>1</v>
      </c>
      <c r="P410" s="47" t="s">
        <v>1152</v>
      </c>
      <c r="Q410" s="47" t="s">
        <v>1111</v>
      </c>
      <c r="R410" s="47" t="s">
        <v>376</v>
      </c>
      <c r="S410" s="46"/>
      <c r="T410" s="46"/>
      <c r="U410" s="46"/>
      <c r="V410" s="46"/>
      <c r="W410" s="46"/>
      <c r="X410" s="46"/>
      <c r="Y410" s="46"/>
      <c r="Z410" s="46"/>
      <c r="AA410" s="46"/>
      <c r="AB410" s="46"/>
      <c r="AC410" s="46"/>
      <c r="AD410" s="46"/>
      <c r="AE410" s="50">
        <f>IF(L410="W",1,0)</f>
        <v>1</v>
      </c>
      <c r="AF410" s="50">
        <f>IF(L410="T",1,0)</f>
        <v>0</v>
      </c>
      <c r="AG410" s="50">
        <f>IF(L410="L",1,0)</f>
        <v>0</v>
      </c>
      <c r="AH410" s="46" t="s">
        <v>588</v>
      </c>
      <c r="AI410" s="46" t="s">
        <v>1175</v>
      </c>
      <c r="AJ410" s="46" t="s">
        <v>376</v>
      </c>
      <c r="AK410" s="46" t="s">
        <v>658</v>
      </c>
      <c r="AL410" s="46" t="s">
        <v>1017</v>
      </c>
      <c r="AM410" s="46" t="s">
        <v>1018</v>
      </c>
      <c r="AN410" s="46" t="s">
        <v>376</v>
      </c>
      <c r="AO410" s="46" t="s">
        <v>658</v>
      </c>
      <c r="AP410" s="46"/>
      <c r="AQ410" s="46">
        <v>2</v>
      </c>
      <c r="AR410" s="46"/>
      <c r="AS410" s="46"/>
      <c r="AT410" s="46"/>
      <c r="AU410" s="46" t="s">
        <v>376</v>
      </c>
      <c r="AV410" s="46"/>
      <c r="AW410" s="46" t="s">
        <v>30</v>
      </c>
      <c r="AX410" s="46"/>
      <c r="AY410" s="46" t="s">
        <v>30</v>
      </c>
      <c r="AZ410" s="46"/>
      <c r="BA410" s="47"/>
      <c r="BB410" s="51"/>
      <c r="BC410" s="46"/>
      <c r="BD410" s="46"/>
      <c r="BE410" s="46"/>
      <c r="BF410" s="46">
        <v>1</v>
      </c>
      <c r="BG410" s="46">
        <v>1</v>
      </c>
      <c r="BH410" s="46">
        <v>2</v>
      </c>
      <c r="BI410" s="46" t="s">
        <v>804</v>
      </c>
      <c r="BJ410" s="46" t="s">
        <v>803</v>
      </c>
      <c r="BK410" s="46">
        <v>1933</v>
      </c>
      <c r="BL410" s="46" t="str">
        <f>BK410&amp;BI410</f>
        <v>1933Everton</v>
      </c>
      <c r="BM410" s="52" t="str">
        <f>IF(AD410="Home",BI410,IF(AD410="Away",BJ410,Q410))</f>
        <v>Birmingham</v>
      </c>
      <c r="BN410" s="46"/>
      <c r="BO410" s="46"/>
      <c r="BP410" s="46"/>
      <c r="BQ410" s="46"/>
      <c r="BR410" s="46"/>
      <c r="BS410" s="46"/>
      <c r="BT410" s="46"/>
      <c r="BU410" s="46"/>
      <c r="BV410" s="46" t="s">
        <v>376</v>
      </c>
      <c r="BW410" s="46" t="s">
        <v>376</v>
      </c>
      <c r="BX410" s="46"/>
      <c r="BZ410" s="53"/>
      <c r="CA410" s="53"/>
      <c r="CB410" s="93" t="str">
        <f>IF(OR(C410="",A410="",B410=""),"",TEXT(C410,"0000")&amp;TEXT(A410,"00")&amp;TEXT(B410,"00"))</f>
        <v>19330318</v>
      </c>
    </row>
    <row r="411" spans="1:80" s="52" customFormat="1" ht="12.95" customHeight="1" x14ac:dyDescent="0.2">
      <c r="A411" s="46">
        <v>3</v>
      </c>
      <c r="B411" s="46">
        <v>18</v>
      </c>
      <c r="C411" s="46">
        <v>1933</v>
      </c>
      <c r="D411" s="46" t="s">
        <v>658</v>
      </c>
      <c r="E411" s="46" t="s">
        <v>1289</v>
      </c>
      <c r="F411" s="47" t="s">
        <v>1010</v>
      </c>
      <c r="G411" s="46"/>
      <c r="H411" s="47" t="s">
        <v>1011</v>
      </c>
      <c r="I411" s="47"/>
      <c r="J411" s="48">
        <v>12131</v>
      </c>
      <c r="K411" s="46" t="s">
        <v>803</v>
      </c>
      <c r="L411" s="46" t="s">
        <v>4</v>
      </c>
      <c r="M411" s="46" t="s">
        <v>804</v>
      </c>
      <c r="N411" s="49">
        <v>1</v>
      </c>
      <c r="O411" s="49">
        <v>2</v>
      </c>
      <c r="P411" s="47" t="s">
        <v>1152</v>
      </c>
      <c r="Q411" s="47" t="s">
        <v>1111</v>
      </c>
      <c r="R411" s="47" t="s">
        <v>376</v>
      </c>
      <c r="S411" s="46"/>
      <c r="T411" s="46"/>
      <c r="U411" s="46"/>
      <c r="V411" s="46"/>
      <c r="W411" s="46"/>
      <c r="X411" s="46"/>
      <c r="Y411" s="46"/>
      <c r="Z411" s="46"/>
      <c r="AA411" s="46"/>
      <c r="AB411" s="46"/>
      <c r="AC411" s="46"/>
      <c r="AD411" s="46"/>
      <c r="AE411" s="50">
        <f>IF(L411="W",1,0)</f>
        <v>0</v>
      </c>
      <c r="AF411" s="50">
        <f>IF(L411="T",1,0)</f>
        <v>0</v>
      </c>
      <c r="AG411" s="50">
        <f>IF(L411="L",1,0)</f>
        <v>1</v>
      </c>
      <c r="AH411" s="46" t="s">
        <v>1017</v>
      </c>
      <c r="AI411" s="46" t="s">
        <v>1018</v>
      </c>
      <c r="AJ411" s="46" t="s">
        <v>376</v>
      </c>
      <c r="AK411" s="46" t="s">
        <v>658</v>
      </c>
      <c r="AL411" s="46" t="s">
        <v>588</v>
      </c>
      <c r="AM411" s="46" t="s">
        <v>1175</v>
      </c>
      <c r="AN411" s="46" t="s">
        <v>376</v>
      </c>
      <c r="AO411" s="46" t="s">
        <v>658</v>
      </c>
      <c r="AP411" s="46"/>
      <c r="AQ411" s="46">
        <v>2</v>
      </c>
      <c r="AR411" s="46"/>
      <c r="AS411" s="46"/>
      <c r="AT411" s="46"/>
      <c r="AU411" s="46" t="s">
        <v>376</v>
      </c>
      <c r="AV411" s="46"/>
      <c r="AW411" s="46" t="s">
        <v>30</v>
      </c>
      <c r="AX411" s="46"/>
      <c r="AY411" s="46" t="s">
        <v>30</v>
      </c>
      <c r="AZ411" s="46"/>
      <c r="BA411" s="47"/>
      <c r="BB411" s="51"/>
      <c r="BC411" s="46"/>
      <c r="BD411" s="46"/>
      <c r="BE411" s="46"/>
      <c r="BF411" s="46">
        <v>1</v>
      </c>
      <c r="BG411" s="46">
        <v>2</v>
      </c>
      <c r="BH411" s="46">
        <v>1</v>
      </c>
      <c r="BI411" s="46" t="s">
        <v>803</v>
      </c>
      <c r="BJ411" s="46" t="s">
        <v>804</v>
      </c>
      <c r="BK411" s="46">
        <v>1933</v>
      </c>
      <c r="BL411" s="46" t="str">
        <f>BK411&amp;BI411</f>
        <v>1933West Ham United</v>
      </c>
      <c r="BM411" s="52" t="str">
        <f>IF(AD411="Home",BI411,IF(AD411="Away",BJ411,Q411))</f>
        <v>Birmingham</v>
      </c>
      <c r="BN411" s="46"/>
      <c r="BO411" s="46"/>
      <c r="BP411" s="46"/>
      <c r="BQ411" s="46"/>
      <c r="BR411" s="46"/>
      <c r="BS411" s="46"/>
      <c r="BT411" s="46"/>
      <c r="BU411" s="46"/>
      <c r="BV411" s="46" t="s">
        <v>376</v>
      </c>
      <c r="BW411" s="46" t="s">
        <v>376</v>
      </c>
      <c r="BX411" s="46"/>
      <c r="BZ411" s="53"/>
      <c r="CA411" s="53"/>
      <c r="CB411" s="93" t="str">
        <f>IF(OR(C411="",A411="",B411=""),"",TEXT(C411,"0000")&amp;TEXT(A411,"00")&amp;TEXT(B411,"00"))</f>
        <v>19330318</v>
      </c>
    </row>
    <row r="412" spans="1:80" s="52" customFormat="1" ht="12.95" customHeight="1" x14ac:dyDescent="0.2">
      <c r="A412" s="46">
        <v>4</v>
      </c>
      <c r="B412" s="46">
        <v>29</v>
      </c>
      <c r="C412" s="46">
        <v>1933</v>
      </c>
      <c r="D412" s="46" t="s">
        <v>658</v>
      </c>
      <c r="E412" s="46" t="s">
        <v>1289</v>
      </c>
      <c r="F412" s="47" t="s">
        <v>1010</v>
      </c>
      <c r="G412" s="46"/>
      <c r="H412" s="47" t="s">
        <v>1025</v>
      </c>
      <c r="I412" s="47"/>
      <c r="J412" s="48">
        <v>12173</v>
      </c>
      <c r="K412" s="46" t="s">
        <v>804</v>
      </c>
      <c r="L412" s="46" t="s">
        <v>3</v>
      </c>
      <c r="M412" s="46" t="s">
        <v>823</v>
      </c>
      <c r="N412" s="49">
        <v>3</v>
      </c>
      <c r="O412" s="49">
        <v>0</v>
      </c>
      <c r="P412" s="47" t="s">
        <v>1268</v>
      </c>
      <c r="Q412" s="47" t="s">
        <v>1017</v>
      </c>
      <c r="R412" s="47" t="s">
        <v>376</v>
      </c>
      <c r="S412" s="46"/>
      <c r="T412" s="46"/>
      <c r="U412" s="46"/>
      <c r="V412" s="46"/>
      <c r="W412" s="46"/>
      <c r="X412" s="46"/>
      <c r="Y412" s="46"/>
      <c r="Z412" s="46"/>
      <c r="AA412" s="46"/>
      <c r="AB412" s="46"/>
      <c r="AC412" s="46"/>
      <c r="AD412" s="46"/>
      <c r="AE412" s="50">
        <f>IF(L412="W",1,0)</f>
        <v>1</v>
      </c>
      <c r="AF412" s="50">
        <f>IF(L412="T",1,0)</f>
        <v>0</v>
      </c>
      <c r="AG412" s="50">
        <f>IF(L412="L",1,0)</f>
        <v>0</v>
      </c>
      <c r="AH412" s="46" t="s">
        <v>588</v>
      </c>
      <c r="AI412" s="46" t="s">
        <v>1175</v>
      </c>
      <c r="AJ412" s="46" t="s">
        <v>376</v>
      </c>
      <c r="AK412" s="46" t="s">
        <v>658</v>
      </c>
      <c r="AL412" s="46" t="s">
        <v>1101</v>
      </c>
      <c r="AM412" s="46" t="s">
        <v>1159</v>
      </c>
      <c r="AN412" s="46" t="s">
        <v>376</v>
      </c>
      <c r="AO412" s="46" t="s">
        <v>658</v>
      </c>
      <c r="AP412" s="46"/>
      <c r="AQ412" s="46">
        <v>1</v>
      </c>
      <c r="AR412" s="46"/>
      <c r="AS412" s="46"/>
      <c r="AT412" s="46"/>
      <c r="AU412" s="46" t="s">
        <v>376</v>
      </c>
      <c r="AV412" s="46"/>
      <c r="AW412" s="46" t="s">
        <v>30</v>
      </c>
      <c r="AX412" s="46"/>
      <c r="AY412" s="46" t="s">
        <v>30</v>
      </c>
      <c r="AZ412" s="46"/>
      <c r="BA412" s="47"/>
      <c r="BB412" s="51" t="s">
        <v>30</v>
      </c>
      <c r="BC412" s="46" t="s">
        <v>30</v>
      </c>
      <c r="BD412" s="46"/>
      <c r="BE412" s="46"/>
      <c r="BF412" s="46">
        <v>1</v>
      </c>
      <c r="BG412" s="46">
        <v>1</v>
      </c>
      <c r="BH412" s="46">
        <v>1</v>
      </c>
      <c r="BI412" s="46" t="s">
        <v>804</v>
      </c>
      <c r="BJ412" s="46" t="s">
        <v>823</v>
      </c>
      <c r="BK412" s="46">
        <v>1933</v>
      </c>
      <c r="BL412" s="46" t="str">
        <f>BK412&amp;BI412</f>
        <v>1933Everton</v>
      </c>
      <c r="BM412" s="52" t="str">
        <f>IF(AD412="Home",BI412,IF(AD412="Away",BJ412,Q412))</f>
        <v>London</v>
      </c>
      <c r="BN412" s="46"/>
      <c r="BO412" s="46"/>
      <c r="BP412" s="46"/>
      <c r="BQ412" s="46"/>
      <c r="BR412" s="46"/>
      <c r="BS412" s="46"/>
      <c r="BT412" s="46"/>
      <c r="BU412" s="46"/>
      <c r="BV412" s="46" t="s">
        <v>376</v>
      </c>
      <c r="BW412" s="46" t="s">
        <v>376</v>
      </c>
      <c r="BX412" s="46"/>
      <c r="BZ412" s="53"/>
      <c r="CA412" s="53"/>
      <c r="CB412" s="93" t="str">
        <f>IF(OR(C412="",A412="",B412=""),"",TEXT(C412,"0000")&amp;TEXT(A412,"00")&amp;TEXT(B412,"00"))</f>
        <v>19330429</v>
      </c>
    </row>
    <row r="413" spans="1:80" s="52" customFormat="1" ht="12.95" customHeight="1" x14ac:dyDescent="0.2">
      <c r="A413" s="46">
        <v>4</v>
      </c>
      <c r="B413" s="46">
        <v>29</v>
      </c>
      <c r="C413" s="46">
        <v>1933</v>
      </c>
      <c r="D413" s="46" t="s">
        <v>658</v>
      </c>
      <c r="E413" s="46" t="s">
        <v>1289</v>
      </c>
      <c r="F413" s="47" t="s">
        <v>1010</v>
      </c>
      <c r="G413" s="46"/>
      <c r="H413" s="47" t="s">
        <v>1025</v>
      </c>
      <c r="I413" s="47"/>
      <c r="J413" s="48">
        <v>12173</v>
      </c>
      <c r="K413" s="46" t="s">
        <v>823</v>
      </c>
      <c r="L413" s="46" t="s">
        <v>4</v>
      </c>
      <c r="M413" s="46" t="s">
        <v>804</v>
      </c>
      <c r="N413" s="49">
        <v>0</v>
      </c>
      <c r="O413" s="49">
        <v>3</v>
      </c>
      <c r="P413" s="47" t="s">
        <v>1268</v>
      </c>
      <c r="Q413" s="47" t="s">
        <v>1017</v>
      </c>
      <c r="R413" s="47" t="s">
        <v>376</v>
      </c>
      <c r="S413" s="46"/>
      <c r="T413" s="46"/>
      <c r="U413" s="46"/>
      <c r="V413" s="46"/>
      <c r="W413" s="46"/>
      <c r="X413" s="46"/>
      <c r="Y413" s="46"/>
      <c r="Z413" s="46"/>
      <c r="AA413" s="46"/>
      <c r="AB413" s="46"/>
      <c r="AC413" s="46"/>
      <c r="AD413" s="46"/>
      <c r="AE413" s="50">
        <f>IF(L413="W",1,0)</f>
        <v>0</v>
      </c>
      <c r="AF413" s="50">
        <f>IF(L413="T",1,0)</f>
        <v>0</v>
      </c>
      <c r="AG413" s="50">
        <f>IF(L413="L",1,0)</f>
        <v>1</v>
      </c>
      <c r="AH413" s="46" t="s">
        <v>1101</v>
      </c>
      <c r="AI413" s="46" t="s">
        <v>1159</v>
      </c>
      <c r="AJ413" s="46" t="s">
        <v>376</v>
      </c>
      <c r="AK413" s="46" t="s">
        <v>658</v>
      </c>
      <c r="AL413" s="46" t="s">
        <v>588</v>
      </c>
      <c r="AM413" s="46" t="s">
        <v>1175</v>
      </c>
      <c r="AN413" s="46" t="s">
        <v>376</v>
      </c>
      <c r="AO413" s="46" t="s">
        <v>658</v>
      </c>
      <c r="AP413" s="46"/>
      <c r="AQ413" s="46">
        <v>1</v>
      </c>
      <c r="AR413" s="46"/>
      <c r="AS413" s="46"/>
      <c r="AT413" s="46"/>
      <c r="AU413" s="46" t="s">
        <v>376</v>
      </c>
      <c r="AV413" s="46"/>
      <c r="AW413" s="46" t="s">
        <v>30</v>
      </c>
      <c r="AX413" s="46"/>
      <c r="AY413" s="46" t="s">
        <v>30</v>
      </c>
      <c r="AZ413" s="46"/>
      <c r="BA413" s="47"/>
      <c r="BB413" s="51"/>
      <c r="BC413" s="46" t="s">
        <v>30</v>
      </c>
      <c r="BD413" s="46"/>
      <c r="BE413" s="46"/>
      <c r="BF413" s="46">
        <v>1</v>
      </c>
      <c r="BG413" s="46">
        <v>1</v>
      </c>
      <c r="BH413" s="46">
        <v>1</v>
      </c>
      <c r="BI413" s="46" t="s">
        <v>823</v>
      </c>
      <c r="BJ413" s="46" t="s">
        <v>804</v>
      </c>
      <c r="BK413" s="46">
        <v>1933</v>
      </c>
      <c r="BL413" s="46" t="str">
        <f>BK413&amp;BI413</f>
        <v>1933Manchester City</v>
      </c>
      <c r="BM413" s="52" t="str">
        <f>IF(AD413="Home",BI413,IF(AD413="Away",BJ413,Q413))</f>
        <v>London</v>
      </c>
      <c r="BN413" s="46"/>
      <c r="BO413" s="46"/>
      <c r="BP413" s="46"/>
      <c r="BQ413" s="46"/>
      <c r="BR413" s="46"/>
      <c r="BS413" s="46"/>
      <c r="BT413" s="46"/>
      <c r="BU413" s="46"/>
      <c r="BV413" s="46" t="s">
        <v>376</v>
      </c>
      <c r="BW413" s="46" t="s">
        <v>376</v>
      </c>
      <c r="BX413" s="46"/>
      <c r="BZ413" s="53"/>
      <c r="CA413" s="53"/>
      <c r="CB413" s="93" t="str">
        <f>IF(OR(C413="",A413="",B413=""),"",TEXT(C413,"0000")&amp;TEXT(A413,"00")&amp;TEXT(B413,"00"))</f>
        <v>19330429</v>
      </c>
    </row>
    <row r="414" spans="1:80" s="52" customFormat="1" ht="12.95" customHeight="1" x14ac:dyDescent="0.2">
      <c r="A414" s="46">
        <v>3</v>
      </c>
      <c r="B414" s="46">
        <v>17</v>
      </c>
      <c r="C414" s="46">
        <v>1934</v>
      </c>
      <c r="D414" s="46" t="s">
        <v>658</v>
      </c>
      <c r="E414" s="46" t="s">
        <v>1290</v>
      </c>
      <c r="F414" s="47" t="s">
        <v>1010</v>
      </c>
      <c r="G414" s="46"/>
      <c r="H414" s="47" t="s">
        <v>1011</v>
      </c>
      <c r="I414" s="47"/>
      <c r="J414" s="48">
        <v>12495</v>
      </c>
      <c r="K414" s="46" t="s">
        <v>823</v>
      </c>
      <c r="L414" s="46" t="s">
        <v>3</v>
      </c>
      <c r="M414" s="46" t="s">
        <v>806</v>
      </c>
      <c r="N414" s="49">
        <v>6</v>
      </c>
      <c r="O414" s="49">
        <v>1</v>
      </c>
      <c r="P414" s="47" t="s">
        <v>1288</v>
      </c>
      <c r="Q414" s="47" t="s">
        <v>1096</v>
      </c>
      <c r="R414" s="47" t="s">
        <v>376</v>
      </c>
      <c r="S414" s="46"/>
      <c r="T414" s="46"/>
      <c r="U414" s="46"/>
      <c r="V414" s="46"/>
      <c r="W414" s="46"/>
      <c r="X414" s="46"/>
      <c r="Y414" s="46"/>
      <c r="Z414" s="46"/>
      <c r="AA414" s="46"/>
      <c r="AB414" s="46"/>
      <c r="AC414" s="46"/>
      <c r="AD414" s="46"/>
      <c r="AE414" s="50">
        <f>IF(L414="W",1,0)</f>
        <v>1</v>
      </c>
      <c r="AF414" s="50">
        <f>IF(L414="T",1,0)</f>
        <v>0</v>
      </c>
      <c r="AG414" s="50">
        <f>IF(L414="L",1,0)</f>
        <v>0</v>
      </c>
      <c r="AH414" s="46" t="s">
        <v>1101</v>
      </c>
      <c r="AI414" s="46" t="s">
        <v>1159</v>
      </c>
      <c r="AJ414" s="46" t="s">
        <v>376</v>
      </c>
      <c r="AK414" s="46" t="s">
        <v>658</v>
      </c>
      <c r="AL414" s="46" t="s">
        <v>1111</v>
      </c>
      <c r="AM414" s="46" t="s">
        <v>1126</v>
      </c>
      <c r="AN414" s="46" t="s">
        <v>376</v>
      </c>
      <c r="AO414" s="46" t="s">
        <v>658</v>
      </c>
      <c r="AP414" s="46"/>
      <c r="AQ414" s="46">
        <v>2</v>
      </c>
      <c r="AR414" s="46"/>
      <c r="AS414" s="46"/>
      <c r="AT414" s="46"/>
      <c r="AU414" s="46" t="s">
        <v>376</v>
      </c>
      <c r="AV414" s="46"/>
      <c r="AW414" s="46" t="s">
        <v>30</v>
      </c>
      <c r="AX414" s="46"/>
      <c r="AY414" s="46" t="s">
        <v>30</v>
      </c>
      <c r="AZ414" s="46"/>
      <c r="BA414" s="47"/>
      <c r="BB414" s="51"/>
      <c r="BC414" s="46"/>
      <c r="BD414" s="46"/>
      <c r="BE414" s="46"/>
      <c r="BF414" s="46">
        <v>1</v>
      </c>
      <c r="BG414" s="46">
        <v>1</v>
      </c>
      <c r="BH414" s="46">
        <v>1</v>
      </c>
      <c r="BI414" s="46" t="s">
        <v>823</v>
      </c>
      <c r="BJ414" s="46" t="s">
        <v>806</v>
      </c>
      <c r="BK414" s="46">
        <v>1934</v>
      </c>
      <c r="BL414" s="46" t="str">
        <f>BK414&amp;BI414</f>
        <v>1934Manchester City</v>
      </c>
      <c r="BM414" s="52" t="str">
        <f>IF(AD414="Home",BI414,IF(AD414="Away",BJ414,Q414))</f>
        <v>Kirklees</v>
      </c>
      <c r="BN414" s="46"/>
      <c r="BO414" s="46"/>
      <c r="BP414" s="46"/>
      <c r="BQ414" s="46"/>
      <c r="BR414" s="46"/>
      <c r="BS414" s="46"/>
      <c r="BT414" s="46"/>
      <c r="BU414" s="46"/>
      <c r="BV414" s="46" t="s">
        <v>376</v>
      </c>
      <c r="BW414" s="46" t="s">
        <v>376</v>
      </c>
      <c r="BX414" s="46"/>
      <c r="BZ414" s="53"/>
      <c r="CA414" s="53"/>
      <c r="CB414" s="93" t="str">
        <f>IF(OR(C414="",A414="",B414=""),"",TEXT(C414,"0000")&amp;TEXT(A414,"00")&amp;TEXT(B414,"00"))</f>
        <v>19340317</v>
      </c>
    </row>
    <row r="415" spans="1:80" s="52" customFormat="1" ht="12.95" customHeight="1" x14ac:dyDescent="0.2">
      <c r="A415" s="46">
        <v>3</v>
      </c>
      <c r="B415" s="46">
        <v>17</v>
      </c>
      <c r="C415" s="46">
        <v>1934</v>
      </c>
      <c r="D415" s="46" t="s">
        <v>658</v>
      </c>
      <c r="E415" s="46" t="s">
        <v>1290</v>
      </c>
      <c r="F415" s="47" t="s">
        <v>1010</v>
      </c>
      <c r="G415" s="46"/>
      <c r="H415" s="47" t="s">
        <v>1011</v>
      </c>
      <c r="I415" s="47"/>
      <c r="J415" s="48">
        <v>12495</v>
      </c>
      <c r="K415" s="46" t="s">
        <v>806</v>
      </c>
      <c r="L415" s="46" t="s">
        <v>4</v>
      </c>
      <c r="M415" s="46" t="s">
        <v>823</v>
      </c>
      <c r="N415" s="49">
        <v>1</v>
      </c>
      <c r="O415" s="49">
        <v>6</v>
      </c>
      <c r="P415" s="47" t="s">
        <v>1288</v>
      </c>
      <c r="Q415" s="47" t="s">
        <v>1096</v>
      </c>
      <c r="R415" s="47" t="s">
        <v>376</v>
      </c>
      <c r="S415" s="46"/>
      <c r="T415" s="46"/>
      <c r="U415" s="46"/>
      <c r="V415" s="46"/>
      <c r="W415" s="46"/>
      <c r="X415" s="46"/>
      <c r="Y415" s="46"/>
      <c r="Z415" s="46"/>
      <c r="AA415" s="46"/>
      <c r="AB415" s="46"/>
      <c r="AC415" s="46"/>
      <c r="AD415" s="46"/>
      <c r="AE415" s="50">
        <f>IF(L415="W",1,0)</f>
        <v>0</v>
      </c>
      <c r="AF415" s="50">
        <f>IF(L415="T",1,0)</f>
        <v>0</v>
      </c>
      <c r="AG415" s="50">
        <f>IF(L415="L",1,0)</f>
        <v>1</v>
      </c>
      <c r="AH415" s="46" t="s">
        <v>1111</v>
      </c>
      <c r="AI415" s="46" t="s">
        <v>1126</v>
      </c>
      <c r="AJ415" s="46" t="s">
        <v>376</v>
      </c>
      <c r="AK415" s="46" t="s">
        <v>658</v>
      </c>
      <c r="AL415" s="46" t="s">
        <v>1101</v>
      </c>
      <c r="AM415" s="46" t="s">
        <v>1159</v>
      </c>
      <c r="AN415" s="46" t="s">
        <v>376</v>
      </c>
      <c r="AO415" s="46" t="s">
        <v>658</v>
      </c>
      <c r="AP415" s="46"/>
      <c r="AQ415" s="46">
        <v>2</v>
      </c>
      <c r="AR415" s="46"/>
      <c r="AS415" s="46"/>
      <c r="AT415" s="46"/>
      <c r="AU415" s="46" t="s">
        <v>376</v>
      </c>
      <c r="AV415" s="46"/>
      <c r="AW415" s="46" t="s">
        <v>30</v>
      </c>
      <c r="AX415" s="46"/>
      <c r="AY415" s="46" t="s">
        <v>30</v>
      </c>
      <c r="AZ415" s="46"/>
      <c r="BA415" s="47"/>
      <c r="BB415" s="51"/>
      <c r="BC415" s="46"/>
      <c r="BD415" s="46"/>
      <c r="BE415" s="46"/>
      <c r="BF415" s="46">
        <v>1</v>
      </c>
      <c r="BG415" s="46">
        <v>1</v>
      </c>
      <c r="BH415" s="46">
        <v>1</v>
      </c>
      <c r="BI415" s="46" t="s">
        <v>806</v>
      </c>
      <c r="BJ415" s="46" t="s">
        <v>823</v>
      </c>
      <c r="BK415" s="46">
        <v>1934</v>
      </c>
      <c r="BL415" s="46" t="str">
        <f>BK415&amp;BI415</f>
        <v>1934Aston Villa</v>
      </c>
      <c r="BM415" s="52" t="str">
        <f>IF(AD415="Home",BI415,IF(AD415="Away",BJ415,Q415))</f>
        <v>Kirklees</v>
      </c>
      <c r="BN415" s="46"/>
      <c r="BO415" s="46"/>
      <c r="BP415" s="46"/>
      <c r="BQ415" s="46"/>
      <c r="BR415" s="46"/>
      <c r="BS415" s="46"/>
      <c r="BT415" s="46"/>
      <c r="BU415" s="46"/>
      <c r="BV415" s="46" t="s">
        <v>376</v>
      </c>
      <c r="BW415" s="46" t="s">
        <v>376</v>
      </c>
      <c r="BX415" s="46"/>
      <c r="BZ415" s="53"/>
      <c r="CA415" s="53"/>
      <c r="CB415" s="93" t="str">
        <f>IF(OR(C415="",A415="",B415=""),"",TEXT(C415,"0000")&amp;TEXT(A415,"00")&amp;TEXT(B415,"00"))</f>
        <v>19340317</v>
      </c>
    </row>
    <row r="416" spans="1:80" s="52" customFormat="1" ht="12.95" customHeight="1" x14ac:dyDescent="0.2">
      <c r="A416" s="46">
        <v>3</v>
      </c>
      <c r="B416" s="46">
        <v>17</v>
      </c>
      <c r="C416" s="46">
        <v>1934</v>
      </c>
      <c r="D416" s="46" t="s">
        <v>658</v>
      </c>
      <c r="E416" s="46" t="s">
        <v>1290</v>
      </c>
      <c r="F416" s="47" t="s">
        <v>1010</v>
      </c>
      <c r="G416" s="46"/>
      <c r="H416" s="47" t="s">
        <v>1011</v>
      </c>
      <c r="I416" s="47"/>
      <c r="J416" s="48">
        <v>12495</v>
      </c>
      <c r="K416" s="46" t="s">
        <v>1280</v>
      </c>
      <c r="L416" s="46" t="s">
        <v>3</v>
      </c>
      <c r="M416" s="46" t="s">
        <v>1291</v>
      </c>
      <c r="N416" s="49">
        <v>4</v>
      </c>
      <c r="O416" s="49">
        <v>1</v>
      </c>
      <c r="P416" s="47" t="s">
        <v>1232</v>
      </c>
      <c r="Q416" s="47" t="s">
        <v>1111</v>
      </c>
      <c r="R416" s="47" t="s">
        <v>376</v>
      </c>
      <c r="S416" s="46"/>
      <c r="T416" s="46"/>
      <c r="U416" s="46"/>
      <c r="V416" s="46"/>
      <c r="W416" s="46"/>
      <c r="X416" s="46"/>
      <c r="Y416" s="46"/>
      <c r="Z416" s="46"/>
      <c r="AA416" s="46"/>
      <c r="AB416" s="46"/>
      <c r="AC416" s="46"/>
      <c r="AD416" s="46"/>
      <c r="AE416" s="50">
        <f>IF(L416="W",1,0)</f>
        <v>1</v>
      </c>
      <c r="AF416" s="50">
        <f>IF(L416="T",1,0)</f>
        <v>0</v>
      </c>
      <c r="AG416" s="50">
        <f>IF(L416="L",1,0)</f>
        <v>0</v>
      </c>
      <c r="AH416" s="46" t="s">
        <v>1280</v>
      </c>
      <c r="AI416" s="46" t="s">
        <v>1199</v>
      </c>
      <c r="AJ416" s="46" t="s">
        <v>376</v>
      </c>
      <c r="AK416" s="46" t="s">
        <v>658</v>
      </c>
      <c r="AL416" s="46" t="s">
        <v>1278</v>
      </c>
      <c r="AM416" s="46" t="s">
        <v>1292</v>
      </c>
      <c r="AN416" s="46" t="s">
        <v>376</v>
      </c>
      <c r="AO416" s="46" t="s">
        <v>658</v>
      </c>
      <c r="AP416" s="46"/>
      <c r="AQ416" s="46">
        <v>2</v>
      </c>
      <c r="AR416" s="46"/>
      <c r="AS416" s="46"/>
      <c r="AT416" s="46"/>
      <c r="AU416" s="46" t="s">
        <v>376</v>
      </c>
      <c r="AV416" s="46"/>
      <c r="AW416" s="46" t="s">
        <v>30</v>
      </c>
      <c r="AX416" s="46"/>
      <c r="AY416" s="46" t="s">
        <v>30</v>
      </c>
      <c r="AZ416" s="46"/>
      <c r="BA416" s="47"/>
      <c r="BB416" s="51"/>
      <c r="BC416" s="46"/>
      <c r="BD416" s="46"/>
      <c r="BE416" s="46"/>
      <c r="BF416" s="46">
        <v>1</v>
      </c>
      <c r="BG416" s="46">
        <v>1</v>
      </c>
      <c r="BH416" s="46">
        <v>1</v>
      </c>
      <c r="BI416" s="46" t="s">
        <v>1280</v>
      </c>
      <c r="BJ416" s="46" t="s">
        <v>1291</v>
      </c>
      <c r="BK416" s="46">
        <v>1934</v>
      </c>
      <c r="BL416" s="46" t="str">
        <f>BK416&amp;BI416</f>
        <v>1934Portsmouth</v>
      </c>
      <c r="BM416" s="52" t="str">
        <f>IF(AD416="Home",BI416,IF(AD416="Away",BJ416,Q416))</f>
        <v>Birmingham</v>
      </c>
      <c r="BN416" s="46"/>
      <c r="BO416" s="46"/>
      <c r="BP416" s="46"/>
      <c r="BQ416" s="46"/>
      <c r="BR416" s="46"/>
      <c r="BS416" s="46"/>
      <c r="BT416" s="46"/>
      <c r="BU416" s="46"/>
      <c r="BV416" s="46" t="s">
        <v>376</v>
      </c>
      <c r="BW416" s="46" t="s">
        <v>376</v>
      </c>
      <c r="BX416" s="46"/>
      <c r="BZ416" s="53"/>
      <c r="CA416" s="53"/>
      <c r="CB416" s="93" t="str">
        <f>IF(OR(C416="",A416="",B416=""),"",TEXT(C416,"0000")&amp;TEXT(A416,"00")&amp;TEXT(B416,"00"))</f>
        <v>19340317</v>
      </c>
    </row>
    <row r="417" spans="1:80" s="52" customFormat="1" ht="12.95" customHeight="1" x14ac:dyDescent="0.2">
      <c r="A417" s="46">
        <v>3</v>
      </c>
      <c r="B417" s="46">
        <v>17</v>
      </c>
      <c r="C417" s="46">
        <v>1934</v>
      </c>
      <c r="D417" s="46" t="s">
        <v>658</v>
      </c>
      <c r="E417" s="46" t="s">
        <v>1290</v>
      </c>
      <c r="F417" s="47" t="s">
        <v>1010</v>
      </c>
      <c r="G417" s="46"/>
      <c r="H417" s="47" t="s">
        <v>1011</v>
      </c>
      <c r="I417" s="47"/>
      <c r="J417" s="48">
        <v>12495</v>
      </c>
      <c r="K417" s="46" t="s">
        <v>1291</v>
      </c>
      <c r="L417" s="46" t="s">
        <v>4</v>
      </c>
      <c r="M417" s="46" t="s">
        <v>1280</v>
      </c>
      <c r="N417" s="49">
        <v>1</v>
      </c>
      <c r="O417" s="49">
        <v>4</v>
      </c>
      <c r="P417" s="47" t="s">
        <v>1232</v>
      </c>
      <c r="Q417" s="47" t="s">
        <v>1111</v>
      </c>
      <c r="R417" s="47" t="s">
        <v>376</v>
      </c>
      <c r="S417" s="46"/>
      <c r="T417" s="46"/>
      <c r="U417" s="46"/>
      <c r="V417" s="46"/>
      <c r="W417" s="46"/>
      <c r="X417" s="46"/>
      <c r="Y417" s="46"/>
      <c r="Z417" s="46"/>
      <c r="AA417" s="46"/>
      <c r="AB417" s="46"/>
      <c r="AC417" s="46"/>
      <c r="AD417" s="46"/>
      <c r="AE417" s="50">
        <f>IF(L417="W",1,0)</f>
        <v>0</v>
      </c>
      <c r="AF417" s="50">
        <f>IF(L417="T",1,0)</f>
        <v>0</v>
      </c>
      <c r="AG417" s="50">
        <f>IF(L417="L",1,0)</f>
        <v>1</v>
      </c>
      <c r="AH417" s="46" t="s">
        <v>1278</v>
      </c>
      <c r="AI417" s="46" t="s">
        <v>1292</v>
      </c>
      <c r="AJ417" s="46" t="s">
        <v>376</v>
      </c>
      <c r="AK417" s="46" t="s">
        <v>658</v>
      </c>
      <c r="AL417" s="46" t="s">
        <v>1280</v>
      </c>
      <c r="AM417" s="46" t="s">
        <v>1199</v>
      </c>
      <c r="AN417" s="46" t="s">
        <v>376</v>
      </c>
      <c r="AO417" s="46" t="s">
        <v>658</v>
      </c>
      <c r="AP417" s="46"/>
      <c r="AQ417" s="46">
        <v>2</v>
      </c>
      <c r="AR417" s="46"/>
      <c r="AS417" s="46"/>
      <c r="AT417" s="46"/>
      <c r="AU417" s="46" t="s">
        <v>376</v>
      </c>
      <c r="AV417" s="46"/>
      <c r="AW417" s="46" t="s">
        <v>30</v>
      </c>
      <c r="AX417" s="46"/>
      <c r="AY417" s="46" t="s">
        <v>30</v>
      </c>
      <c r="AZ417" s="46"/>
      <c r="BA417" s="47"/>
      <c r="BB417" s="51"/>
      <c r="BC417" s="46"/>
      <c r="BD417" s="46"/>
      <c r="BE417" s="46"/>
      <c r="BF417" s="46">
        <v>1</v>
      </c>
      <c r="BG417" s="46">
        <v>1</v>
      </c>
      <c r="BH417" s="46">
        <v>1</v>
      </c>
      <c r="BI417" s="46" t="s">
        <v>1291</v>
      </c>
      <c r="BJ417" s="46" t="s">
        <v>1280</v>
      </c>
      <c r="BK417" s="46">
        <v>1934</v>
      </c>
      <c r="BL417" s="46" t="str">
        <f>BK417&amp;BI417</f>
        <v>1934Leicester City</v>
      </c>
      <c r="BM417" s="52" t="str">
        <f>IF(AD417="Home",BI417,IF(AD417="Away",BJ417,Q417))</f>
        <v>Birmingham</v>
      </c>
      <c r="BN417" s="46"/>
      <c r="BO417" s="46"/>
      <c r="BP417" s="46"/>
      <c r="BQ417" s="46"/>
      <c r="BR417" s="46"/>
      <c r="BS417" s="46"/>
      <c r="BT417" s="46"/>
      <c r="BU417" s="46"/>
      <c r="BV417" s="46" t="s">
        <v>376</v>
      </c>
      <c r="BW417" s="46" t="s">
        <v>376</v>
      </c>
      <c r="BX417" s="46"/>
      <c r="BZ417" s="53"/>
      <c r="CA417" s="53"/>
      <c r="CB417" s="93" t="str">
        <f>IF(OR(C417="",A417="",B417=""),"",TEXT(C417,"0000")&amp;TEXT(A417,"00")&amp;TEXT(B417,"00"))</f>
        <v>19340317</v>
      </c>
    </row>
    <row r="418" spans="1:80" s="52" customFormat="1" ht="12.95" customHeight="1" x14ac:dyDescent="0.2">
      <c r="A418" s="46">
        <v>4</v>
      </c>
      <c r="B418" s="46">
        <v>28</v>
      </c>
      <c r="C418" s="46">
        <v>1934</v>
      </c>
      <c r="D418" s="46" t="s">
        <v>658</v>
      </c>
      <c r="E418" s="46" t="s">
        <v>1290</v>
      </c>
      <c r="F418" s="47" t="s">
        <v>1010</v>
      </c>
      <c r="G418" s="46"/>
      <c r="H418" s="47" t="s">
        <v>1025</v>
      </c>
      <c r="I418" s="47"/>
      <c r="J418" s="48">
        <v>12537</v>
      </c>
      <c r="K418" s="46" t="s">
        <v>823</v>
      </c>
      <c r="L418" s="46" t="s">
        <v>3</v>
      </c>
      <c r="M418" s="46" t="s">
        <v>1280</v>
      </c>
      <c r="N418" s="49">
        <v>2</v>
      </c>
      <c r="O418" s="49">
        <v>1</v>
      </c>
      <c r="P418" s="47" t="s">
        <v>1268</v>
      </c>
      <c r="Q418" s="47" t="s">
        <v>1017</v>
      </c>
      <c r="R418" s="47" t="s">
        <v>376</v>
      </c>
      <c r="S418" s="46"/>
      <c r="T418" s="46"/>
      <c r="U418" s="46"/>
      <c r="V418" s="46"/>
      <c r="W418" s="46"/>
      <c r="X418" s="46"/>
      <c r="Y418" s="46"/>
      <c r="Z418" s="46"/>
      <c r="AA418" s="46"/>
      <c r="AB418" s="46"/>
      <c r="AC418" s="46"/>
      <c r="AD418" s="46"/>
      <c r="AE418" s="50">
        <f>IF(L418="W",1,0)</f>
        <v>1</v>
      </c>
      <c r="AF418" s="50">
        <f>IF(L418="T",1,0)</f>
        <v>0</v>
      </c>
      <c r="AG418" s="50">
        <f>IF(L418="L",1,0)</f>
        <v>0</v>
      </c>
      <c r="AH418" s="46" t="s">
        <v>1101</v>
      </c>
      <c r="AI418" s="46" t="s">
        <v>1159</v>
      </c>
      <c r="AJ418" s="46" t="s">
        <v>376</v>
      </c>
      <c r="AK418" s="46" t="s">
        <v>658</v>
      </c>
      <c r="AL418" s="46" t="s">
        <v>1280</v>
      </c>
      <c r="AM418" s="46" t="s">
        <v>1199</v>
      </c>
      <c r="AN418" s="46" t="s">
        <v>376</v>
      </c>
      <c r="AO418" s="46" t="s">
        <v>658</v>
      </c>
      <c r="AP418" s="46"/>
      <c r="AQ418" s="46">
        <v>1</v>
      </c>
      <c r="AR418" s="46"/>
      <c r="AS418" s="46"/>
      <c r="AT418" s="46"/>
      <c r="AU418" s="46" t="s">
        <v>376</v>
      </c>
      <c r="AV418" s="46"/>
      <c r="AW418" s="46" t="s">
        <v>30</v>
      </c>
      <c r="AX418" s="46"/>
      <c r="AY418" s="46" t="s">
        <v>30</v>
      </c>
      <c r="AZ418" s="46"/>
      <c r="BA418" s="47"/>
      <c r="BB418" s="51" t="s">
        <v>30</v>
      </c>
      <c r="BC418" s="46" t="s">
        <v>30</v>
      </c>
      <c r="BD418" s="46"/>
      <c r="BE418" s="46"/>
      <c r="BF418" s="46">
        <v>1</v>
      </c>
      <c r="BG418" s="46">
        <v>1</v>
      </c>
      <c r="BH418" s="46">
        <v>1</v>
      </c>
      <c r="BI418" s="46" t="s">
        <v>823</v>
      </c>
      <c r="BJ418" s="46" t="s">
        <v>1280</v>
      </c>
      <c r="BK418" s="46">
        <v>1934</v>
      </c>
      <c r="BL418" s="46" t="str">
        <f>BK418&amp;BI418</f>
        <v>1934Manchester City</v>
      </c>
      <c r="BM418" s="52" t="str">
        <f>IF(AD418="Home",BI418,IF(AD418="Away",BJ418,Q418))</f>
        <v>London</v>
      </c>
      <c r="BN418" s="46"/>
      <c r="BO418" s="46"/>
      <c r="BP418" s="46"/>
      <c r="BQ418" s="46"/>
      <c r="BR418" s="46"/>
      <c r="BS418" s="46"/>
      <c r="BT418" s="46"/>
      <c r="BU418" s="46"/>
      <c r="BV418" s="46" t="s">
        <v>376</v>
      </c>
      <c r="BW418" s="46" t="s">
        <v>376</v>
      </c>
      <c r="BX418" s="46"/>
      <c r="BZ418" s="53"/>
      <c r="CA418" s="53"/>
      <c r="CB418" s="93" t="str">
        <f>IF(OR(C418="",A418="",B418=""),"",TEXT(C418,"0000")&amp;TEXT(A418,"00")&amp;TEXT(B418,"00"))</f>
        <v>19340428</v>
      </c>
    </row>
    <row r="419" spans="1:80" s="52" customFormat="1" ht="12.95" customHeight="1" x14ac:dyDescent="0.2">
      <c r="A419" s="46">
        <v>4</v>
      </c>
      <c r="B419" s="46">
        <v>28</v>
      </c>
      <c r="C419" s="46">
        <v>1934</v>
      </c>
      <c r="D419" s="46" t="s">
        <v>658</v>
      </c>
      <c r="E419" s="46" t="s">
        <v>1290</v>
      </c>
      <c r="F419" s="47" t="s">
        <v>1010</v>
      </c>
      <c r="G419" s="46"/>
      <c r="H419" s="47" t="s">
        <v>1025</v>
      </c>
      <c r="I419" s="47"/>
      <c r="J419" s="48">
        <v>12537</v>
      </c>
      <c r="K419" s="46" t="s">
        <v>1280</v>
      </c>
      <c r="L419" s="46" t="s">
        <v>4</v>
      </c>
      <c r="M419" s="46" t="s">
        <v>823</v>
      </c>
      <c r="N419" s="49">
        <v>1</v>
      </c>
      <c r="O419" s="49">
        <v>2</v>
      </c>
      <c r="P419" s="47" t="s">
        <v>1268</v>
      </c>
      <c r="Q419" s="47" t="s">
        <v>1017</v>
      </c>
      <c r="R419" s="47" t="s">
        <v>376</v>
      </c>
      <c r="S419" s="46"/>
      <c r="T419" s="46"/>
      <c r="U419" s="46"/>
      <c r="V419" s="46"/>
      <c r="W419" s="46"/>
      <c r="X419" s="46"/>
      <c r="Y419" s="46"/>
      <c r="Z419" s="46"/>
      <c r="AA419" s="46"/>
      <c r="AB419" s="46"/>
      <c r="AC419" s="46"/>
      <c r="AD419" s="46"/>
      <c r="AE419" s="50">
        <f>IF(L419="W",1,0)</f>
        <v>0</v>
      </c>
      <c r="AF419" s="50">
        <f>IF(L419="T",1,0)</f>
        <v>0</v>
      </c>
      <c r="AG419" s="50">
        <f>IF(L419="L",1,0)</f>
        <v>1</v>
      </c>
      <c r="AH419" s="46" t="s">
        <v>1280</v>
      </c>
      <c r="AI419" s="46" t="s">
        <v>1199</v>
      </c>
      <c r="AJ419" s="46" t="s">
        <v>376</v>
      </c>
      <c r="AK419" s="46" t="s">
        <v>658</v>
      </c>
      <c r="AL419" s="46" t="s">
        <v>1101</v>
      </c>
      <c r="AM419" s="46" t="s">
        <v>1159</v>
      </c>
      <c r="AN419" s="46" t="s">
        <v>376</v>
      </c>
      <c r="AO419" s="46" t="s">
        <v>658</v>
      </c>
      <c r="AP419" s="46"/>
      <c r="AQ419" s="46">
        <v>1</v>
      </c>
      <c r="AR419" s="46"/>
      <c r="AS419" s="46"/>
      <c r="AT419" s="46"/>
      <c r="AU419" s="46" t="s">
        <v>376</v>
      </c>
      <c r="AV419" s="46"/>
      <c r="AW419" s="46" t="s">
        <v>30</v>
      </c>
      <c r="AX419" s="46"/>
      <c r="AY419" s="46" t="s">
        <v>30</v>
      </c>
      <c r="AZ419" s="46"/>
      <c r="BA419" s="47"/>
      <c r="BB419" s="51"/>
      <c r="BC419" s="46" t="s">
        <v>30</v>
      </c>
      <c r="BD419" s="46"/>
      <c r="BE419" s="46"/>
      <c r="BF419" s="46">
        <v>1</v>
      </c>
      <c r="BG419" s="46">
        <v>1</v>
      </c>
      <c r="BH419" s="46">
        <v>1</v>
      </c>
      <c r="BI419" s="46" t="s">
        <v>1280</v>
      </c>
      <c r="BJ419" s="46" t="s">
        <v>823</v>
      </c>
      <c r="BK419" s="46">
        <v>1934</v>
      </c>
      <c r="BL419" s="46" t="str">
        <f>BK419&amp;BI419</f>
        <v>1934Portsmouth</v>
      </c>
      <c r="BM419" s="52" t="str">
        <f>IF(AD419="Home",BI419,IF(AD419="Away",BJ419,Q419))</f>
        <v>London</v>
      </c>
      <c r="BN419" s="46"/>
      <c r="BO419" s="46"/>
      <c r="BP419" s="46"/>
      <c r="BQ419" s="46"/>
      <c r="BR419" s="46"/>
      <c r="BS419" s="46"/>
      <c r="BT419" s="46"/>
      <c r="BU419" s="46"/>
      <c r="BV419" s="46" t="s">
        <v>376</v>
      </c>
      <c r="BW419" s="46" t="s">
        <v>376</v>
      </c>
      <c r="BX419" s="46"/>
      <c r="BZ419" s="53"/>
      <c r="CA419" s="53"/>
      <c r="CB419" s="93" t="str">
        <f>IF(OR(C419="",A419="",B419=""),"",TEXT(C419,"0000")&amp;TEXT(A419,"00")&amp;TEXT(B419,"00"))</f>
        <v>19340428</v>
      </c>
    </row>
    <row r="420" spans="1:80" s="52" customFormat="1" ht="12.95" customHeight="1" x14ac:dyDescent="0.2">
      <c r="A420" s="46">
        <v>3</v>
      </c>
      <c r="B420" s="46">
        <v>16</v>
      </c>
      <c r="C420" s="46">
        <v>1935</v>
      </c>
      <c r="D420" s="46" t="s">
        <v>658</v>
      </c>
      <c r="E420" s="46" t="s">
        <v>1293</v>
      </c>
      <c r="F420" s="47" t="s">
        <v>1010</v>
      </c>
      <c r="G420" s="46"/>
      <c r="H420" s="47" t="s">
        <v>1011</v>
      </c>
      <c r="I420" s="47"/>
      <c r="J420" s="48">
        <v>12859</v>
      </c>
      <c r="K420" s="46" t="s">
        <v>1124</v>
      </c>
      <c r="L420" s="46" t="s">
        <v>1014</v>
      </c>
      <c r="M420" s="46" t="s">
        <v>1157</v>
      </c>
      <c r="N420" s="49">
        <v>1</v>
      </c>
      <c r="O420" s="49">
        <v>1</v>
      </c>
      <c r="P420" s="47" t="s">
        <v>1240</v>
      </c>
      <c r="Q420" s="47" t="s">
        <v>1241</v>
      </c>
      <c r="R420" s="47" t="s">
        <v>376</v>
      </c>
      <c r="S420" s="46"/>
      <c r="T420" s="46"/>
      <c r="U420" s="46"/>
      <c r="V420" s="46"/>
      <c r="W420" s="46"/>
      <c r="X420" s="46"/>
      <c r="Y420" s="46"/>
      <c r="Z420" s="46"/>
      <c r="AA420" s="46"/>
      <c r="AB420" s="46"/>
      <c r="AC420" s="46"/>
      <c r="AD420" s="46"/>
      <c r="AE420" s="50">
        <f>IF(L420="W",1,0)</f>
        <v>0</v>
      </c>
      <c r="AF420" s="50">
        <f>IF(L420="T",1,0)</f>
        <v>1</v>
      </c>
      <c r="AG420" s="50">
        <f>IF(L420="L",1,0)</f>
        <v>0</v>
      </c>
      <c r="AH420" s="46" t="s">
        <v>1111</v>
      </c>
      <c r="AI420" s="46" t="s">
        <v>1126</v>
      </c>
      <c r="AJ420" s="46" t="s">
        <v>376</v>
      </c>
      <c r="AK420" s="46" t="s">
        <v>658</v>
      </c>
      <c r="AL420" s="46" t="s">
        <v>1101</v>
      </c>
      <c r="AM420" s="46" t="s">
        <v>1159</v>
      </c>
      <c r="AN420" s="46" t="s">
        <v>376</v>
      </c>
      <c r="AO420" s="46" t="s">
        <v>658</v>
      </c>
      <c r="AP420" s="46"/>
      <c r="AQ420" s="46">
        <v>2</v>
      </c>
      <c r="AR420" s="46"/>
      <c r="AS420" s="46"/>
      <c r="AT420" s="46"/>
      <c r="AU420" s="46" t="s">
        <v>376</v>
      </c>
      <c r="AV420" s="46"/>
      <c r="AW420" s="46" t="s">
        <v>30</v>
      </c>
      <c r="AX420" s="46"/>
      <c r="AY420" s="46" t="s">
        <v>30</v>
      </c>
      <c r="AZ420" s="46"/>
      <c r="BA420" s="47"/>
      <c r="BB420" s="51"/>
      <c r="BC420" s="46"/>
      <c r="BD420" s="46"/>
      <c r="BE420" s="46"/>
      <c r="BF420" s="46">
        <v>1</v>
      </c>
      <c r="BG420" s="46">
        <v>1</v>
      </c>
      <c r="BH420" s="46">
        <v>2</v>
      </c>
      <c r="BI420" s="46" t="s">
        <v>1124</v>
      </c>
      <c r="BJ420" s="46" t="s">
        <v>1157</v>
      </c>
      <c r="BK420" s="46">
        <v>1935</v>
      </c>
      <c r="BL420" s="46" t="str">
        <f>BK420&amp;BI420</f>
        <v>1935West Bromwich Albion</v>
      </c>
      <c r="BM420" s="52" t="str">
        <f>IF(AD420="Home",BI420,IF(AD420="Away",BJ420,Q420))</f>
        <v>Leeds</v>
      </c>
      <c r="BN420" s="46"/>
      <c r="BO420" s="46"/>
      <c r="BP420" s="46"/>
      <c r="BQ420" s="46"/>
      <c r="BR420" s="46"/>
      <c r="BS420" s="46"/>
      <c r="BT420" s="46"/>
      <c r="BU420" s="46"/>
      <c r="BV420" s="46" t="s">
        <v>376</v>
      </c>
      <c r="BW420" s="46" t="s">
        <v>376</v>
      </c>
      <c r="BX420" s="46"/>
      <c r="BZ420" s="53"/>
      <c r="CA420" s="53"/>
      <c r="CB420" s="93" t="str">
        <f>IF(OR(C420="",A420="",B420=""),"",TEXT(C420,"0000")&amp;TEXT(A420,"00")&amp;TEXT(B420,"00"))</f>
        <v>19350316</v>
      </c>
    </row>
    <row r="421" spans="1:80" s="52" customFormat="1" ht="12.95" customHeight="1" x14ac:dyDescent="0.2">
      <c r="A421" s="46">
        <v>3</v>
      </c>
      <c r="B421" s="46">
        <v>16</v>
      </c>
      <c r="C421" s="46">
        <v>1935</v>
      </c>
      <c r="D421" s="46" t="s">
        <v>658</v>
      </c>
      <c r="E421" s="46" t="s">
        <v>1293</v>
      </c>
      <c r="F421" s="47" t="s">
        <v>1010</v>
      </c>
      <c r="G421" s="46"/>
      <c r="H421" s="47" t="s">
        <v>1011</v>
      </c>
      <c r="I421" s="47"/>
      <c r="J421" s="48">
        <v>12859</v>
      </c>
      <c r="K421" s="46" t="s">
        <v>1157</v>
      </c>
      <c r="L421" s="46" t="s">
        <v>1014</v>
      </c>
      <c r="M421" s="46" t="s">
        <v>1124</v>
      </c>
      <c r="N421" s="49">
        <v>1</v>
      </c>
      <c r="O421" s="49">
        <v>1</v>
      </c>
      <c r="P421" s="47" t="s">
        <v>1240</v>
      </c>
      <c r="Q421" s="47" t="s">
        <v>1241</v>
      </c>
      <c r="R421" s="47" t="s">
        <v>376</v>
      </c>
      <c r="S421" s="46"/>
      <c r="T421" s="46"/>
      <c r="U421" s="46"/>
      <c r="V421" s="46"/>
      <c r="W421" s="46"/>
      <c r="X421" s="46"/>
      <c r="Y421" s="46"/>
      <c r="Z421" s="46"/>
      <c r="AA421" s="46"/>
      <c r="AB421" s="46"/>
      <c r="AC421" s="46"/>
      <c r="AD421" s="46"/>
      <c r="AE421" s="50">
        <f>IF(L421="W",1,0)</f>
        <v>0</v>
      </c>
      <c r="AF421" s="50">
        <f>IF(L421="T",1,0)</f>
        <v>1</v>
      </c>
      <c r="AG421" s="50">
        <f>IF(L421="L",1,0)</f>
        <v>0</v>
      </c>
      <c r="AH421" s="46" t="s">
        <v>1101</v>
      </c>
      <c r="AI421" s="46" t="s">
        <v>1159</v>
      </c>
      <c r="AJ421" s="46" t="s">
        <v>376</v>
      </c>
      <c r="AK421" s="46" t="s">
        <v>658</v>
      </c>
      <c r="AL421" s="46" t="s">
        <v>1111</v>
      </c>
      <c r="AM421" s="46" t="s">
        <v>1126</v>
      </c>
      <c r="AN421" s="46" t="s">
        <v>376</v>
      </c>
      <c r="AO421" s="46" t="s">
        <v>658</v>
      </c>
      <c r="AP421" s="46"/>
      <c r="AQ421" s="46">
        <v>2</v>
      </c>
      <c r="AR421" s="46"/>
      <c r="AS421" s="46"/>
      <c r="AT421" s="46"/>
      <c r="AU421" s="46" t="s">
        <v>376</v>
      </c>
      <c r="AV421" s="46"/>
      <c r="AW421" s="46" t="s">
        <v>30</v>
      </c>
      <c r="AX421" s="46"/>
      <c r="AY421" s="46" t="s">
        <v>30</v>
      </c>
      <c r="AZ421" s="46"/>
      <c r="BA421" s="47"/>
      <c r="BB421" s="51"/>
      <c r="BC421" s="46"/>
      <c r="BD421" s="46"/>
      <c r="BE421" s="46"/>
      <c r="BF421" s="46">
        <v>1</v>
      </c>
      <c r="BG421" s="46">
        <v>2</v>
      </c>
      <c r="BH421" s="46">
        <v>1</v>
      </c>
      <c r="BI421" s="46" t="s">
        <v>1157</v>
      </c>
      <c r="BJ421" s="46" t="s">
        <v>1124</v>
      </c>
      <c r="BK421" s="46">
        <v>1935</v>
      </c>
      <c r="BL421" s="46" t="str">
        <f>BK421&amp;BI421</f>
        <v>1935Bolton Wanderers</v>
      </c>
      <c r="BM421" s="52" t="str">
        <f>IF(AD421="Home",BI421,IF(AD421="Away",BJ421,Q421))</f>
        <v>Leeds</v>
      </c>
      <c r="BN421" s="46"/>
      <c r="BO421" s="46"/>
      <c r="BP421" s="46"/>
      <c r="BQ421" s="46"/>
      <c r="BR421" s="46"/>
      <c r="BS421" s="46"/>
      <c r="BT421" s="46"/>
      <c r="BU421" s="46"/>
      <c r="BV421" s="46" t="s">
        <v>376</v>
      </c>
      <c r="BW421" s="46" t="s">
        <v>376</v>
      </c>
      <c r="BX421" s="46"/>
      <c r="BZ421" s="53"/>
      <c r="CA421" s="53"/>
      <c r="CB421" s="93" t="str">
        <f>IF(OR(C421="",A421="",B421=""),"",TEXT(C421,"0000")&amp;TEXT(A421,"00")&amp;TEXT(B421,"00"))</f>
        <v>19350316</v>
      </c>
    </row>
    <row r="422" spans="1:80" s="52" customFormat="1" ht="12.95" customHeight="1" x14ac:dyDescent="0.2">
      <c r="A422" s="46">
        <v>3</v>
      </c>
      <c r="B422" s="46">
        <v>16</v>
      </c>
      <c r="C422" s="46">
        <v>1935</v>
      </c>
      <c r="D422" s="46" t="s">
        <v>658</v>
      </c>
      <c r="E422" s="46" t="s">
        <v>1293</v>
      </c>
      <c r="F422" s="47" t="s">
        <v>1010</v>
      </c>
      <c r="G422" s="46"/>
      <c r="H422" s="47" t="s">
        <v>1011</v>
      </c>
      <c r="I422" s="47"/>
      <c r="J422" s="48">
        <v>12859</v>
      </c>
      <c r="K422" s="46" t="s">
        <v>1093</v>
      </c>
      <c r="L422" s="46" t="s">
        <v>3</v>
      </c>
      <c r="M422" s="46" t="s">
        <v>1255</v>
      </c>
      <c r="N422" s="49">
        <v>3</v>
      </c>
      <c r="O422" s="49">
        <v>0</v>
      </c>
      <c r="P422" s="47" t="s">
        <v>1219</v>
      </c>
      <c r="Q422" s="47" t="s">
        <v>1111</v>
      </c>
      <c r="R422" s="47" t="s">
        <v>376</v>
      </c>
      <c r="S422" s="46"/>
      <c r="T422" s="46"/>
      <c r="U422" s="46"/>
      <c r="V422" s="46"/>
      <c r="W422" s="46"/>
      <c r="X422" s="46"/>
      <c r="Y422" s="46"/>
      <c r="Z422" s="46"/>
      <c r="AA422" s="46"/>
      <c r="AB422" s="46"/>
      <c r="AC422" s="46"/>
      <c r="AD422" s="46"/>
      <c r="AE422" s="50">
        <f>IF(L422="W",1,0)</f>
        <v>1</v>
      </c>
      <c r="AF422" s="50">
        <f>IF(L422="T",1,0)</f>
        <v>0</v>
      </c>
      <c r="AG422" s="50">
        <f>IF(L422="L",1,0)</f>
        <v>0</v>
      </c>
      <c r="AH422" s="46" t="s">
        <v>1097</v>
      </c>
      <c r="AI422" s="46" t="s">
        <v>1098</v>
      </c>
      <c r="AJ422" s="46" t="s">
        <v>376</v>
      </c>
      <c r="AK422" s="46" t="s">
        <v>658</v>
      </c>
      <c r="AL422" s="46" t="s">
        <v>1255</v>
      </c>
      <c r="AM422" s="46" t="s">
        <v>1086</v>
      </c>
      <c r="AN422" s="46" t="s">
        <v>376</v>
      </c>
      <c r="AO422" s="46" t="s">
        <v>658</v>
      </c>
      <c r="AP422" s="46"/>
      <c r="AQ422" s="46">
        <v>2</v>
      </c>
      <c r="AR422" s="46"/>
      <c r="AS422" s="46"/>
      <c r="AT422" s="46"/>
      <c r="AU422" s="46" t="s">
        <v>376</v>
      </c>
      <c r="AV422" s="46"/>
      <c r="AW422" s="46" t="s">
        <v>30</v>
      </c>
      <c r="AX422" s="46"/>
      <c r="AY422" s="46" t="s">
        <v>30</v>
      </c>
      <c r="AZ422" s="46"/>
      <c r="BA422" s="47"/>
      <c r="BB422" s="51"/>
      <c r="BC422" s="46"/>
      <c r="BD422" s="46"/>
      <c r="BE422" s="46"/>
      <c r="BF422" s="46">
        <v>1</v>
      </c>
      <c r="BG422" s="46">
        <v>1</v>
      </c>
      <c r="BH422" s="46">
        <v>2</v>
      </c>
      <c r="BI422" s="46" t="s">
        <v>1093</v>
      </c>
      <c r="BJ422" s="46" t="s">
        <v>1255</v>
      </c>
      <c r="BK422" s="46">
        <v>1935</v>
      </c>
      <c r="BL422" s="46" t="str">
        <f>BK422&amp;BI422</f>
        <v>1935Sheffield Wednesday</v>
      </c>
      <c r="BM422" s="52" t="str">
        <f>IF(AD422="Home",BI422,IF(AD422="Away",BJ422,Q422))</f>
        <v>Birmingham</v>
      </c>
      <c r="BN422" s="46"/>
      <c r="BO422" s="46"/>
      <c r="BP422" s="46"/>
      <c r="BQ422" s="46"/>
      <c r="BR422" s="46"/>
      <c r="BS422" s="46"/>
      <c r="BT422" s="46"/>
      <c r="BU422" s="46"/>
      <c r="BV422" s="46" t="s">
        <v>376</v>
      </c>
      <c r="BW422" s="46" t="s">
        <v>376</v>
      </c>
      <c r="BX422" s="46"/>
      <c r="BZ422" s="53"/>
      <c r="CA422" s="53"/>
      <c r="CB422" s="93" t="str">
        <f>IF(OR(C422="",A422="",B422=""),"",TEXT(C422,"0000")&amp;TEXT(A422,"00")&amp;TEXT(B422,"00"))</f>
        <v>19350316</v>
      </c>
    </row>
    <row r="423" spans="1:80" s="52" customFormat="1" ht="12.95" customHeight="1" x14ac:dyDescent="0.2">
      <c r="A423" s="46">
        <v>3</v>
      </c>
      <c r="B423" s="46">
        <v>16</v>
      </c>
      <c r="C423" s="46">
        <v>1935</v>
      </c>
      <c r="D423" s="46" t="s">
        <v>658</v>
      </c>
      <c r="E423" s="46" t="s">
        <v>1293</v>
      </c>
      <c r="F423" s="47" t="s">
        <v>1010</v>
      </c>
      <c r="G423" s="46"/>
      <c r="H423" s="47" t="s">
        <v>1011</v>
      </c>
      <c r="I423" s="47"/>
      <c r="J423" s="48">
        <v>12859</v>
      </c>
      <c r="K423" s="46" t="s">
        <v>1255</v>
      </c>
      <c r="L423" s="46" t="s">
        <v>4</v>
      </c>
      <c r="M423" s="46" t="s">
        <v>1093</v>
      </c>
      <c r="N423" s="49">
        <v>0</v>
      </c>
      <c r="O423" s="49">
        <v>3</v>
      </c>
      <c r="P423" s="47" t="s">
        <v>1219</v>
      </c>
      <c r="Q423" s="47" t="s">
        <v>1111</v>
      </c>
      <c r="R423" s="47" t="s">
        <v>376</v>
      </c>
      <c r="S423" s="46"/>
      <c r="T423" s="46"/>
      <c r="U423" s="46"/>
      <c r="V423" s="46"/>
      <c r="W423" s="46"/>
      <c r="X423" s="46"/>
      <c r="Y423" s="46"/>
      <c r="Z423" s="46"/>
      <c r="AA423" s="46"/>
      <c r="AB423" s="46"/>
      <c r="AC423" s="46"/>
      <c r="AD423" s="46"/>
      <c r="AE423" s="50">
        <f>IF(L423="W",1,0)</f>
        <v>0</v>
      </c>
      <c r="AF423" s="50">
        <f>IF(L423="T",1,0)</f>
        <v>0</v>
      </c>
      <c r="AG423" s="50">
        <f>IF(L423="L",1,0)</f>
        <v>1</v>
      </c>
      <c r="AH423" s="46" t="s">
        <v>1255</v>
      </c>
      <c r="AI423" s="46" t="s">
        <v>1086</v>
      </c>
      <c r="AJ423" s="46" t="s">
        <v>376</v>
      </c>
      <c r="AK423" s="46" t="s">
        <v>658</v>
      </c>
      <c r="AL423" s="46" t="s">
        <v>1097</v>
      </c>
      <c r="AM423" s="46" t="s">
        <v>1098</v>
      </c>
      <c r="AN423" s="46" t="s">
        <v>376</v>
      </c>
      <c r="AO423" s="46" t="s">
        <v>658</v>
      </c>
      <c r="AP423" s="46"/>
      <c r="AQ423" s="46">
        <v>2</v>
      </c>
      <c r="AR423" s="46"/>
      <c r="AS423" s="46"/>
      <c r="AT423" s="46"/>
      <c r="AU423" s="46" t="s">
        <v>376</v>
      </c>
      <c r="AV423" s="46"/>
      <c r="AW423" s="46" t="s">
        <v>30</v>
      </c>
      <c r="AX423" s="46"/>
      <c r="AY423" s="46" t="s">
        <v>30</v>
      </c>
      <c r="AZ423" s="46"/>
      <c r="BA423" s="47"/>
      <c r="BB423" s="51"/>
      <c r="BC423" s="46"/>
      <c r="BD423" s="46"/>
      <c r="BE423" s="46"/>
      <c r="BF423" s="46">
        <v>1</v>
      </c>
      <c r="BG423" s="46">
        <v>2</v>
      </c>
      <c r="BH423" s="46">
        <v>1</v>
      </c>
      <c r="BI423" s="46" t="s">
        <v>1255</v>
      </c>
      <c r="BJ423" s="46" t="s">
        <v>1093</v>
      </c>
      <c r="BK423" s="46">
        <v>1935</v>
      </c>
      <c r="BL423" s="46" t="str">
        <f>BK423&amp;BI423</f>
        <v>1935Burnley</v>
      </c>
      <c r="BM423" s="52" t="str">
        <f>IF(AD423="Home",BI423,IF(AD423="Away",BJ423,Q423))</f>
        <v>Birmingham</v>
      </c>
      <c r="BN423" s="46"/>
      <c r="BO423" s="46"/>
      <c r="BP423" s="46"/>
      <c r="BQ423" s="46"/>
      <c r="BR423" s="46"/>
      <c r="BS423" s="46"/>
      <c r="BT423" s="46"/>
      <c r="BU423" s="46"/>
      <c r="BV423" s="46" t="s">
        <v>376</v>
      </c>
      <c r="BW423" s="46" t="s">
        <v>376</v>
      </c>
      <c r="BX423" s="46"/>
      <c r="BZ423" s="53"/>
      <c r="CA423" s="53"/>
      <c r="CB423" s="93" t="str">
        <f>IF(OR(C423="",A423="",B423=""),"",TEXT(C423,"0000")&amp;TEXT(A423,"00")&amp;TEXT(B423,"00"))</f>
        <v>19350316</v>
      </c>
    </row>
    <row r="424" spans="1:80" s="52" customFormat="1" ht="12.95" customHeight="1" x14ac:dyDescent="0.2">
      <c r="A424" s="46">
        <v>3</v>
      </c>
      <c r="B424" s="46">
        <v>20</v>
      </c>
      <c r="C424" s="46">
        <v>1935</v>
      </c>
      <c r="D424" s="46" t="s">
        <v>658</v>
      </c>
      <c r="E424" s="46" t="s">
        <v>1293</v>
      </c>
      <c r="F424" s="47" t="s">
        <v>1010</v>
      </c>
      <c r="G424" s="46"/>
      <c r="H424" s="47" t="s">
        <v>1011</v>
      </c>
      <c r="I424" s="47" t="s">
        <v>1023</v>
      </c>
      <c r="J424" s="48">
        <v>12863</v>
      </c>
      <c r="K424" s="46" t="s">
        <v>1124</v>
      </c>
      <c r="L424" s="46" t="s">
        <v>3</v>
      </c>
      <c r="M424" s="46" t="s">
        <v>1157</v>
      </c>
      <c r="N424" s="49">
        <v>2</v>
      </c>
      <c r="O424" s="49">
        <v>0</v>
      </c>
      <c r="P424" s="47" t="s">
        <v>1144</v>
      </c>
      <c r="Q424" s="47" t="s">
        <v>1145</v>
      </c>
      <c r="R424" s="47" t="s">
        <v>376</v>
      </c>
      <c r="S424" s="46"/>
      <c r="T424" s="46"/>
      <c r="U424" s="46"/>
      <c r="V424" s="46"/>
      <c r="W424" s="46"/>
      <c r="X424" s="46"/>
      <c r="Y424" s="46"/>
      <c r="Z424" s="46"/>
      <c r="AA424" s="46"/>
      <c r="AB424" s="46"/>
      <c r="AC424" s="46"/>
      <c r="AD424" s="46"/>
      <c r="AE424" s="50">
        <f>IF(L424="W",1,0)</f>
        <v>1</v>
      </c>
      <c r="AF424" s="50">
        <f>IF(L424="T",1,0)</f>
        <v>0</v>
      </c>
      <c r="AG424" s="50">
        <f>IF(L424="L",1,0)</f>
        <v>0</v>
      </c>
      <c r="AH424" s="46" t="s">
        <v>1111</v>
      </c>
      <c r="AI424" s="46" t="s">
        <v>1126</v>
      </c>
      <c r="AJ424" s="46" t="s">
        <v>376</v>
      </c>
      <c r="AK424" s="46" t="s">
        <v>658</v>
      </c>
      <c r="AL424" s="46" t="s">
        <v>1101</v>
      </c>
      <c r="AM424" s="46" t="s">
        <v>1159</v>
      </c>
      <c r="AN424" s="46" t="s">
        <v>376</v>
      </c>
      <c r="AO424" s="46" t="s">
        <v>658</v>
      </c>
      <c r="AP424" s="46"/>
      <c r="AQ424" s="46">
        <v>2</v>
      </c>
      <c r="AR424" s="46"/>
      <c r="AS424" s="46"/>
      <c r="AT424" s="46"/>
      <c r="AU424" s="46" t="s">
        <v>376</v>
      </c>
      <c r="AV424" s="46"/>
      <c r="AW424" s="46" t="s">
        <v>30</v>
      </c>
      <c r="AX424" s="46"/>
      <c r="AY424" s="46" t="s">
        <v>30</v>
      </c>
      <c r="AZ424" s="46"/>
      <c r="BA424" s="47"/>
      <c r="BB424" s="51"/>
      <c r="BC424" s="46"/>
      <c r="BD424" s="46"/>
      <c r="BE424" s="46"/>
      <c r="BF424" s="46">
        <v>1</v>
      </c>
      <c r="BG424" s="46">
        <v>1</v>
      </c>
      <c r="BH424" s="46">
        <v>2</v>
      </c>
      <c r="BI424" s="46" t="s">
        <v>1124</v>
      </c>
      <c r="BJ424" s="46" t="s">
        <v>1157</v>
      </c>
      <c r="BK424" s="46">
        <v>1935</v>
      </c>
      <c r="BL424" s="46" t="str">
        <f>BK424&amp;BI424</f>
        <v>1935West Bromwich Albion</v>
      </c>
      <c r="BM424" s="52" t="str">
        <f>IF(AD424="Home",BI424,IF(AD424="Away",BJ424,Q424))</f>
        <v>Stoke-on-Trent</v>
      </c>
      <c r="BN424" s="46"/>
      <c r="BO424" s="46"/>
      <c r="BP424" s="46"/>
      <c r="BQ424" s="46"/>
      <c r="BR424" s="46"/>
      <c r="BS424" s="46"/>
      <c r="BT424" s="46"/>
      <c r="BU424" s="46"/>
      <c r="BV424" s="46" t="s">
        <v>376</v>
      </c>
      <c r="BW424" s="46" t="s">
        <v>376</v>
      </c>
      <c r="BX424" s="46"/>
      <c r="BY424" s="50"/>
      <c r="BZ424" s="53"/>
      <c r="CA424" s="53"/>
      <c r="CB424" s="93" t="str">
        <f>IF(OR(C424="",A424="",B424=""),"",TEXT(C424,"0000")&amp;TEXT(A424,"00")&amp;TEXT(B424,"00"))</f>
        <v>19350320</v>
      </c>
    </row>
    <row r="425" spans="1:80" s="52" customFormat="1" ht="12.95" customHeight="1" x14ac:dyDescent="0.2">
      <c r="A425" s="46">
        <v>3</v>
      </c>
      <c r="B425" s="46">
        <v>20</v>
      </c>
      <c r="C425" s="46">
        <v>1935</v>
      </c>
      <c r="D425" s="46" t="s">
        <v>658</v>
      </c>
      <c r="E425" s="46" t="s">
        <v>1293</v>
      </c>
      <c r="F425" s="47" t="s">
        <v>1010</v>
      </c>
      <c r="G425" s="46"/>
      <c r="H425" s="47" t="s">
        <v>1011</v>
      </c>
      <c r="I425" s="47" t="s">
        <v>1023</v>
      </c>
      <c r="J425" s="48">
        <v>12863</v>
      </c>
      <c r="K425" s="46" t="s">
        <v>1157</v>
      </c>
      <c r="L425" s="46" t="s">
        <v>4</v>
      </c>
      <c r="M425" s="46" t="s">
        <v>1124</v>
      </c>
      <c r="N425" s="49">
        <v>0</v>
      </c>
      <c r="O425" s="49">
        <v>2</v>
      </c>
      <c r="P425" s="47" t="s">
        <v>1144</v>
      </c>
      <c r="Q425" s="47" t="s">
        <v>1145</v>
      </c>
      <c r="R425" s="47" t="s">
        <v>376</v>
      </c>
      <c r="S425" s="46"/>
      <c r="T425" s="46"/>
      <c r="U425" s="46"/>
      <c r="V425" s="46"/>
      <c r="W425" s="46"/>
      <c r="X425" s="46"/>
      <c r="Y425" s="46"/>
      <c r="Z425" s="46"/>
      <c r="AA425" s="46"/>
      <c r="AB425" s="46"/>
      <c r="AC425" s="46"/>
      <c r="AD425" s="46"/>
      <c r="AE425" s="50">
        <f>IF(L425="W",1,0)</f>
        <v>0</v>
      </c>
      <c r="AF425" s="50">
        <f>IF(L425="T",1,0)</f>
        <v>0</v>
      </c>
      <c r="AG425" s="50">
        <f>IF(L425="L",1,0)</f>
        <v>1</v>
      </c>
      <c r="AH425" s="46" t="s">
        <v>1101</v>
      </c>
      <c r="AI425" s="46" t="s">
        <v>1159</v>
      </c>
      <c r="AJ425" s="46" t="s">
        <v>376</v>
      </c>
      <c r="AK425" s="46" t="s">
        <v>658</v>
      </c>
      <c r="AL425" s="46" t="s">
        <v>1111</v>
      </c>
      <c r="AM425" s="46" t="s">
        <v>1126</v>
      </c>
      <c r="AN425" s="46" t="s">
        <v>376</v>
      </c>
      <c r="AO425" s="46" t="s">
        <v>658</v>
      </c>
      <c r="AP425" s="46"/>
      <c r="AQ425" s="46">
        <v>2</v>
      </c>
      <c r="AR425" s="46"/>
      <c r="AS425" s="46"/>
      <c r="AT425" s="46"/>
      <c r="AU425" s="46" t="s">
        <v>376</v>
      </c>
      <c r="AV425" s="46"/>
      <c r="AW425" s="46" t="s">
        <v>30</v>
      </c>
      <c r="AX425" s="46"/>
      <c r="AY425" s="46" t="s">
        <v>30</v>
      </c>
      <c r="AZ425" s="46"/>
      <c r="BA425" s="47"/>
      <c r="BB425" s="51"/>
      <c r="BC425" s="46"/>
      <c r="BD425" s="46"/>
      <c r="BE425" s="46"/>
      <c r="BF425" s="46">
        <v>1</v>
      </c>
      <c r="BG425" s="46">
        <v>2</v>
      </c>
      <c r="BH425" s="46">
        <v>1</v>
      </c>
      <c r="BI425" s="46" t="s">
        <v>1157</v>
      </c>
      <c r="BJ425" s="46" t="s">
        <v>1124</v>
      </c>
      <c r="BK425" s="46">
        <v>1935</v>
      </c>
      <c r="BL425" s="46" t="str">
        <f>BK425&amp;BI425</f>
        <v>1935Bolton Wanderers</v>
      </c>
      <c r="BM425" s="52" t="str">
        <f>IF(AD425="Home",BI425,IF(AD425="Away",BJ425,Q425))</f>
        <v>Stoke-on-Trent</v>
      </c>
      <c r="BN425" s="46"/>
      <c r="BO425" s="46"/>
      <c r="BP425" s="46"/>
      <c r="BQ425" s="46"/>
      <c r="BR425" s="46"/>
      <c r="BS425" s="46"/>
      <c r="BT425" s="46"/>
      <c r="BU425" s="46"/>
      <c r="BV425" s="46" t="s">
        <v>376</v>
      </c>
      <c r="BW425" s="46" t="s">
        <v>376</v>
      </c>
      <c r="BX425" s="46"/>
      <c r="BY425" s="50"/>
      <c r="BZ425" s="53"/>
      <c r="CA425" s="53"/>
      <c r="CB425" s="93" t="str">
        <f>IF(OR(C425="",A425="",B425=""),"",TEXT(C425,"0000")&amp;TEXT(A425,"00")&amp;TEXT(B425,"00"))</f>
        <v>19350320</v>
      </c>
    </row>
    <row r="426" spans="1:80" s="52" customFormat="1" ht="12.95" customHeight="1" x14ac:dyDescent="0.2">
      <c r="A426" s="46">
        <v>4</v>
      </c>
      <c r="B426" s="46">
        <v>27</v>
      </c>
      <c r="C426" s="46">
        <v>1935</v>
      </c>
      <c r="D426" s="46" t="s">
        <v>658</v>
      </c>
      <c r="E426" s="46" t="s">
        <v>1293</v>
      </c>
      <c r="F426" s="47" t="s">
        <v>1010</v>
      </c>
      <c r="G426" s="46"/>
      <c r="H426" s="47" t="s">
        <v>1025</v>
      </c>
      <c r="I426" s="47"/>
      <c r="J426" s="48">
        <v>12901</v>
      </c>
      <c r="K426" s="46" t="s">
        <v>1093</v>
      </c>
      <c r="L426" s="46" t="s">
        <v>3</v>
      </c>
      <c r="M426" s="46" t="s">
        <v>1124</v>
      </c>
      <c r="N426" s="49">
        <v>4</v>
      </c>
      <c r="O426" s="49">
        <v>2</v>
      </c>
      <c r="P426" s="47" t="s">
        <v>1268</v>
      </c>
      <c r="Q426" s="47" t="s">
        <v>1017</v>
      </c>
      <c r="R426" s="47" t="s">
        <v>376</v>
      </c>
      <c r="S426" s="46"/>
      <c r="T426" s="46"/>
      <c r="U426" s="46"/>
      <c r="V426" s="46"/>
      <c r="W426" s="46"/>
      <c r="X426" s="46"/>
      <c r="Y426" s="46"/>
      <c r="Z426" s="46"/>
      <c r="AA426" s="46"/>
      <c r="AB426" s="46"/>
      <c r="AC426" s="46"/>
      <c r="AD426" s="46"/>
      <c r="AE426" s="50">
        <f>IF(L426="W",1,0)</f>
        <v>1</v>
      </c>
      <c r="AF426" s="50">
        <f>IF(L426="T",1,0)</f>
        <v>0</v>
      </c>
      <c r="AG426" s="50">
        <f>IF(L426="L",1,0)</f>
        <v>0</v>
      </c>
      <c r="AH426" s="46" t="s">
        <v>1097</v>
      </c>
      <c r="AI426" s="46" t="s">
        <v>1098</v>
      </c>
      <c r="AJ426" s="46" t="s">
        <v>376</v>
      </c>
      <c r="AK426" s="46" t="s">
        <v>658</v>
      </c>
      <c r="AL426" s="46" t="s">
        <v>1111</v>
      </c>
      <c r="AM426" s="46" t="s">
        <v>1126</v>
      </c>
      <c r="AN426" s="46" t="s">
        <v>376</v>
      </c>
      <c r="AO426" s="46" t="s">
        <v>658</v>
      </c>
      <c r="AP426" s="46"/>
      <c r="AQ426" s="46">
        <v>1</v>
      </c>
      <c r="AR426" s="46"/>
      <c r="AS426" s="46"/>
      <c r="AT426" s="46"/>
      <c r="AU426" s="46" t="s">
        <v>376</v>
      </c>
      <c r="AV426" s="46"/>
      <c r="AW426" s="46" t="s">
        <v>30</v>
      </c>
      <c r="AX426" s="46"/>
      <c r="AY426" s="46" t="s">
        <v>30</v>
      </c>
      <c r="AZ426" s="46"/>
      <c r="BA426" s="47"/>
      <c r="BB426" s="51" t="s">
        <v>30</v>
      </c>
      <c r="BC426" s="46" t="s">
        <v>30</v>
      </c>
      <c r="BD426" s="46"/>
      <c r="BE426" s="46"/>
      <c r="BF426" s="46">
        <v>1</v>
      </c>
      <c r="BG426" s="46">
        <v>1</v>
      </c>
      <c r="BH426" s="46">
        <v>1</v>
      </c>
      <c r="BI426" s="46" t="s">
        <v>1093</v>
      </c>
      <c r="BJ426" s="46" t="s">
        <v>1124</v>
      </c>
      <c r="BK426" s="46">
        <v>1935</v>
      </c>
      <c r="BL426" s="46" t="str">
        <f>BK426&amp;BI426</f>
        <v>1935Sheffield Wednesday</v>
      </c>
      <c r="BM426" s="52" t="str">
        <f>IF(AD426="Home",BI426,IF(AD426="Away",BJ426,Q426))</f>
        <v>London</v>
      </c>
      <c r="BN426" s="46"/>
      <c r="BO426" s="46"/>
      <c r="BP426" s="46"/>
      <c r="BQ426" s="46"/>
      <c r="BR426" s="46"/>
      <c r="BS426" s="46"/>
      <c r="BT426" s="46"/>
      <c r="BU426" s="46"/>
      <c r="BV426" s="46" t="s">
        <v>376</v>
      </c>
      <c r="BW426" s="46" t="s">
        <v>376</v>
      </c>
      <c r="BX426" s="46"/>
      <c r="BZ426" s="53"/>
      <c r="CA426" s="53"/>
      <c r="CB426" s="93" t="str">
        <f>IF(OR(C426="",A426="",B426=""),"",TEXT(C426,"0000")&amp;TEXT(A426,"00")&amp;TEXT(B426,"00"))</f>
        <v>19350427</v>
      </c>
    </row>
    <row r="427" spans="1:80" s="52" customFormat="1" ht="12.95" customHeight="1" x14ac:dyDescent="0.2">
      <c r="A427" s="46">
        <v>4</v>
      </c>
      <c r="B427" s="46">
        <v>27</v>
      </c>
      <c r="C427" s="46">
        <v>1935</v>
      </c>
      <c r="D427" s="46" t="s">
        <v>658</v>
      </c>
      <c r="E427" s="46" t="s">
        <v>1293</v>
      </c>
      <c r="F427" s="47" t="s">
        <v>1010</v>
      </c>
      <c r="G427" s="46"/>
      <c r="H427" s="47" t="s">
        <v>1025</v>
      </c>
      <c r="I427" s="47"/>
      <c r="J427" s="48">
        <v>12901</v>
      </c>
      <c r="K427" s="46" t="s">
        <v>1124</v>
      </c>
      <c r="L427" s="46" t="s">
        <v>4</v>
      </c>
      <c r="M427" s="46" t="s">
        <v>1093</v>
      </c>
      <c r="N427" s="49">
        <v>2</v>
      </c>
      <c r="O427" s="49">
        <v>4</v>
      </c>
      <c r="P427" s="47" t="s">
        <v>1268</v>
      </c>
      <c r="Q427" s="47" t="s">
        <v>1017</v>
      </c>
      <c r="R427" s="47" t="s">
        <v>376</v>
      </c>
      <c r="S427" s="46"/>
      <c r="T427" s="46"/>
      <c r="U427" s="46"/>
      <c r="V427" s="46"/>
      <c r="W427" s="46"/>
      <c r="X427" s="46"/>
      <c r="Y427" s="46"/>
      <c r="Z427" s="46"/>
      <c r="AA427" s="46"/>
      <c r="AB427" s="46"/>
      <c r="AC427" s="46"/>
      <c r="AD427" s="46"/>
      <c r="AE427" s="50">
        <f>IF(L427="W",1,0)</f>
        <v>0</v>
      </c>
      <c r="AF427" s="50">
        <f>IF(L427="T",1,0)</f>
        <v>0</v>
      </c>
      <c r="AG427" s="50">
        <f>IF(L427="L",1,0)</f>
        <v>1</v>
      </c>
      <c r="AH427" s="46" t="s">
        <v>1111</v>
      </c>
      <c r="AI427" s="46" t="s">
        <v>1126</v>
      </c>
      <c r="AJ427" s="46" t="s">
        <v>376</v>
      </c>
      <c r="AK427" s="46" t="s">
        <v>658</v>
      </c>
      <c r="AL427" s="46" t="s">
        <v>1097</v>
      </c>
      <c r="AM427" s="46" t="s">
        <v>1098</v>
      </c>
      <c r="AN427" s="46" t="s">
        <v>376</v>
      </c>
      <c r="AO427" s="46" t="s">
        <v>658</v>
      </c>
      <c r="AP427" s="46"/>
      <c r="AQ427" s="46">
        <v>1</v>
      </c>
      <c r="AR427" s="46"/>
      <c r="AS427" s="46"/>
      <c r="AT427" s="46"/>
      <c r="AU427" s="46" t="s">
        <v>376</v>
      </c>
      <c r="AV427" s="46"/>
      <c r="AW427" s="46" t="s">
        <v>30</v>
      </c>
      <c r="AX427" s="46"/>
      <c r="AY427" s="46" t="s">
        <v>30</v>
      </c>
      <c r="AZ427" s="46"/>
      <c r="BA427" s="47"/>
      <c r="BB427" s="51"/>
      <c r="BC427" s="46" t="s">
        <v>30</v>
      </c>
      <c r="BD427" s="46"/>
      <c r="BE427" s="46"/>
      <c r="BF427" s="46">
        <v>1</v>
      </c>
      <c r="BG427" s="46">
        <v>1</v>
      </c>
      <c r="BH427" s="46">
        <v>1</v>
      </c>
      <c r="BI427" s="46" t="s">
        <v>1124</v>
      </c>
      <c r="BJ427" s="46" t="s">
        <v>1093</v>
      </c>
      <c r="BK427" s="46">
        <v>1935</v>
      </c>
      <c r="BL427" s="46" t="str">
        <f>BK427&amp;BI427</f>
        <v>1935West Bromwich Albion</v>
      </c>
      <c r="BM427" s="52" t="str">
        <f>IF(AD427="Home",BI427,IF(AD427="Away",BJ427,Q427))</f>
        <v>London</v>
      </c>
      <c r="BN427" s="46"/>
      <c r="BO427" s="46"/>
      <c r="BP427" s="46"/>
      <c r="BQ427" s="46"/>
      <c r="BR427" s="46"/>
      <c r="BS427" s="46"/>
      <c r="BT427" s="46"/>
      <c r="BU427" s="46"/>
      <c r="BV427" s="46" t="s">
        <v>376</v>
      </c>
      <c r="BW427" s="46" t="s">
        <v>376</v>
      </c>
      <c r="BX427" s="46"/>
      <c r="BZ427" s="53"/>
      <c r="CA427" s="53"/>
      <c r="CB427" s="93" t="str">
        <f>IF(OR(C427="",A427="",B427=""),"",TEXT(C427,"0000")&amp;TEXT(A427,"00")&amp;TEXT(B427,"00"))</f>
        <v>19350427</v>
      </c>
    </row>
    <row r="428" spans="1:80" s="52" customFormat="1" ht="12.95" customHeight="1" x14ac:dyDescent="0.2">
      <c r="A428" s="46">
        <v>3</v>
      </c>
      <c r="B428" s="46">
        <v>21</v>
      </c>
      <c r="C428" s="46">
        <v>1936</v>
      </c>
      <c r="D428" s="46" t="s">
        <v>658</v>
      </c>
      <c r="E428" s="46" t="s">
        <v>1294</v>
      </c>
      <c r="F428" s="47" t="s">
        <v>1010</v>
      </c>
      <c r="G428" s="46"/>
      <c r="H428" s="47" t="s">
        <v>1011</v>
      </c>
      <c r="I428" s="47"/>
      <c r="J428" s="48">
        <v>13230</v>
      </c>
      <c r="K428" s="46" t="s">
        <v>587</v>
      </c>
      <c r="L428" s="46" t="s">
        <v>3</v>
      </c>
      <c r="M428" s="46" t="s">
        <v>1295</v>
      </c>
      <c r="N428" s="49">
        <v>1</v>
      </c>
      <c r="O428" s="49">
        <v>0</v>
      </c>
      <c r="P428" s="47" t="s">
        <v>1288</v>
      </c>
      <c r="Q428" s="47" t="s">
        <v>1096</v>
      </c>
      <c r="R428" s="47" t="s">
        <v>376</v>
      </c>
      <c r="S428" s="46"/>
      <c r="T428" s="46"/>
      <c r="U428" s="46"/>
      <c r="V428" s="46"/>
      <c r="W428" s="46"/>
      <c r="X428" s="46"/>
      <c r="Y428" s="46"/>
      <c r="Z428" s="46"/>
      <c r="AA428" s="46"/>
      <c r="AB428" s="46"/>
      <c r="AC428" s="46"/>
      <c r="AD428" s="46"/>
      <c r="AE428" s="50">
        <f>IF(L428="W",1,0)</f>
        <v>1</v>
      </c>
      <c r="AF428" s="50">
        <f>IF(L428="T",1,0)</f>
        <v>0</v>
      </c>
      <c r="AG428" s="50">
        <f>IF(L428="L",1,0)</f>
        <v>0</v>
      </c>
      <c r="AH428" s="46" t="s">
        <v>1017</v>
      </c>
      <c r="AI428" s="46" t="s">
        <v>1018</v>
      </c>
      <c r="AJ428" s="46" t="s">
        <v>376</v>
      </c>
      <c r="AK428" s="46" t="s">
        <v>658</v>
      </c>
      <c r="AL428" s="46" t="s">
        <v>1296</v>
      </c>
      <c r="AM428" s="46" t="s">
        <v>1297</v>
      </c>
      <c r="AN428" s="46" t="s">
        <v>376</v>
      </c>
      <c r="AO428" s="46" t="s">
        <v>658</v>
      </c>
      <c r="AP428" s="46"/>
      <c r="AQ428" s="46">
        <v>2</v>
      </c>
      <c r="AR428" s="46"/>
      <c r="AS428" s="46"/>
      <c r="AT428" s="46"/>
      <c r="AU428" s="46" t="s">
        <v>376</v>
      </c>
      <c r="AV428" s="46"/>
      <c r="AW428" s="46" t="s">
        <v>30</v>
      </c>
      <c r="AX428" s="46"/>
      <c r="AY428" s="46" t="s">
        <v>30</v>
      </c>
      <c r="AZ428" s="46"/>
      <c r="BA428" s="47"/>
      <c r="BB428" s="51"/>
      <c r="BC428" s="46"/>
      <c r="BD428" s="46"/>
      <c r="BE428" s="46"/>
      <c r="BF428" s="46">
        <v>1</v>
      </c>
      <c r="BG428" s="46">
        <v>1</v>
      </c>
      <c r="BH428" s="46">
        <v>1</v>
      </c>
      <c r="BI428" s="46" t="s">
        <v>587</v>
      </c>
      <c r="BJ428" s="46" t="s">
        <v>1295</v>
      </c>
      <c r="BK428" s="46">
        <v>1936</v>
      </c>
      <c r="BL428" s="46" t="str">
        <f>BK428&amp;BI428</f>
        <v>1936Arsenal</v>
      </c>
      <c r="BM428" s="52" t="str">
        <f>IF(AD428="Home",BI428,IF(AD428="Away",BJ428,Q428))</f>
        <v>Kirklees</v>
      </c>
      <c r="BN428" s="46"/>
      <c r="BO428" s="46"/>
      <c r="BP428" s="46"/>
      <c r="BQ428" s="46"/>
      <c r="BR428" s="46"/>
      <c r="BS428" s="46"/>
      <c r="BT428" s="46"/>
      <c r="BU428" s="46"/>
      <c r="BV428" s="46" t="s">
        <v>376</v>
      </c>
      <c r="BW428" s="46" t="s">
        <v>376</v>
      </c>
      <c r="BX428" s="46"/>
      <c r="BZ428" s="53"/>
      <c r="CA428" s="53"/>
      <c r="CB428" s="93" t="str">
        <f>IF(OR(C428="",A428="",B428=""),"",TEXT(C428,"0000")&amp;TEXT(A428,"00")&amp;TEXT(B428,"00"))</f>
        <v>19360321</v>
      </c>
    </row>
    <row r="429" spans="1:80" s="52" customFormat="1" ht="12.95" customHeight="1" x14ac:dyDescent="0.2">
      <c r="A429" s="46">
        <v>3</v>
      </c>
      <c r="B429" s="46">
        <v>21</v>
      </c>
      <c r="C429" s="46">
        <v>1936</v>
      </c>
      <c r="D429" s="46" t="s">
        <v>658</v>
      </c>
      <c r="E429" s="46" t="s">
        <v>1294</v>
      </c>
      <c r="F429" s="47" t="s">
        <v>1010</v>
      </c>
      <c r="G429" s="46"/>
      <c r="H429" s="47" t="s">
        <v>1011</v>
      </c>
      <c r="I429" s="47"/>
      <c r="J429" s="48">
        <v>13230</v>
      </c>
      <c r="K429" s="46" t="s">
        <v>1295</v>
      </c>
      <c r="L429" s="46" t="s">
        <v>4</v>
      </c>
      <c r="M429" s="46" t="s">
        <v>587</v>
      </c>
      <c r="N429" s="49">
        <v>0</v>
      </c>
      <c r="O429" s="49">
        <v>1</v>
      </c>
      <c r="P429" s="47" t="s">
        <v>1288</v>
      </c>
      <c r="Q429" s="47" t="s">
        <v>1096</v>
      </c>
      <c r="R429" s="47" t="s">
        <v>376</v>
      </c>
      <c r="S429" s="46"/>
      <c r="T429" s="46"/>
      <c r="U429" s="46"/>
      <c r="V429" s="46"/>
      <c r="W429" s="46"/>
      <c r="X429" s="46"/>
      <c r="Y429" s="46"/>
      <c r="Z429" s="46"/>
      <c r="AA429" s="46"/>
      <c r="AB429" s="46"/>
      <c r="AC429" s="46"/>
      <c r="AD429" s="46"/>
      <c r="AE429" s="50">
        <f>IF(L429="W",1,0)</f>
        <v>0</v>
      </c>
      <c r="AF429" s="50">
        <f>IF(L429="T",1,0)</f>
        <v>0</v>
      </c>
      <c r="AG429" s="50">
        <f>IF(L429="L",1,0)</f>
        <v>1</v>
      </c>
      <c r="AH429" s="46" t="s">
        <v>1296</v>
      </c>
      <c r="AI429" s="46" t="s">
        <v>1297</v>
      </c>
      <c r="AJ429" s="46" t="s">
        <v>376</v>
      </c>
      <c r="AK429" s="46" t="s">
        <v>658</v>
      </c>
      <c r="AL429" s="46" t="s">
        <v>1017</v>
      </c>
      <c r="AM429" s="46" t="s">
        <v>1018</v>
      </c>
      <c r="AN429" s="46" t="s">
        <v>376</v>
      </c>
      <c r="AO429" s="46" t="s">
        <v>658</v>
      </c>
      <c r="AP429" s="46"/>
      <c r="AQ429" s="46">
        <v>2</v>
      </c>
      <c r="AR429" s="46"/>
      <c r="AS429" s="46"/>
      <c r="AT429" s="46"/>
      <c r="AU429" s="46" t="s">
        <v>376</v>
      </c>
      <c r="AV429" s="46"/>
      <c r="AW429" s="46" t="s">
        <v>30</v>
      </c>
      <c r="AX429" s="46"/>
      <c r="AY429" s="46" t="s">
        <v>30</v>
      </c>
      <c r="AZ429" s="46"/>
      <c r="BA429" s="47"/>
      <c r="BB429" s="51"/>
      <c r="BC429" s="46"/>
      <c r="BD429" s="46"/>
      <c r="BE429" s="46"/>
      <c r="BF429" s="46">
        <v>1</v>
      </c>
      <c r="BG429" s="46">
        <v>1</v>
      </c>
      <c r="BH429" s="46">
        <v>1</v>
      </c>
      <c r="BI429" s="46" t="s">
        <v>1295</v>
      </c>
      <c r="BJ429" s="46" t="s">
        <v>587</v>
      </c>
      <c r="BK429" s="46">
        <v>1936</v>
      </c>
      <c r="BL429" s="46" t="str">
        <f>BK429&amp;BI429</f>
        <v>1936Grimsby Town</v>
      </c>
      <c r="BM429" s="52" t="str">
        <f>IF(AD429="Home",BI429,IF(AD429="Away",BJ429,Q429))</f>
        <v>Kirklees</v>
      </c>
      <c r="BN429" s="46"/>
      <c r="BO429" s="46"/>
      <c r="BP429" s="46"/>
      <c r="BQ429" s="46"/>
      <c r="BR429" s="46"/>
      <c r="BS429" s="46"/>
      <c r="BT429" s="46"/>
      <c r="BU429" s="46"/>
      <c r="BV429" s="46" t="s">
        <v>376</v>
      </c>
      <c r="BW429" s="46" t="s">
        <v>376</v>
      </c>
      <c r="BX429" s="46"/>
      <c r="BZ429" s="53"/>
      <c r="CA429" s="53"/>
      <c r="CB429" s="93" t="str">
        <f>IF(OR(C429="",A429="",B429=""),"",TEXT(C429,"0000")&amp;TEXT(A429,"00")&amp;TEXT(B429,"00"))</f>
        <v>19360321</v>
      </c>
    </row>
    <row r="430" spans="1:80" s="52" customFormat="1" ht="12.95" customHeight="1" x14ac:dyDescent="0.2">
      <c r="A430" s="46">
        <v>3</v>
      </c>
      <c r="B430" s="46">
        <v>21</v>
      </c>
      <c r="C430" s="46">
        <v>1936</v>
      </c>
      <c r="D430" s="46" t="s">
        <v>658</v>
      </c>
      <c r="E430" s="46" t="s">
        <v>1294</v>
      </c>
      <c r="F430" s="47" t="s">
        <v>1010</v>
      </c>
      <c r="G430" s="46"/>
      <c r="H430" s="47" t="s">
        <v>1011</v>
      </c>
      <c r="I430" s="47"/>
      <c r="J430" s="48">
        <v>13230</v>
      </c>
      <c r="K430" s="46" t="s">
        <v>1207</v>
      </c>
      <c r="L430" s="46" t="s">
        <v>3</v>
      </c>
      <c r="M430" s="46" t="s">
        <v>589</v>
      </c>
      <c r="N430" s="49">
        <v>2</v>
      </c>
      <c r="O430" s="49">
        <v>1</v>
      </c>
      <c r="P430" s="47" t="s">
        <v>1152</v>
      </c>
      <c r="Q430" s="47" t="s">
        <v>1111</v>
      </c>
      <c r="R430" s="47" t="s">
        <v>376</v>
      </c>
      <c r="S430" s="46"/>
      <c r="T430" s="46"/>
      <c r="U430" s="46"/>
      <c r="V430" s="46"/>
      <c r="W430" s="46"/>
      <c r="X430" s="46"/>
      <c r="Y430" s="46"/>
      <c r="Z430" s="46"/>
      <c r="AA430" s="46"/>
      <c r="AB430" s="46"/>
      <c r="AC430" s="46"/>
      <c r="AD430" s="46"/>
      <c r="AE430" s="50">
        <f>IF(L430="W",1,0)</f>
        <v>1</v>
      </c>
      <c r="AF430" s="50">
        <f>IF(L430="T",1,0)</f>
        <v>0</v>
      </c>
      <c r="AG430" s="50">
        <f>IF(L430="L",1,0)</f>
        <v>0</v>
      </c>
      <c r="AH430" s="46" t="s">
        <v>1097</v>
      </c>
      <c r="AI430" s="46" t="s">
        <v>1098</v>
      </c>
      <c r="AJ430" s="46" t="s">
        <v>376</v>
      </c>
      <c r="AK430" s="46" t="s">
        <v>658</v>
      </c>
      <c r="AL430" s="46" t="s">
        <v>1017</v>
      </c>
      <c r="AM430" s="46" t="s">
        <v>1018</v>
      </c>
      <c r="AN430" s="46" t="s">
        <v>376</v>
      </c>
      <c r="AO430" s="46" t="s">
        <v>658</v>
      </c>
      <c r="AP430" s="46"/>
      <c r="AQ430" s="46">
        <v>2</v>
      </c>
      <c r="AR430" s="46"/>
      <c r="AS430" s="46"/>
      <c r="AT430" s="46"/>
      <c r="AU430" s="46" t="s">
        <v>376</v>
      </c>
      <c r="AV430" s="46"/>
      <c r="AW430" s="46" t="s">
        <v>30</v>
      </c>
      <c r="AX430" s="46"/>
      <c r="AY430" s="46" t="s">
        <v>30</v>
      </c>
      <c r="AZ430" s="46"/>
      <c r="BA430" s="47"/>
      <c r="BB430" s="51"/>
      <c r="BC430" s="46"/>
      <c r="BD430" s="46"/>
      <c r="BE430" s="46"/>
      <c r="BF430" s="46">
        <v>1</v>
      </c>
      <c r="BG430" s="46">
        <v>2</v>
      </c>
      <c r="BH430" s="46">
        <v>2</v>
      </c>
      <c r="BI430" s="46" t="s">
        <v>1207</v>
      </c>
      <c r="BJ430" s="46" t="s">
        <v>589</v>
      </c>
      <c r="BK430" s="46">
        <v>1936</v>
      </c>
      <c r="BL430" s="46" t="str">
        <f>BK430&amp;BI430</f>
        <v>1936Sheffield United</v>
      </c>
      <c r="BM430" s="52" t="str">
        <f>IF(AD430="Home",BI430,IF(AD430="Away",BJ430,Q430))</f>
        <v>Birmingham</v>
      </c>
      <c r="BN430" s="46"/>
      <c r="BO430" s="46"/>
      <c r="BP430" s="46"/>
      <c r="BQ430" s="46"/>
      <c r="BR430" s="46"/>
      <c r="BS430" s="46"/>
      <c r="BT430" s="46"/>
      <c r="BU430" s="46"/>
      <c r="BV430" s="46" t="s">
        <v>376</v>
      </c>
      <c r="BW430" s="46" t="s">
        <v>376</v>
      </c>
      <c r="BX430" s="46"/>
      <c r="BZ430" s="53"/>
      <c r="CA430" s="53"/>
      <c r="CB430" s="93" t="str">
        <f>IF(OR(C430="",A430="",B430=""),"",TEXT(C430,"0000")&amp;TEXT(A430,"00")&amp;TEXT(B430,"00"))</f>
        <v>19360321</v>
      </c>
    </row>
    <row r="431" spans="1:80" s="52" customFormat="1" ht="12.95" customHeight="1" x14ac:dyDescent="0.2">
      <c r="A431" s="46">
        <v>3</v>
      </c>
      <c r="B431" s="46">
        <v>21</v>
      </c>
      <c r="C431" s="46">
        <v>1936</v>
      </c>
      <c r="D431" s="46" t="s">
        <v>658</v>
      </c>
      <c r="E431" s="46" t="s">
        <v>1294</v>
      </c>
      <c r="F431" s="47" t="s">
        <v>1010</v>
      </c>
      <c r="G431" s="46"/>
      <c r="H431" s="47" t="s">
        <v>1011</v>
      </c>
      <c r="I431" s="47"/>
      <c r="J431" s="48">
        <v>13230</v>
      </c>
      <c r="K431" s="46" t="s">
        <v>589</v>
      </c>
      <c r="L431" s="46" t="s">
        <v>4</v>
      </c>
      <c r="M431" s="46" t="s">
        <v>1207</v>
      </c>
      <c r="N431" s="49">
        <v>1</v>
      </c>
      <c r="O431" s="49">
        <v>2</v>
      </c>
      <c r="P431" s="47" t="s">
        <v>1152</v>
      </c>
      <c r="Q431" s="47" t="s">
        <v>1111</v>
      </c>
      <c r="R431" s="47" t="s">
        <v>376</v>
      </c>
      <c r="S431" s="46"/>
      <c r="T431" s="46"/>
      <c r="U431" s="46"/>
      <c r="V431" s="46"/>
      <c r="W431" s="46"/>
      <c r="X431" s="46"/>
      <c r="Y431" s="46"/>
      <c r="Z431" s="46"/>
      <c r="AA431" s="46"/>
      <c r="AB431" s="46"/>
      <c r="AC431" s="46"/>
      <c r="AD431" s="46"/>
      <c r="AE431" s="50">
        <f>IF(L431="W",1,0)</f>
        <v>0</v>
      </c>
      <c r="AF431" s="50">
        <f>IF(L431="T",1,0)</f>
        <v>0</v>
      </c>
      <c r="AG431" s="50">
        <f>IF(L431="L",1,0)</f>
        <v>1</v>
      </c>
      <c r="AH431" s="46" t="s">
        <v>1017</v>
      </c>
      <c r="AI431" s="46" t="s">
        <v>1018</v>
      </c>
      <c r="AJ431" s="46" t="s">
        <v>376</v>
      </c>
      <c r="AK431" s="46" t="s">
        <v>658</v>
      </c>
      <c r="AL431" s="46" t="s">
        <v>1097</v>
      </c>
      <c r="AM431" s="46" t="s">
        <v>1098</v>
      </c>
      <c r="AN431" s="46" t="s">
        <v>376</v>
      </c>
      <c r="AO431" s="46" t="s">
        <v>658</v>
      </c>
      <c r="AP431" s="46"/>
      <c r="AQ431" s="46">
        <v>2</v>
      </c>
      <c r="AR431" s="46"/>
      <c r="AS431" s="46"/>
      <c r="AT431" s="46"/>
      <c r="AU431" s="46" t="s">
        <v>376</v>
      </c>
      <c r="AV431" s="46"/>
      <c r="AW431" s="46" t="s">
        <v>30</v>
      </c>
      <c r="AX431" s="46"/>
      <c r="AY431" s="46" t="s">
        <v>30</v>
      </c>
      <c r="AZ431" s="46"/>
      <c r="BA431" s="47"/>
      <c r="BB431" s="51"/>
      <c r="BC431" s="46"/>
      <c r="BD431" s="46"/>
      <c r="BE431" s="46"/>
      <c r="BF431" s="46">
        <v>1</v>
      </c>
      <c r="BG431" s="46">
        <v>2</v>
      </c>
      <c r="BH431" s="46">
        <v>2</v>
      </c>
      <c r="BI431" s="46" t="s">
        <v>589</v>
      </c>
      <c r="BJ431" s="46" t="s">
        <v>1207</v>
      </c>
      <c r="BK431" s="46">
        <v>1936</v>
      </c>
      <c r="BL431" s="46" t="str">
        <f>BK431&amp;BI431</f>
        <v>1936Fulham</v>
      </c>
      <c r="BM431" s="52" t="str">
        <f>IF(AD431="Home",BI431,IF(AD431="Away",BJ431,Q431))</f>
        <v>Birmingham</v>
      </c>
      <c r="BN431" s="46"/>
      <c r="BO431" s="46"/>
      <c r="BP431" s="46"/>
      <c r="BQ431" s="46"/>
      <c r="BR431" s="46"/>
      <c r="BS431" s="46"/>
      <c r="BT431" s="46"/>
      <c r="BU431" s="46"/>
      <c r="BV431" s="46" t="s">
        <v>376</v>
      </c>
      <c r="BW431" s="46" t="s">
        <v>376</v>
      </c>
      <c r="BX431" s="46"/>
      <c r="BZ431" s="53"/>
      <c r="CA431" s="53"/>
      <c r="CB431" s="93" t="str">
        <f>IF(OR(C431="",A431="",B431=""),"",TEXT(C431,"0000")&amp;TEXT(A431,"00")&amp;TEXT(B431,"00"))</f>
        <v>19360321</v>
      </c>
    </row>
    <row r="432" spans="1:80" s="52" customFormat="1" ht="12.95" customHeight="1" x14ac:dyDescent="0.2">
      <c r="A432" s="46">
        <v>4</v>
      </c>
      <c r="B432" s="46">
        <v>25</v>
      </c>
      <c r="C432" s="46">
        <v>1936</v>
      </c>
      <c r="D432" s="46" t="s">
        <v>658</v>
      </c>
      <c r="E432" s="46" t="s">
        <v>1294</v>
      </c>
      <c r="F432" s="47" t="s">
        <v>1010</v>
      </c>
      <c r="G432" s="46"/>
      <c r="H432" s="47" t="s">
        <v>1025</v>
      </c>
      <c r="I432" s="47"/>
      <c r="J432" s="48">
        <v>13265</v>
      </c>
      <c r="K432" s="46" t="s">
        <v>587</v>
      </c>
      <c r="L432" s="46" t="s">
        <v>3</v>
      </c>
      <c r="M432" s="46" t="s">
        <v>1207</v>
      </c>
      <c r="N432" s="49">
        <v>1</v>
      </c>
      <c r="O432" s="49">
        <v>0</v>
      </c>
      <c r="P432" s="47" t="s">
        <v>1268</v>
      </c>
      <c r="Q432" s="47" t="s">
        <v>1017</v>
      </c>
      <c r="R432" s="47" t="s">
        <v>376</v>
      </c>
      <c r="S432" s="46"/>
      <c r="T432" s="46"/>
      <c r="U432" s="46"/>
      <c r="V432" s="46"/>
      <c r="W432" s="46"/>
      <c r="X432" s="46"/>
      <c r="Y432" s="46"/>
      <c r="Z432" s="46"/>
      <c r="AA432" s="46"/>
      <c r="AB432" s="46"/>
      <c r="AC432" s="46"/>
      <c r="AD432" s="46"/>
      <c r="AE432" s="50">
        <f>IF(L432="W",1,0)</f>
        <v>1</v>
      </c>
      <c r="AF432" s="50">
        <f>IF(L432="T",1,0)</f>
        <v>0</v>
      </c>
      <c r="AG432" s="50">
        <f>IF(L432="L",1,0)</f>
        <v>0</v>
      </c>
      <c r="AH432" s="46" t="s">
        <v>1017</v>
      </c>
      <c r="AI432" s="46" t="s">
        <v>1018</v>
      </c>
      <c r="AJ432" s="46" t="s">
        <v>376</v>
      </c>
      <c r="AK432" s="46" t="s">
        <v>658</v>
      </c>
      <c r="AL432" s="46" t="s">
        <v>1097</v>
      </c>
      <c r="AM432" s="46" t="s">
        <v>1098</v>
      </c>
      <c r="AN432" s="46" t="s">
        <v>376</v>
      </c>
      <c r="AO432" s="46" t="s">
        <v>658</v>
      </c>
      <c r="AP432" s="46"/>
      <c r="AQ432" s="46">
        <v>1</v>
      </c>
      <c r="AR432" s="46"/>
      <c r="AS432" s="46"/>
      <c r="AT432" s="46"/>
      <c r="AU432" s="46" t="s">
        <v>376</v>
      </c>
      <c r="AV432" s="46"/>
      <c r="AW432" s="46" t="s">
        <v>30</v>
      </c>
      <c r="AX432" s="46"/>
      <c r="AY432" s="46" t="s">
        <v>30</v>
      </c>
      <c r="AZ432" s="46"/>
      <c r="BA432" s="47"/>
      <c r="BB432" s="51" t="s">
        <v>30</v>
      </c>
      <c r="BC432" s="46" t="s">
        <v>30</v>
      </c>
      <c r="BD432" s="46"/>
      <c r="BE432" s="46"/>
      <c r="BF432" s="46">
        <v>1</v>
      </c>
      <c r="BG432" s="46">
        <v>1</v>
      </c>
      <c r="BH432" s="46">
        <v>2</v>
      </c>
      <c r="BI432" s="46" t="s">
        <v>587</v>
      </c>
      <c r="BJ432" s="46" t="s">
        <v>1207</v>
      </c>
      <c r="BK432" s="46">
        <v>1936</v>
      </c>
      <c r="BL432" s="46" t="str">
        <f>BK432&amp;BI432</f>
        <v>1936Arsenal</v>
      </c>
      <c r="BM432" s="52" t="str">
        <f>IF(AD432="Home",BI432,IF(AD432="Away",BJ432,Q432))</f>
        <v>London</v>
      </c>
      <c r="BN432" s="46"/>
      <c r="BO432" s="46"/>
      <c r="BP432" s="46"/>
      <c r="BQ432" s="46"/>
      <c r="BR432" s="46"/>
      <c r="BS432" s="46"/>
      <c r="BT432" s="46"/>
      <c r="BU432" s="46"/>
      <c r="BV432" s="46" t="s">
        <v>376</v>
      </c>
      <c r="BW432" s="46" t="s">
        <v>376</v>
      </c>
      <c r="BX432" s="46"/>
      <c r="BZ432" s="53"/>
      <c r="CA432" s="53"/>
      <c r="CB432" s="93" t="str">
        <f>IF(OR(C432="",A432="",B432=""),"",TEXT(C432,"0000")&amp;TEXT(A432,"00")&amp;TEXT(B432,"00"))</f>
        <v>19360425</v>
      </c>
    </row>
    <row r="433" spans="1:80" s="52" customFormat="1" ht="12.95" customHeight="1" x14ac:dyDescent="0.2">
      <c r="A433" s="46">
        <v>4</v>
      </c>
      <c r="B433" s="46">
        <v>25</v>
      </c>
      <c r="C433" s="46">
        <v>1936</v>
      </c>
      <c r="D433" s="46" t="s">
        <v>658</v>
      </c>
      <c r="E433" s="46" t="s">
        <v>1294</v>
      </c>
      <c r="F433" s="47" t="s">
        <v>1010</v>
      </c>
      <c r="G433" s="46"/>
      <c r="H433" s="47" t="s">
        <v>1025</v>
      </c>
      <c r="I433" s="47"/>
      <c r="J433" s="48">
        <v>13265</v>
      </c>
      <c r="K433" s="46" t="s">
        <v>1207</v>
      </c>
      <c r="L433" s="46" t="s">
        <v>4</v>
      </c>
      <c r="M433" s="46" t="s">
        <v>587</v>
      </c>
      <c r="N433" s="49">
        <v>0</v>
      </c>
      <c r="O433" s="49">
        <v>1</v>
      </c>
      <c r="P433" s="47" t="s">
        <v>1268</v>
      </c>
      <c r="Q433" s="47" t="s">
        <v>1017</v>
      </c>
      <c r="R433" s="47" t="s">
        <v>376</v>
      </c>
      <c r="S433" s="46"/>
      <c r="T433" s="46"/>
      <c r="U433" s="46"/>
      <c r="V433" s="46"/>
      <c r="W433" s="46"/>
      <c r="X433" s="46"/>
      <c r="Y433" s="46"/>
      <c r="Z433" s="46"/>
      <c r="AA433" s="46"/>
      <c r="AB433" s="46"/>
      <c r="AC433" s="46"/>
      <c r="AD433" s="46"/>
      <c r="AE433" s="50">
        <f>IF(L433="W",1,0)</f>
        <v>0</v>
      </c>
      <c r="AF433" s="50">
        <f>IF(L433="T",1,0)</f>
        <v>0</v>
      </c>
      <c r="AG433" s="50">
        <f>IF(L433="L",1,0)</f>
        <v>1</v>
      </c>
      <c r="AH433" s="46" t="s">
        <v>1097</v>
      </c>
      <c r="AI433" s="46" t="s">
        <v>1098</v>
      </c>
      <c r="AJ433" s="46" t="s">
        <v>376</v>
      </c>
      <c r="AK433" s="46" t="s">
        <v>658</v>
      </c>
      <c r="AL433" s="46" t="s">
        <v>1017</v>
      </c>
      <c r="AM433" s="46" t="s">
        <v>1018</v>
      </c>
      <c r="AN433" s="46" t="s">
        <v>376</v>
      </c>
      <c r="AO433" s="46" t="s">
        <v>658</v>
      </c>
      <c r="AP433" s="46"/>
      <c r="AQ433" s="46">
        <v>1</v>
      </c>
      <c r="AR433" s="46"/>
      <c r="AS433" s="46"/>
      <c r="AT433" s="46"/>
      <c r="AU433" s="46" t="s">
        <v>376</v>
      </c>
      <c r="AV433" s="46"/>
      <c r="AW433" s="46" t="s">
        <v>30</v>
      </c>
      <c r="AX433" s="46"/>
      <c r="AY433" s="46" t="s">
        <v>30</v>
      </c>
      <c r="AZ433" s="46"/>
      <c r="BA433" s="47"/>
      <c r="BB433" s="51"/>
      <c r="BC433" s="46" t="s">
        <v>30</v>
      </c>
      <c r="BD433" s="46"/>
      <c r="BE433" s="46"/>
      <c r="BF433" s="46">
        <v>1</v>
      </c>
      <c r="BG433" s="46">
        <v>2</v>
      </c>
      <c r="BH433" s="46">
        <v>1</v>
      </c>
      <c r="BI433" s="46" t="s">
        <v>1207</v>
      </c>
      <c r="BJ433" s="46" t="s">
        <v>587</v>
      </c>
      <c r="BK433" s="46">
        <v>1936</v>
      </c>
      <c r="BL433" s="46" t="str">
        <f>BK433&amp;BI433</f>
        <v>1936Sheffield United</v>
      </c>
      <c r="BM433" s="52" t="str">
        <f>IF(AD433="Home",BI433,IF(AD433="Away",BJ433,Q433))</f>
        <v>London</v>
      </c>
      <c r="BN433" s="46"/>
      <c r="BO433" s="46"/>
      <c r="BP433" s="46"/>
      <c r="BQ433" s="46"/>
      <c r="BR433" s="46"/>
      <c r="BS433" s="46"/>
      <c r="BT433" s="46"/>
      <c r="BU433" s="46"/>
      <c r="BV433" s="46" t="s">
        <v>376</v>
      </c>
      <c r="BW433" s="46" t="s">
        <v>376</v>
      </c>
      <c r="BX433" s="46"/>
      <c r="BZ433" s="53"/>
      <c r="CA433" s="53"/>
      <c r="CB433" s="93" t="str">
        <f>IF(OR(C433="",A433="",B433=""),"",TEXT(C433,"0000")&amp;TEXT(A433,"00")&amp;TEXT(B433,"00"))</f>
        <v>19360425</v>
      </c>
    </row>
    <row r="434" spans="1:80" s="52" customFormat="1" ht="12.95" customHeight="1" x14ac:dyDescent="0.2">
      <c r="A434" s="46">
        <v>4</v>
      </c>
      <c r="B434" s="46">
        <v>10</v>
      </c>
      <c r="C434" s="46">
        <v>1937</v>
      </c>
      <c r="D434" s="46" t="s">
        <v>658</v>
      </c>
      <c r="E434" s="46" t="s">
        <v>1298</v>
      </c>
      <c r="F434" s="47" t="s">
        <v>1010</v>
      </c>
      <c r="G434" s="46"/>
      <c r="H434" s="47" t="s">
        <v>1011</v>
      </c>
      <c r="I434" s="47"/>
      <c r="J434" s="48">
        <v>13615</v>
      </c>
      <c r="K434" s="46" t="s">
        <v>640</v>
      </c>
      <c r="L434" s="46" t="s">
        <v>3</v>
      </c>
      <c r="M434" s="46" t="s">
        <v>1124</v>
      </c>
      <c r="N434" s="49">
        <v>4</v>
      </c>
      <c r="O434" s="49">
        <v>1</v>
      </c>
      <c r="P434" s="47" t="s">
        <v>1281</v>
      </c>
      <c r="Q434" s="47" t="s">
        <v>1017</v>
      </c>
      <c r="R434" s="47" t="s">
        <v>376</v>
      </c>
      <c r="S434" s="46"/>
      <c r="T434" s="46"/>
      <c r="U434" s="46"/>
      <c r="V434" s="46"/>
      <c r="W434" s="46"/>
      <c r="X434" s="46"/>
      <c r="Y434" s="46"/>
      <c r="Z434" s="46"/>
      <c r="AA434" s="46"/>
      <c r="AB434" s="46"/>
      <c r="AC434" s="46"/>
      <c r="AD434" s="46"/>
      <c r="AE434" s="50">
        <f>IF(L434="W",1,0)</f>
        <v>1</v>
      </c>
      <c r="AF434" s="50">
        <f>IF(L434="T",1,0)</f>
        <v>0</v>
      </c>
      <c r="AG434" s="50">
        <f>IF(L434="L",1,0)</f>
        <v>0</v>
      </c>
      <c r="AH434" s="46" t="s">
        <v>1136</v>
      </c>
      <c r="AI434" s="46" t="s">
        <v>1086</v>
      </c>
      <c r="AJ434" s="46" t="s">
        <v>376</v>
      </c>
      <c r="AK434" s="46" t="s">
        <v>658</v>
      </c>
      <c r="AL434" s="46" t="s">
        <v>1111</v>
      </c>
      <c r="AM434" s="46" t="s">
        <v>1126</v>
      </c>
      <c r="AN434" s="46" t="s">
        <v>376</v>
      </c>
      <c r="AO434" s="46" t="s">
        <v>658</v>
      </c>
      <c r="AP434" s="46"/>
      <c r="AQ434" s="46">
        <v>2</v>
      </c>
      <c r="AR434" s="46"/>
      <c r="AS434" s="46"/>
      <c r="AT434" s="46"/>
      <c r="AU434" s="46" t="s">
        <v>376</v>
      </c>
      <c r="AV434" s="46"/>
      <c r="AW434" s="46" t="s">
        <v>30</v>
      </c>
      <c r="AX434" s="46"/>
      <c r="AY434" s="46" t="s">
        <v>30</v>
      </c>
      <c r="AZ434" s="46"/>
      <c r="BA434" s="47"/>
      <c r="BB434" s="51"/>
      <c r="BC434" s="46"/>
      <c r="BD434" s="46"/>
      <c r="BE434" s="46"/>
      <c r="BF434" s="46">
        <v>1</v>
      </c>
      <c r="BG434" s="46">
        <v>1</v>
      </c>
      <c r="BH434" s="46">
        <v>1</v>
      </c>
      <c r="BI434" s="46" t="s">
        <v>640</v>
      </c>
      <c r="BJ434" s="46" t="s">
        <v>1124</v>
      </c>
      <c r="BK434" s="46">
        <v>1937</v>
      </c>
      <c r="BL434" s="46" t="str">
        <f>BK434&amp;BI434</f>
        <v>1937Preston North End</v>
      </c>
      <c r="BM434" s="52" t="str">
        <f>IF(AD434="Home",BI434,IF(AD434="Away",BJ434,Q434))</f>
        <v>London</v>
      </c>
      <c r="BN434" s="46"/>
      <c r="BO434" s="46"/>
      <c r="BP434" s="46"/>
      <c r="BQ434" s="46"/>
      <c r="BR434" s="46"/>
      <c r="BS434" s="46"/>
      <c r="BT434" s="46"/>
      <c r="BU434" s="46"/>
      <c r="BV434" s="46" t="s">
        <v>376</v>
      </c>
      <c r="BW434" s="46" t="s">
        <v>376</v>
      </c>
      <c r="BX434" s="46"/>
      <c r="BZ434" s="53"/>
      <c r="CA434" s="53"/>
      <c r="CB434" s="93" t="str">
        <f>IF(OR(C434="",A434="",B434=""),"",TEXT(C434,"0000")&amp;TEXT(A434,"00")&amp;TEXT(B434,"00"))</f>
        <v>19370410</v>
      </c>
    </row>
    <row r="435" spans="1:80" s="52" customFormat="1" ht="12.95" customHeight="1" x14ac:dyDescent="0.2">
      <c r="A435" s="46">
        <v>4</v>
      </c>
      <c r="B435" s="46">
        <v>10</v>
      </c>
      <c r="C435" s="46">
        <v>1937</v>
      </c>
      <c r="D435" s="46" t="s">
        <v>658</v>
      </c>
      <c r="E435" s="46" t="s">
        <v>1298</v>
      </c>
      <c r="F435" s="47" t="s">
        <v>1010</v>
      </c>
      <c r="G435" s="46"/>
      <c r="H435" s="47" t="s">
        <v>1011</v>
      </c>
      <c r="I435" s="47"/>
      <c r="J435" s="48">
        <v>13615</v>
      </c>
      <c r="K435" s="46" t="s">
        <v>1124</v>
      </c>
      <c r="L435" s="46" t="s">
        <v>4</v>
      </c>
      <c r="M435" s="46" t="s">
        <v>640</v>
      </c>
      <c r="N435" s="49">
        <v>1</v>
      </c>
      <c r="O435" s="49">
        <v>4</v>
      </c>
      <c r="P435" s="47" t="s">
        <v>1281</v>
      </c>
      <c r="Q435" s="47" t="s">
        <v>1017</v>
      </c>
      <c r="R435" s="47" t="s">
        <v>376</v>
      </c>
      <c r="S435" s="46"/>
      <c r="T435" s="46"/>
      <c r="U435" s="46"/>
      <c r="V435" s="46"/>
      <c r="W435" s="46"/>
      <c r="X435" s="46"/>
      <c r="Y435" s="46"/>
      <c r="Z435" s="46"/>
      <c r="AA435" s="46"/>
      <c r="AB435" s="46"/>
      <c r="AC435" s="46"/>
      <c r="AD435" s="46"/>
      <c r="AE435" s="50">
        <f>IF(L435="W",1,0)</f>
        <v>0</v>
      </c>
      <c r="AF435" s="50">
        <f>IF(L435="T",1,0)</f>
        <v>0</v>
      </c>
      <c r="AG435" s="50">
        <f>IF(L435="L",1,0)</f>
        <v>1</v>
      </c>
      <c r="AH435" s="46" t="s">
        <v>1111</v>
      </c>
      <c r="AI435" s="46" t="s">
        <v>1126</v>
      </c>
      <c r="AJ435" s="46" t="s">
        <v>376</v>
      </c>
      <c r="AK435" s="46" t="s">
        <v>658</v>
      </c>
      <c r="AL435" s="46" t="s">
        <v>1136</v>
      </c>
      <c r="AM435" s="46" t="s">
        <v>1086</v>
      </c>
      <c r="AN435" s="46" t="s">
        <v>376</v>
      </c>
      <c r="AO435" s="46" t="s">
        <v>658</v>
      </c>
      <c r="AP435" s="46"/>
      <c r="AQ435" s="46">
        <v>2</v>
      </c>
      <c r="AR435" s="46"/>
      <c r="AS435" s="46"/>
      <c r="AT435" s="46"/>
      <c r="AU435" s="46" t="s">
        <v>376</v>
      </c>
      <c r="AV435" s="46"/>
      <c r="AW435" s="46" t="s">
        <v>30</v>
      </c>
      <c r="AX435" s="46"/>
      <c r="AY435" s="46" t="s">
        <v>30</v>
      </c>
      <c r="AZ435" s="46"/>
      <c r="BA435" s="47"/>
      <c r="BB435" s="51"/>
      <c r="BC435" s="46"/>
      <c r="BD435" s="46"/>
      <c r="BE435" s="46"/>
      <c r="BF435" s="46">
        <v>1</v>
      </c>
      <c r="BG435" s="46">
        <v>1</v>
      </c>
      <c r="BH435" s="46">
        <v>1</v>
      </c>
      <c r="BI435" s="46" t="s">
        <v>1124</v>
      </c>
      <c r="BJ435" s="46" t="s">
        <v>640</v>
      </c>
      <c r="BK435" s="46">
        <v>1937</v>
      </c>
      <c r="BL435" s="46" t="str">
        <f>BK435&amp;BI435</f>
        <v>1937West Bromwich Albion</v>
      </c>
      <c r="BM435" s="52" t="str">
        <f>IF(AD435="Home",BI435,IF(AD435="Away",BJ435,Q435))</f>
        <v>London</v>
      </c>
      <c r="BN435" s="46"/>
      <c r="BO435" s="46"/>
      <c r="BP435" s="46"/>
      <c r="BQ435" s="46"/>
      <c r="BR435" s="46"/>
      <c r="BS435" s="46"/>
      <c r="BT435" s="46"/>
      <c r="BU435" s="46"/>
      <c r="BV435" s="46" t="s">
        <v>376</v>
      </c>
      <c r="BW435" s="46" t="s">
        <v>376</v>
      </c>
      <c r="BX435" s="46"/>
      <c r="BZ435" s="53"/>
      <c r="CA435" s="53"/>
      <c r="CB435" s="93" t="str">
        <f>IF(OR(C435="",A435="",B435=""),"",TEXT(C435,"0000")&amp;TEXT(A435,"00")&amp;TEXT(B435,"00"))</f>
        <v>19370410</v>
      </c>
    </row>
    <row r="436" spans="1:80" s="52" customFormat="1" ht="12.95" customHeight="1" x14ac:dyDescent="0.2">
      <c r="A436" s="46">
        <v>4</v>
      </c>
      <c r="B436" s="46">
        <v>10</v>
      </c>
      <c r="C436" s="46">
        <v>1937</v>
      </c>
      <c r="D436" s="46" t="s">
        <v>658</v>
      </c>
      <c r="E436" s="46" t="s">
        <v>1298</v>
      </c>
      <c r="F436" s="47" t="s">
        <v>1010</v>
      </c>
      <c r="G436" s="46"/>
      <c r="H436" s="47" t="s">
        <v>1011</v>
      </c>
      <c r="I436" s="47"/>
      <c r="J436" s="48">
        <v>13615</v>
      </c>
      <c r="K436" s="46" t="s">
        <v>793</v>
      </c>
      <c r="L436" s="46" t="s">
        <v>3</v>
      </c>
      <c r="M436" s="46" t="s">
        <v>1214</v>
      </c>
      <c r="N436" s="49">
        <v>2</v>
      </c>
      <c r="O436" s="49">
        <v>1</v>
      </c>
      <c r="P436" s="47" t="s">
        <v>1288</v>
      </c>
      <c r="Q436" s="47" t="s">
        <v>1096</v>
      </c>
      <c r="R436" s="47" t="s">
        <v>376</v>
      </c>
      <c r="S436" s="46"/>
      <c r="T436" s="46"/>
      <c r="U436" s="46"/>
      <c r="V436" s="46"/>
      <c r="W436" s="46"/>
      <c r="X436" s="46"/>
      <c r="Y436" s="46"/>
      <c r="Z436" s="46"/>
      <c r="AA436" s="46"/>
      <c r="AB436" s="46"/>
      <c r="AC436" s="46"/>
      <c r="AD436" s="46"/>
      <c r="AE436" s="50">
        <f>IF(L436="W",1,0)</f>
        <v>1</v>
      </c>
      <c r="AF436" s="50">
        <f>IF(L436="T",1,0)</f>
        <v>0</v>
      </c>
      <c r="AG436" s="50">
        <f>IF(L436="L",1,0)</f>
        <v>0</v>
      </c>
      <c r="AH436" s="46" t="s">
        <v>793</v>
      </c>
      <c r="AI436" s="46" t="s">
        <v>1164</v>
      </c>
      <c r="AJ436" s="46" t="s">
        <v>376</v>
      </c>
      <c r="AK436" s="46" t="s">
        <v>658</v>
      </c>
      <c r="AL436" s="46" t="s">
        <v>1017</v>
      </c>
      <c r="AM436" s="46" t="s">
        <v>1018</v>
      </c>
      <c r="AN436" s="46" t="s">
        <v>376</v>
      </c>
      <c r="AO436" s="46" t="s">
        <v>658</v>
      </c>
      <c r="AP436" s="46"/>
      <c r="AQ436" s="46">
        <v>2</v>
      </c>
      <c r="AR436" s="46"/>
      <c r="AS436" s="46"/>
      <c r="AT436" s="46"/>
      <c r="AU436" s="46" t="s">
        <v>376</v>
      </c>
      <c r="AV436" s="46"/>
      <c r="AW436" s="46" t="s">
        <v>30</v>
      </c>
      <c r="AX436" s="46"/>
      <c r="AY436" s="46" t="s">
        <v>30</v>
      </c>
      <c r="AZ436" s="46"/>
      <c r="BA436" s="47"/>
      <c r="BB436" s="51"/>
      <c r="BC436" s="46"/>
      <c r="BD436" s="46"/>
      <c r="BE436" s="46"/>
      <c r="BF436" s="46">
        <v>1</v>
      </c>
      <c r="BG436" s="46">
        <v>1</v>
      </c>
      <c r="BH436" s="46">
        <v>3</v>
      </c>
      <c r="BI436" s="46" t="s">
        <v>793</v>
      </c>
      <c r="BJ436" s="46" t="s">
        <v>1214</v>
      </c>
      <c r="BK436" s="46">
        <v>1937</v>
      </c>
      <c r="BL436" s="46" t="str">
        <f>BK436&amp;BI436</f>
        <v>1937Sunderland</v>
      </c>
      <c r="BM436" s="52" t="str">
        <f>IF(AD436="Home",BI436,IF(AD436="Away",BJ436,Q436))</f>
        <v>Kirklees</v>
      </c>
      <c r="BN436" s="46"/>
      <c r="BO436" s="46"/>
      <c r="BP436" s="46"/>
      <c r="BQ436" s="46"/>
      <c r="BR436" s="46"/>
      <c r="BS436" s="46"/>
      <c r="BT436" s="46"/>
      <c r="BU436" s="46"/>
      <c r="BV436" s="46" t="s">
        <v>376</v>
      </c>
      <c r="BW436" s="46" t="s">
        <v>376</v>
      </c>
      <c r="BX436" s="46"/>
      <c r="BZ436" s="53"/>
      <c r="CA436" s="53"/>
      <c r="CB436" s="93" t="str">
        <f>IF(OR(C436="",A436="",B436=""),"",TEXT(C436,"0000")&amp;TEXT(A436,"00")&amp;TEXT(B436,"00"))</f>
        <v>19370410</v>
      </c>
    </row>
    <row r="437" spans="1:80" s="52" customFormat="1" ht="12.95" customHeight="1" x14ac:dyDescent="0.2">
      <c r="A437" s="46">
        <v>4</v>
      </c>
      <c r="B437" s="46">
        <v>10</v>
      </c>
      <c r="C437" s="46">
        <v>1937</v>
      </c>
      <c r="D437" s="46" t="s">
        <v>658</v>
      </c>
      <c r="E437" s="46" t="s">
        <v>1298</v>
      </c>
      <c r="F437" s="47" t="s">
        <v>1010</v>
      </c>
      <c r="G437" s="46"/>
      <c r="H437" s="47" t="s">
        <v>1011</v>
      </c>
      <c r="I437" s="47"/>
      <c r="J437" s="48">
        <v>13615</v>
      </c>
      <c r="K437" s="46" t="s">
        <v>1214</v>
      </c>
      <c r="L437" s="46" t="s">
        <v>4</v>
      </c>
      <c r="M437" s="46" t="s">
        <v>793</v>
      </c>
      <c r="N437" s="49">
        <v>1</v>
      </c>
      <c r="O437" s="49">
        <v>2</v>
      </c>
      <c r="P437" s="47" t="s">
        <v>1288</v>
      </c>
      <c r="Q437" s="47" t="s">
        <v>1096</v>
      </c>
      <c r="R437" s="47" t="s">
        <v>376</v>
      </c>
      <c r="S437" s="46"/>
      <c r="T437" s="46"/>
      <c r="U437" s="46"/>
      <c r="V437" s="46"/>
      <c r="W437" s="46"/>
      <c r="X437" s="46"/>
      <c r="Y437" s="46"/>
      <c r="Z437" s="46"/>
      <c r="AA437" s="46"/>
      <c r="AB437" s="46"/>
      <c r="AC437" s="46"/>
      <c r="AD437" s="46"/>
      <c r="AE437" s="50">
        <f>IF(L437="W",1,0)</f>
        <v>0</v>
      </c>
      <c r="AF437" s="50">
        <f>IF(L437="T",1,0)</f>
        <v>0</v>
      </c>
      <c r="AG437" s="50">
        <f>IF(L437="L",1,0)</f>
        <v>1</v>
      </c>
      <c r="AH437" s="46" t="s">
        <v>1017</v>
      </c>
      <c r="AI437" s="46" t="s">
        <v>1018</v>
      </c>
      <c r="AJ437" s="46" t="s">
        <v>376</v>
      </c>
      <c r="AK437" s="46" t="s">
        <v>658</v>
      </c>
      <c r="AL437" s="46" t="s">
        <v>793</v>
      </c>
      <c r="AM437" s="46" t="s">
        <v>1164</v>
      </c>
      <c r="AN437" s="46" t="s">
        <v>376</v>
      </c>
      <c r="AO437" s="46" t="s">
        <v>658</v>
      </c>
      <c r="AP437" s="46"/>
      <c r="AQ437" s="46">
        <v>2</v>
      </c>
      <c r="AR437" s="46"/>
      <c r="AS437" s="46"/>
      <c r="AT437" s="46"/>
      <c r="AU437" s="46" t="s">
        <v>376</v>
      </c>
      <c r="AV437" s="46"/>
      <c r="AW437" s="46" t="s">
        <v>30</v>
      </c>
      <c r="AX437" s="46"/>
      <c r="AY437" s="46" t="s">
        <v>30</v>
      </c>
      <c r="AZ437" s="46"/>
      <c r="BA437" s="47"/>
      <c r="BB437" s="51"/>
      <c r="BC437" s="46"/>
      <c r="BD437" s="46"/>
      <c r="BE437" s="46"/>
      <c r="BF437" s="46">
        <v>1</v>
      </c>
      <c r="BG437" s="46">
        <v>3</v>
      </c>
      <c r="BH437" s="46">
        <v>1</v>
      </c>
      <c r="BI437" s="46" t="s">
        <v>1214</v>
      </c>
      <c r="BJ437" s="46" t="s">
        <v>793</v>
      </c>
      <c r="BK437" s="46">
        <v>1937</v>
      </c>
      <c r="BL437" s="46" t="str">
        <f>BK437&amp;BI437</f>
        <v>1937Millwall</v>
      </c>
      <c r="BM437" s="52" t="str">
        <f>IF(AD437="Home",BI437,IF(AD437="Away",BJ437,Q437))</f>
        <v>Kirklees</v>
      </c>
      <c r="BN437" s="46"/>
      <c r="BO437" s="46"/>
      <c r="BP437" s="46"/>
      <c r="BQ437" s="46"/>
      <c r="BR437" s="46"/>
      <c r="BS437" s="46"/>
      <c r="BT437" s="46"/>
      <c r="BU437" s="46"/>
      <c r="BV437" s="46" t="s">
        <v>376</v>
      </c>
      <c r="BW437" s="46" t="s">
        <v>376</v>
      </c>
      <c r="BX437" s="46"/>
      <c r="BZ437" s="53"/>
      <c r="CA437" s="53"/>
      <c r="CB437" s="93" t="str">
        <f>IF(OR(C437="",A437="",B437=""),"",TEXT(C437,"0000")&amp;TEXT(A437,"00")&amp;TEXT(B437,"00"))</f>
        <v>19370410</v>
      </c>
    </row>
    <row r="438" spans="1:80" s="52" customFormat="1" ht="12.95" customHeight="1" x14ac:dyDescent="0.2">
      <c r="A438" s="46">
        <v>5</v>
      </c>
      <c r="B438" s="46">
        <v>1</v>
      </c>
      <c r="C438" s="46">
        <v>1937</v>
      </c>
      <c r="D438" s="46" t="s">
        <v>658</v>
      </c>
      <c r="E438" s="46" t="s">
        <v>1298</v>
      </c>
      <c r="F438" s="47" t="s">
        <v>1010</v>
      </c>
      <c r="G438" s="46"/>
      <c r="H438" s="47" t="s">
        <v>1025</v>
      </c>
      <c r="I438" s="47"/>
      <c r="J438" s="48">
        <v>13636</v>
      </c>
      <c r="K438" s="46" t="s">
        <v>793</v>
      </c>
      <c r="L438" s="46" t="s">
        <v>3</v>
      </c>
      <c r="M438" s="46" t="s">
        <v>640</v>
      </c>
      <c r="N438" s="49">
        <v>3</v>
      </c>
      <c r="O438" s="49">
        <v>1</v>
      </c>
      <c r="P438" s="47" t="s">
        <v>1268</v>
      </c>
      <c r="Q438" s="47" t="s">
        <v>1017</v>
      </c>
      <c r="R438" s="47" t="s">
        <v>376</v>
      </c>
      <c r="S438" s="46"/>
      <c r="T438" s="46"/>
      <c r="U438" s="46"/>
      <c r="V438" s="46"/>
      <c r="W438" s="46"/>
      <c r="X438" s="46"/>
      <c r="Y438" s="46"/>
      <c r="Z438" s="46"/>
      <c r="AA438" s="46"/>
      <c r="AB438" s="46"/>
      <c r="AC438" s="46"/>
      <c r="AD438" s="46"/>
      <c r="AE438" s="50">
        <f>IF(L438="W",1,0)</f>
        <v>1</v>
      </c>
      <c r="AF438" s="50">
        <f>IF(L438="T",1,0)</f>
        <v>0</v>
      </c>
      <c r="AG438" s="50">
        <f>IF(L438="L",1,0)</f>
        <v>0</v>
      </c>
      <c r="AH438" s="46" t="s">
        <v>793</v>
      </c>
      <c r="AI438" s="46" t="s">
        <v>1164</v>
      </c>
      <c r="AJ438" s="46" t="s">
        <v>376</v>
      </c>
      <c r="AK438" s="46" t="s">
        <v>658</v>
      </c>
      <c r="AL438" s="46" t="s">
        <v>1136</v>
      </c>
      <c r="AM438" s="46" t="s">
        <v>1086</v>
      </c>
      <c r="AN438" s="46" t="s">
        <v>376</v>
      </c>
      <c r="AO438" s="46" t="s">
        <v>658</v>
      </c>
      <c r="AP438" s="46"/>
      <c r="AQ438" s="46">
        <v>1</v>
      </c>
      <c r="AR438" s="46"/>
      <c r="AS438" s="46"/>
      <c r="AT438" s="46"/>
      <c r="AU438" s="46" t="s">
        <v>376</v>
      </c>
      <c r="AV438" s="46"/>
      <c r="AW438" s="46" t="s">
        <v>30</v>
      </c>
      <c r="AX438" s="46"/>
      <c r="AY438" s="46" t="s">
        <v>30</v>
      </c>
      <c r="AZ438" s="46"/>
      <c r="BA438" s="47"/>
      <c r="BB438" s="51" t="s">
        <v>30</v>
      </c>
      <c r="BC438" s="46" t="s">
        <v>30</v>
      </c>
      <c r="BD438" s="46"/>
      <c r="BE438" s="46"/>
      <c r="BF438" s="46">
        <v>1</v>
      </c>
      <c r="BG438" s="46">
        <v>1</v>
      </c>
      <c r="BH438" s="46">
        <v>1</v>
      </c>
      <c r="BI438" s="46" t="s">
        <v>793</v>
      </c>
      <c r="BJ438" s="46" t="s">
        <v>640</v>
      </c>
      <c r="BK438" s="46">
        <v>1937</v>
      </c>
      <c r="BL438" s="46" t="str">
        <f>BK438&amp;BI438</f>
        <v>1937Sunderland</v>
      </c>
      <c r="BM438" s="52" t="str">
        <f>IF(AD438="Home",BI438,IF(AD438="Away",BJ438,Q438))</f>
        <v>London</v>
      </c>
      <c r="BN438" s="46"/>
      <c r="BO438" s="46"/>
      <c r="BP438" s="46"/>
      <c r="BQ438" s="46"/>
      <c r="BR438" s="46"/>
      <c r="BS438" s="46"/>
      <c r="BT438" s="46"/>
      <c r="BU438" s="46"/>
      <c r="BV438" s="46" t="s">
        <v>376</v>
      </c>
      <c r="BW438" s="46" t="s">
        <v>376</v>
      </c>
      <c r="BX438" s="46"/>
      <c r="BZ438" s="53"/>
      <c r="CA438" s="53"/>
      <c r="CB438" s="93" t="str">
        <f>IF(OR(C438="",A438="",B438=""),"",TEXT(C438,"0000")&amp;TEXT(A438,"00")&amp;TEXT(B438,"00"))</f>
        <v>19370501</v>
      </c>
    </row>
    <row r="439" spans="1:80" s="52" customFormat="1" ht="12.95" customHeight="1" x14ac:dyDescent="0.2">
      <c r="A439" s="46">
        <v>5</v>
      </c>
      <c r="B439" s="46">
        <v>1</v>
      </c>
      <c r="C439" s="46">
        <v>1937</v>
      </c>
      <c r="D439" s="46" t="s">
        <v>658</v>
      </c>
      <c r="E439" s="46" t="s">
        <v>1298</v>
      </c>
      <c r="F439" s="47" t="s">
        <v>1010</v>
      </c>
      <c r="G439" s="46"/>
      <c r="H439" s="47" t="s">
        <v>1025</v>
      </c>
      <c r="I439" s="47"/>
      <c r="J439" s="48">
        <v>13636</v>
      </c>
      <c r="K439" s="46" t="s">
        <v>640</v>
      </c>
      <c r="L439" s="46" t="s">
        <v>4</v>
      </c>
      <c r="M439" s="46" t="s">
        <v>793</v>
      </c>
      <c r="N439" s="49">
        <v>1</v>
      </c>
      <c r="O439" s="49">
        <v>3</v>
      </c>
      <c r="P439" s="47" t="s">
        <v>1268</v>
      </c>
      <c r="Q439" s="47" t="s">
        <v>1017</v>
      </c>
      <c r="R439" s="47" t="s">
        <v>376</v>
      </c>
      <c r="S439" s="46"/>
      <c r="T439" s="46"/>
      <c r="U439" s="46"/>
      <c r="V439" s="46"/>
      <c r="W439" s="46"/>
      <c r="X439" s="46"/>
      <c r="Y439" s="46"/>
      <c r="Z439" s="46"/>
      <c r="AA439" s="46"/>
      <c r="AB439" s="46"/>
      <c r="AC439" s="46"/>
      <c r="AD439" s="46"/>
      <c r="AE439" s="50">
        <f>IF(L439="W",1,0)</f>
        <v>0</v>
      </c>
      <c r="AF439" s="50">
        <f>IF(L439="T",1,0)</f>
        <v>0</v>
      </c>
      <c r="AG439" s="50">
        <f>IF(L439="L",1,0)</f>
        <v>1</v>
      </c>
      <c r="AH439" s="46" t="s">
        <v>1136</v>
      </c>
      <c r="AI439" s="46" t="s">
        <v>1086</v>
      </c>
      <c r="AJ439" s="46" t="s">
        <v>376</v>
      </c>
      <c r="AK439" s="46" t="s">
        <v>658</v>
      </c>
      <c r="AL439" s="46" t="s">
        <v>793</v>
      </c>
      <c r="AM439" s="46" t="s">
        <v>1164</v>
      </c>
      <c r="AN439" s="46" t="s">
        <v>376</v>
      </c>
      <c r="AO439" s="46" t="s">
        <v>658</v>
      </c>
      <c r="AP439" s="46"/>
      <c r="AQ439" s="46">
        <v>1</v>
      </c>
      <c r="AR439" s="46"/>
      <c r="AS439" s="46"/>
      <c r="AT439" s="46"/>
      <c r="AU439" s="46" t="s">
        <v>376</v>
      </c>
      <c r="AV439" s="46"/>
      <c r="AW439" s="46" t="s">
        <v>30</v>
      </c>
      <c r="AX439" s="46"/>
      <c r="AY439" s="46" t="s">
        <v>30</v>
      </c>
      <c r="AZ439" s="46"/>
      <c r="BA439" s="47"/>
      <c r="BB439" s="51"/>
      <c r="BC439" s="46" t="s">
        <v>30</v>
      </c>
      <c r="BD439" s="46"/>
      <c r="BE439" s="46"/>
      <c r="BF439" s="46">
        <v>1</v>
      </c>
      <c r="BG439" s="46">
        <v>1</v>
      </c>
      <c r="BH439" s="46">
        <v>1</v>
      </c>
      <c r="BI439" s="46" t="s">
        <v>640</v>
      </c>
      <c r="BJ439" s="46" t="s">
        <v>793</v>
      </c>
      <c r="BK439" s="46">
        <v>1937</v>
      </c>
      <c r="BL439" s="46" t="str">
        <f>BK439&amp;BI439</f>
        <v>1937Preston North End</v>
      </c>
      <c r="BM439" s="52" t="str">
        <f>IF(AD439="Home",BI439,IF(AD439="Away",BJ439,Q439))</f>
        <v>London</v>
      </c>
      <c r="BN439" s="46"/>
      <c r="BO439" s="46"/>
      <c r="BP439" s="46"/>
      <c r="BQ439" s="46"/>
      <c r="BR439" s="46"/>
      <c r="BS439" s="46"/>
      <c r="BT439" s="46"/>
      <c r="BU439" s="46"/>
      <c r="BV439" s="46" t="s">
        <v>376</v>
      </c>
      <c r="BW439" s="46" t="s">
        <v>376</v>
      </c>
      <c r="BX439" s="46"/>
      <c r="BZ439" s="53"/>
      <c r="CA439" s="53"/>
      <c r="CB439" s="93" t="str">
        <f>IF(OR(C439="",A439="",B439=""),"",TEXT(C439,"0000")&amp;TEXT(A439,"00")&amp;TEXT(B439,"00"))</f>
        <v>19370501</v>
      </c>
    </row>
    <row r="440" spans="1:80" s="52" customFormat="1" ht="12.95" customHeight="1" x14ac:dyDescent="0.2">
      <c r="A440" s="46">
        <v>3</v>
      </c>
      <c r="B440" s="46">
        <v>26</v>
      </c>
      <c r="C440" s="46">
        <v>1938</v>
      </c>
      <c r="D440" s="46" t="s">
        <v>658</v>
      </c>
      <c r="E440" s="46" t="s">
        <v>1299</v>
      </c>
      <c r="F440" s="47" t="s">
        <v>1010</v>
      </c>
      <c r="G440" s="46"/>
      <c r="H440" s="47" t="s">
        <v>1011</v>
      </c>
      <c r="I440" s="47"/>
      <c r="J440" s="48">
        <v>13965</v>
      </c>
      <c r="K440" s="46" t="s">
        <v>640</v>
      </c>
      <c r="L440" s="46" t="s">
        <v>3</v>
      </c>
      <c r="M440" s="46" t="s">
        <v>806</v>
      </c>
      <c r="N440" s="49">
        <v>2</v>
      </c>
      <c r="O440" s="49">
        <v>1</v>
      </c>
      <c r="P440" s="47" t="s">
        <v>1163</v>
      </c>
      <c r="Q440" s="47" t="s">
        <v>1097</v>
      </c>
      <c r="R440" s="47" t="s">
        <v>376</v>
      </c>
      <c r="S440" s="46"/>
      <c r="T440" s="46"/>
      <c r="U440" s="46"/>
      <c r="V440" s="46"/>
      <c r="W440" s="46"/>
      <c r="X440" s="46"/>
      <c r="Y440" s="46"/>
      <c r="Z440" s="46"/>
      <c r="AA440" s="46"/>
      <c r="AB440" s="46"/>
      <c r="AC440" s="46"/>
      <c r="AD440" s="46"/>
      <c r="AE440" s="50">
        <f>IF(L440="W",1,0)</f>
        <v>1</v>
      </c>
      <c r="AF440" s="50">
        <f>IF(L440="T",1,0)</f>
        <v>0</v>
      </c>
      <c r="AG440" s="50">
        <f>IF(L440="L",1,0)</f>
        <v>0</v>
      </c>
      <c r="AH440" s="46" t="s">
        <v>1136</v>
      </c>
      <c r="AI440" s="46" t="s">
        <v>1086</v>
      </c>
      <c r="AJ440" s="46" t="s">
        <v>376</v>
      </c>
      <c r="AK440" s="46" t="s">
        <v>658</v>
      </c>
      <c r="AL440" s="46" t="s">
        <v>1111</v>
      </c>
      <c r="AM440" s="46" t="s">
        <v>1126</v>
      </c>
      <c r="AN440" s="46" t="s">
        <v>376</v>
      </c>
      <c r="AO440" s="46" t="s">
        <v>658</v>
      </c>
      <c r="AP440" s="46"/>
      <c r="AQ440" s="46">
        <v>2</v>
      </c>
      <c r="AR440" s="46"/>
      <c r="AS440" s="46"/>
      <c r="AT440" s="46"/>
      <c r="AU440" s="46" t="s">
        <v>376</v>
      </c>
      <c r="AV440" s="46"/>
      <c r="AW440" s="46" t="s">
        <v>30</v>
      </c>
      <c r="AX440" s="46"/>
      <c r="AY440" s="46" t="s">
        <v>30</v>
      </c>
      <c r="AZ440" s="46"/>
      <c r="BA440" s="47"/>
      <c r="BB440" s="51"/>
      <c r="BC440" s="46"/>
      <c r="BD440" s="46"/>
      <c r="BE440" s="46"/>
      <c r="BF440" s="46">
        <v>1</v>
      </c>
      <c r="BG440" s="46">
        <v>1</v>
      </c>
      <c r="BH440" s="46">
        <v>2</v>
      </c>
      <c r="BI440" s="46" t="s">
        <v>640</v>
      </c>
      <c r="BJ440" s="46" t="s">
        <v>806</v>
      </c>
      <c r="BK440" s="46">
        <v>1938</v>
      </c>
      <c r="BL440" s="46" t="str">
        <f>BK440&amp;BI440</f>
        <v>1938Preston North End</v>
      </c>
      <c r="BM440" s="52" t="str">
        <f>IF(AD440="Home",BI440,IF(AD440="Away",BJ440,Q440))</f>
        <v>Sheffield</v>
      </c>
      <c r="BN440" s="46"/>
      <c r="BO440" s="46"/>
      <c r="BP440" s="46"/>
      <c r="BQ440" s="46"/>
      <c r="BR440" s="46"/>
      <c r="BS440" s="46"/>
      <c r="BT440" s="46"/>
      <c r="BU440" s="46"/>
      <c r="BV440" s="46" t="s">
        <v>376</v>
      </c>
      <c r="BW440" s="46" t="s">
        <v>376</v>
      </c>
      <c r="BX440" s="46"/>
      <c r="BY440" s="50"/>
      <c r="BZ440" s="53"/>
      <c r="CA440" s="53"/>
      <c r="CB440" s="93" t="str">
        <f>IF(OR(C440="",A440="",B440=""),"",TEXT(C440,"0000")&amp;TEXT(A440,"00")&amp;TEXT(B440,"00"))</f>
        <v>19380326</v>
      </c>
    </row>
    <row r="441" spans="1:80" s="52" customFormat="1" ht="12.95" customHeight="1" x14ac:dyDescent="0.2">
      <c r="A441" s="46">
        <v>3</v>
      </c>
      <c r="B441" s="46">
        <v>26</v>
      </c>
      <c r="C441" s="46">
        <v>1938</v>
      </c>
      <c r="D441" s="46" t="s">
        <v>658</v>
      </c>
      <c r="E441" s="46" t="s">
        <v>1299</v>
      </c>
      <c r="F441" s="47" t="s">
        <v>1010</v>
      </c>
      <c r="G441" s="46"/>
      <c r="H441" s="47" t="s">
        <v>1011</v>
      </c>
      <c r="I441" s="47"/>
      <c r="J441" s="48">
        <v>13965</v>
      </c>
      <c r="K441" s="46" t="s">
        <v>806</v>
      </c>
      <c r="L441" s="46" t="s">
        <v>4</v>
      </c>
      <c r="M441" s="46" t="s">
        <v>640</v>
      </c>
      <c r="N441" s="49">
        <v>1</v>
      </c>
      <c r="O441" s="49">
        <v>2</v>
      </c>
      <c r="P441" s="47" t="s">
        <v>1163</v>
      </c>
      <c r="Q441" s="47" t="s">
        <v>1097</v>
      </c>
      <c r="R441" s="47" t="s">
        <v>376</v>
      </c>
      <c r="S441" s="46"/>
      <c r="T441" s="46"/>
      <c r="U441" s="46"/>
      <c r="V441" s="46"/>
      <c r="W441" s="46"/>
      <c r="X441" s="46"/>
      <c r="Y441" s="46"/>
      <c r="Z441" s="46"/>
      <c r="AA441" s="46"/>
      <c r="AB441" s="46"/>
      <c r="AC441" s="46"/>
      <c r="AD441" s="46"/>
      <c r="AE441" s="50">
        <f>IF(L441="W",1,0)</f>
        <v>0</v>
      </c>
      <c r="AF441" s="50">
        <f>IF(L441="T",1,0)</f>
        <v>0</v>
      </c>
      <c r="AG441" s="50">
        <f>IF(L441="L",1,0)</f>
        <v>1</v>
      </c>
      <c r="AH441" s="46" t="s">
        <v>1111</v>
      </c>
      <c r="AI441" s="46" t="s">
        <v>1126</v>
      </c>
      <c r="AJ441" s="46" t="s">
        <v>376</v>
      </c>
      <c r="AK441" s="46" t="s">
        <v>658</v>
      </c>
      <c r="AL441" s="46" t="s">
        <v>1136</v>
      </c>
      <c r="AM441" s="46" t="s">
        <v>1086</v>
      </c>
      <c r="AN441" s="46" t="s">
        <v>376</v>
      </c>
      <c r="AO441" s="46" t="s">
        <v>658</v>
      </c>
      <c r="AP441" s="46"/>
      <c r="AQ441" s="46">
        <v>2</v>
      </c>
      <c r="AR441" s="46"/>
      <c r="AS441" s="46"/>
      <c r="AT441" s="46"/>
      <c r="AU441" s="46" t="s">
        <v>376</v>
      </c>
      <c r="AV441" s="46"/>
      <c r="AW441" s="46" t="s">
        <v>30</v>
      </c>
      <c r="AX441" s="46"/>
      <c r="AY441" s="46" t="s">
        <v>30</v>
      </c>
      <c r="AZ441" s="46"/>
      <c r="BA441" s="47"/>
      <c r="BB441" s="51"/>
      <c r="BC441" s="46"/>
      <c r="BD441" s="46"/>
      <c r="BE441" s="46"/>
      <c r="BF441" s="46">
        <v>1</v>
      </c>
      <c r="BG441" s="46">
        <v>2</v>
      </c>
      <c r="BH441" s="46">
        <v>1</v>
      </c>
      <c r="BI441" s="46" t="s">
        <v>806</v>
      </c>
      <c r="BJ441" s="46" t="s">
        <v>640</v>
      </c>
      <c r="BK441" s="46">
        <v>1938</v>
      </c>
      <c r="BL441" s="46" t="str">
        <f>BK441&amp;BI441</f>
        <v>1938Aston Villa</v>
      </c>
      <c r="BM441" s="52" t="str">
        <f>IF(AD441="Home",BI441,IF(AD441="Away",BJ441,Q441))</f>
        <v>Sheffield</v>
      </c>
      <c r="BN441" s="46"/>
      <c r="BO441" s="46"/>
      <c r="BP441" s="46"/>
      <c r="BQ441" s="46"/>
      <c r="BR441" s="46"/>
      <c r="BS441" s="46"/>
      <c r="BT441" s="46"/>
      <c r="BU441" s="46"/>
      <c r="BV441" s="46" t="s">
        <v>376</v>
      </c>
      <c r="BW441" s="46" t="s">
        <v>376</v>
      </c>
      <c r="BX441" s="46"/>
      <c r="BY441" s="50"/>
      <c r="BZ441" s="53"/>
      <c r="CA441" s="53"/>
      <c r="CB441" s="93" t="str">
        <f>IF(OR(C441="",A441="",B441=""),"",TEXT(C441,"0000")&amp;TEXT(A441,"00")&amp;TEXT(B441,"00"))</f>
        <v>19380326</v>
      </c>
    </row>
    <row r="442" spans="1:80" s="52" customFormat="1" ht="12.95" customHeight="1" x14ac:dyDescent="0.2">
      <c r="A442" s="46">
        <v>3</v>
      </c>
      <c r="B442" s="46">
        <v>26</v>
      </c>
      <c r="C442" s="46">
        <v>1938</v>
      </c>
      <c r="D442" s="46" t="s">
        <v>658</v>
      </c>
      <c r="E442" s="46" t="s">
        <v>1299</v>
      </c>
      <c r="F442" s="47" t="s">
        <v>1010</v>
      </c>
      <c r="G442" s="46"/>
      <c r="H442" s="47" t="s">
        <v>1011</v>
      </c>
      <c r="I442" s="47"/>
      <c r="J442" s="48">
        <v>13965</v>
      </c>
      <c r="K442" s="46" t="s">
        <v>1259</v>
      </c>
      <c r="L442" s="46" t="s">
        <v>3</v>
      </c>
      <c r="M442" s="46" t="s">
        <v>793</v>
      </c>
      <c r="N442" s="49">
        <v>3</v>
      </c>
      <c r="O442" s="49">
        <v>1</v>
      </c>
      <c r="P442" s="47" t="s">
        <v>1178</v>
      </c>
      <c r="Q442" s="47" t="s">
        <v>1085</v>
      </c>
      <c r="R442" s="47" t="s">
        <v>376</v>
      </c>
      <c r="S442" s="46"/>
      <c r="T442" s="46"/>
      <c r="U442" s="46"/>
      <c r="V442" s="46"/>
      <c r="W442" s="46"/>
      <c r="X442" s="46"/>
      <c r="Y442" s="46"/>
      <c r="Z442" s="46"/>
      <c r="AA442" s="46"/>
      <c r="AB442" s="46"/>
      <c r="AC442" s="46"/>
      <c r="AD442" s="46"/>
      <c r="AE442" s="50">
        <f>IF(L442="W",1,0)</f>
        <v>1</v>
      </c>
      <c r="AF442" s="50">
        <f>IF(L442="T",1,0)</f>
        <v>0</v>
      </c>
      <c r="AG442" s="50">
        <f>IF(L442="L",1,0)</f>
        <v>0</v>
      </c>
      <c r="AH442" s="46" t="s">
        <v>1096</v>
      </c>
      <c r="AI442" s="46" t="s">
        <v>1260</v>
      </c>
      <c r="AJ442" s="46" t="s">
        <v>376</v>
      </c>
      <c r="AK442" s="46" t="s">
        <v>658</v>
      </c>
      <c r="AL442" s="46" t="s">
        <v>793</v>
      </c>
      <c r="AM442" s="46" t="s">
        <v>1164</v>
      </c>
      <c r="AN442" s="46" t="s">
        <v>376</v>
      </c>
      <c r="AO442" s="46" t="s">
        <v>658</v>
      </c>
      <c r="AP442" s="46"/>
      <c r="AQ442" s="46">
        <v>2</v>
      </c>
      <c r="AR442" s="46"/>
      <c r="AS442" s="46"/>
      <c r="AT442" s="46"/>
      <c r="AU442" s="46" t="s">
        <v>376</v>
      </c>
      <c r="AV442" s="46"/>
      <c r="AW442" s="46" t="s">
        <v>30</v>
      </c>
      <c r="AX442" s="46"/>
      <c r="AY442" s="46" t="s">
        <v>30</v>
      </c>
      <c r="AZ442" s="46"/>
      <c r="BA442" s="47"/>
      <c r="BB442" s="51"/>
      <c r="BC442" s="46"/>
      <c r="BD442" s="46"/>
      <c r="BE442" s="46"/>
      <c r="BF442" s="46">
        <v>1</v>
      </c>
      <c r="BG442" s="46">
        <v>1</v>
      </c>
      <c r="BH442" s="46">
        <v>1</v>
      </c>
      <c r="BI442" s="46" t="s">
        <v>1259</v>
      </c>
      <c r="BJ442" s="46" t="s">
        <v>793</v>
      </c>
      <c r="BK442" s="46">
        <v>1938</v>
      </c>
      <c r="BL442" s="46" t="str">
        <f>BK442&amp;BI442</f>
        <v>1938Huddersfield Town</v>
      </c>
      <c r="BM442" s="52" t="str">
        <f>IF(AD442="Home",BI442,IF(AD442="Away",BJ442,Q442))</f>
        <v>Blackburn</v>
      </c>
      <c r="BN442" s="46"/>
      <c r="BO442" s="46"/>
      <c r="BP442" s="46"/>
      <c r="BQ442" s="46"/>
      <c r="BR442" s="46"/>
      <c r="BS442" s="46"/>
      <c r="BT442" s="46"/>
      <c r="BU442" s="46"/>
      <c r="BV442" s="46" t="s">
        <v>376</v>
      </c>
      <c r="BW442" s="46" t="s">
        <v>376</v>
      </c>
      <c r="BX442" s="46"/>
      <c r="BZ442" s="53"/>
      <c r="CA442" s="53"/>
      <c r="CB442" s="93" t="str">
        <f>IF(OR(C442="",A442="",B442=""),"",TEXT(C442,"0000")&amp;TEXT(A442,"00")&amp;TEXT(B442,"00"))</f>
        <v>19380326</v>
      </c>
    </row>
    <row r="443" spans="1:80" s="52" customFormat="1" ht="12.95" customHeight="1" x14ac:dyDescent="0.2">
      <c r="A443" s="46">
        <v>3</v>
      </c>
      <c r="B443" s="46">
        <v>26</v>
      </c>
      <c r="C443" s="46">
        <v>1938</v>
      </c>
      <c r="D443" s="46" t="s">
        <v>658</v>
      </c>
      <c r="E443" s="46" t="s">
        <v>1299</v>
      </c>
      <c r="F443" s="47" t="s">
        <v>1010</v>
      </c>
      <c r="G443" s="46"/>
      <c r="H443" s="47" t="s">
        <v>1011</v>
      </c>
      <c r="I443" s="47"/>
      <c r="J443" s="48">
        <v>13965</v>
      </c>
      <c r="K443" s="46" t="s">
        <v>793</v>
      </c>
      <c r="L443" s="46" t="s">
        <v>4</v>
      </c>
      <c r="M443" s="46" t="s">
        <v>1259</v>
      </c>
      <c r="N443" s="49">
        <v>1</v>
      </c>
      <c r="O443" s="49">
        <v>3</v>
      </c>
      <c r="P443" s="47" t="s">
        <v>1178</v>
      </c>
      <c r="Q443" s="47" t="s">
        <v>1085</v>
      </c>
      <c r="R443" s="47" t="s">
        <v>376</v>
      </c>
      <c r="S443" s="46"/>
      <c r="T443" s="46"/>
      <c r="U443" s="46"/>
      <c r="V443" s="46"/>
      <c r="W443" s="46"/>
      <c r="X443" s="46"/>
      <c r="Y443" s="46"/>
      <c r="Z443" s="46"/>
      <c r="AA443" s="46"/>
      <c r="AB443" s="46"/>
      <c r="AC443" s="46"/>
      <c r="AD443" s="46"/>
      <c r="AE443" s="50">
        <f>IF(L443="W",1,0)</f>
        <v>0</v>
      </c>
      <c r="AF443" s="50">
        <f>IF(L443="T",1,0)</f>
        <v>0</v>
      </c>
      <c r="AG443" s="50">
        <f>IF(L443="L",1,0)</f>
        <v>1</v>
      </c>
      <c r="AH443" s="46" t="s">
        <v>793</v>
      </c>
      <c r="AI443" s="46" t="s">
        <v>1164</v>
      </c>
      <c r="AJ443" s="46" t="s">
        <v>376</v>
      </c>
      <c r="AK443" s="46" t="s">
        <v>658</v>
      </c>
      <c r="AL443" s="46" t="s">
        <v>1096</v>
      </c>
      <c r="AM443" s="46" t="s">
        <v>1260</v>
      </c>
      <c r="AN443" s="46" t="s">
        <v>376</v>
      </c>
      <c r="AO443" s="46" t="s">
        <v>658</v>
      </c>
      <c r="AP443" s="46"/>
      <c r="AQ443" s="46">
        <v>2</v>
      </c>
      <c r="AR443" s="46"/>
      <c r="AS443" s="46"/>
      <c r="AT443" s="46"/>
      <c r="AU443" s="46" t="s">
        <v>376</v>
      </c>
      <c r="AV443" s="46"/>
      <c r="AW443" s="46" t="s">
        <v>30</v>
      </c>
      <c r="AX443" s="46"/>
      <c r="AY443" s="46" t="s">
        <v>30</v>
      </c>
      <c r="AZ443" s="46"/>
      <c r="BA443" s="47"/>
      <c r="BB443" s="51"/>
      <c r="BC443" s="46"/>
      <c r="BD443" s="46"/>
      <c r="BE443" s="46"/>
      <c r="BF443" s="46">
        <v>1</v>
      </c>
      <c r="BG443" s="46">
        <v>1</v>
      </c>
      <c r="BH443" s="46">
        <v>1</v>
      </c>
      <c r="BI443" s="46" t="s">
        <v>793</v>
      </c>
      <c r="BJ443" s="46" t="s">
        <v>1259</v>
      </c>
      <c r="BK443" s="46">
        <v>1938</v>
      </c>
      <c r="BL443" s="46" t="str">
        <f>BK443&amp;BI443</f>
        <v>1938Sunderland</v>
      </c>
      <c r="BM443" s="52" t="str">
        <f>IF(AD443="Home",BI443,IF(AD443="Away",BJ443,Q443))</f>
        <v>Blackburn</v>
      </c>
      <c r="BN443" s="46"/>
      <c r="BO443" s="46"/>
      <c r="BP443" s="46"/>
      <c r="BQ443" s="46"/>
      <c r="BR443" s="46"/>
      <c r="BS443" s="46"/>
      <c r="BT443" s="46"/>
      <c r="BU443" s="46"/>
      <c r="BV443" s="46" t="s">
        <v>376</v>
      </c>
      <c r="BW443" s="46" t="s">
        <v>376</v>
      </c>
      <c r="BX443" s="46"/>
      <c r="BZ443" s="53"/>
      <c r="CA443" s="53"/>
      <c r="CB443" s="93" t="str">
        <f>IF(OR(C443="",A443="",B443=""),"",TEXT(C443,"0000")&amp;TEXT(A443,"00")&amp;TEXT(B443,"00"))</f>
        <v>19380326</v>
      </c>
    </row>
    <row r="444" spans="1:80" s="52" customFormat="1" ht="12.95" customHeight="1" x14ac:dyDescent="0.2">
      <c r="A444" s="46">
        <v>4</v>
      </c>
      <c r="B444" s="46">
        <v>30</v>
      </c>
      <c r="C444" s="46">
        <v>1938</v>
      </c>
      <c r="D444" s="46" t="s">
        <v>658</v>
      </c>
      <c r="E444" s="46" t="s">
        <v>1299</v>
      </c>
      <c r="F444" s="47" t="s">
        <v>1010</v>
      </c>
      <c r="G444" s="46"/>
      <c r="H444" s="47" t="s">
        <v>1025</v>
      </c>
      <c r="I444" s="47"/>
      <c r="J444" s="48">
        <v>14000</v>
      </c>
      <c r="K444" s="46" t="s">
        <v>640</v>
      </c>
      <c r="L444" s="46" t="s">
        <v>3</v>
      </c>
      <c r="M444" s="46" t="s">
        <v>1259</v>
      </c>
      <c r="N444" s="49">
        <v>1</v>
      </c>
      <c r="O444" s="49">
        <v>0</v>
      </c>
      <c r="P444" s="47" t="s">
        <v>1268</v>
      </c>
      <c r="Q444" s="47" t="s">
        <v>1017</v>
      </c>
      <c r="R444" s="47" t="s">
        <v>376</v>
      </c>
      <c r="S444" s="46"/>
      <c r="T444" s="46"/>
      <c r="U444" s="46"/>
      <c r="V444" s="46"/>
      <c r="W444" s="46"/>
      <c r="X444" s="46"/>
      <c r="Y444" s="46"/>
      <c r="Z444" s="46"/>
      <c r="AA444" s="46"/>
      <c r="AB444" s="46"/>
      <c r="AC444" s="46"/>
      <c r="AD444" s="46"/>
      <c r="AE444" s="50">
        <f>IF(L444="W",1,0)</f>
        <v>1</v>
      </c>
      <c r="AF444" s="50">
        <f>IF(L444="T",1,0)</f>
        <v>0</v>
      </c>
      <c r="AG444" s="50">
        <f>IF(L444="L",1,0)</f>
        <v>0</v>
      </c>
      <c r="AH444" s="46" t="s">
        <v>1136</v>
      </c>
      <c r="AI444" s="46" t="s">
        <v>1086</v>
      </c>
      <c r="AJ444" s="46" t="s">
        <v>376</v>
      </c>
      <c r="AK444" s="46" t="s">
        <v>658</v>
      </c>
      <c r="AL444" s="46" t="s">
        <v>1096</v>
      </c>
      <c r="AM444" s="46" t="s">
        <v>1260</v>
      </c>
      <c r="AN444" s="46" t="s">
        <v>376</v>
      </c>
      <c r="AO444" s="46" t="s">
        <v>658</v>
      </c>
      <c r="AP444" s="46"/>
      <c r="AQ444" s="46">
        <v>1</v>
      </c>
      <c r="AR444" s="46"/>
      <c r="AS444" s="46"/>
      <c r="AT444" s="46"/>
      <c r="AU444" s="46" t="s">
        <v>376</v>
      </c>
      <c r="AV444" s="46"/>
      <c r="AW444" s="46" t="s">
        <v>30</v>
      </c>
      <c r="AX444" s="46"/>
      <c r="AY444" s="46" t="s">
        <v>30</v>
      </c>
      <c r="AZ444" s="46"/>
      <c r="BA444" s="47"/>
      <c r="BB444" s="51" t="s">
        <v>30</v>
      </c>
      <c r="BC444" s="46" t="s">
        <v>30</v>
      </c>
      <c r="BD444" s="46"/>
      <c r="BE444" s="46"/>
      <c r="BF444" s="46">
        <v>1</v>
      </c>
      <c r="BG444" s="46">
        <v>1</v>
      </c>
      <c r="BH444" s="46">
        <v>1</v>
      </c>
      <c r="BI444" s="46" t="s">
        <v>640</v>
      </c>
      <c r="BJ444" s="46" t="s">
        <v>1259</v>
      </c>
      <c r="BK444" s="46">
        <v>1938</v>
      </c>
      <c r="BL444" s="46" t="str">
        <f>BK444&amp;BI444</f>
        <v>1938Preston North End</v>
      </c>
      <c r="BM444" s="52" t="str">
        <f>IF(AD444="Home",BI444,IF(AD444="Away",BJ444,Q444))</f>
        <v>London</v>
      </c>
      <c r="BN444" s="46"/>
      <c r="BO444" s="46"/>
      <c r="BP444" s="46"/>
      <c r="BQ444" s="46"/>
      <c r="BR444" s="46"/>
      <c r="BS444" s="46"/>
      <c r="BT444" s="46"/>
      <c r="BU444" s="46"/>
      <c r="BV444" s="46" t="s">
        <v>376</v>
      </c>
      <c r="BW444" s="46" t="s">
        <v>376</v>
      </c>
      <c r="BX444" s="46"/>
      <c r="BZ444" s="53"/>
      <c r="CA444" s="53"/>
      <c r="CB444" s="93" t="str">
        <f>IF(OR(C444="",A444="",B444=""),"",TEXT(C444,"0000")&amp;TEXT(A444,"00")&amp;TEXT(B444,"00"))</f>
        <v>19380430</v>
      </c>
    </row>
    <row r="445" spans="1:80" s="52" customFormat="1" ht="12.95" customHeight="1" x14ac:dyDescent="0.2">
      <c r="A445" s="46">
        <v>4</v>
      </c>
      <c r="B445" s="46">
        <v>30</v>
      </c>
      <c r="C445" s="46">
        <v>1938</v>
      </c>
      <c r="D445" s="46" t="s">
        <v>658</v>
      </c>
      <c r="E445" s="46" t="s">
        <v>1299</v>
      </c>
      <c r="F445" s="47" t="s">
        <v>1010</v>
      </c>
      <c r="G445" s="46"/>
      <c r="H445" s="47" t="s">
        <v>1025</v>
      </c>
      <c r="I445" s="47"/>
      <c r="J445" s="48">
        <v>14000</v>
      </c>
      <c r="K445" s="46" t="s">
        <v>1259</v>
      </c>
      <c r="L445" s="46" t="s">
        <v>4</v>
      </c>
      <c r="M445" s="46" t="s">
        <v>640</v>
      </c>
      <c r="N445" s="49">
        <v>0</v>
      </c>
      <c r="O445" s="49">
        <v>1</v>
      </c>
      <c r="P445" s="47" t="s">
        <v>1268</v>
      </c>
      <c r="Q445" s="47" t="s">
        <v>1017</v>
      </c>
      <c r="R445" s="47" t="s">
        <v>376</v>
      </c>
      <c r="S445" s="46"/>
      <c r="T445" s="46"/>
      <c r="U445" s="46"/>
      <c r="V445" s="46"/>
      <c r="W445" s="46"/>
      <c r="X445" s="46"/>
      <c r="Y445" s="46"/>
      <c r="Z445" s="46"/>
      <c r="AA445" s="46"/>
      <c r="AB445" s="46"/>
      <c r="AC445" s="46"/>
      <c r="AD445" s="46"/>
      <c r="AE445" s="50">
        <f>IF(L445="W",1,0)</f>
        <v>0</v>
      </c>
      <c r="AF445" s="50">
        <f>IF(L445="T",1,0)</f>
        <v>0</v>
      </c>
      <c r="AG445" s="50">
        <f>IF(L445="L",1,0)</f>
        <v>1</v>
      </c>
      <c r="AH445" s="46" t="s">
        <v>1096</v>
      </c>
      <c r="AI445" s="46" t="s">
        <v>1260</v>
      </c>
      <c r="AJ445" s="46" t="s">
        <v>376</v>
      </c>
      <c r="AK445" s="46" t="s">
        <v>658</v>
      </c>
      <c r="AL445" s="46" t="s">
        <v>1136</v>
      </c>
      <c r="AM445" s="46" t="s">
        <v>1086</v>
      </c>
      <c r="AN445" s="46" t="s">
        <v>376</v>
      </c>
      <c r="AO445" s="46" t="s">
        <v>658</v>
      </c>
      <c r="AP445" s="46"/>
      <c r="AQ445" s="46">
        <v>1</v>
      </c>
      <c r="AR445" s="46"/>
      <c r="AS445" s="46"/>
      <c r="AT445" s="46"/>
      <c r="AU445" s="46" t="s">
        <v>376</v>
      </c>
      <c r="AV445" s="46"/>
      <c r="AW445" s="46" t="s">
        <v>30</v>
      </c>
      <c r="AX445" s="46"/>
      <c r="AY445" s="46" t="s">
        <v>30</v>
      </c>
      <c r="AZ445" s="46"/>
      <c r="BA445" s="47"/>
      <c r="BB445" s="51"/>
      <c r="BC445" s="46" t="s">
        <v>30</v>
      </c>
      <c r="BD445" s="46"/>
      <c r="BE445" s="46"/>
      <c r="BF445" s="46">
        <v>1</v>
      </c>
      <c r="BG445" s="46">
        <v>1</v>
      </c>
      <c r="BH445" s="46">
        <v>1</v>
      </c>
      <c r="BI445" s="46" t="s">
        <v>1259</v>
      </c>
      <c r="BJ445" s="46" t="s">
        <v>640</v>
      </c>
      <c r="BK445" s="46">
        <v>1938</v>
      </c>
      <c r="BL445" s="46" t="str">
        <f>BK445&amp;BI445</f>
        <v>1938Huddersfield Town</v>
      </c>
      <c r="BM445" s="52" t="str">
        <f>IF(AD445="Home",BI445,IF(AD445="Away",BJ445,Q445))</f>
        <v>London</v>
      </c>
      <c r="BN445" s="46"/>
      <c r="BO445" s="46"/>
      <c r="BP445" s="46"/>
      <c r="BQ445" s="46"/>
      <c r="BR445" s="46"/>
      <c r="BS445" s="46"/>
      <c r="BT445" s="46"/>
      <c r="BU445" s="46"/>
      <c r="BV445" s="46" t="s">
        <v>376</v>
      </c>
      <c r="BW445" s="46" t="s">
        <v>376</v>
      </c>
      <c r="BX445" s="46"/>
      <c r="BZ445" s="53"/>
      <c r="CA445" s="53"/>
      <c r="CB445" s="93" t="str">
        <f>IF(OR(C445="",A445="",B445=""),"",TEXT(C445,"0000")&amp;TEXT(A445,"00")&amp;TEXT(B445,"00"))</f>
        <v>19380430</v>
      </c>
    </row>
    <row r="446" spans="1:80" s="52" customFormat="1" ht="12.95" customHeight="1" x14ac:dyDescent="0.2">
      <c r="A446" s="46">
        <v>3</v>
      </c>
      <c r="B446" s="46">
        <v>25</v>
      </c>
      <c r="C446" s="46">
        <v>1939</v>
      </c>
      <c r="D446" s="46" t="s">
        <v>658</v>
      </c>
      <c r="E446" s="46" t="s">
        <v>1300</v>
      </c>
      <c r="F446" s="47" t="s">
        <v>1010</v>
      </c>
      <c r="G446" s="46"/>
      <c r="H446" s="47" t="s">
        <v>1011</v>
      </c>
      <c r="I446" s="47"/>
      <c r="J446" s="48">
        <v>14329</v>
      </c>
      <c r="K446" s="46" t="s">
        <v>1280</v>
      </c>
      <c r="L446" s="46" t="s">
        <v>3</v>
      </c>
      <c r="M446" s="46" t="s">
        <v>1259</v>
      </c>
      <c r="N446" s="49">
        <v>2</v>
      </c>
      <c r="O446" s="49">
        <v>1</v>
      </c>
      <c r="P446" s="47" t="s">
        <v>1281</v>
      </c>
      <c r="Q446" s="47" t="s">
        <v>1017</v>
      </c>
      <c r="R446" s="47" t="s">
        <v>376</v>
      </c>
      <c r="S446" s="46"/>
      <c r="T446" s="46"/>
      <c r="U446" s="46"/>
      <c r="V446" s="46"/>
      <c r="W446" s="46"/>
      <c r="X446" s="46"/>
      <c r="Y446" s="46"/>
      <c r="Z446" s="46"/>
      <c r="AA446" s="46"/>
      <c r="AB446" s="46"/>
      <c r="AC446" s="46"/>
      <c r="AD446" s="46"/>
      <c r="AE446" s="50">
        <f>IF(L446="W",1,0)</f>
        <v>1</v>
      </c>
      <c r="AF446" s="50">
        <f>IF(L446="T",1,0)</f>
        <v>0</v>
      </c>
      <c r="AG446" s="50">
        <f>IF(L446="L",1,0)</f>
        <v>0</v>
      </c>
      <c r="AH446" s="46" t="s">
        <v>1280</v>
      </c>
      <c r="AI446" s="46" t="s">
        <v>1199</v>
      </c>
      <c r="AJ446" s="46" t="s">
        <v>376</v>
      </c>
      <c r="AK446" s="46" t="s">
        <v>658</v>
      </c>
      <c r="AL446" s="46" t="s">
        <v>1096</v>
      </c>
      <c r="AM446" s="46" t="s">
        <v>1260</v>
      </c>
      <c r="AN446" s="46" t="s">
        <v>376</v>
      </c>
      <c r="AO446" s="46" t="s">
        <v>658</v>
      </c>
      <c r="AP446" s="46"/>
      <c r="AQ446" s="46">
        <v>2</v>
      </c>
      <c r="AR446" s="46"/>
      <c r="AS446" s="46"/>
      <c r="AT446" s="46"/>
      <c r="AU446" s="46" t="s">
        <v>376</v>
      </c>
      <c r="AV446" s="46"/>
      <c r="AW446" s="46" t="s">
        <v>30</v>
      </c>
      <c r="AX446" s="46"/>
      <c r="AY446" s="46" t="s">
        <v>30</v>
      </c>
      <c r="AZ446" s="46"/>
      <c r="BA446" s="47"/>
      <c r="BB446" s="51"/>
      <c r="BC446" s="46"/>
      <c r="BD446" s="46"/>
      <c r="BE446" s="46"/>
      <c r="BF446" s="46">
        <v>1</v>
      </c>
      <c r="BG446" s="46">
        <v>1</v>
      </c>
      <c r="BH446" s="46">
        <v>1</v>
      </c>
      <c r="BI446" s="46" t="s">
        <v>1280</v>
      </c>
      <c r="BJ446" s="46" t="s">
        <v>1259</v>
      </c>
      <c r="BK446" s="46">
        <v>1939</v>
      </c>
      <c r="BL446" s="46" t="str">
        <f>BK446&amp;BI446</f>
        <v>1939Portsmouth</v>
      </c>
      <c r="BM446" s="52" t="str">
        <f>IF(AD446="Home",BI446,IF(AD446="Away",BJ446,Q446))</f>
        <v>London</v>
      </c>
      <c r="BN446" s="46"/>
      <c r="BO446" s="46"/>
      <c r="BP446" s="46"/>
      <c r="BQ446" s="46"/>
      <c r="BR446" s="46"/>
      <c r="BS446" s="46"/>
      <c r="BT446" s="46"/>
      <c r="BU446" s="46"/>
      <c r="BV446" s="46" t="s">
        <v>376</v>
      </c>
      <c r="BW446" s="46" t="s">
        <v>376</v>
      </c>
      <c r="BX446" s="46"/>
      <c r="BZ446" s="53"/>
      <c r="CA446" s="53"/>
      <c r="CB446" s="93" t="str">
        <f>IF(OR(C446="",A446="",B446=""),"",TEXT(C446,"0000")&amp;TEXT(A446,"00")&amp;TEXT(B446,"00"))</f>
        <v>19390325</v>
      </c>
    </row>
    <row r="447" spans="1:80" s="52" customFormat="1" ht="12.95" customHeight="1" x14ac:dyDescent="0.2">
      <c r="A447" s="46">
        <v>3</v>
      </c>
      <c r="B447" s="46">
        <v>25</v>
      </c>
      <c r="C447" s="46">
        <v>1939</v>
      </c>
      <c r="D447" s="46" t="s">
        <v>658</v>
      </c>
      <c r="E447" s="46" t="s">
        <v>1300</v>
      </c>
      <c r="F447" s="47" t="s">
        <v>1010</v>
      </c>
      <c r="G447" s="46"/>
      <c r="H447" s="47" t="s">
        <v>1011</v>
      </c>
      <c r="I447" s="47"/>
      <c r="J447" s="48">
        <v>14329</v>
      </c>
      <c r="K447" s="46" t="s">
        <v>1259</v>
      </c>
      <c r="L447" s="46" t="s">
        <v>4</v>
      </c>
      <c r="M447" s="46" t="s">
        <v>1280</v>
      </c>
      <c r="N447" s="49">
        <v>1</v>
      </c>
      <c r="O447" s="49">
        <v>2</v>
      </c>
      <c r="P447" s="47" t="s">
        <v>1281</v>
      </c>
      <c r="Q447" s="47" t="s">
        <v>1017</v>
      </c>
      <c r="R447" s="47" t="s">
        <v>376</v>
      </c>
      <c r="S447" s="46"/>
      <c r="T447" s="46"/>
      <c r="U447" s="46"/>
      <c r="V447" s="46"/>
      <c r="W447" s="46"/>
      <c r="X447" s="46"/>
      <c r="Y447" s="46"/>
      <c r="Z447" s="46"/>
      <c r="AA447" s="46"/>
      <c r="AB447" s="46"/>
      <c r="AC447" s="46"/>
      <c r="AD447" s="46"/>
      <c r="AE447" s="50">
        <f>IF(L447="W",1,0)</f>
        <v>0</v>
      </c>
      <c r="AF447" s="50">
        <f>IF(L447="T",1,0)</f>
        <v>0</v>
      </c>
      <c r="AG447" s="50">
        <f>IF(L447="L",1,0)</f>
        <v>1</v>
      </c>
      <c r="AH447" s="46" t="s">
        <v>1096</v>
      </c>
      <c r="AI447" s="46" t="s">
        <v>1260</v>
      </c>
      <c r="AJ447" s="46" t="s">
        <v>376</v>
      </c>
      <c r="AK447" s="46" t="s">
        <v>658</v>
      </c>
      <c r="AL447" s="46" t="s">
        <v>1280</v>
      </c>
      <c r="AM447" s="46" t="s">
        <v>1199</v>
      </c>
      <c r="AN447" s="46" t="s">
        <v>376</v>
      </c>
      <c r="AO447" s="46" t="s">
        <v>658</v>
      </c>
      <c r="AP447" s="46"/>
      <c r="AQ447" s="46">
        <v>2</v>
      </c>
      <c r="AR447" s="46"/>
      <c r="AS447" s="46"/>
      <c r="AT447" s="46"/>
      <c r="AU447" s="46" t="s">
        <v>376</v>
      </c>
      <c r="AV447" s="46"/>
      <c r="AW447" s="46" t="s">
        <v>30</v>
      </c>
      <c r="AX447" s="46"/>
      <c r="AY447" s="46" t="s">
        <v>30</v>
      </c>
      <c r="AZ447" s="46"/>
      <c r="BA447" s="47"/>
      <c r="BB447" s="51"/>
      <c r="BC447" s="46"/>
      <c r="BD447" s="46"/>
      <c r="BE447" s="46"/>
      <c r="BF447" s="46">
        <v>1</v>
      </c>
      <c r="BG447" s="46">
        <v>1</v>
      </c>
      <c r="BH447" s="46">
        <v>1</v>
      </c>
      <c r="BI447" s="46" t="s">
        <v>1259</v>
      </c>
      <c r="BJ447" s="46" t="s">
        <v>1280</v>
      </c>
      <c r="BK447" s="46">
        <v>1939</v>
      </c>
      <c r="BL447" s="46" t="str">
        <f>BK447&amp;BI447</f>
        <v>1939Huddersfield Town</v>
      </c>
      <c r="BM447" s="52" t="str">
        <f>IF(AD447="Home",BI447,IF(AD447="Away",BJ447,Q447))</f>
        <v>London</v>
      </c>
      <c r="BN447" s="46"/>
      <c r="BO447" s="46"/>
      <c r="BP447" s="46"/>
      <c r="BQ447" s="46"/>
      <c r="BR447" s="46"/>
      <c r="BS447" s="46"/>
      <c r="BT447" s="46"/>
      <c r="BU447" s="46"/>
      <c r="BV447" s="46" t="s">
        <v>376</v>
      </c>
      <c r="BW447" s="46" t="s">
        <v>376</v>
      </c>
      <c r="BX447" s="46"/>
      <c r="BZ447" s="53"/>
      <c r="CA447" s="53"/>
      <c r="CB447" s="93" t="str">
        <f>IF(OR(C447="",A447="",B447=""),"",TEXT(C447,"0000")&amp;TEXT(A447,"00")&amp;TEXT(B447,"00"))</f>
        <v>19390325</v>
      </c>
    </row>
    <row r="448" spans="1:80" s="52" customFormat="1" ht="12.95" customHeight="1" x14ac:dyDescent="0.2">
      <c r="A448" s="46">
        <v>3</v>
      </c>
      <c r="B448" s="46">
        <v>25</v>
      </c>
      <c r="C448" s="46">
        <v>1939</v>
      </c>
      <c r="D448" s="46" t="s">
        <v>658</v>
      </c>
      <c r="E448" s="46" t="s">
        <v>1300</v>
      </c>
      <c r="F448" s="47" t="s">
        <v>1010</v>
      </c>
      <c r="G448" s="46"/>
      <c r="H448" s="47" t="s">
        <v>1011</v>
      </c>
      <c r="I448" s="47"/>
      <c r="J448" s="48">
        <v>14329</v>
      </c>
      <c r="K448" s="46" t="s">
        <v>1151</v>
      </c>
      <c r="L448" s="46" t="s">
        <v>3</v>
      </c>
      <c r="M448" s="46" t="s">
        <v>1295</v>
      </c>
      <c r="N448" s="49">
        <v>5</v>
      </c>
      <c r="O448" s="49">
        <v>0</v>
      </c>
      <c r="P448" s="47" t="s">
        <v>1246</v>
      </c>
      <c r="Q448" s="47" t="s">
        <v>1101</v>
      </c>
      <c r="R448" s="47" t="s">
        <v>376</v>
      </c>
      <c r="S448" s="46"/>
      <c r="T448" s="46"/>
      <c r="U448" s="46"/>
      <c r="V448" s="46"/>
      <c r="W448" s="46"/>
      <c r="X448" s="46"/>
      <c r="Y448" s="46"/>
      <c r="Z448" s="46"/>
      <c r="AA448" s="46"/>
      <c r="AB448" s="46"/>
      <c r="AC448" s="46"/>
      <c r="AD448" s="46"/>
      <c r="AE448" s="50">
        <f>IF(L448="W",1,0)</f>
        <v>1</v>
      </c>
      <c r="AF448" s="50">
        <f>IF(L448="T",1,0)</f>
        <v>0</v>
      </c>
      <c r="AG448" s="50">
        <f>IF(L448="L",1,0)</f>
        <v>0</v>
      </c>
      <c r="AH448" s="46" t="s">
        <v>1111</v>
      </c>
      <c r="AI448" s="46" t="s">
        <v>1126</v>
      </c>
      <c r="AJ448" s="46" t="s">
        <v>376</v>
      </c>
      <c r="AK448" s="46" t="s">
        <v>658</v>
      </c>
      <c r="AL448" s="46" t="s">
        <v>1296</v>
      </c>
      <c r="AM448" s="46" t="s">
        <v>1297</v>
      </c>
      <c r="AN448" s="46" t="s">
        <v>376</v>
      </c>
      <c r="AO448" s="46" t="s">
        <v>658</v>
      </c>
      <c r="AP448" s="46"/>
      <c r="AQ448" s="46">
        <v>2</v>
      </c>
      <c r="AR448" s="46"/>
      <c r="AS448" s="46"/>
      <c r="AT448" s="46"/>
      <c r="AU448" s="46" t="s">
        <v>376</v>
      </c>
      <c r="AV448" s="46"/>
      <c r="AW448" s="46" t="s">
        <v>30</v>
      </c>
      <c r="AX448" s="46"/>
      <c r="AY448" s="46" t="s">
        <v>30</v>
      </c>
      <c r="AZ448" s="46"/>
      <c r="BA448" s="47"/>
      <c r="BB448" s="51"/>
      <c r="BC448" s="46"/>
      <c r="BD448" s="46"/>
      <c r="BE448" s="46"/>
      <c r="BF448" s="46">
        <v>1</v>
      </c>
      <c r="BG448" s="46">
        <v>1</v>
      </c>
      <c r="BH448" s="46">
        <v>1</v>
      </c>
      <c r="BI448" s="46" t="s">
        <v>1151</v>
      </c>
      <c r="BJ448" s="46" t="s">
        <v>1295</v>
      </c>
      <c r="BK448" s="46">
        <v>1939</v>
      </c>
      <c r="BL448" s="46" t="str">
        <f>BK448&amp;BI448</f>
        <v>1939Wolverhampton Wanderers</v>
      </c>
      <c r="BM448" s="52" t="str">
        <f>IF(AD448="Home",BI448,IF(AD448="Away",BJ448,Q448))</f>
        <v>Manchester</v>
      </c>
      <c r="BN448" s="46"/>
      <c r="BO448" s="46"/>
      <c r="BP448" s="46"/>
      <c r="BQ448" s="46"/>
      <c r="BR448" s="46"/>
      <c r="BS448" s="46"/>
      <c r="BT448" s="46"/>
      <c r="BU448" s="46"/>
      <c r="BV448" s="46" t="s">
        <v>376</v>
      </c>
      <c r="BW448" s="46" t="s">
        <v>376</v>
      </c>
      <c r="BX448" s="46"/>
      <c r="BZ448" s="53"/>
      <c r="CA448" s="53"/>
      <c r="CB448" s="93" t="str">
        <f>IF(OR(C448="",A448="",B448=""),"",TEXT(C448,"0000")&amp;TEXT(A448,"00")&amp;TEXT(B448,"00"))</f>
        <v>19390325</v>
      </c>
    </row>
    <row r="449" spans="1:80" s="52" customFormat="1" ht="12.95" customHeight="1" x14ac:dyDescent="0.2">
      <c r="A449" s="46">
        <v>3</v>
      </c>
      <c r="B449" s="46">
        <v>25</v>
      </c>
      <c r="C449" s="46">
        <v>1939</v>
      </c>
      <c r="D449" s="46" t="s">
        <v>658</v>
      </c>
      <c r="E449" s="46" t="s">
        <v>1300</v>
      </c>
      <c r="F449" s="47" t="s">
        <v>1010</v>
      </c>
      <c r="G449" s="46"/>
      <c r="H449" s="47" t="s">
        <v>1011</v>
      </c>
      <c r="I449" s="47"/>
      <c r="J449" s="48">
        <v>14329</v>
      </c>
      <c r="K449" s="46" t="s">
        <v>1295</v>
      </c>
      <c r="L449" s="46" t="s">
        <v>4</v>
      </c>
      <c r="M449" s="46" t="s">
        <v>1151</v>
      </c>
      <c r="N449" s="49">
        <v>0</v>
      </c>
      <c r="O449" s="49">
        <v>5</v>
      </c>
      <c r="P449" s="47" t="s">
        <v>1246</v>
      </c>
      <c r="Q449" s="47" t="s">
        <v>1101</v>
      </c>
      <c r="R449" s="47" t="s">
        <v>376</v>
      </c>
      <c r="S449" s="46"/>
      <c r="T449" s="46"/>
      <c r="U449" s="46"/>
      <c r="V449" s="46"/>
      <c r="W449" s="46"/>
      <c r="X449" s="46"/>
      <c r="Y449" s="46"/>
      <c r="Z449" s="46"/>
      <c r="AA449" s="46"/>
      <c r="AB449" s="46"/>
      <c r="AC449" s="46"/>
      <c r="AD449" s="46"/>
      <c r="AE449" s="50">
        <f>IF(L449="W",1,0)</f>
        <v>0</v>
      </c>
      <c r="AF449" s="50">
        <f>IF(L449="T",1,0)</f>
        <v>0</v>
      </c>
      <c r="AG449" s="50">
        <f>IF(L449="L",1,0)</f>
        <v>1</v>
      </c>
      <c r="AH449" s="46" t="s">
        <v>1296</v>
      </c>
      <c r="AI449" s="46" t="s">
        <v>1297</v>
      </c>
      <c r="AJ449" s="46" t="s">
        <v>376</v>
      </c>
      <c r="AK449" s="46" t="s">
        <v>658</v>
      </c>
      <c r="AL449" s="46" t="s">
        <v>1111</v>
      </c>
      <c r="AM449" s="46" t="s">
        <v>1126</v>
      </c>
      <c r="AN449" s="46" t="s">
        <v>376</v>
      </c>
      <c r="AO449" s="46" t="s">
        <v>658</v>
      </c>
      <c r="AP449" s="46"/>
      <c r="AQ449" s="46">
        <v>2</v>
      </c>
      <c r="AR449" s="46"/>
      <c r="AS449" s="46"/>
      <c r="AT449" s="46"/>
      <c r="AU449" s="46" t="s">
        <v>376</v>
      </c>
      <c r="AV449" s="46"/>
      <c r="AW449" s="46" t="s">
        <v>30</v>
      </c>
      <c r="AX449" s="46"/>
      <c r="AY449" s="46" t="s">
        <v>30</v>
      </c>
      <c r="AZ449" s="46"/>
      <c r="BA449" s="47"/>
      <c r="BB449" s="51"/>
      <c r="BC449" s="46"/>
      <c r="BD449" s="46"/>
      <c r="BE449" s="46"/>
      <c r="BF449" s="46">
        <v>1</v>
      </c>
      <c r="BG449" s="46">
        <v>1</v>
      </c>
      <c r="BH449" s="46">
        <v>1</v>
      </c>
      <c r="BI449" s="46" t="s">
        <v>1295</v>
      </c>
      <c r="BJ449" s="46" t="s">
        <v>1151</v>
      </c>
      <c r="BK449" s="46">
        <v>1939</v>
      </c>
      <c r="BL449" s="46" t="str">
        <f>BK449&amp;BI449</f>
        <v>1939Grimsby Town</v>
      </c>
      <c r="BM449" s="52" t="str">
        <f>IF(AD449="Home",BI449,IF(AD449="Away",BJ449,Q449))</f>
        <v>Manchester</v>
      </c>
      <c r="BN449" s="46"/>
      <c r="BO449" s="46"/>
      <c r="BP449" s="46"/>
      <c r="BQ449" s="46"/>
      <c r="BR449" s="46"/>
      <c r="BS449" s="46"/>
      <c r="BT449" s="46"/>
      <c r="BU449" s="46"/>
      <c r="BV449" s="46" t="s">
        <v>376</v>
      </c>
      <c r="BW449" s="46" t="s">
        <v>376</v>
      </c>
      <c r="BX449" s="46"/>
      <c r="BZ449" s="53"/>
      <c r="CA449" s="53"/>
      <c r="CB449" s="93" t="str">
        <f>IF(OR(C449="",A449="",B449=""),"",TEXT(C449,"0000")&amp;TEXT(A449,"00")&amp;TEXT(B449,"00"))</f>
        <v>19390325</v>
      </c>
    </row>
    <row r="450" spans="1:80" s="52" customFormat="1" ht="12.95" customHeight="1" x14ac:dyDescent="0.2">
      <c r="A450" s="46">
        <v>4</v>
      </c>
      <c r="B450" s="46">
        <v>29</v>
      </c>
      <c r="C450" s="46">
        <v>1939</v>
      </c>
      <c r="D450" s="46" t="s">
        <v>658</v>
      </c>
      <c r="E450" s="46" t="s">
        <v>1300</v>
      </c>
      <c r="F450" s="47" t="s">
        <v>1010</v>
      </c>
      <c r="G450" s="46"/>
      <c r="H450" s="47" t="s">
        <v>1025</v>
      </c>
      <c r="I450" s="47"/>
      <c r="J450" s="48">
        <v>14364</v>
      </c>
      <c r="K450" s="46" t="s">
        <v>1280</v>
      </c>
      <c r="L450" s="46" t="s">
        <v>3</v>
      </c>
      <c r="M450" s="46" t="s">
        <v>1151</v>
      </c>
      <c r="N450" s="49">
        <v>4</v>
      </c>
      <c r="O450" s="49">
        <v>1</v>
      </c>
      <c r="P450" s="47" t="s">
        <v>1268</v>
      </c>
      <c r="Q450" s="47" t="s">
        <v>1017</v>
      </c>
      <c r="R450" s="47" t="s">
        <v>376</v>
      </c>
      <c r="S450" s="46"/>
      <c r="T450" s="46"/>
      <c r="U450" s="46"/>
      <c r="V450" s="46"/>
      <c r="W450" s="46"/>
      <c r="X450" s="46"/>
      <c r="Y450" s="46"/>
      <c r="Z450" s="46"/>
      <c r="AA450" s="46"/>
      <c r="AB450" s="46"/>
      <c r="AC450" s="46"/>
      <c r="AD450" s="46"/>
      <c r="AE450" s="50">
        <f>IF(L450="W",1,0)</f>
        <v>1</v>
      </c>
      <c r="AF450" s="50">
        <f>IF(L450="T",1,0)</f>
        <v>0</v>
      </c>
      <c r="AG450" s="50">
        <f>IF(L450="L",1,0)</f>
        <v>0</v>
      </c>
      <c r="AH450" s="46" t="s">
        <v>1280</v>
      </c>
      <c r="AI450" s="46" t="s">
        <v>1199</v>
      </c>
      <c r="AJ450" s="46" t="s">
        <v>376</v>
      </c>
      <c r="AK450" s="46" t="s">
        <v>658</v>
      </c>
      <c r="AL450" s="46" t="s">
        <v>1111</v>
      </c>
      <c r="AM450" s="46" t="s">
        <v>1126</v>
      </c>
      <c r="AN450" s="46" t="s">
        <v>376</v>
      </c>
      <c r="AO450" s="46" t="s">
        <v>658</v>
      </c>
      <c r="AP450" s="46"/>
      <c r="AQ450" s="46">
        <v>1</v>
      </c>
      <c r="AR450" s="46"/>
      <c r="AS450" s="46"/>
      <c r="AT450" s="46"/>
      <c r="AU450" s="46" t="s">
        <v>376</v>
      </c>
      <c r="AV450" s="46"/>
      <c r="AW450" s="46" t="s">
        <v>30</v>
      </c>
      <c r="AX450" s="46"/>
      <c r="AY450" s="46" t="s">
        <v>30</v>
      </c>
      <c r="AZ450" s="46"/>
      <c r="BA450" s="47"/>
      <c r="BB450" s="51" t="s">
        <v>30</v>
      </c>
      <c r="BC450" s="46" t="s">
        <v>30</v>
      </c>
      <c r="BD450" s="46"/>
      <c r="BE450" s="46"/>
      <c r="BF450" s="46">
        <v>1</v>
      </c>
      <c r="BG450" s="46">
        <v>1</v>
      </c>
      <c r="BH450" s="46">
        <v>1</v>
      </c>
      <c r="BI450" s="46" t="s">
        <v>1280</v>
      </c>
      <c r="BJ450" s="46" t="s">
        <v>1151</v>
      </c>
      <c r="BK450" s="46">
        <v>1939</v>
      </c>
      <c r="BL450" s="46" t="str">
        <f>BK450&amp;BI450</f>
        <v>1939Portsmouth</v>
      </c>
      <c r="BM450" s="52" t="str">
        <f>IF(AD450="Home",BI450,IF(AD450="Away",BJ450,Q450))</f>
        <v>London</v>
      </c>
      <c r="BN450" s="46"/>
      <c r="BO450" s="46"/>
      <c r="BP450" s="46"/>
      <c r="BQ450" s="46"/>
      <c r="BR450" s="46"/>
      <c r="BS450" s="46"/>
      <c r="BT450" s="46"/>
      <c r="BU450" s="46"/>
      <c r="BV450" s="46" t="s">
        <v>376</v>
      </c>
      <c r="BW450" s="46" t="s">
        <v>376</v>
      </c>
      <c r="BX450" s="46"/>
      <c r="BZ450" s="53"/>
      <c r="CA450" s="53"/>
      <c r="CB450" s="93" t="str">
        <f>IF(OR(C450="",A450="",B450=""),"",TEXT(C450,"0000")&amp;TEXT(A450,"00")&amp;TEXT(B450,"00"))</f>
        <v>19390429</v>
      </c>
    </row>
    <row r="451" spans="1:80" s="52" customFormat="1" ht="12.95" customHeight="1" x14ac:dyDescent="0.2">
      <c r="A451" s="46">
        <v>4</v>
      </c>
      <c r="B451" s="46">
        <v>29</v>
      </c>
      <c r="C451" s="46">
        <v>1939</v>
      </c>
      <c r="D451" s="46" t="s">
        <v>658</v>
      </c>
      <c r="E451" s="46" t="s">
        <v>1300</v>
      </c>
      <c r="F451" s="47" t="s">
        <v>1010</v>
      </c>
      <c r="G451" s="46"/>
      <c r="H451" s="47" t="s">
        <v>1025</v>
      </c>
      <c r="I451" s="47"/>
      <c r="J451" s="48">
        <v>14364</v>
      </c>
      <c r="K451" s="46" t="s">
        <v>1151</v>
      </c>
      <c r="L451" s="46" t="s">
        <v>4</v>
      </c>
      <c r="M451" s="46" t="s">
        <v>1280</v>
      </c>
      <c r="N451" s="49">
        <v>1</v>
      </c>
      <c r="O451" s="49">
        <v>4</v>
      </c>
      <c r="P451" s="47" t="s">
        <v>1268</v>
      </c>
      <c r="Q451" s="47" t="s">
        <v>1017</v>
      </c>
      <c r="R451" s="47" t="s">
        <v>376</v>
      </c>
      <c r="S451" s="46"/>
      <c r="T451" s="46"/>
      <c r="U451" s="46"/>
      <c r="V451" s="46"/>
      <c r="W451" s="46"/>
      <c r="X451" s="46"/>
      <c r="Y451" s="46"/>
      <c r="Z451" s="46"/>
      <c r="AA451" s="46"/>
      <c r="AB451" s="46"/>
      <c r="AC451" s="46"/>
      <c r="AD451" s="46"/>
      <c r="AE451" s="50">
        <f>IF(L451="W",1,0)</f>
        <v>0</v>
      </c>
      <c r="AF451" s="50">
        <f>IF(L451="T",1,0)</f>
        <v>0</v>
      </c>
      <c r="AG451" s="50">
        <f>IF(L451="L",1,0)</f>
        <v>1</v>
      </c>
      <c r="AH451" s="46" t="s">
        <v>1111</v>
      </c>
      <c r="AI451" s="46" t="s">
        <v>1126</v>
      </c>
      <c r="AJ451" s="46" t="s">
        <v>376</v>
      </c>
      <c r="AK451" s="46" t="s">
        <v>658</v>
      </c>
      <c r="AL451" s="46" t="s">
        <v>1280</v>
      </c>
      <c r="AM451" s="46" t="s">
        <v>1199</v>
      </c>
      <c r="AN451" s="46" t="s">
        <v>376</v>
      </c>
      <c r="AO451" s="46" t="s">
        <v>658</v>
      </c>
      <c r="AP451" s="46"/>
      <c r="AQ451" s="46">
        <v>1</v>
      </c>
      <c r="AR451" s="46"/>
      <c r="AS451" s="46"/>
      <c r="AT451" s="46"/>
      <c r="AU451" s="46" t="s">
        <v>376</v>
      </c>
      <c r="AV451" s="46"/>
      <c r="AW451" s="46" t="s">
        <v>30</v>
      </c>
      <c r="AX451" s="46"/>
      <c r="AY451" s="46" t="s">
        <v>30</v>
      </c>
      <c r="AZ451" s="46"/>
      <c r="BA451" s="47"/>
      <c r="BB451" s="51"/>
      <c r="BC451" s="46" t="s">
        <v>30</v>
      </c>
      <c r="BD451" s="46"/>
      <c r="BE451" s="46"/>
      <c r="BF451" s="46">
        <v>1</v>
      </c>
      <c r="BG451" s="46">
        <v>1</v>
      </c>
      <c r="BH451" s="46">
        <v>1</v>
      </c>
      <c r="BI451" s="46" t="s">
        <v>1151</v>
      </c>
      <c r="BJ451" s="46" t="s">
        <v>1280</v>
      </c>
      <c r="BK451" s="46">
        <v>1939</v>
      </c>
      <c r="BL451" s="46" t="str">
        <f>BK451&amp;BI451</f>
        <v>1939Wolverhampton Wanderers</v>
      </c>
      <c r="BM451" s="52" t="str">
        <f>IF(AD451="Home",BI451,IF(AD451="Away",BJ451,Q451))</f>
        <v>London</v>
      </c>
      <c r="BN451" s="46"/>
      <c r="BO451" s="46"/>
      <c r="BP451" s="46"/>
      <c r="BQ451" s="46"/>
      <c r="BR451" s="46"/>
      <c r="BS451" s="46"/>
      <c r="BT451" s="46"/>
      <c r="BU451" s="46"/>
      <c r="BV451" s="46" t="s">
        <v>376</v>
      </c>
      <c r="BW451" s="46" t="s">
        <v>376</v>
      </c>
      <c r="BX451" s="46"/>
      <c r="BZ451" s="53"/>
      <c r="CA451" s="53"/>
      <c r="CB451" s="93" t="str">
        <f>IF(OR(C451="",A451="",B451=""),"",TEXT(C451,"0000")&amp;TEXT(A451,"00")&amp;TEXT(B451,"00"))</f>
        <v>19390429</v>
      </c>
    </row>
    <row r="452" spans="1:80" s="52" customFormat="1" ht="12.95" customHeight="1" x14ac:dyDescent="0.2">
      <c r="A452" s="46">
        <v>3</v>
      </c>
      <c r="B452" s="46">
        <v>23</v>
      </c>
      <c r="C452" s="46">
        <v>1946</v>
      </c>
      <c r="D452" s="46" t="s">
        <v>658</v>
      </c>
      <c r="E452" s="46" t="s">
        <v>1301</v>
      </c>
      <c r="F452" s="47" t="s">
        <v>1010</v>
      </c>
      <c r="G452" s="46"/>
      <c r="H452" s="47" t="s">
        <v>1011</v>
      </c>
      <c r="I452" s="47"/>
      <c r="J452" s="48">
        <v>16884</v>
      </c>
      <c r="K452" s="46" t="s">
        <v>1191</v>
      </c>
      <c r="L452" s="46" t="s">
        <v>1014</v>
      </c>
      <c r="M452" s="46" t="s">
        <v>1125</v>
      </c>
      <c r="N452" s="49">
        <v>1</v>
      </c>
      <c r="O452" s="49">
        <v>1</v>
      </c>
      <c r="P452" s="47" t="s">
        <v>1252</v>
      </c>
      <c r="Q452" s="47" t="s">
        <v>1097</v>
      </c>
      <c r="R452" s="47" t="s">
        <v>376</v>
      </c>
      <c r="S452" s="46"/>
      <c r="T452" s="46"/>
      <c r="U452" s="46"/>
      <c r="V452" s="46"/>
      <c r="W452" s="46"/>
      <c r="X452" s="46"/>
      <c r="Y452" s="46"/>
      <c r="Z452" s="46"/>
      <c r="AA452" s="46"/>
      <c r="AB452" s="46"/>
      <c r="AC452" s="46"/>
      <c r="AD452" s="46"/>
      <c r="AE452" s="50">
        <f>IF(L452="W",1,0)</f>
        <v>0</v>
      </c>
      <c r="AF452" s="50">
        <f>IF(L452="T",1,0)</f>
        <v>1</v>
      </c>
      <c r="AG452" s="50">
        <f>IF(L452="L",1,0)</f>
        <v>0</v>
      </c>
      <c r="AH452" s="46" t="s">
        <v>979</v>
      </c>
      <c r="AI452" s="46" t="s">
        <v>1146</v>
      </c>
      <c r="AJ452" s="46" t="s">
        <v>376</v>
      </c>
      <c r="AK452" s="46" t="s">
        <v>658</v>
      </c>
      <c r="AL452" s="46" t="s">
        <v>1111</v>
      </c>
      <c r="AM452" s="46" t="s">
        <v>1126</v>
      </c>
      <c r="AN452" s="46" t="s">
        <v>376</v>
      </c>
      <c r="AO452" s="46" t="s">
        <v>658</v>
      </c>
      <c r="AP452" s="46"/>
      <c r="AQ452" s="46">
        <v>2</v>
      </c>
      <c r="AR452" s="46"/>
      <c r="AS452" s="46"/>
      <c r="AT452" s="46"/>
      <c r="AU452" s="46" t="s">
        <v>376</v>
      </c>
      <c r="AV452" s="46"/>
      <c r="AW452" s="46" t="s">
        <v>30</v>
      </c>
      <c r="AX452" s="46"/>
      <c r="AY452" s="46" t="s">
        <v>30</v>
      </c>
      <c r="AZ452" s="46"/>
      <c r="BA452" s="47"/>
      <c r="BB452" s="51"/>
      <c r="BC452" s="46"/>
      <c r="BD452" s="46"/>
      <c r="BE452" s="46"/>
      <c r="BF452" s="46">
        <v>1</v>
      </c>
      <c r="BG452" s="46"/>
      <c r="BH452" s="46"/>
      <c r="BI452" s="46" t="s">
        <v>1191</v>
      </c>
      <c r="BJ452" s="46" t="s">
        <v>1125</v>
      </c>
      <c r="BK452" s="46">
        <v>1946</v>
      </c>
      <c r="BL452" s="46" t="str">
        <f>BK452&amp;BI452</f>
        <v>1946Derby County</v>
      </c>
      <c r="BM452" s="52" t="str">
        <f>IF(AD452="Home",BI452,IF(AD452="Away",BJ452,Q452))</f>
        <v>Sheffield</v>
      </c>
      <c r="BN452" s="46"/>
      <c r="BO452" s="46"/>
      <c r="BP452" s="46"/>
      <c r="BQ452" s="46"/>
      <c r="BR452" s="46"/>
      <c r="BS452" s="46"/>
      <c r="BT452" s="46"/>
      <c r="BU452" s="46"/>
      <c r="BV452" s="46" t="s">
        <v>376</v>
      </c>
      <c r="BW452" s="46" t="s">
        <v>376</v>
      </c>
      <c r="BX452" s="46"/>
      <c r="BY452" s="50"/>
      <c r="BZ452" s="53"/>
      <c r="CA452" s="53"/>
      <c r="CB452" s="93" t="str">
        <f>IF(OR(C452="",A452="",B452=""),"",TEXT(C452,"0000")&amp;TEXT(A452,"00")&amp;TEXT(B452,"00"))</f>
        <v>19460323</v>
      </c>
    </row>
    <row r="453" spans="1:80" s="52" customFormat="1" ht="12.95" customHeight="1" x14ac:dyDescent="0.2">
      <c r="A453" s="46">
        <v>3</v>
      </c>
      <c r="B453" s="46">
        <v>23</v>
      </c>
      <c r="C453" s="46">
        <v>1946</v>
      </c>
      <c r="D453" s="46" t="s">
        <v>658</v>
      </c>
      <c r="E453" s="46" t="s">
        <v>1301</v>
      </c>
      <c r="F453" s="47" t="s">
        <v>1010</v>
      </c>
      <c r="G453" s="46"/>
      <c r="H453" s="47" t="s">
        <v>1011</v>
      </c>
      <c r="I453" s="47"/>
      <c r="J453" s="48">
        <v>16884</v>
      </c>
      <c r="K453" s="46" t="s">
        <v>1125</v>
      </c>
      <c r="L453" s="46" t="s">
        <v>1014</v>
      </c>
      <c r="M453" s="46" t="s">
        <v>1191</v>
      </c>
      <c r="N453" s="49">
        <v>1</v>
      </c>
      <c r="O453" s="49">
        <v>1</v>
      </c>
      <c r="P453" s="47" t="s">
        <v>1252</v>
      </c>
      <c r="Q453" s="47" t="s">
        <v>1097</v>
      </c>
      <c r="R453" s="47" t="s">
        <v>376</v>
      </c>
      <c r="S453" s="46"/>
      <c r="T453" s="46"/>
      <c r="U453" s="46"/>
      <c r="V453" s="46"/>
      <c r="W453" s="46"/>
      <c r="X453" s="46"/>
      <c r="Y453" s="46"/>
      <c r="Z453" s="46"/>
      <c r="AA453" s="46"/>
      <c r="AB453" s="46"/>
      <c r="AC453" s="46"/>
      <c r="AD453" s="46"/>
      <c r="AE453" s="50">
        <f>IF(L453="W",1,0)</f>
        <v>0</v>
      </c>
      <c r="AF453" s="50">
        <f>IF(L453="T",1,0)</f>
        <v>1</v>
      </c>
      <c r="AG453" s="50">
        <f>IF(L453="L",1,0)</f>
        <v>0</v>
      </c>
      <c r="AH453" s="46" t="s">
        <v>1111</v>
      </c>
      <c r="AI453" s="46" t="s">
        <v>1126</v>
      </c>
      <c r="AJ453" s="46" t="s">
        <v>376</v>
      </c>
      <c r="AK453" s="46" t="s">
        <v>658</v>
      </c>
      <c r="AL453" s="46" t="s">
        <v>979</v>
      </c>
      <c r="AM453" s="46" t="s">
        <v>1146</v>
      </c>
      <c r="AN453" s="46" t="s">
        <v>376</v>
      </c>
      <c r="AO453" s="46" t="s">
        <v>658</v>
      </c>
      <c r="AP453" s="46"/>
      <c r="AQ453" s="46">
        <v>2</v>
      </c>
      <c r="AR453" s="46"/>
      <c r="AS453" s="46"/>
      <c r="AT453" s="46"/>
      <c r="AU453" s="46" t="s">
        <v>376</v>
      </c>
      <c r="AV453" s="46"/>
      <c r="AW453" s="46" t="s">
        <v>30</v>
      </c>
      <c r="AX453" s="46"/>
      <c r="AY453" s="46" t="s">
        <v>30</v>
      </c>
      <c r="AZ453" s="46"/>
      <c r="BA453" s="47"/>
      <c r="BB453" s="51"/>
      <c r="BC453" s="46"/>
      <c r="BD453" s="46"/>
      <c r="BE453" s="46"/>
      <c r="BF453" s="46">
        <v>1</v>
      </c>
      <c r="BG453" s="46"/>
      <c r="BH453" s="46"/>
      <c r="BI453" s="46" t="s">
        <v>1125</v>
      </c>
      <c r="BJ453" s="46" t="s">
        <v>1191</v>
      </c>
      <c r="BK453" s="46">
        <v>1946</v>
      </c>
      <c r="BL453" s="46" t="str">
        <f>BK453&amp;BI453</f>
        <v>1946Birmingham City</v>
      </c>
      <c r="BM453" s="52" t="str">
        <f>IF(AD453="Home",BI453,IF(AD453="Away",BJ453,Q453))</f>
        <v>Sheffield</v>
      </c>
      <c r="BN453" s="46"/>
      <c r="BO453" s="46"/>
      <c r="BP453" s="46"/>
      <c r="BQ453" s="46"/>
      <c r="BR453" s="46"/>
      <c r="BS453" s="46"/>
      <c r="BT453" s="46"/>
      <c r="BU453" s="46"/>
      <c r="BV453" s="46" t="s">
        <v>376</v>
      </c>
      <c r="BW453" s="46" t="s">
        <v>376</v>
      </c>
      <c r="BX453" s="46"/>
      <c r="BY453" s="50"/>
      <c r="BZ453" s="53"/>
      <c r="CA453" s="53"/>
      <c r="CB453" s="93" t="str">
        <f>IF(OR(C453="",A453="",B453=""),"",TEXT(C453,"0000")&amp;TEXT(A453,"00")&amp;TEXT(B453,"00"))</f>
        <v>19460323</v>
      </c>
    </row>
    <row r="454" spans="1:80" s="52" customFormat="1" ht="12.95" customHeight="1" x14ac:dyDescent="0.2">
      <c r="A454" s="46">
        <v>3</v>
      </c>
      <c r="B454" s="46">
        <v>23</v>
      </c>
      <c r="C454" s="46">
        <v>1946</v>
      </c>
      <c r="D454" s="46" t="s">
        <v>658</v>
      </c>
      <c r="E454" s="46" t="s">
        <v>1301</v>
      </c>
      <c r="F454" s="47" t="s">
        <v>1010</v>
      </c>
      <c r="G454" s="46"/>
      <c r="H454" s="47" t="s">
        <v>1011</v>
      </c>
      <c r="I454" s="47"/>
      <c r="J454" s="48">
        <v>16884</v>
      </c>
      <c r="K454" s="46" t="s">
        <v>1302</v>
      </c>
      <c r="L454" s="46" t="s">
        <v>3</v>
      </c>
      <c r="M454" s="46" t="s">
        <v>1157</v>
      </c>
      <c r="N454" s="49">
        <v>2</v>
      </c>
      <c r="O454" s="49">
        <v>0</v>
      </c>
      <c r="P454" s="47" t="s">
        <v>1219</v>
      </c>
      <c r="Q454" s="47" t="s">
        <v>1111</v>
      </c>
      <c r="R454" s="47" t="s">
        <v>376</v>
      </c>
      <c r="S454" s="46"/>
      <c r="T454" s="46"/>
      <c r="U454" s="46"/>
      <c r="V454" s="46"/>
      <c r="W454" s="46"/>
      <c r="X454" s="46"/>
      <c r="Y454" s="46"/>
      <c r="Z454" s="46"/>
      <c r="AA454" s="46"/>
      <c r="AB454" s="46"/>
      <c r="AC454" s="46"/>
      <c r="AD454" s="46"/>
      <c r="AE454" s="50">
        <f>IF(L454="W",1,0)</f>
        <v>1</v>
      </c>
      <c r="AF454" s="50">
        <f>IF(L454="T",1,0)</f>
        <v>0</v>
      </c>
      <c r="AG454" s="50">
        <f>IF(L454="L",1,0)</f>
        <v>0</v>
      </c>
      <c r="AH454" s="46" t="s">
        <v>1017</v>
      </c>
      <c r="AI454" s="46" t="s">
        <v>1018</v>
      </c>
      <c r="AJ454" s="46" t="s">
        <v>376</v>
      </c>
      <c r="AK454" s="46" t="s">
        <v>658</v>
      </c>
      <c r="AL454" s="46" t="s">
        <v>1101</v>
      </c>
      <c r="AM454" s="46" t="s">
        <v>1159</v>
      </c>
      <c r="AN454" s="46" t="s">
        <v>376</v>
      </c>
      <c r="AO454" s="46" t="s">
        <v>658</v>
      </c>
      <c r="AP454" s="46"/>
      <c r="AQ454" s="46">
        <v>2</v>
      </c>
      <c r="AR454" s="46"/>
      <c r="AS454" s="46"/>
      <c r="AT454" s="46"/>
      <c r="AU454" s="46" t="s">
        <v>376</v>
      </c>
      <c r="AV454" s="46"/>
      <c r="AW454" s="46" t="s">
        <v>30</v>
      </c>
      <c r="AX454" s="46"/>
      <c r="AY454" s="46" t="s">
        <v>30</v>
      </c>
      <c r="AZ454" s="46"/>
      <c r="BA454" s="47"/>
      <c r="BB454" s="51"/>
      <c r="BC454" s="46"/>
      <c r="BD454" s="46"/>
      <c r="BE454" s="46"/>
      <c r="BF454" s="46">
        <v>1</v>
      </c>
      <c r="BG454" s="46"/>
      <c r="BH454" s="46"/>
      <c r="BI454" s="46" t="s">
        <v>1302</v>
      </c>
      <c r="BJ454" s="46" t="s">
        <v>1157</v>
      </c>
      <c r="BK454" s="46">
        <v>1946</v>
      </c>
      <c r="BL454" s="46" t="str">
        <f>BK454&amp;BI454</f>
        <v>1946Charlton Athletic</v>
      </c>
      <c r="BM454" s="52" t="str">
        <f>IF(AD454="Home",BI454,IF(AD454="Away",BJ454,Q454))</f>
        <v>Birmingham</v>
      </c>
      <c r="BN454" s="46"/>
      <c r="BO454" s="46"/>
      <c r="BP454" s="46"/>
      <c r="BQ454" s="46"/>
      <c r="BR454" s="46"/>
      <c r="BS454" s="46"/>
      <c r="BT454" s="46"/>
      <c r="BU454" s="46"/>
      <c r="BV454" s="46" t="s">
        <v>376</v>
      </c>
      <c r="BW454" s="46" t="s">
        <v>376</v>
      </c>
      <c r="BX454" s="46"/>
      <c r="BZ454" s="53"/>
      <c r="CA454" s="53"/>
      <c r="CB454" s="93" t="str">
        <f>IF(OR(C454="",A454="",B454=""),"",TEXT(C454,"0000")&amp;TEXT(A454,"00")&amp;TEXT(B454,"00"))</f>
        <v>19460323</v>
      </c>
    </row>
    <row r="455" spans="1:80" s="52" customFormat="1" ht="12.95" customHeight="1" x14ac:dyDescent="0.2">
      <c r="A455" s="46">
        <v>3</v>
      </c>
      <c r="B455" s="46">
        <v>23</v>
      </c>
      <c r="C455" s="46">
        <v>1946</v>
      </c>
      <c r="D455" s="46" t="s">
        <v>658</v>
      </c>
      <c r="E455" s="46" t="s">
        <v>1301</v>
      </c>
      <c r="F455" s="47" t="s">
        <v>1010</v>
      </c>
      <c r="G455" s="46"/>
      <c r="H455" s="47" t="s">
        <v>1011</v>
      </c>
      <c r="I455" s="47"/>
      <c r="J455" s="48">
        <v>16884</v>
      </c>
      <c r="K455" s="46" t="s">
        <v>1157</v>
      </c>
      <c r="L455" s="46" t="s">
        <v>4</v>
      </c>
      <c r="M455" s="46" t="s">
        <v>1302</v>
      </c>
      <c r="N455" s="49">
        <v>0</v>
      </c>
      <c r="O455" s="49">
        <v>2</v>
      </c>
      <c r="P455" s="47" t="s">
        <v>1219</v>
      </c>
      <c r="Q455" s="47" t="s">
        <v>1111</v>
      </c>
      <c r="R455" s="47" t="s">
        <v>376</v>
      </c>
      <c r="S455" s="46"/>
      <c r="T455" s="46"/>
      <c r="U455" s="46"/>
      <c r="V455" s="46"/>
      <c r="W455" s="46"/>
      <c r="X455" s="46"/>
      <c r="Y455" s="46"/>
      <c r="Z455" s="46"/>
      <c r="AA455" s="46"/>
      <c r="AB455" s="46"/>
      <c r="AC455" s="46"/>
      <c r="AD455" s="46"/>
      <c r="AE455" s="50">
        <f>IF(L455="W",1,0)</f>
        <v>0</v>
      </c>
      <c r="AF455" s="50">
        <f>IF(L455="T",1,0)</f>
        <v>0</v>
      </c>
      <c r="AG455" s="50">
        <f>IF(L455="L",1,0)</f>
        <v>1</v>
      </c>
      <c r="AH455" s="46" t="s">
        <v>1101</v>
      </c>
      <c r="AI455" s="46" t="s">
        <v>1159</v>
      </c>
      <c r="AJ455" s="46" t="s">
        <v>376</v>
      </c>
      <c r="AK455" s="46" t="s">
        <v>658</v>
      </c>
      <c r="AL455" s="46" t="s">
        <v>1017</v>
      </c>
      <c r="AM455" s="46" t="s">
        <v>1018</v>
      </c>
      <c r="AN455" s="46" t="s">
        <v>376</v>
      </c>
      <c r="AO455" s="46" t="s">
        <v>658</v>
      </c>
      <c r="AP455" s="46"/>
      <c r="AQ455" s="46">
        <v>2</v>
      </c>
      <c r="AR455" s="46"/>
      <c r="AS455" s="46"/>
      <c r="AT455" s="46"/>
      <c r="AU455" s="46" t="s">
        <v>376</v>
      </c>
      <c r="AV455" s="46"/>
      <c r="AW455" s="46" t="s">
        <v>30</v>
      </c>
      <c r="AX455" s="46"/>
      <c r="AY455" s="46" t="s">
        <v>30</v>
      </c>
      <c r="AZ455" s="46"/>
      <c r="BA455" s="47"/>
      <c r="BB455" s="51"/>
      <c r="BC455" s="46"/>
      <c r="BD455" s="46"/>
      <c r="BE455" s="46"/>
      <c r="BF455" s="46">
        <v>1</v>
      </c>
      <c r="BG455" s="46"/>
      <c r="BH455" s="46"/>
      <c r="BI455" s="46" t="s">
        <v>1157</v>
      </c>
      <c r="BJ455" s="46" t="s">
        <v>1302</v>
      </c>
      <c r="BK455" s="46">
        <v>1946</v>
      </c>
      <c r="BL455" s="46" t="str">
        <f>BK455&amp;BI455</f>
        <v>1946Bolton Wanderers</v>
      </c>
      <c r="BM455" s="52" t="str">
        <f>IF(AD455="Home",BI455,IF(AD455="Away",BJ455,Q455))</f>
        <v>Birmingham</v>
      </c>
      <c r="BN455" s="46"/>
      <c r="BO455" s="46"/>
      <c r="BP455" s="46"/>
      <c r="BQ455" s="46"/>
      <c r="BR455" s="46"/>
      <c r="BS455" s="46"/>
      <c r="BT455" s="46"/>
      <c r="BU455" s="46"/>
      <c r="BV455" s="46" t="s">
        <v>376</v>
      </c>
      <c r="BW455" s="46" t="s">
        <v>376</v>
      </c>
      <c r="BX455" s="46"/>
      <c r="BZ455" s="53"/>
      <c r="CA455" s="53"/>
      <c r="CB455" s="93" t="str">
        <f>IF(OR(C455="",A455="",B455=""),"",TEXT(C455,"0000")&amp;TEXT(A455,"00")&amp;TEXT(B455,"00"))</f>
        <v>19460323</v>
      </c>
    </row>
    <row r="456" spans="1:80" s="52" customFormat="1" ht="12.95" customHeight="1" x14ac:dyDescent="0.2">
      <c r="A456" s="46">
        <v>3</v>
      </c>
      <c r="B456" s="46">
        <v>27</v>
      </c>
      <c r="C456" s="46">
        <v>1946</v>
      </c>
      <c r="D456" s="46" t="s">
        <v>658</v>
      </c>
      <c r="E456" s="46" t="s">
        <v>1301</v>
      </c>
      <c r="F456" s="47" t="s">
        <v>1010</v>
      </c>
      <c r="G456" s="46"/>
      <c r="H456" s="47" t="s">
        <v>1011</v>
      </c>
      <c r="I456" s="47" t="s">
        <v>1023</v>
      </c>
      <c r="J456" s="48">
        <v>16888</v>
      </c>
      <c r="K456" s="46" t="s">
        <v>1191</v>
      </c>
      <c r="L456" s="46" t="s">
        <v>3</v>
      </c>
      <c r="M456" s="46" t="s">
        <v>1125</v>
      </c>
      <c r="N456" s="49">
        <v>4</v>
      </c>
      <c r="O456" s="49">
        <v>0</v>
      </c>
      <c r="P456" s="47" t="s">
        <v>1226</v>
      </c>
      <c r="Q456" s="47" t="s">
        <v>1101</v>
      </c>
      <c r="R456" s="47" t="s">
        <v>376</v>
      </c>
      <c r="S456" s="46"/>
      <c r="T456" s="46"/>
      <c r="U456" s="46"/>
      <c r="V456" s="46"/>
      <c r="W456" s="46"/>
      <c r="X456" s="46"/>
      <c r="Y456" s="46"/>
      <c r="Z456" s="46"/>
      <c r="AA456" s="46"/>
      <c r="AB456" s="46"/>
      <c r="AC456" s="46"/>
      <c r="AD456" s="46"/>
      <c r="AE456" s="50">
        <f>IF(L456="W",1,0)</f>
        <v>1</v>
      </c>
      <c r="AF456" s="50">
        <f>IF(L456="T",1,0)</f>
        <v>0</v>
      </c>
      <c r="AG456" s="50">
        <f>IF(L456="L",1,0)</f>
        <v>0</v>
      </c>
      <c r="AH456" s="46" t="s">
        <v>979</v>
      </c>
      <c r="AI456" s="46" t="s">
        <v>1146</v>
      </c>
      <c r="AJ456" s="46" t="s">
        <v>376</v>
      </c>
      <c r="AK456" s="46" t="s">
        <v>658</v>
      </c>
      <c r="AL456" s="46" t="s">
        <v>1111</v>
      </c>
      <c r="AM456" s="46" t="s">
        <v>1126</v>
      </c>
      <c r="AN456" s="46" t="s">
        <v>376</v>
      </c>
      <c r="AO456" s="46" t="s">
        <v>658</v>
      </c>
      <c r="AP456" s="46"/>
      <c r="AQ456" s="46">
        <v>2</v>
      </c>
      <c r="AR456" s="46"/>
      <c r="AS456" s="46"/>
      <c r="AT456" s="46"/>
      <c r="AU456" s="46" t="s">
        <v>376</v>
      </c>
      <c r="AV456" s="46"/>
      <c r="AW456" s="46" t="s">
        <v>30</v>
      </c>
      <c r="AX456" s="46"/>
      <c r="AY456" s="46" t="s">
        <v>30</v>
      </c>
      <c r="AZ456" s="46"/>
      <c r="BA456" s="47"/>
      <c r="BB456" s="51"/>
      <c r="BC456" s="46"/>
      <c r="BD456" s="46"/>
      <c r="BE456" s="46"/>
      <c r="BF456" s="46">
        <v>1</v>
      </c>
      <c r="BG456" s="46"/>
      <c r="BH456" s="46"/>
      <c r="BI456" s="46" t="s">
        <v>1191</v>
      </c>
      <c r="BJ456" s="46" t="s">
        <v>1125</v>
      </c>
      <c r="BK456" s="46">
        <v>1946</v>
      </c>
      <c r="BL456" s="46" t="str">
        <f>BK456&amp;BI456</f>
        <v>1946Derby County</v>
      </c>
      <c r="BM456" s="52" t="str">
        <f>IF(AD456="Home",BI456,IF(AD456="Away",BJ456,Q456))</f>
        <v>Manchester</v>
      </c>
      <c r="BN456" s="46"/>
      <c r="BO456" s="46"/>
      <c r="BP456" s="46"/>
      <c r="BQ456" s="46"/>
      <c r="BR456" s="46"/>
      <c r="BS456" s="46"/>
      <c r="BT456" s="46"/>
      <c r="BU456" s="46"/>
      <c r="BV456" s="46" t="s">
        <v>376</v>
      </c>
      <c r="BW456" s="46" t="s">
        <v>376</v>
      </c>
      <c r="BX456" s="46"/>
      <c r="BZ456" s="53"/>
      <c r="CA456" s="53"/>
      <c r="CB456" s="93" t="str">
        <f>IF(OR(C456="",A456="",B456=""),"",TEXT(C456,"0000")&amp;TEXT(A456,"00")&amp;TEXT(B456,"00"))</f>
        <v>19460327</v>
      </c>
    </row>
    <row r="457" spans="1:80" s="52" customFormat="1" ht="12.95" customHeight="1" x14ac:dyDescent="0.2">
      <c r="A457" s="46">
        <v>3</v>
      </c>
      <c r="B457" s="46">
        <v>27</v>
      </c>
      <c r="C457" s="46">
        <v>1946</v>
      </c>
      <c r="D457" s="46" t="s">
        <v>658</v>
      </c>
      <c r="E457" s="46" t="s">
        <v>1301</v>
      </c>
      <c r="F457" s="47" t="s">
        <v>1010</v>
      </c>
      <c r="G457" s="46"/>
      <c r="H457" s="47" t="s">
        <v>1011</v>
      </c>
      <c r="I457" s="47" t="s">
        <v>1023</v>
      </c>
      <c r="J457" s="48">
        <v>16888</v>
      </c>
      <c r="K457" s="46" t="s">
        <v>1125</v>
      </c>
      <c r="L457" s="46" t="s">
        <v>4</v>
      </c>
      <c r="M457" s="46" t="s">
        <v>1191</v>
      </c>
      <c r="N457" s="49">
        <v>0</v>
      </c>
      <c r="O457" s="49">
        <v>4</v>
      </c>
      <c r="P457" s="47" t="s">
        <v>1226</v>
      </c>
      <c r="Q457" s="47" t="s">
        <v>1101</v>
      </c>
      <c r="R457" s="47" t="s">
        <v>376</v>
      </c>
      <c r="S457" s="46"/>
      <c r="T457" s="46"/>
      <c r="U457" s="46"/>
      <c r="V457" s="46"/>
      <c r="W457" s="46"/>
      <c r="X457" s="46"/>
      <c r="Y457" s="46"/>
      <c r="Z457" s="46"/>
      <c r="AA457" s="46"/>
      <c r="AB457" s="46"/>
      <c r="AC457" s="46"/>
      <c r="AD457" s="46"/>
      <c r="AE457" s="50">
        <f>IF(L457="W",1,0)</f>
        <v>0</v>
      </c>
      <c r="AF457" s="50">
        <f>IF(L457="T",1,0)</f>
        <v>0</v>
      </c>
      <c r="AG457" s="50">
        <f>IF(L457="L",1,0)</f>
        <v>1</v>
      </c>
      <c r="AH457" s="46" t="s">
        <v>1111</v>
      </c>
      <c r="AI457" s="46" t="s">
        <v>1126</v>
      </c>
      <c r="AJ457" s="46" t="s">
        <v>376</v>
      </c>
      <c r="AK457" s="46" t="s">
        <v>658</v>
      </c>
      <c r="AL457" s="46" t="s">
        <v>979</v>
      </c>
      <c r="AM457" s="46" t="s">
        <v>1146</v>
      </c>
      <c r="AN457" s="46" t="s">
        <v>376</v>
      </c>
      <c r="AO457" s="46" t="s">
        <v>658</v>
      </c>
      <c r="AP457" s="46"/>
      <c r="AQ457" s="46">
        <v>2</v>
      </c>
      <c r="AR457" s="46"/>
      <c r="AS457" s="46"/>
      <c r="AT457" s="46"/>
      <c r="AU457" s="46" t="s">
        <v>376</v>
      </c>
      <c r="AV457" s="46"/>
      <c r="AW457" s="46" t="s">
        <v>30</v>
      </c>
      <c r="AX457" s="46"/>
      <c r="AY457" s="46" t="s">
        <v>30</v>
      </c>
      <c r="AZ457" s="46"/>
      <c r="BA457" s="47"/>
      <c r="BB457" s="51"/>
      <c r="BC457" s="46"/>
      <c r="BD457" s="46"/>
      <c r="BE457" s="46"/>
      <c r="BF457" s="46">
        <v>1</v>
      </c>
      <c r="BG457" s="46"/>
      <c r="BH457" s="46"/>
      <c r="BI457" s="46" t="s">
        <v>1125</v>
      </c>
      <c r="BJ457" s="46" t="s">
        <v>1191</v>
      </c>
      <c r="BK457" s="46">
        <v>1946</v>
      </c>
      <c r="BL457" s="46" t="str">
        <f>BK457&amp;BI457</f>
        <v>1946Birmingham City</v>
      </c>
      <c r="BM457" s="52" t="str">
        <f>IF(AD457="Home",BI457,IF(AD457="Away",BJ457,Q457))</f>
        <v>Manchester</v>
      </c>
      <c r="BN457" s="46"/>
      <c r="BO457" s="46"/>
      <c r="BP457" s="46"/>
      <c r="BQ457" s="46"/>
      <c r="BR457" s="46"/>
      <c r="BS457" s="46"/>
      <c r="BT457" s="46"/>
      <c r="BU457" s="46"/>
      <c r="BV457" s="46" t="s">
        <v>376</v>
      </c>
      <c r="BW457" s="46" t="s">
        <v>376</v>
      </c>
      <c r="BX457" s="46"/>
      <c r="BZ457" s="53"/>
      <c r="CA457" s="53"/>
      <c r="CB457" s="93" t="str">
        <f>IF(OR(C457="",A457="",B457=""),"",TEXT(C457,"0000")&amp;TEXT(A457,"00")&amp;TEXT(B457,"00"))</f>
        <v>19460327</v>
      </c>
    </row>
    <row r="458" spans="1:80" s="52" customFormat="1" ht="12.95" customHeight="1" x14ac:dyDescent="0.2">
      <c r="A458" s="46">
        <v>4</v>
      </c>
      <c r="B458" s="46">
        <v>27</v>
      </c>
      <c r="C458" s="46">
        <v>1946</v>
      </c>
      <c r="D458" s="46" t="s">
        <v>658</v>
      </c>
      <c r="E458" s="46" t="s">
        <v>1301</v>
      </c>
      <c r="F458" s="47" t="s">
        <v>1010</v>
      </c>
      <c r="G458" s="46"/>
      <c r="H458" s="47" t="s">
        <v>1025</v>
      </c>
      <c r="I458" s="47"/>
      <c r="J458" s="48">
        <v>16919</v>
      </c>
      <c r="K458" s="46" t="s">
        <v>1191</v>
      </c>
      <c r="L458" s="46" t="s">
        <v>3</v>
      </c>
      <c r="M458" s="46" t="s">
        <v>1302</v>
      </c>
      <c r="N458" s="49">
        <v>4</v>
      </c>
      <c r="O458" s="49">
        <v>1</v>
      </c>
      <c r="P458" s="47" t="s">
        <v>1268</v>
      </c>
      <c r="Q458" s="47" t="s">
        <v>1017</v>
      </c>
      <c r="R458" s="47" t="s">
        <v>376</v>
      </c>
      <c r="S458" s="46"/>
      <c r="T458" s="46"/>
      <c r="U458" s="46"/>
      <c r="V458" s="46"/>
      <c r="W458" s="46"/>
      <c r="X458" s="46"/>
      <c r="Y458" s="46"/>
      <c r="Z458" s="46"/>
      <c r="AA458" s="46"/>
      <c r="AB458" s="46"/>
      <c r="AC458" s="46"/>
      <c r="AD458" s="46"/>
      <c r="AE458" s="50">
        <f>IF(L458="W",1,0)</f>
        <v>1</v>
      </c>
      <c r="AF458" s="50">
        <f>IF(L458="T",1,0)</f>
        <v>0</v>
      </c>
      <c r="AG458" s="50">
        <f>IF(L458="L",1,0)</f>
        <v>0</v>
      </c>
      <c r="AH458" s="46" t="s">
        <v>979</v>
      </c>
      <c r="AI458" s="46" t="s">
        <v>1146</v>
      </c>
      <c r="AJ458" s="46" t="s">
        <v>376</v>
      </c>
      <c r="AK458" s="46" t="s">
        <v>658</v>
      </c>
      <c r="AL458" s="46" t="s">
        <v>1017</v>
      </c>
      <c r="AM458" s="46" t="s">
        <v>1018</v>
      </c>
      <c r="AN458" s="46" t="s">
        <v>376</v>
      </c>
      <c r="AO458" s="46" t="s">
        <v>658</v>
      </c>
      <c r="AP458" s="46"/>
      <c r="AQ458" s="46">
        <v>1</v>
      </c>
      <c r="AR458" s="46"/>
      <c r="AS458" s="46"/>
      <c r="AT458" s="46"/>
      <c r="AU458" s="46" t="s">
        <v>376</v>
      </c>
      <c r="AV458" s="46"/>
      <c r="AW458" s="46" t="s">
        <v>30</v>
      </c>
      <c r="AX458" s="46"/>
      <c r="AY458" s="46" t="s">
        <v>30</v>
      </c>
      <c r="AZ458" s="46"/>
      <c r="BA458" s="47"/>
      <c r="BB458" s="51" t="s">
        <v>30</v>
      </c>
      <c r="BC458" s="46" t="s">
        <v>30</v>
      </c>
      <c r="BD458" s="46"/>
      <c r="BE458" s="46"/>
      <c r="BF458" s="46">
        <v>1</v>
      </c>
      <c r="BG458" s="46"/>
      <c r="BH458" s="46"/>
      <c r="BI458" s="46" t="s">
        <v>1191</v>
      </c>
      <c r="BJ458" s="46" t="s">
        <v>1302</v>
      </c>
      <c r="BK458" s="46">
        <v>1946</v>
      </c>
      <c r="BL458" s="46" t="str">
        <f>BK458&amp;BI458</f>
        <v>1946Derby County</v>
      </c>
      <c r="BM458" s="52" t="str">
        <f>IF(AD458="Home",BI458,IF(AD458="Away",BJ458,Q458))</f>
        <v>London</v>
      </c>
      <c r="BN458" s="46"/>
      <c r="BO458" s="46"/>
      <c r="BP458" s="46"/>
      <c r="BQ458" s="46"/>
      <c r="BR458" s="46"/>
      <c r="BS458" s="46"/>
      <c r="BT458" s="46"/>
      <c r="BU458" s="46"/>
      <c r="BV458" s="46" t="s">
        <v>376</v>
      </c>
      <c r="BW458" s="46" t="s">
        <v>376</v>
      </c>
      <c r="BX458" s="46"/>
      <c r="BZ458" s="53"/>
      <c r="CA458" s="53"/>
      <c r="CB458" s="93" t="str">
        <f>IF(OR(C458="",A458="",B458=""),"",TEXT(C458,"0000")&amp;TEXT(A458,"00")&amp;TEXT(B458,"00"))</f>
        <v>19460427</v>
      </c>
    </row>
    <row r="459" spans="1:80" s="52" customFormat="1" ht="12.95" customHeight="1" x14ac:dyDescent="0.2">
      <c r="A459" s="46">
        <v>4</v>
      </c>
      <c r="B459" s="46">
        <v>27</v>
      </c>
      <c r="C459" s="46">
        <v>1946</v>
      </c>
      <c r="D459" s="46" t="s">
        <v>658</v>
      </c>
      <c r="E459" s="46" t="s">
        <v>1301</v>
      </c>
      <c r="F459" s="47" t="s">
        <v>1010</v>
      </c>
      <c r="G459" s="46"/>
      <c r="H459" s="47" t="s">
        <v>1025</v>
      </c>
      <c r="I459" s="47"/>
      <c r="J459" s="48">
        <v>16919</v>
      </c>
      <c r="K459" s="46" t="s">
        <v>1302</v>
      </c>
      <c r="L459" s="46" t="s">
        <v>4</v>
      </c>
      <c r="M459" s="46" t="s">
        <v>1191</v>
      </c>
      <c r="N459" s="49">
        <v>1</v>
      </c>
      <c r="O459" s="49">
        <v>4</v>
      </c>
      <c r="P459" s="47" t="s">
        <v>1268</v>
      </c>
      <c r="Q459" s="47" t="s">
        <v>1017</v>
      </c>
      <c r="R459" s="47" t="s">
        <v>376</v>
      </c>
      <c r="S459" s="46"/>
      <c r="T459" s="46"/>
      <c r="U459" s="46"/>
      <c r="V459" s="46"/>
      <c r="W459" s="46"/>
      <c r="X459" s="46"/>
      <c r="Y459" s="46"/>
      <c r="Z459" s="46"/>
      <c r="AA459" s="46"/>
      <c r="AB459" s="46"/>
      <c r="AC459" s="46"/>
      <c r="AD459" s="46"/>
      <c r="AE459" s="50">
        <f>IF(L459="W",1,0)</f>
        <v>0</v>
      </c>
      <c r="AF459" s="50">
        <f>IF(L459="T",1,0)</f>
        <v>0</v>
      </c>
      <c r="AG459" s="50">
        <f>IF(L459="L",1,0)</f>
        <v>1</v>
      </c>
      <c r="AH459" s="46" t="s">
        <v>1017</v>
      </c>
      <c r="AI459" s="46" t="s">
        <v>1018</v>
      </c>
      <c r="AJ459" s="46" t="s">
        <v>376</v>
      </c>
      <c r="AK459" s="46" t="s">
        <v>658</v>
      </c>
      <c r="AL459" s="46" t="s">
        <v>979</v>
      </c>
      <c r="AM459" s="46" t="s">
        <v>1146</v>
      </c>
      <c r="AN459" s="46" t="s">
        <v>376</v>
      </c>
      <c r="AO459" s="46" t="s">
        <v>658</v>
      </c>
      <c r="AP459" s="46"/>
      <c r="AQ459" s="46">
        <v>1</v>
      </c>
      <c r="AR459" s="46"/>
      <c r="AS459" s="46"/>
      <c r="AT459" s="46"/>
      <c r="AU459" s="46" t="s">
        <v>376</v>
      </c>
      <c r="AV459" s="46"/>
      <c r="AW459" s="46" t="s">
        <v>30</v>
      </c>
      <c r="AX459" s="46"/>
      <c r="AY459" s="46" t="s">
        <v>30</v>
      </c>
      <c r="AZ459" s="46"/>
      <c r="BA459" s="47"/>
      <c r="BB459" s="51"/>
      <c r="BC459" s="46" t="s">
        <v>30</v>
      </c>
      <c r="BD459" s="46"/>
      <c r="BE459" s="46"/>
      <c r="BF459" s="46">
        <v>1</v>
      </c>
      <c r="BG459" s="46"/>
      <c r="BH459" s="46"/>
      <c r="BI459" s="46" t="s">
        <v>1302</v>
      </c>
      <c r="BJ459" s="46" t="s">
        <v>1191</v>
      </c>
      <c r="BK459" s="46">
        <v>1946</v>
      </c>
      <c r="BL459" s="46" t="str">
        <f>BK459&amp;BI459</f>
        <v>1946Charlton Athletic</v>
      </c>
      <c r="BM459" s="52" t="str">
        <f>IF(AD459="Home",BI459,IF(AD459="Away",BJ459,Q459))</f>
        <v>London</v>
      </c>
      <c r="BN459" s="46"/>
      <c r="BO459" s="46"/>
      <c r="BP459" s="46"/>
      <c r="BQ459" s="46"/>
      <c r="BR459" s="46"/>
      <c r="BS459" s="46"/>
      <c r="BT459" s="46"/>
      <c r="BU459" s="46"/>
      <c r="BV459" s="46" t="s">
        <v>376</v>
      </c>
      <c r="BW459" s="46" t="s">
        <v>376</v>
      </c>
      <c r="BX459" s="46"/>
      <c r="BZ459" s="53"/>
      <c r="CA459" s="53"/>
      <c r="CB459" s="93" t="str">
        <f>IF(OR(C459="",A459="",B459=""),"",TEXT(C459,"0000")&amp;TEXT(A459,"00")&amp;TEXT(B459,"00"))</f>
        <v>19460427</v>
      </c>
    </row>
    <row r="460" spans="1:80" s="52" customFormat="1" ht="12.95" customHeight="1" x14ac:dyDescent="0.2">
      <c r="A460" s="46">
        <v>3</v>
      </c>
      <c r="B460" s="46">
        <v>29</v>
      </c>
      <c r="C460" s="46">
        <v>1947</v>
      </c>
      <c r="D460" s="46" t="s">
        <v>658</v>
      </c>
      <c r="E460" s="46" t="s">
        <v>1303</v>
      </c>
      <c r="F460" s="47" t="s">
        <v>1010</v>
      </c>
      <c r="G460" s="46"/>
      <c r="H460" s="47" t="s">
        <v>1011</v>
      </c>
      <c r="I460" s="47"/>
      <c r="J460" s="48">
        <v>17255</v>
      </c>
      <c r="K460" s="46" t="s">
        <v>1302</v>
      </c>
      <c r="L460" s="46" t="s">
        <v>3</v>
      </c>
      <c r="M460" s="46" t="s">
        <v>805</v>
      </c>
      <c r="N460" s="49">
        <v>4</v>
      </c>
      <c r="O460" s="49">
        <v>0</v>
      </c>
      <c r="P460" s="47" t="s">
        <v>1240</v>
      </c>
      <c r="Q460" s="47" t="s">
        <v>1241</v>
      </c>
      <c r="R460" s="47" t="s">
        <v>376</v>
      </c>
      <c r="S460" s="46"/>
      <c r="T460" s="46"/>
      <c r="U460" s="46"/>
      <c r="V460" s="46"/>
      <c r="W460" s="46"/>
      <c r="X460" s="46"/>
      <c r="Y460" s="46"/>
      <c r="Z460" s="46"/>
      <c r="AA460" s="46"/>
      <c r="AB460" s="46"/>
      <c r="AC460" s="46"/>
      <c r="AD460" s="46"/>
      <c r="AE460" s="50">
        <f>IF(L460="W",1,0)</f>
        <v>1</v>
      </c>
      <c r="AF460" s="50">
        <f>IF(L460="T",1,0)</f>
        <v>0</v>
      </c>
      <c r="AG460" s="50">
        <f>IF(L460="L",1,0)</f>
        <v>0</v>
      </c>
      <c r="AH460" s="46" t="s">
        <v>1017</v>
      </c>
      <c r="AI460" s="46" t="s">
        <v>1018</v>
      </c>
      <c r="AJ460" s="46" t="s">
        <v>376</v>
      </c>
      <c r="AK460" s="46" t="s">
        <v>658</v>
      </c>
      <c r="AL460" s="46" t="s">
        <v>1227</v>
      </c>
      <c r="AM460" s="46" t="s">
        <v>1164</v>
      </c>
      <c r="AN460" s="46" t="s">
        <v>376</v>
      </c>
      <c r="AO460" s="46" t="s">
        <v>658</v>
      </c>
      <c r="AP460" s="46"/>
      <c r="AQ460" s="46">
        <v>2</v>
      </c>
      <c r="AR460" s="46"/>
      <c r="AS460" s="46"/>
      <c r="AT460" s="46"/>
      <c r="AU460" s="46" t="s">
        <v>376</v>
      </c>
      <c r="AV460" s="46"/>
      <c r="AW460" s="46" t="s">
        <v>30</v>
      </c>
      <c r="AX460" s="46"/>
      <c r="AY460" s="46" t="s">
        <v>30</v>
      </c>
      <c r="AZ460" s="46"/>
      <c r="BA460" s="47"/>
      <c r="BB460" s="51"/>
      <c r="BC460" s="46"/>
      <c r="BD460" s="46"/>
      <c r="BE460" s="46"/>
      <c r="BF460" s="46">
        <v>1</v>
      </c>
      <c r="BG460" s="46">
        <v>1</v>
      </c>
      <c r="BH460" s="46">
        <v>2</v>
      </c>
      <c r="BI460" s="46" t="s">
        <v>1302</v>
      </c>
      <c r="BJ460" s="46" t="s">
        <v>805</v>
      </c>
      <c r="BK460" s="46">
        <v>1947</v>
      </c>
      <c r="BL460" s="46" t="str">
        <f>BK460&amp;BI460</f>
        <v>1947Charlton Athletic</v>
      </c>
      <c r="BM460" s="52" t="str">
        <f>IF(AD460="Home",BI460,IF(AD460="Away",BJ460,Q460))</f>
        <v>Leeds</v>
      </c>
      <c r="BN460" s="46"/>
      <c r="BO460" s="46"/>
      <c r="BP460" s="46"/>
      <c r="BQ460" s="46"/>
      <c r="BR460" s="46"/>
      <c r="BS460" s="46"/>
      <c r="BT460" s="46"/>
      <c r="BU460" s="46"/>
      <c r="BV460" s="46" t="s">
        <v>376</v>
      </c>
      <c r="BW460" s="46" t="s">
        <v>376</v>
      </c>
      <c r="BX460" s="46"/>
      <c r="BZ460" s="53"/>
      <c r="CA460" s="53"/>
      <c r="CB460" s="93" t="str">
        <f>IF(OR(C460="",A460="",B460=""),"",TEXT(C460,"0000")&amp;TEXT(A460,"00")&amp;TEXT(B460,"00"))</f>
        <v>19470329</v>
      </c>
    </row>
    <row r="461" spans="1:80" s="52" customFormat="1" ht="12.95" customHeight="1" x14ac:dyDescent="0.2">
      <c r="A461" s="46">
        <v>3</v>
      </c>
      <c r="B461" s="46">
        <v>29</v>
      </c>
      <c r="C461" s="46">
        <v>1947</v>
      </c>
      <c r="D461" s="46" t="s">
        <v>658</v>
      </c>
      <c r="E461" s="46" t="s">
        <v>1303</v>
      </c>
      <c r="F461" s="47" t="s">
        <v>1010</v>
      </c>
      <c r="G461" s="46"/>
      <c r="H461" s="47" t="s">
        <v>1011</v>
      </c>
      <c r="I461" s="47"/>
      <c r="J461" s="48">
        <v>17255</v>
      </c>
      <c r="K461" s="46" t="s">
        <v>805</v>
      </c>
      <c r="L461" s="46" t="s">
        <v>4</v>
      </c>
      <c r="M461" s="46" t="s">
        <v>1302</v>
      </c>
      <c r="N461" s="49">
        <v>0</v>
      </c>
      <c r="O461" s="49">
        <v>4</v>
      </c>
      <c r="P461" s="47" t="s">
        <v>1240</v>
      </c>
      <c r="Q461" s="47" t="s">
        <v>1241</v>
      </c>
      <c r="R461" s="47" t="s">
        <v>376</v>
      </c>
      <c r="S461" s="46"/>
      <c r="T461" s="46"/>
      <c r="U461" s="46"/>
      <c r="V461" s="46"/>
      <c r="W461" s="46"/>
      <c r="X461" s="46"/>
      <c r="Y461" s="46"/>
      <c r="Z461" s="46"/>
      <c r="AA461" s="46"/>
      <c r="AB461" s="46"/>
      <c r="AC461" s="46"/>
      <c r="AD461" s="46"/>
      <c r="AE461" s="50">
        <f>IF(L461="W",1,0)</f>
        <v>0</v>
      </c>
      <c r="AF461" s="50">
        <f>IF(L461="T",1,0)</f>
        <v>0</v>
      </c>
      <c r="AG461" s="50">
        <f>IF(L461="L",1,0)</f>
        <v>1</v>
      </c>
      <c r="AH461" s="46" t="s">
        <v>1227</v>
      </c>
      <c r="AI461" s="46" t="s">
        <v>1164</v>
      </c>
      <c r="AJ461" s="46" t="s">
        <v>376</v>
      </c>
      <c r="AK461" s="46" t="s">
        <v>658</v>
      </c>
      <c r="AL461" s="46" t="s">
        <v>1017</v>
      </c>
      <c r="AM461" s="46" t="s">
        <v>1018</v>
      </c>
      <c r="AN461" s="46" t="s">
        <v>376</v>
      </c>
      <c r="AO461" s="46" t="s">
        <v>658</v>
      </c>
      <c r="AP461" s="46"/>
      <c r="AQ461" s="46">
        <v>2</v>
      </c>
      <c r="AR461" s="46"/>
      <c r="AS461" s="46"/>
      <c r="AT461" s="46"/>
      <c r="AU461" s="46" t="s">
        <v>376</v>
      </c>
      <c r="AV461" s="46"/>
      <c r="AW461" s="46" t="s">
        <v>30</v>
      </c>
      <c r="AX461" s="46"/>
      <c r="AY461" s="46" t="s">
        <v>30</v>
      </c>
      <c r="AZ461" s="46"/>
      <c r="BA461" s="47"/>
      <c r="BB461" s="51"/>
      <c r="BC461" s="46"/>
      <c r="BD461" s="46"/>
      <c r="BE461" s="46"/>
      <c r="BF461" s="46">
        <v>1</v>
      </c>
      <c r="BG461" s="46">
        <v>2</v>
      </c>
      <c r="BH461" s="46">
        <v>1</v>
      </c>
      <c r="BI461" s="46" t="s">
        <v>805</v>
      </c>
      <c r="BJ461" s="46" t="s">
        <v>1302</v>
      </c>
      <c r="BK461" s="46">
        <v>1947</v>
      </c>
      <c r="BL461" s="46" t="str">
        <f>BK461&amp;BI461</f>
        <v>1947Newcastle United</v>
      </c>
      <c r="BM461" s="52" t="str">
        <f>IF(AD461="Home",BI461,IF(AD461="Away",BJ461,Q461))</f>
        <v>Leeds</v>
      </c>
      <c r="BN461" s="46"/>
      <c r="BO461" s="46"/>
      <c r="BP461" s="46"/>
      <c r="BQ461" s="46"/>
      <c r="BR461" s="46"/>
      <c r="BS461" s="46"/>
      <c r="BT461" s="46"/>
      <c r="BU461" s="46"/>
      <c r="BV461" s="46" t="s">
        <v>376</v>
      </c>
      <c r="BW461" s="46" t="s">
        <v>376</v>
      </c>
      <c r="BX461" s="46"/>
      <c r="BZ461" s="53"/>
      <c r="CA461" s="53"/>
      <c r="CB461" s="93" t="str">
        <f>IF(OR(C461="",A461="",B461=""),"",TEXT(C461,"0000")&amp;TEXT(A461,"00")&amp;TEXT(B461,"00"))</f>
        <v>19470329</v>
      </c>
    </row>
    <row r="462" spans="1:80" s="52" customFormat="1" ht="12.95" customHeight="1" x14ac:dyDescent="0.2">
      <c r="A462" s="46">
        <v>3</v>
      </c>
      <c r="B462" s="46">
        <v>29</v>
      </c>
      <c r="C462" s="46">
        <v>1947</v>
      </c>
      <c r="D462" s="46" t="s">
        <v>658</v>
      </c>
      <c r="E462" s="46" t="s">
        <v>1303</v>
      </c>
      <c r="F462" s="47" t="s">
        <v>1010</v>
      </c>
      <c r="G462" s="46"/>
      <c r="H462" s="47" t="s">
        <v>1011</v>
      </c>
      <c r="I462" s="47"/>
      <c r="J462" s="48">
        <v>17255</v>
      </c>
      <c r="K462" s="46" t="s">
        <v>588</v>
      </c>
      <c r="L462" s="46" t="s">
        <v>1014</v>
      </c>
      <c r="M462" s="46" t="s">
        <v>1255</v>
      </c>
      <c r="N462" s="49">
        <v>0</v>
      </c>
      <c r="O462" s="49">
        <v>0</v>
      </c>
      <c r="P462" s="47" t="s">
        <v>1178</v>
      </c>
      <c r="Q462" s="47" t="s">
        <v>1111</v>
      </c>
      <c r="R462" s="47" t="s">
        <v>376</v>
      </c>
      <c r="S462" s="46"/>
      <c r="T462" s="46"/>
      <c r="U462" s="46"/>
      <c r="V462" s="46"/>
      <c r="W462" s="46"/>
      <c r="X462" s="46"/>
      <c r="Y462" s="46"/>
      <c r="Z462" s="46"/>
      <c r="AA462" s="46"/>
      <c r="AB462" s="46"/>
      <c r="AC462" s="46"/>
      <c r="AD462" s="46"/>
      <c r="AE462" s="50">
        <f>IF(L462="W",1,0)</f>
        <v>0</v>
      </c>
      <c r="AF462" s="50">
        <f>IF(L462="T",1,0)</f>
        <v>1</v>
      </c>
      <c r="AG462" s="50">
        <f>IF(L462="L",1,0)</f>
        <v>0</v>
      </c>
      <c r="AH462" s="46" t="s">
        <v>588</v>
      </c>
      <c r="AI462" s="46" t="s">
        <v>1175</v>
      </c>
      <c r="AJ462" s="46" t="s">
        <v>376</v>
      </c>
      <c r="AK462" s="46" t="s">
        <v>658</v>
      </c>
      <c r="AL462" s="46" t="s">
        <v>1255</v>
      </c>
      <c r="AM462" s="46" t="s">
        <v>1086</v>
      </c>
      <c r="AN462" s="46" t="s">
        <v>376</v>
      </c>
      <c r="AO462" s="46" t="s">
        <v>658</v>
      </c>
      <c r="AP462" s="46"/>
      <c r="AQ462" s="46">
        <v>2</v>
      </c>
      <c r="AR462" s="46"/>
      <c r="AS462" s="46"/>
      <c r="AT462" s="46"/>
      <c r="AU462" s="46" t="s">
        <v>376</v>
      </c>
      <c r="AV462" s="46"/>
      <c r="AW462" s="46" t="s">
        <v>30</v>
      </c>
      <c r="AX462" s="46"/>
      <c r="AY462" s="46" t="s">
        <v>30</v>
      </c>
      <c r="AZ462" s="46"/>
      <c r="BA462" s="47"/>
      <c r="BB462" s="51"/>
      <c r="BC462" s="46"/>
      <c r="BD462" s="46"/>
      <c r="BE462" s="46"/>
      <c r="BF462" s="46">
        <v>1</v>
      </c>
      <c r="BG462" s="46">
        <v>1</v>
      </c>
      <c r="BH462" s="46">
        <v>2</v>
      </c>
      <c r="BI462" s="46" t="s">
        <v>588</v>
      </c>
      <c r="BJ462" s="46" t="s">
        <v>1255</v>
      </c>
      <c r="BK462" s="46">
        <v>1947</v>
      </c>
      <c r="BL462" s="46" t="str">
        <f>BK462&amp;BI462</f>
        <v>1947Liverpool</v>
      </c>
      <c r="BM462" s="52" t="str">
        <f>IF(AD462="Home",BI462,IF(AD462="Away",BJ462,Q462))</f>
        <v>Birmingham</v>
      </c>
      <c r="BN462" s="46"/>
      <c r="BO462" s="46"/>
      <c r="BP462" s="46"/>
      <c r="BQ462" s="46"/>
      <c r="BR462" s="46"/>
      <c r="BS462" s="46"/>
      <c r="BT462" s="46"/>
      <c r="BU462" s="46"/>
      <c r="BV462" s="46" t="s">
        <v>376</v>
      </c>
      <c r="BW462" s="46" t="s">
        <v>376</v>
      </c>
      <c r="BX462" s="46"/>
      <c r="BZ462" s="53"/>
      <c r="CA462" s="53"/>
      <c r="CB462" s="93" t="str">
        <f>IF(OR(C462="",A462="",B462=""),"",TEXT(C462,"0000")&amp;TEXT(A462,"00")&amp;TEXT(B462,"00"))</f>
        <v>19470329</v>
      </c>
    </row>
    <row r="463" spans="1:80" s="52" customFormat="1" ht="12.95" customHeight="1" x14ac:dyDescent="0.2">
      <c r="A463" s="46">
        <v>3</v>
      </c>
      <c r="B463" s="46">
        <v>29</v>
      </c>
      <c r="C463" s="46">
        <v>1947</v>
      </c>
      <c r="D463" s="46" t="s">
        <v>658</v>
      </c>
      <c r="E463" s="46" t="s">
        <v>1303</v>
      </c>
      <c r="F463" s="47" t="s">
        <v>1010</v>
      </c>
      <c r="G463" s="46"/>
      <c r="H463" s="47" t="s">
        <v>1011</v>
      </c>
      <c r="I463" s="47"/>
      <c r="J463" s="48">
        <v>17255</v>
      </c>
      <c r="K463" s="46" t="s">
        <v>1255</v>
      </c>
      <c r="L463" s="46" t="s">
        <v>1014</v>
      </c>
      <c r="M463" s="46" t="s">
        <v>588</v>
      </c>
      <c r="N463" s="49">
        <v>0</v>
      </c>
      <c r="O463" s="49">
        <v>0</v>
      </c>
      <c r="P463" s="47" t="s">
        <v>1178</v>
      </c>
      <c r="Q463" s="47" t="s">
        <v>1111</v>
      </c>
      <c r="R463" s="47" t="s">
        <v>376</v>
      </c>
      <c r="S463" s="46"/>
      <c r="T463" s="46"/>
      <c r="U463" s="46"/>
      <c r="V463" s="46"/>
      <c r="W463" s="46"/>
      <c r="X463" s="46"/>
      <c r="Y463" s="46"/>
      <c r="Z463" s="46"/>
      <c r="AA463" s="46"/>
      <c r="AB463" s="46"/>
      <c r="AC463" s="46"/>
      <c r="AD463" s="46"/>
      <c r="AE463" s="50">
        <f>IF(L463="W",1,0)</f>
        <v>0</v>
      </c>
      <c r="AF463" s="50">
        <f>IF(L463="T",1,0)</f>
        <v>1</v>
      </c>
      <c r="AG463" s="50">
        <f>IF(L463="L",1,0)</f>
        <v>0</v>
      </c>
      <c r="AH463" s="46" t="s">
        <v>1255</v>
      </c>
      <c r="AI463" s="46" t="s">
        <v>1086</v>
      </c>
      <c r="AJ463" s="46" t="s">
        <v>376</v>
      </c>
      <c r="AK463" s="46" t="s">
        <v>658</v>
      </c>
      <c r="AL463" s="46" t="s">
        <v>588</v>
      </c>
      <c r="AM463" s="46" t="s">
        <v>1175</v>
      </c>
      <c r="AN463" s="46" t="s">
        <v>376</v>
      </c>
      <c r="AO463" s="46" t="s">
        <v>658</v>
      </c>
      <c r="AP463" s="46"/>
      <c r="AQ463" s="46">
        <v>2</v>
      </c>
      <c r="AR463" s="46"/>
      <c r="AS463" s="46"/>
      <c r="AT463" s="46"/>
      <c r="AU463" s="46" t="s">
        <v>376</v>
      </c>
      <c r="AV463" s="46"/>
      <c r="AW463" s="46" t="s">
        <v>30</v>
      </c>
      <c r="AX463" s="46"/>
      <c r="AY463" s="46" t="s">
        <v>30</v>
      </c>
      <c r="AZ463" s="46"/>
      <c r="BA463" s="47"/>
      <c r="BB463" s="51"/>
      <c r="BC463" s="46"/>
      <c r="BD463" s="46"/>
      <c r="BE463" s="46"/>
      <c r="BF463" s="46">
        <v>1</v>
      </c>
      <c r="BG463" s="46">
        <v>2</v>
      </c>
      <c r="BH463" s="46">
        <v>1</v>
      </c>
      <c r="BI463" s="46" t="s">
        <v>1255</v>
      </c>
      <c r="BJ463" s="46" t="s">
        <v>588</v>
      </c>
      <c r="BK463" s="46">
        <v>1947</v>
      </c>
      <c r="BL463" s="46" t="str">
        <f>BK463&amp;BI463</f>
        <v>1947Burnley</v>
      </c>
      <c r="BM463" s="52" t="str">
        <f>IF(AD463="Home",BI463,IF(AD463="Away",BJ463,Q463))</f>
        <v>Birmingham</v>
      </c>
      <c r="BN463" s="46"/>
      <c r="BO463" s="46"/>
      <c r="BP463" s="46"/>
      <c r="BQ463" s="46"/>
      <c r="BR463" s="46"/>
      <c r="BS463" s="46"/>
      <c r="BT463" s="46"/>
      <c r="BU463" s="46"/>
      <c r="BV463" s="46" t="s">
        <v>376</v>
      </c>
      <c r="BW463" s="46" t="s">
        <v>376</v>
      </c>
      <c r="BX463" s="46"/>
      <c r="BZ463" s="53"/>
      <c r="CA463" s="53"/>
      <c r="CB463" s="93" t="str">
        <f>IF(OR(C463="",A463="",B463=""),"",TEXT(C463,"0000")&amp;TEXT(A463,"00")&amp;TEXT(B463,"00"))</f>
        <v>19470329</v>
      </c>
    </row>
    <row r="464" spans="1:80" s="52" customFormat="1" ht="12.95" customHeight="1" x14ac:dyDescent="0.2">
      <c r="A464" s="46">
        <v>4</v>
      </c>
      <c r="B464" s="46">
        <v>12</v>
      </c>
      <c r="C464" s="46">
        <v>1947</v>
      </c>
      <c r="D464" s="46" t="s">
        <v>658</v>
      </c>
      <c r="E464" s="46" t="s">
        <v>1303</v>
      </c>
      <c r="F464" s="47" t="s">
        <v>1010</v>
      </c>
      <c r="G464" s="46"/>
      <c r="H464" s="47" t="s">
        <v>1011</v>
      </c>
      <c r="I464" s="47" t="s">
        <v>1023</v>
      </c>
      <c r="J464" s="48">
        <v>17269</v>
      </c>
      <c r="K464" s="46" t="s">
        <v>1255</v>
      </c>
      <c r="L464" s="46" t="s">
        <v>3</v>
      </c>
      <c r="M464" s="46" t="s">
        <v>588</v>
      </c>
      <c r="N464" s="49">
        <v>1</v>
      </c>
      <c r="O464" s="49">
        <v>0</v>
      </c>
      <c r="P464" s="47" t="s">
        <v>1226</v>
      </c>
      <c r="Q464" s="47" t="s">
        <v>1101</v>
      </c>
      <c r="R464" s="47" t="s">
        <v>376</v>
      </c>
      <c r="S464" s="46"/>
      <c r="T464" s="46"/>
      <c r="U464" s="46"/>
      <c r="V464" s="46"/>
      <c r="W464" s="46"/>
      <c r="X464" s="46"/>
      <c r="Y464" s="46"/>
      <c r="Z464" s="46"/>
      <c r="AA464" s="46"/>
      <c r="AB464" s="46"/>
      <c r="AC464" s="46"/>
      <c r="AD464" s="46"/>
      <c r="AE464" s="50">
        <f>IF(L464="W",1,0)</f>
        <v>1</v>
      </c>
      <c r="AF464" s="50">
        <f>IF(L464="T",1,0)</f>
        <v>0</v>
      </c>
      <c r="AG464" s="50">
        <f>IF(L464="L",1,0)</f>
        <v>0</v>
      </c>
      <c r="AH464" s="46" t="s">
        <v>1255</v>
      </c>
      <c r="AI464" s="46" t="s">
        <v>1086</v>
      </c>
      <c r="AJ464" s="46" t="s">
        <v>376</v>
      </c>
      <c r="AK464" s="46" t="s">
        <v>658</v>
      </c>
      <c r="AL464" s="46" t="s">
        <v>588</v>
      </c>
      <c r="AM464" s="46" t="s">
        <v>1175</v>
      </c>
      <c r="AN464" s="46" t="s">
        <v>376</v>
      </c>
      <c r="AO464" s="46" t="s">
        <v>658</v>
      </c>
      <c r="AP464" s="46"/>
      <c r="AQ464" s="46">
        <v>2</v>
      </c>
      <c r="AR464" s="46"/>
      <c r="AS464" s="46"/>
      <c r="AT464" s="46"/>
      <c r="AU464" s="46" t="s">
        <v>376</v>
      </c>
      <c r="AV464" s="46"/>
      <c r="AW464" s="46" t="s">
        <v>30</v>
      </c>
      <c r="AX464" s="46"/>
      <c r="AY464" s="46" t="s">
        <v>30</v>
      </c>
      <c r="AZ464" s="46"/>
      <c r="BA464" s="47"/>
      <c r="BB464" s="51"/>
      <c r="BC464" s="46"/>
      <c r="BD464" s="46"/>
      <c r="BE464" s="46"/>
      <c r="BF464" s="46">
        <v>1</v>
      </c>
      <c r="BG464" s="46">
        <v>2</v>
      </c>
      <c r="BH464" s="46">
        <v>1</v>
      </c>
      <c r="BI464" s="46" t="s">
        <v>1255</v>
      </c>
      <c r="BJ464" s="46" t="s">
        <v>588</v>
      </c>
      <c r="BK464" s="46">
        <v>1947</v>
      </c>
      <c r="BL464" s="46" t="str">
        <f>BK464&amp;BI464</f>
        <v>1947Burnley</v>
      </c>
      <c r="BM464" s="52" t="str">
        <f>IF(AD464="Home",BI464,IF(AD464="Away",BJ464,Q464))</f>
        <v>Manchester</v>
      </c>
      <c r="BN464" s="46"/>
      <c r="BO464" s="46"/>
      <c r="BP464" s="46"/>
      <c r="BQ464" s="46"/>
      <c r="BR464" s="46"/>
      <c r="BS464" s="46"/>
      <c r="BT464" s="46"/>
      <c r="BU464" s="46"/>
      <c r="BV464" s="46" t="s">
        <v>376</v>
      </c>
      <c r="BW464" s="46" t="s">
        <v>376</v>
      </c>
      <c r="BX464" s="46"/>
      <c r="BZ464" s="53"/>
      <c r="CA464" s="53"/>
      <c r="CB464" s="93" t="str">
        <f>IF(OR(C464="",A464="",B464=""),"",TEXT(C464,"0000")&amp;TEXT(A464,"00")&amp;TEXT(B464,"00"))</f>
        <v>19470412</v>
      </c>
    </row>
    <row r="465" spans="1:80" s="52" customFormat="1" ht="12.95" customHeight="1" x14ac:dyDescent="0.2">
      <c r="A465" s="46">
        <v>4</v>
      </c>
      <c r="B465" s="46">
        <v>12</v>
      </c>
      <c r="C465" s="46">
        <v>1947</v>
      </c>
      <c r="D465" s="46" t="s">
        <v>658</v>
      </c>
      <c r="E465" s="46" t="s">
        <v>1303</v>
      </c>
      <c r="F465" s="47" t="s">
        <v>1010</v>
      </c>
      <c r="G465" s="46"/>
      <c r="H465" s="47" t="s">
        <v>1011</v>
      </c>
      <c r="I465" s="47" t="s">
        <v>1023</v>
      </c>
      <c r="J465" s="48">
        <v>17269</v>
      </c>
      <c r="K465" s="46" t="s">
        <v>588</v>
      </c>
      <c r="L465" s="46" t="s">
        <v>4</v>
      </c>
      <c r="M465" s="46" t="s">
        <v>1255</v>
      </c>
      <c r="N465" s="49">
        <v>0</v>
      </c>
      <c r="O465" s="49">
        <v>1</v>
      </c>
      <c r="P465" s="47" t="s">
        <v>1226</v>
      </c>
      <c r="Q465" s="47" t="s">
        <v>1101</v>
      </c>
      <c r="R465" s="47" t="s">
        <v>376</v>
      </c>
      <c r="S465" s="46"/>
      <c r="T465" s="46"/>
      <c r="U465" s="46"/>
      <c r="V465" s="46"/>
      <c r="W465" s="46"/>
      <c r="X465" s="46"/>
      <c r="Y465" s="46"/>
      <c r="Z465" s="46"/>
      <c r="AA465" s="46"/>
      <c r="AB465" s="46"/>
      <c r="AC465" s="46"/>
      <c r="AD465" s="46"/>
      <c r="AE465" s="50">
        <f>IF(L465="W",1,0)</f>
        <v>0</v>
      </c>
      <c r="AF465" s="50">
        <f>IF(L465="T",1,0)</f>
        <v>0</v>
      </c>
      <c r="AG465" s="50">
        <f>IF(L465="L",1,0)</f>
        <v>1</v>
      </c>
      <c r="AH465" s="46" t="s">
        <v>588</v>
      </c>
      <c r="AI465" s="46" t="s">
        <v>1175</v>
      </c>
      <c r="AJ465" s="46" t="s">
        <v>376</v>
      </c>
      <c r="AK465" s="46" t="s">
        <v>658</v>
      </c>
      <c r="AL465" s="46" t="s">
        <v>1255</v>
      </c>
      <c r="AM465" s="46" t="s">
        <v>1086</v>
      </c>
      <c r="AN465" s="46" t="s">
        <v>376</v>
      </c>
      <c r="AO465" s="46" t="s">
        <v>658</v>
      </c>
      <c r="AP465" s="46"/>
      <c r="AQ465" s="46">
        <v>2</v>
      </c>
      <c r="AR465" s="46"/>
      <c r="AS465" s="46"/>
      <c r="AT465" s="46"/>
      <c r="AU465" s="46" t="s">
        <v>376</v>
      </c>
      <c r="AV465" s="46"/>
      <c r="AW465" s="46" t="s">
        <v>30</v>
      </c>
      <c r="AX465" s="46"/>
      <c r="AY465" s="46" t="s">
        <v>30</v>
      </c>
      <c r="AZ465" s="46"/>
      <c r="BA465" s="47"/>
      <c r="BB465" s="51"/>
      <c r="BC465" s="46"/>
      <c r="BD465" s="46"/>
      <c r="BE465" s="46"/>
      <c r="BF465" s="46">
        <v>1</v>
      </c>
      <c r="BG465" s="46">
        <v>1</v>
      </c>
      <c r="BH465" s="46">
        <v>2</v>
      </c>
      <c r="BI465" s="46" t="s">
        <v>588</v>
      </c>
      <c r="BJ465" s="46" t="s">
        <v>1255</v>
      </c>
      <c r="BK465" s="46">
        <v>1947</v>
      </c>
      <c r="BL465" s="46" t="str">
        <f>BK465&amp;BI465</f>
        <v>1947Liverpool</v>
      </c>
      <c r="BM465" s="52" t="str">
        <f>IF(AD465="Home",BI465,IF(AD465="Away",BJ465,Q465))</f>
        <v>Manchester</v>
      </c>
      <c r="BN465" s="46"/>
      <c r="BO465" s="46"/>
      <c r="BP465" s="46"/>
      <c r="BQ465" s="46"/>
      <c r="BR465" s="46"/>
      <c r="BS465" s="46"/>
      <c r="BT465" s="46"/>
      <c r="BU465" s="46"/>
      <c r="BV465" s="46" t="s">
        <v>376</v>
      </c>
      <c r="BW465" s="46" t="s">
        <v>376</v>
      </c>
      <c r="BX465" s="46"/>
      <c r="BZ465" s="53"/>
      <c r="CA465" s="53"/>
      <c r="CB465" s="93" t="str">
        <f>IF(OR(C465="",A465="",B465=""),"",TEXT(C465,"0000")&amp;TEXT(A465,"00")&amp;TEXT(B465,"00"))</f>
        <v>19470412</v>
      </c>
    </row>
    <row r="466" spans="1:80" s="52" customFormat="1" ht="12.95" customHeight="1" x14ac:dyDescent="0.2">
      <c r="A466" s="46">
        <v>4</v>
      </c>
      <c r="B466" s="46">
        <v>26</v>
      </c>
      <c r="C466" s="46">
        <v>1947</v>
      </c>
      <c r="D466" s="46" t="s">
        <v>658</v>
      </c>
      <c r="E466" s="46" t="s">
        <v>1303</v>
      </c>
      <c r="F466" s="47" t="s">
        <v>1010</v>
      </c>
      <c r="G466" s="46"/>
      <c r="H466" s="47" t="s">
        <v>1025</v>
      </c>
      <c r="I466" s="47"/>
      <c r="J466" s="48">
        <v>17283</v>
      </c>
      <c r="K466" s="46" t="s">
        <v>1302</v>
      </c>
      <c r="L466" s="46" t="s">
        <v>3</v>
      </c>
      <c r="M466" s="46" t="s">
        <v>1255</v>
      </c>
      <c r="N466" s="49">
        <v>1</v>
      </c>
      <c r="O466" s="49">
        <v>0</v>
      </c>
      <c r="P466" s="47" t="s">
        <v>1268</v>
      </c>
      <c r="Q466" s="47" t="s">
        <v>1017</v>
      </c>
      <c r="R466" s="47" t="s">
        <v>376</v>
      </c>
      <c r="S466" s="46"/>
      <c r="T466" s="46"/>
      <c r="U466" s="46"/>
      <c r="V466" s="46"/>
      <c r="W466" s="46"/>
      <c r="X466" s="46"/>
      <c r="Y466" s="46"/>
      <c r="Z466" s="46"/>
      <c r="AA466" s="46"/>
      <c r="AB466" s="46"/>
      <c r="AC466" s="46"/>
      <c r="AD466" s="46"/>
      <c r="AE466" s="50">
        <f>IF(L466="W",1,0)</f>
        <v>1</v>
      </c>
      <c r="AF466" s="50">
        <f>IF(L466="T",1,0)</f>
        <v>0</v>
      </c>
      <c r="AG466" s="50">
        <f>IF(L466="L",1,0)</f>
        <v>0</v>
      </c>
      <c r="AH466" s="46" t="s">
        <v>1017</v>
      </c>
      <c r="AI466" s="46" t="s">
        <v>1018</v>
      </c>
      <c r="AJ466" s="46" t="s">
        <v>376</v>
      </c>
      <c r="AK466" s="46" t="s">
        <v>658</v>
      </c>
      <c r="AL466" s="46" t="s">
        <v>1255</v>
      </c>
      <c r="AM466" s="46" t="s">
        <v>1086</v>
      </c>
      <c r="AN466" s="46" t="s">
        <v>376</v>
      </c>
      <c r="AO466" s="46" t="s">
        <v>658</v>
      </c>
      <c r="AP466" s="46"/>
      <c r="AQ466" s="46">
        <v>1</v>
      </c>
      <c r="AR466" s="46"/>
      <c r="AS466" s="46"/>
      <c r="AT466" s="46"/>
      <c r="AU466" s="46" t="s">
        <v>376</v>
      </c>
      <c r="AV466" s="46"/>
      <c r="AW466" s="46" t="s">
        <v>30</v>
      </c>
      <c r="AX466" s="46"/>
      <c r="AY466" s="46" t="s">
        <v>30</v>
      </c>
      <c r="AZ466" s="46"/>
      <c r="BA466" s="47"/>
      <c r="BB466" s="51" t="s">
        <v>30</v>
      </c>
      <c r="BC466" s="46" t="s">
        <v>30</v>
      </c>
      <c r="BD466" s="46"/>
      <c r="BE466" s="46"/>
      <c r="BF466" s="46">
        <v>1</v>
      </c>
      <c r="BG466" s="46">
        <v>1</v>
      </c>
      <c r="BH466" s="46">
        <v>2</v>
      </c>
      <c r="BI466" s="46" t="s">
        <v>1302</v>
      </c>
      <c r="BJ466" s="46" t="s">
        <v>1255</v>
      </c>
      <c r="BK466" s="46">
        <v>1947</v>
      </c>
      <c r="BL466" s="46" t="str">
        <f>BK466&amp;BI466</f>
        <v>1947Charlton Athletic</v>
      </c>
      <c r="BM466" s="52" t="str">
        <f>IF(AD466="Home",BI466,IF(AD466="Away",BJ466,Q466))</f>
        <v>London</v>
      </c>
      <c r="BN466" s="46"/>
      <c r="BO466" s="46"/>
      <c r="BP466" s="46"/>
      <c r="BQ466" s="46"/>
      <c r="BR466" s="46"/>
      <c r="BS466" s="46"/>
      <c r="BT466" s="46"/>
      <c r="BU466" s="46"/>
      <c r="BV466" s="46" t="s">
        <v>376</v>
      </c>
      <c r="BW466" s="46" t="s">
        <v>376</v>
      </c>
      <c r="BX466" s="46"/>
      <c r="BZ466" s="53"/>
      <c r="CA466" s="53"/>
      <c r="CB466" s="93" t="str">
        <f>IF(OR(C466="",A466="",B466=""),"",TEXT(C466,"0000")&amp;TEXT(A466,"00")&amp;TEXT(B466,"00"))</f>
        <v>19470426</v>
      </c>
    </row>
    <row r="467" spans="1:80" s="52" customFormat="1" ht="12.95" customHeight="1" x14ac:dyDescent="0.2">
      <c r="A467" s="46">
        <v>4</v>
      </c>
      <c r="B467" s="46">
        <v>26</v>
      </c>
      <c r="C467" s="46">
        <v>1947</v>
      </c>
      <c r="D467" s="46" t="s">
        <v>658</v>
      </c>
      <c r="E467" s="46" t="s">
        <v>1303</v>
      </c>
      <c r="F467" s="47" t="s">
        <v>1010</v>
      </c>
      <c r="G467" s="46"/>
      <c r="H467" s="47" t="s">
        <v>1025</v>
      </c>
      <c r="I467" s="47"/>
      <c r="J467" s="48">
        <v>17283</v>
      </c>
      <c r="K467" s="46" t="s">
        <v>1255</v>
      </c>
      <c r="L467" s="46" t="s">
        <v>4</v>
      </c>
      <c r="M467" s="46" t="s">
        <v>1302</v>
      </c>
      <c r="N467" s="49">
        <v>0</v>
      </c>
      <c r="O467" s="49">
        <v>1</v>
      </c>
      <c r="P467" s="47" t="s">
        <v>1268</v>
      </c>
      <c r="Q467" s="47" t="s">
        <v>1017</v>
      </c>
      <c r="R467" s="47" t="s">
        <v>376</v>
      </c>
      <c r="S467" s="46"/>
      <c r="T467" s="46"/>
      <c r="U467" s="46"/>
      <c r="V467" s="46"/>
      <c r="W467" s="46"/>
      <c r="X467" s="46"/>
      <c r="Y467" s="46"/>
      <c r="Z467" s="46"/>
      <c r="AA467" s="46"/>
      <c r="AB467" s="46"/>
      <c r="AC467" s="46"/>
      <c r="AD467" s="46"/>
      <c r="AE467" s="50">
        <f>IF(L467="W",1,0)</f>
        <v>0</v>
      </c>
      <c r="AF467" s="50">
        <f>IF(L467="T",1,0)</f>
        <v>0</v>
      </c>
      <c r="AG467" s="50">
        <f>IF(L467="L",1,0)</f>
        <v>1</v>
      </c>
      <c r="AH467" s="46" t="s">
        <v>1255</v>
      </c>
      <c r="AI467" s="46" t="s">
        <v>1086</v>
      </c>
      <c r="AJ467" s="46" t="s">
        <v>376</v>
      </c>
      <c r="AK467" s="46" t="s">
        <v>658</v>
      </c>
      <c r="AL467" s="46" t="s">
        <v>1017</v>
      </c>
      <c r="AM467" s="46" t="s">
        <v>1018</v>
      </c>
      <c r="AN467" s="46" t="s">
        <v>376</v>
      </c>
      <c r="AO467" s="46" t="s">
        <v>658</v>
      </c>
      <c r="AP467" s="46"/>
      <c r="AQ467" s="46">
        <v>1</v>
      </c>
      <c r="AR467" s="46"/>
      <c r="AS467" s="46"/>
      <c r="AT467" s="46"/>
      <c r="AU467" s="46" t="s">
        <v>376</v>
      </c>
      <c r="AV467" s="46"/>
      <c r="AW467" s="46" t="s">
        <v>30</v>
      </c>
      <c r="AX467" s="46"/>
      <c r="AY467" s="46" t="s">
        <v>30</v>
      </c>
      <c r="AZ467" s="46"/>
      <c r="BA467" s="47"/>
      <c r="BB467" s="51"/>
      <c r="BC467" s="46" t="s">
        <v>30</v>
      </c>
      <c r="BD467" s="46"/>
      <c r="BE467" s="46"/>
      <c r="BF467" s="46">
        <v>1</v>
      </c>
      <c r="BG467" s="46">
        <v>2</v>
      </c>
      <c r="BH467" s="46">
        <v>1</v>
      </c>
      <c r="BI467" s="46" t="s">
        <v>1255</v>
      </c>
      <c r="BJ467" s="46" t="s">
        <v>1302</v>
      </c>
      <c r="BK467" s="46">
        <v>1947</v>
      </c>
      <c r="BL467" s="46" t="str">
        <f>BK467&amp;BI467</f>
        <v>1947Burnley</v>
      </c>
      <c r="BM467" s="52" t="str">
        <f>IF(AD467="Home",BI467,IF(AD467="Away",BJ467,Q467))</f>
        <v>London</v>
      </c>
      <c r="BN467" s="46"/>
      <c r="BO467" s="46"/>
      <c r="BP467" s="46"/>
      <c r="BQ467" s="46"/>
      <c r="BR467" s="46"/>
      <c r="BS467" s="46"/>
      <c r="BT467" s="46"/>
      <c r="BU467" s="46"/>
      <c r="BV467" s="46" t="s">
        <v>376</v>
      </c>
      <c r="BW467" s="46" t="s">
        <v>376</v>
      </c>
      <c r="BX467" s="46"/>
      <c r="BZ467" s="53"/>
      <c r="CA467" s="53"/>
      <c r="CB467" s="93" t="str">
        <f>IF(OR(C467="",A467="",B467=""),"",TEXT(C467,"0000")&amp;TEXT(A467,"00")&amp;TEXT(B467,"00"))</f>
        <v>19470426</v>
      </c>
    </row>
    <row r="468" spans="1:80" s="52" customFormat="1" ht="12.95" customHeight="1" x14ac:dyDescent="0.2">
      <c r="A468" s="46">
        <v>3</v>
      </c>
      <c r="B468" s="46">
        <v>13</v>
      </c>
      <c r="C468" s="46">
        <v>1948</v>
      </c>
      <c r="D468" s="46" t="s">
        <v>658</v>
      </c>
      <c r="E468" s="46" t="s">
        <v>1304</v>
      </c>
      <c r="F468" s="47" t="s">
        <v>1010</v>
      </c>
      <c r="G468" s="46"/>
      <c r="H468" s="47" t="s">
        <v>1011</v>
      </c>
      <c r="I468" s="47"/>
      <c r="J468" s="48">
        <v>17605</v>
      </c>
      <c r="K468" s="46" t="s">
        <v>1305</v>
      </c>
      <c r="L468" s="46" t="s">
        <v>3</v>
      </c>
      <c r="M468" s="46" t="s">
        <v>813</v>
      </c>
      <c r="N468" s="49">
        <v>3</v>
      </c>
      <c r="O468" s="49">
        <v>1</v>
      </c>
      <c r="P468" s="47" t="s">
        <v>1252</v>
      </c>
      <c r="Q468" s="47" t="s">
        <v>1097</v>
      </c>
      <c r="R468" s="47" t="s">
        <v>376</v>
      </c>
      <c r="S468" s="46"/>
      <c r="T468" s="46"/>
      <c r="U468" s="46"/>
      <c r="V468" s="46"/>
      <c r="W468" s="46"/>
      <c r="X468" s="46"/>
      <c r="Y468" s="46"/>
      <c r="Z468" s="46"/>
      <c r="AA468" s="46"/>
      <c r="AB468" s="46"/>
      <c r="AC468" s="46"/>
      <c r="AD468" s="46"/>
      <c r="AE468" s="50">
        <f>IF(L468="W",1,0)</f>
        <v>1</v>
      </c>
      <c r="AF468" s="50">
        <f>IF(L468="T",1,0)</f>
        <v>0</v>
      </c>
      <c r="AG468" s="50">
        <f>IF(L468="L",1,0)</f>
        <v>0</v>
      </c>
      <c r="AH468" s="46" t="s">
        <v>1305</v>
      </c>
      <c r="AI468" s="46" t="s">
        <v>1086</v>
      </c>
      <c r="AJ468" s="46" t="s">
        <v>376</v>
      </c>
      <c r="AK468" s="46" t="s">
        <v>658</v>
      </c>
      <c r="AL468" s="46" t="s">
        <v>1017</v>
      </c>
      <c r="AM468" s="46" t="s">
        <v>1018</v>
      </c>
      <c r="AN468" s="46" t="s">
        <v>376</v>
      </c>
      <c r="AO468" s="46" t="s">
        <v>658</v>
      </c>
      <c r="AP468" s="46"/>
      <c r="AQ468" s="46">
        <v>2</v>
      </c>
      <c r="AR468" s="46"/>
      <c r="AS468" s="46"/>
      <c r="AT468" s="46"/>
      <c r="AU468" s="46" t="s">
        <v>376</v>
      </c>
      <c r="AV468" s="46"/>
      <c r="AW468" s="46" t="s">
        <v>30</v>
      </c>
      <c r="AX468" s="46"/>
      <c r="AY468" s="46" t="s">
        <v>30</v>
      </c>
      <c r="AZ468" s="46"/>
      <c r="BA468" s="47"/>
      <c r="BB468" s="51"/>
      <c r="BC468" s="46"/>
      <c r="BD468" s="46"/>
      <c r="BE468" s="46"/>
      <c r="BF468" s="46">
        <v>1</v>
      </c>
      <c r="BG468" s="46">
        <v>1</v>
      </c>
      <c r="BH468" s="46">
        <v>2</v>
      </c>
      <c r="BI468" s="46" t="s">
        <v>1305</v>
      </c>
      <c r="BJ468" s="46" t="s">
        <v>813</v>
      </c>
      <c r="BK468" s="46">
        <v>1948</v>
      </c>
      <c r="BL468" s="46" t="str">
        <f>BK468&amp;BI468</f>
        <v>1948Blackpool</v>
      </c>
      <c r="BM468" s="52" t="str">
        <f>IF(AD468="Home",BI468,IF(AD468="Away",BJ468,Q468))</f>
        <v>Sheffield</v>
      </c>
      <c r="BN468" s="46"/>
      <c r="BO468" s="46"/>
      <c r="BP468" s="46"/>
      <c r="BQ468" s="46"/>
      <c r="BR468" s="46"/>
      <c r="BS468" s="46"/>
      <c r="BT468" s="46"/>
      <c r="BU468" s="46"/>
      <c r="BV468" s="46" t="s">
        <v>376</v>
      </c>
      <c r="BW468" s="46" t="s">
        <v>376</v>
      </c>
      <c r="BX468" s="46"/>
      <c r="BY468" s="50"/>
      <c r="BZ468" s="53"/>
      <c r="CA468" s="53"/>
      <c r="CB468" s="93" t="str">
        <f>IF(OR(C468="",A468="",B468=""),"",TEXT(C468,"0000")&amp;TEXT(A468,"00")&amp;TEXT(B468,"00"))</f>
        <v>19480313</v>
      </c>
    </row>
    <row r="469" spans="1:80" s="52" customFormat="1" ht="12.95" customHeight="1" x14ac:dyDescent="0.2">
      <c r="A469" s="46">
        <v>3</v>
      </c>
      <c r="B469" s="46">
        <v>13</v>
      </c>
      <c r="C469" s="46">
        <v>1948</v>
      </c>
      <c r="D469" s="46" t="s">
        <v>658</v>
      </c>
      <c r="E469" s="46" t="s">
        <v>1304</v>
      </c>
      <c r="F469" s="47" t="s">
        <v>1010</v>
      </c>
      <c r="G469" s="46"/>
      <c r="H469" s="47" t="s">
        <v>1011</v>
      </c>
      <c r="I469" s="47"/>
      <c r="J469" s="48">
        <v>17605</v>
      </c>
      <c r="K469" s="46" t="s">
        <v>813</v>
      </c>
      <c r="L469" s="46" t="s">
        <v>4</v>
      </c>
      <c r="M469" s="46" t="s">
        <v>1305</v>
      </c>
      <c r="N469" s="49">
        <v>1</v>
      </c>
      <c r="O469" s="49">
        <v>3</v>
      </c>
      <c r="P469" s="47" t="s">
        <v>1252</v>
      </c>
      <c r="Q469" s="47" t="s">
        <v>1097</v>
      </c>
      <c r="R469" s="47" t="s">
        <v>376</v>
      </c>
      <c r="S469" s="46"/>
      <c r="T469" s="46"/>
      <c r="U469" s="46"/>
      <c r="V469" s="46"/>
      <c r="W469" s="46"/>
      <c r="X469" s="46"/>
      <c r="Y469" s="46"/>
      <c r="Z469" s="46"/>
      <c r="AA469" s="46"/>
      <c r="AB469" s="46"/>
      <c r="AC469" s="46"/>
      <c r="AD469" s="46"/>
      <c r="AE469" s="50">
        <f>IF(L469="W",1,0)</f>
        <v>0</v>
      </c>
      <c r="AF469" s="50">
        <f>IF(L469="T",1,0)</f>
        <v>0</v>
      </c>
      <c r="AG469" s="50">
        <f>IF(L469="L",1,0)</f>
        <v>1</v>
      </c>
      <c r="AH469" s="46" t="s">
        <v>1017</v>
      </c>
      <c r="AI469" s="46" t="s">
        <v>1018</v>
      </c>
      <c r="AJ469" s="46" t="s">
        <v>376</v>
      </c>
      <c r="AK469" s="46" t="s">
        <v>658</v>
      </c>
      <c r="AL469" s="46" t="s">
        <v>1305</v>
      </c>
      <c r="AM469" s="46" t="s">
        <v>1086</v>
      </c>
      <c r="AN469" s="46" t="s">
        <v>376</v>
      </c>
      <c r="AO469" s="46" t="s">
        <v>658</v>
      </c>
      <c r="AP469" s="46"/>
      <c r="AQ469" s="46">
        <v>2</v>
      </c>
      <c r="AR469" s="46"/>
      <c r="AS469" s="46"/>
      <c r="AT469" s="46"/>
      <c r="AU469" s="46" t="s">
        <v>376</v>
      </c>
      <c r="AV469" s="46"/>
      <c r="AW469" s="46" t="s">
        <v>30</v>
      </c>
      <c r="AX469" s="46"/>
      <c r="AY469" s="46" t="s">
        <v>30</v>
      </c>
      <c r="AZ469" s="46"/>
      <c r="BA469" s="47"/>
      <c r="BB469" s="51"/>
      <c r="BC469" s="46"/>
      <c r="BD469" s="46"/>
      <c r="BE469" s="46"/>
      <c r="BF469" s="46">
        <v>1</v>
      </c>
      <c r="BG469" s="46">
        <v>2</v>
      </c>
      <c r="BH469" s="46">
        <v>1</v>
      </c>
      <c r="BI469" s="46" t="s">
        <v>813</v>
      </c>
      <c r="BJ469" s="46" t="s">
        <v>1305</v>
      </c>
      <c r="BK469" s="46">
        <v>1948</v>
      </c>
      <c r="BL469" s="46" t="str">
        <f>BK469&amp;BI469</f>
        <v>1948Tottenham Hotspur</v>
      </c>
      <c r="BM469" s="52" t="str">
        <f>IF(AD469="Home",BI469,IF(AD469="Away",BJ469,Q469))</f>
        <v>Sheffield</v>
      </c>
      <c r="BN469" s="46"/>
      <c r="BO469" s="46"/>
      <c r="BP469" s="46"/>
      <c r="BQ469" s="46"/>
      <c r="BR469" s="46"/>
      <c r="BS469" s="46"/>
      <c r="BT469" s="46"/>
      <c r="BU469" s="46"/>
      <c r="BV469" s="46" t="s">
        <v>376</v>
      </c>
      <c r="BW469" s="46" t="s">
        <v>376</v>
      </c>
      <c r="BX469" s="46"/>
      <c r="BY469" s="50"/>
      <c r="BZ469" s="53"/>
      <c r="CA469" s="53"/>
      <c r="CB469" s="93" t="str">
        <f>IF(OR(C469="",A469="",B469=""),"",TEXT(C469,"0000")&amp;TEXT(A469,"00")&amp;TEXT(B469,"00"))</f>
        <v>19480313</v>
      </c>
    </row>
    <row r="470" spans="1:80" s="52" customFormat="1" ht="12.95" customHeight="1" x14ac:dyDescent="0.2">
      <c r="A470" s="46">
        <v>3</v>
      </c>
      <c r="B470" s="46">
        <v>13</v>
      </c>
      <c r="C470" s="46">
        <v>1948</v>
      </c>
      <c r="D470" s="46" t="s">
        <v>658</v>
      </c>
      <c r="E470" s="46" t="s">
        <v>1304</v>
      </c>
      <c r="F470" s="47" t="s">
        <v>1010</v>
      </c>
      <c r="G470" s="46"/>
      <c r="H470" s="47" t="s">
        <v>1011</v>
      </c>
      <c r="I470" s="47"/>
      <c r="J470" s="48">
        <v>17605</v>
      </c>
      <c r="K470" s="46" t="s">
        <v>821</v>
      </c>
      <c r="L470" s="46" t="s">
        <v>3</v>
      </c>
      <c r="M470" s="46" t="s">
        <v>1191</v>
      </c>
      <c r="N470" s="49">
        <v>3</v>
      </c>
      <c r="O470" s="49">
        <v>1</v>
      </c>
      <c r="P470" s="47" t="s">
        <v>1219</v>
      </c>
      <c r="Q470" s="47" t="s">
        <v>1111</v>
      </c>
      <c r="R470" s="47" t="s">
        <v>376</v>
      </c>
      <c r="S470" s="46"/>
      <c r="T470" s="46"/>
      <c r="U470" s="46"/>
      <c r="V470" s="46"/>
      <c r="W470" s="46"/>
      <c r="X470" s="46"/>
      <c r="Y470" s="46"/>
      <c r="Z470" s="46"/>
      <c r="AA470" s="46"/>
      <c r="AB470" s="46"/>
      <c r="AC470" s="46"/>
      <c r="AD470" s="46"/>
      <c r="AE470" s="50">
        <f>IF(L470="W",1,0)</f>
        <v>1</v>
      </c>
      <c r="AF470" s="50">
        <f>IF(L470="T",1,0)</f>
        <v>0</v>
      </c>
      <c r="AG470" s="50">
        <f>IF(L470="L",1,0)</f>
        <v>0</v>
      </c>
      <c r="AH470" s="46" t="s">
        <v>1101</v>
      </c>
      <c r="AI470" s="46" t="s">
        <v>1159</v>
      </c>
      <c r="AJ470" s="46" t="s">
        <v>376</v>
      </c>
      <c r="AK470" s="46" t="s">
        <v>658</v>
      </c>
      <c r="AL470" s="46" t="s">
        <v>979</v>
      </c>
      <c r="AM470" s="46" t="s">
        <v>1146</v>
      </c>
      <c r="AN470" s="46" t="s">
        <v>376</v>
      </c>
      <c r="AO470" s="46" t="s">
        <v>658</v>
      </c>
      <c r="AP470" s="46"/>
      <c r="AQ470" s="46">
        <v>2</v>
      </c>
      <c r="AR470" s="46"/>
      <c r="AS470" s="46"/>
      <c r="AT470" s="46"/>
      <c r="AU470" s="46" t="s">
        <v>376</v>
      </c>
      <c r="AV470" s="46"/>
      <c r="AW470" s="46" t="s">
        <v>30</v>
      </c>
      <c r="AX470" s="46"/>
      <c r="AY470" s="46" t="s">
        <v>30</v>
      </c>
      <c r="AZ470" s="46"/>
      <c r="BA470" s="47"/>
      <c r="BB470" s="51"/>
      <c r="BC470" s="46"/>
      <c r="BD470" s="46"/>
      <c r="BE470" s="46"/>
      <c r="BF470" s="46">
        <v>1</v>
      </c>
      <c r="BG470" s="46">
        <v>1</v>
      </c>
      <c r="BH470" s="46">
        <v>1</v>
      </c>
      <c r="BI470" s="46" t="s">
        <v>821</v>
      </c>
      <c r="BJ470" s="46" t="s">
        <v>1191</v>
      </c>
      <c r="BK470" s="46">
        <v>1948</v>
      </c>
      <c r="BL470" s="46" t="str">
        <f>BK470&amp;BI470</f>
        <v>1948Manchester United</v>
      </c>
      <c r="BM470" s="52" t="str">
        <f>IF(AD470="Home",BI470,IF(AD470="Away",BJ470,Q470))</f>
        <v>Birmingham</v>
      </c>
      <c r="BN470" s="46"/>
      <c r="BO470" s="46"/>
      <c r="BP470" s="46"/>
      <c r="BQ470" s="46"/>
      <c r="BR470" s="46"/>
      <c r="BS470" s="46"/>
      <c r="BT470" s="46"/>
      <c r="BU470" s="46"/>
      <c r="BV470" s="46" t="s">
        <v>376</v>
      </c>
      <c r="BW470" s="46" t="s">
        <v>376</v>
      </c>
      <c r="BX470" s="46"/>
      <c r="BZ470" s="53"/>
      <c r="CA470" s="53"/>
      <c r="CB470" s="93" t="str">
        <f>IF(OR(C470="",A470="",B470=""),"",TEXT(C470,"0000")&amp;TEXT(A470,"00")&amp;TEXT(B470,"00"))</f>
        <v>19480313</v>
      </c>
    </row>
    <row r="471" spans="1:80" s="52" customFormat="1" ht="12.95" customHeight="1" x14ac:dyDescent="0.2">
      <c r="A471" s="46">
        <v>3</v>
      </c>
      <c r="B471" s="46">
        <v>13</v>
      </c>
      <c r="C471" s="46">
        <v>1948</v>
      </c>
      <c r="D471" s="46" t="s">
        <v>658</v>
      </c>
      <c r="E471" s="46" t="s">
        <v>1304</v>
      </c>
      <c r="F471" s="47" t="s">
        <v>1010</v>
      </c>
      <c r="G471" s="46"/>
      <c r="H471" s="47" t="s">
        <v>1011</v>
      </c>
      <c r="I471" s="47"/>
      <c r="J471" s="48">
        <v>17605</v>
      </c>
      <c r="K471" s="46" t="s">
        <v>1191</v>
      </c>
      <c r="L471" s="46" t="s">
        <v>4</v>
      </c>
      <c r="M471" s="46" t="s">
        <v>821</v>
      </c>
      <c r="N471" s="49">
        <v>1</v>
      </c>
      <c r="O471" s="49">
        <v>3</v>
      </c>
      <c r="P471" s="47" t="s">
        <v>1219</v>
      </c>
      <c r="Q471" s="47" t="s">
        <v>1111</v>
      </c>
      <c r="R471" s="47" t="s">
        <v>376</v>
      </c>
      <c r="S471" s="46"/>
      <c r="T471" s="46"/>
      <c r="U471" s="46"/>
      <c r="V471" s="46"/>
      <c r="W471" s="46"/>
      <c r="X471" s="46"/>
      <c r="Y471" s="46"/>
      <c r="Z471" s="46"/>
      <c r="AA471" s="46"/>
      <c r="AB471" s="46"/>
      <c r="AC471" s="46"/>
      <c r="AD471" s="46"/>
      <c r="AE471" s="50">
        <f>IF(L471="W",1,0)</f>
        <v>0</v>
      </c>
      <c r="AF471" s="50">
        <f>IF(L471="T",1,0)</f>
        <v>0</v>
      </c>
      <c r="AG471" s="50">
        <f>IF(L471="L",1,0)</f>
        <v>1</v>
      </c>
      <c r="AH471" s="46" t="s">
        <v>979</v>
      </c>
      <c r="AI471" s="46" t="s">
        <v>1146</v>
      </c>
      <c r="AJ471" s="46" t="s">
        <v>376</v>
      </c>
      <c r="AK471" s="46" t="s">
        <v>658</v>
      </c>
      <c r="AL471" s="46" t="s">
        <v>1101</v>
      </c>
      <c r="AM471" s="46" t="s">
        <v>1159</v>
      </c>
      <c r="AN471" s="46" t="s">
        <v>376</v>
      </c>
      <c r="AO471" s="46" t="s">
        <v>658</v>
      </c>
      <c r="AP471" s="46"/>
      <c r="AQ471" s="46">
        <v>2</v>
      </c>
      <c r="AR471" s="46"/>
      <c r="AS471" s="46"/>
      <c r="AT471" s="46"/>
      <c r="AU471" s="46" t="s">
        <v>376</v>
      </c>
      <c r="AV471" s="46"/>
      <c r="AW471" s="46" t="s">
        <v>30</v>
      </c>
      <c r="AX471" s="46"/>
      <c r="AY471" s="46" t="s">
        <v>30</v>
      </c>
      <c r="AZ471" s="46"/>
      <c r="BA471" s="47"/>
      <c r="BB471" s="51"/>
      <c r="BC471" s="46"/>
      <c r="BD471" s="46"/>
      <c r="BE471" s="46"/>
      <c r="BF471" s="46">
        <v>1</v>
      </c>
      <c r="BG471" s="46">
        <v>1</v>
      </c>
      <c r="BH471" s="46">
        <v>1</v>
      </c>
      <c r="BI471" s="46" t="s">
        <v>1191</v>
      </c>
      <c r="BJ471" s="46" t="s">
        <v>821</v>
      </c>
      <c r="BK471" s="46">
        <v>1948</v>
      </c>
      <c r="BL471" s="46" t="str">
        <f>BK471&amp;BI471</f>
        <v>1948Derby County</v>
      </c>
      <c r="BM471" s="52" t="str">
        <f>IF(AD471="Home",BI471,IF(AD471="Away",BJ471,Q471))</f>
        <v>Birmingham</v>
      </c>
      <c r="BN471" s="46"/>
      <c r="BO471" s="46"/>
      <c r="BP471" s="46"/>
      <c r="BQ471" s="46"/>
      <c r="BR471" s="46"/>
      <c r="BS471" s="46"/>
      <c r="BT471" s="46"/>
      <c r="BU471" s="46"/>
      <c r="BV471" s="46" t="s">
        <v>376</v>
      </c>
      <c r="BW471" s="46" t="s">
        <v>376</v>
      </c>
      <c r="BX471" s="46"/>
      <c r="BZ471" s="53"/>
      <c r="CA471" s="53"/>
      <c r="CB471" s="93" t="str">
        <f>IF(OR(C471="",A471="",B471=""),"",TEXT(C471,"0000")&amp;TEXT(A471,"00")&amp;TEXT(B471,"00"))</f>
        <v>19480313</v>
      </c>
    </row>
    <row r="472" spans="1:80" s="52" customFormat="1" ht="12.95" customHeight="1" x14ac:dyDescent="0.2">
      <c r="A472" s="46">
        <v>4</v>
      </c>
      <c r="B472" s="46">
        <v>24</v>
      </c>
      <c r="C472" s="46">
        <v>1948</v>
      </c>
      <c r="D472" s="46" t="s">
        <v>658</v>
      </c>
      <c r="E472" s="46" t="s">
        <v>1304</v>
      </c>
      <c r="F472" s="47" t="s">
        <v>1010</v>
      </c>
      <c r="G472" s="46"/>
      <c r="H472" s="47" t="s">
        <v>1025</v>
      </c>
      <c r="I472" s="47"/>
      <c r="J472" s="48">
        <v>17647</v>
      </c>
      <c r="K472" s="46" t="s">
        <v>821</v>
      </c>
      <c r="L472" s="46" t="s">
        <v>3</v>
      </c>
      <c r="M472" s="46" t="s">
        <v>1305</v>
      </c>
      <c r="N472" s="49">
        <v>4</v>
      </c>
      <c r="O472" s="49">
        <v>2</v>
      </c>
      <c r="P472" s="47" t="s">
        <v>1268</v>
      </c>
      <c r="Q472" s="47" t="s">
        <v>1017</v>
      </c>
      <c r="R472" s="47" t="s">
        <v>376</v>
      </c>
      <c r="S472" s="46"/>
      <c r="T472" s="46"/>
      <c r="U472" s="46"/>
      <c r="V472" s="46"/>
      <c r="W472" s="46"/>
      <c r="X472" s="46"/>
      <c r="Y472" s="46"/>
      <c r="Z472" s="46"/>
      <c r="AA472" s="46"/>
      <c r="AB472" s="46"/>
      <c r="AC472" s="46"/>
      <c r="AD472" s="46"/>
      <c r="AE472" s="50">
        <f>IF(L472="W",1,0)</f>
        <v>1</v>
      </c>
      <c r="AF472" s="50">
        <f>IF(L472="T",1,0)</f>
        <v>0</v>
      </c>
      <c r="AG472" s="50">
        <f>IF(L472="L",1,0)</f>
        <v>0</v>
      </c>
      <c r="AH472" s="46" t="s">
        <v>1101</v>
      </c>
      <c r="AI472" s="46" t="s">
        <v>1159</v>
      </c>
      <c r="AJ472" s="46" t="s">
        <v>376</v>
      </c>
      <c r="AK472" s="46" t="s">
        <v>658</v>
      </c>
      <c r="AL472" s="46" t="s">
        <v>1305</v>
      </c>
      <c r="AM472" s="46" t="s">
        <v>1086</v>
      </c>
      <c r="AN472" s="46" t="s">
        <v>376</v>
      </c>
      <c r="AO472" s="46" t="s">
        <v>658</v>
      </c>
      <c r="AP472" s="46"/>
      <c r="AQ472" s="46">
        <v>1</v>
      </c>
      <c r="AR472" s="46"/>
      <c r="AS472" s="46"/>
      <c r="AT472" s="46"/>
      <c r="AU472" s="46" t="s">
        <v>376</v>
      </c>
      <c r="AV472" s="46"/>
      <c r="AW472" s="46" t="s">
        <v>30</v>
      </c>
      <c r="AX472" s="46"/>
      <c r="AY472" s="46" t="s">
        <v>30</v>
      </c>
      <c r="AZ472" s="46"/>
      <c r="BA472" s="47"/>
      <c r="BB472" s="51" t="s">
        <v>30</v>
      </c>
      <c r="BC472" s="46" t="s">
        <v>30</v>
      </c>
      <c r="BD472" s="46"/>
      <c r="BE472" s="46"/>
      <c r="BF472" s="46">
        <v>1</v>
      </c>
      <c r="BG472" s="46">
        <v>1</v>
      </c>
      <c r="BH472" s="46">
        <v>1</v>
      </c>
      <c r="BI472" s="46" t="s">
        <v>821</v>
      </c>
      <c r="BJ472" s="46" t="s">
        <v>1305</v>
      </c>
      <c r="BK472" s="46">
        <v>1948</v>
      </c>
      <c r="BL472" s="46" t="str">
        <f>BK472&amp;BI472</f>
        <v>1948Manchester United</v>
      </c>
      <c r="BM472" s="52" t="str">
        <f>IF(AD472="Home",BI472,IF(AD472="Away",BJ472,Q472))</f>
        <v>London</v>
      </c>
      <c r="BN472" s="46"/>
      <c r="BO472" s="46"/>
      <c r="BP472" s="46"/>
      <c r="BQ472" s="46"/>
      <c r="BR472" s="46"/>
      <c r="BS472" s="46"/>
      <c r="BT472" s="46"/>
      <c r="BU472" s="46"/>
      <c r="BV472" s="46" t="s">
        <v>376</v>
      </c>
      <c r="BW472" s="46" t="s">
        <v>376</v>
      </c>
      <c r="BX472" s="46"/>
      <c r="BZ472" s="53"/>
      <c r="CA472" s="53"/>
      <c r="CB472" s="93" t="str">
        <f>IF(OR(C472="",A472="",B472=""),"",TEXT(C472,"0000")&amp;TEXT(A472,"00")&amp;TEXT(B472,"00"))</f>
        <v>19480424</v>
      </c>
    </row>
    <row r="473" spans="1:80" s="52" customFormat="1" ht="12.95" customHeight="1" x14ac:dyDescent="0.2">
      <c r="A473" s="46">
        <v>4</v>
      </c>
      <c r="B473" s="46">
        <v>24</v>
      </c>
      <c r="C473" s="46">
        <v>1948</v>
      </c>
      <c r="D473" s="46" t="s">
        <v>658</v>
      </c>
      <c r="E473" s="46" t="s">
        <v>1304</v>
      </c>
      <c r="F473" s="47" t="s">
        <v>1010</v>
      </c>
      <c r="G473" s="46"/>
      <c r="H473" s="47" t="s">
        <v>1025</v>
      </c>
      <c r="I473" s="47"/>
      <c r="J473" s="48">
        <v>17647</v>
      </c>
      <c r="K473" s="46" t="s">
        <v>1305</v>
      </c>
      <c r="L473" s="46" t="s">
        <v>4</v>
      </c>
      <c r="M473" s="46" t="s">
        <v>821</v>
      </c>
      <c r="N473" s="49">
        <v>2</v>
      </c>
      <c r="O473" s="49">
        <v>4</v>
      </c>
      <c r="P473" s="47" t="s">
        <v>1268</v>
      </c>
      <c r="Q473" s="47" t="s">
        <v>1017</v>
      </c>
      <c r="R473" s="47" t="s">
        <v>376</v>
      </c>
      <c r="S473" s="46"/>
      <c r="T473" s="46"/>
      <c r="U473" s="46"/>
      <c r="V473" s="46"/>
      <c r="W473" s="46"/>
      <c r="X473" s="46"/>
      <c r="Y473" s="46"/>
      <c r="Z473" s="46"/>
      <c r="AA473" s="46"/>
      <c r="AB473" s="46"/>
      <c r="AC473" s="46"/>
      <c r="AD473" s="46"/>
      <c r="AE473" s="50">
        <f>IF(L473="W",1,0)</f>
        <v>0</v>
      </c>
      <c r="AF473" s="50">
        <f>IF(L473="T",1,0)</f>
        <v>0</v>
      </c>
      <c r="AG473" s="50">
        <f>IF(L473="L",1,0)</f>
        <v>1</v>
      </c>
      <c r="AH473" s="46" t="s">
        <v>1305</v>
      </c>
      <c r="AI473" s="46" t="s">
        <v>1086</v>
      </c>
      <c r="AJ473" s="46" t="s">
        <v>376</v>
      </c>
      <c r="AK473" s="46" t="s">
        <v>658</v>
      </c>
      <c r="AL473" s="46" t="s">
        <v>1101</v>
      </c>
      <c r="AM473" s="46" t="s">
        <v>1159</v>
      </c>
      <c r="AN473" s="46" t="s">
        <v>376</v>
      </c>
      <c r="AO473" s="46" t="s">
        <v>658</v>
      </c>
      <c r="AP473" s="46"/>
      <c r="AQ473" s="46">
        <v>1</v>
      </c>
      <c r="AR473" s="46"/>
      <c r="AS473" s="46"/>
      <c r="AT473" s="46"/>
      <c r="AU473" s="46" t="s">
        <v>376</v>
      </c>
      <c r="AV473" s="46"/>
      <c r="AW473" s="46" t="s">
        <v>30</v>
      </c>
      <c r="AX473" s="46"/>
      <c r="AY473" s="46" t="s">
        <v>30</v>
      </c>
      <c r="AZ473" s="46"/>
      <c r="BA473" s="47"/>
      <c r="BB473" s="51"/>
      <c r="BC473" s="46" t="s">
        <v>30</v>
      </c>
      <c r="BD473" s="46"/>
      <c r="BE473" s="46"/>
      <c r="BF473" s="46">
        <v>1</v>
      </c>
      <c r="BG473" s="46">
        <v>1</v>
      </c>
      <c r="BH473" s="46">
        <v>1</v>
      </c>
      <c r="BI473" s="46" t="s">
        <v>1305</v>
      </c>
      <c r="BJ473" s="46" t="s">
        <v>821</v>
      </c>
      <c r="BK473" s="46">
        <v>1948</v>
      </c>
      <c r="BL473" s="46" t="str">
        <f>BK473&amp;BI473</f>
        <v>1948Blackpool</v>
      </c>
      <c r="BM473" s="52" t="str">
        <f>IF(AD473="Home",BI473,IF(AD473="Away",BJ473,Q473))</f>
        <v>London</v>
      </c>
      <c r="BN473" s="46"/>
      <c r="BO473" s="46"/>
      <c r="BP473" s="46"/>
      <c r="BQ473" s="46"/>
      <c r="BR473" s="46"/>
      <c r="BS473" s="46"/>
      <c r="BT473" s="46"/>
      <c r="BU473" s="46"/>
      <c r="BV473" s="46" t="s">
        <v>376</v>
      </c>
      <c r="BW473" s="46" t="s">
        <v>376</v>
      </c>
      <c r="BX473" s="46"/>
      <c r="BZ473" s="53"/>
      <c r="CA473" s="53"/>
      <c r="CB473" s="93" t="str">
        <f>IF(OR(C473="",A473="",B473=""),"",TEXT(C473,"0000")&amp;TEXT(A473,"00")&amp;TEXT(B473,"00"))</f>
        <v>19480424</v>
      </c>
    </row>
    <row r="474" spans="1:80" s="52" customFormat="1" ht="12.95" customHeight="1" x14ac:dyDescent="0.2">
      <c r="A474" s="46">
        <v>3</v>
      </c>
      <c r="B474" s="46">
        <v>26</v>
      </c>
      <c r="C474" s="46">
        <v>1949</v>
      </c>
      <c r="D474" s="46" t="s">
        <v>658</v>
      </c>
      <c r="E474" s="46" t="s">
        <v>1306</v>
      </c>
      <c r="F474" s="47" t="s">
        <v>1010</v>
      </c>
      <c r="G474" s="46"/>
      <c r="H474" s="47" t="s">
        <v>1011</v>
      </c>
      <c r="I474" s="47"/>
      <c r="J474" s="48">
        <v>17983</v>
      </c>
      <c r="K474" s="46" t="s">
        <v>1291</v>
      </c>
      <c r="L474" s="46" t="s">
        <v>3</v>
      </c>
      <c r="M474" s="46" t="s">
        <v>1280</v>
      </c>
      <c r="N474" s="49">
        <v>3</v>
      </c>
      <c r="O474" s="49">
        <v>1</v>
      </c>
      <c r="P474" s="47" t="s">
        <v>1281</v>
      </c>
      <c r="Q474" s="47" t="s">
        <v>1017</v>
      </c>
      <c r="R474" s="47" t="s">
        <v>376</v>
      </c>
      <c r="S474" s="46"/>
      <c r="T474" s="46"/>
      <c r="U474" s="46"/>
      <c r="V474" s="46"/>
      <c r="W474" s="46"/>
      <c r="X474" s="46"/>
      <c r="Y474" s="46"/>
      <c r="Z474" s="46"/>
      <c r="AA474" s="46"/>
      <c r="AB474" s="46"/>
      <c r="AC474" s="46"/>
      <c r="AD474" s="46"/>
      <c r="AE474" s="50">
        <f>IF(L474="W",1,0)</f>
        <v>1</v>
      </c>
      <c r="AF474" s="50">
        <f>IF(L474="T",1,0)</f>
        <v>0</v>
      </c>
      <c r="AG474" s="50">
        <f>IF(L474="L",1,0)</f>
        <v>0</v>
      </c>
      <c r="AH474" s="46" t="s">
        <v>1278</v>
      </c>
      <c r="AI474" s="46" t="s">
        <v>1292</v>
      </c>
      <c r="AJ474" s="46" t="s">
        <v>376</v>
      </c>
      <c r="AK474" s="46" t="s">
        <v>658</v>
      </c>
      <c r="AL474" s="46" t="s">
        <v>1280</v>
      </c>
      <c r="AM474" s="46" t="s">
        <v>1199</v>
      </c>
      <c r="AN474" s="46" t="s">
        <v>376</v>
      </c>
      <c r="AO474" s="46" t="s">
        <v>658</v>
      </c>
      <c r="AP474" s="46"/>
      <c r="AQ474" s="46">
        <v>2</v>
      </c>
      <c r="AR474" s="46"/>
      <c r="AS474" s="46"/>
      <c r="AT474" s="46"/>
      <c r="AU474" s="46" t="s">
        <v>376</v>
      </c>
      <c r="AV474" s="46"/>
      <c r="AW474" s="46" t="s">
        <v>30</v>
      </c>
      <c r="AX474" s="46"/>
      <c r="AY474" s="46" t="s">
        <v>30</v>
      </c>
      <c r="AZ474" s="46"/>
      <c r="BA474" s="47"/>
      <c r="BB474" s="51"/>
      <c r="BC474" s="46"/>
      <c r="BD474" s="46"/>
      <c r="BE474" s="46"/>
      <c r="BF474" s="46">
        <v>1</v>
      </c>
      <c r="BG474" s="46">
        <v>2</v>
      </c>
      <c r="BH474" s="46">
        <v>1</v>
      </c>
      <c r="BI474" s="46" t="s">
        <v>1291</v>
      </c>
      <c r="BJ474" s="46" t="s">
        <v>1280</v>
      </c>
      <c r="BK474" s="46">
        <v>1949</v>
      </c>
      <c r="BL474" s="46" t="str">
        <f>BK474&amp;BI474</f>
        <v>1949Leicester City</v>
      </c>
      <c r="BM474" s="52" t="str">
        <f>IF(AD474="Home",BI474,IF(AD474="Away",BJ474,Q474))</f>
        <v>London</v>
      </c>
      <c r="BN474" s="46"/>
      <c r="BO474" s="46"/>
      <c r="BP474" s="46"/>
      <c r="BQ474" s="46"/>
      <c r="BR474" s="46"/>
      <c r="BS474" s="46"/>
      <c r="BT474" s="46"/>
      <c r="BU474" s="46"/>
      <c r="BV474" s="46" t="s">
        <v>376</v>
      </c>
      <c r="BW474" s="46" t="s">
        <v>376</v>
      </c>
      <c r="BX474" s="46"/>
      <c r="BZ474" s="53"/>
      <c r="CA474" s="53"/>
      <c r="CB474" s="93" t="str">
        <f>IF(OR(C474="",A474="",B474=""),"",TEXT(C474,"0000")&amp;TEXT(A474,"00")&amp;TEXT(B474,"00"))</f>
        <v>19490326</v>
      </c>
    </row>
    <row r="475" spans="1:80" s="52" customFormat="1" ht="12.95" customHeight="1" x14ac:dyDescent="0.2">
      <c r="A475" s="46">
        <v>3</v>
      </c>
      <c r="B475" s="46">
        <v>26</v>
      </c>
      <c r="C475" s="46">
        <v>1949</v>
      </c>
      <c r="D475" s="46" t="s">
        <v>658</v>
      </c>
      <c r="E475" s="46" t="s">
        <v>1306</v>
      </c>
      <c r="F475" s="47" t="s">
        <v>1010</v>
      </c>
      <c r="G475" s="46"/>
      <c r="H475" s="47" t="s">
        <v>1011</v>
      </c>
      <c r="I475" s="47"/>
      <c r="J475" s="48">
        <v>17983</v>
      </c>
      <c r="K475" s="46" t="s">
        <v>1280</v>
      </c>
      <c r="L475" s="46" t="s">
        <v>4</v>
      </c>
      <c r="M475" s="46" t="s">
        <v>1291</v>
      </c>
      <c r="N475" s="49">
        <v>1</v>
      </c>
      <c r="O475" s="49">
        <v>3</v>
      </c>
      <c r="P475" s="47" t="s">
        <v>1281</v>
      </c>
      <c r="Q475" s="47" t="s">
        <v>1017</v>
      </c>
      <c r="R475" s="47" t="s">
        <v>376</v>
      </c>
      <c r="S475" s="46"/>
      <c r="T475" s="46"/>
      <c r="U475" s="46"/>
      <c r="V475" s="46"/>
      <c r="W475" s="46"/>
      <c r="X475" s="46"/>
      <c r="Y475" s="46"/>
      <c r="Z475" s="46"/>
      <c r="AA475" s="46"/>
      <c r="AB475" s="46"/>
      <c r="AC475" s="46"/>
      <c r="AD475" s="46"/>
      <c r="AE475" s="50">
        <f>IF(L475="W",1,0)</f>
        <v>0</v>
      </c>
      <c r="AF475" s="50">
        <f>IF(L475="T",1,0)</f>
        <v>0</v>
      </c>
      <c r="AG475" s="50">
        <f>IF(L475="L",1,0)</f>
        <v>1</v>
      </c>
      <c r="AH475" s="46" t="s">
        <v>1280</v>
      </c>
      <c r="AI475" s="46" t="s">
        <v>1199</v>
      </c>
      <c r="AJ475" s="46" t="s">
        <v>376</v>
      </c>
      <c r="AK475" s="46" t="s">
        <v>658</v>
      </c>
      <c r="AL475" s="46" t="s">
        <v>1278</v>
      </c>
      <c r="AM475" s="46" t="s">
        <v>1292</v>
      </c>
      <c r="AN475" s="46" t="s">
        <v>376</v>
      </c>
      <c r="AO475" s="46" t="s">
        <v>658</v>
      </c>
      <c r="AP475" s="46"/>
      <c r="AQ475" s="46">
        <v>2</v>
      </c>
      <c r="AR475" s="46"/>
      <c r="AS475" s="46"/>
      <c r="AT475" s="46"/>
      <c r="AU475" s="46" t="s">
        <v>376</v>
      </c>
      <c r="AV475" s="46"/>
      <c r="AW475" s="46" t="s">
        <v>30</v>
      </c>
      <c r="AX475" s="46"/>
      <c r="AY475" s="46" t="s">
        <v>30</v>
      </c>
      <c r="AZ475" s="46"/>
      <c r="BA475" s="47"/>
      <c r="BB475" s="51"/>
      <c r="BC475" s="46"/>
      <c r="BD475" s="46"/>
      <c r="BE475" s="46"/>
      <c r="BF475" s="46">
        <v>1</v>
      </c>
      <c r="BG475" s="46">
        <v>1</v>
      </c>
      <c r="BH475" s="46">
        <v>2</v>
      </c>
      <c r="BI475" s="46" t="s">
        <v>1280</v>
      </c>
      <c r="BJ475" s="46" t="s">
        <v>1291</v>
      </c>
      <c r="BK475" s="46">
        <v>1949</v>
      </c>
      <c r="BL475" s="46" t="str">
        <f>BK475&amp;BI475</f>
        <v>1949Portsmouth</v>
      </c>
      <c r="BM475" s="52" t="str">
        <f>IF(AD475="Home",BI475,IF(AD475="Away",BJ475,Q475))</f>
        <v>London</v>
      </c>
      <c r="BN475" s="46"/>
      <c r="BO475" s="46"/>
      <c r="BP475" s="46"/>
      <c r="BQ475" s="46"/>
      <c r="BR475" s="46"/>
      <c r="BS475" s="46"/>
      <c r="BT475" s="46"/>
      <c r="BU475" s="46"/>
      <c r="BV475" s="46" t="s">
        <v>376</v>
      </c>
      <c r="BW475" s="46" t="s">
        <v>376</v>
      </c>
      <c r="BX475" s="46"/>
      <c r="BZ475" s="53"/>
      <c r="CA475" s="53"/>
      <c r="CB475" s="93" t="str">
        <f>IF(OR(C475="",A475="",B475=""),"",TEXT(C475,"0000")&amp;TEXT(A475,"00")&amp;TEXT(B475,"00"))</f>
        <v>19490326</v>
      </c>
    </row>
    <row r="476" spans="1:80" s="52" customFormat="1" ht="12.95" customHeight="1" x14ac:dyDescent="0.2">
      <c r="A476" s="46">
        <v>3</v>
      </c>
      <c r="B476" s="46">
        <v>26</v>
      </c>
      <c r="C476" s="46">
        <v>1949</v>
      </c>
      <c r="D476" s="46" t="s">
        <v>658</v>
      </c>
      <c r="E476" s="46" t="s">
        <v>1306</v>
      </c>
      <c r="F476" s="47" t="s">
        <v>1010</v>
      </c>
      <c r="G476" s="46"/>
      <c r="H476" s="47" t="s">
        <v>1011</v>
      </c>
      <c r="I476" s="47"/>
      <c r="J476" s="48">
        <v>17983</v>
      </c>
      <c r="K476" s="46" t="s">
        <v>1151</v>
      </c>
      <c r="L476" s="46" t="s">
        <v>1014</v>
      </c>
      <c r="M476" s="46" t="s">
        <v>821</v>
      </c>
      <c r="N476" s="49">
        <v>1</v>
      </c>
      <c r="O476" s="49">
        <v>1</v>
      </c>
      <c r="P476" s="47" t="s">
        <v>1252</v>
      </c>
      <c r="Q476" s="47" t="s">
        <v>1097</v>
      </c>
      <c r="R476" s="47" t="s">
        <v>376</v>
      </c>
      <c r="S476" s="46"/>
      <c r="T476" s="46"/>
      <c r="U476" s="46"/>
      <c r="V476" s="46"/>
      <c r="W476" s="46"/>
      <c r="X476" s="46"/>
      <c r="Y476" s="46"/>
      <c r="Z476" s="46"/>
      <c r="AA476" s="46"/>
      <c r="AB476" s="46"/>
      <c r="AC476" s="46"/>
      <c r="AD476" s="46"/>
      <c r="AE476" s="50">
        <f>IF(L476="W",1,0)</f>
        <v>0</v>
      </c>
      <c r="AF476" s="50">
        <f>IF(L476="T",1,0)</f>
        <v>1</v>
      </c>
      <c r="AG476" s="50">
        <f>IF(L476="L",1,0)</f>
        <v>0</v>
      </c>
      <c r="AH476" s="46" t="s">
        <v>1111</v>
      </c>
      <c r="AI476" s="46" t="s">
        <v>1126</v>
      </c>
      <c r="AJ476" s="46" t="s">
        <v>376</v>
      </c>
      <c r="AK476" s="46" t="s">
        <v>658</v>
      </c>
      <c r="AL476" s="46" t="s">
        <v>1101</v>
      </c>
      <c r="AM476" s="46" t="s">
        <v>1159</v>
      </c>
      <c r="AN476" s="46" t="s">
        <v>376</v>
      </c>
      <c r="AO476" s="46" t="s">
        <v>658</v>
      </c>
      <c r="AP476" s="46"/>
      <c r="AQ476" s="46">
        <v>2</v>
      </c>
      <c r="AR476" s="46"/>
      <c r="AS476" s="46"/>
      <c r="AT476" s="46"/>
      <c r="AU476" s="46" t="s">
        <v>376</v>
      </c>
      <c r="AV476" s="46"/>
      <c r="AW476" s="46" t="s">
        <v>30</v>
      </c>
      <c r="AX476" s="46"/>
      <c r="AY476" s="46" t="s">
        <v>30</v>
      </c>
      <c r="AZ476" s="46"/>
      <c r="BA476" s="47"/>
      <c r="BB476" s="51"/>
      <c r="BC476" s="46"/>
      <c r="BD476" s="46"/>
      <c r="BE476" s="46"/>
      <c r="BF476" s="46">
        <v>1</v>
      </c>
      <c r="BG476" s="46">
        <v>1</v>
      </c>
      <c r="BH476" s="46">
        <v>1</v>
      </c>
      <c r="BI476" s="46" t="s">
        <v>1151</v>
      </c>
      <c r="BJ476" s="46" t="s">
        <v>821</v>
      </c>
      <c r="BK476" s="46">
        <v>1949</v>
      </c>
      <c r="BL476" s="46" t="str">
        <f>BK476&amp;BI476</f>
        <v>1949Wolverhampton Wanderers</v>
      </c>
      <c r="BM476" s="52" t="str">
        <f>IF(AD476="Home",BI476,IF(AD476="Away",BJ476,Q476))</f>
        <v>Sheffield</v>
      </c>
      <c r="BN476" s="46"/>
      <c r="BO476" s="46"/>
      <c r="BP476" s="46"/>
      <c r="BQ476" s="46"/>
      <c r="BR476" s="46"/>
      <c r="BS476" s="46"/>
      <c r="BT476" s="46"/>
      <c r="BU476" s="46"/>
      <c r="BV476" s="46" t="s">
        <v>376</v>
      </c>
      <c r="BW476" s="46" t="s">
        <v>376</v>
      </c>
      <c r="BX476" s="46"/>
      <c r="BY476" s="50"/>
      <c r="BZ476" s="53"/>
      <c r="CA476" s="53"/>
      <c r="CB476" s="93" t="str">
        <f>IF(OR(C476="",A476="",B476=""),"",TEXT(C476,"0000")&amp;TEXT(A476,"00")&amp;TEXT(B476,"00"))</f>
        <v>19490326</v>
      </c>
    </row>
    <row r="477" spans="1:80" s="52" customFormat="1" ht="12.95" customHeight="1" x14ac:dyDescent="0.2">
      <c r="A477" s="46">
        <v>3</v>
      </c>
      <c r="B477" s="46">
        <v>26</v>
      </c>
      <c r="C477" s="46">
        <v>1949</v>
      </c>
      <c r="D477" s="46" t="s">
        <v>658</v>
      </c>
      <c r="E477" s="46" t="s">
        <v>1306</v>
      </c>
      <c r="F477" s="47" t="s">
        <v>1010</v>
      </c>
      <c r="G477" s="46"/>
      <c r="H477" s="47" t="s">
        <v>1011</v>
      </c>
      <c r="I477" s="47"/>
      <c r="J477" s="48">
        <v>17983</v>
      </c>
      <c r="K477" s="46" t="s">
        <v>821</v>
      </c>
      <c r="L477" s="46" t="s">
        <v>1014</v>
      </c>
      <c r="M477" s="46" t="s">
        <v>1151</v>
      </c>
      <c r="N477" s="49">
        <v>1</v>
      </c>
      <c r="O477" s="49">
        <v>1</v>
      </c>
      <c r="P477" s="47" t="s">
        <v>1252</v>
      </c>
      <c r="Q477" s="47" t="s">
        <v>1097</v>
      </c>
      <c r="R477" s="47" t="s">
        <v>376</v>
      </c>
      <c r="S477" s="46"/>
      <c r="T477" s="46"/>
      <c r="U477" s="46"/>
      <c r="V477" s="46"/>
      <c r="W477" s="46"/>
      <c r="X477" s="46"/>
      <c r="Y477" s="46"/>
      <c r="Z477" s="46"/>
      <c r="AA477" s="46"/>
      <c r="AB477" s="46"/>
      <c r="AC477" s="46"/>
      <c r="AD477" s="46"/>
      <c r="AE477" s="50">
        <f>IF(L477="W",1,0)</f>
        <v>0</v>
      </c>
      <c r="AF477" s="50">
        <f>IF(L477="T",1,0)</f>
        <v>1</v>
      </c>
      <c r="AG477" s="50">
        <f>IF(L477="L",1,0)</f>
        <v>0</v>
      </c>
      <c r="AH477" s="46" t="s">
        <v>1101</v>
      </c>
      <c r="AI477" s="46" t="s">
        <v>1159</v>
      </c>
      <c r="AJ477" s="46" t="s">
        <v>376</v>
      </c>
      <c r="AK477" s="46" t="s">
        <v>658</v>
      </c>
      <c r="AL477" s="46" t="s">
        <v>1111</v>
      </c>
      <c r="AM477" s="46" t="s">
        <v>1126</v>
      </c>
      <c r="AN477" s="46" t="s">
        <v>376</v>
      </c>
      <c r="AO477" s="46" t="s">
        <v>658</v>
      </c>
      <c r="AP477" s="46"/>
      <c r="AQ477" s="46">
        <v>2</v>
      </c>
      <c r="AR477" s="46"/>
      <c r="AS477" s="46"/>
      <c r="AT477" s="46"/>
      <c r="AU477" s="46" t="s">
        <v>376</v>
      </c>
      <c r="AV477" s="46"/>
      <c r="AW477" s="46" t="s">
        <v>30</v>
      </c>
      <c r="AX477" s="46"/>
      <c r="AY477" s="46" t="s">
        <v>30</v>
      </c>
      <c r="AZ477" s="46"/>
      <c r="BA477" s="47"/>
      <c r="BB477" s="51"/>
      <c r="BC477" s="46"/>
      <c r="BD477" s="46"/>
      <c r="BE477" s="46"/>
      <c r="BF477" s="46">
        <v>1</v>
      </c>
      <c r="BG477" s="46">
        <v>1</v>
      </c>
      <c r="BH477" s="46">
        <v>1</v>
      </c>
      <c r="BI477" s="46" t="s">
        <v>821</v>
      </c>
      <c r="BJ477" s="46" t="s">
        <v>1151</v>
      </c>
      <c r="BK477" s="46">
        <v>1949</v>
      </c>
      <c r="BL477" s="46" t="str">
        <f>BK477&amp;BI477</f>
        <v>1949Manchester United</v>
      </c>
      <c r="BM477" s="52" t="str">
        <f>IF(AD477="Home",BI477,IF(AD477="Away",BJ477,Q477))</f>
        <v>Sheffield</v>
      </c>
      <c r="BN477" s="46"/>
      <c r="BO477" s="46"/>
      <c r="BP477" s="46"/>
      <c r="BQ477" s="46"/>
      <c r="BR477" s="46"/>
      <c r="BS477" s="46"/>
      <c r="BT477" s="46"/>
      <c r="BU477" s="46"/>
      <c r="BV477" s="46" t="s">
        <v>376</v>
      </c>
      <c r="BW477" s="46" t="s">
        <v>376</v>
      </c>
      <c r="BX477" s="46"/>
      <c r="BY477" s="50"/>
      <c r="BZ477" s="53"/>
      <c r="CA477" s="53"/>
      <c r="CB477" s="93" t="str">
        <f>IF(OR(C477="",A477="",B477=""),"",TEXT(C477,"0000")&amp;TEXT(A477,"00")&amp;TEXT(B477,"00"))</f>
        <v>19490326</v>
      </c>
    </row>
    <row r="478" spans="1:80" s="52" customFormat="1" ht="12.95" customHeight="1" x14ac:dyDescent="0.2">
      <c r="A478" s="46">
        <v>4</v>
      </c>
      <c r="B478" s="46">
        <v>2</v>
      </c>
      <c r="C478" s="46">
        <v>1949</v>
      </c>
      <c r="D478" s="46" t="s">
        <v>658</v>
      </c>
      <c r="E478" s="46" t="s">
        <v>1306</v>
      </c>
      <c r="F478" s="47" t="s">
        <v>1010</v>
      </c>
      <c r="G478" s="46"/>
      <c r="H478" s="47" t="s">
        <v>1011</v>
      </c>
      <c r="I478" s="47" t="s">
        <v>1023</v>
      </c>
      <c r="J478" s="48">
        <v>17990</v>
      </c>
      <c r="K478" s="46" t="s">
        <v>1151</v>
      </c>
      <c r="L478" s="46" t="s">
        <v>3</v>
      </c>
      <c r="M478" s="46" t="s">
        <v>821</v>
      </c>
      <c r="N478" s="49">
        <v>1</v>
      </c>
      <c r="O478" s="49">
        <v>0</v>
      </c>
      <c r="P478" s="47" t="s">
        <v>1184</v>
      </c>
      <c r="Q478" s="47" t="s">
        <v>588</v>
      </c>
      <c r="R478" s="47" t="s">
        <v>376</v>
      </c>
      <c r="S478" s="46"/>
      <c r="T478" s="46"/>
      <c r="U478" s="46"/>
      <c r="V478" s="46"/>
      <c r="W478" s="46"/>
      <c r="X478" s="46"/>
      <c r="Y478" s="46"/>
      <c r="Z478" s="46"/>
      <c r="AA478" s="46"/>
      <c r="AB478" s="46"/>
      <c r="AC478" s="46"/>
      <c r="AD478" s="46"/>
      <c r="AE478" s="50">
        <f>IF(L478="W",1,0)</f>
        <v>1</v>
      </c>
      <c r="AF478" s="50">
        <f>IF(L478="T",1,0)</f>
        <v>0</v>
      </c>
      <c r="AG478" s="50">
        <f>IF(L478="L",1,0)</f>
        <v>0</v>
      </c>
      <c r="AH478" s="46" t="s">
        <v>1111</v>
      </c>
      <c r="AI478" s="46" t="s">
        <v>1126</v>
      </c>
      <c r="AJ478" s="46" t="s">
        <v>376</v>
      </c>
      <c r="AK478" s="46" t="s">
        <v>658</v>
      </c>
      <c r="AL478" s="46" t="s">
        <v>1101</v>
      </c>
      <c r="AM478" s="46" t="s">
        <v>1159</v>
      </c>
      <c r="AN478" s="46" t="s">
        <v>376</v>
      </c>
      <c r="AO478" s="46" t="s">
        <v>658</v>
      </c>
      <c r="AP478" s="46"/>
      <c r="AQ478" s="46">
        <v>2</v>
      </c>
      <c r="AR478" s="46"/>
      <c r="AS478" s="46"/>
      <c r="AT478" s="46"/>
      <c r="AU478" s="46" t="s">
        <v>376</v>
      </c>
      <c r="AV478" s="46"/>
      <c r="AW478" s="46" t="s">
        <v>30</v>
      </c>
      <c r="AX478" s="46"/>
      <c r="AY478" s="46" t="s">
        <v>30</v>
      </c>
      <c r="AZ478" s="46"/>
      <c r="BA478" s="47"/>
      <c r="BB478" s="51"/>
      <c r="BC478" s="46"/>
      <c r="BD478" s="46"/>
      <c r="BE478" s="46"/>
      <c r="BF478" s="46">
        <v>1</v>
      </c>
      <c r="BG478" s="46">
        <v>1</v>
      </c>
      <c r="BH478" s="46">
        <v>1</v>
      </c>
      <c r="BI478" s="46" t="s">
        <v>1151</v>
      </c>
      <c r="BJ478" s="46" t="s">
        <v>821</v>
      </c>
      <c r="BK478" s="46">
        <v>1949</v>
      </c>
      <c r="BL478" s="46" t="str">
        <f>BK478&amp;BI478</f>
        <v>1949Wolverhampton Wanderers</v>
      </c>
      <c r="BM478" s="52" t="str">
        <f>IF(AD478="Home",BI478,IF(AD478="Away",BJ478,Q478))</f>
        <v>Liverpool</v>
      </c>
      <c r="BN478" s="46"/>
      <c r="BO478" s="46"/>
      <c r="BP478" s="46"/>
      <c r="BQ478" s="46"/>
      <c r="BR478" s="46"/>
      <c r="BS478" s="46"/>
      <c r="BT478" s="46"/>
      <c r="BU478" s="46"/>
      <c r="BV478" s="46" t="s">
        <v>376</v>
      </c>
      <c r="BW478" s="46" t="s">
        <v>376</v>
      </c>
      <c r="BX478" s="46"/>
      <c r="BZ478" s="53"/>
      <c r="CA478" s="53"/>
      <c r="CB478" s="93" t="str">
        <f>IF(OR(C478="",A478="",B478=""),"",TEXT(C478,"0000")&amp;TEXT(A478,"00")&amp;TEXT(B478,"00"))</f>
        <v>19490402</v>
      </c>
    </row>
    <row r="479" spans="1:80" s="52" customFormat="1" ht="12.95" customHeight="1" x14ac:dyDescent="0.2">
      <c r="A479" s="46">
        <v>4</v>
      </c>
      <c r="B479" s="46">
        <v>2</v>
      </c>
      <c r="C479" s="46">
        <v>1949</v>
      </c>
      <c r="D479" s="46" t="s">
        <v>658</v>
      </c>
      <c r="E479" s="46" t="s">
        <v>1306</v>
      </c>
      <c r="F479" s="47" t="s">
        <v>1010</v>
      </c>
      <c r="G479" s="46"/>
      <c r="H479" s="47" t="s">
        <v>1011</v>
      </c>
      <c r="I479" s="47" t="s">
        <v>1023</v>
      </c>
      <c r="J479" s="48">
        <v>17990</v>
      </c>
      <c r="K479" s="46" t="s">
        <v>821</v>
      </c>
      <c r="L479" s="46" t="s">
        <v>4</v>
      </c>
      <c r="M479" s="46" t="s">
        <v>1151</v>
      </c>
      <c r="N479" s="49">
        <v>0</v>
      </c>
      <c r="O479" s="49">
        <v>1</v>
      </c>
      <c r="P479" s="47" t="s">
        <v>1184</v>
      </c>
      <c r="Q479" s="47" t="s">
        <v>588</v>
      </c>
      <c r="R479" s="47" t="s">
        <v>376</v>
      </c>
      <c r="S479" s="46"/>
      <c r="T479" s="46"/>
      <c r="U479" s="46"/>
      <c r="V479" s="46"/>
      <c r="W479" s="46"/>
      <c r="X479" s="46"/>
      <c r="Y479" s="46"/>
      <c r="Z479" s="46"/>
      <c r="AA479" s="46"/>
      <c r="AB479" s="46"/>
      <c r="AC479" s="46"/>
      <c r="AD479" s="46"/>
      <c r="AE479" s="50">
        <f>IF(L479="W",1,0)</f>
        <v>0</v>
      </c>
      <c r="AF479" s="50">
        <f>IF(L479="T",1,0)</f>
        <v>0</v>
      </c>
      <c r="AG479" s="50">
        <f>IF(L479="L",1,0)</f>
        <v>1</v>
      </c>
      <c r="AH479" s="46" t="s">
        <v>1101</v>
      </c>
      <c r="AI479" s="46" t="s">
        <v>1159</v>
      </c>
      <c r="AJ479" s="46" t="s">
        <v>376</v>
      </c>
      <c r="AK479" s="46" t="s">
        <v>658</v>
      </c>
      <c r="AL479" s="46" t="s">
        <v>1111</v>
      </c>
      <c r="AM479" s="46" t="s">
        <v>1126</v>
      </c>
      <c r="AN479" s="46" t="s">
        <v>376</v>
      </c>
      <c r="AO479" s="46" t="s">
        <v>658</v>
      </c>
      <c r="AP479" s="46"/>
      <c r="AQ479" s="46">
        <v>2</v>
      </c>
      <c r="AR479" s="46"/>
      <c r="AS479" s="46"/>
      <c r="AT479" s="46"/>
      <c r="AU479" s="46" t="s">
        <v>376</v>
      </c>
      <c r="AV479" s="46"/>
      <c r="AW479" s="46" t="s">
        <v>30</v>
      </c>
      <c r="AX479" s="46"/>
      <c r="AY479" s="46" t="s">
        <v>30</v>
      </c>
      <c r="AZ479" s="46"/>
      <c r="BA479" s="47"/>
      <c r="BB479" s="51"/>
      <c r="BC479" s="46"/>
      <c r="BD479" s="46"/>
      <c r="BE479" s="46"/>
      <c r="BF479" s="46">
        <v>1</v>
      </c>
      <c r="BG479" s="46">
        <v>1</v>
      </c>
      <c r="BH479" s="46">
        <v>1</v>
      </c>
      <c r="BI479" s="46" t="s">
        <v>821</v>
      </c>
      <c r="BJ479" s="46" t="s">
        <v>1151</v>
      </c>
      <c r="BK479" s="46">
        <v>1949</v>
      </c>
      <c r="BL479" s="46" t="str">
        <f>BK479&amp;BI479</f>
        <v>1949Manchester United</v>
      </c>
      <c r="BM479" s="52" t="str">
        <f>IF(AD479="Home",BI479,IF(AD479="Away",BJ479,Q479))</f>
        <v>Liverpool</v>
      </c>
      <c r="BN479" s="46"/>
      <c r="BO479" s="46"/>
      <c r="BP479" s="46"/>
      <c r="BQ479" s="46"/>
      <c r="BR479" s="46"/>
      <c r="BS479" s="46"/>
      <c r="BT479" s="46"/>
      <c r="BU479" s="46"/>
      <c r="BV479" s="46" t="s">
        <v>376</v>
      </c>
      <c r="BW479" s="46" t="s">
        <v>376</v>
      </c>
      <c r="BX479" s="46"/>
      <c r="BZ479" s="53"/>
      <c r="CA479" s="53"/>
      <c r="CB479" s="93" t="str">
        <f>IF(OR(C479="",A479="",B479=""),"",TEXT(C479,"0000")&amp;TEXT(A479,"00")&amp;TEXT(B479,"00"))</f>
        <v>19490402</v>
      </c>
    </row>
    <row r="480" spans="1:80" s="52" customFormat="1" ht="12.95" customHeight="1" x14ac:dyDescent="0.2">
      <c r="A480" s="46">
        <v>4</v>
      </c>
      <c r="B480" s="46">
        <v>30</v>
      </c>
      <c r="C480" s="46">
        <v>1949</v>
      </c>
      <c r="D480" s="46" t="s">
        <v>658</v>
      </c>
      <c r="E480" s="46" t="s">
        <v>1306</v>
      </c>
      <c r="F480" s="47" t="s">
        <v>1010</v>
      </c>
      <c r="G480" s="46"/>
      <c r="H480" s="47" t="s">
        <v>1025</v>
      </c>
      <c r="I480" s="47"/>
      <c r="J480" s="48">
        <v>18018</v>
      </c>
      <c r="K480" s="46" t="s">
        <v>1151</v>
      </c>
      <c r="L480" s="46" t="s">
        <v>3</v>
      </c>
      <c r="M480" s="46" t="s">
        <v>1291</v>
      </c>
      <c r="N480" s="49">
        <v>3</v>
      </c>
      <c r="O480" s="49">
        <v>1</v>
      </c>
      <c r="P480" s="47" t="s">
        <v>1268</v>
      </c>
      <c r="Q480" s="47" t="s">
        <v>1017</v>
      </c>
      <c r="R480" s="47" t="s">
        <v>376</v>
      </c>
      <c r="S480" s="46"/>
      <c r="T480" s="46"/>
      <c r="U480" s="46"/>
      <c r="V480" s="46"/>
      <c r="W480" s="46"/>
      <c r="X480" s="46"/>
      <c r="Y480" s="46"/>
      <c r="Z480" s="46"/>
      <c r="AA480" s="46"/>
      <c r="AB480" s="46"/>
      <c r="AC480" s="46"/>
      <c r="AD480" s="46"/>
      <c r="AE480" s="50">
        <f>IF(L480="W",1,0)</f>
        <v>1</v>
      </c>
      <c r="AF480" s="50">
        <f>IF(L480="T",1,0)</f>
        <v>0</v>
      </c>
      <c r="AG480" s="50">
        <f>IF(L480="L",1,0)</f>
        <v>0</v>
      </c>
      <c r="AH480" s="46" t="s">
        <v>1111</v>
      </c>
      <c r="AI480" s="46" t="s">
        <v>1126</v>
      </c>
      <c r="AJ480" s="46" t="s">
        <v>376</v>
      </c>
      <c r="AK480" s="46" t="s">
        <v>658</v>
      </c>
      <c r="AL480" s="46" t="s">
        <v>1278</v>
      </c>
      <c r="AM480" s="46" t="s">
        <v>1292</v>
      </c>
      <c r="AN480" s="46" t="s">
        <v>376</v>
      </c>
      <c r="AO480" s="46" t="s">
        <v>658</v>
      </c>
      <c r="AP480" s="46"/>
      <c r="AQ480" s="46">
        <v>1</v>
      </c>
      <c r="AR480" s="46"/>
      <c r="AS480" s="46"/>
      <c r="AT480" s="46"/>
      <c r="AU480" s="46" t="s">
        <v>376</v>
      </c>
      <c r="AV480" s="46"/>
      <c r="AW480" s="46" t="s">
        <v>30</v>
      </c>
      <c r="AX480" s="46"/>
      <c r="AY480" s="46" t="s">
        <v>30</v>
      </c>
      <c r="AZ480" s="46"/>
      <c r="BA480" s="47"/>
      <c r="BB480" s="51" t="s">
        <v>30</v>
      </c>
      <c r="BC480" s="46" t="s">
        <v>30</v>
      </c>
      <c r="BD480" s="46"/>
      <c r="BE480" s="46"/>
      <c r="BF480" s="46">
        <v>1</v>
      </c>
      <c r="BG480" s="46">
        <v>1</v>
      </c>
      <c r="BH480" s="46">
        <v>2</v>
      </c>
      <c r="BI480" s="46" t="s">
        <v>1151</v>
      </c>
      <c r="BJ480" s="46" t="s">
        <v>1291</v>
      </c>
      <c r="BK480" s="46">
        <v>1949</v>
      </c>
      <c r="BL480" s="46" t="str">
        <f>BK480&amp;BI480</f>
        <v>1949Wolverhampton Wanderers</v>
      </c>
      <c r="BM480" s="52" t="str">
        <f>IF(AD480="Home",BI480,IF(AD480="Away",BJ480,Q480))</f>
        <v>London</v>
      </c>
      <c r="BN480" s="46"/>
      <c r="BO480" s="46"/>
      <c r="BP480" s="46"/>
      <c r="BQ480" s="46"/>
      <c r="BR480" s="46"/>
      <c r="BS480" s="46"/>
      <c r="BT480" s="46"/>
      <c r="BU480" s="46"/>
      <c r="BV480" s="46" t="s">
        <v>376</v>
      </c>
      <c r="BW480" s="46" t="s">
        <v>376</v>
      </c>
      <c r="BX480" s="46"/>
      <c r="BZ480" s="53"/>
      <c r="CA480" s="53"/>
      <c r="CB480" s="93" t="str">
        <f>IF(OR(C480="",A480="",B480=""),"",TEXT(C480,"0000")&amp;TEXT(A480,"00")&amp;TEXT(B480,"00"))</f>
        <v>19490430</v>
      </c>
    </row>
    <row r="481" spans="1:80" s="52" customFormat="1" ht="12.95" customHeight="1" x14ac:dyDescent="0.2">
      <c r="A481" s="46">
        <v>4</v>
      </c>
      <c r="B481" s="46">
        <v>30</v>
      </c>
      <c r="C481" s="46">
        <v>1949</v>
      </c>
      <c r="D481" s="46" t="s">
        <v>658</v>
      </c>
      <c r="E481" s="46" t="s">
        <v>1306</v>
      </c>
      <c r="F481" s="47" t="s">
        <v>1010</v>
      </c>
      <c r="G481" s="46"/>
      <c r="H481" s="47" t="s">
        <v>1025</v>
      </c>
      <c r="I481" s="47"/>
      <c r="J481" s="48">
        <v>18018</v>
      </c>
      <c r="K481" s="46" t="s">
        <v>1291</v>
      </c>
      <c r="L481" s="46" t="s">
        <v>4</v>
      </c>
      <c r="M481" s="46" t="s">
        <v>1151</v>
      </c>
      <c r="N481" s="49">
        <v>1</v>
      </c>
      <c r="O481" s="49">
        <v>3</v>
      </c>
      <c r="P481" s="47" t="s">
        <v>1268</v>
      </c>
      <c r="Q481" s="47" t="s">
        <v>1017</v>
      </c>
      <c r="R481" s="47" t="s">
        <v>376</v>
      </c>
      <c r="S481" s="46"/>
      <c r="T481" s="46"/>
      <c r="U481" s="46"/>
      <c r="V481" s="46"/>
      <c r="W481" s="46"/>
      <c r="X481" s="46"/>
      <c r="Y481" s="46"/>
      <c r="Z481" s="46"/>
      <c r="AA481" s="46"/>
      <c r="AB481" s="46"/>
      <c r="AC481" s="46"/>
      <c r="AD481" s="46"/>
      <c r="AE481" s="50">
        <f>IF(L481="W",1,0)</f>
        <v>0</v>
      </c>
      <c r="AF481" s="50">
        <f>IF(L481="T",1,0)</f>
        <v>0</v>
      </c>
      <c r="AG481" s="50">
        <f>IF(L481="L",1,0)</f>
        <v>1</v>
      </c>
      <c r="AH481" s="46" t="s">
        <v>1278</v>
      </c>
      <c r="AI481" s="46" t="s">
        <v>1292</v>
      </c>
      <c r="AJ481" s="46" t="s">
        <v>376</v>
      </c>
      <c r="AK481" s="46" t="s">
        <v>658</v>
      </c>
      <c r="AL481" s="46" t="s">
        <v>1111</v>
      </c>
      <c r="AM481" s="46" t="s">
        <v>1126</v>
      </c>
      <c r="AN481" s="46" t="s">
        <v>376</v>
      </c>
      <c r="AO481" s="46" t="s">
        <v>658</v>
      </c>
      <c r="AP481" s="46"/>
      <c r="AQ481" s="46">
        <v>1</v>
      </c>
      <c r="AR481" s="46"/>
      <c r="AS481" s="46"/>
      <c r="AT481" s="46"/>
      <c r="AU481" s="46" t="s">
        <v>376</v>
      </c>
      <c r="AV481" s="46"/>
      <c r="AW481" s="46" t="s">
        <v>30</v>
      </c>
      <c r="AX481" s="46"/>
      <c r="AY481" s="46" t="s">
        <v>30</v>
      </c>
      <c r="AZ481" s="46"/>
      <c r="BA481" s="47"/>
      <c r="BB481" s="51"/>
      <c r="BC481" s="46" t="s">
        <v>30</v>
      </c>
      <c r="BD481" s="46"/>
      <c r="BE481" s="46"/>
      <c r="BF481" s="46">
        <v>1</v>
      </c>
      <c r="BG481" s="46">
        <v>2</v>
      </c>
      <c r="BH481" s="46">
        <v>1</v>
      </c>
      <c r="BI481" s="46" t="s">
        <v>1291</v>
      </c>
      <c r="BJ481" s="46" t="s">
        <v>1151</v>
      </c>
      <c r="BK481" s="46">
        <v>1949</v>
      </c>
      <c r="BL481" s="46" t="str">
        <f>BK481&amp;BI481</f>
        <v>1949Leicester City</v>
      </c>
      <c r="BM481" s="52" t="str">
        <f>IF(AD481="Home",BI481,IF(AD481="Away",BJ481,Q481))</f>
        <v>London</v>
      </c>
      <c r="BN481" s="46"/>
      <c r="BO481" s="46"/>
      <c r="BP481" s="46"/>
      <c r="BQ481" s="46"/>
      <c r="BR481" s="46"/>
      <c r="BS481" s="46"/>
      <c r="BT481" s="46"/>
      <c r="BU481" s="46"/>
      <c r="BV481" s="46" t="s">
        <v>376</v>
      </c>
      <c r="BW481" s="46" t="s">
        <v>376</v>
      </c>
      <c r="BX481" s="46"/>
      <c r="BZ481" s="53"/>
      <c r="CA481" s="53"/>
      <c r="CB481" s="93" t="str">
        <f>IF(OR(C481="",A481="",B481=""),"",TEXT(C481,"0000")&amp;TEXT(A481,"00")&amp;TEXT(B481,"00"))</f>
        <v>19490430</v>
      </c>
    </row>
    <row r="482" spans="1:80" s="52" customFormat="1" ht="12.95" customHeight="1" x14ac:dyDescent="0.2">
      <c r="A482" s="46">
        <v>3</v>
      </c>
      <c r="B482" s="46">
        <v>18</v>
      </c>
      <c r="C482" s="46">
        <v>1950</v>
      </c>
      <c r="D482" s="46" t="s">
        <v>658</v>
      </c>
      <c r="E482" s="46" t="s">
        <v>1307</v>
      </c>
      <c r="F482" s="47" t="s">
        <v>1010</v>
      </c>
      <c r="G482" s="46"/>
      <c r="H482" s="47" t="s">
        <v>1011</v>
      </c>
      <c r="I482" s="47"/>
      <c r="J482" s="48">
        <v>18340</v>
      </c>
      <c r="K482" s="46" t="s">
        <v>816</v>
      </c>
      <c r="L482" s="46" t="s">
        <v>1014</v>
      </c>
      <c r="M482" s="46" t="s">
        <v>587</v>
      </c>
      <c r="N482" s="49">
        <v>2</v>
      </c>
      <c r="O482" s="49">
        <v>2</v>
      </c>
      <c r="P482" s="47" t="s">
        <v>1222</v>
      </c>
      <c r="Q482" s="47" t="s">
        <v>1017</v>
      </c>
      <c r="R482" s="47" t="s">
        <v>376</v>
      </c>
      <c r="S482" s="46"/>
      <c r="T482" s="46"/>
      <c r="U482" s="46"/>
      <c r="V482" s="46"/>
      <c r="W482" s="46"/>
      <c r="X482" s="46"/>
      <c r="Y482" s="46"/>
      <c r="Z482" s="46"/>
      <c r="AA482" s="46"/>
      <c r="AB482" s="46"/>
      <c r="AC482" s="46"/>
      <c r="AD482" s="46"/>
      <c r="AE482" s="50">
        <f>IF(L482="W",1,0)</f>
        <v>0</v>
      </c>
      <c r="AF482" s="50">
        <f>IF(L482="T",1,0)</f>
        <v>1</v>
      </c>
      <c r="AG482" s="50">
        <f>IF(L482="L",1,0)</f>
        <v>0</v>
      </c>
      <c r="AH482" s="46" t="s">
        <v>1017</v>
      </c>
      <c r="AI482" s="46" t="s">
        <v>1018</v>
      </c>
      <c r="AJ482" s="46" t="s">
        <v>376</v>
      </c>
      <c r="AK482" s="46" t="s">
        <v>658</v>
      </c>
      <c r="AL482" s="46" t="s">
        <v>1017</v>
      </c>
      <c r="AM482" s="46" t="s">
        <v>1018</v>
      </c>
      <c r="AN482" s="46" t="s">
        <v>376</v>
      </c>
      <c r="AO482" s="46" t="s">
        <v>658</v>
      </c>
      <c r="AP482" s="46"/>
      <c r="AQ482" s="46">
        <v>2</v>
      </c>
      <c r="AR482" s="46"/>
      <c r="AS482" s="46"/>
      <c r="AT482" s="46" t="s">
        <v>1308</v>
      </c>
      <c r="AU482" s="46" t="s">
        <v>376</v>
      </c>
      <c r="AV482" s="46"/>
      <c r="AW482" s="46" t="s">
        <v>30</v>
      </c>
      <c r="AX482" s="46"/>
      <c r="AY482" s="46" t="s">
        <v>30</v>
      </c>
      <c r="AZ482" s="46"/>
      <c r="BA482" s="47"/>
      <c r="BB482" s="51"/>
      <c r="BC482" s="46"/>
      <c r="BD482" s="46"/>
      <c r="BE482" s="46"/>
      <c r="BF482" s="46">
        <v>1</v>
      </c>
      <c r="BG482" s="46">
        <v>1</v>
      </c>
      <c r="BH482" s="46">
        <v>1</v>
      </c>
      <c r="BI482" s="46" t="s">
        <v>816</v>
      </c>
      <c r="BJ482" s="46" t="s">
        <v>587</v>
      </c>
      <c r="BK482" s="46">
        <v>1950</v>
      </c>
      <c r="BL482" s="46" t="str">
        <f>BK482&amp;BI482</f>
        <v>1950Chelsea</v>
      </c>
      <c r="BM482" s="52" t="str">
        <f>IF(AD482="Home",BI482,IF(AD482="Away",BJ482,Q482))</f>
        <v>London</v>
      </c>
      <c r="BN482" s="46"/>
      <c r="BO482" s="46"/>
      <c r="BP482" s="46"/>
      <c r="BQ482" s="46"/>
      <c r="BR482" s="46"/>
      <c r="BS482" s="46"/>
      <c r="BT482" s="46"/>
      <c r="BU482" s="46"/>
      <c r="BV482" s="46" t="s">
        <v>376</v>
      </c>
      <c r="BW482" s="46" t="s">
        <v>376</v>
      </c>
      <c r="BX482" s="46"/>
      <c r="BZ482" s="53"/>
      <c r="CA482" s="53"/>
      <c r="CB482" s="93" t="str">
        <f>IF(OR(C482="",A482="",B482=""),"",TEXT(C482,"0000")&amp;TEXT(A482,"00")&amp;TEXT(B482,"00"))</f>
        <v>19500318</v>
      </c>
    </row>
    <row r="483" spans="1:80" s="52" customFormat="1" ht="12.95" customHeight="1" x14ac:dyDescent="0.2">
      <c r="A483" s="46">
        <v>3</v>
      </c>
      <c r="B483" s="46">
        <v>18</v>
      </c>
      <c r="C483" s="46">
        <v>1950</v>
      </c>
      <c r="D483" s="46" t="s">
        <v>658</v>
      </c>
      <c r="E483" s="46" t="s">
        <v>1307</v>
      </c>
      <c r="F483" s="47" t="s">
        <v>1010</v>
      </c>
      <c r="G483" s="46"/>
      <c r="H483" s="47" t="s">
        <v>1011</v>
      </c>
      <c r="I483" s="47"/>
      <c r="J483" s="48">
        <v>18340</v>
      </c>
      <c r="K483" s="46" t="s">
        <v>587</v>
      </c>
      <c r="L483" s="46" t="s">
        <v>1014</v>
      </c>
      <c r="M483" s="46" t="s">
        <v>816</v>
      </c>
      <c r="N483" s="49">
        <v>2</v>
      </c>
      <c r="O483" s="49">
        <v>2</v>
      </c>
      <c r="P483" s="47" t="s">
        <v>1222</v>
      </c>
      <c r="Q483" s="47" t="s">
        <v>1017</v>
      </c>
      <c r="R483" s="47" t="s">
        <v>376</v>
      </c>
      <c r="S483" s="46"/>
      <c r="T483" s="46"/>
      <c r="U483" s="46"/>
      <c r="V483" s="46"/>
      <c r="W483" s="46"/>
      <c r="X483" s="46"/>
      <c r="Y483" s="46"/>
      <c r="Z483" s="46"/>
      <c r="AA483" s="46"/>
      <c r="AB483" s="46"/>
      <c r="AC483" s="46"/>
      <c r="AD483" s="46"/>
      <c r="AE483" s="50">
        <f>IF(L483="W",1,0)</f>
        <v>0</v>
      </c>
      <c r="AF483" s="50">
        <f>IF(L483="T",1,0)</f>
        <v>1</v>
      </c>
      <c r="AG483" s="50">
        <f>IF(L483="L",1,0)</f>
        <v>0</v>
      </c>
      <c r="AH483" s="46" t="s">
        <v>1017</v>
      </c>
      <c r="AI483" s="46" t="s">
        <v>1018</v>
      </c>
      <c r="AJ483" s="46" t="s">
        <v>376</v>
      </c>
      <c r="AK483" s="46" t="s">
        <v>658</v>
      </c>
      <c r="AL483" s="46" t="s">
        <v>1017</v>
      </c>
      <c r="AM483" s="46" t="s">
        <v>1018</v>
      </c>
      <c r="AN483" s="46" t="s">
        <v>376</v>
      </c>
      <c r="AO483" s="46" t="s">
        <v>658</v>
      </c>
      <c r="AP483" s="46"/>
      <c r="AQ483" s="46">
        <v>2</v>
      </c>
      <c r="AR483" s="46"/>
      <c r="AS483" s="46"/>
      <c r="AT483" s="46" t="s">
        <v>1308</v>
      </c>
      <c r="AU483" s="46" t="s">
        <v>376</v>
      </c>
      <c r="AV483" s="46"/>
      <c r="AW483" s="46" t="s">
        <v>30</v>
      </c>
      <c r="AX483" s="46"/>
      <c r="AY483" s="46" t="s">
        <v>30</v>
      </c>
      <c r="AZ483" s="46"/>
      <c r="BA483" s="47"/>
      <c r="BB483" s="51"/>
      <c r="BC483" s="46"/>
      <c r="BD483" s="46"/>
      <c r="BE483" s="46"/>
      <c r="BF483" s="46">
        <v>1</v>
      </c>
      <c r="BG483" s="46">
        <v>1</v>
      </c>
      <c r="BH483" s="46">
        <v>1</v>
      </c>
      <c r="BI483" s="46" t="s">
        <v>587</v>
      </c>
      <c r="BJ483" s="46" t="s">
        <v>816</v>
      </c>
      <c r="BK483" s="46">
        <v>1950</v>
      </c>
      <c r="BL483" s="46" t="str">
        <f>BK483&amp;BI483</f>
        <v>1950Arsenal</v>
      </c>
      <c r="BM483" s="52" t="str">
        <f>IF(AD483="Home",BI483,IF(AD483="Away",BJ483,Q483))</f>
        <v>London</v>
      </c>
      <c r="BN483" s="46"/>
      <c r="BO483" s="46"/>
      <c r="BP483" s="46"/>
      <c r="BQ483" s="46"/>
      <c r="BR483" s="46"/>
      <c r="BS483" s="46"/>
      <c r="BT483" s="46"/>
      <c r="BU483" s="46"/>
      <c r="BV483" s="46" t="s">
        <v>376</v>
      </c>
      <c r="BW483" s="46" t="s">
        <v>376</v>
      </c>
      <c r="BX483" s="46"/>
      <c r="BZ483" s="53"/>
      <c r="CA483" s="53"/>
      <c r="CB483" s="93" t="str">
        <f>IF(OR(C483="",A483="",B483=""),"",TEXT(C483,"0000")&amp;TEXT(A483,"00")&amp;TEXT(B483,"00"))</f>
        <v>19500318</v>
      </c>
    </row>
    <row r="484" spans="1:80" s="52" customFormat="1" ht="12.95" customHeight="1" x14ac:dyDescent="0.2">
      <c r="A484" s="46">
        <v>3</v>
      </c>
      <c r="B484" s="46">
        <v>22</v>
      </c>
      <c r="C484" s="46">
        <v>1950</v>
      </c>
      <c r="D484" s="46" t="s">
        <v>658</v>
      </c>
      <c r="E484" s="46" t="s">
        <v>1307</v>
      </c>
      <c r="F484" s="47" t="s">
        <v>1010</v>
      </c>
      <c r="G484" s="46"/>
      <c r="H484" s="47" t="s">
        <v>1011</v>
      </c>
      <c r="I484" s="47" t="s">
        <v>1023</v>
      </c>
      <c r="J484" s="48">
        <v>18344</v>
      </c>
      <c r="K484" s="46" t="s">
        <v>587</v>
      </c>
      <c r="L484" s="46" t="s">
        <v>3</v>
      </c>
      <c r="M484" s="46" t="s">
        <v>816</v>
      </c>
      <c r="N484" s="49">
        <v>1</v>
      </c>
      <c r="O484" s="49">
        <v>0</v>
      </c>
      <c r="P484" s="47" t="s">
        <v>1222</v>
      </c>
      <c r="Q484" s="47" t="s">
        <v>1017</v>
      </c>
      <c r="R484" s="47" t="s">
        <v>376</v>
      </c>
      <c r="S484" s="46"/>
      <c r="T484" s="46"/>
      <c r="U484" s="46"/>
      <c r="V484" s="46"/>
      <c r="W484" s="46"/>
      <c r="X484" s="46"/>
      <c r="Y484" s="46"/>
      <c r="Z484" s="46"/>
      <c r="AA484" s="46"/>
      <c r="AB484" s="46"/>
      <c r="AC484" s="46"/>
      <c r="AD484" s="46"/>
      <c r="AE484" s="50">
        <f>IF(L484="W",1,0)</f>
        <v>1</v>
      </c>
      <c r="AF484" s="50">
        <f>IF(L484="T",1,0)</f>
        <v>0</v>
      </c>
      <c r="AG484" s="50">
        <f>IF(L484="L",1,0)</f>
        <v>0</v>
      </c>
      <c r="AH484" s="46" t="s">
        <v>1017</v>
      </c>
      <c r="AI484" s="46" t="s">
        <v>1018</v>
      </c>
      <c r="AJ484" s="46" t="s">
        <v>376</v>
      </c>
      <c r="AK484" s="46" t="s">
        <v>658</v>
      </c>
      <c r="AL484" s="46" t="s">
        <v>1017</v>
      </c>
      <c r="AM484" s="46" t="s">
        <v>1018</v>
      </c>
      <c r="AN484" s="46" t="s">
        <v>376</v>
      </c>
      <c r="AO484" s="46" t="s">
        <v>658</v>
      </c>
      <c r="AP484" s="46"/>
      <c r="AQ484" s="46">
        <v>2</v>
      </c>
      <c r="AR484" s="46"/>
      <c r="AS484" s="46"/>
      <c r="AT484" s="46" t="s">
        <v>1308</v>
      </c>
      <c r="AU484" s="46" t="s">
        <v>376</v>
      </c>
      <c r="AV484" s="46"/>
      <c r="AW484" s="46" t="s">
        <v>30</v>
      </c>
      <c r="AX484" s="46"/>
      <c r="AY484" s="46" t="s">
        <v>30</v>
      </c>
      <c r="AZ484" s="46"/>
      <c r="BA484" s="47"/>
      <c r="BB484" s="51"/>
      <c r="BC484" s="46"/>
      <c r="BD484" s="46"/>
      <c r="BE484" s="46"/>
      <c r="BF484" s="46">
        <v>1</v>
      </c>
      <c r="BG484" s="46">
        <v>1</v>
      </c>
      <c r="BH484" s="46">
        <v>1</v>
      </c>
      <c r="BI484" s="46" t="s">
        <v>587</v>
      </c>
      <c r="BJ484" s="46" t="s">
        <v>816</v>
      </c>
      <c r="BK484" s="46">
        <v>1950</v>
      </c>
      <c r="BL484" s="46" t="str">
        <f>BK484&amp;BI484</f>
        <v>1950Arsenal</v>
      </c>
      <c r="BM484" s="52" t="str">
        <f>IF(AD484="Home",BI484,IF(AD484="Away",BJ484,Q484))</f>
        <v>London</v>
      </c>
      <c r="BN484" s="46"/>
      <c r="BO484" s="46"/>
      <c r="BP484" s="46"/>
      <c r="BQ484" s="46"/>
      <c r="BR484" s="46"/>
      <c r="BS484" s="46"/>
      <c r="BT484" s="46"/>
      <c r="BU484" s="46"/>
      <c r="BV484" s="46" t="s">
        <v>376</v>
      </c>
      <c r="BW484" s="46" t="s">
        <v>376</v>
      </c>
      <c r="BX484" s="46"/>
      <c r="BZ484" s="53"/>
      <c r="CA484" s="53"/>
      <c r="CB484" s="93" t="str">
        <f>IF(OR(C484="",A484="",B484=""),"",TEXT(C484,"0000")&amp;TEXT(A484,"00")&amp;TEXT(B484,"00"))</f>
        <v>19500322</v>
      </c>
    </row>
    <row r="485" spans="1:80" s="52" customFormat="1" ht="12.95" customHeight="1" x14ac:dyDescent="0.2">
      <c r="A485" s="46">
        <v>3</v>
      </c>
      <c r="B485" s="46">
        <v>22</v>
      </c>
      <c r="C485" s="46">
        <v>1950</v>
      </c>
      <c r="D485" s="46" t="s">
        <v>658</v>
      </c>
      <c r="E485" s="46" t="s">
        <v>1307</v>
      </c>
      <c r="F485" s="47" t="s">
        <v>1010</v>
      </c>
      <c r="G485" s="46"/>
      <c r="H485" s="47" t="s">
        <v>1011</v>
      </c>
      <c r="I485" s="47" t="s">
        <v>1023</v>
      </c>
      <c r="J485" s="48">
        <v>18344</v>
      </c>
      <c r="K485" s="46" t="s">
        <v>816</v>
      </c>
      <c r="L485" s="46" t="s">
        <v>4</v>
      </c>
      <c r="M485" s="46" t="s">
        <v>587</v>
      </c>
      <c r="N485" s="49">
        <v>0</v>
      </c>
      <c r="O485" s="49">
        <v>1</v>
      </c>
      <c r="P485" s="47" t="s">
        <v>1222</v>
      </c>
      <c r="Q485" s="47" t="s">
        <v>1017</v>
      </c>
      <c r="R485" s="47" t="s">
        <v>376</v>
      </c>
      <c r="S485" s="46"/>
      <c r="T485" s="46"/>
      <c r="U485" s="46"/>
      <c r="V485" s="46"/>
      <c r="W485" s="46"/>
      <c r="X485" s="46"/>
      <c r="Y485" s="46"/>
      <c r="Z485" s="46"/>
      <c r="AA485" s="46"/>
      <c r="AB485" s="46"/>
      <c r="AC485" s="46"/>
      <c r="AD485" s="46"/>
      <c r="AE485" s="50">
        <f>IF(L485="W",1,0)</f>
        <v>0</v>
      </c>
      <c r="AF485" s="50">
        <f>IF(L485="T",1,0)</f>
        <v>0</v>
      </c>
      <c r="AG485" s="50">
        <f>IF(L485="L",1,0)</f>
        <v>1</v>
      </c>
      <c r="AH485" s="46" t="s">
        <v>1017</v>
      </c>
      <c r="AI485" s="46" t="s">
        <v>1018</v>
      </c>
      <c r="AJ485" s="46" t="s">
        <v>376</v>
      </c>
      <c r="AK485" s="46" t="s">
        <v>658</v>
      </c>
      <c r="AL485" s="46" t="s">
        <v>1017</v>
      </c>
      <c r="AM485" s="46" t="s">
        <v>1018</v>
      </c>
      <c r="AN485" s="46" t="s">
        <v>376</v>
      </c>
      <c r="AO485" s="46" t="s">
        <v>658</v>
      </c>
      <c r="AP485" s="46"/>
      <c r="AQ485" s="46">
        <v>2</v>
      </c>
      <c r="AR485" s="46"/>
      <c r="AS485" s="46"/>
      <c r="AT485" s="46" t="s">
        <v>1308</v>
      </c>
      <c r="AU485" s="46" t="s">
        <v>376</v>
      </c>
      <c r="AV485" s="46"/>
      <c r="AW485" s="46" t="s">
        <v>30</v>
      </c>
      <c r="AX485" s="46"/>
      <c r="AY485" s="46" t="s">
        <v>30</v>
      </c>
      <c r="AZ485" s="46"/>
      <c r="BA485" s="47"/>
      <c r="BB485" s="51"/>
      <c r="BC485" s="46"/>
      <c r="BD485" s="46"/>
      <c r="BE485" s="46"/>
      <c r="BF485" s="46">
        <v>1</v>
      </c>
      <c r="BG485" s="46">
        <v>1</v>
      </c>
      <c r="BH485" s="46">
        <v>1</v>
      </c>
      <c r="BI485" s="46" t="s">
        <v>816</v>
      </c>
      <c r="BJ485" s="46" t="s">
        <v>587</v>
      </c>
      <c r="BK485" s="46">
        <v>1950</v>
      </c>
      <c r="BL485" s="46" t="str">
        <f>BK485&amp;BI485</f>
        <v>1950Chelsea</v>
      </c>
      <c r="BM485" s="52" t="str">
        <f>IF(AD485="Home",BI485,IF(AD485="Away",BJ485,Q485))</f>
        <v>London</v>
      </c>
      <c r="BN485" s="46"/>
      <c r="BO485" s="46"/>
      <c r="BP485" s="46"/>
      <c r="BQ485" s="46"/>
      <c r="BR485" s="46"/>
      <c r="BS485" s="46"/>
      <c r="BT485" s="46"/>
      <c r="BU485" s="46"/>
      <c r="BV485" s="46" t="s">
        <v>376</v>
      </c>
      <c r="BW485" s="46" t="s">
        <v>376</v>
      </c>
      <c r="BX485" s="46"/>
      <c r="BZ485" s="53"/>
      <c r="CA485" s="53"/>
      <c r="CB485" s="93" t="str">
        <f>IF(OR(C485="",A485="",B485=""),"",TEXT(C485,"0000")&amp;TEXT(A485,"00")&amp;TEXT(B485,"00"))</f>
        <v>19500322</v>
      </c>
    </row>
    <row r="486" spans="1:80" s="52" customFormat="1" ht="12.95" customHeight="1" x14ac:dyDescent="0.2">
      <c r="A486" s="46">
        <v>3</v>
      </c>
      <c r="B486" s="46">
        <v>25</v>
      </c>
      <c r="C486" s="46">
        <v>1950</v>
      </c>
      <c r="D486" s="46" t="s">
        <v>658</v>
      </c>
      <c r="E486" s="46" t="s">
        <v>1307</v>
      </c>
      <c r="F486" s="47" t="s">
        <v>1010</v>
      </c>
      <c r="G486" s="46"/>
      <c r="H486" s="47" t="s">
        <v>1011</v>
      </c>
      <c r="I486" s="47"/>
      <c r="J486" s="48">
        <v>18347</v>
      </c>
      <c r="K486" s="46" t="s">
        <v>588</v>
      </c>
      <c r="L486" s="46" t="s">
        <v>3</v>
      </c>
      <c r="M486" s="46" t="s">
        <v>804</v>
      </c>
      <c r="N486" s="49">
        <v>2</v>
      </c>
      <c r="O486" s="49">
        <v>0</v>
      </c>
      <c r="P486" s="47" t="s">
        <v>1226</v>
      </c>
      <c r="Q486" s="47" t="s">
        <v>1101</v>
      </c>
      <c r="R486" s="47" t="s">
        <v>376</v>
      </c>
      <c r="S486" s="46"/>
      <c r="T486" s="46"/>
      <c r="U486" s="46"/>
      <c r="V486" s="46"/>
      <c r="W486" s="46"/>
      <c r="X486" s="46"/>
      <c r="Y486" s="46"/>
      <c r="Z486" s="46"/>
      <c r="AA486" s="46"/>
      <c r="AB486" s="46"/>
      <c r="AC486" s="46"/>
      <c r="AD486" s="46"/>
      <c r="AE486" s="50">
        <f>IF(L486="W",1,0)</f>
        <v>1</v>
      </c>
      <c r="AF486" s="50">
        <f>IF(L486="T",1,0)</f>
        <v>0</v>
      </c>
      <c r="AG486" s="50">
        <f>IF(L486="L",1,0)</f>
        <v>0</v>
      </c>
      <c r="AH486" s="46" t="s">
        <v>588</v>
      </c>
      <c r="AI486" s="46" t="s">
        <v>1175</v>
      </c>
      <c r="AJ486" s="46" t="s">
        <v>376</v>
      </c>
      <c r="AK486" s="46" t="s">
        <v>658</v>
      </c>
      <c r="AL486" s="46" t="s">
        <v>588</v>
      </c>
      <c r="AM486" s="46" t="s">
        <v>1175</v>
      </c>
      <c r="AN486" s="46" t="s">
        <v>376</v>
      </c>
      <c r="AO486" s="46" t="s">
        <v>658</v>
      </c>
      <c r="AP486" s="46"/>
      <c r="AQ486" s="46">
        <v>2</v>
      </c>
      <c r="AR486" s="46"/>
      <c r="AS486" s="46"/>
      <c r="AT486" s="46" t="s">
        <v>1229</v>
      </c>
      <c r="AU486" s="46" t="s">
        <v>376</v>
      </c>
      <c r="AV486" s="46"/>
      <c r="AW486" s="46" t="s">
        <v>30</v>
      </c>
      <c r="AX486" s="46"/>
      <c r="AY486" s="46" t="s">
        <v>30</v>
      </c>
      <c r="AZ486" s="46"/>
      <c r="BA486" s="47"/>
      <c r="BB486" s="51"/>
      <c r="BC486" s="46"/>
      <c r="BD486" s="46"/>
      <c r="BE486" s="46"/>
      <c r="BF486" s="46">
        <v>1</v>
      </c>
      <c r="BG486" s="46">
        <v>1</v>
      </c>
      <c r="BH486" s="46">
        <v>1</v>
      </c>
      <c r="BI486" s="46" t="s">
        <v>588</v>
      </c>
      <c r="BJ486" s="46" t="s">
        <v>804</v>
      </c>
      <c r="BK486" s="46">
        <v>1950</v>
      </c>
      <c r="BL486" s="46" t="str">
        <f>BK486&amp;BI486</f>
        <v>1950Liverpool</v>
      </c>
      <c r="BM486" s="52" t="str">
        <f>IF(AD486="Home",BI486,IF(AD486="Away",BJ486,Q486))</f>
        <v>Manchester</v>
      </c>
      <c r="BN486" s="46"/>
      <c r="BO486" s="46"/>
      <c r="BP486" s="46"/>
      <c r="BQ486" s="46"/>
      <c r="BR486" s="46"/>
      <c r="BS486" s="46"/>
      <c r="BT486" s="46"/>
      <c r="BU486" s="46"/>
      <c r="BV486" s="46" t="s">
        <v>376</v>
      </c>
      <c r="BW486" s="46" t="s">
        <v>376</v>
      </c>
      <c r="BX486" s="46"/>
      <c r="BZ486" s="53"/>
      <c r="CA486" s="53"/>
      <c r="CB486" s="93" t="str">
        <f>IF(OR(C486="",A486="",B486=""),"",TEXT(C486,"0000")&amp;TEXT(A486,"00")&amp;TEXT(B486,"00"))</f>
        <v>19500325</v>
      </c>
    </row>
    <row r="487" spans="1:80" s="52" customFormat="1" ht="12.95" customHeight="1" x14ac:dyDescent="0.2">
      <c r="A487" s="46">
        <v>3</v>
      </c>
      <c r="B487" s="46">
        <v>25</v>
      </c>
      <c r="C487" s="46">
        <v>1950</v>
      </c>
      <c r="D487" s="46" t="s">
        <v>658</v>
      </c>
      <c r="E487" s="46" t="s">
        <v>1307</v>
      </c>
      <c r="F487" s="47" t="s">
        <v>1010</v>
      </c>
      <c r="G487" s="46"/>
      <c r="H487" s="47" t="s">
        <v>1011</v>
      </c>
      <c r="I487" s="47"/>
      <c r="J487" s="48">
        <v>18347</v>
      </c>
      <c r="K487" s="46" t="s">
        <v>804</v>
      </c>
      <c r="L487" s="46" t="s">
        <v>4</v>
      </c>
      <c r="M487" s="46" t="s">
        <v>588</v>
      </c>
      <c r="N487" s="49">
        <v>0</v>
      </c>
      <c r="O487" s="49">
        <v>2</v>
      </c>
      <c r="P487" s="47" t="s">
        <v>1226</v>
      </c>
      <c r="Q487" s="47" t="s">
        <v>1101</v>
      </c>
      <c r="R487" s="47" t="s">
        <v>376</v>
      </c>
      <c r="S487" s="46"/>
      <c r="T487" s="46"/>
      <c r="U487" s="46"/>
      <c r="V487" s="46"/>
      <c r="W487" s="46"/>
      <c r="X487" s="46"/>
      <c r="Y487" s="46"/>
      <c r="Z487" s="46"/>
      <c r="AA487" s="46"/>
      <c r="AB487" s="46"/>
      <c r="AC487" s="46"/>
      <c r="AD487" s="46"/>
      <c r="AE487" s="50">
        <f>IF(L487="W",1,0)</f>
        <v>0</v>
      </c>
      <c r="AF487" s="50">
        <f>IF(L487="T",1,0)</f>
        <v>0</v>
      </c>
      <c r="AG487" s="50">
        <f>IF(L487="L",1,0)</f>
        <v>1</v>
      </c>
      <c r="AH487" s="46" t="s">
        <v>588</v>
      </c>
      <c r="AI487" s="46" t="s">
        <v>1175</v>
      </c>
      <c r="AJ487" s="46" t="s">
        <v>376</v>
      </c>
      <c r="AK487" s="46" t="s">
        <v>658</v>
      </c>
      <c r="AL487" s="46" t="s">
        <v>588</v>
      </c>
      <c r="AM487" s="46" t="s">
        <v>1175</v>
      </c>
      <c r="AN487" s="46" t="s">
        <v>376</v>
      </c>
      <c r="AO487" s="46" t="s">
        <v>658</v>
      </c>
      <c r="AP487" s="46"/>
      <c r="AQ487" s="46">
        <v>2</v>
      </c>
      <c r="AR487" s="46"/>
      <c r="AS487" s="46"/>
      <c r="AT487" s="46" t="s">
        <v>1229</v>
      </c>
      <c r="AU487" s="46" t="s">
        <v>376</v>
      </c>
      <c r="AV487" s="46"/>
      <c r="AW487" s="46" t="s">
        <v>30</v>
      </c>
      <c r="AX487" s="46"/>
      <c r="AY487" s="46" t="s">
        <v>30</v>
      </c>
      <c r="AZ487" s="46"/>
      <c r="BA487" s="47"/>
      <c r="BB487" s="51"/>
      <c r="BC487" s="46"/>
      <c r="BD487" s="46"/>
      <c r="BE487" s="46"/>
      <c r="BF487" s="46">
        <v>1</v>
      </c>
      <c r="BG487" s="46">
        <v>1</v>
      </c>
      <c r="BH487" s="46">
        <v>1</v>
      </c>
      <c r="BI487" s="46" t="s">
        <v>804</v>
      </c>
      <c r="BJ487" s="46" t="s">
        <v>588</v>
      </c>
      <c r="BK487" s="46">
        <v>1950</v>
      </c>
      <c r="BL487" s="46" t="str">
        <f>BK487&amp;BI487</f>
        <v>1950Everton</v>
      </c>
      <c r="BM487" s="52" t="str">
        <f>IF(AD487="Home",BI487,IF(AD487="Away",BJ487,Q487))</f>
        <v>Manchester</v>
      </c>
      <c r="BN487" s="46"/>
      <c r="BO487" s="46"/>
      <c r="BP487" s="46"/>
      <c r="BQ487" s="46"/>
      <c r="BR487" s="46"/>
      <c r="BS487" s="46"/>
      <c r="BT487" s="46"/>
      <c r="BU487" s="46"/>
      <c r="BV487" s="46" t="s">
        <v>376</v>
      </c>
      <c r="BW487" s="46" t="s">
        <v>376</v>
      </c>
      <c r="BX487" s="46"/>
      <c r="BZ487" s="53"/>
      <c r="CA487" s="53"/>
      <c r="CB487" s="93" t="str">
        <f>IF(OR(C487="",A487="",B487=""),"",TEXT(C487,"0000")&amp;TEXT(A487,"00")&amp;TEXT(B487,"00"))</f>
        <v>19500325</v>
      </c>
    </row>
    <row r="488" spans="1:80" s="52" customFormat="1" ht="12.95" customHeight="1" x14ac:dyDescent="0.2">
      <c r="A488" s="46">
        <v>4</v>
      </c>
      <c r="B488" s="46">
        <v>29</v>
      </c>
      <c r="C488" s="46">
        <v>1950</v>
      </c>
      <c r="D488" s="46" t="s">
        <v>658</v>
      </c>
      <c r="E488" s="46" t="s">
        <v>1307</v>
      </c>
      <c r="F488" s="47" t="s">
        <v>1010</v>
      </c>
      <c r="G488" s="46"/>
      <c r="H488" s="47" t="s">
        <v>1025</v>
      </c>
      <c r="I488" s="47"/>
      <c r="J488" s="48">
        <v>18382</v>
      </c>
      <c r="K488" s="46" t="s">
        <v>587</v>
      </c>
      <c r="L488" s="46" t="s">
        <v>3</v>
      </c>
      <c r="M488" s="46" t="s">
        <v>588</v>
      </c>
      <c r="N488" s="49">
        <v>2</v>
      </c>
      <c r="O488" s="49">
        <v>0</v>
      </c>
      <c r="P488" s="47" t="s">
        <v>1268</v>
      </c>
      <c r="Q488" s="47" t="s">
        <v>1017</v>
      </c>
      <c r="R488" s="47" t="s">
        <v>376</v>
      </c>
      <c r="S488" s="46"/>
      <c r="T488" s="46"/>
      <c r="U488" s="46"/>
      <c r="V488" s="46"/>
      <c r="W488" s="46"/>
      <c r="X488" s="46"/>
      <c r="Y488" s="46"/>
      <c r="Z488" s="46"/>
      <c r="AA488" s="46"/>
      <c r="AB488" s="46"/>
      <c r="AC488" s="46"/>
      <c r="AD488" s="46"/>
      <c r="AE488" s="50">
        <f>IF(L488="W",1,0)</f>
        <v>1</v>
      </c>
      <c r="AF488" s="50">
        <f>IF(L488="T",1,0)</f>
        <v>0</v>
      </c>
      <c r="AG488" s="50">
        <f>IF(L488="L",1,0)</f>
        <v>0</v>
      </c>
      <c r="AH488" s="46" t="s">
        <v>1017</v>
      </c>
      <c r="AI488" s="46" t="s">
        <v>1018</v>
      </c>
      <c r="AJ488" s="46" t="s">
        <v>376</v>
      </c>
      <c r="AK488" s="46" t="s">
        <v>658</v>
      </c>
      <c r="AL488" s="46" t="s">
        <v>588</v>
      </c>
      <c r="AM488" s="46" t="s">
        <v>1175</v>
      </c>
      <c r="AN488" s="46" t="s">
        <v>376</v>
      </c>
      <c r="AO488" s="46" t="s">
        <v>658</v>
      </c>
      <c r="AP488" s="46"/>
      <c r="AQ488" s="46">
        <v>1</v>
      </c>
      <c r="AR488" s="46"/>
      <c r="AS488" s="46"/>
      <c r="AT488" s="46"/>
      <c r="AU488" s="46" t="s">
        <v>376</v>
      </c>
      <c r="AV488" s="46"/>
      <c r="AW488" s="46" t="s">
        <v>30</v>
      </c>
      <c r="AX488" s="46"/>
      <c r="AY488" s="46" t="s">
        <v>30</v>
      </c>
      <c r="AZ488" s="46"/>
      <c r="BA488" s="47"/>
      <c r="BB488" s="51" t="s">
        <v>30</v>
      </c>
      <c r="BC488" s="46" t="s">
        <v>30</v>
      </c>
      <c r="BD488" s="46"/>
      <c r="BE488" s="46"/>
      <c r="BF488" s="46">
        <v>1</v>
      </c>
      <c r="BG488" s="46">
        <v>1</v>
      </c>
      <c r="BH488" s="46">
        <v>1</v>
      </c>
      <c r="BI488" s="46" t="s">
        <v>587</v>
      </c>
      <c r="BJ488" s="46" t="s">
        <v>588</v>
      </c>
      <c r="BK488" s="46">
        <v>1950</v>
      </c>
      <c r="BL488" s="46" t="str">
        <f>BK488&amp;BI488</f>
        <v>1950Arsenal</v>
      </c>
      <c r="BM488" s="52" t="str">
        <f>IF(AD488="Home",BI488,IF(AD488="Away",BJ488,Q488))</f>
        <v>London</v>
      </c>
      <c r="BN488" s="46"/>
      <c r="BO488" s="46"/>
      <c r="BP488" s="46"/>
      <c r="BQ488" s="46"/>
      <c r="BR488" s="46"/>
      <c r="BS488" s="46"/>
      <c r="BT488" s="46"/>
      <c r="BU488" s="46"/>
      <c r="BV488" s="46" t="s">
        <v>376</v>
      </c>
      <c r="BW488" s="46" t="s">
        <v>376</v>
      </c>
      <c r="BX488" s="46"/>
      <c r="BZ488" s="53"/>
      <c r="CA488" s="53"/>
      <c r="CB488" s="93" t="str">
        <f>IF(OR(C488="",A488="",B488=""),"",TEXT(C488,"0000")&amp;TEXT(A488,"00")&amp;TEXT(B488,"00"))</f>
        <v>19500429</v>
      </c>
    </row>
    <row r="489" spans="1:80" s="52" customFormat="1" ht="12.95" customHeight="1" x14ac:dyDescent="0.2">
      <c r="A489" s="46">
        <v>4</v>
      </c>
      <c r="B489" s="46">
        <v>29</v>
      </c>
      <c r="C489" s="46">
        <v>1950</v>
      </c>
      <c r="D489" s="46" t="s">
        <v>658</v>
      </c>
      <c r="E489" s="46" t="s">
        <v>1307</v>
      </c>
      <c r="F489" s="47" t="s">
        <v>1010</v>
      </c>
      <c r="G489" s="46"/>
      <c r="H489" s="47" t="s">
        <v>1025</v>
      </c>
      <c r="I489" s="47"/>
      <c r="J489" s="48">
        <v>18382</v>
      </c>
      <c r="K489" s="46" t="s">
        <v>588</v>
      </c>
      <c r="L489" s="46" t="s">
        <v>4</v>
      </c>
      <c r="M489" s="46" t="s">
        <v>587</v>
      </c>
      <c r="N489" s="49">
        <v>0</v>
      </c>
      <c r="O489" s="49">
        <v>2</v>
      </c>
      <c r="P489" s="47" t="s">
        <v>1268</v>
      </c>
      <c r="Q489" s="47" t="s">
        <v>1017</v>
      </c>
      <c r="R489" s="47" t="s">
        <v>376</v>
      </c>
      <c r="S489" s="46"/>
      <c r="T489" s="46"/>
      <c r="U489" s="46"/>
      <c r="V489" s="46"/>
      <c r="W489" s="46"/>
      <c r="X489" s="46"/>
      <c r="Y489" s="46"/>
      <c r="Z489" s="46"/>
      <c r="AA489" s="46"/>
      <c r="AB489" s="46"/>
      <c r="AC489" s="46"/>
      <c r="AD489" s="46"/>
      <c r="AE489" s="50">
        <f>IF(L489="W",1,0)</f>
        <v>0</v>
      </c>
      <c r="AF489" s="50">
        <f>IF(L489="T",1,0)</f>
        <v>0</v>
      </c>
      <c r="AG489" s="50">
        <f>IF(L489="L",1,0)</f>
        <v>1</v>
      </c>
      <c r="AH489" s="46" t="s">
        <v>588</v>
      </c>
      <c r="AI489" s="46" t="s">
        <v>1175</v>
      </c>
      <c r="AJ489" s="46" t="s">
        <v>376</v>
      </c>
      <c r="AK489" s="46" t="s">
        <v>658</v>
      </c>
      <c r="AL489" s="46" t="s">
        <v>1017</v>
      </c>
      <c r="AM489" s="46" t="s">
        <v>1018</v>
      </c>
      <c r="AN489" s="46" t="s">
        <v>376</v>
      </c>
      <c r="AO489" s="46" t="s">
        <v>658</v>
      </c>
      <c r="AP489" s="46"/>
      <c r="AQ489" s="46">
        <v>1</v>
      </c>
      <c r="AR489" s="46"/>
      <c r="AS489" s="46"/>
      <c r="AT489" s="46"/>
      <c r="AU489" s="46" t="s">
        <v>376</v>
      </c>
      <c r="AV489" s="46"/>
      <c r="AW489" s="46" t="s">
        <v>30</v>
      </c>
      <c r="AX489" s="46"/>
      <c r="AY489" s="46" t="s">
        <v>30</v>
      </c>
      <c r="AZ489" s="46"/>
      <c r="BA489" s="47"/>
      <c r="BB489" s="51"/>
      <c r="BC489" s="46" t="s">
        <v>30</v>
      </c>
      <c r="BD489" s="46"/>
      <c r="BE489" s="46"/>
      <c r="BF489" s="46">
        <v>1</v>
      </c>
      <c r="BG489" s="46">
        <v>1</v>
      </c>
      <c r="BH489" s="46">
        <v>1</v>
      </c>
      <c r="BI489" s="46" t="s">
        <v>588</v>
      </c>
      <c r="BJ489" s="46" t="s">
        <v>587</v>
      </c>
      <c r="BK489" s="46">
        <v>1950</v>
      </c>
      <c r="BL489" s="46" t="str">
        <f>BK489&amp;BI489</f>
        <v>1950Liverpool</v>
      </c>
      <c r="BM489" s="52" t="str">
        <f>IF(AD489="Home",BI489,IF(AD489="Away",BJ489,Q489))</f>
        <v>London</v>
      </c>
      <c r="BN489" s="46"/>
      <c r="BO489" s="46"/>
      <c r="BP489" s="46"/>
      <c r="BQ489" s="46"/>
      <c r="BR489" s="46"/>
      <c r="BS489" s="46"/>
      <c r="BT489" s="46"/>
      <c r="BU489" s="46"/>
      <c r="BV489" s="46" t="s">
        <v>376</v>
      </c>
      <c r="BW489" s="46" t="s">
        <v>376</v>
      </c>
      <c r="BX489" s="46"/>
      <c r="BZ489" s="53"/>
      <c r="CA489" s="53"/>
      <c r="CB489" s="93" t="str">
        <f>IF(OR(C489="",A489="",B489=""),"",TEXT(C489,"0000")&amp;TEXT(A489,"00")&amp;TEXT(B489,"00"))</f>
        <v>19500429</v>
      </c>
    </row>
    <row r="490" spans="1:80" s="52" customFormat="1" ht="12.95" customHeight="1" x14ac:dyDescent="0.2">
      <c r="A490" s="46">
        <v>3</v>
      </c>
      <c r="B490" s="46">
        <v>10</v>
      </c>
      <c r="C490" s="46">
        <v>1951</v>
      </c>
      <c r="D490" s="46" t="s">
        <v>658</v>
      </c>
      <c r="E490" s="46" t="s">
        <v>1309</v>
      </c>
      <c r="F490" s="47" t="s">
        <v>1010</v>
      </c>
      <c r="G490" s="46"/>
      <c r="H490" s="47" t="s">
        <v>1011</v>
      </c>
      <c r="I490" s="47"/>
      <c r="J490" s="48">
        <v>18697</v>
      </c>
      <c r="K490" s="46" t="s">
        <v>1151</v>
      </c>
      <c r="L490" s="46" t="s">
        <v>1014</v>
      </c>
      <c r="M490" s="46" t="s">
        <v>805</v>
      </c>
      <c r="N490" s="49">
        <v>0</v>
      </c>
      <c r="O490" s="49">
        <v>0</v>
      </c>
      <c r="P490" s="47" t="s">
        <v>1252</v>
      </c>
      <c r="Q490" s="47" t="s">
        <v>1097</v>
      </c>
      <c r="R490" s="47" t="s">
        <v>376</v>
      </c>
      <c r="S490" s="46"/>
      <c r="T490" s="46"/>
      <c r="U490" s="46"/>
      <c r="V490" s="46"/>
      <c r="W490" s="46"/>
      <c r="X490" s="46"/>
      <c r="Y490" s="46"/>
      <c r="Z490" s="46"/>
      <c r="AA490" s="46"/>
      <c r="AB490" s="46"/>
      <c r="AC490" s="46"/>
      <c r="AD490" s="46"/>
      <c r="AE490" s="50">
        <f>IF(L490="W",1,0)</f>
        <v>0</v>
      </c>
      <c r="AF490" s="50">
        <f>IF(L490="T",1,0)</f>
        <v>1</v>
      </c>
      <c r="AG490" s="50">
        <f>IF(L490="L",1,0)</f>
        <v>0</v>
      </c>
      <c r="AH490" s="46" t="s">
        <v>1111</v>
      </c>
      <c r="AI490" s="46" t="s">
        <v>1126</v>
      </c>
      <c r="AJ490" s="46" t="s">
        <v>376</v>
      </c>
      <c r="AK490" s="46" t="s">
        <v>658</v>
      </c>
      <c r="AL490" s="46" t="s">
        <v>1227</v>
      </c>
      <c r="AM490" s="46" t="s">
        <v>1164</v>
      </c>
      <c r="AN490" s="46" t="s">
        <v>376</v>
      </c>
      <c r="AO490" s="46" t="s">
        <v>658</v>
      </c>
      <c r="AP490" s="46"/>
      <c r="AQ490" s="46">
        <v>2</v>
      </c>
      <c r="AR490" s="46"/>
      <c r="AS490" s="46"/>
      <c r="AT490" s="46"/>
      <c r="AU490" s="46" t="s">
        <v>376</v>
      </c>
      <c r="AV490" s="46"/>
      <c r="AW490" s="46" t="s">
        <v>30</v>
      </c>
      <c r="AX490" s="46"/>
      <c r="AY490" s="46" t="s">
        <v>30</v>
      </c>
      <c r="AZ490" s="46"/>
      <c r="BA490" s="47"/>
      <c r="BB490" s="51"/>
      <c r="BC490" s="46"/>
      <c r="BD490" s="46"/>
      <c r="BE490" s="46"/>
      <c r="BF490" s="46">
        <v>1</v>
      </c>
      <c r="BG490" s="46">
        <v>1</v>
      </c>
      <c r="BH490" s="46">
        <v>1</v>
      </c>
      <c r="BI490" s="46" t="s">
        <v>1151</v>
      </c>
      <c r="BJ490" s="46" t="s">
        <v>805</v>
      </c>
      <c r="BK490" s="46">
        <v>1951</v>
      </c>
      <c r="BL490" s="46" t="str">
        <f>BK490&amp;BI490</f>
        <v>1951Wolverhampton Wanderers</v>
      </c>
      <c r="BM490" s="52" t="str">
        <f>IF(AD490="Home",BI490,IF(AD490="Away",BJ490,Q490))</f>
        <v>Sheffield</v>
      </c>
      <c r="BN490" s="46"/>
      <c r="BO490" s="46"/>
      <c r="BP490" s="46"/>
      <c r="BQ490" s="46"/>
      <c r="BR490" s="46"/>
      <c r="BS490" s="46"/>
      <c r="BT490" s="46"/>
      <c r="BU490" s="46"/>
      <c r="BV490" s="46" t="s">
        <v>376</v>
      </c>
      <c r="BW490" s="46" t="s">
        <v>376</v>
      </c>
      <c r="BX490" s="46"/>
      <c r="BY490" s="50"/>
      <c r="BZ490" s="53"/>
      <c r="CA490" s="53"/>
      <c r="CB490" s="93" t="str">
        <f>IF(OR(C490="",A490="",B490=""),"",TEXT(C490,"0000")&amp;TEXT(A490,"00")&amp;TEXT(B490,"00"))</f>
        <v>19510310</v>
      </c>
    </row>
    <row r="491" spans="1:80" s="52" customFormat="1" ht="12.95" customHeight="1" x14ac:dyDescent="0.2">
      <c r="A491" s="46">
        <v>3</v>
      </c>
      <c r="B491" s="46">
        <v>10</v>
      </c>
      <c r="C491" s="46">
        <v>1951</v>
      </c>
      <c r="D491" s="46" t="s">
        <v>658</v>
      </c>
      <c r="E491" s="46" t="s">
        <v>1309</v>
      </c>
      <c r="F491" s="47" t="s">
        <v>1010</v>
      </c>
      <c r="G491" s="46"/>
      <c r="H491" s="47" t="s">
        <v>1011</v>
      </c>
      <c r="I491" s="47"/>
      <c r="J491" s="48">
        <v>18697</v>
      </c>
      <c r="K491" s="46" t="s">
        <v>805</v>
      </c>
      <c r="L491" s="46" t="s">
        <v>1014</v>
      </c>
      <c r="M491" s="46" t="s">
        <v>1151</v>
      </c>
      <c r="N491" s="49">
        <v>0</v>
      </c>
      <c r="O491" s="49">
        <v>0</v>
      </c>
      <c r="P491" s="47" t="s">
        <v>1252</v>
      </c>
      <c r="Q491" s="47" t="s">
        <v>1097</v>
      </c>
      <c r="R491" s="47" t="s">
        <v>376</v>
      </c>
      <c r="S491" s="46"/>
      <c r="T491" s="46"/>
      <c r="U491" s="46"/>
      <c r="V491" s="46"/>
      <c r="W491" s="46"/>
      <c r="X491" s="46"/>
      <c r="Y491" s="46"/>
      <c r="Z491" s="46"/>
      <c r="AA491" s="46"/>
      <c r="AB491" s="46"/>
      <c r="AC491" s="46"/>
      <c r="AD491" s="46"/>
      <c r="AE491" s="50">
        <f>IF(L491="W",1,0)</f>
        <v>0</v>
      </c>
      <c r="AF491" s="50">
        <f>IF(L491="T",1,0)</f>
        <v>1</v>
      </c>
      <c r="AG491" s="50">
        <f>IF(L491="L",1,0)</f>
        <v>0</v>
      </c>
      <c r="AH491" s="46" t="s">
        <v>1227</v>
      </c>
      <c r="AI491" s="46" t="s">
        <v>1164</v>
      </c>
      <c r="AJ491" s="46" t="s">
        <v>376</v>
      </c>
      <c r="AK491" s="46" t="s">
        <v>658</v>
      </c>
      <c r="AL491" s="46" t="s">
        <v>1111</v>
      </c>
      <c r="AM491" s="46" t="s">
        <v>1126</v>
      </c>
      <c r="AN491" s="46" t="s">
        <v>376</v>
      </c>
      <c r="AO491" s="46" t="s">
        <v>658</v>
      </c>
      <c r="AP491" s="46"/>
      <c r="AQ491" s="46">
        <v>2</v>
      </c>
      <c r="AR491" s="46"/>
      <c r="AS491" s="46"/>
      <c r="AT491" s="46"/>
      <c r="AU491" s="46" t="s">
        <v>376</v>
      </c>
      <c r="AV491" s="46"/>
      <c r="AW491" s="46" t="s">
        <v>30</v>
      </c>
      <c r="AX491" s="46"/>
      <c r="AY491" s="46" t="s">
        <v>30</v>
      </c>
      <c r="AZ491" s="46"/>
      <c r="BA491" s="47"/>
      <c r="BB491" s="51"/>
      <c r="BC491" s="46"/>
      <c r="BD491" s="46"/>
      <c r="BE491" s="46"/>
      <c r="BF491" s="46">
        <v>1</v>
      </c>
      <c r="BG491" s="46">
        <v>1</v>
      </c>
      <c r="BH491" s="46">
        <v>1</v>
      </c>
      <c r="BI491" s="46" t="s">
        <v>805</v>
      </c>
      <c r="BJ491" s="46" t="s">
        <v>1151</v>
      </c>
      <c r="BK491" s="46">
        <v>1951</v>
      </c>
      <c r="BL491" s="46" t="str">
        <f>BK491&amp;BI491</f>
        <v>1951Newcastle United</v>
      </c>
      <c r="BM491" s="52" t="str">
        <f>IF(AD491="Home",BI491,IF(AD491="Away",BJ491,Q491))</f>
        <v>Sheffield</v>
      </c>
      <c r="BN491" s="46"/>
      <c r="BO491" s="46"/>
      <c r="BP491" s="46"/>
      <c r="BQ491" s="46"/>
      <c r="BR491" s="46"/>
      <c r="BS491" s="46"/>
      <c r="BT491" s="46"/>
      <c r="BU491" s="46"/>
      <c r="BV491" s="46" t="s">
        <v>376</v>
      </c>
      <c r="BW491" s="46" t="s">
        <v>376</v>
      </c>
      <c r="BX491" s="46"/>
      <c r="BY491" s="50"/>
      <c r="BZ491" s="53"/>
      <c r="CA491" s="53"/>
      <c r="CB491" s="93" t="str">
        <f>IF(OR(C491="",A491="",B491=""),"",TEXT(C491,"0000")&amp;TEXT(A491,"00")&amp;TEXT(B491,"00"))</f>
        <v>19510310</v>
      </c>
    </row>
    <row r="492" spans="1:80" s="52" customFormat="1" ht="12.95" customHeight="1" x14ac:dyDescent="0.2">
      <c r="A492" s="46">
        <v>3</v>
      </c>
      <c r="B492" s="46">
        <v>10</v>
      </c>
      <c r="C492" s="46">
        <v>1951</v>
      </c>
      <c r="D492" s="46" t="s">
        <v>658</v>
      </c>
      <c r="E492" s="46" t="s">
        <v>1309</v>
      </c>
      <c r="F492" s="47" t="s">
        <v>1010</v>
      </c>
      <c r="G492" s="46"/>
      <c r="H492" s="47" t="s">
        <v>1011</v>
      </c>
      <c r="I492" s="47"/>
      <c r="J492" s="48">
        <v>18697</v>
      </c>
      <c r="K492" s="46" t="s">
        <v>1305</v>
      </c>
      <c r="L492" s="46" t="s">
        <v>1014</v>
      </c>
      <c r="M492" s="46" t="s">
        <v>1125</v>
      </c>
      <c r="N492" s="49">
        <v>0</v>
      </c>
      <c r="O492" s="49">
        <v>0</v>
      </c>
      <c r="P492" s="47" t="s">
        <v>1226</v>
      </c>
      <c r="Q492" s="47" t="s">
        <v>1101</v>
      </c>
      <c r="R492" s="47" t="s">
        <v>376</v>
      </c>
      <c r="S492" s="46"/>
      <c r="T492" s="46"/>
      <c r="U492" s="46"/>
      <c r="V492" s="46"/>
      <c r="W492" s="46"/>
      <c r="X492" s="46"/>
      <c r="Y492" s="46"/>
      <c r="Z492" s="46"/>
      <c r="AA492" s="46"/>
      <c r="AB492" s="46"/>
      <c r="AC492" s="46"/>
      <c r="AD492" s="46"/>
      <c r="AE492" s="50">
        <f>IF(L492="W",1,0)</f>
        <v>0</v>
      </c>
      <c r="AF492" s="50">
        <f>IF(L492="T",1,0)</f>
        <v>1</v>
      </c>
      <c r="AG492" s="50">
        <f>IF(L492="L",1,0)</f>
        <v>0</v>
      </c>
      <c r="AH492" s="46" t="s">
        <v>1305</v>
      </c>
      <c r="AI492" s="46" t="s">
        <v>1086</v>
      </c>
      <c r="AJ492" s="46" t="s">
        <v>376</v>
      </c>
      <c r="AK492" s="46" t="s">
        <v>658</v>
      </c>
      <c r="AL492" s="46" t="s">
        <v>1111</v>
      </c>
      <c r="AM492" s="46" t="s">
        <v>1126</v>
      </c>
      <c r="AN492" s="46" t="s">
        <v>376</v>
      </c>
      <c r="AO492" s="46" t="s">
        <v>658</v>
      </c>
      <c r="AP492" s="46"/>
      <c r="AQ492" s="46">
        <v>2</v>
      </c>
      <c r="AR492" s="46"/>
      <c r="AS492" s="46"/>
      <c r="AT492" s="46"/>
      <c r="AU492" s="46" t="s">
        <v>376</v>
      </c>
      <c r="AV492" s="46"/>
      <c r="AW492" s="46" t="s">
        <v>30</v>
      </c>
      <c r="AX492" s="46"/>
      <c r="AY492" s="46" t="s">
        <v>30</v>
      </c>
      <c r="AZ492" s="46"/>
      <c r="BA492" s="47"/>
      <c r="BB492" s="51"/>
      <c r="BC492" s="46"/>
      <c r="BD492" s="46"/>
      <c r="BE492" s="46"/>
      <c r="BF492" s="46">
        <v>1</v>
      </c>
      <c r="BG492" s="46">
        <v>1</v>
      </c>
      <c r="BH492" s="46">
        <v>2</v>
      </c>
      <c r="BI492" s="46" t="s">
        <v>1305</v>
      </c>
      <c r="BJ492" s="46" t="s">
        <v>1125</v>
      </c>
      <c r="BK492" s="46">
        <v>1951</v>
      </c>
      <c r="BL492" s="46" t="str">
        <f>BK492&amp;BI492</f>
        <v>1951Blackpool</v>
      </c>
      <c r="BM492" s="52" t="str">
        <f>IF(AD492="Home",BI492,IF(AD492="Away",BJ492,Q492))</f>
        <v>Manchester</v>
      </c>
      <c r="BN492" s="46"/>
      <c r="BO492" s="46"/>
      <c r="BP492" s="46"/>
      <c r="BQ492" s="46"/>
      <c r="BR492" s="46"/>
      <c r="BS492" s="46"/>
      <c r="BT492" s="46"/>
      <c r="BU492" s="46"/>
      <c r="BV492" s="46" t="s">
        <v>376</v>
      </c>
      <c r="BW492" s="46" t="s">
        <v>376</v>
      </c>
      <c r="BX492" s="46"/>
      <c r="BZ492" s="53"/>
      <c r="CA492" s="53"/>
      <c r="CB492" s="93" t="str">
        <f>IF(OR(C492="",A492="",B492=""),"",TEXT(C492,"0000")&amp;TEXT(A492,"00")&amp;TEXT(B492,"00"))</f>
        <v>19510310</v>
      </c>
    </row>
    <row r="493" spans="1:80" s="52" customFormat="1" ht="12.95" customHeight="1" x14ac:dyDescent="0.2">
      <c r="A493" s="46">
        <v>3</v>
      </c>
      <c r="B493" s="46">
        <v>10</v>
      </c>
      <c r="C493" s="46">
        <v>1951</v>
      </c>
      <c r="D493" s="46" t="s">
        <v>658</v>
      </c>
      <c r="E493" s="46" t="s">
        <v>1309</v>
      </c>
      <c r="F493" s="47" t="s">
        <v>1010</v>
      </c>
      <c r="G493" s="46"/>
      <c r="H493" s="47" t="s">
        <v>1011</v>
      </c>
      <c r="I493" s="47"/>
      <c r="J493" s="48">
        <v>18697</v>
      </c>
      <c r="K493" s="46" t="s">
        <v>1125</v>
      </c>
      <c r="L493" s="46" t="s">
        <v>1014</v>
      </c>
      <c r="M493" s="46" t="s">
        <v>1305</v>
      </c>
      <c r="N493" s="49">
        <v>0</v>
      </c>
      <c r="O493" s="49">
        <v>0</v>
      </c>
      <c r="P493" s="47" t="s">
        <v>1226</v>
      </c>
      <c r="Q493" s="47" t="s">
        <v>1101</v>
      </c>
      <c r="R493" s="47" t="s">
        <v>376</v>
      </c>
      <c r="S493" s="46"/>
      <c r="T493" s="46"/>
      <c r="U493" s="46"/>
      <c r="V493" s="46"/>
      <c r="W493" s="46"/>
      <c r="X493" s="46"/>
      <c r="Y493" s="46"/>
      <c r="Z493" s="46"/>
      <c r="AA493" s="46"/>
      <c r="AB493" s="46"/>
      <c r="AC493" s="46"/>
      <c r="AD493" s="46"/>
      <c r="AE493" s="50">
        <f>IF(L493="W",1,0)</f>
        <v>0</v>
      </c>
      <c r="AF493" s="50">
        <f>IF(L493="T",1,0)</f>
        <v>1</v>
      </c>
      <c r="AG493" s="50">
        <f>IF(L493="L",1,0)</f>
        <v>0</v>
      </c>
      <c r="AH493" s="46" t="s">
        <v>1111</v>
      </c>
      <c r="AI493" s="46" t="s">
        <v>1126</v>
      </c>
      <c r="AJ493" s="46" t="s">
        <v>376</v>
      </c>
      <c r="AK493" s="46" t="s">
        <v>658</v>
      </c>
      <c r="AL493" s="46" t="s">
        <v>1305</v>
      </c>
      <c r="AM493" s="46" t="s">
        <v>1086</v>
      </c>
      <c r="AN493" s="46" t="s">
        <v>376</v>
      </c>
      <c r="AO493" s="46" t="s">
        <v>658</v>
      </c>
      <c r="AP493" s="46"/>
      <c r="AQ493" s="46">
        <v>2</v>
      </c>
      <c r="AR493" s="46"/>
      <c r="AS493" s="46"/>
      <c r="AT493" s="46"/>
      <c r="AU493" s="46" t="s">
        <v>376</v>
      </c>
      <c r="AV493" s="46"/>
      <c r="AW493" s="46" t="s">
        <v>30</v>
      </c>
      <c r="AX493" s="46"/>
      <c r="AY493" s="46" t="s">
        <v>30</v>
      </c>
      <c r="AZ493" s="46"/>
      <c r="BA493" s="47"/>
      <c r="BB493" s="51"/>
      <c r="BC493" s="46"/>
      <c r="BD493" s="46"/>
      <c r="BE493" s="46"/>
      <c r="BF493" s="46">
        <v>1</v>
      </c>
      <c r="BG493" s="46">
        <v>2</v>
      </c>
      <c r="BH493" s="46">
        <v>1</v>
      </c>
      <c r="BI493" s="46" t="s">
        <v>1125</v>
      </c>
      <c r="BJ493" s="46" t="s">
        <v>1305</v>
      </c>
      <c r="BK493" s="46">
        <v>1951</v>
      </c>
      <c r="BL493" s="46" t="str">
        <f>BK493&amp;BI493</f>
        <v>1951Birmingham City</v>
      </c>
      <c r="BM493" s="52" t="str">
        <f>IF(AD493="Home",BI493,IF(AD493="Away",BJ493,Q493))</f>
        <v>Manchester</v>
      </c>
      <c r="BN493" s="46"/>
      <c r="BO493" s="46"/>
      <c r="BP493" s="46"/>
      <c r="BQ493" s="46"/>
      <c r="BR493" s="46"/>
      <c r="BS493" s="46"/>
      <c r="BT493" s="46"/>
      <c r="BU493" s="46"/>
      <c r="BV493" s="46" t="s">
        <v>376</v>
      </c>
      <c r="BW493" s="46" t="s">
        <v>376</v>
      </c>
      <c r="BX493" s="46"/>
      <c r="BZ493" s="53"/>
      <c r="CA493" s="53"/>
      <c r="CB493" s="93" t="str">
        <f>IF(OR(C493="",A493="",B493=""),"",TEXT(C493,"0000")&amp;TEXT(A493,"00")&amp;TEXT(B493,"00"))</f>
        <v>19510310</v>
      </c>
    </row>
    <row r="494" spans="1:80" s="52" customFormat="1" ht="12.95" customHeight="1" x14ac:dyDescent="0.2">
      <c r="A494" s="46">
        <v>3</v>
      </c>
      <c r="B494" s="46">
        <v>14</v>
      </c>
      <c r="C494" s="46">
        <v>1951</v>
      </c>
      <c r="D494" s="46" t="s">
        <v>658</v>
      </c>
      <c r="E494" s="46" t="s">
        <v>1309</v>
      </c>
      <c r="F494" s="47" t="s">
        <v>1010</v>
      </c>
      <c r="G494" s="46"/>
      <c r="H494" s="47" t="s">
        <v>1011</v>
      </c>
      <c r="I494" s="47" t="s">
        <v>1023</v>
      </c>
      <c r="J494" s="48">
        <v>18701</v>
      </c>
      <c r="K494" s="46" t="s">
        <v>1305</v>
      </c>
      <c r="L494" s="46" t="s">
        <v>3</v>
      </c>
      <c r="M494" s="46" t="s">
        <v>1125</v>
      </c>
      <c r="N494" s="49">
        <v>2</v>
      </c>
      <c r="O494" s="49">
        <v>1</v>
      </c>
      <c r="P494" s="47" t="s">
        <v>1184</v>
      </c>
      <c r="Q494" s="47" t="s">
        <v>588</v>
      </c>
      <c r="R494" s="47" t="s">
        <v>376</v>
      </c>
      <c r="S494" s="46"/>
      <c r="T494" s="46"/>
      <c r="U494" s="46"/>
      <c r="V494" s="46"/>
      <c r="W494" s="46"/>
      <c r="X494" s="46"/>
      <c r="Y494" s="46"/>
      <c r="Z494" s="46"/>
      <c r="AA494" s="46"/>
      <c r="AB494" s="46"/>
      <c r="AC494" s="46"/>
      <c r="AD494" s="46"/>
      <c r="AE494" s="50">
        <f>IF(L494="W",1,0)</f>
        <v>1</v>
      </c>
      <c r="AF494" s="50">
        <f>IF(L494="T",1,0)</f>
        <v>0</v>
      </c>
      <c r="AG494" s="50">
        <f>IF(L494="L",1,0)</f>
        <v>0</v>
      </c>
      <c r="AH494" s="46" t="s">
        <v>1305</v>
      </c>
      <c r="AI494" s="46" t="s">
        <v>1086</v>
      </c>
      <c r="AJ494" s="46" t="s">
        <v>376</v>
      </c>
      <c r="AK494" s="46" t="s">
        <v>658</v>
      </c>
      <c r="AL494" s="46" t="s">
        <v>1111</v>
      </c>
      <c r="AM494" s="46" t="s">
        <v>1126</v>
      </c>
      <c r="AN494" s="46" t="s">
        <v>376</v>
      </c>
      <c r="AO494" s="46" t="s">
        <v>658</v>
      </c>
      <c r="AP494" s="46"/>
      <c r="AQ494" s="46">
        <v>2</v>
      </c>
      <c r="AR494" s="46"/>
      <c r="AS494" s="46"/>
      <c r="AT494" s="46"/>
      <c r="AU494" s="46" t="s">
        <v>376</v>
      </c>
      <c r="AV494" s="46"/>
      <c r="AW494" s="46" t="s">
        <v>30</v>
      </c>
      <c r="AX494" s="46"/>
      <c r="AY494" s="46" t="s">
        <v>30</v>
      </c>
      <c r="AZ494" s="46"/>
      <c r="BA494" s="47"/>
      <c r="BB494" s="51"/>
      <c r="BC494" s="46"/>
      <c r="BD494" s="46"/>
      <c r="BE494" s="46"/>
      <c r="BF494" s="46">
        <v>1</v>
      </c>
      <c r="BG494" s="46">
        <v>1</v>
      </c>
      <c r="BH494" s="46">
        <v>2</v>
      </c>
      <c r="BI494" s="46" t="s">
        <v>1305</v>
      </c>
      <c r="BJ494" s="46" t="s">
        <v>1125</v>
      </c>
      <c r="BK494" s="46">
        <v>1951</v>
      </c>
      <c r="BL494" s="46" t="str">
        <f>BK494&amp;BI494</f>
        <v>1951Blackpool</v>
      </c>
      <c r="BM494" s="52" t="str">
        <f>IF(AD494="Home",BI494,IF(AD494="Away",BJ494,Q494))</f>
        <v>Liverpool</v>
      </c>
      <c r="BN494" s="46"/>
      <c r="BO494" s="46"/>
      <c r="BP494" s="46"/>
      <c r="BQ494" s="46"/>
      <c r="BR494" s="46"/>
      <c r="BS494" s="46"/>
      <c r="BT494" s="46"/>
      <c r="BU494" s="46"/>
      <c r="BV494" s="46" t="s">
        <v>376</v>
      </c>
      <c r="BW494" s="46" t="s">
        <v>376</v>
      </c>
      <c r="BX494" s="46"/>
      <c r="BZ494" s="53"/>
      <c r="CA494" s="53"/>
      <c r="CB494" s="93" t="str">
        <f>IF(OR(C494="",A494="",B494=""),"",TEXT(C494,"0000")&amp;TEXT(A494,"00")&amp;TEXT(B494,"00"))</f>
        <v>19510314</v>
      </c>
    </row>
    <row r="495" spans="1:80" s="52" customFormat="1" ht="12.95" customHeight="1" x14ac:dyDescent="0.2">
      <c r="A495" s="46">
        <v>3</v>
      </c>
      <c r="B495" s="46">
        <v>14</v>
      </c>
      <c r="C495" s="46">
        <v>1951</v>
      </c>
      <c r="D495" s="46" t="s">
        <v>658</v>
      </c>
      <c r="E495" s="46" t="s">
        <v>1309</v>
      </c>
      <c r="F495" s="47" t="s">
        <v>1010</v>
      </c>
      <c r="G495" s="46"/>
      <c r="H495" s="47" t="s">
        <v>1011</v>
      </c>
      <c r="I495" s="47" t="s">
        <v>1023</v>
      </c>
      <c r="J495" s="48">
        <v>18701</v>
      </c>
      <c r="K495" s="46" t="s">
        <v>1125</v>
      </c>
      <c r="L495" s="46" t="s">
        <v>4</v>
      </c>
      <c r="M495" s="46" t="s">
        <v>1305</v>
      </c>
      <c r="N495" s="49">
        <v>1</v>
      </c>
      <c r="O495" s="49">
        <v>2</v>
      </c>
      <c r="P495" s="47" t="s">
        <v>1184</v>
      </c>
      <c r="Q495" s="47" t="s">
        <v>588</v>
      </c>
      <c r="R495" s="47" t="s">
        <v>376</v>
      </c>
      <c r="S495" s="46"/>
      <c r="T495" s="46"/>
      <c r="U495" s="46"/>
      <c r="V495" s="46"/>
      <c r="W495" s="46"/>
      <c r="X495" s="46"/>
      <c r="Y495" s="46"/>
      <c r="Z495" s="46"/>
      <c r="AA495" s="46"/>
      <c r="AB495" s="46"/>
      <c r="AC495" s="46"/>
      <c r="AD495" s="46"/>
      <c r="AE495" s="50">
        <f>IF(L495="W",1,0)</f>
        <v>0</v>
      </c>
      <c r="AF495" s="50">
        <f>IF(L495="T",1,0)</f>
        <v>0</v>
      </c>
      <c r="AG495" s="50">
        <f>IF(L495="L",1,0)</f>
        <v>1</v>
      </c>
      <c r="AH495" s="46" t="s">
        <v>1111</v>
      </c>
      <c r="AI495" s="46" t="s">
        <v>1126</v>
      </c>
      <c r="AJ495" s="46" t="s">
        <v>376</v>
      </c>
      <c r="AK495" s="46" t="s">
        <v>658</v>
      </c>
      <c r="AL495" s="46" t="s">
        <v>1305</v>
      </c>
      <c r="AM495" s="46" t="s">
        <v>1086</v>
      </c>
      <c r="AN495" s="46" t="s">
        <v>376</v>
      </c>
      <c r="AO495" s="46" t="s">
        <v>658</v>
      </c>
      <c r="AP495" s="46"/>
      <c r="AQ495" s="46">
        <v>2</v>
      </c>
      <c r="AR495" s="46"/>
      <c r="AS495" s="46"/>
      <c r="AT495" s="46"/>
      <c r="AU495" s="46" t="s">
        <v>376</v>
      </c>
      <c r="AV495" s="46"/>
      <c r="AW495" s="46" t="s">
        <v>30</v>
      </c>
      <c r="AX495" s="46"/>
      <c r="AY495" s="46" t="s">
        <v>30</v>
      </c>
      <c r="AZ495" s="46"/>
      <c r="BA495" s="47"/>
      <c r="BB495" s="51"/>
      <c r="BC495" s="46"/>
      <c r="BD495" s="46"/>
      <c r="BE495" s="46"/>
      <c r="BF495" s="46">
        <v>1</v>
      </c>
      <c r="BG495" s="46">
        <v>2</v>
      </c>
      <c r="BH495" s="46">
        <v>1</v>
      </c>
      <c r="BI495" s="46" t="s">
        <v>1125</v>
      </c>
      <c r="BJ495" s="46" t="s">
        <v>1305</v>
      </c>
      <c r="BK495" s="46">
        <v>1951</v>
      </c>
      <c r="BL495" s="46" t="str">
        <f>BK495&amp;BI495</f>
        <v>1951Birmingham City</v>
      </c>
      <c r="BM495" s="52" t="str">
        <f>IF(AD495="Home",BI495,IF(AD495="Away",BJ495,Q495))</f>
        <v>Liverpool</v>
      </c>
      <c r="BN495" s="46"/>
      <c r="BO495" s="46"/>
      <c r="BP495" s="46"/>
      <c r="BQ495" s="46"/>
      <c r="BR495" s="46"/>
      <c r="BS495" s="46"/>
      <c r="BT495" s="46"/>
      <c r="BU495" s="46"/>
      <c r="BV495" s="46" t="s">
        <v>376</v>
      </c>
      <c r="BW495" s="46" t="s">
        <v>376</v>
      </c>
      <c r="BX495" s="46"/>
      <c r="BZ495" s="53"/>
      <c r="CA495" s="53"/>
      <c r="CB495" s="93" t="str">
        <f>IF(OR(C495="",A495="",B495=""),"",TEXT(C495,"0000")&amp;TEXT(A495,"00")&amp;TEXT(B495,"00"))</f>
        <v>19510314</v>
      </c>
    </row>
    <row r="496" spans="1:80" s="52" customFormat="1" ht="12.95" customHeight="1" x14ac:dyDescent="0.2">
      <c r="A496" s="46">
        <v>3</v>
      </c>
      <c r="B496" s="46">
        <v>14</v>
      </c>
      <c r="C496" s="46">
        <v>1951</v>
      </c>
      <c r="D496" s="46" t="s">
        <v>658</v>
      </c>
      <c r="E496" s="46" t="s">
        <v>1309</v>
      </c>
      <c r="F496" s="47" t="s">
        <v>1010</v>
      </c>
      <c r="G496" s="46"/>
      <c r="H496" s="47" t="s">
        <v>1011</v>
      </c>
      <c r="I496" s="47" t="s">
        <v>1023</v>
      </c>
      <c r="J496" s="48">
        <v>18701</v>
      </c>
      <c r="K496" s="46" t="s">
        <v>805</v>
      </c>
      <c r="L496" s="46" t="s">
        <v>3</v>
      </c>
      <c r="M496" s="46" t="s">
        <v>1151</v>
      </c>
      <c r="N496" s="49">
        <v>2</v>
      </c>
      <c r="O496" s="49">
        <v>1</v>
      </c>
      <c r="P496" s="47" t="s">
        <v>1288</v>
      </c>
      <c r="Q496" s="47" t="s">
        <v>1096</v>
      </c>
      <c r="R496" s="47" t="s">
        <v>376</v>
      </c>
      <c r="S496" s="46"/>
      <c r="T496" s="46"/>
      <c r="U496" s="46"/>
      <c r="V496" s="46"/>
      <c r="W496" s="46"/>
      <c r="X496" s="46"/>
      <c r="Y496" s="46"/>
      <c r="Z496" s="46"/>
      <c r="AA496" s="46"/>
      <c r="AB496" s="46"/>
      <c r="AC496" s="46"/>
      <c r="AD496" s="46"/>
      <c r="AE496" s="50">
        <f>IF(L496="W",1,0)</f>
        <v>1</v>
      </c>
      <c r="AF496" s="50">
        <f>IF(L496="T",1,0)</f>
        <v>0</v>
      </c>
      <c r="AG496" s="50">
        <f>IF(L496="L",1,0)</f>
        <v>0</v>
      </c>
      <c r="AH496" s="46" t="s">
        <v>1227</v>
      </c>
      <c r="AI496" s="46" t="s">
        <v>1164</v>
      </c>
      <c r="AJ496" s="46" t="s">
        <v>376</v>
      </c>
      <c r="AK496" s="46" t="s">
        <v>658</v>
      </c>
      <c r="AL496" s="46" t="s">
        <v>1111</v>
      </c>
      <c r="AM496" s="46" t="s">
        <v>1126</v>
      </c>
      <c r="AN496" s="46" t="s">
        <v>376</v>
      </c>
      <c r="AO496" s="46" t="s">
        <v>658</v>
      </c>
      <c r="AP496" s="46"/>
      <c r="AQ496" s="46">
        <v>2</v>
      </c>
      <c r="AR496" s="46"/>
      <c r="AS496" s="46"/>
      <c r="AT496" s="46"/>
      <c r="AU496" s="46" t="s">
        <v>376</v>
      </c>
      <c r="AV496" s="46"/>
      <c r="AW496" s="46" t="s">
        <v>30</v>
      </c>
      <c r="AX496" s="46"/>
      <c r="AY496" s="46" t="s">
        <v>30</v>
      </c>
      <c r="AZ496" s="46"/>
      <c r="BA496" s="47"/>
      <c r="BB496" s="51"/>
      <c r="BC496" s="46"/>
      <c r="BD496" s="46"/>
      <c r="BE496" s="46"/>
      <c r="BF496" s="46">
        <v>1</v>
      </c>
      <c r="BG496" s="46">
        <v>1</v>
      </c>
      <c r="BH496" s="46">
        <v>1</v>
      </c>
      <c r="BI496" s="46" t="s">
        <v>805</v>
      </c>
      <c r="BJ496" s="46" t="s">
        <v>1151</v>
      </c>
      <c r="BK496" s="46">
        <v>1951</v>
      </c>
      <c r="BL496" s="46" t="str">
        <f>BK496&amp;BI496</f>
        <v>1951Newcastle United</v>
      </c>
      <c r="BM496" s="52" t="str">
        <f>IF(AD496="Home",BI496,IF(AD496="Away",BJ496,Q496))</f>
        <v>Kirklees</v>
      </c>
      <c r="BN496" s="46"/>
      <c r="BO496" s="46"/>
      <c r="BP496" s="46"/>
      <c r="BQ496" s="46"/>
      <c r="BR496" s="46"/>
      <c r="BS496" s="46"/>
      <c r="BT496" s="46"/>
      <c r="BU496" s="46"/>
      <c r="BV496" s="46" t="s">
        <v>376</v>
      </c>
      <c r="BW496" s="46" t="s">
        <v>376</v>
      </c>
      <c r="BX496" s="46"/>
      <c r="BZ496" s="53"/>
      <c r="CA496" s="53"/>
      <c r="CB496" s="93" t="str">
        <f>IF(OR(C496="",A496="",B496=""),"",TEXT(C496,"0000")&amp;TEXT(A496,"00")&amp;TEXT(B496,"00"))</f>
        <v>19510314</v>
      </c>
    </row>
    <row r="497" spans="1:80" s="52" customFormat="1" ht="12.95" customHeight="1" x14ac:dyDescent="0.2">
      <c r="A497" s="46">
        <v>3</v>
      </c>
      <c r="B497" s="46">
        <v>14</v>
      </c>
      <c r="C497" s="46">
        <v>1951</v>
      </c>
      <c r="D497" s="46" t="s">
        <v>658</v>
      </c>
      <c r="E497" s="46" t="s">
        <v>1309</v>
      </c>
      <c r="F497" s="47" t="s">
        <v>1010</v>
      </c>
      <c r="G497" s="46"/>
      <c r="H497" s="47" t="s">
        <v>1011</v>
      </c>
      <c r="I497" s="47" t="s">
        <v>1023</v>
      </c>
      <c r="J497" s="48">
        <v>18701</v>
      </c>
      <c r="K497" s="46" t="s">
        <v>1151</v>
      </c>
      <c r="L497" s="46" t="s">
        <v>4</v>
      </c>
      <c r="M497" s="46" t="s">
        <v>805</v>
      </c>
      <c r="N497" s="49">
        <v>1</v>
      </c>
      <c r="O497" s="49">
        <v>2</v>
      </c>
      <c r="P497" s="47" t="s">
        <v>1288</v>
      </c>
      <c r="Q497" s="47" t="s">
        <v>1096</v>
      </c>
      <c r="R497" s="47" t="s">
        <v>376</v>
      </c>
      <c r="S497" s="46"/>
      <c r="T497" s="46"/>
      <c r="U497" s="46"/>
      <c r="V497" s="46"/>
      <c r="W497" s="46"/>
      <c r="X497" s="46"/>
      <c r="Y497" s="46"/>
      <c r="Z497" s="46"/>
      <c r="AA497" s="46"/>
      <c r="AB497" s="46"/>
      <c r="AC497" s="46"/>
      <c r="AD497" s="46"/>
      <c r="AE497" s="50">
        <f>IF(L497="W",1,0)</f>
        <v>0</v>
      </c>
      <c r="AF497" s="50">
        <f>IF(L497="T",1,0)</f>
        <v>0</v>
      </c>
      <c r="AG497" s="50">
        <f>IF(L497="L",1,0)</f>
        <v>1</v>
      </c>
      <c r="AH497" s="46" t="s">
        <v>1111</v>
      </c>
      <c r="AI497" s="46" t="s">
        <v>1126</v>
      </c>
      <c r="AJ497" s="46" t="s">
        <v>376</v>
      </c>
      <c r="AK497" s="46" t="s">
        <v>658</v>
      </c>
      <c r="AL497" s="46" t="s">
        <v>1227</v>
      </c>
      <c r="AM497" s="46" t="s">
        <v>1164</v>
      </c>
      <c r="AN497" s="46" t="s">
        <v>376</v>
      </c>
      <c r="AO497" s="46" t="s">
        <v>658</v>
      </c>
      <c r="AP497" s="46"/>
      <c r="AQ497" s="46">
        <v>2</v>
      </c>
      <c r="AR497" s="46"/>
      <c r="AS497" s="46"/>
      <c r="AT497" s="46"/>
      <c r="AU497" s="46" t="s">
        <v>376</v>
      </c>
      <c r="AV497" s="46"/>
      <c r="AW497" s="46" t="s">
        <v>30</v>
      </c>
      <c r="AX497" s="46"/>
      <c r="AY497" s="46" t="s">
        <v>30</v>
      </c>
      <c r="AZ497" s="46"/>
      <c r="BA497" s="47"/>
      <c r="BB497" s="51"/>
      <c r="BC497" s="46"/>
      <c r="BD497" s="46"/>
      <c r="BE497" s="46"/>
      <c r="BF497" s="46">
        <v>1</v>
      </c>
      <c r="BG497" s="46">
        <v>1</v>
      </c>
      <c r="BH497" s="46">
        <v>1</v>
      </c>
      <c r="BI497" s="46" t="s">
        <v>1151</v>
      </c>
      <c r="BJ497" s="46" t="s">
        <v>805</v>
      </c>
      <c r="BK497" s="46">
        <v>1951</v>
      </c>
      <c r="BL497" s="46" t="str">
        <f>BK497&amp;BI497</f>
        <v>1951Wolverhampton Wanderers</v>
      </c>
      <c r="BM497" s="52" t="str">
        <f>IF(AD497="Home",BI497,IF(AD497="Away",BJ497,Q497))</f>
        <v>Kirklees</v>
      </c>
      <c r="BN497" s="46"/>
      <c r="BO497" s="46"/>
      <c r="BP497" s="46"/>
      <c r="BQ497" s="46"/>
      <c r="BR497" s="46"/>
      <c r="BS497" s="46"/>
      <c r="BT497" s="46"/>
      <c r="BU497" s="46"/>
      <c r="BV497" s="46" t="s">
        <v>376</v>
      </c>
      <c r="BW497" s="46" t="s">
        <v>376</v>
      </c>
      <c r="BX497" s="46"/>
      <c r="BZ497" s="53"/>
      <c r="CA497" s="53"/>
      <c r="CB497" s="93" t="str">
        <f>IF(OR(C497="",A497="",B497=""),"",TEXT(C497,"0000")&amp;TEXT(A497,"00")&amp;TEXT(B497,"00"))</f>
        <v>19510314</v>
      </c>
    </row>
    <row r="498" spans="1:80" s="52" customFormat="1" ht="12.95" customHeight="1" x14ac:dyDescent="0.2">
      <c r="A498" s="46">
        <v>4</v>
      </c>
      <c r="B498" s="46">
        <v>28</v>
      </c>
      <c r="C498" s="46">
        <v>1951</v>
      </c>
      <c r="D498" s="46" t="s">
        <v>658</v>
      </c>
      <c r="E498" s="46" t="s">
        <v>1309</v>
      </c>
      <c r="F498" s="47" t="s">
        <v>1010</v>
      </c>
      <c r="G498" s="46"/>
      <c r="H498" s="47" t="s">
        <v>1025</v>
      </c>
      <c r="I498" s="47"/>
      <c r="J498" s="48">
        <v>18746</v>
      </c>
      <c r="K498" s="46" t="s">
        <v>805</v>
      </c>
      <c r="L498" s="46" t="s">
        <v>3</v>
      </c>
      <c r="M498" s="46" t="s">
        <v>1305</v>
      </c>
      <c r="N498" s="49">
        <v>2</v>
      </c>
      <c r="O498" s="49">
        <v>0</v>
      </c>
      <c r="P498" s="47" t="s">
        <v>1268</v>
      </c>
      <c r="Q498" s="47" t="s">
        <v>1017</v>
      </c>
      <c r="R498" s="47" t="s">
        <v>376</v>
      </c>
      <c r="S498" s="46"/>
      <c r="T498" s="46"/>
      <c r="U498" s="46"/>
      <c r="V498" s="46"/>
      <c r="W498" s="46"/>
      <c r="X498" s="46"/>
      <c r="Y498" s="46"/>
      <c r="Z498" s="46"/>
      <c r="AA498" s="46"/>
      <c r="AB498" s="46"/>
      <c r="AC498" s="46"/>
      <c r="AD498" s="46"/>
      <c r="AE498" s="50">
        <f>IF(L498="W",1,0)</f>
        <v>1</v>
      </c>
      <c r="AF498" s="50">
        <f>IF(L498="T",1,0)</f>
        <v>0</v>
      </c>
      <c r="AG498" s="50">
        <f>IF(L498="L",1,0)</f>
        <v>0</v>
      </c>
      <c r="AH498" s="46" t="s">
        <v>1227</v>
      </c>
      <c r="AI498" s="46" t="s">
        <v>1164</v>
      </c>
      <c r="AJ498" s="46" t="s">
        <v>376</v>
      </c>
      <c r="AK498" s="46" t="s">
        <v>658</v>
      </c>
      <c r="AL498" s="46" t="s">
        <v>1305</v>
      </c>
      <c r="AM498" s="46" t="s">
        <v>1086</v>
      </c>
      <c r="AN498" s="46" t="s">
        <v>376</v>
      </c>
      <c r="AO498" s="46" t="s">
        <v>658</v>
      </c>
      <c r="AP498" s="46"/>
      <c r="AQ498" s="46">
        <v>1</v>
      </c>
      <c r="AR498" s="46"/>
      <c r="AS498" s="46"/>
      <c r="AT498" s="46"/>
      <c r="AU498" s="46" t="s">
        <v>376</v>
      </c>
      <c r="AV498" s="46"/>
      <c r="AW498" s="46" t="s">
        <v>30</v>
      </c>
      <c r="AX498" s="46"/>
      <c r="AY498" s="46" t="s">
        <v>30</v>
      </c>
      <c r="AZ498" s="46"/>
      <c r="BA498" s="47"/>
      <c r="BB498" s="51" t="s">
        <v>30</v>
      </c>
      <c r="BC498" s="46" t="s">
        <v>30</v>
      </c>
      <c r="BD498" s="46"/>
      <c r="BE498" s="46"/>
      <c r="BF498" s="46">
        <v>1</v>
      </c>
      <c r="BG498" s="46">
        <v>1</v>
      </c>
      <c r="BH498" s="46">
        <v>1</v>
      </c>
      <c r="BI498" s="46" t="s">
        <v>805</v>
      </c>
      <c r="BJ498" s="46" t="s">
        <v>1305</v>
      </c>
      <c r="BK498" s="46">
        <v>1951</v>
      </c>
      <c r="BL498" s="46" t="str">
        <f>BK498&amp;BI498</f>
        <v>1951Newcastle United</v>
      </c>
      <c r="BM498" s="52" t="str">
        <f>IF(AD498="Home",BI498,IF(AD498="Away",BJ498,Q498))</f>
        <v>London</v>
      </c>
      <c r="BN498" s="46"/>
      <c r="BO498" s="46"/>
      <c r="BP498" s="46"/>
      <c r="BQ498" s="46"/>
      <c r="BR498" s="46"/>
      <c r="BS498" s="46"/>
      <c r="BT498" s="46"/>
      <c r="BU498" s="46"/>
      <c r="BV498" s="46" t="s">
        <v>376</v>
      </c>
      <c r="BW498" s="46" t="s">
        <v>376</v>
      </c>
      <c r="BX498" s="46"/>
      <c r="BZ498" s="53"/>
      <c r="CA498" s="53"/>
      <c r="CB498" s="93" t="str">
        <f>IF(OR(C498="",A498="",B498=""),"",TEXT(C498,"0000")&amp;TEXT(A498,"00")&amp;TEXT(B498,"00"))</f>
        <v>19510428</v>
      </c>
    </row>
    <row r="499" spans="1:80" s="52" customFormat="1" ht="12.95" customHeight="1" x14ac:dyDescent="0.2">
      <c r="A499" s="46">
        <v>4</v>
      </c>
      <c r="B499" s="46">
        <v>28</v>
      </c>
      <c r="C499" s="46">
        <v>1951</v>
      </c>
      <c r="D499" s="46" t="s">
        <v>658</v>
      </c>
      <c r="E499" s="46" t="s">
        <v>1309</v>
      </c>
      <c r="F499" s="47" t="s">
        <v>1010</v>
      </c>
      <c r="G499" s="46"/>
      <c r="H499" s="47" t="s">
        <v>1025</v>
      </c>
      <c r="I499" s="47"/>
      <c r="J499" s="48">
        <v>18746</v>
      </c>
      <c r="K499" s="46" t="s">
        <v>1305</v>
      </c>
      <c r="L499" s="46" t="s">
        <v>4</v>
      </c>
      <c r="M499" s="46" t="s">
        <v>805</v>
      </c>
      <c r="N499" s="49">
        <v>0</v>
      </c>
      <c r="O499" s="49">
        <v>2</v>
      </c>
      <c r="P499" s="47" t="s">
        <v>1268</v>
      </c>
      <c r="Q499" s="47" t="s">
        <v>1017</v>
      </c>
      <c r="R499" s="47" t="s">
        <v>376</v>
      </c>
      <c r="S499" s="46"/>
      <c r="T499" s="46"/>
      <c r="U499" s="46"/>
      <c r="V499" s="46"/>
      <c r="W499" s="46"/>
      <c r="X499" s="46"/>
      <c r="Y499" s="46"/>
      <c r="Z499" s="46"/>
      <c r="AA499" s="46"/>
      <c r="AB499" s="46"/>
      <c r="AC499" s="46"/>
      <c r="AD499" s="46"/>
      <c r="AE499" s="50">
        <f>IF(L499="W",1,0)</f>
        <v>0</v>
      </c>
      <c r="AF499" s="50">
        <f>IF(L499="T",1,0)</f>
        <v>0</v>
      </c>
      <c r="AG499" s="50">
        <f>IF(L499="L",1,0)</f>
        <v>1</v>
      </c>
      <c r="AH499" s="46" t="s">
        <v>1305</v>
      </c>
      <c r="AI499" s="46" t="s">
        <v>1086</v>
      </c>
      <c r="AJ499" s="46" t="s">
        <v>376</v>
      </c>
      <c r="AK499" s="46" t="s">
        <v>658</v>
      </c>
      <c r="AL499" s="46" t="s">
        <v>1227</v>
      </c>
      <c r="AM499" s="46" t="s">
        <v>1164</v>
      </c>
      <c r="AN499" s="46" t="s">
        <v>376</v>
      </c>
      <c r="AO499" s="46" t="s">
        <v>658</v>
      </c>
      <c r="AP499" s="46"/>
      <c r="AQ499" s="46">
        <v>1</v>
      </c>
      <c r="AR499" s="46"/>
      <c r="AS499" s="46"/>
      <c r="AT499" s="46"/>
      <c r="AU499" s="46" t="s">
        <v>376</v>
      </c>
      <c r="AV499" s="46"/>
      <c r="AW499" s="46" t="s">
        <v>30</v>
      </c>
      <c r="AX499" s="46"/>
      <c r="AY499" s="46" t="s">
        <v>30</v>
      </c>
      <c r="AZ499" s="46"/>
      <c r="BA499" s="47"/>
      <c r="BB499" s="51"/>
      <c r="BC499" s="46" t="s">
        <v>30</v>
      </c>
      <c r="BD499" s="46"/>
      <c r="BE499" s="46"/>
      <c r="BF499" s="46">
        <v>1</v>
      </c>
      <c r="BG499" s="46">
        <v>1</v>
      </c>
      <c r="BH499" s="46">
        <v>1</v>
      </c>
      <c r="BI499" s="46" t="s">
        <v>1305</v>
      </c>
      <c r="BJ499" s="46" t="s">
        <v>805</v>
      </c>
      <c r="BK499" s="46">
        <v>1951</v>
      </c>
      <c r="BL499" s="46" t="str">
        <f>BK499&amp;BI499</f>
        <v>1951Blackpool</v>
      </c>
      <c r="BM499" s="52" t="str">
        <f>IF(AD499="Home",BI499,IF(AD499="Away",BJ499,Q499))</f>
        <v>London</v>
      </c>
      <c r="BN499" s="46"/>
      <c r="BO499" s="46"/>
      <c r="BP499" s="46"/>
      <c r="BQ499" s="46"/>
      <c r="BR499" s="46"/>
      <c r="BS499" s="46"/>
      <c r="BT499" s="46"/>
      <c r="BU499" s="46"/>
      <c r="BV499" s="46" t="s">
        <v>376</v>
      </c>
      <c r="BW499" s="46" t="s">
        <v>376</v>
      </c>
      <c r="BX499" s="46"/>
      <c r="BZ499" s="53"/>
      <c r="CA499" s="53"/>
      <c r="CB499" s="93" t="str">
        <f>IF(OR(C499="",A499="",B499=""),"",TEXT(C499,"0000")&amp;TEXT(A499,"00")&amp;TEXT(B499,"00"))</f>
        <v>19510428</v>
      </c>
    </row>
    <row r="500" spans="1:80" s="52" customFormat="1" ht="12.95" customHeight="1" x14ac:dyDescent="0.2">
      <c r="A500" s="46">
        <v>3</v>
      </c>
      <c r="B500" s="46">
        <v>29</v>
      </c>
      <c r="C500" s="46">
        <v>1952</v>
      </c>
      <c r="D500" s="46" t="s">
        <v>658</v>
      </c>
      <c r="E500" s="46" t="s">
        <v>1310</v>
      </c>
      <c r="F500" s="47" t="s">
        <v>1010</v>
      </c>
      <c r="G500" s="46"/>
      <c r="H500" s="47" t="s">
        <v>1011</v>
      </c>
      <c r="I500" s="47"/>
      <c r="J500" s="48">
        <v>19082</v>
      </c>
      <c r="K500" s="46" t="s">
        <v>805</v>
      </c>
      <c r="L500" s="46" t="s">
        <v>1014</v>
      </c>
      <c r="M500" s="46" t="s">
        <v>1094</v>
      </c>
      <c r="N500" s="49">
        <v>0</v>
      </c>
      <c r="O500" s="49">
        <v>0</v>
      </c>
      <c r="P500" s="47" t="s">
        <v>1252</v>
      </c>
      <c r="Q500" s="47" t="s">
        <v>1097</v>
      </c>
      <c r="R500" s="47" t="s">
        <v>376</v>
      </c>
      <c r="S500" s="46"/>
      <c r="T500" s="46"/>
      <c r="U500" s="46"/>
      <c r="V500" s="46"/>
      <c r="W500" s="46"/>
      <c r="X500" s="46"/>
      <c r="Y500" s="46"/>
      <c r="Z500" s="46"/>
      <c r="AA500" s="46"/>
      <c r="AB500" s="46"/>
      <c r="AC500" s="46"/>
      <c r="AD500" s="46"/>
      <c r="AE500" s="50">
        <f>IF(L500="W",1,0)</f>
        <v>0</v>
      </c>
      <c r="AF500" s="50">
        <f>IF(L500="T",1,0)</f>
        <v>1</v>
      </c>
      <c r="AG500" s="50">
        <f>IF(L500="L",1,0)</f>
        <v>0</v>
      </c>
      <c r="AH500" s="46" t="s">
        <v>1227</v>
      </c>
      <c r="AI500" s="46" t="s">
        <v>1164</v>
      </c>
      <c r="AJ500" s="46" t="s">
        <v>376</v>
      </c>
      <c r="AK500" s="46" t="s">
        <v>658</v>
      </c>
      <c r="AL500" s="46" t="s">
        <v>1085</v>
      </c>
      <c r="AM500" s="46" t="s">
        <v>1086</v>
      </c>
      <c r="AN500" s="46" t="s">
        <v>376</v>
      </c>
      <c r="AO500" s="46" t="s">
        <v>658</v>
      </c>
      <c r="AP500" s="46"/>
      <c r="AQ500" s="46">
        <v>2</v>
      </c>
      <c r="AR500" s="46"/>
      <c r="AS500" s="46"/>
      <c r="AT500" s="46"/>
      <c r="AU500" s="46" t="s">
        <v>376</v>
      </c>
      <c r="AV500" s="46"/>
      <c r="AW500" s="46" t="s">
        <v>30</v>
      </c>
      <c r="AX500" s="46"/>
      <c r="AY500" s="46" t="s">
        <v>30</v>
      </c>
      <c r="AZ500" s="46"/>
      <c r="BA500" s="47"/>
      <c r="BB500" s="51"/>
      <c r="BC500" s="46"/>
      <c r="BD500" s="46"/>
      <c r="BE500" s="46"/>
      <c r="BF500" s="46">
        <v>1</v>
      </c>
      <c r="BG500" s="46">
        <v>1</v>
      </c>
      <c r="BH500" s="46">
        <v>2</v>
      </c>
      <c r="BI500" s="46" t="s">
        <v>805</v>
      </c>
      <c r="BJ500" s="46" t="s">
        <v>1094</v>
      </c>
      <c r="BK500" s="46">
        <v>1952</v>
      </c>
      <c r="BL500" s="46" t="str">
        <f>BK500&amp;BI500</f>
        <v>1952Newcastle United</v>
      </c>
      <c r="BM500" s="52" t="str">
        <f>IF(AD500="Home",BI500,IF(AD500="Away",BJ500,Q500))</f>
        <v>Sheffield</v>
      </c>
      <c r="BN500" s="46"/>
      <c r="BO500" s="46"/>
      <c r="BP500" s="46"/>
      <c r="BQ500" s="46"/>
      <c r="BR500" s="46"/>
      <c r="BS500" s="46"/>
      <c r="BT500" s="46"/>
      <c r="BU500" s="46"/>
      <c r="BV500" s="46" t="s">
        <v>376</v>
      </c>
      <c r="BW500" s="46" t="s">
        <v>376</v>
      </c>
      <c r="BX500" s="46"/>
      <c r="BY500" s="50"/>
      <c r="BZ500" s="53"/>
      <c r="CA500" s="53"/>
      <c r="CB500" s="93" t="str">
        <f>IF(OR(C500="",A500="",B500=""),"",TEXT(C500,"0000")&amp;TEXT(A500,"00")&amp;TEXT(B500,"00"))</f>
        <v>19520329</v>
      </c>
    </row>
    <row r="501" spans="1:80" s="52" customFormat="1" ht="12.95" customHeight="1" x14ac:dyDescent="0.2">
      <c r="A501" s="46">
        <v>3</v>
      </c>
      <c r="B501" s="46">
        <v>29</v>
      </c>
      <c r="C501" s="46">
        <v>1952</v>
      </c>
      <c r="D501" s="46" t="s">
        <v>658</v>
      </c>
      <c r="E501" s="46" t="s">
        <v>1310</v>
      </c>
      <c r="F501" s="47" t="s">
        <v>1010</v>
      </c>
      <c r="G501" s="46"/>
      <c r="H501" s="47" t="s">
        <v>1011</v>
      </c>
      <c r="I501" s="47"/>
      <c r="J501" s="48">
        <v>19082</v>
      </c>
      <c r="K501" s="46" t="s">
        <v>1094</v>
      </c>
      <c r="L501" s="46" t="s">
        <v>1014</v>
      </c>
      <c r="M501" s="46" t="s">
        <v>805</v>
      </c>
      <c r="N501" s="49">
        <v>0</v>
      </c>
      <c r="O501" s="49">
        <v>0</v>
      </c>
      <c r="P501" s="47" t="s">
        <v>1252</v>
      </c>
      <c r="Q501" s="47" t="s">
        <v>1097</v>
      </c>
      <c r="R501" s="47" t="s">
        <v>376</v>
      </c>
      <c r="S501" s="46"/>
      <c r="T501" s="46"/>
      <c r="U501" s="46"/>
      <c r="V501" s="46"/>
      <c r="W501" s="46"/>
      <c r="X501" s="46"/>
      <c r="Y501" s="46"/>
      <c r="Z501" s="46"/>
      <c r="AA501" s="46"/>
      <c r="AB501" s="46"/>
      <c r="AC501" s="46"/>
      <c r="AD501" s="46"/>
      <c r="AE501" s="50">
        <f>IF(L501="W",1,0)</f>
        <v>0</v>
      </c>
      <c r="AF501" s="50">
        <f>IF(L501="T",1,0)</f>
        <v>1</v>
      </c>
      <c r="AG501" s="50">
        <f>IF(L501="L",1,0)</f>
        <v>0</v>
      </c>
      <c r="AH501" s="46" t="s">
        <v>1085</v>
      </c>
      <c r="AI501" s="46" t="s">
        <v>1086</v>
      </c>
      <c r="AJ501" s="46" t="s">
        <v>376</v>
      </c>
      <c r="AK501" s="46" t="s">
        <v>658</v>
      </c>
      <c r="AL501" s="46" t="s">
        <v>1227</v>
      </c>
      <c r="AM501" s="46" t="s">
        <v>1164</v>
      </c>
      <c r="AN501" s="46" t="s">
        <v>376</v>
      </c>
      <c r="AO501" s="46" t="s">
        <v>658</v>
      </c>
      <c r="AP501" s="46"/>
      <c r="AQ501" s="46">
        <v>2</v>
      </c>
      <c r="AR501" s="46"/>
      <c r="AS501" s="46"/>
      <c r="AT501" s="46"/>
      <c r="AU501" s="46" t="s">
        <v>376</v>
      </c>
      <c r="AV501" s="46"/>
      <c r="AW501" s="46" t="s">
        <v>30</v>
      </c>
      <c r="AX501" s="46"/>
      <c r="AY501" s="46" t="s">
        <v>30</v>
      </c>
      <c r="AZ501" s="46"/>
      <c r="BA501" s="47"/>
      <c r="BB501" s="51"/>
      <c r="BC501" s="46"/>
      <c r="BD501" s="46"/>
      <c r="BE501" s="46"/>
      <c r="BF501" s="46">
        <v>1</v>
      </c>
      <c r="BG501" s="46">
        <v>2</v>
      </c>
      <c r="BH501" s="46">
        <v>1</v>
      </c>
      <c r="BI501" s="46" t="s">
        <v>1094</v>
      </c>
      <c r="BJ501" s="46" t="s">
        <v>805</v>
      </c>
      <c r="BK501" s="46">
        <v>1952</v>
      </c>
      <c r="BL501" s="46" t="str">
        <f>BK501&amp;BI501</f>
        <v>1952Blackburn Rovers</v>
      </c>
      <c r="BM501" s="52" t="str">
        <f>IF(AD501="Home",BI501,IF(AD501="Away",BJ501,Q501))</f>
        <v>Sheffield</v>
      </c>
      <c r="BN501" s="46"/>
      <c r="BO501" s="46"/>
      <c r="BP501" s="46"/>
      <c r="BQ501" s="46"/>
      <c r="BR501" s="46"/>
      <c r="BS501" s="46"/>
      <c r="BT501" s="46"/>
      <c r="BU501" s="46"/>
      <c r="BV501" s="46" t="s">
        <v>376</v>
      </c>
      <c r="BW501" s="46" t="s">
        <v>376</v>
      </c>
      <c r="BX501" s="46"/>
      <c r="BY501" s="50"/>
      <c r="BZ501" s="53"/>
      <c r="CA501" s="53"/>
      <c r="CB501" s="93" t="str">
        <f>IF(OR(C501="",A501="",B501=""),"",TEXT(C501,"0000")&amp;TEXT(A501,"00")&amp;TEXT(B501,"00"))</f>
        <v>19520329</v>
      </c>
    </row>
    <row r="502" spans="1:80" s="52" customFormat="1" ht="12.95" customHeight="1" x14ac:dyDescent="0.2">
      <c r="A502" s="46">
        <v>4</v>
      </c>
      <c r="B502" s="46">
        <v>2</v>
      </c>
      <c r="C502" s="46">
        <v>1952</v>
      </c>
      <c r="D502" s="46" t="s">
        <v>658</v>
      </c>
      <c r="E502" s="46" t="s">
        <v>1310</v>
      </c>
      <c r="F502" s="47" t="s">
        <v>1010</v>
      </c>
      <c r="G502" s="46"/>
      <c r="H502" s="47" t="s">
        <v>1011</v>
      </c>
      <c r="I502" s="47" t="s">
        <v>1023</v>
      </c>
      <c r="J502" s="48">
        <v>19086</v>
      </c>
      <c r="K502" s="46" t="s">
        <v>805</v>
      </c>
      <c r="L502" s="46" t="s">
        <v>3</v>
      </c>
      <c r="M502" s="46" t="s">
        <v>1094</v>
      </c>
      <c r="N502" s="49">
        <v>2</v>
      </c>
      <c r="O502" s="49">
        <v>1</v>
      </c>
      <c r="P502" s="47" t="s">
        <v>1240</v>
      </c>
      <c r="Q502" s="47" t="s">
        <v>1241</v>
      </c>
      <c r="R502" s="47" t="s">
        <v>376</v>
      </c>
      <c r="S502" s="46"/>
      <c r="T502" s="46"/>
      <c r="U502" s="46"/>
      <c r="V502" s="46"/>
      <c r="W502" s="46"/>
      <c r="X502" s="46"/>
      <c r="Y502" s="46"/>
      <c r="Z502" s="46"/>
      <c r="AA502" s="46"/>
      <c r="AB502" s="46"/>
      <c r="AC502" s="46"/>
      <c r="AD502" s="46"/>
      <c r="AE502" s="50">
        <f>IF(L502="W",1,0)</f>
        <v>1</v>
      </c>
      <c r="AF502" s="50">
        <f>IF(L502="T",1,0)</f>
        <v>0</v>
      </c>
      <c r="AG502" s="50">
        <f>IF(L502="L",1,0)</f>
        <v>0</v>
      </c>
      <c r="AH502" s="46" t="s">
        <v>1227</v>
      </c>
      <c r="AI502" s="46" t="s">
        <v>1164</v>
      </c>
      <c r="AJ502" s="46" t="s">
        <v>376</v>
      </c>
      <c r="AK502" s="46" t="s">
        <v>658</v>
      </c>
      <c r="AL502" s="46" t="s">
        <v>1085</v>
      </c>
      <c r="AM502" s="46" t="s">
        <v>1086</v>
      </c>
      <c r="AN502" s="46" t="s">
        <v>376</v>
      </c>
      <c r="AO502" s="46" t="s">
        <v>658</v>
      </c>
      <c r="AP502" s="46"/>
      <c r="AQ502" s="46">
        <v>2</v>
      </c>
      <c r="AR502" s="46"/>
      <c r="AS502" s="46"/>
      <c r="AT502" s="46"/>
      <c r="AU502" s="46" t="s">
        <v>376</v>
      </c>
      <c r="AV502" s="46"/>
      <c r="AW502" s="46" t="s">
        <v>30</v>
      </c>
      <c r="AX502" s="46"/>
      <c r="AY502" s="46" t="s">
        <v>30</v>
      </c>
      <c r="AZ502" s="46"/>
      <c r="BA502" s="47"/>
      <c r="BB502" s="51"/>
      <c r="BC502" s="46"/>
      <c r="BD502" s="46"/>
      <c r="BE502" s="46"/>
      <c r="BF502" s="46">
        <v>1</v>
      </c>
      <c r="BG502" s="46">
        <v>1</v>
      </c>
      <c r="BH502" s="46">
        <v>2</v>
      </c>
      <c r="BI502" s="46" t="s">
        <v>805</v>
      </c>
      <c r="BJ502" s="46" t="s">
        <v>1094</v>
      </c>
      <c r="BK502" s="46">
        <v>1952</v>
      </c>
      <c r="BL502" s="46" t="str">
        <f>BK502&amp;BI502</f>
        <v>1952Newcastle United</v>
      </c>
      <c r="BM502" s="52" t="str">
        <f>IF(AD502="Home",BI502,IF(AD502="Away",BJ502,Q502))</f>
        <v>Leeds</v>
      </c>
      <c r="BN502" s="46"/>
      <c r="BO502" s="46"/>
      <c r="BP502" s="46"/>
      <c r="BQ502" s="46"/>
      <c r="BR502" s="46"/>
      <c r="BS502" s="46"/>
      <c r="BT502" s="46"/>
      <c r="BU502" s="46"/>
      <c r="BV502" s="46" t="s">
        <v>376</v>
      </c>
      <c r="BW502" s="46" t="s">
        <v>376</v>
      </c>
      <c r="BX502" s="46"/>
      <c r="BZ502" s="53"/>
      <c r="CA502" s="53"/>
      <c r="CB502" s="93" t="str">
        <f>IF(OR(C502="",A502="",B502=""),"",TEXT(C502,"0000")&amp;TEXT(A502,"00")&amp;TEXT(B502,"00"))</f>
        <v>19520402</v>
      </c>
    </row>
    <row r="503" spans="1:80" s="52" customFormat="1" ht="12.95" customHeight="1" x14ac:dyDescent="0.2">
      <c r="A503" s="46">
        <v>4</v>
      </c>
      <c r="B503" s="46">
        <v>2</v>
      </c>
      <c r="C503" s="46">
        <v>1952</v>
      </c>
      <c r="D503" s="46" t="s">
        <v>658</v>
      </c>
      <c r="E503" s="46" t="s">
        <v>1310</v>
      </c>
      <c r="F503" s="47" t="s">
        <v>1010</v>
      </c>
      <c r="G503" s="46"/>
      <c r="H503" s="47" t="s">
        <v>1011</v>
      </c>
      <c r="I503" s="47" t="s">
        <v>1023</v>
      </c>
      <c r="J503" s="48">
        <v>19086</v>
      </c>
      <c r="K503" s="46" t="s">
        <v>1094</v>
      </c>
      <c r="L503" s="46" t="s">
        <v>4</v>
      </c>
      <c r="M503" s="46" t="s">
        <v>805</v>
      </c>
      <c r="N503" s="49">
        <v>1</v>
      </c>
      <c r="O503" s="49">
        <v>2</v>
      </c>
      <c r="P503" s="47" t="s">
        <v>1240</v>
      </c>
      <c r="Q503" s="47" t="s">
        <v>1241</v>
      </c>
      <c r="R503" s="47" t="s">
        <v>376</v>
      </c>
      <c r="S503" s="46"/>
      <c r="T503" s="46"/>
      <c r="U503" s="46"/>
      <c r="V503" s="46"/>
      <c r="W503" s="46"/>
      <c r="X503" s="46"/>
      <c r="Y503" s="46"/>
      <c r="Z503" s="46"/>
      <c r="AA503" s="46"/>
      <c r="AB503" s="46"/>
      <c r="AC503" s="46"/>
      <c r="AD503" s="46"/>
      <c r="AE503" s="50">
        <f>IF(L503="W",1,0)</f>
        <v>0</v>
      </c>
      <c r="AF503" s="50">
        <f>IF(L503="T",1,0)</f>
        <v>0</v>
      </c>
      <c r="AG503" s="50">
        <f>IF(L503="L",1,0)</f>
        <v>1</v>
      </c>
      <c r="AH503" s="46" t="s">
        <v>1085</v>
      </c>
      <c r="AI503" s="46" t="s">
        <v>1086</v>
      </c>
      <c r="AJ503" s="46" t="s">
        <v>376</v>
      </c>
      <c r="AK503" s="46" t="s">
        <v>658</v>
      </c>
      <c r="AL503" s="46" t="s">
        <v>1227</v>
      </c>
      <c r="AM503" s="46" t="s">
        <v>1164</v>
      </c>
      <c r="AN503" s="46" t="s">
        <v>376</v>
      </c>
      <c r="AO503" s="46" t="s">
        <v>658</v>
      </c>
      <c r="AP503" s="46"/>
      <c r="AQ503" s="46">
        <v>2</v>
      </c>
      <c r="AR503" s="46"/>
      <c r="AS503" s="46"/>
      <c r="AT503" s="46"/>
      <c r="AU503" s="46" t="s">
        <v>376</v>
      </c>
      <c r="AV503" s="46"/>
      <c r="AW503" s="46" t="s">
        <v>30</v>
      </c>
      <c r="AX503" s="46"/>
      <c r="AY503" s="46" t="s">
        <v>30</v>
      </c>
      <c r="AZ503" s="46"/>
      <c r="BA503" s="47"/>
      <c r="BB503" s="51"/>
      <c r="BC503" s="46"/>
      <c r="BD503" s="46"/>
      <c r="BE503" s="46"/>
      <c r="BF503" s="46">
        <v>1</v>
      </c>
      <c r="BG503" s="46">
        <v>2</v>
      </c>
      <c r="BH503" s="46">
        <v>1</v>
      </c>
      <c r="BI503" s="46" t="s">
        <v>1094</v>
      </c>
      <c r="BJ503" s="46" t="s">
        <v>805</v>
      </c>
      <c r="BK503" s="46">
        <v>1952</v>
      </c>
      <c r="BL503" s="46" t="str">
        <f>BK503&amp;BI503</f>
        <v>1952Blackburn Rovers</v>
      </c>
      <c r="BM503" s="52" t="str">
        <f>IF(AD503="Home",BI503,IF(AD503="Away",BJ503,Q503))</f>
        <v>Leeds</v>
      </c>
      <c r="BN503" s="46"/>
      <c r="BO503" s="46"/>
      <c r="BP503" s="46"/>
      <c r="BQ503" s="46"/>
      <c r="BR503" s="46"/>
      <c r="BS503" s="46"/>
      <c r="BT503" s="46"/>
      <c r="BU503" s="46"/>
      <c r="BV503" s="46" t="s">
        <v>376</v>
      </c>
      <c r="BW503" s="46" t="s">
        <v>376</v>
      </c>
      <c r="BX503" s="46"/>
      <c r="BZ503" s="53"/>
      <c r="CA503" s="53"/>
      <c r="CB503" s="93" t="str">
        <f>IF(OR(C503="",A503="",B503=""),"",TEXT(C503,"0000")&amp;TEXT(A503,"00")&amp;TEXT(B503,"00"))</f>
        <v>19520402</v>
      </c>
    </row>
    <row r="504" spans="1:80" s="52" customFormat="1" ht="12.95" customHeight="1" x14ac:dyDescent="0.2">
      <c r="A504" s="46">
        <v>4</v>
      </c>
      <c r="B504" s="46">
        <v>5</v>
      </c>
      <c r="C504" s="46">
        <v>1952</v>
      </c>
      <c r="D504" s="46" t="s">
        <v>658</v>
      </c>
      <c r="E504" s="46" t="s">
        <v>1310</v>
      </c>
      <c r="F504" s="47" t="s">
        <v>1010</v>
      </c>
      <c r="G504" s="46"/>
      <c r="H504" s="47" t="s">
        <v>1011</v>
      </c>
      <c r="I504" s="47"/>
      <c r="J504" s="48">
        <v>19089</v>
      </c>
      <c r="K504" s="46" t="s">
        <v>816</v>
      </c>
      <c r="L504" s="46" t="s">
        <v>1014</v>
      </c>
      <c r="M504" s="46" t="s">
        <v>587</v>
      </c>
      <c r="N504" s="49">
        <v>1</v>
      </c>
      <c r="O504" s="49">
        <v>1</v>
      </c>
      <c r="P504" s="47" t="s">
        <v>1222</v>
      </c>
      <c r="Q504" s="47" t="s">
        <v>1017</v>
      </c>
      <c r="R504" s="47" t="s">
        <v>376</v>
      </c>
      <c r="S504" s="46"/>
      <c r="T504" s="46"/>
      <c r="U504" s="46"/>
      <c r="V504" s="46"/>
      <c r="W504" s="46"/>
      <c r="X504" s="46"/>
      <c r="Y504" s="46"/>
      <c r="Z504" s="46"/>
      <c r="AA504" s="46"/>
      <c r="AB504" s="46"/>
      <c r="AC504" s="46"/>
      <c r="AD504" s="46"/>
      <c r="AE504" s="50">
        <f>IF(L504="W",1,0)</f>
        <v>0</v>
      </c>
      <c r="AF504" s="50">
        <f>IF(L504="T",1,0)</f>
        <v>1</v>
      </c>
      <c r="AG504" s="50">
        <f>IF(L504="L",1,0)</f>
        <v>0</v>
      </c>
      <c r="AH504" s="46" t="s">
        <v>1017</v>
      </c>
      <c r="AI504" s="46" t="s">
        <v>1018</v>
      </c>
      <c r="AJ504" s="46" t="s">
        <v>376</v>
      </c>
      <c r="AK504" s="46" t="s">
        <v>658</v>
      </c>
      <c r="AL504" s="46" t="s">
        <v>1017</v>
      </c>
      <c r="AM504" s="46" t="s">
        <v>1018</v>
      </c>
      <c r="AN504" s="46" t="s">
        <v>376</v>
      </c>
      <c r="AO504" s="46" t="s">
        <v>658</v>
      </c>
      <c r="AP504" s="46"/>
      <c r="AQ504" s="46">
        <v>2</v>
      </c>
      <c r="AR504" s="46"/>
      <c r="AS504" s="46"/>
      <c r="AT504" s="46" t="s">
        <v>1308</v>
      </c>
      <c r="AU504" s="46" t="s">
        <v>376</v>
      </c>
      <c r="AV504" s="46"/>
      <c r="AW504" s="46" t="s">
        <v>30</v>
      </c>
      <c r="AX504" s="46"/>
      <c r="AY504" s="46" t="s">
        <v>30</v>
      </c>
      <c r="AZ504" s="46"/>
      <c r="BA504" s="47"/>
      <c r="BB504" s="51"/>
      <c r="BC504" s="46"/>
      <c r="BD504" s="46"/>
      <c r="BE504" s="46"/>
      <c r="BF504" s="46">
        <v>1</v>
      </c>
      <c r="BG504" s="46">
        <v>1</v>
      </c>
      <c r="BH504" s="46">
        <v>1</v>
      </c>
      <c r="BI504" s="46" t="s">
        <v>816</v>
      </c>
      <c r="BJ504" s="46" t="s">
        <v>587</v>
      </c>
      <c r="BK504" s="46">
        <v>1952</v>
      </c>
      <c r="BL504" s="46" t="str">
        <f>BK504&amp;BI504</f>
        <v>1952Chelsea</v>
      </c>
      <c r="BM504" s="52" t="str">
        <f>IF(AD504="Home",BI504,IF(AD504="Away",BJ504,Q504))</f>
        <v>London</v>
      </c>
      <c r="BN504" s="46"/>
      <c r="BO504" s="46"/>
      <c r="BP504" s="46"/>
      <c r="BQ504" s="46"/>
      <c r="BR504" s="46"/>
      <c r="BS504" s="46"/>
      <c r="BT504" s="46"/>
      <c r="BU504" s="46"/>
      <c r="BV504" s="46" t="s">
        <v>376</v>
      </c>
      <c r="BW504" s="46" t="s">
        <v>376</v>
      </c>
      <c r="BX504" s="46"/>
      <c r="BZ504" s="53"/>
      <c r="CA504" s="53"/>
      <c r="CB504" s="93" t="str">
        <f>IF(OR(C504="",A504="",B504=""),"",TEXT(C504,"0000")&amp;TEXT(A504,"00")&amp;TEXT(B504,"00"))</f>
        <v>19520405</v>
      </c>
    </row>
    <row r="505" spans="1:80" s="52" customFormat="1" ht="12.95" customHeight="1" x14ac:dyDescent="0.2">
      <c r="A505" s="46">
        <v>4</v>
      </c>
      <c r="B505" s="46">
        <v>5</v>
      </c>
      <c r="C505" s="46">
        <v>1952</v>
      </c>
      <c r="D505" s="46" t="s">
        <v>658</v>
      </c>
      <c r="E505" s="46" t="s">
        <v>1310</v>
      </c>
      <c r="F505" s="47" t="s">
        <v>1010</v>
      </c>
      <c r="G505" s="46"/>
      <c r="H505" s="47" t="s">
        <v>1011</v>
      </c>
      <c r="I505" s="47"/>
      <c r="J505" s="48">
        <v>19089</v>
      </c>
      <c r="K505" s="46" t="s">
        <v>587</v>
      </c>
      <c r="L505" s="46" t="s">
        <v>1014</v>
      </c>
      <c r="M505" s="46" t="s">
        <v>816</v>
      </c>
      <c r="N505" s="49">
        <v>1</v>
      </c>
      <c r="O505" s="49">
        <v>1</v>
      </c>
      <c r="P505" s="47" t="s">
        <v>1222</v>
      </c>
      <c r="Q505" s="47" t="s">
        <v>1017</v>
      </c>
      <c r="R505" s="47" t="s">
        <v>376</v>
      </c>
      <c r="S505" s="46"/>
      <c r="T505" s="46"/>
      <c r="U505" s="46"/>
      <c r="V505" s="46"/>
      <c r="W505" s="46"/>
      <c r="X505" s="46"/>
      <c r="Y505" s="46"/>
      <c r="Z505" s="46"/>
      <c r="AA505" s="46"/>
      <c r="AB505" s="46"/>
      <c r="AC505" s="46"/>
      <c r="AD505" s="46"/>
      <c r="AE505" s="50">
        <f>IF(L505="W",1,0)</f>
        <v>0</v>
      </c>
      <c r="AF505" s="50">
        <f>IF(L505="T",1,0)</f>
        <v>1</v>
      </c>
      <c r="AG505" s="50">
        <f>IF(L505="L",1,0)</f>
        <v>0</v>
      </c>
      <c r="AH505" s="46" t="s">
        <v>1017</v>
      </c>
      <c r="AI505" s="46" t="s">
        <v>1018</v>
      </c>
      <c r="AJ505" s="46" t="s">
        <v>376</v>
      </c>
      <c r="AK505" s="46" t="s">
        <v>658</v>
      </c>
      <c r="AL505" s="46" t="s">
        <v>1017</v>
      </c>
      <c r="AM505" s="46" t="s">
        <v>1018</v>
      </c>
      <c r="AN505" s="46" t="s">
        <v>376</v>
      </c>
      <c r="AO505" s="46" t="s">
        <v>658</v>
      </c>
      <c r="AP505" s="46"/>
      <c r="AQ505" s="46">
        <v>2</v>
      </c>
      <c r="AR505" s="46"/>
      <c r="AS505" s="46"/>
      <c r="AT505" s="46" t="s">
        <v>1308</v>
      </c>
      <c r="AU505" s="46" t="s">
        <v>376</v>
      </c>
      <c r="AV505" s="46"/>
      <c r="AW505" s="46" t="s">
        <v>30</v>
      </c>
      <c r="AX505" s="46"/>
      <c r="AY505" s="46" t="s">
        <v>30</v>
      </c>
      <c r="AZ505" s="46"/>
      <c r="BA505" s="47"/>
      <c r="BB505" s="51"/>
      <c r="BC505" s="46"/>
      <c r="BD505" s="46"/>
      <c r="BE505" s="46"/>
      <c r="BF505" s="46">
        <v>1</v>
      </c>
      <c r="BG505" s="46">
        <v>1</v>
      </c>
      <c r="BH505" s="46">
        <v>1</v>
      </c>
      <c r="BI505" s="46" t="s">
        <v>587</v>
      </c>
      <c r="BJ505" s="46" t="s">
        <v>816</v>
      </c>
      <c r="BK505" s="46">
        <v>1952</v>
      </c>
      <c r="BL505" s="46" t="str">
        <f>BK505&amp;BI505</f>
        <v>1952Arsenal</v>
      </c>
      <c r="BM505" s="52" t="str">
        <f>IF(AD505="Home",BI505,IF(AD505="Away",BJ505,Q505))</f>
        <v>London</v>
      </c>
      <c r="BN505" s="46"/>
      <c r="BO505" s="46"/>
      <c r="BP505" s="46"/>
      <c r="BQ505" s="46"/>
      <c r="BR505" s="46"/>
      <c r="BS505" s="46"/>
      <c r="BT505" s="46"/>
      <c r="BU505" s="46"/>
      <c r="BV505" s="46" t="s">
        <v>376</v>
      </c>
      <c r="BW505" s="46" t="s">
        <v>376</v>
      </c>
      <c r="BX505" s="46"/>
      <c r="BZ505" s="53"/>
      <c r="CA505" s="53"/>
      <c r="CB505" s="93" t="str">
        <f>IF(OR(C505="",A505="",B505=""),"",TEXT(C505,"0000")&amp;TEXT(A505,"00")&amp;TEXT(B505,"00"))</f>
        <v>19520405</v>
      </c>
    </row>
    <row r="506" spans="1:80" s="52" customFormat="1" ht="12.95" customHeight="1" x14ac:dyDescent="0.2">
      <c r="A506" s="46">
        <v>4</v>
      </c>
      <c r="B506" s="46">
        <v>7</v>
      </c>
      <c r="C506" s="46">
        <v>1952</v>
      </c>
      <c r="D506" s="46" t="s">
        <v>658</v>
      </c>
      <c r="E506" s="46" t="s">
        <v>1310</v>
      </c>
      <c r="F506" s="47" t="s">
        <v>1010</v>
      </c>
      <c r="G506" s="46"/>
      <c r="H506" s="47" t="s">
        <v>1011</v>
      </c>
      <c r="I506" s="47" t="s">
        <v>1023</v>
      </c>
      <c r="J506" s="48">
        <v>19091</v>
      </c>
      <c r="K506" s="46" t="s">
        <v>587</v>
      </c>
      <c r="L506" s="46" t="s">
        <v>3</v>
      </c>
      <c r="M506" s="46" t="s">
        <v>816</v>
      </c>
      <c r="N506" s="49">
        <v>3</v>
      </c>
      <c r="O506" s="49">
        <v>0</v>
      </c>
      <c r="P506" s="47" t="s">
        <v>1222</v>
      </c>
      <c r="Q506" s="47" t="s">
        <v>1017</v>
      </c>
      <c r="R506" s="47" t="s">
        <v>376</v>
      </c>
      <c r="S506" s="46"/>
      <c r="T506" s="46"/>
      <c r="U506" s="46"/>
      <c r="V506" s="46"/>
      <c r="W506" s="46"/>
      <c r="X506" s="46"/>
      <c r="Y506" s="46"/>
      <c r="Z506" s="46"/>
      <c r="AA506" s="46"/>
      <c r="AB506" s="46"/>
      <c r="AC506" s="46"/>
      <c r="AD506" s="46"/>
      <c r="AE506" s="50">
        <f>IF(L506="W",1,0)</f>
        <v>1</v>
      </c>
      <c r="AF506" s="50">
        <f>IF(L506="T",1,0)</f>
        <v>0</v>
      </c>
      <c r="AG506" s="50">
        <f>IF(L506="L",1,0)</f>
        <v>0</v>
      </c>
      <c r="AH506" s="46" t="s">
        <v>1017</v>
      </c>
      <c r="AI506" s="46" t="s">
        <v>1018</v>
      </c>
      <c r="AJ506" s="46" t="s">
        <v>376</v>
      </c>
      <c r="AK506" s="46" t="s">
        <v>658</v>
      </c>
      <c r="AL506" s="46" t="s">
        <v>1017</v>
      </c>
      <c r="AM506" s="46" t="s">
        <v>1018</v>
      </c>
      <c r="AN506" s="46" t="s">
        <v>376</v>
      </c>
      <c r="AO506" s="46" t="s">
        <v>658</v>
      </c>
      <c r="AP506" s="46"/>
      <c r="AQ506" s="46">
        <v>2</v>
      </c>
      <c r="AR506" s="46"/>
      <c r="AS506" s="46"/>
      <c r="AT506" s="46" t="s">
        <v>1308</v>
      </c>
      <c r="AU506" s="46" t="s">
        <v>376</v>
      </c>
      <c r="AV506" s="46"/>
      <c r="AW506" s="46" t="s">
        <v>30</v>
      </c>
      <c r="AX506" s="46"/>
      <c r="AY506" s="46" t="s">
        <v>30</v>
      </c>
      <c r="AZ506" s="46"/>
      <c r="BA506" s="47"/>
      <c r="BB506" s="51"/>
      <c r="BC506" s="46"/>
      <c r="BD506" s="46"/>
      <c r="BE506" s="46"/>
      <c r="BF506" s="46">
        <v>1</v>
      </c>
      <c r="BG506" s="46">
        <v>1</v>
      </c>
      <c r="BH506" s="46">
        <v>1</v>
      </c>
      <c r="BI506" s="46" t="s">
        <v>587</v>
      </c>
      <c r="BJ506" s="46" t="s">
        <v>816</v>
      </c>
      <c r="BK506" s="46">
        <v>1952</v>
      </c>
      <c r="BL506" s="46" t="str">
        <f>BK506&amp;BI506</f>
        <v>1952Arsenal</v>
      </c>
      <c r="BM506" s="52" t="str">
        <f>IF(AD506="Home",BI506,IF(AD506="Away",BJ506,Q506))</f>
        <v>London</v>
      </c>
      <c r="BN506" s="46"/>
      <c r="BO506" s="46"/>
      <c r="BP506" s="46"/>
      <c r="BQ506" s="46"/>
      <c r="BR506" s="46"/>
      <c r="BS506" s="46"/>
      <c r="BT506" s="46"/>
      <c r="BU506" s="46"/>
      <c r="BV506" s="46" t="s">
        <v>376</v>
      </c>
      <c r="BW506" s="46" t="s">
        <v>376</v>
      </c>
      <c r="BX506" s="46"/>
      <c r="BZ506" s="53"/>
      <c r="CA506" s="53"/>
      <c r="CB506" s="93" t="str">
        <f>IF(OR(C506="",A506="",B506=""),"",TEXT(C506,"0000")&amp;TEXT(A506,"00")&amp;TEXT(B506,"00"))</f>
        <v>19520407</v>
      </c>
    </row>
    <row r="507" spans="1:80" s="52" customFormat="1" ht="12.95" customHeight="1" x14ac:dyDescent="0.2">
      <c r="A507" s="46">
        <v>4</v>
      </c>
      <c r="B507" s="46">
        <v>7</v>
      </c>
      <c r="C507" s="46">
        <v>1952</v>
      </c>
      <c r="D507" s="46" t="s">
        <v>658</v>
      </c>
      <c r="E507" s="46" t="s">
        <v>1310</v>
      </c>
      <c r="F507" s="47" t="s">
        <v>1010</v>
      </c>
      <c r="G507" s="46"/>
      <c r="H507" s="47" t="s">
        <v>1011</v>
      </c>
      <c r="I507" s="47" t="s">
        <v>1023</v>
      </c>
      <c r="J507" s="48">
        <v>19091</v>
      </c>
      <c r="K507" s="46" t="s">
        <v>816</v>
      </c>
      <c r="L507" s="46" t="s">
        <v>4</v>
      </c>
      <c r="M507" s="46" t="s">
        <v>587</v>
      </c>
      <c r="N507" s="49">
        <v>0</v>
      </c>
      <c r="O507" s="49">
        <v>3</v>
      </c>
      <c r="P507" s="47" t="s">
        <v>1222</v>
      </c>
      <c r="Q507" s="47" t="s">
        <v>1017</v>
      </c>
      <c r="R507" s="47" t="s">
        <v>376</v>
      </c>
      <c r="S507" s="46"/>
      <c r="T507" s="46"/>
      <c r="U507" s="46"/>
      <c r="V507" s="46"/>
      <c r="W507" s="46"/>
      <c r="X507" s="46"/>
      <c r="Y507" s="46"/>
      <c r="Z507" s="46"/>
      <c r="AA507" s="46"/>
      <c r="AB507" s="46"/>
      <c r="AC507" s="46"/>
      <c r="AD507" s="46"/>
      <c r="AE507" s="50">
        <f>IF(L507="W",1,0)</f>
        <v>0</v>
      </c>
      <c r="AF507" s="50">
        <f>IF(L507="T",1,0)</f>
        <v>0</v>
      </c>
      <c r="AG507" s="50">
        <f>IF(L507="L",1,0)</f>
        <v>1</v>
      </c>
      <c r="AH507" s="46" t="s">
        <v>1017</v>
      </c>
      <c r="AI507" s="46" t="s">
        <v>1018</v>
      </c>
      <c r="AJ507" s="46" t="s">
        <v>376</v>
      </c>
      <c r="AK507" s="46" t="s">
        <v>658</v>
      </c>
      <c r="AL507" s="46" t="s">
        <v>1017</v>
      </c>
      <c r="AM507" s="46" t="s">
        <v>1018</v>
      </c>
      <c r="AN507" s="46" t="s">
        <v>376</v>
      </c>
      <c r="AO507" s="46" t="s">
        <v>658</v>
      </c>
      <c r="AP507" s="46"/>
      <c r="AQ507" s="46">
        <v>2</v>
      </c>
      <c r="AR507" s="46"/>
      <c r="AS507" s="46"/>
      <c r="AT507" s="46" t="s">
        <v>1308</v>
      </c>
      <c r="AU507" s="46" t="s">
        <v>376</v>
      </c>
      <c r="AV507" s="46"/>
      <c r="AW507" s="46" t="s">
        <v>30</v>
      </c>
      <c r="AX507" s="46"/>
      <c r="AY507" s="46" t="s">
        <v>30</v>
      </c>
      <c r="AZ507" s="46"/>
      <c r="BA507" s="47"/>
      <c r="BB507" s="51"/>
      <c r="BC507" s="46"/>
      <c r="BD507" s="46"/>
      <c r="BE507" s="46"/>
      <c r="BF507" s="46">
        <v>1</v>
      </c>
      <c r="BG507" s="46">
        <v>1</v>
      </c>
      <c r="BH507" s="46">
        <v>1</v>
      </c>
      <c r="BI507" s="46" t="s">
        <v>816</v>
      </c>
      <c r="BJ507" s="46" t="s">
        <v>587</v>
      </c>
      <c r="BK507" s="46">
        <v>1952</v>
      </c>
      <c r="BL507" s="46" t="str">
        <f>BK507&amp;BI507</f>
        <v>1952Chelsea</v>
      </c>
      <c r="BM507" s="52" t="str">
        <f>IF(AD507="Home",BI507,IF(AD507="Away",BJ507,Q507))</f>
        <v>London</v>
      </c>
      <c r="BN507" s="46"/>
      <c r="BO507" s="46"/>
      <c r="BP507" s="46"/>
      <c r="BQ507" s="46"/>
      <c r="BR507" s="46"/>
      <c r="BS507" s="46"/>
      <c r="BT507" s="46"/>
      <c r="BU507" s="46"/>
      <c r="BV507" s="46" t="s">
        <v>376</v>
      </c>
      <c r="BW507" s="46" t="s">
        <v>376</v>
      </c>
      <c r="BX507" s="46"/>
      <c r="BZ507" s="53"/>
      <c r="CA507" s="53"/>
      <c r="CB507" s="93" t="str">
        <f>IF(OR(C507="",A507="",B507=""),"",TEXT(C507,"0000")&amp;TEXT(A507,"00")&amp;TEXT(B507,"00"))</f>
        <v>19520407</v>
      </c>
    </row>
    <row r="508" spans="1:80" s="52" customFormat="1" ht="12.95" customHeight="1" x14ac:dyDescent="0.2">
      <c r="A508" s="46">
        <v>5</v>
      </c>
      <c r="B508" s="46">
        <v>3</v>
      </c>
      <c r="C508" s="46">
        <v>1952</v>
      </c>
      <c r="D508" s="46" t="s">
        <v>658</v>
      </c>
      <c r="E508" s="46" t="s">
        <v>1310</v>
      </c>
      <c r="F508" s="47" t="s">
        <v>1010</v>
      </c>
      <c r="G508" s="46"/>
      <c r="H508" s="47" t="s">
        <v>1025</v>
      </c>
      <c r="I508" s="47"/>
      <c r="J508" s="48">
        <v>19117</v>
      </c>
      <c r="K508" s="46" t="s">
        <v>805</v>
      </c>
      <c r="L508" s="46" t="s">
        <v>3</v>
      </c>
      <c r="M508" s="46" t="s">
        <v>587</v>
      </c>
      <c r="N508" s="49">
        <v>1</v>
      </c>
      <c r="O508" s="49">
        <v>0</v>
      </c>
      <c r="P508" s="47" t="s">
        <v>1268</v>
      </c>
      <c r="Q508" s="47" t="s">
        <v>1017</v>
      </c>
      <c r="R508" s="47" t="s">
        <v>376</v>
      </c>
      <c r="S508" s="46"/>
      <c r="T508" s="46"/>
      <c r="U508" s="46"/>
      <c r="V508" s="46"/>
      <c r="W508" s="46"/>
      <c r="X508" s="46"/>
      <c r="Y508" s="46"/>
      <c r="Z508" s="46"/>
      <c r="AA508" s="46"/>
      <c r="AB508" s="46"/>
      <c r="AC508" s="46"/>
      <c r="AD508" s="46"/>
      <c r="AE508" s="50">
        <f>IF(L508="W",1,0)</f>
        <v>1</v>
      </c>
      <c r="AF508" s="50">
        <f>IF(L508="T",1,0)</f>
        <v>0</v>
      </c>
      <c r="AG508" s="50">
        <f>IF(L508="L",1,0)</f>
        <v>0</v>
      </c>
      <c r="AH508" s="46" t="s">
        <v>1227</v>
      </c>
      <c r="AI508" s="46" t="s">
        <v>1164</v>
      </c>
      <c r="AJ508" s="46" t="s">
        <v>376</v>
      </c>
      <c r="AK508" s="46" t="s">
        <v>658</v>
      </c>
      <c r="AL508" s="46" t="s">
        <v>1017</v>
      </c>
      <c r="AM508" s="46" t="s">
        <v>1018</v>
      </c>
      <c r="AN508" s="46" t="s">
        <v>376</v>
      </c>
      <c r="AO508" s="46" t="s">
        <v>658</v>
      </c>
      <c r="AP508" s="46"/>
      <c r="AQ508" s="46">
        <v>1</v>
      </c>
      <c r="AR508" s="46"/>
      <c r="AS508" s="46"/>
      <c r="AT508" s="46"/>
      <c r="AU508" s="46" t="s">
        <v>376</v>
      </c>
      <c r="AV508" s="46"/>
      <c r="AW508" s="46" t="s">
        <v>30</v>
      </c>
      <c r="AX508" s="46"/>
      <c r="AY508" s="46" t="s">
        <v>30</v>
      </c>
      <c r="AZ508" s="46"/>
      <c r="BA508" s="47"/>
      <c r="BB508" s="51" t="s">
        <v>30</v>
      </c>
      <c r="BC508" s="46" t="s">
        <v>30</v>
      </c>
      <c r="BD508" s="46"/>
      <c r="BE508" s="46"/>
      <c r="BF508" s="46">
        <v>1</v>
      </c>
      <c r="BG508" s="46">
        <v>1</v>
      </c>
      <c r="BH508" s="46">
        <v>1</v>
      </c>
      <c r="BI508" s="46" t="s">
        <v>805</v>
      </c>
      <c r="BJ508" s="46" t="s">
        <v>587</v>
      </c>
      <c r="BK508" s="46">
        <v>1952</v>
      </c>
      <c r="BL508" s="46" t="str">
        <f>BK508&amp;BI508</f>
        <v>1952Newcastle United</v>
      </c>
      <c r="BM508" s="52" t="str">
        <f>IF(AD508="Home",BI508,IF(AD508="Away",BJ508,Q508))</f>
        <v>London</v>
      </c>
      <c r="BN508" s="46"/>
      <c r="BO508" s="46"/>
      <c r="BP508" s="46"/>
      <c r="BQ508" s="46"/>
      <c r="BR508" s="46"/>
      <c r="BS508" s="46"/>
      <c r="BT508" s="46"/>
      <c r="BU508" s="46"/>
      <c r="BV508" s="46" t="s">
        <v>376</v>
      </c>
      <c r="BW508" s="46" t="s">
        <v>376</v>
      </c>
      <c r="BX508" s="46"/>
      <c r="BZ508" s="53"/>
      <c r="CA508" s="53"/>
      <c r="CB508" s="93" t="str">
        <f>IF(OR(C508="",A508="",B508=""),"",TEXT(C508,"0000")&amp;TEXT(A508,"00")&amp;TEXT(B508,"00"))</f>
        <v>19520503</v>
      </c>
    </row>
    <row r="509" spans="1:80" s="52" customFormat="1" ht="12.95" customHeight="1" x14ac:dyDescent="0.2">
      <c r="A509" s="46">
        <v>5</v>
      </c>
      <c r="B509" s="46">
        <v>3</v>
      </c>
      <c r="C509" s="46">
        <v>1952</v>
      </c>
      <c r="D509" s="46" t="s">
        <v>658</v>
      </c>
      <c r="E509" s="46" t="s">
        <v>1310</v>
      </c>
      <c r="F509" s="47" t="s">
        <v>1010</v>
      </c>
      <c r="G509" s="46"/>
      <c r="H509" s="47" t="s">
        <v>1025</v>
      </c>
      <c r="I509" s="47"/>
      <c r="J509" s="48">
        <v>19117</v>
      </c>
      <c r="K509" s="46" t="s">
        <v>587</v>
      </c>
      <c r="L509" s="46" t="s">
        <v>4</v>
      </c>
      <c r="M509" s="46" t="s">
        <v>805</v>
      </c>
      <c r="N509" s="49">
        <v>0</v>
      </c>
      <c r="O509" s="49">
        <v>1</v>
      </c>
      <c r="P509" s="47" t="s">
        <v>1268</v>
      </c>
      <c r="Q509" s="47" t="s">
        <v>1017</v>
      </c>
      <c r="R509" s="47" t="s">
        <v>376</v>
      </c>
      <c r="S509" s="46"/>
      <c r="T509" s="46"/>
      <c r="U509" s="46"/>
      <c r="V509" s="46"/>
      <c r="W509" s="46"/>
      <c r="X509" s="46"/>
      <c r="Y509" s="46"/>
      <c r="Z509" s="46"/>
      <c r="AA509" s="46"/>
      <c r="AB509" s="46"/>
      <c r="AC509" s="46"/>
      <c r="AD509" s="46"/>
      <c r="AE509" s="50">
        <f>IF(L509="W",1,0)</f>
        <v>0</v>
      </c>
      <c r="AF509" s="50">
        <f>IF(L509="T",1,0)</f>
        <v>0</v>
      </c>
      <c r="AG509" s="50">
        <f>IF(L509="L",1,0)</f>
        <v>1</v>
      </c>
      <c r="AH509" s="46" t="s">
        <v>1017</v>
      </c>
      <c r="AI509" s="46" t="s">
        <v>1018</v>
      </c>
      <c r="AJ509" s="46" t="s">
        <v>376</v>
      </c>
      <c r="AK509" s="46" t="s">
        <v>658</v>
      </c>
      <c r="AL509" s="46" t="s">
        <v>1227</v>
      </c>
      <c r="AM509" s="46" t="s">
        <v>1164</v>
      </c>
      <c r="AN509" s="46" t="s">
        <v>376</v>
      </c>
      <c r="AO509" s="46" t="s">
        <v>658</v>
      </c>
      <c r="AP509" s="46"/>
      <c r="AQ509" s="46">
        <v>1</v>
      </c>
      <c r="AR509" s="46"/>
      <c r="AS509" s="46"/>
      <c r="AT509" s="46"/>
      <c r="AU509" s="46" t="s">
        <v>376</v>
      </c>
      <c r="AV509" s="46"/>
      <c r="AW509" s="46" t="s">
        <v>30</v>
      </c>
      <c r="AX509" s="46"/>
      <c r="AY509" s="46" t="s">
        <v>30</v>
      </c>
      <c r="AZ509" s="46"/>
      <c r="BA509" s="47"/>
      <c r="BB509" s="51"/>
      <c r="BC509" s="46" t="s">
        <v>30</v>
      </c>
      <c r="BD509" s="46"/>
      <c r="BE509" s="46"/>
      <c r="BF509" s="46">
        <v>1</v>
      </c>
      <c r="BG509" s="46">
        <v>1</v>
      </c>
      <c r="BH509" s="46">
        <v>1</v>
      </c>
      <c r="BI509" s="46" t="s">
        <v>587</v>
      </c>
      <c r="BJ509" s="46" t="s">
        <v>805</v>
      </c>
      <c r="BK509" s="46">
        <v>1952</v>
      </c>
      <c r="BL509" s="46" t="str">
        <f>BK509&amp;BI509</f>
        <v>1952Arsenal</v>
      </c>
      <c r="BM509" s="52" t="str">
        <f>IF(AD509="Home",BI509,IF(AD509="Away",BJ509,Q509))</f>
        <v>London</v>
      </c>
      <c r="BN509" s="46"/>
      <c r="BO509" s="46"/>
      <c r="BP509" s="46"/>
      <c r="BQ509" s="46"/>
      <c r="BR509" s="46"/>
      <c r="BS509" s="46"/>
      <c r="BT509" s="46"/>
      <c r="BU509" s="46"/>
      <c r="BV509" s="46" t="s">
        <v>376</v>
      </c>
      <c r="BW509" s="46" t="s">
        <v>376</v>
      </c>
      <c r="BX509" s="46"/>
      <c r="BZ509" s="53"/>
      <c r="CA509" s="53"/>
      <c r="CB509" s="93" t="str">
        <f>IF(OR(C509="",A509="",B509=""),"",TEXT(C509,"0000")&amp;TEXT(A509,"00")&amp;TEXT(B509,"00"))</f>
        <v>19520503</v>
      </c>
    </row>
    <row r="510" spans="1:80" s="52" customFormat="1" ht="12.95" customHeight="1" x14ac:dyDescent="0.2">
      <c r="A510" s="46">
        <v>3</v>
      </c>
      <c r="B510" s="46">
        <v>21</v>
      </c>
      <c r="C510" s="46">
        <v>1953</v>
      </c>
      <c r="D510" s="46" t="s">
        <v>658</v>
      </c>
      <c r="E510" s="46" t="s">
        <v>1311</v>
      </c>
      <c r="F510" s="47" t="s">
        <v>1010</v>
      </c>
      <c r="G510" s="46"/>
      <c r="H510" s="47" t="s">
        <v>1011</v>
      </c>
      <c r="I510" s="47"/>
      <c r="J510" s="48">
        <v>19439</v>
      </c>
      <c r="K510" s="46" t="s">
        <v>1157</v>
      </c>
      <c r="L510" s="46" t="s">
        <v>3</v>
      </c>
      <c r="M510" s="46" t="s">
        <v>804</v>
      </c>
      <c r="N510" s="49">
        <v>4</v>
      </c>
      <c r="O510" s="49">
        <v>3</v>
      </c>
      <c r="P510" s="47" t="s">
        <v>1226</v>
      </c>
      <c r="Q510" s="47" t="s">
        <v>1101</v>
      </c>
      <c r="R510" s="47" t="s">
        <v>376</v>
      </c>
      <c r="S510" s="46"/>
      <c r="T510" s="46"/>
      <c r="U510" s="46"/>
      <c r="V510" s="46"/>
      <c r="W510" s="46"/>
      <c r="X510" s="46"/>
      <c r="Y510" s="46"/>
      <c r="Z510" s="46"/>
      <c r="AA510" s="46"/>
      <c r="AB510" s="46"/>
      <c r="AC510" s="46"/>
      <c r="AD510" s="46"/>
      <c r="AE510" s="50">
        <f>IF(L510="W",1,0)</f>
        <v>1</v>
      </c>
      <c r="AF510" s="50">
        <f>IF(L510="T",1,0)</f>
        <v>0</v>
      </c>
      <c r="AG510" s="50">
        <f>IF(L510="L",1,0)</f>
        <v>0</v>
      </c>
      <c r="AH510" s="46" t="s">
        <v>1101</v>
      </c>
      <c r="AI510" s="46" t="s">
        <v>1159</v>
      </c>
      <c r="AJ510" s="46" t="s">
        <v>376</v>
      </c>
      <c r="AK510" s="46" t="s">
        <v>658</v>
      </c>
      <c r="AL510" s="46" t="s">
        <v>588</v>
      </c>
      <c r="AM510" s="46" t="s">
        <v>1175</v>
      </c>
      <c r="AN510" s="46" t="s">
        <v>376</v>
      </c>
      <c r="AO510" s="46" t="s">
        <v>658</v>
      </c>
      <c r="AP510" s="46"/>
      <c r="AQ510" s="46">
        <v>2</v>
      </c>
      <c r="AR510" s="46"/>
      <c r="AS510" s="46"/>
      <c r="AT510" s="46"/>
      <c r="AU510" s="46" t="s">
        <v>376</v>
      </c>
      <c r="AV510" s="46"/>
      <c r="AW510" s="46" t="s">
        <v>30</v>
      </c>
      <c r="AX510" s="46"/>
      <c r="AY510" s="46" t="s">
        <v>30</v>
      </c>
      <c r="AZ510" s="46"/>
      <c r="BA510" s="47"/>
      <c r="BB510" s="51"/>
      <c r="BC510" s="46"/>
      <c r="BD510" s="46"/>
      <c r="BE510" s="46"/>
      <c r="BF510" s="46">
        <v>1</v>
      </c>
      <c r="BG510" s="46">
        <v>1</v>
      </c>
      <c r="BH510" s="46">
        <v>2</v>
      </c>
      <c r="BI510" s="46" t="s">
        <v>1157</v>
      </c>
      <c r="BJ510" s="46" t="s">
        <v>804</v>
      </c>
      <c r="BK510" s="46">
        <v>1953</v>
      </c>
      <c r="BL510" s="46" t="str">
        <f>BK510&amp;BI510</f>
        <v>1953Bolton Wanderers</v>
      </c>
      <c r="BM510" s="52" t="str">
        <f>IF(AD510="Home",BI510,IF(AD510="Away",BJ510,Q510))</f>
        <v>Manchester</v>
      </c>
      <c r="BN510" s="46"/>
      <c r="BO510" s="46"/>
      <c r="BP510" s="46"/>
      <c r="BQ510" s="46"/>
      <c r="BR510" s="46"/>
      <c r="BS510" s="46"/>
      <c r="BT510" s="46"/>
      <c r="BU510" s="46"/>
      <c r="BV510" s="46" t="s">
        <v>376</v>
      </c>
      <c r="BW510" s="46" t="s">
        <v>376</v>
      </c>
      <c r="BX510" s="46"/>
      <c r="BZ510" s="53"/>
      <c r="CA510" s="53"/>
      <c r="CB510" s="93" t="str">
        <f>IF(OR(C510="",A510="",B510=""),"",TEXT(C510,"0000")&amp;TEXT(A510,"00")&amp;TEXT(B510,"00"))</f>
        <v>19530321</v>
      </c>
    </row>
    <row r="511" spans="1:80" s="52" customFormat="1" ht="12.95" customHeight="1" x14ac:dyDescent="0.2">
      <c r="A511" s="46">
        <v>3</v>
      </c>
      <c r="B511" s="46">
        <v>21</v>
      </c>
      <c r="C511" s="46">
        <v>1953</v>
      </c>
      <c r="D511" s="46" t="s">
        <v>658</v>
      </c>
      <c r="E511" s="46" t="s">
        <v>1311</v>
      </c>
      <c r="F511" s="47" t="s">
        <v>1010</v>
      </c>
      <c r="G511" s="46"/>
      <c r="H511" s="47" t="s">
        <v>1011</v>
      </c>
      <c r="I511" s="47"/>
      <c r="J511" s="48">
        <v>19439</v>
      </c>
      <c r="K511" s="46" t="s">
        <v>804</v>
      </c>
      <c r="L511" s="46" t="s">
        <v>4</v>
      </c>
      <c r="M511" s="46" t="s">
        <v>1157</v>
      </c>
      <c r="N511" s="49">
        <v>3</v>
      </c>
      <c r="O511" s="49">
        <v>4</v>
      </c>
      <c r="P511" s="47" t="s">
        <v>1226</v>
      </c>
      <c r="Q511" s="47" t="s">
        <v>1101</v>
      </c>
      <c r="R511" s="47" t="s">
        <v>376</v>
      </c>
      <c r="S511" s="46"/>
      <c r="T511" s="46"/>
      <c r="U511" s="46"/>
      <c r="V511" s="46"/>
      <c r="W511" s="46"/>
      <c r="X511" s="46"/>
      <c r="Y511" s="46"/>
      <c r="Z511" s="46"/>
      <c r="AA511" s="46"/>
      <c r="AB511" s="46"/>
      <c r="AC511" s="46"/>
      <c r="AD511" s="46"/>
      <c r="AE511" s="50">
        <f>IF(L511="W",1,0)</f>
        <v>0</v>
      </c>
      <c r="AF511" s="50">
        <f>IF(L511="T",1,0)</f>
        <v>0</v>
      </c>
      <c r="AG511" s="50">
        <f>IF(L511="L",1,0)</f>
        <v>1</v>
      </c>
      <c r="AH511" s="46" t="s">
        <v>588</v>
      </c>
      <c r="AI511" s="46" t="s">
        <v>1175</v>
      </c>
      <c r="AJ511" s="46" t="s">
        <v>376</v>
      </c>
      <c r="AK511" s="46" t="s">
        <v>658</v>
      </c>
      <c r="AL511" s="46" t="s">
        <v>1101</v>
      </c>
      <c r="AM511" s="46" t="s">
        <v>1159</v>
      </c>
      <c r="AN511" s="46" t="s">
        <v>376</v>
      </c>
      <c r="AO511" s="46" t="s">
        <v>658</v>
      </c>
      <c r="AP511" s="46"/>
      <c r="AQ511" s="46">
        <v>2</v>
      </c>
      <c r="AR511" s="46"/>
      <c r="AS511" s="46"/>
      <c r="AT511" s="46"/>
      <c r="AU511" s="46" t="s">
        <v>376</v>
      </c>
      <c r="AV511" s="46"/>
      <c r="AW511" s="46" t="s">
        <v>30</v>
      </c>
      <c r="AX511" s="46"/>
      <c r="AY511" s="46" t="s">
        <v>30</v>
      </c>
      <c r="AZ511" s="46"/>
      <c r="BA511" s="47"/>
      <c r="BB511" s="51"/>
      <c r="BC511" s="46"/>
      <c r="BD511" s="46"/>
      <c r="BE511" s="46"/>
      <c r="BF511" s="46">
        <v>1</v>
      </c>
      <c r="BG511" s="46">
        <v>2</v>
      </c>
      <c r="BH511" s="46">
        <v>1</v>
      </c>
      <c r="BI511" s="46" t="s">
        <v>804</v>
      </c>
      <c r="BJ511" s="46" t="s">
        <v>1157</v>
      </c>
      <c r="BK511" s="46">
        <v>1953</v>
      </c>
      <c r="BL511" s="46" t="str">
        <f>BK511&amp;BI511</f>
        <v>1953Everton</v>
      </c>
      <c r="BM511" s="52" t="str">
        <f>IF(AD511="Home",BI511,IF(AD511="Away",BJ511,Q511))</f>
        <v>Manchester</v>
      </c>
      <c r="BN511" s="46"/>
      <c r="BO511" s="46"/>
      <c r="BP511" s="46"/>
      <c r="BQ511" s="46"/>
      <c r="BR511" s="46"/>
      <c r="BS511" s="46"/>
      <c r="BT511" s="46"/>
      <c r="BU511" s="46"/>
      <c r="BV511" s="46" t="s">
        <v>376</v>
      </c>
      <c r="BW511" s="46" t="s">
        <v>376</v>
      </c>
      <c r="BX511" s="46"/>
      <c r="BZ511" s="53"/>
      <c r="CA511" s="53"/>
      <c r="CB511" s="93" t="str">
        <f>IF(OR(C511="",A511="",B511=""),"",TEXT(C511,"0000")&amp;TEXT(A511,"00")&amp;TEXT(B511,"00"))</f>
        <v>19530321</v>
      </c>
    </row>
    <row r="512" spans="1:80" s="52" customFormat="1" ht="12.95" customHeight="1" x14ac:dyDescent="0.2">
      <c r="A512" s="46">
        <v>3</v>
      </c>
      <c r="B512" s="46">
        <v>21</v>
      </c>
      <c r="C512" s="46">
        <v>1953</v>
      </c>
      <c r="D512" s="46" t="s">
        <v>658</v>
      </c>
      <c r="E512" s="46" t="s">
        <v>1311</v>
      </c>
      <c r="F512" s="47" t="s">
        <v>1010</v>
      </c>
      <c r="G512" s="46"/>
      <c r="H512" s="47" t="s">
        <v>1011</v>
      </c>
      <c r="I512" s="47"/>
      <c r="J512" s="48">
        <v>19439</v>
      </c>
      <c r="K512" s="46" t="s">
        <v>1305</v>
      </c>
      <c r="L512" s="46" t="s">
        <v>3</v>
      </c>
      <c r="M512" s="46" t="s">
        <v>813</v>
      </c>
      <c r="N512" s="49">
        <v>2</v>
      </c>
      <c r="O512" s="49">
        <v>1</v>
      </c>
      <c r="P512" s="47" t="s">
        <v>1219</v>
      </c>
      <c r="Q512" s="47" t="s">
        <v>1111</v>
      </c>
      <c r="R512" s="47" t="s">
        <v>376</v>
      </c>
      <c r="S512" s="46"/>
      <c r="T512" s="46"/>
      <c r="U512" s="46"/>
      <c r="V512" s="46"/>
      <c r="W512" s="46"/>
      <c r="X512" s="46"/>
      <c r="Y512" s="46"/>
      <c r="Z512" s="46"/>
      <c r="AA512" s="46"/>
      <c r="AB512" s="46"/>
      <c r="AC512" s="46"/>
      <c r="AD512" s="46"/>
      <c r="AE512" s="50">
        <f>IF(L512="W",1,0)</f>
        <v>1</v>
      </c>
      <c r="AF512" s="50">
        <f>IF(L512="T",1,0)</f>
        <v>0</v>
      </c>
      <c r="AG512" s="50">
        <f>IF(L512="L",1,0)</f>
        <v>0</v>
      </c>
      <c r="AH512" s="46" t="s">
        <v>1305</v>
      </c>
      <c r="AI512" s="46" t="s">
        <v>1086</v>
      </c>
      <c r="AJ512" s="46" t="s">
        <v>376</v>
      </c>
      <c r="AK512" s="46" t="s">
        <v>658</v>
      </c>
      <c r="AL512" s="46" t="s">
        <v>1017</v>
      </c>
      <c r="AM512" s="46" t="s">
        <v>1018</v>
      </c>
      <c r="AN512" s="46" t="s">
        <v>376</v>
      </c>
      <c r="AO512" s="46" t="s">
        <v>658</v>
      </c>
      <c r="AP512" s="46"/>
      <c r="AQ512" s="46">
        <v>2</v>
      </c>
      <c r="AR512" s="46"/>
      <c r="AS512" s="46"/>
      <c r="AT512" s="46"/>
      <c r="AU512" s="46" t="s">
        <v>376</v>
      </c>
      <c r="AV512" s="46"/>
      <c r="AW512" s="46" t="s">
        <v>30</v>
      </c>
      <c r="AX512" s="46"/>
      <c r="AY512" s="46" t="s">
        <v>30</v>
      </c>
      <c r="AZ512" s="46"/>
      <c r="BA512" s="47"/>
      <c r="BB512" s="51"/>
      <c r="BC512" s="46"/>
      <c r="BD512" s="46"/>
      <c r="BE512" s="46"/>
      <c r="BF512" s="46">
        <v>1</v>
      </c>
      <c r="BG512" s="46">
        <v>1</v>
      </c>
      <c r="BH512" s="46">
        <v>1</v>
      </c>
      <c r="BI512" s="46" t="s">
        <v>1305</v>
      </c>
      <c r="BJ512" s="46" t="s">
        <v>813</v>
      </c>
      <c r="BK512" s="46">
        <v>1953</v>
      </c>
      <c r="BL512" s="46" t="str">
        <f>BK512&amp;BI512</f>
        <v>1953Blackpool</v>
      </c>
      <c r="BM512" s="52" t="str">
        <f>IF(AD512="Home",BI512,IF(AD512="Away",BJ512,Q512))</f>
        <v>Birmingham</v>
      </c>
      <c r="BN512" s="46"/>
      <c r="BO512" s="46"/>
      <c r="BP512" s="46"/>
      <c r="BQ512" s="46"/>
      <c r="BR512" s="46"/>
      <c r="BS512" s="46"/>
      <c r="BT512" s="46"/>
      <c r="BU512" s="46"/>
      <c r="BV512" s="46" t="s">
        <v>376</v>
      </c>
      <c r="BW512" s="46" t="s">
        <v>376</v>
      </c>
      <c r="BX512" s="46"/>
      <c r="BZ512" s="53"/>
      <c r="CA512" s="53"/>
      <c r="CB512" s="93" t="str">
        <f>IF(OR(C512="",A512="",B512=""),"",TEXT(C512,"0000")&amp;TEXT(A512,"00")&amp;TEXT(B512,"00"))</f>
        <v>19530321</v>
      </c>
    </row>
    <row r="513" spans="1:80" s="52" customFormat="1" ht="12.95" customHeight="1" x14ac:dyDescent="0.2">
      <c r="A513" s="46">
        <v>3</v>
      </c>
      <c r="B513" s="46">
        <v>21</v>
      </c>
      <c r="C513" s="46">
        <v>1953</v>
      </c>
      <c r="D513" s="46" t="s">
        <v>658</v>
      </c>
      <c r="E513" s="46" t="s">
        <v>1311</v>
      </c>
      <c r="F513" s="47" t="s">
        <v>1010</v>
      </c>
      <c r="G513" s="46"/>
      <c r="H513" s="47" t="s">
        <v>1011</v>
      </c>
      <c r="I513" s="47"/>
      <c r="J513" s="48">
        <v>19439</v>
      </c>
      <c r="K513" s="46" t="s">
        <v>813</v>
      </c>
      <c r="L513" s="46" t="s">
        <v>4</v>
      </c>
      <c r="M513" s="46" t="s">
        <v>1305</v>
      </c>
      <c r="N513" s="49">
        <v>1</v>
      </c>
      <c r="O513" s="49">
        <v>2</v>
      </c>
      <c r="P513" s="47" t="s">
        <v>1219</v>
      </c>
      <c r="Q513" s="47" t="s">
        <v>1111</v>
      </c>
      <c r="R513" s="47" t="s">
        <v>376</v>
      </c>
      <c r="S513" s="46"/>
      <c r="T513" s="46"/>
      <c r="U513" s="46"/>
      <c r="V513" s="46"/>
      <c r="W513" s="46"/>
      <c r="X513" s="46"/>
      <c r="Y513" s="46"/>
      <c r="Z513" s="46"/>
      <c r="AA513" s="46"/>
      <c r="AB513" s="46"/>
      <c r="AC513" s="46"/>
      <c r="AD513" s="46"/>
      <c r="AE513" s="50">
        <f>IF(L513="W",1,0)</f>
        <v>0</v>
      </c>
      <c r="AF513" s="50">
        <f>IF(L513="T",1,0)</f>
        <v>0</v>
      </c>
      <c r="AG513" s="50">
        <f>IF(L513="L",1,0)</f>
        <v>1</v>
      </c>
      <c r="AH513" s="46" t="s">
        <v>1017</v>
      </c>
      <c r="AI513" s="46" t="s">
        <v>1018</v>
      </c>
      <c r="AJ513" s="46" t="s">
        <v>376</v>
      </c>
      <c r="AK513" s="46" t="s">
        <v>658</v>
      </c>
      <c r="AL513" s="46" t="s">
        <v>1305</v>
      </c>
      <c r="AM513" s="46" t="s">
        <v>1086</v>
      </c>
      <c r="AN513" s="46" t="s">
        <v>376</v>
      </c>
      <c r="AO513" s="46" t="s">
        <v>658</v>
      </c>
      <c r="AP513" s="46"/>
      <c r="AQ513" s="46">
        <v>2</v>
      </c>
      <c r="AR513" s="46"/>
      <c r="AS513" s="46"/>
      <c r="AT513" s="46"/>
      <c r="AU513" s="46" t="s">
        <v>376</v>
      </c>
      <c r="AV513" s="46"/>
      <c r="AW513" s="46" t="s">
        <v>30</v>
      </c>
      <c r="AX513" s="46"/>
      <c r="AY513" s="46" t="s">
        <v>30</v>
      </c>
      <c r="AZ513" s="46"/>
      <c r="BA513" s="47"/>
      <c r="BB513" s="51"/>
      <c r="BC513" s="46"/>
      <c r="BD513" s="46"/>
      <c r="BE513" s="46"/>
      <c r="BF513" s="46">
        <v>1</v>
      </c>
      <c r="BG513" s="46">
        <v>1</v>
      </c>
      <c r="BH513" s="46">
        <v>1</v>
      </c>
      <c r="BI513" s="46" t="s">
        <v>813</v>
      </c>
      <c r="BJ513" s="46" t="s">
        <v>1305</v>
      </c>
      <c r="BK513" s="46">
        <v>1953</v>
      </c>
      <c r="BL513" s="46" t="str">
        <f>BK513&amp;BI513</f>
        <v>1953Tottenham Hotspur</v>
      </c>
      <c r="BM513" s="52" t="str">
        <f>IF(AD513="Home",BI513,IF(AD513="Away",BJ513,Q513))</f>
        <v>Birmingham</v>
      </c>
      <c r="BN513" s="46"/>
      <c r="BO513" s="46"/>
      <c r="BP513" s="46"/>
      <c r="BQ513" s="46"/>
      <c r="BR513" s="46"/>
      <c r="BS513" s="46"/>
      <c r="BT513" s="46"/>
      <c r="BU513" s="46"/>
      <c r="BV513" s="46" t="s">
        <v>376</v>
      </c>
      <c r="BW513" s="46" t="s">
        <v>376</v>
      </c>
      <c r="BX513" s="46"/>
      <c r="BZ513" s="53"/>
      <c r="CA513" s="53"/>
      <c r="CB513" s="93" t="str">
        <f>IF(OR(C513="",A513="",B513=""),"",TEXT(C513,"0000")&amp;TEXT(A513,"00")&amp;TEXT(B513,"00"))</f>
        <v>19530321</v>
      </c>
    </row>
    <row r="514" spans="1:80" s="52" customFormat="1" ht="12.95" customHeight="1" x14ac:dyDescent="0.2">
      <c r="A514" s="46">
        <v>5</v>
      </c>
      <c r="B514" s="46">
        <v>2</v>
      </c>
      <c r="C514" s="46">
        <v>1953</v>
      </c>
      <c r="D514" s="46" t="s">
        <v>658</v>
      </c>
      <c r="E514" s="46" t="s">
        <v>1311</v>
      </c>
      <c r="F514" s="47" t="s">
        <v>1010</v>
      </c>
      <c r="G514" s="46"/>
      <c r="H514" s="47" t="s">
        <v>1025</v>
      </c>
      <c r="I514" s="47"/>
      <c r="J514" s="48">
        <v>19481</v>
      </c>
      <c r="K514" s="46" t="s">
        <v>1305</v>
      </c>
      <c r="L514" s="46" t="s">
        <v>3</v>
      </c>
      <c r="M514" s="46" t="s">
        <v>1157</v>
      </c>
      <c r="N514" s="49">
        <v>4</v>
      </c>
      <c r="O514" s="49">
        <v>3</v>
      </c>
      <c r="P514" s="47" t="s">
        <v>1268</v>
      </c>
      <c r="Q514" s="47" t="s">
        <v>1017</v>
      </c>
      <c r="R514" s="47" t="s">
        <v>376</v>
      </c>
      <c r="S514" s="46"/>
      <c r="T514" s="46"/>
      <c r="U514" s="46"/>
      <c r="V514" s="46"/>
      <c r="W514" s="46"/>
      <c r="X514" s="46"/>
      <c r="Y514" s="46"/>
      <c r="Z514" s="46"/>
      <c r="AA514" s="46"/>
      <c r="AB514" s="46"/>
      <c r="AC514" s="46"/>
      <c r="AD514" s="46"/>
      <c r="AE514" s="50">
        <f>IF(L514="W",1,0)</f>
        <v>1</v>
      </c>
      <c r="AF514" s="50">
        <f>IF(L514="T",1,0)</f>
        <v>0</v>
      </c>
      <c r="AG514" s="50">
        <f>IF(L514="L",1,0)</f>
        <v>0</v>
      </c>
      <c r="AH514" s="46" t="s">
        <v>1305</v>
      </c>
      <c r="AI514" s="46" t="s">
        <v>1086</v>
      </c>
      <c r="AJ514" s="46" t="s">
        <v>376</v>
      </c>
      <c r="AK514" s="46" t="s">
        <v>658</v>
      </c>
      <c r="AL514" s="46" t="s">
        <v>1101</v>
      </c>
      <c r="AM514" s="46" t="s">
        <v>1159</v>
      </c>
      <c r="AN514" s="46" t="s">
        <v>376</v>
      </c>
      <c r="AO514" s="46" t="s">
        <v>658</v>
      </c>
      <c r="AP514" s="46"/>
      <c r="AQ514" s="46">
        <v>1</v>
      </c>
      <c r="AR514" s="46"/>
      <c r="AS514" s="46"/>
      <c r="AT514" s="46"/>
      <c r="AU514" s="46" t="s">
        <v>376</v>
      </c>
      <c r="AV514" s="46"/>
      <c r="AW514" s="46" t="s">
        <v>30</v>
      </c>
      <c r="AX514" s="46"/>
      <c r="AY514" s="46" t="s">
        <v>30</v>
      </c>
      <c r="AZ514" s="46"/>
      <c r="BA514" s="47"/>
      <c r="BB514" s="51" t="s">
        <v>30</v>
      </c>
      <c r="BC514" s="46" t="s">
        <v>30</v>
      </c>
      <c r="BD514" s="46"/>
      <c r="BE514" s="46"/>
      <c r="BF514" s="46">
        <v>1</v>
      </c>
      <c r="BG514" s="46">
        <v>1</v>
      </c>
      <c r="BH514" s="46">
        <v>1</v>
      </c>
      <c r="BI514" s="46" t="s">
        <v>1305</v>
      </c>
      <c r="BJ514" s="46" t="s">
        <v>1157</v>
      </c>
      <c r="BK514" s="46">
        <v>1953</v>
      </c>
      <c r="BL514" s="46" t="str">
        <f>BK514&amp;BI514</f>
        <v>1953Blackpool</v>
      </c>
      <c r="BM514" s="52" t="str">
        <f>IF(AD514="Home",BI514,IF(AD514="Away",BJ514,Q514))</f>
        <v>London</v>
      </c>
      <c r="BN514" s="46"/>
      <c r="BO514" s="46"/>
      <c r="BP514" s="46"/>
      <c r="BQ514" s="46"/>
      <c r="BR514" s="46"/>
      <c r="BS514" s="46"/>
      <c r="BT514" s="46"/>
      <c r="BU514" s="46"/>
      <c r="BV514" s="46" t="s">
        <v>376</v>
      </c>
      <c r="BW514" s="46" t="s">
        <v>376</v>
      </c>
      <c r="BX514" s="46"/>
      <c r="BZ514" s="53"/>
      <c r="CA514" s="53"/>
      <c r="CB514" s="93" t="str">
        <f>IF(OR(C514="",A514="",B514=""),"",TEXT(C514,"0000")&amp;TEXT(A514,"00")&amp;TEXT(B514,"00"))</f>
        <v>19530502</v>
      </c>
    </row>
    <row r="515" spans="1:80" s="52" customFormat="1" ht="12.95" customHeight="1" x14ac:dyDescent="0.2">
      <c r="A515" s="46">
        <v>5</v>
      </c>
      <c r="B515" s="46">
        <v>2</v>
      </c>
      <c r="C515" s="46">
        <v>1953</v>
      </c>
      <c r="D515" s="46" t="s">
        <v>658</v>
      </c>
      <c r="E515" s="46" t="s">
        <v>1311</v>
      </c>
      <c r="F515" s="47" t="s">
        <v>1010</v>
      </c>
      <c r="G515" s="46"/>
      <c r="H515" s="47" t="s">
        <v>1025</v>
      </c>
      <c r="I515" s="47"/>
      <c r="J515" s="48">
        <v>19481</v>
      </c>
      <c r="K515" s="46" t="s">
        <v>1157</v>
      </c>
      <c r="L515" s="46" t="s">
        <v>4</v>
      </c>
      <c r="M515" s="46" t="s">
        <v>1305</v>
      </c>
      <c r="N515" s="49">
        <v>3</v>
      </c>
      <c r="O515" s="49">
        <v>4</v>
      </c>
      <c r="P515" s="47" t="s">
        <v>1268</v>
      </c>
      <c r="Q515" s="47" t="s">
        <v>1017</v>
      </c>
      <c r="R515" s="47" t="s">
        <v>376</v>
      </c>
      <c r="S515" s="46"/>
      <c r="T515" s="46"/>
      <c r="U515" s="46"/>
      <c r="V515" s="46"/>
      <c r="W515" s="46"/>
      <c r="X515" s="46"/>
      <c r="Y515" s="46"/>
      <c r="Z515" s="46"/>
      <c r="AA515" s="46"/>
      <c r="AB515" s="46"/>
      <c r="AC515" s="46"/>
      <c r="AD515" s="46"/>
      <c r="AE515" s="50">
        <f>IF(L515="W",1,0)</f>
        <v>0</v>
      </c>
      <c r="AF515" s="50">
        <f>IF(L515="T",1,0)</f>
        <v>0</v>
      </c>
      <c r="AG515" s="50">
        <f>IF(L515="L",1,0)</f>
        <v>1</v>
      </c>
      <c r="AH515" s="46" t="s">
        <v>1101</v>
      </c>
      <c r="AI515" s="46" t="s">
        <v>1159</v>
      </c>
      <c r="AJ515" s="46" t="s">
        <v>376</v>
      </c>
      <c r="AK515" s="46" t="s">
        <v>658</v>
      </c>
      <c r="AL515" s="46" t="s">
        <v>1305</v>
      </c>
      <c r="AM515" s="46" t="s">
        <v>1086</v>
      </c>
      <c r="AN515" s="46" t="s">
        <v>376</v>
      </c>
      <c r="AO515" s="46" t="s">
        <v>658</v>
      </c>
      <c r="AP515" s="46"/>
      <c r="AQ515" s="46">
        <v>1</v>
      </c>
      <c r="AR515" s="46"/>
      <c r="AS515" s="46"/>
      <c r="AT515" s="46"/>
      <c r="AU515" s="46" t="s">
        <v>376</v>
      </c>
      <c r="AV515" s="46"/>
      <c r="AW515" s="46" t="s">
        <v>30</v>
      </c>
      <c r="AX515" s="46"/>
      <c r="AY515" s="46" t="s">
        <v>30</v>
      </c>
      <c r="AZ515" s="46"/>
      <c r="BA515" s="47"/>
      <c r="BB515" s="51"/>
      <c r="BC515" s="46" t="s">
        <v>30</v>
      </c>
      <c r="BD515" s="46"/>
      <c r="BE515" s="46"/>
      <c r="BF515" s="46">
        <v>1</v>
      </c>
      <c r="BG515" s="46">
        <v>1</v>
      </c>
      <c r="BH515" s="46">
        <v>1</v>
      </c>
      <c r="BI515" s="46" t="s">
        <v>1157</v>
      </c>
      <c r="BJ515" s="46" t="s">
        <v>1305</v>
      </c>
      <c r="BK515" s="46">
        <v>1953</v>
      </c>
      <c r="BL515" s="46" t="str">
        <f>BK515&amp;BI515</f>
        <v>1953Bolton Wanderers</v>
      </c>
      <c r="BM515" s="52" t="str">
        <f>IF(AD515="Home",BI515,IF(AD515="Away",BJ515,Q515))</f>
        <v>London</v>
      </c>
      <c r="BN515" s="46"/>
      <c r="BO515" s="46"/>
      <c r="BP515" s="46"/>
      <c r="BQ515" s="46"/>
      <c r="BR515" s="46"/>
      <c r="BS515" s="46"/>
      <c r="BT515" s="46"/>
      <c r="BU515" s="46"/>
      <c r="BV515" s="46" t="s">
        <v>376</v>
      </c>
      <c r="BW515" s="46" t="s">
        <v>376</v>
      </c>
      <c r="BX515" s="46"/>
      <c r="BZ515" s="53"/>
      <c r="CA515" s="53"/>
      <c r="CB515" s="93" t="str">
        <f>IF(OR(C515="",A515="",B515=""),"",TEXT(C515,"0000")&amp;TEXT(A515,"00")&amp;TEXT(B515,"00"))</f>
        <v>19530502</v>
      </c>
    </row>
    <row r="516" spans="1:80" s="52" customFormat="1" ht="12.95" customHeight="1" x14ac:dyDescent="0.2">
      <c r="A516" s="46">
        <v>3</v>
      </c>
      <c r="B516" s="46">
        <v>27</v>
      </c>
      <c r="C516" s="46">
        <v>1954</v>
      </c>
      <c r="D516" s="46" t="s">
        <v>658</v>
      </c>
      <c r="E516" s="46" t="s">
        <v>1312</v>
      </c>
      <c r="F516" s="47" t="s">
        <v>1010</v>
      </c>
      <c r="G516" s="46"/>
      <c r="H516" s="47" t="s">
        <v>1011</v>
      </c>
      <c r="I516" s="47"/>
      <c r="J516" s="48">
        <v>19810</v>
      </c>
      <c r="K516" s="46" t="s">
        <v>640</v>
      </c>
      <c r="L516" s="46" t="s">
        <v>3</v>
      </c>
      <c r="M516" s="46" t="s">
        <v>1093</v>
      </c>
      <c r="N516" s="49">
        <v>2</v>
      </c>
      <c r="O516" s="49">
        <v>0</v>
      </c>
      <c r="P516" s="47" t="s">
        <v>1226</v>
      </c>
      <c r="Q516" s="47" t="s">
        <v>1101</v>
      </c>
      <c r="R516" s="47" t="s">
        <v>376</v>
      </c>
      <c r="S516" s="46"/>
      <c r="T516" s="46"/>
      <c r="U516" s="46"/>
      <c r="V516" s="46"/>
      <c r="W516" s="46"/>
      <c r="X516" s="46"/>
      <c r="Y516" s="46"/>
      <c r="Z516" s="46"/>
      <c r="AA516" s="46"/>
      <c r="AB516" s="46"/>
      <c r="AC516" s="46"/>
      <c r="AD516" s="46"/>
      <c r="AE516" s="50">
        <f>IF(L516="W",1,0)</f>
        <v>1</v>
      </c>
      <c r="AF516" s="50">
        <f>IF(L516="T",1,0)</f>
        <v>0</v>
      </c>
      <c r="AG516" s="50">
        <f>IF(L516="L",1,0)</f>
        <v>0</v>
      </c>
      <c r="AH516" s="46" t="s">
        <v>1136</v>
      </c>
      <c r="AI516" s="46" t="s">
        <v>1086</v>
      </c>
      <c r="AJ516" s="46" t="s">
        <v>376</v>
      </c>
      <c r="AK516" s="46" t="s">
        <v>658</v>
      </c>
      <c r="AL516" s="46" t="s">
        <v>1097</v>
      </c>
      <c r="AM516" s="46" t="s">
        <v>1098</v>
      </c>
      <c r="AN516" s="46" t="s">
        <v>376</v>
      </c>
      <c r="AO516" s="46" t="s">
        <v>658</v>
      </c>
      <c r="AP516" s="46"/>
      <c r="AQ516" s="46">
        <v>2</v>
      </c>
      <c r="AR516" s="46"/>
      <c r="AS516" s="46"/>
      <c r="AT516" s="46"/>
      <c r="AU516" s="46" t="s">
        <v>376</v>
      </c>
      <c r="AV516" s="46"/>
      <c r="AW516" s="46" t="s">
        <v>30</v>
      </c>
      <c r="AX516" s="46"/>
      <c r="AY516" s="46" t="s">
        <v>30</v>
      </c>
      <c r="AZ516" s="46"/>
      <c r="BA516" s="47"/>
      <c r="BB516" s="51"/>
      <c r="BC516" s="46"/>
      <c r="BD516" s="46"/>
      <c r="BE516" s="46"/>
      <c r="BF516" s="46">
        <v>1</v>
      </c>
      <c r="BG516" s="46">
        <v>1</v>
      </c>
      <c r="BH516" s="46">
        <v>1</v>
      </c>
      <c r="BI516" s="46" t="s">
        <v>640</v>
      </c>
      <c r="BJ516" s="46" t="s">
        <v>1093</v>
      </c>
      <c r="BK516" s="46">
        <v>1954</v>
      </c>
      <c r="BL516" s="46" t="str">
        <f>BK516&amp;BI516</f>
        <v>1954Preston North End</v>
      </c>
      <c r="BM516" s="52" t="str">
        <f>IF(AD516="Home",BI516,IF(AD516="Away",BJ516,Q516))</f>
        <v>Manchester</v>
      </c>
      <c r="BN516" s="46"/>
      <c r="BO516" s="46"/>
      <c r="BP516" s="46"/>
      <c r="BQ516" s="46"/>
      <c r="BR516" s="46"/>
      <c r="BS516" s="46"/>
      <c r="BT516" s="46"/>
      <c r="BU516" s="46"/>
      <c r="BV516" s="46" t="s">
        <v>376</v>
      </c>
      <c r="BW516" s="46" t="s">
        <v>376</v>
      </c>
      <c r="BX516" s="46"/>
      <c r="BZ516" s="53"/>
      <c r="CA516" s="53"/>
      <c r="CB516" s="93" t="str">
        <f>IF(OR(C516="",A516="",B516=""),"",TEXT(C516,"0000")&amp;TEXT(A516,"00")&amp;TEXT(B516,"00"))</f>
        <v>19540327</v>
      </c>
    </row>
    <row r="517" spans="1:80" s="52" customFormat="1" ht="12.95" customHeight="1" x14ac:dyDescent="0.2">
      <c r="A517" s="46">
        <v>3</v>
      </c>
      <c r="B517" s="46">
        <v>27</v>
      </c>
      <c r="C517" s="46">
        <v>1954</v>
      </c>
      <c r="D517" s="46" t="s">
        <v>658</v>
      </c>
      <c r="E517" s="46" t="s">
        <v>1312</v>
      </c>
      <c r="F517" s="47" t="s">
        <v>1010</v>
      </c>
      <c r="G517" s="46"/>
      <c r="H517" s="47" t="s">
        <v>1011</v>
      </c>
      <c r="I517" s="47"/>
      <c r="J517" s="48">
        <v>19810</v>
      </c>
      <c r="K517" s="46" t="s">
        <v>1093</v>
      </c>
      <c r="L517" s="46" t="s">
        <v>4</v>
      </c>
      <c r="M517" s="46" t="s">
        <v>640</v>
      </c>
      <c r="N517" s="49">
        <v>0</v>
      </c>
      <c r="O517" s="49">
        <v>2</v>
      </c>
      <c r="P517" s="47" t="s">
        <v>1226</v>
      </c>
      <c r="Q517" s="47" t="s">
        <v>1101</v>
      </c>
      <c r="R517" s="47" t="s">
        <v>376</v>
      </c>
      <c r="S517" s="46"/>
      <c r="T517" s="46"/>
      <c r="U517" s="46"/>
      <c r="V517" s="46"/>
      <c r="W517" s="46"/>
      <c r="X517" s="46"/>
      <c r="Y517" s="46"/>
      <c r="Z517" s="46"/>
      <c r="AA517" s="46"/>
      <c r="AB517" s="46"/>
      <c r="AC517" s="46"/>
      <c r="AD517" s="46"/>
      <c r="AE517" s="50">
        <f>IF(L517="W",1,0)</f>
        <v>0</v>
      </c>
      <c r="AF517" s="50">
        <f>IF(L517="T",1,0)</f>
        <v>0</v>
      </c>
      <c r="AG517" s="50">
        <f>IF(L517="L",1,0)</f>
        <v>1</v>
      </c>
      <c r="AH517" s="46" t="s">
        <v>1097</v>
      </c>
      <c r="AI517" s="46" t="s">
        <v>1098</v>
      </c>
      <c r="AJ517" s="46" t="s">
        <v>376</v>
      </c>
      <c r="AK517" s="46" t="s">
        <v>658</v>
      </c>
      <c r="AL517" s="46" t="s">
        <v>1136</v>
      </c>
      <c r="AM517" s="46" t="s">
        <v>1086</v>
      </c>
      <c r="AN517" s="46" t="s">
        <v>376</v>
      </c>
      <c r="AO517" s="46" t="s">
        <v>658</v>
      </c>
      <c r="AP517" s="46"/>
      <c r="AQ517" s="46">
        <v>2</v>
      </c>
      <c r="AR517" s="46"/>
      <c r="AS517" s="46"/>
      <c r="AT517" s="46"/>
      <c r="AU517" s="46" t="s">
        <v>376</v>
      </c>
      <c r="AV517" s="46"/>
      <c r="AW517" s="46" t="s">
        <v>30</v>
      </c>
      <c r="AX517" s="46"/>
      <c r="AY517" s="46" t="s">
        <v>30</v>
      </c>
      <c r="AZ517" s="46"/>
      <c r="BA517" s="47"/>
      <c r="BB517" s="51"/>
      <c r="BC517" s="46"/>
      <c r="BD517" s="46"/>
      <c r="BE517" s="46"/>
      <c r="BF517" s="46">
        <v>1</v>
      </c>
      <c r="BG517" s="46">
        <v>1</v>
      </c>
      <c r="BH517" s="46">
        <v>1</v>
      </c>
      <c r="BI517" s="46" t="s">
        <v>1093</v>
      </c>
      <c r="BJ517" s="46" t="s">
        <v>640</v>
      </c>
      <c r="BK517" s="46">
        <v>1954</v>
      </c>
      <c r="BL517" s="46" t="str">
        <f>BK517&amp;BI517</f>
        <v>1954Sheffield Wednesday</v>
      </c>
      <c r="BM517" s="52" t="str">
        <f>IF(AD517="Home",BI517,IF(AD517="Away",BJ517,Q517))</f>
        <v>Manchester</v>
      </c>
      <c r="BN517" s="46"/>
      <c r="BO517" s="46"/>
      <c r="BP517" s="46"/>
      <c r="BQ517" s="46"/>
      <c r="BR517" s="46"/>
      <c r="BS517" s="46"/>
      <c r="BT517" s="46"/>
      <c r="BU517" s="46"/>
      <c r="BV517" s="46" t="s">
        <v>376</v>
      </c>
      <c r="BW517" s="46" t="s">
        <v>376</v>
      </c>
      <c r="BX517" s="46"/>
      <c r="BZ517" s="53"/>
      <c r="CA517" s="53"/>
      <c r="CB517" s="93" t="str">
        <f>IF(OR(C517="",A517="",B517=""),"",TEXT(C517,"0000")&amp;TEXT(A517,"00")&amp;TEXT(B517,"00"))</f>
        <v>19540327</v>
      </c>
    </row>
    <row r="518" spans="1:80" s="52" customFormat="1" ht="12.95" customHeight="1" x14ac:dyDescent="0.2">
      <c r="A518" s="46">
        <v>3</v>
      </c>
      <c r="B518" s="46">
        <v>27</v>
      </c>
      <c r="C518" s="46">
        <v>1954</v>
      </c>
      <c r="D518" s="46" t="s">
        <v>658</v>
      </c>
      <c r="E518" s="46" t="s">
        <v>1312</v>
      </c>
      <c r="F518" s="47" t="s">
        <v>1010</v>
      </c>
      <c r="G518" s="46"/>
      <c r="H518" s="47" t="s">
        <v>1011</v>
      </c>
      <c r="I518" s="47"/>
      <c r="J518" s="48">
        <v>19810</v>
      </c>
      <c r="K518" s="46" t="s">
        <v>1124</v>
      </c>
      <c r="L518" s="46" t="s">
        <v>3</v>
      </c>
      <c r="M518" s="46" t="s">
        <v>1313</v>
      </c>
      <c r="N518" s="49">
        <v>2</v>
      </c>
      <c r="O518" s="49">
        <v>1</v>
      </c>
      <c r="P518" s="47" t="s">
        <v>1219</v>
      </c>
      <c r="Q518" s="47" t="s">
        <v>1111</v>
      </c>
      <c r="R518" s="47" t="s">
        <v>376</v>
      </c>
      <c r="S518" s="46"/>
      <c r="T518" s="46"/>
      <c r="U518" s="46"/>
      <c r="V518" s="46"/>
      <c r="W518" s="46"/>
      <c r="X518" s="46"/>
      <c r="Y518" s="46"/>
      <c r="Z518" s="46"/>
      <c r="AA518" s="46"/>
      <c r="AB518" s="46"/>
      <c r="AC518" s="46"/>
      <c r="AD518" s="46"/>
      <c r="AE518" s="50">
        <f>IF(L518="W",1,0)</f>
        <v>1</v>
      </c>
      <c r="AF518" s="50">
        <f>IF(L518="T",1,0)</f>
        <v>0</v>
      </c>
      <c r="AG518" s="50">
        <f>IF(L518="L",1,0)</f>
        <v>0</v>
      </c>
      <c r="AH518" s="46" t="s">
        <v>1111</v>
      </c>
      <c r="AI518" s="46" t="s">
        <v>1126</v>
      </c>
      <c r="AJ518" s="46" t="s">
        <v>376</v>
      </c>
      <c r="AK518" s="46" t="s">
        <v>658</v>
      </c>
      <c r="AL518" s="46" t="s">
        <v>1145</v>
      </c>
      <c r="AM518" s="46" t="s">
        <v>1206</v>
      </c>
      <c r="AN518" s="46" t="s">
        <v>376</v>
      </c>
      <c r="AO518" s="46" t="s">
        <v>658</v>
      </c>
      <c r="AP518" s="46"/>
      <c r="AQ518" s="46">
        <v>2</v>
      </c>
      <c r="AR518" s="46"/>
      <c r="AS518" s="46"/>
      <c r="AT518" s="46"/>
      <c r="AU518" s="46" t="s">
        <v>376</v>
      </c>
      <c r="AV518" s="46"/>
      <c r="AW518" s="46" t="s">
        <v>30</v>
      </c>
      <c r="AX518" s="46"/>
      <c r="AY518" s="46" t="s">
        <v>30</v>
      </c>
      <c r="AZ518" s="46"/>
      <c r="BA518" s="47"/>
      <c r="BB518" s="51"/>
      <c r="BC518" s="46"/>
      <c r="BD518" s="46"/>
      <c r="BE518" s="46"/>
      <c r="BF518" s="46">
        <v>1</v>
      </c>
      <c r="BG518" s="46">
        <v>1</v>
      </c>
      <c r="BH518" s="46">
        <v>3</v>
      </c>
      <c r="BI518" s="46" t="s">
        <v>1124</v>
      </c>
      <c r="BJ518" s="46" t="s">
        <v>1313</v>
      </c>
      <c r="BK518" s="46">
        <v>1954</v>
      </c>
      <c r="BL518" s="46" t="str">
        <f>BK518&amp;BI518</f>
        <v>1954West Bromwich Albion</v>
      </c>
      <c r="BM518" s="52" t="str">
        <f>IF(AD518="Home",BI518,IF(AD518="Away",BJ518,Q518))</f>
        <v>Birmingham</v>
      </c>
      <c r="BN518" s="46"/>
      <c r="BO518" s="46"/>
      <c r="BP518" s="46"/>
      <c r="BQ518" s="46"/>
      <c r="BR518" s="46"/>
      <c r="BS518" s="46"/>
      <c r="BT518" s="46"/>
      <c r="BU518" s="46"/>
      <c r="BV518" s="46" t="s">
        <v>376</v>
      </c>
      <c r="BW518" s="46" t="s">
        <v>376</v>
      </c>
      <c r="BX518" s="46"/>
      <c r="BZ518" s="53"/>
      <c r="CA518" s="53"/>
      <c r="CB518" s="93" t="str">
        <f>IF(OR(C518="",A518="",B518=""),"",TEXT(C518,"0000")&amp;TEXT(A518,"00")&amp;TEXT(B518,"00"))</f>
        <v>19540327</v>
      </c>
    </row>
    <row r="519" spans="1:80" s="52" customFormat="1" ht="12.95" customHeight="1" x14ac:dyDescent="0.2">
      <c r="A519" s="46">
        <v>3</v>
      </c>
      <c r="B519" s="46">
        <v>27</v>
      </c>
      <c r="C519" s="46">
        <v>1954</v>
      </c>
      <c r="D519" s="46" t="s">
        <v>658</v>
      </c>
      <c r="E519" s="46" t="s">
        <v>1312</v>
      </c>
      <c r="F519" s="47" t="s">
        <v>1010</v>
      </c>
      <c r="G519" s="46"/>
      <c r="H519" s="47" t="s">
        <v>1011</v>
      </c>
      <c r="I519" s="47"/>
      <c r="J519" s="48">
        <v>19810</v>
      </c>
      <c r="K519" s="46" t="s">
        <v>1313</v>
      </c>
      <c r="L519" s="46" t="s">
        <v>4</v>
      </c>
      <c r="M519" s="46" t="s">
        <v>1124</v>
      </c>
      <c r="N519" s="49">
        <v>1</v>
      </c>
      <c r="O519" s="49">
        <v>2</v>
      </c>
      <c r="P519" s="47" t="s">
        <v>1219</v>
      </c>
      <c r="Q519" s="47" t="s">
        <v>1111</v>
      </c>
      <c r="R519" s="47" t="s">
        <v>376</v>
      </c>
      <c r="S519" s="46"/>
      <c r="T519" s="46"/>
      <c r="U519" s="46"/>
      <c r="V519" s="46"/>
      <c r="W519" s="46"/>
      <c r="X519" s="46"/>
      <c r="Y519" s="46"/>
      <c r="Z519" s="46"/>
      <c r="AA519" s="46"/>
      <c r="AB519" s="46"/>
      <c r="AC519" s="46"/>
      <c r="AD519" s="46"/>
      <c r="AE519" s="50">
        <f>IF(L519="W",1,0)</f>
        <v>0</v>
      </c>
      <c r="AF519" s="50">
        <f>IF(L519="T",1,0)</f>
        <v>0</v>
      </c>
      <c r="AG519" s="50">
        <f>IF(L519="L",1,0)</f>
        <v>1</v>
      </c>
      <c r="AH519" s="46" t="s">
        <v>1145</v>
      </c>
      <c r="AI519" s="46" t="s">
        <v>1206</v>
      </c>
      <c r="AJ519" s="46" t="s">
        <v>376</v>
      </c>
      <c r="AK519" s="46" t="s">
        <v>658</v>
      </c>
      <c r="AL519" s="46" t="s">
        <v>1111</v>
      </c>
      <c r="AM519" s="46" t="s">
        <v>1126</v>
      </c>
      <c r="AN519" s="46" t="s">
        <v>376</v>
      </c>
      <c r="AO519" s="46" t="s">
        <v>658</v>
      </c>
      <c r="AP519" s="46"/>
      <c r="AQ519" s="46">
        <v>2</v>
      </c>
      <c r="AR519" s="46"/>
      <c r="AS519" s="46"/>
      <c r="AT519" s="46"/>
      <c r="AU519" s="46" t="s">
        <v>376</v>
      </c>
      <c r="AV519" s="46"/>
      <c r="AW519" s="46" t="s">
        <v>30</v>
      </c>
      <c r="AX519" s="46"/>
      <c r="AY519" s="46" t="s">
        <v>30</v>
      </c>
      <c r="AZ519" s="46"/>
      <c r="BA519" s="47"/>
      <c r="BB519" s="51"/>
      <c r="BC519" s="46"/>
      <c r="BD519" s="46"/>
      <c r="BE519" s="46"/>
      <c r="BF519" s="46">
        <v>1</v>
      </c>
      <c r="BG519" s="46">
        <v>3</v>
      </c>
      <c r="BH519" s="46">
        <v>1</v>
      </c>
      <c r="BI519" s="46" t="s">
        <v>1313</v>
      </c>
      <c r="BJ519" s="46" t="s">
        <v>1124</v>
      </c>
      <c r="BK519" s="46">
        <v>1954</v>
      </c>
      <c r="BL519" s="46" t="str">
        <f>BK519&amp;BI519</f>
        <v>1954Port Vale</v>
      </c>
      <c r="BM519" s="52" t="str">
        <f>IF(AD519="Home",BI519,IF(AD519="Away",BJ519,Q519))</f>
        <v>Birmingham</v>
      </c>
      <c r="BN519" s="46"/>
      <c r="BO519" s="46"/>
      <c r="BP519" s="46"/>
      <c r="BQ519" s="46"/>
      <c r="BR519" s="46"/>
      <c r="BS519" s="46"/>
      <c r="BT519" s="46"/>
      <c r="BU519" s="46"/>
      <c r="BV519" s="46" t="s">
        <v>376</v>
      </c>
      <c r="BW519" s="46" t="s">
        <v>376</v>
      </c>
      <c r="BX519" s="46"/>
      <c r="BZ519" s="53"/>
      <c r="CA519" s="53"/>
      <c r="CB519" s="93" t="str">
        <f>IF(OR(C519="",A519="",B519=""),"",TEXT(C519,"0000")&amp;TEXT(A519,"00")&amp;TEXT(B519,"00"))</f>
        <v>19540327</v>
      </c>
    </row>
    <row r="520" spans="1:80" s="52" customFormat="1" ht="12.95" customHeight="1" x14ac:dyDescent="0.2">
      <c r="A520" s="46">
        <v>5</v>
      </c>
      <c r="B520" s="46">
        <v>1</v>
      </c>
      <c r="C520" s="46">
        <v>1954</v>
      </c>
      <c r="D520" s="46" t="s">
        <v>658</v>
      </c>
      <c r="E520" s="46" t="s">
        <v>1312</v>
      </c>
      <c r="F520" s="47" t="s">
        <v>1010</v>
      </c>
      <c r="G520" s="46"/>
      <c r="H520" s="47" t="s">
        <v>1025</v>
      </c>
      <c r="I520" s="47"/>
      <c r="J520" s="48">
        <v>19845</v>
      </c>
      <c r="K520" s="46" t="s">
        <v>1124</v>
      </c>
      <c r="L520" s="46" t="s">
        <v>3</v>
      </c>
      <c r="M520" s="46" t="s">
        <v>640</v>
      </c>
      <c r="N520" s="49">
        <v>3</v>
      </c>
      <c r="O520" s="49">
        <v>2</v>
      </c>
      <c r="P520" s="47" t="s">
        <v>1268</v>
      </c>
      <c r="Q520" s="47" t="s">
        <v>1017</v>
      </c>
      <c r="R520" s="47" t="s">
        <v>376</v>
      </c>
      <c r="S520" s="46"/>
      <c r="T520" s="46"/>
      <c r="U520" s="46"/>
      <c r="V520" s="46"/>
      <c r="W520" s="46"/>
      <c r="X520" s="46"/>
      <c r="Y520" s="46"/>
      <c r="Z520" s="46"/>
      <c r="AA520" s="46"/>
      <c r="AB520" s="46"/>
      <c r="AC520" s="46"/>
      <c r="AD520" s="46"/>
      <c r="AE520" s="50">
        <f>IF(L520="W",1,0)</f>
        <v>1</v>
      </c>
      <c r="AF520" s="50">
        <f>IF(L520="T",1,0)</f>
        <v>0</v>
      </c>
      <c r="AG520" s="50">
        <f>IF(L520="L",1,0)</f>
        <v>0</v>
      </c>
      <c r="AH520" s="46" t="s">
        <v>1111</v>
      </c>
      <c r="AI520" s="46" t="s">
        <v>1126</v>
      </c>
      <c r="AJ520" s="46" t="s">
        <v>376</v>
      </c>
      <c r="AK520" s="46" t="s">
        <v>658</v>
      </c>
      <c r="AL520" s="46" t="s">
        <v>1136</v>
      </c>
      <c r="AM520" s="46" t="s">
        <v>1086</v>
      </c>
      <c r="AN520" s="46" t="s">
        <v>376</v>
      </c>
      <c r="AO520" s="46" t="s">
        <v>658</v>
      </c>
      <c r="AP520" s="46"/>
      <c r="AQ520" s="46">
        <v>1</v>
      </c>
      <c r="AR520" s="46"/>
      <c r="AS520" s="46"/>
      <c r="AT520" s="46"/>
      <c r="AU520" s="46" t="s">
        <v>376</v>
      </c>
      <c r="AV520" s="46"/>
      <c r="AW520" s="46" t="s">
        <v>30</v>
      </c>
      <c r="AX520" s="46"/>
      <c r="AY520" s="46" t="s">
        <v>30</v>
      </c>
      <c r="AZ520" s="46"/>
      <c r="BA520" s="47"/>
      <c r="BB520" s="51" t="s">
        <v>30</v>
      </c>
      <c r="BC520" s="46" t="s">
        <v>30</v>
      </c>
      <c r="BD520" s="46"/>
      <c r="BE520" s="46"/>
      <c r="BF520" s="46">
        <v>1</v>
      </c>
      <c r="BG520" s="46">
        <v>1</v>
      </c>
      <c r="BH520" s="46">
        <v>1</v>
      </c>
      <c r="BI520" s="46" t="s">
        <v>1124</v>
      </c>
      <c r="BJ520" s="46" t="s">
        <v>640</v>
      </c>
      <c r="BK520" s="46">
        <v>1954</v>
      </c>
      <c r="BL520" s="46" t="str">
        <f>BK520&amp;BI520</f>
        <v>1954West Bromwich Albion</v>
      </c>
      <c r="BM520" s="52" t="str">
        <f>IF(AD520="Home",BI520,IF(AD520="Away",BJ520,Q520))</f>
        <v>London</v>
      </c>
      <c r="BN520" s="46"/>
      <c r="BO520" s="46"/>
      <c r="BP520" s="46"/>
      <c r="BQ520" s="46"/>
      <c r="BR520" s="46"/>
      <c r="BS520" s="46"/>
      <c r="BT520" s="46"/>
      <c r="BU520" s="46"/>
      <c r="BV520" s="46" t="s">
        <v>376</v>
      </c>
      <c r="BW520" s="46" t="s">
        <v>376</v>
      </c>
      <c r="BX520" s="46"/>
      <c r="BZ520" s="53"/>
      <c r="CA520" s="53"/>
      <c r="CB520" s="93" t="str">
        <f>IF(OR(C520="",A520="",B520=""),"",TEXT(C520,"0000")&amp;TEXT(A520,"00")&amp;TEXT(B520,"00"))</f>
        <v>19540501</v>
      </c>
    </row>
    <row r="521" spans="1:80" s="52" customFormat="1" ht="12.95" customHeight="1" x14ac:dyDescent="0.2">
      <c r="A521" s="46">
        <v>5</v>
      </c>
      <c r="B521" s="46">
        <v>1</v>
      </c>
      <c r="C521" s="46">
        <v>1954</v>
      </c>
      <c r="D521" s="46" t="s">
        <v>658</v>
      </c>
      <c r="E521" s="46" t="s">
        <v>1312</v>
      </c>
      <c r="F521" s="47" t="s">
        <v>1010</v>
      </c>
      <c r="G521" s="46"/>
      <c r="H521" s="47" t="s">
        <v>1025</v>
      </c>
      <c r="I521" s="47"/>
      <c r="J521" s="48">
        <v>19845</v>
      </c>
      <c r="K521" s="46" t="s">
        <v>640</v>
      </c>
      <c r="L521" s="46" t="s">
        <v>4</v>
      </c>
      <c r="M521" s="46" t="s">
        <v>1124</v>
      </c>
      <c r="N521" s="49">
        <v>2</v>
      </c>
      <c r="O521" s="49">
        <v>3</v>
      </c>
      <c r="P521" s="47" t="s">
        <v>1268</v>
      </c>
      <c r="Q521" s="47" t="s">
        <v>1017</v>
      </c>
      <c r="R521" s="47" t="s">
        <v>376</v>
      </c>
      <c r="S521" s="46"/>
      <c r="T521" s="46"/>
      <c r="U521" s="46"/>
      <c r="V521" s="46"/>
      <c r="W521" s="46"/>
      <c r="X521" s="46"/>
      <c r="Y521" s="46"/>
      <c r="Z521" s="46"/>
      <c r="AA521" s="46"/>
      <c r="AB521" s="46"/>
      <c r="AC521" s="46"/>
      <c r="AD521" s="46"/>
      <c r="AE521" s="50">
        <f>IF(L521="W",1,0)</f>
        <v>0</v>
      </c>
      <c r="AF521" s="50">
        <f>IF(L521="T",1,0)</f>
        <v>0</v>
      </c>
      <c r="AG521" s="50">
        <f>IF(L521="L",1,0)</f>
        <v>1</v>
      </c>
      <c r="AH521" s="46" t="s">
        <v>1136</v>
      </c>
      <c r="AI521" s="46" t="s">
        <v>1086</v>
      </c>
      <c r="AJ521" s="46" t="s">
        <v>376</v>
      </c>
      <c r="AK521" s="46" t="s">
        <v>658</v>
      </c>
      <c r="AL521" s="46" t="s">
        <v>1111</v>
      </c>
      <c r="AM521" s="46" t="s">
        <v>1126</v>
      </c>
      <c r="AN521" s="46" t="s">
        <v>376</v>
      </c>
      <c r="AO521" s="46" t="s">
        <v>658</v>
      </c>
      <c r="AP521" s="46"/>
      <c r="AQ521" s="46">
        <v>1</v>
      </c>
      <c r="AR521" s="46"/>
      <c r="AS521" s="46"/>
      <c r="AT521" s="46"/>
      <c r="AU521" s="46" t="s">
        <v>376</v>
      </c>
      <c r="AV521" s="46"/>
      <c r="AW521" s="46" t="s">
        <v>30</v>
      </c>
      <c r="AX521" s="46"/>
      <c r="AY521" s="46" t="s">
        <v>30</v>
      </c>
      <c r="AZ521" s="46"/>
      <c r="BA521" s="47"/>
      <c r="BB521" s="51"/>
      <c r="BC521" s="46" t="s">
        <v>30</v>
      </c>
      <c r="BD521" s="46"/>
      <c r="BE521" s="46"/>
      <c r="BF521" s="46">
        <v>1</v>
      </c>
      <c r="BG521" s="46">
        <v>1</v>
      </c>
      <c r="BH521" s="46">
        <v>1</v>
      </c>
      <c r="BI521" s="46" t="s">
        <v>640</v>
      </c>
      <c r="BJ521" s="46" t="s">
        <v>1124</v>
      </c>
      <c r="BK521" s="46">
        <v>1954</v>
      </c>
      <c r="BL521" s="46" t="str">
        <f>BK521&amp;BI521</f>
        <v>1954Preston North End</v>
      </c>
      <c r="BM521" s="52" t="str">
        <f>IF(AD521="Home",BI521,IF(AD521="Away",BJ521,Q521))</f>
        <v>London</v>
      </c>
      <c r="BN521" s="46"/>
      <c r="BO521" s="46"/>
      <c r="BP521" s="46"/>
      <c r="BQ521" s="46"/>
      <c r="BR521" s="46"/>
      <c r="BS521" s="46"/>
      <c r="BT521" s="46"/>
      <c r="BU521" s="46"/>
      <c r="BV521" s="46" t="s">
        <v>376</v>
      </c>
      <c r="BW521" s="46" t="s">
        <v>376</v>
      </c>
      <c r="BX521" s="46"/>
      <c r="BZ521" s="53"/>
      <c r="CA521" s="53"/>
      <c r="CB521" s="93" t="str">
        <f>IF(OR(C521="",A521="",B521=""),"",TEXT(C521,"0000")&amp;TEXT(A521,"00")&amp;TEXT(B521,"00"))</f>
        <v>19540501</v>
      </c>
    </row>
    <row r="522" spans="1:80" s="52" customFormat="1" ht="12.95" customHeight="1" x14ac:dyDescent="0.2">
      <c r="A522" s="46">
        <v>3</v>
      </c>
      <c r="B522" s="46">
        <v>26</v>
      </c>
      <c r="C522" s="46">
        <v>1955</v>
      </c>
      <c r="D522" s="46" t="s">
        <v>658</v>
      </c>
      <c r="E522" s="46" t="s">
        <v>1314</v>
      </c>
      <c r="F522" s="47" t="s">
        <v>1010</v>
      </c>
      <c r="G522" s="46"/>
      <c r="H522" s="47" t="s">
        <v>1011</v>
      </c>
      <c r="I522" s="47"/>
      <c r="J522" s="48">
        <v>20174</v>
      </c>
      <c r="K522" s="46" t="s">
        <v>1315</v>
      </c>
      <c r="L522" s="46" t="s">
        <v>1014</v>
      </c>
      <c r="M522" s="46" t="s">
        <v>805</v>
      </c>
      <c r="N522" s="49">
        <v>1</v>
      </c>
      <c r="O522" s="49">
        <v>1</v>
      </c>
      <c r="P522" s="47" t="s">
        <v>1252</v>
      </c>
      <c r="Q522" s="47" t="s">
        <v>1097</v>
      </c>
      <c r="R522" s="47" t="s">
        <v>376</v>
      </c>
      <c r="S522" s="46"/>
      <c r="T522" s="46"/>
      <c r="U522" s="46"/>
      <c r="V522" s="46"/>
      <c r="W522" s="46"/>
      <c r="X522" s="46"/>
      <c r="Y522" s="46"/>
      <c r="Z522" s="46"/>
      <c r="AA522" s="46"/>
      <c r="AB522" s="46"/>
      <c r="AC522" s="46"/>
      <c r="AD522" s="46"/>
      <c r="AE522" s="50">
        <f>IF(L522="W",1,0)</f>
        <v>0</v>
      </c>
      <c r="AF522" s="50">
        <f>IF(L522="T",1,0)</f>
        <v>1</v>
      </c>
      <c r="AG522" s="50">
        <f>IF(L522="L",1,0)</f>
        <v>0</v>
      </c>
      <c r="AH522" s="46" t="s">
        <v>1316</v>
      </c>
      <c r="AI522" s="46" t="s">
        <v>1317</v>
      </c>
      <c r="AJ522" s="46" t="s">
        <v>376</v>
      </c>
      <c r="AK522" s="46" t="s">
        <v>658</v>
      </c>
      <c r="AL522" s="46" t="s">
        <v>1227</v>
      </c>
      <c r="AM522" s="46" t="s">
        <v>1164</v>
      </c>
      <c r="AN522" s="46" t="s">
        <v>376</v>
      </c>
      <c r="AO522" s="46" t="s">
        <v>658</v>
      </c>
      <c r="AP522" s="46"/>
      <c r="AQ522" s="46">
        <v>2</v>
      </c>
      <c r="AR522" s="46"/>
      <c r="AS522" s="46"/>
      <c r="AT522" s="46"/>
      <c r="AU522" s="46" t="s">
        <v>376</v>
      </c>
      <c r="AV522" s="46"/>
      <c r="AW522" s="46" t="s">
        <v>30</v>
      </c>
      <c r="AX522" s="46"/>
      <c r="AY522" s="46" t="s">
        <v>30</v>
      </c>
      <c r="AZ522" s="46"/>
      <c r="BA522" s="47"/>
      <c r="BB522" s="51"/>
      <c r="BC522" s="46"/>
      <c r="BD522" s="46"/>
      <c r="BE522" s="46"/>
      <c r="BF522" s="46">
        <v>1</v>
      </c>
      <c r="BG522" s="46">
        <v>3</v>
      </c>
      <c r="BH522" s="46">
        <v>1</v>
      </c>
      <c r="BI522" s="46" t="s">
        <v>1315</v>
      </c>
      <c r="BJ522" s="46" t="s">
        <v>805</v>
      </c>
      <c r="BK522" s="46">
        <v>1955</v>
      </c>
      <c r="BL522" s="46" t="str">
        <f>BK522&amp;BI522</f>
        <v>1955York City</v>
      </c>
      <c r="BM522" s="52" t="str">
        <f>IF(AD522="Home",BI522,IF(AD522="Away",BJ522,Q522))</f>
        <v>Sheffield</v>
      </c>
      <c r="BN522" s="46"/>
      <c r="BO522" s="46"/>
      <c r="BP522" s="46"/>
      <c r="BQ522" s="46"/>
      <c r="BR522" s="46"/>
      <c r="BS522" s="46"/>
      <c r="BT522" s="46"/>
      <c r="BU522" s="46"/>
      <c r="BV522" s="46" t="s">
        <v>376</v>
      </c>
      <c r="BW522" s="46" t="s">
        <v>376</v>
      </c>
      <c r="BX522" s="46"/>
      <c r="BY522" s="50"/>
      <c r="BZ522" s="53"/>
      <c r="CA522" s="53"/>
      <c r="CB522" s="93" t="str">
        <f>IF(OR(C522="",A522="",B522=""),"",TEXT(C522,"0000")&amp;TEXT(A522,"00")&amp;TEXT(B522,"00"))</f>
        <v>19550326</v>
      </c>
    </row>
    <row r="523" spans="1:80" s="52" customFormat="1" ht="12.95" customHeight="1" x14ac:dyDescent="0.2">
      <c r="A523" s="46">
        <v>3</v>
      </c>
      <c r="B523" s="46">
        <v>26</v>
      </c>
      <c r="C523" s="46">
        <v>1955</v>
      </c>
      <c r="D523" s="46" t="s">
        <v>658</v>
      </c>
      <c r="E523" s="46" t="s">
        <v>1314</v>
      </c>
      <c r="F523" s="47" t="s">
        <v>1010</v>
      </c>
      <c r="G523" s="46"/>
      <c r="H523" s="47" t="s">
        <v>1011</v>
      </c>
      <c r="I523" s="47"/>
      <c r="J523" s="48">
        <v>20174</v>
      </c>
      <c r="K523" s="46" t="s">
        <v>805</v>
      </c>
      <c r="L523" s="46" t="s">
        <v>1014</v>
      </c>
      <c r="M523" s="46" t="s">
        <v>1315</v>
      </c>
      <c r="N523" s="49">
        <v>1</v>
      </c>
      <c r="O523" s="49">
        <v>1</v>
      </c>
      <c r="P523" s="47" t="s">
        <v>1252</v>
      </c>
      <c r="Q523" s="47" t="s">
        <v>1097</v>
      </c>
      <c r="R523" s="47" t="s">
        <v>376</v>
      </c>
      <c r="S523" s="46"/>
      <c r="T523" s="46"/>
      <c r="U523" s="46"/>
      <c r="V523" s="46"/>
      <c r="W523" s="46"/>
      <c r="X523" s="46"/>
      <c r="Y523" s="46"/>
      <c r="Z523" s="46"/>
      <c r="AA523" s="46"/>
      <c r="AB523" s="46"/>
      <c r="AC523" s="46"/>
      <c r="AD523" s="46"/>
      <c r="AE523" s="50">
        <f>IF(L523="W",1,0)</f>
        <v>0</v>
      </c>
      <c r="AF523" s="50">
        <f>IF(L523="T",1,0)</f>
        <v>1</v>
      </c>
      <c r="AG523" s="50">
        <f>IF(L523="L",1,0)</f>
        <v>0</v>
      </c>
      <c r="AH523" s="46" t="s">
        <v>1227</v>
      </c>
      <c r="AI523" s="46" t="s">
        <v>1164</v>
      </c>
      <c r="AJ523" s="46" t="s">
        <v>376</v>
      </c>
      <c r="AK523" s="46" t="s">
        <v>658</v>
      </c>
      <c r="AL523" s="46" t="s">
        <v>1316</v>
      </c>
      <c r="AM523" s="46" t="s">
        <v>1317</v>
      </c>
      <c r="AN523" s="46" t="s">
        <v>376</v>
      </c>
      <c r="AO523" s="46" t="s">
        <v>658</v>
      </c>
      <c r="AP523" s="46"/>
      <c r="AQ523" s="46">
        <v>2</v>
      </c>
      <c r="AR523" s="46"/>
      <c r="AS523" s="46"/>
      <c r="AT523" s="46"/>
      <c r="AU523" s="46" t="s">
        <v>376</v>
      </c>
      <c r="AV523" s="46"/>
      <c r="AW523" s="46" t="s">
        <v>30</v>
      </c>
      <c r="AX523" s="46"/>
      <c r="AY523" s="46" t="s">
        <v>30</v>
      </c>
      <c r="AZ523" s="46"/>
      <c r="BA523" s="47"/>
      <c r="BB523" s="51"/>
      <c r="BC523" s="46"/>
      <c r="BD523" s="46"/>
      <c r="BE523" s="46"/>
      <c r="BF523" s="46">
        <v>1</v>
      </c>
      <c r="BG523" s="46">
        <v>1</v>
      </c>
      <c r="BH523" s="46">
        <v>3</v>
      </c>
      <c r="BI523" s="46" t="s">
        <v>805</v>
      </c>
      <c r="BJ523" s="46" t="s">
        <v>1315</v>
      </c>
      <c r="BK523" s="46">
        <v>1955</v>
      </c>
      <c r="BL523" s="46" t="str">
        <f>BK523&amp;BI523</f>
        <v>1955Newcastle United</v>
      </c>
      <c r="BM523" s="52" t="str">
        <f>IF(AD523="Home",BI523,IF(AD523="Away",BJ523,Q523))</f>
        <v>Sheffield</v>
      </c>
      <c r="BN523" s="46"/>
      <c r="BO523" s="46"/>
      <c r="BP523" s="46"/>
      <c r="BQ523" s="46"/>
      <c r="BR523" s="46"/>
      <c r="BS523" s="46"/>
      <c r="BT523" s="46"/>
      <c r="BU523" s="46"/>
      <c r="BV523" s="46" t="s">
        <v>376</v>
      </c>
      <c r="BW523" s="46" t="s">
        <v>376</v>
      </c>
      <c r="BX523" s="46"/>
      <c r="BY523" s="50"/>
      <c r="BZ523" s="53"/>
      <c r="CA523" s="53"/>
      <c r="CB523" s="93" t="str">
        <f>IF(OR(C523="",A523="",B523=""),"",TEXT(C523,"0000")&amp;TEXT(A523,"00")&amp;TEXT(B523,"00"))</f>
        <v>19550326</v>
      </c>
    </row>
    <row r="524" spans="1:80" s="52" customFormat="1" ht="12.95" customHeight="1" x14ac:dyDescent="0.2">
      <c r="A524" s="46">
        <v>3</v>
      </c>
      <c r="B524" s="46">
        <v>26</v>
      </c>
      <c r="C524" s="46">
        <v>1955</v>
      </c>
      <c r="D524" s="46" t="s">
        <v>658</v>
      </c>
      <c r="E524" s="46" t="s">
        <v>1314</v>
      </c>
      <c r="F524" s="47" t="s">
        <v>1010</v>
      </c>
      <c r="G524" s="46"/>
      <c r="H524" s="47" t="s">
        <v>1011</v>
      </c>
      <c r="I524" s="47"/>
      <c r="J524" s="48">
        <v>20174</v>
      </c>
      <c r="K524" s="46" t="s">
        <v>823</v>
      </c>
      <c r="L524" s="46" t="s">
        <v>3</v>
      </c>
      <c r="M524" s="46" t="s">
        <v>793</v>
      </c>
      <c r="N524" s="49">
        <v>1</v>
      </c>
      <c r="O524" s="49">
        <v>0</v>
      </c>
      <c r="P524" s="47" t="s">
        <v>1219</v>
      </c>
      <c r="Q524" s="47" t="s">
        <v>1111</v>
      </c>
      <c r="R524" s="47" t="s">
        <v>376</v>
      </c>
      <c r="S524" s="46"/>
      <c r="T524" s="46"/>
      <c r="U524" s="46"/>
      <c r="V524" s="46"/>
      <c r="W524" s="46"/>
      <c r="X524" s="46"/>
      <c r="Y524" s="46"/>
      <c r="Z524" s="46"/>
      <c r="AA524" s="46"/>
      <c r="AB524" s="46"/>
      <c r="AC524" s="46"/>
      <c r="AD524" s="46"/>
      <c r="AE524" s="50">
        <f>IF(L524="W",1,0)</f>
        <v>1</v>
      </c>
      <c r="AF524" s="50">
        <f>IF(L524="T",1,0)</f>
        <v>0</v>
      </c>
      <c r="AG524" s="50">
        <f>IF(L524="L",1,0)</f>
        <v>0</v>
      </c>
      <c r="AH524" s="46" t="s">
        <v>1101</v>
      </c>
      <c r="AI524" s="46" t="s">
        <v>1159</v>
      </c>
      <c r="AJ524" s="46" t="s">
        <v>376</v>
      </c>
      <c r="AK524" s="46" t="s">
        <v>658</v>
      </c>
      <c r="AL524" s="46" t="s">
        <v>793</v>
      </c>
      <c r="AM524" s="46" t="s">
        <v>1164</v>
      </c>
      <c r="AN524" s="46" t="s">
        <v>376</v>
      </c>
      <c r="AO524" s="46" t="s">
        <v>658</v>
      </c>
      <c r="AP524" s="46"/>
      <c r="AQ524" s="46">
        <v>2</v>
      </c>
      <c r="AR524" s="46"/>
      <c r="AS524" s="46"/>
      <c r="AT524" s="46"/>
      <c r="AU524" s="46" t="s">
        <v>376</v>
      </c>
      <c r="AV524" s="46"/>
      <c r="AW524" s="46" t="s">
        <v>30</v>
      </c>
      <c r="AX524" s="46"/>
      <c r="AY524" s="46" t="s">
        <v>30</v>
      </c>
      <c r="AZ524" s="46"/>
      <c r="BA524" s="47"/>
      <c r="BB524" s="51"/>
      <c r="BC524" s="46"/>
      <c r="BD524" s="46"/>
      <c r="BE524" s="46"/>
      <c r="BF524" s="46">
        <v>1</v>
      </c>
      <c r="BG524" s="46">
        <v>1</v>
      </c>
      <c r="BH524" s="46">
        <v>1</v>
      </c>
      <c r="BI524" s="46" t="s">
        <v>823</v>
      </c>
      <c r="BJ524" s="46" t="s">
        <v>793</v>
      </c>
      <c r="BK524" s="46">
        <v>1955</v>
      </c>
      <c r="BL524" s="46" t="str">
        <f>BK524&amp;BI524</f>
        <v>1955Manchester City</v>
      </c>
      <c r="BM524" s="52" t="str">
        <f>IF(AD524="Home",BI524,IF(AD524="Away",BJ524,Q524))</f>
        <v>Birmingham</v>
      </c>
      <c r="BN524" s="46"/>
      <c r="BO524" s="46"/>
      <c r="BP524" s="46"/>
      <c r="BQ524" s="46"/>
      <c r="BR524" s="46"/>
      <c r="BS524" s="46"/>
      <c r="BT524" s="46"/>
      <c r="BU524" s="46"/>
      <c r="BV524" s="46" t="s">
        <v>376</v>
      </c>
      <c r="BW524" s="46" t="s">
        <v>376</v>
      </c>
      <c r="BX524" s="46"/>
      <c r="BZ524" s="53"/>
      <c r="CA524" s="53"/>
      <c r="CB524" s="93" t="str">
        <f>IF(OR(C524="",A524="",B524=""),"",TEXT(C524,"0000")&amp;TEXT(A524,"00")&amp;TEXT(B524,"00"))</f>
        <v>19550326</v>
      </c>
    </row>
    <row r="525" spans="1:80" s="52" customFormat="1" ht="12.95" customHeight="1" x14ac:dyDescent="0.2">
      <c r="A525" s="46">
        <v>3</v>
      </c>
      <c r="B525" s="46">
        <v>26</v>
      </c>
      <c r="C525" s="46">
        <v>1955</v>
      </c>
      <c r="D525" s="46" t="s">
        <v>658</v>
      </c>
      <c r="E525" s="46" t="s">
        <v>1314</v>
      </c>
      <c r="F525" s="47" t="s">
        <v>1010</v>
      </c>
      <c r="G525" s="46"/>
      <c r="H525" s="47" t="s">
        <v>1011</v>
      </c>
      <c r="I525" s="47"/>
      <c r="J525" s="48">
        <v>20174</v>
      </c>
      <c r="K525" s="46" t="s">
        <v>793</v>
      </c>
      <c r="L525" s="46" t="s">
        <v>4</v>
      </c>
      <c r="M525" s="46" t="s">
        <v>823</v>
      </c>
      <c r="N525" s="49">
        <v>0</v>
      </c>
      <c r="O525" s="49">
        <v>1</v>
      </c>
      <c r="P525" s="47" t="s">
        <v>1219</v>
      </c>
      <c r="Q525" s="47" t="s">
        <v>1111</v>
      </c>
      <c r="R525" s="47" t="s">
        <v>376</v>
      </c>
      <c r="S525" s="46"/>
      <c r="T525" s="46"/>
      <c r="U525" s="46"/>
      <c r="V525" s="46"/>
      <c r="W525" s="46"/>
      <c r="X525" s="46"/>
      <c r="Y525" s="46"/>
      <c r="Z525" s="46"/>
      <c r="AA525" s="46"/>
      <c r="AB525" s="46"/>
      <c r="AC525" s="46"/>
      <c r="AD525" s="46"/>
      <c r="AE525" s="50">
        <f>IF(L525="W",1,0)</f>
        <v>0</v>
      </c>
      <c r="AF525" s="50">
        <f>IF(L525="T",1,0)</f>
        <v>0</v>
      </c>
      <c r="AG525" s="50">
        <f>IF(L525="L",1,0)</f>
        <v>1</v>
      </c>
      <c r="AH525" s="46" t="s">
        <v>793</v>
      </c>
      <c r="AI525" s="46" t="s">
        <v>1164</v>
      </c>
      <c r="AJ525" s="46" t="s">
        <v>376</v>
      </c>
      <c r="AK525" s="46" t="s">
        <v>658</v>
      </c>
      <c r="AL525" s="46" t="s">
        <v>1101</v>
      </c>
      <c r="AM525" s="46" t="s">
        <v>1159</v>
      </c>
      <c r="AN525" s="46" t="s">
        <v>376</v>
      </c>
      <c r="AO525" s="46" t="s">
        <v>658</v>
      </c>
      <c r="AP525" s="46"/>
      <c r="AQ525" s="46">
        <v>2</v>
      </c>
      <c r="AR525" s="46"/>
      <c r="AS525" s="46"/>
      <c r="AT525" s="46"/>
      <c r="AU525" s="46" t="s">
        <v>376</v>
      </c>
      <c r="AV525" s="46"/>
      <c r="AW525" s="46" t="s">
        <v>30</v>
      </c>
      <c r="AX525" s="46"/>
      <c r="AY525" s="46" t="s">
        <v>30</v>
      </c>
      <c r="AZ525" s="46"/>
      <c r="BA525" s="47"/>
      <c r="BB525" s="51"/>
      <c r="BC525" s="46"/>
      <c r="BD525" s="46"/>
      <c r="BE525" s="46"/>
      <c r="BF525" s="46">
        <v>1</v>
      </c>
      <c r="BG525" s="46">
        <v>1</v>
      </c>
      <c r="BH525" s="46">
        <v>1</v>
      </c>
      <c r="BI525" s="46" t="s">
        <v>793</v>
      </c>
      <c r="BJ525" s="46" t="s">
        <v>823</v>
      </c>
      <c r="BK525" s="46">
        <v>1955</v>
      </c>
      <c r="BL525" s="46" t="str">
        <f>BK525&amp;BI525</f>
        <v>1955Sunderland</v>
      </c>
      <c r="BM525" s="52" t="str">
        <f>IF(AD525="Home",BI525,IF(AD525="Away",BJ525,Q525))</f>
        <v>Birmingham</v>
      </c>
      <c r="BN525" s="46"/>
      <c r="BO525" s="46"/>
      <c r="BP525" s="46"/>
      <c r="BQ525" s="46"/>
      <c r="BR525" s="46"/>
      <c r="BS525" s="46"/>
      <c r="BT525" s="46"/>
      <c r="BU525" s="46"/>
      <c r="BV525" s="46" t="s">
        <v>376</v>
      </c>
      <c r="BW525" s="46" t="s">
        <v>376</v>
      </c>
      <c r="BX525" s="46"/>
      <c r="BZ525" s="53"/>
      <c r="CA525" s="53"/>
      <c r="CB525" s="93" t="str">
        <f>IF(OR(C525="",A525="",B525=""),"",TEXT(C525,"0000")&amp;TEXT(A525,"00")&amp;TEXT(B525,"00"))</f>
        <v>19550326</v>
      </c>
    </row>
    <row r="526" spans="1:80" s="52" customFormat="1" ht="12.95" customHeight="1" x14ac:dyDescent="0.2">
      <c r="A526" s="46">
        <v>3</v>
      </c>
      <c r="B526" s="46">
        <v>30</v>
      </c>
      <c r="C526" s="46">
        <v>1955</v>
      </c>
      <c r="D526" s="46" t="s">
        <v>658</v>
      </c>
      <c r="E526" s="46" t="s">
        <v>1314</v>
      </c>
      <c r="F526" s="47" t="s">
        <v>1010</v>
      </c>
      <c r="G526" s="46"/>
      <c r="H526" s="47" t="s">
        <v>1011</v>
      </c>
      <c r="I526" s="47" t="s">
        <v>1023</v>
      </c>
      <c r="J526" s="48">
        <v>20178</v>
      </c>
      <c r="K526" s="46" t="s">
        <v>805</v>
      </c>
      <c r="L526" s="46" t="s">
        <v>3</v>
      </c>
      <c r="M526" s="46" t="s">
        <v>1315</v>
      </c>
      <c r="N526" s="49">
        <v>2</v>
      </c>
      <c r="O526" s="49">
        <v>0</v>
      </c>
      <c r="P526" s="47" t="s">
        <v>1318</v>
      </c>
      <c r="Q526" s="47" t="s">
        <v>793</v>
      </c>
      <c r="R526" s="47" t="s">
        <v>376</v>
      </c>
      <c r="S526" s="46"/>
      <c r="T526" s="46"/>
      <c r="U526" s="46"/>
      <c r="V526" s="46"/>
      <c r="W526" s="46"/>
      <c r="X526" s="46"/>
      <c r="Y526" s="46"/>
      <c r="Z526" s="46"/>
      <c r="AA526" s="46"/>
      <c r="AB526" s="46"/>
      <c r="AC526" s="46"/>
      <c r="AD526" s="46"/>
      <c r="AE526" s="50">
        <f>IF(L526="W",1,0)</f>
        <v>1</v>
      </c>
      <c r="AF526" s="50">
        <f>IF(L526="T",1,0)</f>
        <v>0</v>
      </c>
      <c r="AG526" s="50">
        <f>IF(L526="L",1,0)</f>
        <v>0</v>
      </c>
      <c r="AH526" s="46" t="s">
        <v>1227</v>
      </c>
      <c r="AI526" s="46" t="s">
        <v>1164</v>
      </c>
      <c r="AJ526" s="46" t="s">
        <v>376</v>
      </c>
      <c r="AK526" s="46" t="s">
        <v>658</v>
      </c>
      <c r="AL526" s="46" t="s">
        <v>1316</v>
      </c>
      <c r="AM526" s="46" t="s">
        <v>1317</v>
      </c>
      <c r="AN526" s="46" t="s">
        <v>376</v>
      </c>
      <c r="AO526" s="46" t="s">
        <v>658</v>
      </c>
      <c r="AP526" s="46"/>
      <c r="AQ526" s="46">
        <v>2</v>
      </c>
      <c r="AR526" s="46"/>
      <c r="AS526" s="46"/>
      <c r="AT526" s="46"/>
      <c r="AU526" s="46" t="s">
        <v>376</v>
      </c>
      <c r="AV526" s="46"/>
      <c r="AW526" s="46" t="s">
        <v>30</v>
      </c>
      <c r="AX526" s="46"/>
      <c r="AY526" s="46" t="s">
        <v>30</v>
      </c>
      <c r="AZ526" s="46"/>
      <c r="BA526" s="47"/>
      <c r="BB526" s="51"/>
      <c r="BC526" s="46"/>
      <c r="BD526" s="46"/>
      <c r="BE526" s="46"/>
      <c r="BF526" s="46">
        <v>1</v>
      </c>
      <c r="BG526" s="46">
        <v>1</v>
      </c>
      <c r="BH526" s="46">
        <v>3</v>
      </c>
      <c r="BI526" s="46" t="s">
        <v>805</v>
      </c>
      <c r="BJ526" s="46" t="s">
        <v>1315</v>
      </c>
      <c r="BK526" s="46">
        <v>1955</v>
      </c>
      <c r="BL526" s="46" t="str">
        <f>BK526&amp;BI526</f>
        <v>1955Newcastle United</v>
      </c>
      <c r="BM526" s="52" t="str">
        <f>IF(AD526="Home",BI526,IF(AD526="Away",BJ526,Q526))</f>
        <v>Sunderland</v>
      </c>
      <c r="BN526" s="46"/>
      <c r="BO526" s="46"/>
      <c r="BP526" s="46"/>
      <c r="BQ526" s="46"/>
      <c r="BR526" s="46"/>
      <c r="BS526" s="46"/>
      <c r="BT526" s="46"/>
      <c r="BU526" s="46"/>
      <c r="BV526" s="46" t="s">
        <v>376</v>
      </c>
      <c r="BW526" s="46" t="s">
        <v>376</v>
      </c>
      <c r="BX526" s="46"/>
      <c r="BY526" s="50"/>
      <c r="BZ526" s="53"/>
      <c r="CA526" s="53"/>
      <c r="CB526" s="93" t="str">
        <f>IF(OR(C526="",A526="",B526=""),"",TEXT(C526,"0000")&amp;TEXT(A526,"00")&amp;TEXT(B526,"00"))</f>
        <v>19550330</v>
      </c>
    </row>
    <row r="527" spans="1:80" s="52" customFormat="1" ht="12.95" customHeight="1" x14ac:dyDescent="0.2">
      <c r="A527" s="46">
        <v>3</v>
      </c>
      <c r="B527" s="46">
        <v>30</v>
      </c>
      <c r="C527" s="46">
        <v>1955</v>
      </c>
      <c r="D527" s="46" t="s">
        <v>658</v>
      </c>
      <c r="E527" s="46" t="s">
        <v>1314</v>
      </c>
      <c r="F527" s="47" t="s">
        <v>1010</v>
      </c>
      <c r="G527" s="46"/>
      <c r="H527" s="47" t="s">
        <v>1011</v>
      </c>
      <c r="I527" s="47" t="s">
        <v>1023</v>
      </c>
      <c r="J527" s="48">
        <v>20178</v>
      </c>
      <c r="K527" s="46" t="s">
        <v>1315</v>
      </c>
      <c r="L527" s="46" t="s">
        <v>4</v>
      </c>
      <c r="M527" s="46" t="s">
        <v>805</v>
      </c>
      <c r="N527" s="49">
        <v>0</v>
      </c>
      <c r="O527" s="49">
        <v>2</v>
      </c>
      <c r="P527" s="47" t="s">
        <v>1318</v>
      </c>
      <c r="Q527" s="47" t="s">
        <v>793</v>
      </c>
      <c r="R527" s="47" t="s">
        <v>376</v>
      </c>
      <c r="S527" s="46"/>
      <c r="T527" s="46"/>
      <c r="U527" s="46"/>
      <c r="V527" s="46"/>
      <c r="W527" s="46"/>
      <c r="X527" s="46"/>
      <c r="Y527" s="46"/>
      <c r="Z527" s="46"/>
      <c r="AA527" s="46"/>
      <c r="AB527" s="46"/>
      <c r="AC527" s="46"/>
      <c r="AD527" s="46"/>
      <c r="AE527" s="50">
        <f>IF(L527="W",1,0)</f>
        <v>0</v>
      </c>
      <c r="AF527" s="50">
        <f>IF(L527="T",1,0)</f>
        <v>0</v>
      </c>
      <c r="AG527" s="50">
        <f>IF(L527="L",1,0)</f>
        <v>1</v>
      </c>
      <c r="AH527" s="46" t="s">
        <v>1316</v>
      </c>
      <c r="AI527" s="46" t="s">
        <v>1317</v>
      </c>
      <c r="AJ527" s="46" t="s">
        <v>376</v>
      </c>
      <c r="AK527" s="46" t="s">
        <v>658</v>
      </c>
      <c r="AL527" s="46" t="s">
        <v>1227</v>
      </c>
      <c r="AM527" s="46" t="s">
        <v>1164</v>
      </c>
      <c r="AN527" s="46" t="s">
        <v>376</v>
      </c>
      <c r="AO527" s="46" t="s">
        <v>658</v>
      </c>
      <c r="AP527" s="46"/>
      <c r="AQ527" s="46">
        <v>2</v>
      </c>
      <c r="AR527" s="46"/>
      <c r="AS527" s="46"/>
      <c r="AT527" s="46"/>
      <c r="AU527" s="46" t="s">
        <v>376</v>
      </c>
      <c r="AV527" s="46"/>
      <c r="AW527" s="46" t="s">
        <v>30</v>
      </c>
      <c r="AX527" s="46"/>
      <c r="AY527" s="46" t="s">
        <v>30</v>
      </c>
      <c r="AZ527" s="46"/>
      <c r="BA527" s="47"/>
      <c r="BB527" s="51"/>
      <c r="BC527" s="46"/>
      <c r="BD527" s="46"/>
      <c r="BE527" s="46"/>
      <c r="BF527" s="46">
        <v>1</v>
      </c>
      <c r="BG527" s="46">
        <v>3</v>
      </c>
      <c r="BH527" s="46">
        <v>1</v>
      </c>
      <c r="BI527" s="46" t="s">
        <v>1315</v>
      </c>
      <c r="BJ527" s="46" t="s">
        <v>805</v>
      </c>
      <c r="BK527" s="46">
        <v>1955</v>
      </c>
      <c r="BL527" s="46" t="str">
        <f>BK527&amp;BI527</f>
        <v>1955York City</v>
      </c>
      <c r="BM527" s="52" t="str">
        <f>IF(AD527="Home",BI527,IF(AD527="Away",BJ527,Q527))</f>
        <v>Sunderland</v>
      </c>
      <c r="BN527" s="46"/>
      <c r="BO527" s="46"/>
      <c r="BP527" s="46"/>
      <c r="BQ527" s="46"/>
      <c r="BR527" s="46"/>
      <c r="BS527" s="46"/>
      <c r="BT527" s="46"/>
      <c r="BU527" s="46"/>
      <c r="BV527" s="46" t="s">
        <v>376</v>
      </c>
      <c r="BW527" s="46" t="s">
        <v>376</v>
      </c>
      <c r="BX527" s="46"/>
      <c r="BY527" s="50"/>
      <c r="BZ527" s="53"/>
      <c r="CA527" s="53"/>
      <c r="CB527" s="93" t="str">
        <f>IF(OR(C527="",A527="",B527=""),"",TEXT(C527,"0000")&amp;TEXT(A527,"00")&amp;TEXT(B527,"00"))</f>
        <v>19550330</v>
      </c>
    </row>
    <row r="528" spans="1:80" s="52" customFormat="1" ht="12.95" customHeight="1" x14ac:dyDescent="0.2">
      <c r="A528" s="46">
        <v>5</v>
      </c>
      <c r="B528" s="46">
        <v>7</v>
      </c>
      <c r="C528" s="46">
        <v>1955</v>
      </c>
      <c r="D528" s="46" t="s">
        <v>658</v>
      </c>
      <c r="E528" s="46" t="s">
        <v>1314</v>
      </c>
      <c r="F528" s="47" t="s">
        <v>1010</v>
      </c>
      <c r="G528" s="46"/>
      <c r="H528" s="47" t="s">
        <v>1025</v>
      </c>
      <c r="I528" s="47"/>
      <c r="J528" s="48">
        <v>20216</v>
      </c>
      <c r="K528" s="46" t="s">
        <v>805</v>
      </c>
      <c r="L528" s="46" t="s">
        <v>3</v>
      </c>
      <c r="M528" s="46" t="s">
        <v>823</v>
      </c>
      <c r="N528" s="49">
        <v>3</v>
      </c>
      <c r="O528" s="49">
        <v>1</v>
      </c>
      <c r="P528" s="47" t="s">
        <v>1268</v>
      </c>
      <c r="Q528" s="47" t="s">
        <v>1017</v>
      </c>
      <c r="R528" s="47" t="s">
        <v>376</v>
      </c>
      <c r="S528" s="46"/>
      <c r="T528" s="46"/>
      <c r="U528" s="46"/>
      <c r="V528" s="46"/>
      <c r="W528" s="46"/>
      <c r="X528" s="46"/>
      <c r="Y528" s="46"/>
      <c r="Z528" s="46"/>
      <c r="AA528" s="46"/>
      <c r="AB528" s="46"/>
      <c r="AC528" s="46"/>
      <c r="AD528" s="46"/>
      <c r="AE528" s="50">
        <f>IF(L528="W",1,0)</f>
        <v>1</v>
      </c>
      <c r="AF528" s="50">
        <f>IF(L528="T",1,0)</f>
        <v>0</v>
      </c>
      <c r="AG528" s="50">
        <f>IF(L528="L",1,0)</f>
        <v>0</v>
      </c>
      <c r="AH528" s="46" t="s">
        <v>1227</v>
      </c>
      <c r="AI528" s="46" t="s">
        <v>1164</v>
      </c>
      <c r="AJ528" s="46" t="s">
        <v>376</v>
      </c>
      <c r="AK528" s="46" t="s">
        <v>658</v>
      </c>
      <c r="AL528" s="46" t="s">
        <v>1101</v>
      </c>
      <c r="AM528" s="46" t="s">
        <v>1159</v>
      </c>
      <c r="AN528" s="46" t="s">
        <v>376</v>
      </c>
      <c r="AO528" s="46" t="s">
        <v>658</v>
      </c>
      <c r="AP528" s="46"/>
      <c r="AQ528" s="46">
        <v>1</v>
      </c>
      <c r="AR528" s="46"/>
      <c r="AS528" s="46"/>
      <c r="AT528" s="46"/>
      <c r="AU528" s="46" t="s">
        <v>376</v>
      </c>
      <c r="AV528" s="46"/>
      <c r="AW528" s="46" t="s">
        <v>30</v>
      </c>
      <c r="AX528" s="46"/>
      <c r="AY528" s="46" t="s">
        <v>30</v>
      </c>
      <c r="AZ528" s="46"/>
      <c r="BA528" s="47"/>
      <c r="BB528" s="51" t="s">
        <v>30</v>
      </c>
      <c r="BC528" s="46" t="s">
        <v>30</v>
      </c>
      <c r="BD528" s="46"/>
      <c r="BE528" s="46"/>
      <c r="BF528" s="46">
        <v>1</v>
      </c>
      <c r="BG528" s="46">
        <v>1</v>
      </c>
      <c r="BH528" s="46">
        <v>1</v>
      </c>
      <c r="BI528" s="46" t="s">
        <v>805</v>
      </c>
      <c r="BJ528" s="46" t="s">
        <v>823</v>
      </c>
      <c r="BK528" s="46">
        <v>1955</v>
      </c>
      <c r="BL528" s="46" t="str">
        <f>BK528&amp;BI528</f>
        <v>1955Newcastle United</v>
      </c>
      <c r="BM528" s="52" t="str">
        <f>IF(AD528="Home",BI528,IF(AD528="Away",BJ528,Q528))</f>
        <v>London</v>
      </c>
      <c r="BN528" s="46"/>
      <c r="BO528" s="46"/>
      <c r="BP528" s="46"/>
      <c r="BQ528" s="46"/>
      <c r="BR528" s="46"/>
      <c r="BS528" s="46"/>
      <c r="BT528" s="46"/>
      <c r="BU528" s="46"/>
      <c r="BV528" s="46" t="s">
        <v>376</v>
      </c>
      <c r="BW528" s="46" t="s">
        <v>376</v>
      </c>
      <c r="BX528" s="46"/>
      <c r="BZ528" s="53"/>
      <c r="CA528" s="53"/>
      <c r="CB528" s="93" t="str">
        <f>IF(OR(C528="",A528="",B528=""),"",TEXT(C528,"0000")&amp;TEXT(A528,"00")&amp;TEXT(B528,"00"))</f>
        <v>19550507</v>
      </c>
    </row>
    <row r="529" spans="1:80" s="52" customFormat="1" ht="12.95" customHeight="1" x14ac:dyDescent="0.2">
      <c r="A529" s="46">
        <v>5</v>
      </c>
      <c r="B529" s="46">
        <v>7</v>
      </c>
      <c r="C529" s="46">
        <v>1955</v>
      </c>
      <c r="D529" s="46" t="s">
        <v>658</v>
      </c>
      <c r="E529" s="46" t="s">
        <v>1314</v>
      </c>
      <c r="F529" s="47" t="s">
        <v>1010</v>
      </c>
      <c r="G529" s="46"/>
      <c r="H529" s="47" t="s">
        <v>1025</v>
      </c>
      <c r="I529" s="47"/>
      <c r="J529" s="48">
        <v>20216</v>
      </c>
      <c r="K529" s="46" t="s">
        <v>823</v>
      </c>
      <c r="L529" s="46" t="s">
        <v>4</v>
      </c>
      <c r="M529" s="46" t="s">
        <v>805</v>
      </c>
      <c r="N529" s="49">
        <v>1</v>
      </c>
      <c r="O529" s="49">
        <v>3</v>
      </c>
      <c r="P529" s="47" t="s">
        <v>1268</v>
      </c>
      <c r="Q529" s="47" t="s">
        <v>1017</v>
      </c>
      <c r="R529" s="47" t="s">
        <v>376</v>
      </c>
      <c r="S529" s="46"/>
      <c r="T529" s="46"/>
      <c r="U529" s="46"/>
      <c r="V529" s="46"/>
      <c r="W529" s="46"/>
      <c r="X529" s="46"/>
      <c r="Y529" s="46"/>
      <c r="Z529" s="46"/>
      <c r="AA529" s="46"/>
      <c r="AB529" s="46"/>
      <c r="AC529" s="46"/>
      <c r="AD529" s="46"/>
      <c r="AE529" s="50">
        <f>IF(L529="W",1,0)</f>
        <v>0</v>
      </c>
      <c r="AF529" s="50">
        <f>IF(L529="T",1,0)</f>
        <v>0</v>
      </c>
      <c r="AG529" s="50">
        <f>IF(L529="L",1,0)</f>
        <v>1</v>
      </c>
      <c r="AH529" s="46" t="s">
        <v>1101</v>
      </c>
      <c r="AI529" s="46" t="s">
        <v>1159</v>
      </c>
      <c r="AJ529" s="46" t="s">
        <v>376</v>
      </c>
      <c r="AK529" s="46" t="s">
        <v>658</v>
      </c>
      <c r="AL529" s="46" t="s">
        <v>1227</v>
      </c>
      <c r="AM529" s="46" t="s">
        <v>1164</v>
      </c>
      <c r="AN529" s="46" t="s">
        <v>376</v>
      </c>
      <c r="AO529" s="46" t="s">
        <v>658</v>
      </c>
      <c r="AP529" s="46"/>
      <c r="AQ529" s="46">
        <v>1</v>
      </c>
      <c r="AR529" s="46"/>
      <c r="AS529" s="46"/>
      <c r="AT529" s="46"/>
      <c r="AU529" s="46" t="s">
        <v>376</v>
      </c>
      <c r="AV529" s="46"/>
      <c r="AW529" s="46" t="s">
        <v>30</v>
      </c>
      <c r="AX529" s="46"/>
      <c r="AY529" s="46" t="s">
        <v>30</v>
      </c>
      <c r="AZ529" s="46"/>
      <c r="BA529" s="47"/>
      <c r="BB529" s="51"/>
      <c r="BC529" s="46" t="s">
        <v>30</v>
      </c>
      <c r="BD529" s="46"/>
      <c r="BE529" s="46"/>
      <c r="BF529" s="46">
        <v>1</v>
      </c>
      <c r="BG529" s="46">
        <v>1</v>
      </c>
      <c r="BH529" s="46">
        <v>1</v>
      </c>
      <c r="BI529" s="46" t="s">
        <v>823</v>
      </c>
      <c r="BJ529" s="46" t="s">
        <v>805</v>
      </c>
      <c r="BK529" s="46">
        <v>1955</v>
      </c>
      <c r="BL529" s="46" t="str">
        <f>BK529&amp;BI529</f>
        <v>1955Manchester City</v>
      </c>
      <c r="BM529" s="52" t="str">
        <f>IF(AD529="Home",BI529,IF(AD529="Away",BJ529,Q529))</f>
        <v>London</v>
      </c>
      <c r="BN529" s="46"/>
      <c r="BO529" s="46"/>
      <c r="BP529" s="46"/>
      <c r="BQ529" s="46"/>
      <c r="BR529" s="46"/>
      <c r="BS529" s="46"/>
      <c r="BT529" s="46"/>
      <c r="BU529" s="46"/>
      <c r="BV529" s="46" t="s">
        <v>376</v>
      </c>
      <c r="BW529" s="46" t="s">
        <v>376</v>
      </c>
      <c r="BX529" s="46"/>
      <c r="BZ529" s="53"/>
      <c r="CA529" s="53"/>
      <c r="CB529" s="93" t="str">
        <f>IF(OR(C529="",A529="",B529=""),"",TEXT(C529,"0000")&amp;TEXT(A529,"00")&amp;TEXT(B529,"00"))</f>
        <v>19550507</v>
      </c>
    </row>
    <row r="530" spans="1:80" s="52" customFormat="1" ht="12.95" customHeight="1" x14ac:dyDescent="0.2">
      <c r="A530" s="46">
        <v>3</v>
      </c>
      <c r="B530" s="46">
        <v>17</v>
      </c>
      <c r="C530" s="46">
        <v>1956</v>
      </c>
      <c r="D530" s="46" t="s">
        <v>658</v>
      </c>
      <c r="E530" s="46" t="s">
        <v>1319</v>
      </c>
      <c r="F530" s="47" t="s">
        <v>1010</v>
      </c>
      <c r="G530" s="46"/>
      <c r="H530" s="47" t="s">
        <v>1011</v>
      </c>
      <c r="I530" s="47"/>
      <c r="J530" s="48">
        <v>20531</v>
      </c>
      <c r="K530" s="46" t="s">
        <v>1125</v>
      </c>
      <c r="L530" s="46" t="s">
        <v>3</v>
      </c>
      <c r="M530" s="46" t="s">
        <v>793</v>
      </c>
      <c r="N530" s="49">
        <v>3</v>
      </c>
      <c r="O530" s="49">
        <v>0</v>
      </c>
      <c r="P530" s="47" t="s">
        <v>1252</v>
      </c>
      <c r="Q530" s="47" t="s">
        <v>1097</v>
      </c>
      <c r="R530" s="47" t="s">
        <v>376</v>
      </c>
      <c r="S530" s="46"/>
      <c r="T530" s="46"/>
      <c r="U530" s="46"/>
      <c r="V530" s="46"/>
      <c r="W530" s="46"/>
      <c r="X530" s="46"/>
      <c r="Y530" s="46"/>
      <c r="Z530" s="46"/>
      <c r="AA530" s="46"/>
      <c r="AB530" s="46"/>
      <c r="AC530" s="46"/>
      <c r="AD530" s="46"/>
      <c r="AE530" s="50">
        <f>IF(L530="W",1,0)</f>
        <v>1</v>
      </c>
      <c r="AF530" s="50">
        <f>IF(L530="T",1,0)</f>
        <v>0</v>
      </c>
      <c r="AG530" s="50">
        <f>IF(L530="L",1,0)</f>
        <v>0</v>
      </c>
      <c r="AH530" s="46" t="s">
        <v>1111</v>
      </c>
      <c r="AI530" s="46" t="s">
        <v>1126</v>
      </c>
      <c r="AJ530" s="46" t="s">
        <v>376</v>
      </c>
      <c r="AK530" s="46" t="s">
        <v>658</v>
      </c>
      <c r="AL530" s="46" t="s">
        <v>793</v>
      </c>
      <c r="AM530" s="46" t="s">
        <v>1164</v>
      </c>
      <c r="AN530" s="46" t="s">
        <v>376</v>
      </c>
      <c r="AO530" s="46" t="s">
        <v>658</v>
      </c>
      <c r="AP530" s="46"/>
      <c r="AQ530" s="46">
        <v>2</v>
      </c>
      <c r="AR530" s="46"/>
      <c r="AS530" s="46"/>
      <c r="AT530" s="46"/>
      <c r="AU530" s="46" t="s">
        <v>376</v>
      </c>
      <c r="AV530" s="46"/>
      <c r="AW530" s="46" t="s">
        <v>30</v>
      </c>
      <c r="AX530" s="46"/>
      <c r="AY530" s="46" t="s">
        <v>30</v>
      </c>
      <c r="AZ530" s="46"/>
      <c r="BA530" s="47"/>
      <c r="BB530" s="51"/>
      <c r="BC530" s="46"/>
      <c r="BD530" s="46"/>
      <c r="BE530" s="46"/>
      <c r="BF530" s="46">
        <v>1</v>
      </c>
      <c r="BG530" s="46">
        <v>1</v>
      </c>
      <c r="BH530" s="46">
        <v>1</v>
      </c>
      <c r="BI530" s="46" t="s">
        <v>1125</v>
      </c>
      <c r="BJ530" s="46" t="s">
        <v>793</v>
      </c>
      <c r="BK530" s="46">
        <v>1956</v>
      </c>
      <c r="BL530" s="46" t="str">
        <f>BK530&amp;BI530</f>
        <v>1956Birmingham City</v>
      </c>
      <c r="BM530" s="52" t="str">
        <f>IF(AD530="Home",BI530,IF(AD530="Away",BJ530,Q530))</f>
        <v>Sheffield</v>
      </c>
      <c r="BN530" s="46"/>
      <c r="BO530" s="46"/>
      <c r="BP530" s="46"/>
      <c r="BQ530" s="46"/>
      <c r="BR530" s="46"/>
      <c r="BS530" s="46"/>
      <c r="BT530" s="46"/>
      <c r="BU530" s="46"/>
      <c r="BV530" s="46" t="s">
        <v>376</v>
      </c>
      <c r="BW530" s="46" t="s">
        <v>376</v>
      </c>
      <c r="BX530" s="46"/>
      <c r="BY530" s="50"/>
      <c r="BZ530" s="53"/>
      <c r="CA530" s="53"/>
      <c r="CB530" s="93" t="str">
        <f>IF(OR(C530="",A530="",B530=""),"",TEXT(C530,"0000")&amp;TEXT(A530,"00")&amp;TEXT(B530,"00"))</f>
        <v>19560317</v>
      </c>
    </row>
    <row r="531" spans="1:80" s="52" customFormat="1" ht="12.95" customHeight="1" x14ac:dyDescent="0.2">
      <c r="A531" s="46">
        <v>3</v>
      </c>
      <c r="B531" s="46">
        <v>17</v>
      </c>
      <c r="C531" s="46">
        <v>1956</v>
      </c>
      <c r="D531" s="46" t="s">
        <v>658</v>
      </c>
      <c r="E531" s="46" t="s">
        <v>1319</v>
      </c>
      <c r="F531" s="47" t="s">
        <v>1010</v>
      </c>
      <c r="G531" s="46"/>
      <c r="H531" s="47" t="s">
        <v>1011</v>
      </c>
      <c r="I531" s="47"/>
      <c r="J531" s="48">
        <v>20531</v>
      </c>
      <c r="K531" s="46" t="s">
        <v>793</v>
      </c>
      <c r="L531" s="46" t="s">
        <v>4</v>
      </c>
      <c r="M531" s="46" t="s">
        <v>1125</v>
      </c>
      <c r="N531" s="49">
        <v>0</v>
      </c>
      <c r="O531" s="49">
        <v>3</v>
      </c>
      <c r="P531" s="47" t="s">
        <v>1252</v>
      </c>
      <c r="Q531" s="47" t="s">
        <v>1097</v>
      </c>
      <c r="R531" s="47" t="s">
        <v>376</v>
      </c>
      <c r="S531" s="46"/>
      <c r="T531" s="46"/>
      <c r="U531" s="46"/>
      <c r="V531" s="46"/>
      <c r="W531" s="46"/>
      <c r="X531" s="46"/>
      <c r="Y531" s="46"/>
      <c r="Z531" s="46"/>
      <c r="AA531" s="46"/>
      <c r="AB531" s="46"/>
      <c r="AC531" s="46"/>
      <c r="AD531" s="46"/>
      <c r="AE531" s="50">
        <f>IF(L531="W",1,0)</f>
        <v>0</v>
      </c>
      <c r="AF531" s="50">
        <f>IF(L531="T",1,0)</f>
        <v>0</v>
      </c>
      <c r="AG531" s="50">
        <f>IF(L531="L",1,0)</f>
        <v>1</v>
      </c>
      <c r="AH531" s="46" t="s">
        <v>793</v>
      </c>
      <c r="AI531" s="46" t="s">
        <v>1164</v>
      </c>
      <c r="AJ531" s="46" t="s">
        <v>376</v>
      </c>
      <c r="AK531" s="46" t="s">
        <v>658</v>
      </c>
      <c r="AL531" s="46" t="s">
        <v>1111</v>
      </c>
      <c r="AM531" s="46" t="s">
        <v>1126</v>
      </c>
      <c r="AN531" s="46" t="s">
        <v>376</v>
      </c>
      <c r="AO531" s="46" t="s">
        <v>658</v>
      </c>
      <c r="AP531" s="46"/>
      <c r="AQ531" s="46">
        <v>2</v>
      </c>
      <c r="AR531" s="46"/>
      <c r="AS531" s="46"/>
      <c r="AT531" s="46"/>
      <c r="AU531" s="46" t="s">
        <v>376</v>
      </c>
      <c r="AV531" s="46"/>
      <c r="AW531" s="46" t="s">
        <v>30</v>
      </c>
      <c r="AX531" s="46"/>
      <c r="AY531" s="46" t="s">
        <v>30</v>
      </c>
      <c r="AZ531" s="46"/>
      <c r="BA531" s="47"/>
      <c r="BB531" s="51"/>
      <c r="BC531" s="46"/>
      <c r="BD531" s="46"/>
      <c r="BE531" s="46"/>
      <c r="BF531" s="46">
        <v>1</v>
      </c>
      <c r="BG531" s="46">
        <v>1</v>
      </c>
      <c r="BH531" s="46">
        <v>1</v>
      </c>
      <c r="BI531" s="46" t="s">
        <v>793</v>
      </c>
      <c r="BJ531" s="46" t="s">
        <v>1125</v>
      </c>
      <c r="BK531" s="46">
        <v>1956</v>
      </c>
      <c r="BL531" s="46" t="str">
        <f>BK531&amp;BI531</f>
        <v>1956Sunderland</v>
      </c>
      <c r="BM531" s="52" t="str">
        <f>IF(AD531="Home",BI531,IF(AD531="Away",BJ531,Q531))</f>
        <v>Sheffield</v>
      </c>
      <c r="BN531" s="46"/>
      <c r="BO531" s="46"/>
      <c r="BP531" s="46"/>
      <c r="BQ531" s="46"/>
      <c r="BR531" s="46"/>
      <c r="BS531" s="46"/>
      <c r="BT531" s="46"/>
      <c r="BU531" s="46"/>
      <c r="BV531" s="46" t="s">
        <v>376</v>
      </c>
      <c r="BW531" s="46" t="s">
        <v>376</v>
      </c>
      <c r="BX531" s="46"/>
      <c r="BY531" s="50"/>
      <c r="BZ531" s="53"/>
      <c r="CA531" s="53"/>
      <c r="CB531" s="93" t="str">
        <f>IF(OR(C531="",A531="",B531=""),"",TEXT(C531,"0000")&amp;TEXT(A531,"00")&amp;TEXT(B531,"00"))</f>
        <v>19560317</v>
      </c>
    </row>
    <row r="532" spans="1:80" s="52" customFormat="1" ht="12.95" customHeight="1" x14ac:dyDescent="0.2">
      <c r="A532" s="46">
        <v>3</v>
      </c>
      <c r="B532" s="46">
        <v>17</v>
      </c>
      <c r="C532" s="46">
        <v>1956</v>
      </c>
      <c r="D532" s="46" t="s">
        <v>658</v>
      </c>
      <c r="E532" s="46" t="s">
        <v>1319</v>
      </c>
      <c r="F532" s="47" t="s">
        <v>1010</v>
      </c>
      <c r="G532" s="46"/>
      <c r="H532" s="47" t="s">
        <v>1011</v>
      </c>
      <c r="I532" s="47"/>
      <c r="J532" s="48">
        <v>20531</v>
      </c>
      <c r="K532" s="46" t="s">
        <v>823</v>
      </c>
      <c r="L532" s="46" t="s">
        <v>3</v>
      </c>
      <c r="M532" s="46" t="s">
        <v>813</v>
      </c>
      <c r="N532" s="49">
        <v>1</v>
      </c>
      <c r="O532" s="49">
        <v>0</v>
      </c>
      <c r="P532" s="47" t="s">
        <v>1219</v>
      </c>
      <c r="Q532" s="47" t="s">
        <v>1111</v>
      </c>
      <c r="R532" s="47" t="s">
        <v>376</v>
      </c>
      <c r="S532" s="46"/>
      <c r="T532" s="46"/>
      <c r="U532" s="46"/>
      <c r="V532" s="46"/>
      <c r="W532" s="46"/>
      <c r="X532" s="46"/>
      <c r="Y532" s="46"/>
      <c r="Z532" s="46"/>
      <c r="AA532" s="46"/>
      <c r="AB532" s="46"/>
      <c r="AC532" s="46"/>
      <c r="AD532" s="46"/>
      <c r="AE532" s="50">
        <f>IF(L532="W",1,0)</f>
        <v>1</v>
      </c>
      <c r="AF532" s="50">
        <f>IF(L532="T",1,0)</f>
        <v>0</v>
      </c>
      <c r="AG532" s="50">
        <f>IF(L532="L",1,0)</f>
        <v>0</v>
      </c>
      <c r="AH532" s="46" t="s">
        <v>1101</v>
      </c>
      <c r="AI532" s="46" t="s">
        <v>1159</v>
      </c>
      <c r="AJ532" s="46" t="s">
        <v>376</v>
      </c>
      <c r="AK532" s="46" t="s">
        <v>658</v>
      </c>
      <c r="AL532" s="46" t="s">
        <v>1017</v>
      </c>
      <c r="AM532" s="46" t="s">
        <v>1018</v>
      </c>
      <c r="AN532" s="46" t="s">
        <v>376</v>
      </c>
      <c r="AO532" s="46" t="s">
        <v>658</v>
      </c>
      <c r="AP532" s="46"/>
      <c r="AQ532" s="46">
        <v>2</v>
      </c>
      <c r="AR532" s="46"/>
      <c r="AS532" s="46"/>
      <c r="AT532" s="46"/>
      <c r="AU532" s="46" t="s">
        <v>376</v>
      </c>
      <c r="AV532" s="46"/>
      <c r="AW532" s="46" t="s">
        <v>30</v>
      </c>
      <c r="AX532" s="46"/>
      <c r="AY532" s="46" t="s">
        <v>30</v>
      </c>
      <c r="AZ532" s="46"/>
      <c r="BA532" s="47"/>
      <c r="BB532" s="51"/>
      <c r="BC532" s="46"/>
      <c r="BD532" s="46"/>
      <c r="BE532" s="46"/>
      <c r="BF532" s="46">
        <v>1</v>
      </c>
      <c r="BG532" s="46">
        <v>1</v>
      </c>
      <c r="BH532" s="46">
        <v>1</v>
      </c>
      <c r="BI532" s="46" t="s">
        <v>823</v>
      </c>
      <c r="BJ532" s="46" t="s">
        <v>813</v>
      </c>
      <c r="BK532" s="46">
        <v>1956</v>
      </c>
      <c r="BL532" s="46" t="str">
        <f>BK532&amp;BI532</f>
        <v>1956Manchester City</v>
      </c>
      <c r="BM532" s="52" t="str">
        <f>IF(AD532="Home",BI532,IF(AD532="Away",BJ532,Q532))</f>
        <v>Birmingham</v>
      </c>
      <c r="BN532" s="46"/>
      <c r="BO532" s="46"/>
      <c r="BP532" s="46"/>
      <c r="BQ532" s="46"/>
      <c r="BR532" s="46"/>
      <c r="BS532" s="46"/>
      <c r="BT532" s="46"/>
      <c r="BU532" s="46"/>
      <c r="BV532" s="46" t="s">
        <v>376</v>
      </c>
      <c r="BW532" s="46" t="s">
        <v>376</v>
      </c>
      <c r="BX532" s="46"/>
      <c r="BZ532" s="53"/>
      <c r="CA532" s="53"/>
      <c r="CB532" s="93" t="str">
        <f>IF(OR(C532="",A532="",B532=""),"",TEXT(C532,"0000")&amp;TEXT(A532,"00")&amp;TEXT(B532,"00"))</f>
        <v>19560317</v>
      </c>
    </row>
    <row r="533" spans="1:80" s="52" customFormat="1" ht="12.95" customHeight="1" x14ac:dyDescent="0.2">
      <c r="A533" s="46">
        <v>3</v>
      </c>
      <c r="B533" s="46">
        <v>17</v>
      </c>
      <c r="C533" s="46">
        <v>1956</v>
      </c>
      <c r="D533" s="46" t="s">
        <v>658</v>
      </c>
      <c r="E533" s="46" t="s">
        <v>1319</v>
      </c>
      <c r="F533" s="47" t="s">
        <v>1010</v>
      </c>
      <c r="G533" s="46"/>
      <c r="H533" s="47" t="s">
        <v>1011</v>
      </c>
      <c r="I533" s="47"/>
      <c r="J533" s="48">
        <v>20531</v>
      </c>
      <c r="K533" s="46" t="s">
        <v>813</v>
      </c>
      <c r="L533" s="46" t="s">
        <v>4</v>
      </c>
      <c r="M533" s="46" t="s">
        <v>823</v>
      </c>
      <c r="N533" s="49">
        <v>0</v>
      </c>
      <c r="O533" s="49">
        <v>1</v>
      </c>
      <c r="P533" s="47" t="s">
        <v>1219</v>
      </c>
      <c r="Q533" s="47" t="s">
        <v>1111</v>
      </c>
      <c r="R533" s="47" t="s">
        <v>376</v>
      </c>
      <c r="S533" s="46"/>
      <c r="T533" s="46"/>
      <c r="U533" s="46"/>
      <c r="V533" s="46"/>
      <c r="W533" s="46"/>
      <c r="X533" s="46"/>
      <c r="Y533" s="46"/>
      <c r="Z533" s="46"/>
      <c r="AA533" s="46"/>
      <c r="AB533" s="46"/>
      <c r="AC533" s="46"/>
      <c r="AD533" s="46"/>
      <c r="AE533" s="50">
        <f>IF(L533="W",1,0)</f>
        <v>0</v>
      </c>
      <c r="AF533" s="50">
        <f>IF(L533="T",1,0)</f>
        <v>0</v>
      </c>
      <c r="AG533" s="50">
        <f>IF(L533="L",1,0)</f>
        <v>1</v>
      </c>
      <c r="AH533" s="46" t="s">
        <v>1017</v>
      </c>
      <c r="AI533" s="46" t="s">
        <v>1018</v>
      </c>
      <c r="AJ533" s="46" t="s">
        <v>376</v>
      </c>
      <c r="AK533" s="46" t="s">
        <v>658</v>
      </c>
      <c r="AL533" s="46" t="s">
        <v>1101</v>
      </c>
      <c r="AM533" s="46" t="s">
        <v>1159</v>
      </c>
      <c r="AN533" s="46" t="s">
        <v>376</v>
      </c>
      <c r="AO533" s="46" t="s">
        <v>658</v>
      </c>
      <c r="AP533" s="46"/>
      <c r="AQ533" s="46">
        <v>2</v>
      </c>
      <c r="AR533" s="46"/>
      <c r="AS533" s="46"/>
      <c r="AT533" s="46"/>
      <c r="AU533" s="46" t="s">
        <v>376</v>
      </c>
      <c r="AV533" s="46"/>
      <c r="AW533" s="46" t="s">
        <v>30</v>
      </c>
      <c r="AX533" s="46"/>
      <c r="AY533" s="46" t="s">
        <v>30</v>
      </c>
      <c r="AZ533" s="46"/>
      <c r="BA533" s="47"/>
      <c r="BB533" s="51"/>
      <c r="BC533" s="46"/>
      <c r="BD533" s="46"/>
      <c r="BE533" s="46"/>
      <c r="BF533" s="46">
        <v>1</v>
      </c>
      <c r="BG533" s="46">
        <v>1</v>
      </c>
      <c r="BH533" s="46">
        <v>1</v>
      </c>
      <c r="BI533" s="46" t="s">
        <v>813</v>
      </c>
      <c r="BJ533" s="46" t="s">
        <v>823</v>
      </c>
      <c r="BK533" s="46">
        <v>1956</v>
      </c>
      <c r="BL533" s="46" t="str">
        <f>BK533&amp;BI533</f>
        <v>1956Tottenham Hotspur</v>
      </c>
      <c r="BM533" s="52" t="str">
        <f>IF(AD533="Home",BI533,IF(AD533="Away",BJ533,Q533))</f>
        <v>Birmingham</v>
      </c>
      <c r="BN533" s="46"/>
      <c r="BO533" s="46"/>
      <c r="BP533" s="46"/>
      <c r="BQ533" s="46"/>
      <c r="BR533" s="46"/>
      <c r="BS533" s="46"/>
      <c r="BT533" s="46"/>
      <c r="BU533" s="46"/>
      <c r="BV533" s="46" t="s">
        <v>376</v>
      </c>
      <c r="BW533" s="46" t="s">
        <v>376</v>
      </c>
      <c r="BX533" s="46"/>
      <c r="BZ533" s="53"/>
      <c r="CA533" s="53"/>
      <c r="CB533" s="93" t="str">
        <f>IF(OR(C533="",A533="",B533=""),"",TEXT(C533,"0000")&amp;TEXT(A533,"00")&amp;TEXT(B533,"00"))</f>
        <v>19560317</v>
      </c>
    </row>
    <row r="534" spans="1:80" s="52" customFormat="1" ht="12.95" customHeight="1" x14ac:dyDescent="0.2">
      <c r="A534" s="46">
        <v>5</v>
      </c>
      <c r="B534" s="46">
        <v>5</v>
      </c>
      <c r="C534" s="46">
        <v>1956</v>
      </c>
      <c r="D534" s="46" t="s">
        <v>658</v>
      </c>
      <c r="E534" s="46" t="s">
        <v>1319</v>
      </c>
      <c r="F534" s="47" t="s">
        <v>1010</v>
      </c>
      <c r="G534" s="46"/>
      <c r="H534" s="47" t="s">
        <v>1025</v>
      </c>
      <c r="I534" s="47"/>
      <c r="J534" s="48">
        <v>20580</v>
      </c>
      <c r="K534" s="46" t="s">
        <v>823</v>
      </c>
      <c r="L534" s="46" t="s">
        <v>3</v>
      </c>
      <c r="M534" s="46" t="s">
        <v>1125</v>
      </c>
      <c r="N534" s="49">
        <v>3</v>
      </c>
      <c r="O534" s="49">
        <v>1</v>
      </c>
      <c r="P534" s="47" t="s">
        <v>1268</v>
      </c>
      <c r="Q534" s="47" t="s">
        <v>1017</v>
      </c>
      <c r="R534" s="47" t="s">
        <v>376</v>
      </c>
      <c r="S534" s="46"/>
      <c r="T534" s="46"/>
      <c r="U534" s="46"/>
      <c r="V534" s="46"/>
      <c r="W534" s="46"/>
      <c r="X534" s="46"/>
      <c r="Y534" s="46"/>
      <c r="Z534" s="46"/>
      <c r="AA534" s="46"/>
      <c r="AB534" s="46"/>
      <c r="AC534" s="46"/>
      <c r="AD534" s="46"/>
      <c r="AE534" s="50">
        <f>IF(L534="W",1,0)</f>
        <v>1</v>
      </c>
      <c r="AF534" s="50">
        <f>IF(L534="T",1,0)</f>
        <v>0</v>
      </c>
      <c r="AG534" s="50">
        <f>IF(L534="L",1,0)</f>
        <v>0</v>
      </c>
      <c r="AH534" s="46" t="s">
        <v>1101</v>
      </c>
      <c r="AI534" s="46" t="s">
        <v>1159</v>
      </c>
      <c r="AJ534" s="46" t="s">
        <v>376</v>
      </c>
      <c r="AK534" s="46" t="s">
        <v>658</v>
      </c>
      <c r="AL534" s="46" t="s">
        <v>1111</v>
      </c>
      <c r="AM534" s="46" t="s">
        <v>1126</v>
      </c>
      <c r="AN534" s="46" t="s">
        <v>376</v>
      </c>
      <c r="AO534" s="46" t="s">
        <v>658</v>
      </c>
      <c r="AP534" s="46"/>
      <c r="AQ534" s="46">
        <v>1</v>
      </c>
      <c r="AR534" s="46"/>
      <c r="AS534" s="46"/>
      <c r="AT534" s="46"/>
      <c r="AU534" s="46" t="s">
        <v>376</v>
      </c>
      <c r="AV534" s="46"/>
      <c r="AW534" s="46" t="s">
        <v>30</v>
      </c>
      <c r="AX534" s="46"/>
      <c r="AY534" s="46" t="s">
        <v>30</v>
      </c>
      <c r="AZ534" s="46"/>
      <c r="BA534" s="47"/>
      <c r="BB534" s="51" t="s">
        <v>30</v>
      </c>
      <c r="BC534" s="46" t="s">
        <v>30</v>
      </c>
      <c r="BD534" s="46"/>
      <c r="BE534" s="46"/>
      <c r="BF534" s="46">
        <v>1</v>
      </c>
      <c r="BG534" s="46">
        <v>1</v>
      </c>
      <c r="BH534" s="46">
        <v>1</v>
      </c>
      <c r="BI534" s="46" t="s">
        <v>823</v>
      </c>
      <c r="BJ534" s="46" t="s">
        <v>1125</v>
      </c>
      <c r="BK534" s="46">
        <v>1956</v>
      </c>
      <c r="BL534" s="46" t="str">
        <f>BK534&amp;BI534</f>
        <v>1956Manchester City</v>
      </c>
      <c r="BM534" s="52" t="str">
        <f>IF(AD534="Home",BI534,IF(AD534="Away",BJ534,Q534))</f>
        <v>London</v>
      </c>
      <c r="BN534" s="46"/>
      <c r="BO534" s="46"/>
      <c r="BP534" s="46"/>
      <c r="BQ534" s="46"/>
      <c r="BR534" s="46"/>
      <c r="BS534" s="46"/>
      <c r="BT534" s="46"/>
      <c r="BU534" s="46"/>
      <c r="BV534" s="46" t="s">
        <v>376</v>
      </c>
      <c r="BW534" s="46" t="s">
        <v>376</v>
      </c>
      <c r="BX534" s="46"/>
      <c r="BZ534" s="53"/>
      <c r="CA534" s="53"/>
      <c r="CB534" s="93" t="str">
        <f>IF(OR(C534="",A534="",B534=""),"",TEXT(C534,"0000")&amp;TEXT(A534,"00")&amp;TEXT(B534,"00"))</f>
        <v>19560505</v>
      </c>
    </row>
    <row r="535" spans="1:80" s="52" customFormat="1" ht="12.95" customHeight="1" x14ac:dyDescent="0.2">
      <c r="A535" s="46">
        <v>5</v>
      </c>
      <c r="B535" s="46">
        <v>5</v>
      </c>
      <c r="C535" s="46">
        <v>1956</v>
      </c>
      <c r="D535" s="46" t="s">
        <v>658</v>
      </c>
      <c r="E535" s="46" t="s">
        <v>1319</v>
      </c>
      <c r="F535" s="47" t="s">
        <v>1010</v>
      </c>
      <c r="G535" s="46"/>
      <c r="H535" s="47" t="s">
        <v>1025</v>
      </c>
      <c r="I535" s="47"/>
      <c r="J535" s="48">
        <v>20580</v>
      </c>
      <c r="K535" s="46" t="s">
        <v>1125</v>
      </c>
      <c r="L535" s="46" t="s">
        <v>4</v>
      </c>
      <c r="M535" s="46" t="s">
        <v>823</v>
      </c>
      <c r="N535" s="49">
        <v>1</v>
      </c>
      <c r="O535" s="49">
        <v>3</v>
      </c>
      <c r="P535" s="47" t="s">
        <v>1268</v>
      </c>
      <c r="Q535" s="47" t="s">
        <v>1017</v>
      </c>
      <c r="R535" s="47" t="s">
        <v>376</v>
      </c>
      <c r="S535" s="46"/>
      <c r="T535" s="46"/>
      <c r="U535" s="46"/>
      <c r="V535" s="46"/>
      <c r="W535" s="46"/>
      <c r="X535" s="46"/>
      <c r="Y535" s="46"/>
      <c r="Z535" s="46"/>
      <c r="AA535" s="46"/>
      <c r="AB535" s="46"/>
      <c r="AC535" s="46"/>
      <c r="AD535" s="46"/>
      <c r="AE535" s="50">
        <f>IF(L535="W",1,0)</f>
        <v>0</v>
      </c>
      <c r="AF535" s="50">
        <f>IF(L535="T",1,0)</f>
        <v>0</v>
      </c>
      <c r="AG535" s="50">
        <f>IF(L535="L",1,0)</f>
        <v>1</v>
      </c>
      <c r="AH535" s="46" t="s">
        <v>1111</v>
      </c>
      <c r="AI535" s="46" t="s">
        <v>1126</v>
      </c>
      <c r="AJ535" s="46" t="s">
        <v>376</v>
      </c>
      <c r="AK535" s="46" t="s">
        <v>658</v>
      </c>
      <c r="AL535" s="46" t="s">
        <v>1101</v>
      </c>
      <c r="AM535" s="46" t="s">
        <v>1159</v>
      </c>
      <c r="AN535" s="46" t="s">
        <v>376</v>
      </c>
      <c r="AO535" s="46" t="s">
        <v>658</v>
      </c>
      <c r="AP535" s="46"/>
      <c r="AQ535" s="46">
        <v>1</v>
      </c>
      <c r="AR535" s="46"/>
      <c r="AS535" s="46"/>
      <c r="AT535" s="46"/>
      <c r="AU535" s="46" t="s">
        <v>376</v>
      </c>
      <c r="AV535" s="46"/>
      <c r="AW535" s="46" t="s">
        <v>30</v>
      </c>
      <c r="AX535" s="46"/>
      <c r="AY535" s="46" t="s">
        <v>30</v>
      </c>
      <c r="AZ535" s="46"/>
      <c r="BA535" s="47"/>
      <c r="BB535" s="51"/>
      <c r="BC535" s="46" t="s">
        <v>30</v>
      </c>
      <c r="BD535" s="46"/>
      <c r="BE535" s="46"/>
      <c r="BF535" s="46">
        <v>1</v>
      </c>
      <c r="BG535" s="46">
        <v>1</v>
      </c>
      <c r="BH535" s="46">
        <v>1</v>
      </c>
      <c r="BI535" s="46" t="s">
        <v>1125</v>
      </c>
      <c r="BJ535" s="46" t="s">
        <v>823</v>
      </c>
      <c r="BK535" s="46">
        <v>1956</v>
      </c>
      <c r="BL535" s="46" t="str">
        <f>BK535&amp;BI535</f>
        <v>1956Birmingham City</v>
      </c>
      <c r="BM535" s="52" t="str">
        <f>IF(AD535="Home",BI535,IF(AD535="Away",BJ535,Q535))</f>
        <v>London</v>
      </c>
      <c r="BN535" s="46"/>
      <c r="BO535" s="46"/>
      <c r="BP535" s="46"/>
      <c r="BQ535" s="46"/>
      <c r="BR535" s="46"/>
      <c r="BS535" s="46"/>
      <c r="BT535" s="46"/>
      <c r="BU535" s="46"/>
      <c r="BV535" s="46" t="s">
        <v>376</v>
      </c>
      <c r="BW535" s="46" t="s">
        <v>376</v>
      </c>
      <c r="BX535" s="46"/>
      <c r="BZ535" s="53"/>
      <c r="CA535" s="53"/>
      <c r="CB535" s="93" t="str">
        <f>IF(OR(C535="",A535="",B535=""),"",TEXT(C535,"0000")&amp;TEXT(A535,"00")&amp;TEXT(B535,"00"))</f>
        <v>19560505</v>
      </c>
    </row>
    <row r="536" spans="1:80" s="52" customFormat="1" ht="12.95" customHeight="1" x14ac:dyDescent="0.2">
      <c r="A536" s="46">
        <v>3</v>
      </c>
      <c r="B536" s="46">
        <v>23</v>
      </c>
      <c r="C536" s="46">
        <v>1957</v>
      </c>
      <c r="D536" s="46" t="s">
        <v>658</v>
      </c>
      <c r="E536" s="46" t="s">
        <v>1320</v>
      </c>
      <c r="F536" s="47" t="s">
        <v>1010</v>
      </c>
      <c r="G536" s="46"/>
      <c r="H536" s="47" t="s">
        <v>1011</v>
      </c>
      <c r="I536" s="47"/>
      <c r="J536" s="48">
        <v>20902</v>
      </c>
      <c r="K536" s="46" t="s">
        <v>821</v>
      </c>
      <c r="L536" s="46" t="s">
        <v>3</v>
      </c>
      <c r="M536" s="46" t="s">
        <v>1125</v>
      </c>
      <c r="N536" s="49">
        <v>2</v>
      </c>
      <c r="O536" s="49">
        <v>0</v>
      </c>
      <c r="P536" s="47" t="s">
        <v>1252</v>
      </c>
      <c r="Q536" s="47" t="s">
        <v>1097</v>
      </c>
      <c r="R536" s="47" t="s">
        <v>376</v>
      </c>
      <c r="S536" s="46"/>
      <c r="T536" s="46"/>
      <c r="U536" s="46"/>
      <c r="V536" s="46"/>
      <c r="W536" s="46"/>
      <c r="X536" s="46"/>
      <c r="Y536" s="46"/>
      <c r="Z536" s="46"/>
      <c r="AA536" s="46"/>
      <c r="AB536" s="46"/>
      <c r="AC536" s="46"/>
      <c r="AD536" s="46"/>
      <c r="AE536" s="50">
        <f>IF(L536="W",1,0)</f>
        <v>1</v>
      </c>
      <c r="AF536" s="50">
        <f>IF(L536="T",1,0)</f>
        <v>0</v>
      </c>
      <c r="AG536" s="50">
        <f>IF(L536="L",1,0)</f>
        <v>0</v>
      </c>
      <c r="AH536" s="46" t="s">
        <v>1101</v>
      </c>
      <c r="AI536" s="46" t="s">
        <v>1159</v>
      </c>
      <c r="AJ536" s="46" t="s">
        <v>376</v>
      </c>
      <c r="AK536" s="46" t="s">
        <v>658</v>
      </c>
      <c r="AL536" s="46" t="s">
        <v>1111</v>
      </c>
      <c r="AM536" s="46" t="s">
        <v>1126</v>
      </c>
      <c r="AN536" s="46" t="s">
        <v>376</v>
      </c>
      <c r="AO536" s="46" t="s">
        <v>658</v>
      </c>
      <c r="AP536" s="46"/>
      <c r="AQ536" s="46">
        <v>2</v>
      </c>
      <c r="AR536" s="46"/>
      <c r="AS536" s="46"/>
      <c r="AT536" s="46"/>
      <c r="AU536" s="46" t="s">
        <v>376</v>
      </c>
      <c r="AV536" s="46"/>
      <c r="AW536" s="46" t="s">
        <v>30</v>
      </c>
      <c r="AX536" s="46"/>
      <c r="AY536" s="46" t="s">
        <v>30</v>
      </c>
      <c r="AZ536" s="46"/>
      <c r="BA536" s="47"/>
      <c r="BB536" s="51"/>
      <c r="BC536" s="46"/>
      <c r="BD536" s="46"/>
      <c r="BE536" s="46"/>
      <c r="BF536" s="46">
        <v>1</v>
      </c>
      <c r="BG536" s="46">
        <v>1</v>
      </c>
      <c r="BH536" s="46">
        <v>1</v>
      </c>
      <c r="BI536" s="46" t="s">
        <v>821</v>
      </c>
      <c r="BJ536" s="46" t="s">
        <v>1125</v>
      </c>
      <c r="BK536" s="46">
        <v>1957</v>
      </c>
      <c r="BL536" s="46" t="str">
        <f>BK536&amp;BI536</f>
        <v>1957Manchester United</v>
      </c>
      <c r="BM536" s="52" t="str">
        <f>IF(AD536="Home",BI536,IF(AD536="Away",BJ536,Q536))</f>
        <v>Sheffield</v>
      </c>
      <c r="BN536" s="46"/>
      <c r="BO536" s="46"/>
      <c r="BP536" s="46"/>
      <c r="BQ536" s="46"/>
      <c r="BR536" s="46"/>
      <c r="BS536" s="46"/>
      <c r="BT536" s="46"/>
      <c r="BU536" s="46"/>
      <c r="BV536" s="46" t="s">
        <v>376</v>
      </c>
      <c r="BW536" s="46" t="s">
        <v>376</v>
      </c>
      <c r="BX536" s="46"/>
      <c r="BY536" s="50"/>
      <c r="BZ536" s="53"/>
      <c r="CA536" s="53"/>
      <c r="CB536" s="93" t="str">
        <f>IF(OR(C536="",A536="",B536=""),"",TEXT(C536,"0000")&amp;TEXT(A536,"00")&amp;TEXT(B536,"00"))</f>
        <v>19570323</v>
      </c>
    </row>
    <row r="537" spans="1:80" s="52" customFormat="1" ht="12.95" customHeight="1" x14ac:dyDescent="0.2">
      <c r="A537" s="46">
        <v>3</v>
      </c>
      <c r="B537" s="46">
        <v>23</v>
      </c>
      <c r="C537" s="46">
        <v>1957</v>
      </c>
      <c r="D537" s="46" t="s">
        <v>658</v>
      </c>
      <c r="E537" s="46" t="s">
        <v>1320</v>
      </c>
      <c r="F537" s="47" t="s">
        <v>1010</v>
      </c>
      <c r="G537" s="46"/>
      <c r="H537" s="47" t="s">
        <v>1011</v>
      </c>
      <c r="I537" s="47"/>
      <c r="J537" s="48">
        <v>20902</v>
      </c>
      <c r="K537" s="46" t="s">
        <v>1125</v>
      </c>
      <c r="L537" s="46" t="s">
        <v>4</v>
      </c>
      <c r="M537" s="46" t="s">
        <v>821</v>
      </c>
      <c r="N537" s="49">
        <v>0</v>
      </c>
      <c r="O537" s="49">
        <v>2</v>
      </c>
      <c r="P537" s="47" t="s">
        <v>1252</v>
      </c>
      <c r="Q537" s="47" t="s">
        <v>1097</v>
      </c>
      <c r="R537" s="47" t="s">
        <v>376</v>
      </c>
      <c r="S537" s="46"/>
      <c r="T537" s="46"/>
      <c r="U537" s="46"/>
      <c r="V537" s="46"/>
      <c r="W537" s="46"/>
      <c r="X537" s="46"/>
      <c r="Y537" s="46"/>
      <c r="Z537" s="46"/>
      <c r="AA537" s="46"/>
      <c r="AB537" s="46"/>
      <c r="AC537" s="46"/>
      <c r="AD537" s="46"/>
      <c r="AE537" s="50">
        <f>IF(L537="W",1,0)</f>
        <v>0</v>
      </c>
      <c r="AF537" s="50">
        <f>IF(L537="T",1,0)</f>
        <v>0</v>
      </c>
      <c r="AG537" s="50">
        <f>IF(L537="L",1,0)</f>
        <v>1</v>
      </c>
      <c r="AH537" s="46" t="s">
        <v>1111</v>
      </c>
      <c r="AI537" s="46" t="s">
        <v>1126</v>
      </c>
      <c r="AJ537" s="46" t="s">
        <v>376</v>
      </c>
      <c r="AK537" s="46" t="s">
        <v>658</v>
      </c>
      <c r="AL537" s="46" t="s">
        <v>1101</v>
      </c>
      <c r="AM537" s="46" t="s">
        <v>1159</v>
      </c>
      <c r="AN537" s="46" t="s">
        <v>376</v>
      </c>
      <c r="AO537" s="46" t="s">
        <v>658</v>
      </c>
      <c r="AP537" s="46"/>
      <c r="AQ537" s="46">
        <v>2</v>
      </c>
      <c r="AR537" s="46"/>
      <c r="AS537" s="46"/>
      <c r="AT537" s="46"/>
      <c r="AU537" s="46" t="s">
        <v>376</v>
      </c>
      <c r="AV537" s="46"/>
      <c r="AW537" s="46" t="s">
        <v>30</v>
      </c>
      <c r="AX537" s="46"/>
      <c r="AY537" s="46" t="s">
        <v>30</v>
      </c>
      <c r="AZ537" s="46"/>
      <c r="BA537" s="47"/>
      <c r="BB537" s="51"/>
      <c r="BC537" s="46"/>
      <c r="BD537" s="46"/>
      <c r="BE537" s="46"/>
      <c r="BF537" s="46">
        <v>1</v>
      </c>
      <c r="BG537" s="46">
        <v>1</v>
      </c>
      <c r="BH537" s="46">
        <v>1</v>
      </c>
      <c r="BI537" s="46" t="s">
        <v>1125</v>
      </c>
      <c r="BJ537" s="46" t="s">
        <v>821</v>
      </c>
      <c r="BK537" s="46">
        <v>1957</v>
      </c>
      <c r="BL537" s="46" t="str">
        <f>BK537&amp;BI537</f>
        <v>1957Birmingham City</v>
      </c>
      <c r="BM537" s="52" t="str">
        <f>IF(AD537="Home",BI537,IF(AD537="Away",BJ537,Q537))</f>
        <v>Sheffield</v>
      </c>
      <c r="BN537" s="46"/>
      <c r="BO537" s="46"/>
      <c r="BP537" s="46"/>
      <c r="BQ537" s="46"/>
      <c r="BR537" s="46"/>
      <c r="BS537" s="46"/>
      <c r="BT537" s="46"/>
      <c r="BU537" s="46"/>
      <c r="BV537" s="46" t="s">
        <v>376</v>
      </c>
      <c r="BW537" s="46" t="s">
        <v>376</v>
      </c>
      <c r="BX537" s="46"/>
      <c r="BY537" s="50"/>
      <c r="BZ537" s="53"/>
      <c r="CA537" s="53"/>
      <c r="CB537" s="93" t="str">
        <f>IF(OR(C537="",A537="",B537=""),"",TEXT(C537,"0000")&amp;TEXT(A537,"00")&amp;TEXT(B537,"00"))</f>
        <v>19570323</v>
      </c>
    </row>
    <row r="538" spans="1:80" s="52" customFormat="1" ht="12.95" customHeight="1" x14ac:dyDescent="0.2">
      <c r="A538" s="46">
        <v>3</v>
      </c>
      <c r="B538" s="46">
        <v>23</v>
      </c>
      <c r="C538" s="46">
        <v>1957</v>
      </c>
      <c r="D538" s="46" t="s">
        <v>658</v>
      </c>
      <c r="E538" s="46" t="s">
        <v>1320</v>
      </c>
      <c r="F538" s="47" t="s">
        <v>1010</v>
      </c>
      <c r="G538" s="46"/>
      <c r="H538" s="47" t="s">
        <v>1011</v>
      </c>
      <c r="I538" s="47"/>
      <c r="J538" s="48">
        <v>20902</v>
      </c>
      <c r="K538" s="46" t="s">
        <v>1124</v>
      </c>
      <c r="L538" s="46" t="s">
        <v>1014</v>
      </c>
      <c r="M538" s="46" t="s">
        <v>806</v>
      </c>
      <c r="N538" s="49">
        <v>2</v>
      </c>
      <c r="O538" s="49">
        <v>2</v>
      </c>
      <c r="P538" s="47" t="s">
        <v>1152</v>
      </c>
      <c r="Q538" s="47" t="s">
        <v>1111</v>
      </c>
      <c r="R538" s="47" t="s">
        <v>376</v>
      </c>
      <c r="S538" s="46"/>
      <c r="T538" s="46"/>
      <c r="U538" s="46"/>
      <c r="V538" s="46"/>
      <c r="W538" s="46"/>
      <c r="X538" s="46"/>
      <c r="Y538" s="46"/>
      <c r="Z538" s="46"/>
      <c r="AA538" s="46"/>
      <c r="AB538" s="46"/>
      <c r="AC538" s="46"/>
      <c r="AD538" s="46"/>
      <c r="AE538" s="50">
        <f>IF(L538="W",1,0)</f>
        <v>0</v>
      </c>
      <c r="AF538" s="50">
        <f>IF(L538="T",1,0)</f>
        <v>1</v>
      </c>
      <c r="AG538" s="50">
        <f>IF(L538="L",1,0)</f>
        <v>0</v>
      </c>
      <c r="AH538" s="46" t="s">
        <v>1111</v>
      </c>
      <c r="AI538" s="46" t="s">
        <v>1126</v>
      </c>
      <c r="AJ538" s="46" t="s">
        <v>376</v>
      </c>
      <c r="AK538" s="46" t="s">
        <v>658</v>
      </c>
      <c r="AL538" s="46" t="s">
        <v>1111</v>
      </c>
      <c r="AM538" s="46" t="s">
        <v>1126</v>
      </c>
      <c r="AN538" s="46" t="s">
        <v>376</v>
      </c>
      <c r="AO538" s="46" t="s">
        <v>658</v>
      </c>
      <c r="AP538" s="46"/>
      <c r="AQ538" s="46">
        <v>2</v>
      </c>
      <c r="AR538" s="46"/>
      <c r="AS538" s="46"/>
      <c r="AT538" s="46"/>
      <c r="AU538" s="46" t="s">
        <v>376</v>
      </c>
      <c r="AV538" s="46"/>
      <c r="AW538" s="46" t="s">
        <v>30</v>
      </c>
      <c r="AX538" s="46"/>
      <c r="AY538" s="46" t="s">
        <v>30</v>
      </c>
      <c r="AZ538" s="46"/>
      <c r="BA538" s="47"/>
      <c r="BB538" s="51"/>
      <c r="BC538" s="46"/>
      <c r="BD538" s="46"/>
      <c r="BE538" s="46"/>
      <c r="BF538" s="46">
        <v>1</v>
      </c>
      <c r="BG538" s="46">
        <v>1</v>
      </c>
      <c r="BH538" s="46">
        <v>1</v>
      </c>
      <c r="BI538" s="46" t="s">
        <v>1124</v>
      </c>
      <c r="BJ538" s="46" t="s">
        <v>806</v>
      </c>
      <c r="BK538" s="46">
        <v>1957</v>
      </c>
      <c r="BL538" s="46" t="str">
        <f>BK538&amp;BI538</f>
        <v>1957West Bromwich Albion</v>
      </c>
      <c r="BM538" s="52" t="str">
        <f>IF(AD538="Home",BI538,IF(AD538="Away",BJ538,Q538))</f>
        <v>Birmingham</v>
      </c>
      <c r="BN538" s="46"/>
      <c r="BO538" s="46"/>
      <c r="BP538" s="46"/>
      <c r="BQ538" s="46"/>
      <c r="BR538" s="46"/>
      <c r="BS538" s="46"/>
      <c r="BT538" s="46"/>
      <c r="BU538" s="46"/>
      <c r="BV538" s="46" t="s">
        <v>376</v>
      </c>
      <c r="BW538" s="46" t="s">
        <v>376</v>
      </c>
      <c r="BX538" s="46"/>
      <c r="BZ538" s="53"/>
      <c r="CA538" s="53"/>
      <c r="CB538" s="93" t="str">
        <f>IF(OR(C538="",A538="",B538=""),"",TEXT(C538,"0000")&amp;TEXT(A538,"00")&amp;TEXT(B538,"00"))</f>
        <v>19570323</v>
      </c>
    </row>
    <row r="539" spans="1:80" s="52" customFormat="1" ht="12.95" customHeight="1" x14ac:dyDescent="0.2">
      <c r="A539" s="46">
        <v>3</v>
      </c>
      <c r="B539" s="46">
        <v>23</v>
      </c>
      <c r="C539" s="46">
        <v>1957</v>
      </c>
      <c r="D539" s="46" t="s">
        <v>658</v>
      </c>
      <c r="E539" s="46" t="s">
        <v>1320</v>
      </c>
      <c r="F539" s="47" t="s">
        <v>1010</v>
      </c>
      <c r="G539" s="46"/>
      <c r="H539" s="47" t="s">
        <v>1011</v>
      </c>
      <c r="I539" s="47"/>
      <c r="J539" s="48">
        <v>20902</v>
      </c>
      <c r="K539" s="46" t="s">
        <v>806</v>
      </c>
      <c r="L539" s="46" t="s">
        <v>1014</v>
      </c>
      <c r="M539" s="46" t="s">
        <v>1124</v>
      </c>
      <c r="N539" s="49">
        <v>2</v>
      </c>
      <c r="O539" s="49">
        <v>2</v>
      </c>
      <c r="P539" s="47" t="s">
        <v>1152</v>
      </c>
      <c r="Q539" s="47" t="s">
        <v>1111</v>
      </c>
      <c r="R539" s="47" t="s">
        <v>376</v>
      </c>
      <c r="S539" s="46"/>
      <c r="T539" s="46"/>
      <c r="U539" s="46"/>
      <c r="V539" s="46"/>
      <c r="W539" s="46"/>
      <c r="X539" s="46"/>
      <c r="Y539" s="46"/>
      <c r="Z539" s="46"/>
      <c r="AA539" s="46"/>
      <c r="AB539" s="46"/>
      <c r="AC539" s="46"/>
      <c r="AD539" s="46"/>
      <c r="AE539" s="50">
        <f>IF(L539="W",1,0)</f>
        <v>0</v>
      </c>
      <c r="AF539" s="50">
        <f>IF(L539="T",1,0)</f>
        <v>1</v>
      </c>
      <c r="AG539" s="50">
        <f>IF(L539="L",1,0)</f>
        <v>0</v>
      </c>
      <c r="AH539" s="46" t="s">
        <v>1111</v>
      </c>
      <c r="AI539" s="46" t="s">
        <v>1126</v>
      </c>
      <c r="AJ539" s="46" t="s">
        <v>376</v>
      </c>
      <c r="AK539" s="46" t="s">
        <v>658</v>
      </c>
      <c r="AL539" s="46" t="s">
        <v>1111</v>
      </c>
      <c r="AM539" s="46" t="s">
        <v>1126</v>
      </c>
      <c r="AN539" s="46" t="s">
        <v>376</v>
      </c>
      <c r="AO539" s="46" t="s">
        <v>658</v>
      </c>
      <c r="AP539" s="46"/>
      <c r="AQ539" s="46">
        <v>2</v>
      </c>
      <c r="AR539" s="46"/>
      <c r="AS539" s="46"/>
      <c r="AT539" s="46"/>
      <c r="AU539" s="46" t="s">
        <v>376</v>
      </c>
      <c r="AV539" s="46"/>
      <c r="AW539" s="46" t="s">
        <v>30</v>
      </c>
      <c r="AX539" s="46"/>
      <c r="AY539" s="46" t="s">
        <v>30</v>
      </c>
      <c r="AZ539" s="46"/>
      <c r="BA539" s="47"/>
      <c r="BB539" s="51"/>
      <c r="BC539" s="46"/>
      <c r="BD539" s="46"/>
      <c r="BE539" s="46"/>
      <c r="BF539" s="46">
        <v>1</v>
      </c>
      <c r="BG539" s="46">
        <v>1</v>
      </c>
      <c r="BH539" s="46">
        <v>1</v>
      </c>
      <c r="BI539" s="46" t="s">
        <v>806</v>
      </c>
      <c r="BJ539" s="46" t="s">
        <v>1124</v>
      </c>
      <c r="BK539" s="46">
        <v>1957</v>
      </c>
      <c r="BL539" s="46" t="str">
        <f>BK539&amp;BI539</f>
        <v>1957Aston Villa</v>
      </c>
      <c r="BM539" s="52" t="str">
        <f>IF(AD539="Home",BI539,IF(AD539="Away",BJ539,Q539))</f>
        <v>Birmingham</v>
      </c>
      <c r="BN539" s="46"/>
      <c r="BO539" s="46"/>
      <c r="BP539" s="46"/>
      <c r="BQ539" s="46"/>
      <c r="BR539" s="46"/>
      <c r="BS539" s="46"/>
      <c r="BT539" s="46"/>
      <c r="BU539" s="46"/>
      <c r="BV539" s="46" t="s">
        <v>376</v>
      </c>
      <c r="BW539" s="46" t="s">
        <v>376</v>
      </c>
      <c r="BX539" s="46"/>
      <c r="BZ539" s="53"/>
      <c r="CA539" s="53"/>
      <c r="CB539" s="93" t="str">
        <f>IF(OR(C539="",A539="",B539=""),"",TEXT(C539,"0000")&amp;TEXT(A539,"00")&amp;TEXT(B539,"00"))</f>
        <v>19570323</v>
      </c>
    </row>
    <row r="540" spans="1:80" s="52" customFormat="1" ht="12.95" customHeight="1" x14ac:dyDescent="0.2">
      <c r="A540" s="46">
        <v>3</v>
      </c>
      <c r="B540" s="46">
        <v>28</v>
      </c>
      <c r="C540" s="46">
        <v>1957</v>
      </c>
      <c r="D540" s="46" t="s">
        <v>658</v>
      </c>
      <c r="E540" s="46" t="s">
        <v>1320</v>
      </c>
      <c r="F540" s="47" t="s">
        <v>1010</v>
      </c>
      <c r="G540" s="46"/>
      <c r="H540" s="47" t="s">
        <v>1011</v>
      </c>
      <c r="I540" s="47" t="s">
        <v>1023</v>
      </c>
      <c r="J540" s="48">
        <v>20907</v>
      </c>
      <c r="K540" s="46" t="s">
        <v>806</v>
      </c>
      <c r="L540" s="46" t="s">
        <v>3</v>
      </c>
      <c r="M540" s="46" t="s">
        <v>1124</v>
      </c>
      <c r="N540" s="49">
        <v>1</v>
      </c>
      <c r="O540" s="49">
        <v>0</v>
      </c>
      <c r="P540" s="47" t="s">
        <v>1232</v>
      </c>
      <c r="Q540" s="47" t="s">
        <v>1111</v>
      </c>
      <c r="R540" s="47" t="s">
        <v>376</v>
      </c>
      <c r="S540" s="46"/>
      <c r="T540" s="46"/>
      <c r="U540" s="46"/>
      <c r="V540" s="46"/>
      <c r="W540" s="46"/>
      <c r="X540" s="46"/>
      <c r="Y540" s="46"/>
      <c r="Z540" s="46"/>
      <c r="AA540" s="46"/>
      <c r="AB540" s="46"/>
      <c r="AC540" s="46"/>
      <c r="AD540" s="46"/>
      <c r="AE540" s="50">
        <f>IF(L540="W",1,0)</f>
        <v>1</v>
      </c>
      <c r="AF540" s="50">
        <f>IF(L540="T",1,0)</f>
        <v>0</v>
      </c>
      <c r="AG540" s="50">
        <f>IF(L540="L",1,0)</f>
        <v>0</v>
      </c>
      <c r="AH540" s="46" t="s">
        <v>1111</v>
      </c>
      <c r="AI540" s="46" t="s">
        <v>1126</v>
      </c>
      <c r="AJ540" s="46" t="s">
        <v>376</v>
      </c>
      <c r="AK540" s="46" t="s">
        <v>658</v>
      </c>
      <c r="AL540" s="46" t="s">
        <v>1111</v>
      </c>
      <c r="AM540" s="46" t="s">
        <v>1126</v>
      </c>
      <c r="AN540" s="46" t="s">
        <v>376</v>
      </c>
      <c r="AO540" s="46" t="s">
        <v>658</v>
      </c>
      <c r="AP540" s="46"/>
      <c r="AQ540" s="46">
        <v>2</v>
      </c>
      <c r="AR540" s="46"/>
      <c r="AS540" s="46"/>
      <c r="AT540" s="46"/>
      <c r="AU540" s="46" t="s">
        <v>376</v>
      </c>
      <c r="AV540" s="46"/>
      <c r="AW540" s="46" t="s">
        <v>30</v>
      </c>
      <c r="AX540" s="46"/>
      <c r="AY540" s="46" t="s">
        <v>30</v>
      </c>
      <c r="AZ540" s="46"/>
      <c r="BA540" s="47"/>
      <c r="BB540" s="51"/>
      <c r="BC540" s="46"/>
      <c r="BD540" s="46"/>
      <c r="BE540" s="46"/>
      <c r="BF540" s="46">
        <v>1</v>
      </c>
      <c r="BG540" s="46">
        <v>1</v>
      </c>
      <c r="BH540" s="46">
        <v>1</v>
      </c>
      <c r="BI540" s="46" t="s">
        <v>806</v>
      </c>
      <c r="BJ540" s="46" t="s">
        <v>1124</v>
      </c>
      <c r="BK540" s="46">
        <v>1957</v>
      </c>
      <c r="BL540" s="46" t="str">
        <f>BK540&amp;BI540</f>
        <v>1957Aston Villa</v>
      </c>
      <c r="BM540" s="52" t="str">
        <f>IF(AD540="Home",BI540,IF(AD540="Away",BJ540,Q540))</f>
        <v>Birmingham</v>
      </c>
      <c r="BN540" s="46"/>
      <c r="BO540" s="46"/>
      <c r="BP540" s="46"/>
      <c r="BQ540" s="46"/>
      <c r="BR540" s="46"/>
      <c r="BS540" s="46"/>
      <c r="BT540" s="46"/>
      <c r="BU540" s="46"/>
      <c r="BV540" s="46" t="s">
        <v>376</v>
      </c>
      <c r="BW540" s="46" t="s">
        <v>376</v>
      </c>
      <c r="BX540" s="46"/>
      <c r="BZ540" s="53"/>
      <c r="CA540" s="53"/>
      <c r="CB540" s="93" t="str">
        <f>IF(OR(C540="",A540="",B540=""),"",TEXT(C540,"0000")&amp;TEXT(A540,"00")&amp;TEXT(B540,"00"))</f>
        <v>19570328</v>
      </c>
    </row>
    <row r="541" spans="1:80" s="52" customFormat="1" ht="12.95" customHeight="1" x14ac:dyDescent="0.2">
      <c r="A541" s="46">
        <v>3</v>
      </c>
      <c r="B541" s="46">
        <v>28</v>
      </c>
      <c r="C541" s="46">
        <v>1957</v>
      </c>
      <c r="D541" s="46" t="s">
        <v>658</v>
      </c>
      <c r="E541" s="46" t="s">
        <v>1320</v>
      </c>
      <c r="F541" s="47" t="s">
        <v>1010</v>
      </c>
      <c r="G541" s="46"/>
      <c r="H541" s="47" t="s">
        <v>1011</v>
      </c>
      <c r="I541" s="47" t="s">
        <v>1023</v>
      </c>
      <c r="J541" s="48">
        <v>20907</v>
      </c>
      <c r="K541" s="46" t="s">
        <v>1124</v>
      </c>
      <c r="L541" s="46" t="s">
        <v>4</v>
      </c>
      <c r="M541" s="46" t="s">
        <v>806</v>
      </c>
      <c r="N541" s="49">
        <v>0</v>
      </c>
      <c r="O541" s="49">
        <v>1</v>
      </c>
      <c r="P541" s="47" t="s">
        <v>1232</v>
      </c>
      <c r="Q541" s="47" t="s">
        <v>1111</v>
      </c>
      <c r="R541" s="47" t="s">
        <v>376</v>
      </c>
      <c r="S541" s="46"/>
      <c r="T541" s="46"/>
      <c r="U541" s="46"/>
      <c r="V541" s="46"/>
      <c r="W541" s="46"/>
      <c r="X541" s="46"/>
      <c r="Y541" s="46"/>
      <c r="Z541" s="46"/>
      <c r="AA541" s="46"/>
      <c r="AB541" s="46"/>
      <c r="AC541" s="46"/>
      <c r="AD541" s="46"/>
      <c r="AE541" s="50">
        <f>IF(L541="W",1,0)</f>
        <v>0</v>
      </c>
      <c r="AF541" s="50">
        <f>IF(L541="T",1,0)</f>
        <v>0</v>
      </c>
      <c r="AG541" s="50">
        <f>IF(L541="L",1,0)</f>
        <v>1</v>
      </c>
      <c r="AH541" s="46" t="s">
        <v>1111</v>
      </c>
      <c r="AI541" s="46" t="s">
        <v>1126</v>
      </c>
      <c r="AJ541" s="46" t="s">
        <v>376</v>
      </c>
      <c r="AK541" s="46" t="s">
        <v>658</v>
      </c>
      <c r="AL541" s="46" t="s">
        <v>1111</v>
      </c>
      <c r="AM541" s="46" t="s">
        <v>1126</v>
      </c>
      <c r="AN541" s="46" t="s">
        <v>376</v>
      </c>
      <c r="AO541" s="46" t="s">
        <v>658</v>
      </c>
      <c r="AP541" s="46"/>
      <c r="AQ541" s="46">
        <v>2</v>
      </c>
      <c r="AR541" s="46"/>
      <c r="AS541" s="46"/>
      <c r="AT541" s="46"/>
      <c r="AU541" s="46" t="s">
        <v>376</v>
      </c>
      <c r="AV541" s="46"/>
      <c r="AW541" s="46" t="s">
        <v>30</v>
      </c>
      <c r="AX541" s="46"/>
      <c r="AY541" s="46" t="s">
        <v>30</v>
      </c>
      <c r="AZ541" s="46"/>
      <c r="BA541" s="47"/>
      <c r="BB541" s="51"/>
      <c r="BC541" s="46"/>
      <c r="BD541" s="46"/>
      <c r="BE541" s="46"/>
      <c r="BF541" s="46">
        <v>1</v>
      </c>
      <c r="BG541" s="46">
        <v>1</v>
      </c>
      <c r="BH541" s="46">
        <v>1</v>
      </c>
      <c r="BI541" s="46" t="s">
        <v>1124</v>
      </c>
      <c r="BJ541" s="46" t="s">
        <v>806</v>
      </c>
      <c r="BK541" s="46">
        <v>1957</v>
      </c>
      <c r="BL541" s="46" t="str">
        <f>BK541&amp;BI541</f>
        <v>1957West Bromwich Albion</v>
      </c>
      <c r="BM541" s="52" t="str">
        <f>IF(AD541="Home",BI541,IF(AD541="Away",BJ541,Q541))</f>
        <v>Birmingham</v>
      </c>
      <c r="BN541" s="46"/>
      <c r="BO541" s="46"/>
      <c r="BP541" s="46"/>
      <c r="BQ541" s="46"/>
      <c r="BR541" s="46"/>
      <c r="BS541" s="46"/>
      <c r="BT541" s="46"/>
      <c r="BU541" s="46"/>
      <c r="BV541" s="46" t="s">
        <v>376</v>
      </c>
      <c r="BW541" s="46" t="s">
        <v>376</v>
      </c>
      <c r="BX541" s="46"/>
      <c r="BZ541" s="53"/>
      <c r="CA541" s="53"/>
      <c r="CB541" s="93" t="str">
        <f>IF(OR(C541="",A541="",B541=""),"",TEXT(C541,"0000")&amp;TEXT(A541,"00")&amp;TEXT(B541,"00"))</f>
        <v>19570328</v>
      </c>
    </row>
    <row r="542" spans="1:80" s="52" customFormat="1" ht="12.95" customHeight="1" x14ac:dyDescent="0.2">
      <c r="A542" s="46">
        <v>5</v>
      </c>
      <c r="B542" s="46">
        <v>4</v>
      </c>
      <c r="C542" s="46">
        <v>1957</v>
      </c>
      <c r="D542" s="46" t="s">
        <v>658</v>
      </c>
      <c r="E542" s="46" t="s">
        <v>1320</v>
      </c>
      <c r="F542" s="47" t="s">
        <v>1010</v>
      </c>
      <c r="G542" s="46"/>
      <c r="H542" s="47" t="s">
        <v>1025</v>
      </c>
      <c r="I542" s="47"/>
      <c r="J542" s="48">
        <v>20944</v>
      </c>
      <c r="K542" s="46" t="s">
        <v>806</v>
      </c>
      <c r="L542" s="46" t="s">
        <v>3</v>
      </c>
      <c r="M542" s="46" t="s">
        <v>821</v>
      </c>
      <c r="N542" s="49">
        <v>2</v>
      </c>
      <c r="O542" s="49">
        <v>1</v>
      </c>
      <c r="P542" s="47" t="s">
        <v>1268</v>
      </c>
      <c r="Q542" s="47" t="s">
        <v>1017</v>
      </c>
      <c r="R542" s="47" t="s">
        <v>376</v>
      </c>
      <c r="S542" s="46"/>
      <c r="T542" s="46"/>
      <c r="U542" s="46"/>
      <c r="V542" s="46"/>
      <c r="W542" s="46"/>
      <c r="X542" s="46"/>
      <c r="Y542" s="46"/>
      <c r="Z542" s="46"/>
      <c r="AA542" s="46"/>
      <c r="AB542" s="46"/>
      <c r="AC542" s="46"/>
      <c r="AD542" s="46"/>
      <c r="AE542" s="50">
        <f>IF(L542="W",1,0)</f>
        <v>1</v>
      </c>
      <c r="AF542" s="50">
        <f>IF(L542="T",1,0)</f>
        <v>0</v>
      </c>
      <c r="AG542" s="50">
        <f>IF(L542="L",1,0)</f>
        <v>0</v>
      </c>
      <c r="AH542" s="46" t="s">
        <v>1111</v>
      </c>
      <c r="AI542" s="46" t="s">
        <v>1126</v>
      </c>
      <c r="AJ542" s="46" t="s">
        <v>376</v>
      </c>
      <c r="AK542" s="46" t="s">
        <v>658</v>
      </c>
      <c r="AL542" s="46" t="s">
        <v>1101</v>
      </c>
      <c r="AM542" s="46" t="s">
        <v>1159</v>
      </c>
      <c r="AN542" s="46" t="s">
        <v>376</v>
      </c>
      <c r="AO542" s="46" t="s">
        <v>658</v>
      </c>
      <c r="AP542" s="46"/>
      <c r="AQ542" s="46">
        <v>1</v>
      </c>
      <c r="AR542" s="46"/>
      <c r="AS542" s="46"/>
      <c r="AT542" s="46"/>
      <c r="AU542" s="46" t="s">
        <v>376</v>
      </c>
      <c r="AV542" s="46"/>
      <c r="AW542" s="46" t="s">
        <v>30</v>
      </c>
      <c r="AX542" s="46"/>
      <c r="AY542" s="46" t="s">
        <v>30</v>
      </c>
      <c r="AZ542" s="46"/>
      <c r="BA542" s="47"/>
      <c r="BB542" s="51" t="s">
        <v>30</v>
      </c>
      <c r="BC542" s="46" t="s">
        <v>30</v>
      </c>
      <c r="BD542" s="46"/>
      <c r="BE542" s="46"/>
      <c r="BF542" s="46">
        <v>1</v>
      </c>
      <c r="BG542" s="46">
        <v>1</v>
      </c>
      <c r="BH542" s="46">
        <v>1</v>
      </c>
      <c r="BI542" s="46" t="s">
        <v>806</v>
      </c>
      <c r="BJ542" s="46" t="s">
        <v>821</v>
      </c>
      <c r="BK542" s="46">
        <v>1957</v>
      </c>
      <c r="BL542" s="46" t="str">
        <f>BK542&amp;BI542</f>
        <v>1957Aston Villa</v>
      </c>
      <c r="BM542" s="52" t="str">
        <f>IF(AD542="Home",BI542,IF(AD542="Away",BJ542,Q542))</f>
        <v>London</v>
      </c>
      <c r="BN542" s="46"/>
      <c r="BO542" s="46"/>
      <c r="BP542" s="46"/>
      <c r="BQ542" s="46"/>
      <c r="BR542" s="46"/>
      <c r="BS542" s="46"/>
      <c r="BT542" s="46"/>
      <c r="BU542" s="46"/>
      <c r="BV542" s="46" t="s">
        <v>376</v>
      </c>
      <c r="BW542" s="46" t="s">
        <v>376</v>
      </c>
      <c r="BX542" s="46"/>
      <c r="BZ542" s="53"/>
      <c r="CA542" s="53"/>
      <c r="CB542" s="93" t="str">
        <f>IF(OR(C542="",A542="",B542=""),"",TEXT(C542,"0000")&amp;TEXT(A542,"00")&amp;TEXT(B542,"00"))</f>
        <v>19570504</v>
      </c>
    </row>
    <row r="543" spans="1:80" s="52" customFormat="1" ht="12.95" customHeight="1" x14ac:dyDescent="0.2">
      <c r="A543" s="46">
        <v>5</v>
      </c>
      <c r="B543" s="46">
        <v>4</v>
      </c>
      <c r="C543" s="46">
        <v>1957</v>
      </c>
      <c r="D543" s="46" t="s">
        <v>658</v>
      </c>
      <c r="E543" s="46" t="s">
        <v>1320</v>
      </c>
      <c r="F543" s="47" t="s">
        <v>1010</v>
      </c>
      <c r="G543" s="46"/>
      <c r="H543" s="47" t="s">
        <v>1025</v>
      </c>
      <c r="I543" s="47"/>
      <c r="J543" s="48">
        <v>20944</v>
      </c>
      <c r="K543" s="46" t="s">
        <v>821</v>
      </c>
      <c r="L543" s="46" t="s">
        <v>4</v>
      </c>
      <c r="M543" s="46" t="s">
        <v>806</v>
      </c>
      <c r="N543" s="49">
        <v>1</v>
      </c>
      <c r="O543" s="49">
        <v>2</v>
      </c>
      <c r="P543" s="47" t="s">
        <v>1268</v>
      </c>
      <c r="Q543" s="47" t="s">
        <v>1017</v>
      </c>
      <c r="R543" s="47" t="s">
        <v>376</v>
      </c>
      <c r="S543" s="46"/>
      <c r="T543" s="46"/>
      <c r="U543" s="46"/>
      <c r="V543" s="46"/>
      <c r="W543" s="46"/>
      <c r="X543" s="46"/>
      <c r="Y543" s="46"/>
      <c r="Z543" s="46"/>
      <c r="AA543" s="46"/>
      <c r="AB543" s="46"/>
      <c r="AC543" s="46"/>
      <c r="AD543" s="46"/>
      <c r="AE543" s="50">
        <f>IF(L543="W",1,0)</f>
        <v>0</v>
      </c>
      <c r="AF543" s="50">
        <f>IF(L543="T",1,0)</f>
        <v>0</v>
      </c>
      <c r="AG543" s="50">
        <f>IF(L543="L",1,0)</f>
        <v>1</v>
      </c>
      <c r="AH543" s="46" t="s">
        <v>1101</v>
      </c>
      <c r="AI543" s="46" t="s">
        <v>1159</v>
      </c>
      <c r="AJ543" s="46" t="s">
        <v>376</v>
      </c>
      <c r="AK543" s="46" t="s">
        <v>658</v>
      </c>
      <c r="AL543" s="46" t="s">
        <v>1111</v>
      </c>
      <c r="AM543" s="46" t="s">
        <v>1126</v>
      </c>
      <c r="AN543" s="46" t="s">
        <v>376</v>
      </c>
      <c r="AO543" s="46" t="s">
        <v>658</v>
      </c>
      <c r="AP543" s="46"/>
      <c r="AQ543" s="46">
        <v>1</v>
      </c>
      <c r="AR543" s="46"/>
      <c r="AS543" s="46"/>
      <c r="AT543" s="46"/>
      <c r="AU543" s="46" t="s">
        <v>376</v>
      </c>
      <c r="AV543" s="46"/>
      <c r="AW543" s="46" t="s">
        <v>30</v>
      </c>
      <c r="AX543" s="46"/>
      <c r="AY543" s="46" t="s">
        <v>30</v>
      </c>
      <c r="AZ543" s="46"/>
      <c r="BA543" s="47"/>
      <c r="BB543" s="51"/>
      <c r="BC543" s="46" t="s">
        <v>30</v>
      </c>
      <c r="BD543" s="46"/>
      <c r="BE543" s="46"/>
      <c r="BF543" s="46">
        <v>1</v>
      </c>
      <c r="BG543" s="46">
        <v>1</v>
      </c>
      <c r="BH543" s="46">
        <v>1</v>
      </c>
      <c r="BI543" s="46" t="s">
        <v>821</v>
      </c>
      <c r="BJ543" s="46" t="s">
        <v>806</v>
      </c>
      <c r="BK543" s="46">
        <v>1957</v>
      </c>
      <c r="BL543" s="46" t="str">
        <f>BK543&amp;BI543</f>
        <v>1957Manchester United</v>
      </c>
      <c r="BM543" s="52" t="str">
        <f>IF(AD543="Home",BI543,IF(AD543="Away",BJ543,Q543))</f>
        <v>London</v>
      </c>
      <c r="BN543" s="46"/>
      <c r="BO543" s="46"/>
      <c r="BP543" s="46"/>
      <c r="BQ543" s="46"/>
      <c r="BR543" s="46"/>
      <c r="BS543" s="46"/>
      <c r="BT543" s="46"/>
      <c r="BU543" s="46"/>
      <c r="BV543" s="46" t="s">
        <v>376</v>
      </c>
      <c r="BW543" s="46" t="s">
        <v>376</v>
      </c>
      <c r="BX543" s="46"/>
      <c r="BZ543" s="53"/>
      <c r="CA543" s="53"/>
      <c r="CB543" s="93" t="str">
        <f>IF(OR(C543="",A543="",B543=""),"",TEXT(C543,"0000")&amp;TEXT(A543,"00")&amp;TEXT(B543,"00"))</f>
        <v>19570504</v>
      </c>
    </row>
    <row r="544" spans="1:80" s="52" customFormat="1" ht="12.95" customHeight="1" x14ac:dyDescent="0.2">
      <c r="A544" s="46">
        <v>3</v>
      </c>
      <c r="B544" s="46">
        <v>22</v>
      </c>
      <c r="C544" s="46">
        <v>1958</v>
      </c>
      <c r="D544" s="46" t="s">
        <v>658</v>
      </c>
      <c r="E544" s="46" t="s">
        <v>580</v>
      </c>
      <c r="F544" s="47" t="s">
        <v>1010</v>
      </c>
      <c r="G544" s="46"/>
      <c r="H544" s="47" t="s">
        <v>1011</v>
      </c>
      <c r="I544" s="47"/>
      <c r="J544" s="48">
        <v>21266</v>
      </c>
      <c r="K544" s="46" t="s">
        <v>1157</v>
      </c>
      <c r="L544" s="46" t="s">
        <v>3</v>
      </c>
      <c r="M544" s="46" t="s">
        <v>1094</v>
      </c>
      <c r="N544" s="49">
        <v>2</v>
      </c>
      <c r="O544" s="49">
        <v>1</v>
      </c>
      <c r="P544" s="47" t="s">
        <v>1226</v>
      </c>
      <c r="Q544" s="47" t="s">
        <v>1101</v>
      </c>
      <c r="R544" s="47" t="s">
        <v>376</v>
      </c>
      <c r="S544" s="46"/>
      <c r="T544" s="46"/>
      <c r="U544" s="46"/>
      <c r="V544" s="46"/>
      <c r="W544" s="46"/>
      <c r="X544" s="46"/>
      <c r="Y544" s="46"/>
      <c r="Z544" s="46"/>
      <c r="AA544" s="46"/>
      <c r="AB544" s="46"/>
      <c r="AC544" s="46"/>
      <c r="AD544" s="46"/>
      <c r="AE544" s="50">
        <f>IF(L544="W",1,0)</f>
        <v>1</v>
      </c>
      <c r="AF544" s="50">
        <f>IF(L544="T",1,0)</f>
        <v>0</v>
      </c>
      <c r="AG544" s="50">
        <f>IF(L544="L",1,0)</f>
        <v>0</v>
      </c>
      <c r="AH544" s="46" t="s">
        <v>1101</v>
      </c>
      <c r="AI544" s="46" t="s">
        <v>1159</v>
      </c>
      <c r="AJ544" s="46" t="s">
        <v>376</v>
      </c>
      <c r="AK544" s="46" t="s">
        <v>658</v>
      </c>
      <c r="AL544" s="46" t="s">
        <v>1085</v>
      </c>
      <c r="AM544" s="46" t="s">
        <v>1086</v>
      </c>
      <c r="AN544" s="46" t="s">
        <v>376</v>
      </c>
      <c r="AO544" s="46" t="s">
        <v>658</v>
      </c>
      <c r="AP544" s="46"/>
      <c r="AQ544" s="46">
        <v>2</v>
      </c>
      <c r="AR544" s="46"/>
      <c r="AS544" s="46"/>
      <c r="AT544" s="46"/>
      <c r="AU544" s="46" t="s">
        <v>376</v>
      </c>
      <c r="AV544" s="46"/>
      <c r="AW544" s="46" t="s">
        <v>30</v>
      </c>
      <c r="AX544" s="46"/>
      <c r="AY544" s="46" t="s">
        <v>30</v>
      </c>
      <c r="AZ544" s="46"/>
      <c r="BA544" s="47"/>
      <c r="BB544" s="51"/>
      <c r="BC544" s="46"/>
      <c r="BD544" s="46"/>
      <c r="BE544" s="46"/>
      <c r="BF544" s="46">
        <v>1</v>
      </c>
      <c r="BG544" s="46">
        <v>1</v>
      </c>
      <c r="BH544" s="46">
        <v>2</v>
      </c>
      <c r="BI544" s="46" t="s">
        <v>1157</v>
      </c>
      <c r="BJ544" s="46" t="s">
        <v>1094</v>
      </c>
      <c r="BK544" s="46">
        <v>1958</v>
      </c>
      <c r="BL544" s="46" t="str">
        <f>BK544&amp;BI544</f>
        <v>1958Bolton Wanderers</v>
      </c>
      <c r="BM544" s="52" t="str">
        <f>IF(AD544="Home",BI544,IF(AD544="Away",BJ544,Q544))</f>
        <v>Manchester</v>
      </c>
      <c r="BN544" s="46"/>
      <c r="BO544" s="46"/>
      <c r="BP544" s="46"/>
      <c r="BQ544" s="46"/>
      <c r="BR544" s="46"/>
      <c r="BS544" s="46"/>
      <c r="BT544" s="46"/>
      <c r="BU544" s="46"/>
      <c r="BV544" s="46" t="s">
        <v>376</v>
      </c>
      <c r="BW544" s="46" t="s">
        <v>376</v>
      </c>
      <c r="BX544" s="46"/>
      <c r="BZ544" s="53"/>
      <c r="CA544" s="53"/>
      <c r="CB544" s="93" t="str">
        <f>IF(OR(C544="",A544="",B544=""),"",TEXT(C544,"0000")&amp;TEXT(A544,"00")&amp;TEXT(B544,"00"))</f>
        <v>19580322</v>
      </c>
    </row>
    <row r="545" spans="1:80" s="52" customFormat="1" ht="12.95" customHeight="1" x14ac:dyDescent="0.2">
      <c r="A545" s="46">
        <v>3</v>
      </c>
      <c r="B545" s="46">
        <v>22</v>
      </c>
      <c r="C545" s="46">
        <v>1958</v>
      </c>
      <c r="D545" s="46" t="s">
        <v>658</v>
      </c>
      <c r="E545" s="46" t="s">
        <v>580</v>
      </c>
      <c r="F545" s="47" t="s">
        <v>1010</v>
      </c>
      <c r="G545" s="46"/>
      <c r="H545" s="47" t="s">
        <v>1011</v>
      </c>
      <c r="I545" s="47"/>
      <c r="J545" s="48">
        <v>21266</v>
      </c>
      <c r="K545" s="46" t="s">
        <v>1094</v>
      </c>
      <c r="L545" s="46" t="s">
        <v>4</v>
      </c>
      <c r="M545" s="46" t="s">
        <v>1157</v>
      </c>
      <c r="N545" s="49">
        <v>1</v>
      </c>
      <c r="O545" s="49">
        <v>2</v>
      </c>
      <c r="P545" s="47" t="s">
        <v>1226</v>
      </c>
      <c r="Q545" s="47" t="s">
        <v>1101</v>
      </c>
      <c r="R545" s="47" t="s">
        <v>376</v>
      </c>
      <c r="S545" s="46"/>
      <c r="T545" s="46"/>
      <c r="U545" s="46"/>
      <c r="V545" s="46"/>
      <c r="W545" s="46"/>
      <c r="X545" s="46"/>
      <c r="Y545" s="46"/>
      <c r="Z545" s="46"/>
      <c r="AA545" s="46"/>
      <c r="AB545" s="46"/>
      <c r="AC545" s="46"/>
      <c r="AD545" s="46"/>
      <c r="AE545" s="50">
        <f>IF(L545="W",1,0)</f>
        <v>0</v>
      </c>
      <c r="AF545" s="50">
        <f>IF(L545="T",1,0)</f>
        <v>0</v>
      </c>
      <c r="AG545" s="50">
        <f>IF(L545="L",1,0)</f>
        <v>1</v>
      </c>
      <c r="AH545" s="46" t="s">
        <v>1085</v>
      </c>
      <c r="AI545" s="46" t="s">
        <v>1086</v>
      </c>
      <c r="AJ545" s="46" t="s">
        <v>376</v>
      </c>
      <c r="AK545" s="46" t="s">
        <v>658</v>
      </c>
      <c r="AL545" s="46" t="s">
        <v>1101</v>
      </c>
      <c r="AM545" s="46" t="s">
        <v>1159</v>
      </c>
      <c r="AN545" s="46" t="s">
        <v>376</v>
      </c>
      <c r="AO545" s="46" t="s">
        <v>658</v>
      </c>
      <c r="AP545" s="46"/>
      <c r="AQ545" s="46">
        <v>2</v>
      </c>
      <c r="AR545" s="46"/>
      <c r="AS545" s="46"/>
      <c r="AT545" s="46"/>
      <c r="AU545" s="46" t="s">
        <v>376</v>
      </c>
      <c r="AV545" s="46"/>
      <c r="AW545" s="46" t="s">
        <v>30</v>
      </c>
      <c r="AX545" s="46"/>
      <c r="AY545" s="46" t="s">
        <v>30</v>
      </c>
      <c r="AZ545" s="46"/>
      <c r="BA545" s="47"/>
      <c r="BB545" s="51"/>
      <c r="BC545" s="46"/>
      <c r="BD545" s="46"/>
      <c r="BE545" s="46"/>
      <c r="BF545" s="46">
        <v>1</v>
      </c>
      <c r="BG545" s="46">
        <v>2</v>
      </c>
      <c r="BH545" s="46">
        <v>1</v>
      </c>
      <c r="BI545" s="46" t="s">
        <v>1094</v>
      </c>
      <c r="BJ545" s="46" t="s">
        <v>1157</v>
      </c>
      <c r="BK545" s="46">
        <v>1958</v>
      </c>
      <c r="BL545" s="46" t="str">
        <f>BK545&amp;BI545</f>
        <v>1958Blackburn Rovers</v>
      </c>
      <c r="BM545" s="52" t="str">
        <f>IF(AD545="Home",BI545,IF(AD545="Away",BJ545,Q545))</f>
        <v>Manchester</v>
      </c>
      <c r="BN545" s="46"/>
      <c r="BO545" s="46"/>
      <c r="BP545" s="46"/>
      <c r="BQ545" s="46"/>
      <c r="BR545" s="46"/>
      <c r="BS545" s="46"/>
      <c r="BT545" s="46"/>
      <c r="BU545" s="46"/>
      <c r="BV545" s="46" t="s">
        <v>376</v>
      </c>
      <c r="BW545" s="46" t="s">
        <v>376</v>
      </c>
      <c r="BX545" s="46"/>
      <c r="BZ545" s="53"/>
      <c r="CA545" s="53"/>
      <c r="CB545" s="93" t="str">
        <f>IF(OR(C545="",A545="",B545=""),"",TEXT(C545,"0000")&amp;TEXT(A545,"00")&amp;TEXT(B545,"00"))</f>
        <v>19580322</v>
      </c>
    </row>
    <row r="546" spans="1:80" s="52" customFormat="1" ht="12.95" customHeight="1" x14ac:dyDescent="0.2">
      <c r="A546" s="46">
        <v>3</v>
      </c>
      <c r="B546" s="46">
        <v>22</v>
      </c>
      <c r="C546" s="46">
        <v>1958</v>
      </c>
      <c r="D546" s="46" t="s">
        <v>658</v>
      </c>
      <c r="E546" s="46" t="s">
        <v>580</v>
      </c>
      <c r="F546" s="47" t="s">
        <v>1010</v>
      </c>
      <c r="G546" s="46"/>
      <c r="H546" s="47" t="s">
        <v>1011</v>
      </c>
      <c r="I546" s="47"/>
      <c r="J546" s="48">
        <v>21266</v>
      </c>
      <c r="K546" s="46" t="s">
        <v>821</v>
      </c>
      <c r="L546" s="46" t="s">
        <v>1014</v>
      </c>
      <c r="M546" s="46" t="s">
        <v>589</v>
      </c>
      <c r="N546" s="49">
        <v>2</v>
      </c>
      <c r="O546" s="49">
        <v>2</v>
      </c>
      <c r="P546" s="47" t="s">
        <v>1219</v>
      </c>
      <c r="Q546" s="47" t="s">
        <v>1111</v>
      </c>
      <c r="R546" s="47" t="s">
        <v>376</v>
      </c>
      <c r="S546" s="46"/>
      <c r="T546" s="46"/>
      <c r="U546" s="46"/>
      <c r="V546" s="46"/>
      <c r="W546" s="46"/>
      <c r="X546" s="46"/>
      <c r="Y546" s="46"/>
      <c r="Z546" s="46"/>
      <c r="AA546" s="46"/>
      <c r="AB546" s="46"/>
      <c r="AC546" s="46"/>
      <c r="AD546" s="46"/>
      <c r="AE546" s="50">
        <f>IF(L546="W",1,0)</f>
        <v>0</v>
      </c>
      <c r="AF546" s="50">
        <f>IF(L546="T",1,0)</f>
        <v>1</v>
      </c>
      <c r="AG546" s="50">
        <f>IF(L546="L",1,0)</f>
        <v>0</v>
      </c>
      <c r="AH546" s="46" t="s">
        <v>1101</v>
      </c>
      <c r="AI546" s="46" t="s">
        <v>1159</v>
      </c>
      <c r="AJ546" s="46" t="s">
        <v>376</v>
      </c>
      <c r="AK546" s="46" t="s">
        <v>658</v>
      </c>
      <c r="AL546" s="46" t="s">
        <v>1017</v>
      </c>
      <c r="AM546" s="46" t="s">
        <v>1018</v>
      </c>
      <c r="AN546" s="46" t="s">
        <v>376</v>
      </c>
      <c r="AO546" s="46" t="s">
        <v>658</v>
      </c>
      <c r="AP546" s="46"/>
      <c r="AQ546" s="46">
        <v>2</v>
      </c>
      <c r="AR546" s="46"/>
      <c r="AS546" s="46"/>
      <c r="AT546" s="46"/>
      <c r="AU546" s="46" t="s">
        <v>376</v>
      </c>
      <c r="AV546" s="46"/>
      <c r="AW546" s="46" t="s">
        <v>30</v>
      </c>
      <c r="AX546" s="46"/>
      <c r="AY546" s="46" t="s">
        <v>30</v>
      </c>
      <c r="AZ546" s="46"/>
      <c r="BA546" s="47"/>
      <c r="BB546" s="51"/>
      <c r="BC546" s="46"/>
      <c r="BD546" s="46"/>
      <c r="BE546" s="46"/>
      <c r="BF546" s="46">
        <v>1</v>
      </c>
      <c r="BG546" s="46">
        <v>1</v>
      </c>
      <c r="BH546" s="46">
        <v>2</v>
      </c>
      <c r="BI546" s="46" t="s">
        <v>821</v>
      </c>
      <c r="BJ546" s="46" t="s">
        <v>589</v>
      </c>
      <c r="BK546" s="46">
        <v>1958</v>
      </c>
      <c r="BL546" s="46" t="str">
        <f>BK546&amp;BI546</f>
        <v>1958Manchester United</v>
      </c>
      <c r="BM546" s="52" t="str">
        <f>IF(AD546="Home",BI546,IF(AD546="Away",BJ546,Q546))</f>
        <v>Birmingham</v>
      </c>
      <c r="BN546" s="46"/>
      <c r="BO546" s="46"/>
      <c r="BP546" s="46"/>
      <c r="BQ546" s="46"/>
      <c r="BR546" s="46"/>
      <c r="BS546" s="46"/>
      <c r="BT546" s="46"/>
      <c r="BU546" s="46"/>
      <c r="BV546" s="46" t="s">
        <v>376</v>
      </c>
      <c r="BW546" s="46" t="s">
        <v>376</v>
      </c>
      <c r="BX546" s="46"/>
      <c r="BZ546" s="53"/>
      <c r="CA546" s="53"/>
      <c r="CB546" s="93" t="str">
        <f>IF(OR(C546="",A546="",B546=""),"",TEXT(C546,"0000")&amp;TEXT(A546,"00")&amp;TEXT(B546,"00"))</f>
        <v>19580322</v>
      </c>
    </row>
    <row r="547" spans="1:80" s="52" customFormat="1" ht="12.95" customHeight="1" x14ac:dyDescent="0.2">
      <c r="A547" s="46">
        <v>3</v>
      </c>
      <c r="B547" s="46">
        <v>22</v>
      </c>
      <c r="C547" s="46">
        <v>1958</v>
      </c>
      <c r="D547" s="46" t="s">
        <v>658</v>
      </c>
      <c r="E547" s="46" t="s">
        <v>580</v>
      </c>
      <c r="F547" s="47" t="s">
        <v>1010</v>
      </c>
      <c r="G547" s="46"/>
      <c r="H547" s="47" t="s">
        <v>1011</v>
      </c>
      <c r="I547" s="47"/>
      <c r="J547" s="48">
        <v>21266</v>
      </c>
      <c r="K547" s="46" t="s">
        <v>589</v>
      </c>
      <c r="L547" s="46" t="s">
        <v>1014</v>
      </c>
      <c r="M547" s="46" t="s">
        <v>821</v>
      </c>
      <c r="N547" s="49">
        <v>2</v>
      </c>
      <c r="O547" s="49">
        <v>2</v>
      </c>
      <c r="P547" s="47" t="s">
        <v>1219</v>
      </c>
      <c r="Q547" s="47" t="s">
        <v>1111</v>
      </c>
      <c r="R547" s="47" t="s">
        <v>376</v>
      </c>
      <c r="S547" s="46"/>
      <c r="T547" s="46"/>
      <c r="U547" s="46"/>
      <c r="V547" s="46"/>
      <c r="W547" s="46"/>
      <c r="X547" s="46"/>
      <c r="Y547" s="46"/>
      <c r="Z547" s="46"/>
      <c r="AA547" s="46"/>
      <c r="AB547" s="46"/>
      <c r="AC547" s="46"/>
      <c r="AD547" s="46"/>
      <c r="AE547" s="50">
        <f>IF(L547="W",1,0)</f>
        <v>0</v>
      </c>
      <c r="AF547" s="50">
        <f>IF(L547="T",1,0)</f>
        <v>1</v>
      </c>
      <c r="AG547" s="50">
        <f>IF(L547="L",1,0)</f>
        <v>0</v>
      </c>
      <c r="AH547" s="46" t="s">
        <v>1017</v>
      </c>
      <c r="AI547" s="46" t="s">
        <v>1018</v>
      </c>
      <c r="AJ547" s="46" t="s">
        <v>376</v>
      </c>
      <c r="AK547" s="46" t="s">
        <v>658</v>
      </c>
      <c r="AL547" s="46" t="s">
        <v>1101</v>
      </c>
      <c r="AM547" s="46" t="s">
        <v>1159</v>
      </c>
      <c r="AN547" s="46" t="s">
        <v>376</v>
      </c>
      <c r="AO547" s="46" t="s">
        <v>658</v>
      </c>
      <c r="AP547" s="46"/>
      <c r="AQ547" s="46">
        <v>2</v>
      </c>
      <c r="AR547" s="46"/>
      <c r="AS547" s="46"/>
      <c r="AT547" s="46"/>
      <c r="AU547" s="46" t="s">
        <v>376</v>
      </c>
      <c r="AV547" s="46"/>
      <c r="AW547" s="46" t="s">
        <v>30</v>
      </c>
      <c r="AX547" s="46"/>
      <c r="AY547" s="46" t="s">
        <v>30</v>
      </c>
      <c r="AZ547" s="46"/>
      <c r="BA547" s="47"/>
      <c r="BB547" s="51"/>
      <c r="BC547" s="46"/>
      <c r="BD547" s="46"/>
      <c r="BE547" s="46"/>
      <c r="BF547" s="46">
        <v>1</v>
      </c>
      <c r="BG547" s="46">
        <v>2</v>
      </c>
      <c r="BH547" s="46">
        <v>1</v>
      </c>
      <c r="BI547" s="46" t="s">
        <v>589</v>
      </c>
      <c r="BJ547" s="46" t="s">
        <v>821</v>
      </c>
      <c r="BK547" s="46">
        <v>1958</v>
      </c>
      <c r="BL547" s="46" t="str">
        <f>BK547&amp;BI547</f>
        <v>1958Fulham</v>
      </c>
      <c r="BM547" s="52" t="str">
        <f>IF(AD547="Home",BI547,IF(AD547="Away",BJ547,Q547))</f>
        <v>Birmingham</v>
      </c>
      <c r="BN547" s="46"/>
      <c r="BO547" s="46"/>
      <c r="BP547" s="46"/>
      <c r="BQ547" s="46"/>
      <c r="BR547" s="46"/>
      <c r="BS547" s="46"/>
      <c r="BT547" s="46"/>
      <c r="BU547" s="46"/>
      <c r="BV547" s="46" t="s">
        <v>376</v>
      </c>
      <c r="BW547" s="46" t="s">
        <v>376</v>
      </c>
      <c r="BX547" s="46"/>
      <c r="BZ547" s="53"/>
      <c r="CA547" s="53"/>
      <c r="CB547" s="93" t="str">
        <f>IF(OR(C547="",A547="",B547=""),"",TEXT(C547,"0000")&amp;TEXT(A547,"00")&amp;TEXT(B547,"00"))</f>
        <v>19580322</v>
      </c>
    </row>
    <row r="548" spans="1:80" s="52" customFormat="1" ht="12.95" customHeight="1" x14ac:dyDescent="0.2">
      <c r="A548" s="46">
        <v>3</v>
      </c>
      <c r="B548" s="46">
        <v>26</v>
      </c>
      <c r="C548" s="46">
        <v>1958</v>
      </c>
      <c r="D548" s="46" t="s">
        <v>658</v>
      </c>
      <c r="E548" s="46" t="s">
        <v>580</v>
      </c>
      <c r="F548" s="47" t="s">
        <v>1010</v>
      </c>
      <c r="G548" s="46"/>
      <c r="H548" s="47" t="s">
        <v>1011</v>
      </c>
      <c r="I548" s="47" t="s">
        <v>1023</v>
      </c>
      <c r="J548" s="48">
        <v>21270</v>
      </c>
      <c r="K548" s="46" t="s">
        <v>821</v>
      </c>
      <c r="L548" s="46" t="s">
        <v>3</v>
      </c>
      <c r="M548" s="46" t="s">
        <v>589</v>
      </c>
      <c r="N548" s="49">
        <v>5</v>
      </c>
      <c r="O548" s="49">
        <v>3</v>
      </c>
      <c r="P548" s="47" t="s">
        <v>1281</v>
      </c>
      <c r="Q548" s="47" t="s">
        <v>1017</v>
      </c>
      <c r="R548" s="47" t="s">
        <v>376</v>
      </c>
      <c r="S548" s="46"/>
      <c r="T548" s="46"/>
      <c r="U548" s="46"/>
      <c r="V548" s="46"/>
      <c r="W548" s="46"/>
      <c r="X548" s="46"/>
      <c r="Y548" s="46"/>
      <c r="Z548" s="46"/>
      <c r="AA548" s="46"/>
      <c r="AB548" s="46"/>
      <c r="AC548" s="46"/>
      <c r="AD548" s="46"/>
      <c r="AE548" s="50">
        <f>IF(L548="W",1,0)</f>
        <v>1</v>
      </c>
      <c r="AF548" s="50">
        <f>IF(L548="T",1,0)</f>
        <v>0</v>
      </c>
      <c r="AG548" s="50">
        <f>IF(L548="L",1,0)</f>
        <v>0</v>
      </c>
      <c r="AH548" s="46" t="s">
        <v>1101</v>
      </c>
      <c r="AI548" s="46" t="s">
        <v>1159</v>
      </c>
      <c r="AJ548" s="46" t="s">
        <v>376</v>
      </c>
      <c r="AK548" s="46" t="s">
        <v>658</v>
      </c>
      <c r="AL548" s="46" t="s">
        <v>1017</v>
      </c>
      <c r="AM548" s="46" t="s">
        <v>1018</v>
      </c>
      <c r="AN548" s="46" t="s">
        <v>376</v>
      </c>
      <c r="AO548" s="46" t="s">
        <v>658</v>
      </c>
      <c r="AP548" s="46"/>
      <c r="AQ548" s="46">
        <v>2</v>
      </c>
      <c r="AR548" s="46"/>
      <c r="AS548" s="46"/>
      <c r="AT548" s="46"/>
      <c r="AU548" s="46" t="s">
        <v>376</v>
      </c>
      <c r="AV548" s="46"/>
      <c r="AW548" s="46" t="s">
        <v>30</v>
      </c>
      <c r="AX548" s="46"/>
      <c r="AY548" s="46" t="s">
        <v>30</v>
      </c>
      <c r="AZ548" s="46"/>
      <c r="BA548" s="47"/>
      <c r="BB548" s="51"/>
      <c r="BC548" s="46"/>
      <c r="BD548" s="46"/>
      <c r="BE548" s="46"/>
      <c r="BF548" s="46">
        <v>1</v>
      </c>
      <c r="BG548" s="46">
        <v>1</v>
      </c>
      <c r="BH548" s="46">
        <v>2</v>
      </c>
      <c r="BI548" s="46" t="s">
        <v>821</v>
      </c>
      <c r="BJ548" s="46" t="s">
        <v>589</v>
      </c>
      <c r="BK548" s="46">
        <v>1958</v>
      </c>
      <c r="BL548" s="46" t="str">
        <f>BK548&amp;BI548</f>
        <v>1958Manchester United</v>
      </c>
      <c r="BM548" s="52" t="str">
        <f>IF(AD548="Home",BI548,IF(AD548="Away",BJ548,Q548))</f>
        <v>London</v>
      </c>
      <c r="BN548" s="46"/>
      <c r="BO548" s="46"/>
      <c r="BP548" s="46"/>
      <c r="BQ548" s="46"/>
      <c r="BR548" s="46"/>
      <c r="BS548" s="46"/>
      <c r="BT548" s="46"/>
      <c r="BU548" s="46"/>
      <c r="BV548" s="46" t="s">
        <v>376</v>
      </c>
      <c r="BW548" s="46" t="s">
        <v>376</v>
      </c>
      <c r="BX548" s="46"/>
      <c r="BZ548" s="53"/>
      <c r="CA548" s="53"/>
      <c r="CB548" s="93" t="str">
        <f>IF(OR(C548="",A548="",B548=""),"",TEXT(C548,"0000")&amp;TEXT(A548,"00")&amp;TEXT(B548,"00"))</f>
        <v>19580326</v>
      </c>
    </row>
    <row r="549" spans="1:80" s="52" customFormat="1" ht="12.95" customHeight="1" x14ac:dyDescent="0.2">
      <c r="A549" s="46">
        <v>3</v>
      </c>
      <c r="B549" s="46">
        <v>26</v>
      </c>
      <c r="C549" s="46">
        <v>1958</v>
      </c>
      <c r="D549" s="46" t="s">
        <v>658</v>
      </c>
      <c r="E549" s="46" t="s">
        <v>580</v>
      </c>
      <c r="F549" s="47" t="s">
        <v>1010</v>
      </c>
      <c r="G549" s="46"/>
      <c r="H549" s="47" t="s">
        <v>1011</v>
      </c>
      <c r="I549" s="47" t="s">
        <v>1023</v>
      </c>
      <c r="J549" s="48">
        <v>21270</v>
      </c>
      <c r="K549" s="46" t="s">
        <v>589</v>
      </c>
      <c r="L549" s="46" t="s">
        <v>4</v>
      </c>
      <c r="M549" s="46" t="s">
        <v>821</v>
      </c>
      <c r="N549" s="49">
        <v>3</v>
      </c>
      <c r="O549" s="49">
        <v>5</v>
      </c>
      <c r="P549" s="47" t="s">
        <v>1281</v>
      </c>
      <c r="Q549" s="47" t="s">
        <v>1017</v>
      </c>
      <c r="R549" s="47" t="s">
        <v>376</v>
      </c>
      <c r="S549" s="46"/>
      <c r="T549" s="46"/>
      <c r="U549" s="46"/>
      <c r="V549" s="46"/>
      <c r="W549" s="46"/>
      <c r="X549" s="46"/>
      <c r="Y549" s="46"/>
      <c r="Z549" s="46"/>
      <c r="AA549" s="46"/>
      <c r="AB549" s="46"/>
      <c r="AC549" s="46"/>
      <c r="AD549" s="46"/>
      <c r="AE549" s="50">
        <f>IF(L549="W",1,0)</f>
        <v>0</v>
      </c>
      <c r="AF549" s="50">
        <f>IF(L549="T",1,0)</f>
        <v>0</v>
      </c>
      <c r="AG549" s="50">
        <f>IF(L549="L",1,0)</f>
        <v>1</v>
      </c>
      <c r="AH549" s="46" t="s">
        <v>1017</v>
      </c>
      <c r="AI549" s="46" t="s">
        <v>1018</v>
      </c>
      <c r="AJ549" s="46" t="s">
        <v>376</v>
      </c>
      <c r="AK549" s="46" t="s">
        <v>658</v>
      </c>
      <c r="AL549" s="46" t="s">
        <v>1101</v>
      </c>
      <c r="AM549" s="46" t="s">
        <v>1159</v>
      </c>
      <c r="AN549" s="46" t="s">
        <v>376</v>
      </c>
      <c r="AO549" s="46" t="s">
        <v>658</v>
      </c>
      <c r="AP549" s="46"/>
      <c r="AQ549" s="46">
        <v>2</v>
      </c>
      <c r="AR549" s="46"/>
      <c r="AS549" s="46"/>
      <c r="AT549" s="46"/>
      <c r="AU549" s="46" t="s">
        <v>376</v>
      </c>
      <c r="AV549" s="46"/>
      <c r="AW549" s="46" t="s">
        <v>30</v>
      </c>
      <c r="AX549" s="46"/>
      <c r="AY549" s="46" t="s">
        <v>30</v>
      </c>
      <c r="AZ549" s="46"/>
      <c r="BA549" s="47"/>
      <c r="BB549" s="51"/>
      <c r="BC549" s="46"/>
      <c r="BD549" s="46"/>
      <c r="BE549" s="46"/>
      <c r="BF549" s="46">
        <v>1</v>
      </c>
      <c r="BG549" s="46">
        <v>2</v>
      </c>
      <c r="BH549" s="46">
        <v>1</v>
      </c>
      <c r="BI549" s="46" t="s">
        <v>589</v>
      </c>
      <c r="BJ549" s="46" t="s">
        <v>821</v>
      </c>
      <c r="BK549" s="46">
        <v>1958</v>
      </c>
      <c r="BL549" s="46" t="str">
        <f>BK549&amp;BI549</f>
        <v>1958Fulham</v>
      </c>
      <c r="BM549" s="52" t="str">
        <f>IF(AD549="Home",BI549,IF(AD549="Away",BJ549,Q549))</f>
        <v>London</v>
      </c>
      <c r="BN549" s="46"/>
      <c r="BO549" s="46"/>
      <c r="BP549" s="46"/>
      <c r="BQ549" s="46"/>
      <c r="BR549" s="46"/>
      <c r="BS549" s="46"/>
      <c r="BT549" s="46"/>
      <c r="BU549" s="46"/>
      <c r="BV549" s="46" t="s">
        <v>376</v>
      </c>
      <c r="BW549" s="46" t="s">
        <v>376</v>
      </c>
      <c r="BX549" s="46"/>
      <c r="BZ549" s="53"/>
      <c r="CA549" s="53"/>
      <c r="CB549" s="93" t="str">
        <f>IF(OR(C549="",A549="",B549=""),"",TEXT(C549,"0000")&amp;TEXT(A549,"00")&amp;TEXT(B549,"00"))</f>
        <v>19580326</v>
      </c>
    </row>
    <row r="550" spans="1:80" s="52" customFormat="1" ht="12.95" customHeight="1" x14ac:dyDescent="0.2">
      <c r="A550" s="46">
        <v>5</v>
      </c>
      <c r="B550" s="46">
        <v>3</v>
      </c>
      <c r="C550" s="46">
        <v>1958</v>
      </c>
      <c r="D550" s="46" t="s">
        <v>658</v>
      </c>
      <c r="E550" s="46" t="s">
        <v>580</v>
      </c>
      <c r="F550" s="47" t="s">
        <v>1010</v>
      </c>
      <c r="G550" s="46"/>
      <c r="H550" s="47" t="s">
        <v>1025</v>
      </c>
      <c r="I550" s="47"/>
      <c r="J550" s="48">
        <v>21308</v>
      </c>
      <c r="K550" s="46" t="s">
        <v>1157</v>
      </c>
      <c r="L550" s="46" t="s">
        <v>3</v>
      </c>
      <c r="M550" s="46" t="s">
        <v>821</v>
      </c>
      <c r="N550" s="49">
        <v>2</v>
      </c>
      <c r="O550" s="49">
        <v>0</v>
      </c>
      <c r="P550" s="47" t="s">
        <v>1268</v>
      </c>
      <c r="Q550" s="47" t="s">
        <v>1017</v>
      </c>
      <c r="R550" s="47" t="s">
        <v>376</v>
      </c>
      <c r="S550" s="46"/>
      <c r="T550" s="46"/>
      <c r="U550" s="46"/>
      <c r="V550" s="46"/>
      <c r="W550" s="46"/>
      <c r="X550" s="46"/>
      <c r="Y550" s="46"/>
      <c r="Z550" s="46"/>
      <c r="AA550" s="46"/>
      <c r="AB550" s="46"/>
      <c r="AC550" s="46"/>
      <c r="AD550" s="46"/>
      <c r="AE550" s="50">
        <f>IF(L550="W",1,0)</f>
        <v>1</v>
      </c>
      <c r="AF550" s="50">
        <f>IF(L550="T",1,0)</f>
        <v>0</v>
      </c>
      <c r="AG550" s="50">
        <f>IF(L550="L",1,0)</f>
        <v>0</v>
      </c>
      <c r="AH550" s="46" t="s">
        <v>1101</v>
      </c>
      <c r="AI550" s="46" t="s">
        <v>1159</v>
      </c>
      <c r="AJ550" s="46" t="s">
        <v>376</v>
      </c>
      <c r="AK550" s="46" t="s">
        <v>658</v>
      </c>
      <c r="AL550" s="46" t="s">
        <v>1101</v>
      </c>
      <c r="AM550" s="46" t="s">
        <v>1159</v>
      </c>
      <c r="AN550" s="46" t="s">
        <v>376</v>
      </c>
      <c r="AO550" s="46" t="s">
        <v>658</v>
      </c>
      <c r="AP550" s="46"/>
      <c r="AQ550" s="46">
        <v>1</v>
      </c>
      <c r="AR550" s="46"/>
      <c r="AS550" s="46"/>
      <c r="AT550" s="46"/>
      <c r="AU550" s="46" t="s">
        <v>376</v>
      </c>
      <c r="AV550" s="46"/>
      <c r="AW550" s="46" t="s">
        <v>30</v>
      </c>
      <c r="AX550" s="46"/>
      <c r="AY550" s="46" t="s">
        <v>30</v>
      </c>
      <c r="AZ550" s="46"/>
      <c r="BA550" s="47"/>
      <c r="BB550" s="51" t="s">
        <v>30</v>
      </c>
      <c r="BC550" s="46" t="s">
        <v>30</v>
      </c>
      <c r="BD550" s="46"/>
      <c r="BE550" s="46"/>
      <c r="BF550" s="46">
        <v>1</v>
      </c>
      <c r="BG550" s="46">
        <v>1</v>
      </c>
      <c r="BH550" s="46">
        <v>1</v>
      </c>
      <c r="BI550" s="46" t="s">
        <v>1157</v>
      </c>
      <c r="BJ550" s="46" t="s">
        <v>821</v>
      </c>
      <c r="BK550" s="46">
        <v>1958</v>
      </c>
      <c r="BL550" s="46" t="str">
        <f>BK550&amp;BI550</f>
        <v>1958Bolton Wanderers</v>
      </c>
      <c r="BM550" s="52" t="str">
        <f>IF(AD550="Home",BI550,IF(AD550="Away",BJ550,Q550))</f>
        <v>London</v>
      </c>
      <c r="BN550" s="46"/>
      <c r="BO550" s="46"/>
      <c r="BP550" s="46"/>
      <c r="BQ550" s="46"/>
      <c r="BR550" s="46"/>
      <c r="BS550" s="46"/>
      <c r="BT550" s="46"/>
      <c r="BU550" s="46"/>
      <c r="BV550" s="46" t="s">
        <v>376</v>
      </c>
      <c r="BW550" s="46" t="s">
        <v>376</v>
      </c>
      <c r="BX550" s="46"/>
      <c r="BZ550" s="53"/>
      <c r="CA550" s="53"/>
      <c r="CB550" s="93" t="str">
        <f>IF(OR(C550="",A550="",B550=""),"",TEXT(C550,"0000")&amp;TEXT(A550,"00")&amp;TEXT(B550,"00"))</f>
        <v>19580503</v>
      </c>
    </row>
    <row r="551" spans="1:80" s="52" customFormat="1" ht="12.95" customHeight="1" x14ac:dyDescent="0.2">
      <c r="A551" s="46">
        <v>5</v>
      </c>
      <c r="B551" s="46">
        <v>3</v>
      </c>
      <c r="C551" s="46">
        <v>1958</v>
      </c>
      <c r="D551" s="46" t="s">
        <v>658</v>
      </c>
      <c r="E551" s="46" t="s">
        <v>580</v>
      </c>
      <c r="F551" s="47" t="s">
        <v>1010</v>
      </c>
      <c r="G551" s="46"/>
      <c r="H551" s="47" t="s">
        <v>1025</v>
      </c>
      <c r="I551" s="47"/>
      <c r="J551" s="48">
        <v>21308</v>
      </c>
      <c r="K551" s="46" t="s">
        <v>821</v>
      </c>
      <c r="L551" s="46" t="s">
        <v>4</v>
      </c>
      <c r="M551" s="46" t="s">
        <v>1157</v>
      </c>
      <c r="N551" s="49">
        <v>0</v>
      </c>
      <c r="O551" s="49">
        <v>2</v>
      </c>
      <c r="P551" s="47" t="s">
        <v>1268</v>
      </c>
      <c r="Q551" s="47" t="s">
        <v>1017</v>
      </c>
      <c r="R551" s="47" t="s">
        <v>376</v>
      </c>
      <c r="S551" s="46"/>
      <c r="T551" s="46"/>
      <c r="U551" s="46"/>
      <c r="V551" s="46"/>
      <c r="W551" s="46"/>
      <c r="X551" s="46"/>
      <c r="Y551" s="46"/>
      <c r="Z551" s="46"/>
      <c r="AA551" s="46"/>
      <c r="AB551" s="46"/>
      <c r="AC551" s="46"/>
      <c r="AD551" s="46"/>
      <c r="AE551" s="50">
        <f>IF(L551="W",1,0)</f>
        <v>0</v>
      </c>
      <c r="AF551" s="50">
        <f>IF(L551="T",1,0)</f>
        <v>0</v>
      </c>
      <c r="AG551" s="50">
        <f>IF(L551="L",1,0)</f>
        <v>1</v>
      </c>
      <c r="AH551" s="46" t="s">
        <v>1101</v>
      </c>
      <c r="AI551" s="46" t="s">
        <v>1159</v>
      </c>
      <c r="AJ551" s="46" t="s">
        <v>376</v>
      </c>
      <c r="AK551" s="46" t="s">
        <v>658</v>
      </c>
      <c r="AL551" s="46" t="s">
        <v>1101</v>
      </c>
      <c r="AM551" s="46" t="s">
        <v>1159</v>
      </c>
      <c r="AN551" s="46" t="s">
        <v>376</v>
      </c>
      <c r="AO551" s="46" t="s">
        <v>658</v>
      </c>
      <c r="AP551" s="46"/>
      <c r="AQ551" s="46">
        <v>1</v>
      </c>
      <c r="AR551" s="46"/>
      <c r="AS551" s="46"/>
      <c r="AT551" s="46"/>
      <c r="AU551" s="46" t="s">
        <v>376</v>
      </c>
      <c r="AV551" s="46"/>
      <c r="AW551" s="46" t="s">
        <v>30</v>
      </c>
      <c r="AX551" s="46"/>
      <c r="AY551" s="46" t="s">
        <v>30</v>
      </c>
      <c r="AZ551" s="46"/>
      <c r="BA551" s="47"/>
      <c r="BB551" s="51"/>
      <c r="BC551" s="46" t="s">
        <v>30</v>
      </c>
      <c r="BD551" s="46"/>
      <c r="BE551" s="46"/>
      <c r="BF551" s="46">
        <v>1</v>
      </c>
      <c r="BG551" s="46">
        <v>1</v>
      </c>
      <c r="BH551" s="46">
        <v>1</v>
      </c>
      <c r="BI551" s="46" t="s">
        <v>821</v>
      </c>
      <c r="BJ551" s="46" t="s">
        <v>1157</v>
      </c>
      <c r="BK551" s="46">
        <v>1958</v>
      </c>
      <c r="BL551" s="46" t="str">
        <f>BK551&amp;BI551</f>
        <v>1958Manchester United</v>
      </c>
      <c r="BM551" s="52" t="str">
        <f>IF(AD551="Home",BI551,IF(AD551="Away",BJ551,Q551))</f>
        <v>London</v>
      </c>
      <c r="BN551" s="46"/>
      <c r="BO551" s="46"/>
      <c r="BP551" s="46"/>
      <c r="BQ551" s="46"/>
      <c r="BR551" s="46"/>
      <c r="BS551" s="46"/>
      <c r="BT551" s="46"/>
      <c r="BU551" s="46"/>
      <c r="BV551" s="46" t="s">
        <v>376</v>
      </c>
      <c r="BW551" s="46" t="s">
        <v>376</v>
      </c>
      <c r="BX551" s="46"/>
      <c r="BZ551" s="53"/>
      <c r="CA551" s="53"/>
      <c r="CB551" s="93" t="str">
        <f>IF(OR(C551="",A551="",B551=""),"",TEXT(C551,"0000")&amp;TEXT(A551,"00")&amp;TEXT(B551,"00"))</f>
        <v>19580503</v>
      </c>
    </row>
    <row r="552" spans="1:80" s="52" customFormat="1" ht="12.95" customHeight="1" x14ac:dyDescent="0.2">
      <c r="A552" s="46">
        <v>3</v>
      </c>
      <c r="B552" s="46">
        <v>14</v>
      </c>
      <c r="C552" s="46">
        <v>1959</v>
      </c>
      <c r="D552" s="46" t="s">
        <v>658</v>
      </c>
      <c r="E552" s="46" t="s">
        <v>577</v>
      </c>
      <c r="F552" s="47" t="s">
        <v>1010</v>
      </c>
      <c r="G552" s="46"/>
      <c r="H552" s="47" t="s">
        <v>1011</v>
      </c>
      <c r="I552" s="47"/>
      <c r="J552" s="48">
        <v>21623</v>
      </c>
      <c r="K552" s="46" t="s">
        <v>1072</v>
      </c>
      <c r="L552" s="46" t="s">
        <v>3</v>
      </c>
      <c r="M552" s="46" t="s">
        <v>806</v>
      </c>
      <c r="N552" s="49">
        <v>1</v>
      </c>
      <c r="O552" s="49">
        <v>0</v>
      </c>
      <c r="P552" s="47" t="s">
        <v>1252</v>
      </c>
      <c r="Q552" s="47" t="s">
        <v>1097</v>
      </c>
      <c r="R552" s="47" t="s">
        <v>376</v>
      </c>
      <c r="S552" s="46"/>
      <c r="T552" s="46"/>
      <c r="U552" s="46"/>
      <c r="V552" s="46"/>
      <c r="W552" s="46"/>
      <c r="X552" s="46"/>
      <c r="Y552" s="46"/>
      <c r="Z552" s="46"/>
      <c r="AA552" s="46"/>
      <c r="AB552" s="46"/>
      <c r="AC552" s="46"/>
      <c r="AD552" s="46"/>
      <c r="AE552" s="50">
        <f>IF(L552="W",1,0)</f>
        <v>1</v>
      </c>
      <c r="AF552" s="50">
        <f>IF(L552="T",1,0)</f>
        <v>0</v>
      </c>
      <c r="AG552" s="50">
        <f>IF(L552="L",1,0)</f>
        <v>0</v>
      </c>
      <c r="AH552" s="46" t="s">
        <v>1073</v>
      </c>
      <c r="AI552" s="46" t="s">
        <v>1074</v>
      </c>
      <c r="AJ552" s="46" t="s">
        <v>376</v>
      </c>
      <c r="AK552" s="46" t="s">
        <v>658</v>
      </c>
      <c r="AL552" s="46" t="s">
        <v>1111</v>
      </c>
      <c r="AM552" s="46" t="s">
        <v>1126</v>
      </c>
      <c r="AN552" s="46" t="s">
        <v>376</v>
      </c>
      <c r="AO552" s="46" t="s">
        <v>658</v>
      </c>
      <c r="AP552" s="46"/>
      <c r="AQ552" s="46">
        <v>2</v>
      </c>
      <c r="AR552" s="46"/>
      <c r="AS552" s="46"/>
      <c r="AT552" s="46"/>
      <c r="AU552" s="46" t="s">
        <v>376</v>
      </c>
      <c r="AV552" s="46"/>
      <c r="AW552" s="46" t="s">
        <v>30</v>
      </c>
      <c r="AX552" s="46"/>
      <c r="AY552" s="46" t="s">
        <v>30</v>
      </c>
      <c r="AZ552" s="46"/>
      <c r="BA552" s="47"/>
      <c r="BB552" s="51"/>
      <c r="BC552" s="46"/>
      <c r="BD552" s="46"/>
      <c r="BE552" s="46"/>
      <c r="BF552" s="46">
        <v>1</v>
      </c>
      <c r="BG552" s="46">
        <v>1</v>
      </c>
      <c r="BH552" s="46">
        <v>1</v>
      </c>
      <c r="BI552" s="46" t="s">
        <v>1072</v>
      </c>
      <c r="BJ552" s="46" t="s">
        <v>806</v>
      </c>
      <c r="BK552" s="46">
        <v>1959</v>
      </c>
      <c r="BL552" s="46" t="str">
        <f>BK552&amp;BI552</f>
        <v>1959Nottingham Forest</v>
      </c>
      <c r="BM552" s="52" t="str">
        <f>IF(AD552="Home",BI552,IF(AD552="Away",BJ552,Q552))</f>
        <v>Sheffield</v>
      </c>
      <c r="BN552" s="46"/>
      <c r="BO552" s="46"/>
      <c r="BP552" s="46"/>
      <c r="BQ552" s="46"/>
      <c r="BR552" s="46"/>
      <c r="BS552" s="46"/>
      <c r="BT552" s="46"/>
      <c r="BU552" s="46"/>
      <c r="BV552" s="46" t="s">
        <v>376</v>
      </c>
      <c r="BW552" s="46" t="s">
        <v>376</v>
      </c>
      <c r="BX552" s="46"/>
      <c r="BY552" s="50"/>
      <c r="BZ552" s="53"/>
      <c r="CA552" s="53"/>
      <c r="CB552" s="93" t="str">
        <f>IF(OR(C552="",A552="",B552=""),"",TEXT(C552,"0000")&amp;TEXT(A552,"00")&amp;TEXT(B552,"00"))</f>
        <v>19590314</v>
      </c>
    </row>
    <row r="553" spans="1:80" s="52" customFormat="1" ht="12.95" customHeight="1" x14ac:dyDescent="0.2">
      <c r="A553" s="46">
        <v>3</v>
      </c>
      <c r="B553" s="46">
        <v>14</v>
      </c>
      <c r="C553" s="46">
        <v>1959</v>
      </c>
      <c r="D553" s="46" t="s">
        <v>658</v>
      </c>
      <c r="E553" s="46" t="s">
        <v>577</v>
      </c>
      <c r="F553" s="47" t="s">
        <v>1010</v>
      </c>
      <c r="G553" s="46"/>
      <c r="H553" s="47" t="s">
        <v>1011</v>
      </c>
      <c r="I553" s="47"/>
      <c r="J553" s="48">
        <v>21623</v>
      </c>
      <c r="K553" s="46" t="s">
        <v>806</v>
      </c>
      <c r="L553" s="46" t="s">
        <v>4</v>
      </c>
      <c r="M553" s="46" t="s">
        <v>1072</v>
      </c>
      <c r="N553" s="49">
        <v>0</v>
      </c>
      <c r="O553" s="49">
        <v>1</v>
      </c>
      <c r="P553" s="47" t="s">
        <v>1252</v>
      </c>
      <c r="Q553" s="47" t="s">
        <v>1097</v>
      </c>
      <c r="R553" s="47" t="s">
        <v>376</v>
      </c>
      <c r="S553" s="46"/>
      <c r="T553" s="46"/>
      <c r="U553" s="46"/>
      <c r="V553" s="46"/>
      <c r="W553" s="46"/>
      <c r="X553" s="46"/>
      <c r="Y553" s="46"/>
      <c r="Z553" s="46"/>
      <c r="AA553" s="46"/>
      <c r="AB553" s="46"/>
      <c r="AC553" s="46"/>
      <c r="AD553" s="46"/>
      <c r="AE553" s="50">
        <f>IF(L553="W",1,0)</f>
        <v>0</v>
      </c>
      <c r="AF553" s="50">
        <f>IF(L553="T",1,0)</f>
        <v>0</v>
      </c>
      <c r="AG553" s="50">
        <f>IF(L553="L",1,0)</f>
        <v>1</v>
      </c>
      <c r="AH553" s="46" t="s">
        <v>1111</v>
      </c>
      <c r="AI553" s="46" t="s">
        <v>1126</v>
      </c>
      <c r="AJ553" s="46" t="s">
        <v>376</v>
      </c>
      <c r="AK553" s="46" t="s">
        <v>658</v>
      </c>
      <c r="AL553" s="46" t="s">
        <v>1073</v>
      </c>
      <c r="AM553" s="46" t="s">
        <v>1074</v>
      </c>
      <c r="AN553" s="46" t="s">
        <v>376</v>
      </c>
      <c r="AO553" s="46" t="s">
        <v>658</v>
      </c>
      <c r="AP553" s="46"/>
      <c r="AQ553" s="46">
        <v>2</v>
      </c>
      <c r="AR553" s="46"/>
      <c r="AS553" s="46"/>
      <c r="AT553" s="46"/>
      <c r="AU553" s="46" t="s">
        <v>376</v>
      </c>
      <c r="AV553" s="46"/>
      <c r="AW553" s="46" t="s">
        <v>30</v>
      </c>
      <c r="AX553" s="46"/>
      <c r="AY553" s="46" t="s">
        <v>30</v>
      </c>
      <c r="AZ553" s="46"/>
      <c r="BA553" s="47"/>
      <c r="BB553" s="51"/>
      <c r="BC553" s="46"/>
      <c r="BD553" s="46"/>
      <c r="BE553" s="46"/>
      <c r="BF553" s="46">
        <v>1</v>
      </c>
      <c r="BG553" s="46">
        <v>1</v>
      </c>
      <c r="BH553" s="46">
        <v>1</v>
      </c>
      <c r="BI553" s="46" t="s">
        <v>806</v>
      </c>
      <c r="BJ553" s="46" t="s">
        <v>1072</v>
      </c>
      <c r="BK553" s="46">
        <v>1959</v>
      </c>
      <c r="BL553" s="46" t="str">
        <f>BK553&amp;BI553</f>
        <v>1959Aston Villa</v>
      </c>
      <c r="BM553" s="52" t="str">
        <f>IF(AD553="Home",BI553,IF(AD553="Away",BJ553,Q553))</f>
        <v>Sheffield</v>
      </c>
      <c r="BN553" s="46"/>
      <c r="BO553" s="46"/>
      <c r="BP553" s="46"/>
      <c r="BQ553" s="46"/>
      <c r="BR553" s="46"/>
      <c r="BS553" s="46"/>
      <c r="BT553" s="46"/>
      <c r="BU553" s="46"/>
      <c r="BV553" s="46" t="s">
        <v>376</v>
      </c>
      <c r="BW553" s="46" t="s">
        <v>376</v>
      </c>
      <c r="BX553" s="46"/>
      <c r="BY553" s="50"/>
      <c r="BZ553" s="53"/>
      <c r="CA553" s="53"/>
      <c r="CB553" s="93" t="str">
        <f>IF(OR(C553="",A553="",B553=""),"",TEXT(C553,"0000")&amp;TEXT(A553,"00")&amp;TEXT(B553,"00"))</f>
        <v>19590314</v>
      </c>
    </row>
    <row r="554" spans="1:80" s="52" customFormat="1" ht="12.95" customHeight="1" x14ac:dyDescent="0.2">
      <c r="A554" s="46">
        <v>3</v>
      </c>
      <c r="B554" s="46">
        <v>14</v>
      </c>
      <c r="C554" s="46">
        <v>1959</v>
      </c>
      <c r="D554" s="46" t="s">
        <v>658</v>
      </c>
      <c r="E554" s="46" t="s">
        <v>577</v>
      </c>
      <c r="F554" s="47" t="s">
        <v>1010</v>
      </c>
      <c r="G554" s="46"/>
      <c r="H554" s="47" t="s">
        <v>1011</v>
      </c>
      <c r="I554" s="47"/>
      <c r="J554" s="48">
        <v>21623</v>
      </c>
      <c r="K554" s="46" t="s">
        <v>1321</v>
      </c>
      <c r="L554" s="46" t="s">
        <v>1014</v>
      </c>
      <c r="M554" s="46" t="s">
        <v>1322</v>
      </c>
      <c r="N554" s="49">
        <v>1</v>
      </c>
      <c r="O554" s="49">
        <v>1</v>
      </c>
      <c r="P554" s="47" t="s">
        <v>1222</v>
      </c>
      <c r="Q554" s="47" t="s">
        <v>1017</v>
      </c>
      <c r="R554" s="47" t="s">
        <v>376</v>
      </c>
      <c r="S554" s="46"/>
      <c r="T554" s="46"/>
      <c r="U554" s="46"/>
      <c r="V554" s="46"/>
      <c r="W554" s="46"/>
      <c r="X554" s="46"/>
      <c r="Y554" s="46"/>
      <c r="Z554" s="46"/>
      <c r="AA554" s="46"/>
      <c r="AB554" s="46"/>
      <c r="AC554" s="46"/>
      <c r="AD554" s="46"/>
      <c r="AE554" s="50">
        <f>IF(L554="W",1,0)</f>
        <v>0</v>
      </c>
      <c r="AF554" s="50">
        <f>IF(L554="T",1,0)</f>
        <v>1</v>
      </c>
      <c r="AG554" s="50">
        <f>IF(L554="L",1,0)</f>
        <v>0</v>
      </c>
      <c r="AH554" s="46" t="s">
        <v>1323</v>
      </c>
      <c r="AI554" s="46" t="s">
        <v>1324</v>
      </c>
      <c r="AJ554" s="46" t="s">
        <v>376</v>
      </c>
      <c r="AK554" s="46" t="s">
        <v>658</v>
      </c>
      <c r="AL554" s="46" t="s">
        <v>1325</v>
      </c>
      <c r="AM554" s="46" t="s">
        <v>1326</v>
      </c>
      <c r="AN554" s="46" t="s">
        <v>376</v>
      </c>
      <c r="AO554" s="46" t="s">
        <v>658</v>
      </c>
      <c r="AP554" s="46"/>
      <c r="AQ554" s="46">
        <v>2</v>
      </c>
      <c r="AR554" s="46"/>
      <c r="AS554" s="46"/>
      <c r="AT554" s="46"/>
      <c r="AU554" s="46" t="s">
        <v>376</v>
      </c>
      <c r="AV554" s="46"/>
      <c r="AW554" s="46" t="s">
        <v>30</v>
      </c>
      <c r="AX554" s="46"/>
      <c r="AY554" s="46" t="s">
        <v>30</v>
      </c>
      <c r="AZ554" s="46"/>
      <c r="BA554" s="47"/>
      <c r="BB554" s="51"/>
      <c r="BC554" s="46"/>
      <c r="BD554" s="46"/>
      <c r="BE554" s="46"/>
      <c r="BF554" s="46">
        <v>1</v>
      </c>
      <c r="BG554" s="46">
        <v>3</v>
      </c>
      <c r="BH554" s="46">
        <v>1</v>
      </c>
      <c r="BI554" s="46" t="s">
        <v>1321</v>
      </c>
      <c r="BJ554" s="46" t="s">
        <v>1322</v>
      </c>
      <c r="BK554" s="46">
        <v>1959</v>
      </c>
      <c r="BL554" s="46" t="str">
        <f>BK554&amp;BI554</f>
        <v>1959Norwich City</v>
      </c>
      <c r="BM554" s="52" t="str">
        <f>IF(AD554="Home",BI554,IF(AD554="Away",BJ554,Q554))</f>
        <v>London</v>
      </c>
      <c r="BN554" s="46"/>
      <c r="BO554" s="46"/>
      <c r="BP554" s="46"/>
      <c r="BQ554" s="46"/>
      <c r="BR554" s="46"/>
      <c r="BS554" s="46"/>
      <c r="BT554" s="46"/>
      <c r="BU554" s="46"/>
      <c r="BV554" s="46" t="s">
        <v>376</v>
      </c>
      <c r="BW554" s="46" t="s">
        <v>376</v>
      </c>
      <c r="BX554" s="46"/>
      <c r="BZ554" s="53"/>
      <c r="CA554" s="53"/>
      <c r="CB554" s="93" t="str">
        <f>IF(OR(C554="",A554="",B554=""),"",TEXT(C554,"0000")&amp;TEXT(A554,"00")&amp;TEXT(B554,"00"))</f>
        <v>19590314</v>
      </c>
    </row>
    <row r="555" spans="1:80" s="52" customFormat="1" ht="12.95" customHeight="1" x14ac:dyDescent="0.2">
      <c r="A555" s="46">
        <v>3</v>
      </c>
      <c r="B555" s="46">
        <v>14</v>
      </c>
      <c r="C555" s="46">
        <v>1959</v>
      </c>
      <c r="D555" s="46" t="s">
        <v>658</v>
      </c>
      <c r="E555" s="46" t="s">
        <v>577</v>
      </c>
      <c r="F555" s="47" t="s">
        <v>1010</v>
      </c>
      <c r="G555" s="46"/>
      <c r="H555" s="47" t="s">
        <v>1011</v>
      </c>
      <c r="I555" s="47"/>
      <c r="J555" s="48">
        <v>21623</v>
      </c>
      <c r="K555" s="46" t="s">
        <v>1322</v>
      </c>
      <c r="L555" s="46" t="s">
        <v>1014</v>
      </c>
      <c r="M555" s="46" t="s">
        <v>1321</v>
      </c>
      <c r="N555" s="49">
        <v>1</v>
      </c>
      <c r="O555" s="49">
        <v>1</v>
      </c>
      <c r="P555" s="47" t="s">
        <v>1222</v>
      </c>
      <c r="Q555" s="47" t="s">
        <v>1017</v>
      </c>
      <c r="R555" s="47" t="s">
        <v>376</v>
      </c>
      <c r="S555" s="46"/>
      <c r="T555" s="46"/>
      <c r="U555" s="46"/>
      <c r="V555" s="46"/>
      <c r="W555" s="46"/>
      <c r="X555" s="46"/>
      <c r="Y555" s="46"/>
      <c r="Z555" s="46"/>
      <c r="AA555" s="46"/>
      <c r="AB555" s="46"/>
      <c r="AC555" s="46"/>
      <c r="AD555" s="46"/>
      <c r="AE555" s="50">
        <f>IF(L555="W",1,0)</f>
        <v>0</v>
      </c>
      <c r="AF555" s="50">
        <f>IF(L555="T",1,0)</f>
        <v>1</v>
      </c>
      <c r="AG555" s="50">
        <f>IF(L555="L",1,0)</f>
        <v>0</v>
      </c>
      <c r="AH555" s="46" t="s">
        <v>1325</v>
      </c>
      <c r="AI555" s="46" t="s">
        <v>1326</v>
      </c>
      <c r="AJ555" s="46" t="s">
        <v>376</v>
      </c>
      <c r="AK555" s="46" t="s">
        <v>658</v>
      </c>
      <c r="AL555" s="46" t="s">
        <v>1323</v>
      </c>
      <c r="AM555" s="46" t="s">
        <v>1324</v>
      </c>
      <c r="AN555" s="46" t="s">
        <v>376</v>
      </c>
      <c r="AO555" s="46" t="s">
        <v>658</v>
      </c>
      <c r="AP555" s="46"/>
      <c r="AQ555" s="46">
        <v>2</v>
      </c>
      <c r="AR555" s="46"/>
      <c r="AS555" s="46"/>
      <c r="AT555" s="46"/>
      <c r="AU555" s="46" t="s">
        <v>376</v>
      </c>
      <c r="AV555" s="46"/>
      <c r="AW555" s="46" t="s">
        <v>30</v>
      </c>
      <c r="AX555" s="46"/>
      <c r="AY555" s="46" t="s">
        <v>30</v>
      </c>
      <c r="AZ555" s="46"/>
      <c r="BA555" s="47"/>
      <c r="BB555" s="51"/>
      <c r="BC555" s="46"/>
      <c r="BD555" s="46"/>
      <c r="BE555" s="46"/>
      <c r="BF555" s="46">
        <v>1</v>
      </c>
      <c r="BG555" s="46">
        <v>1</v>
      </c>
      <c r="BH555" s="46">
        <v>3</v>
      </c>
      <c r="BI555" s="46" t="s">
        <v>1322</v>
      </c>
      <c r="BJ555" s="46" t="s">
        <v>1321</v>
      </c>
      <c r="BK555" s="46">
        <v>1959</v>
      </c>
      <c r="BL555" s="46" t="str">
        <f>BK555&amp;BI555</f>
        <v>1959Luton Town</v>
      </c>
      <c r="BM555" s="52" t="str">
        <f>IF(AD555="Home",BI555,IF(AD555="Away",BJ555,Q555))</f>
        <v>London</v>
      </c>
      <c r="BN555" s="46"/>
      <c r="BO555" s="46"/>
      <c r="BP555" s="46"/>
      <c r="BQ555" s="46"/>
      <c r="BR555" s="46"/>
      <c r="BS555" s="46"/>
      <c r="BT555" s="46"/>
      <c r="BU555" s="46"/>
      <c r="BV555" s="46" t="s">
        <v>376</v>
      </c>
      <c r="BW555" s="46" t="s">
        <v>376</v>
      </c>
      <c r="BX555" s="46"/>
      <c r="BZ555" s="53"/>
      <c r="CA555" s="53"/>
      <c r="CB555" s="93" t="str">
        <f>IF(OR(C555="",A555="",B555=""),"",TEXT(C555,"0000")&amp;TEXT(A555,"00")&amp;TEXT(B555,"00"))</f>
        <v>19590314</v>
      </c>
    </row>
    <row r="556" spans="1:80" s="52" customFormat="1" ht="12.95" customHeight="1" x14ac:dyDescent="0.2">
      <c r="A556" s="46">
        <v>3</v>
      </c>
      <c r="B556" s="46">
        <v>18</v>
      </c>
      <c r="C556" s="46">
        <v>1959</v>
      </c>
      <c r="D556" s="46" t="s">
        <v>658</v>
      </c>
      <c r="E556" s="46" t="s">
        <v>577</v>
      </c>
      <c r="F556" s="47" t="s">
        <v>1010</v>
      </c>
      <c r="G556" s="46"/>
      <c r="H556" s="47" t="s">
        <v>1011</v>
      </c>
      <c r="I556" s="47" t="s">
        <v>1023</v>
      </c>
      <c r="J556" s="48">
        <v>21627</v>
      </c>
      <c r="K556" s="46" t="s">
        <v>1322</v>
      </c>
      <c r="L556" s="46" t="s">
        <v>3</v>
      </c>
      <c r="M556" s="46" t="s">
        <v>1321</v>
      </c>
      <c r="N556" s="49">
        <v>1</v>
      </c>
      <c r="O556" s="49">
        <v>0</v>
      </c>
      <c r="P556" s="47" t="s">
        <v>1232</v>
      </c>
      <c r="Q556" s="47" t="s">
        <v>1111</v>
      </c>
      <c r="R556" s="47" t="s">
        <v>376</v>
      </c>
      <c r="S556" s="46"/>
      <c r="T556" s="46"/>
      <c r="U556" s="46"/>
      <c r="V556" s="46"/>
      <c r="W556" s="46"/>
      <c r="X556" s="46"/>
      <c r="Y556" s="46"/>
      <c r="Z556" s="46"/>
      <c r="AA556" s="46"/>
      <c r="AB556" s="46"/>
      <c r="AC556" s="46"/>
      <c r="AD556" s="46"/>
      <c r="AE556" s="50">
        <f>IF(L556="W",1,0)</f>
        <v>1</v>
      </c>
      <c r="AF556" s="50">
        <f>IF(L556="T",1,0)</f>
        <v>0</v>
      </c>
      <c r="AG556" s="50">
        <f>IF(L556="L",1,0)</f>
        <v>0</v>
      </c>
      <c r="AH556" s="46" t="s">
        <v>1325</v>
      </c>
      <c r="AI556" s="46" t="s">
        <v>1326</v>
      </c>
      <c r="AJ556" s="46" t="s">
        <v>376</v>
      </c>
      <c r="AK556" s="46" t="s">
        <v>658</v>
      </c>
      <c r="AL556" s="46" t="s">
        <v>1323</v>
      </c>
      <c r="AM556" s="46" t="s">
        <v>1324</v>
      </c>
      <c r="AN556" s="46" t="s">
        <v>376</v>
      </c>
      <c r="AO556" s="46" t="s">
        <v>658</v>
      </c>
      <c r="AP556" s="46"/>
      <c r="AQ556" s="46">
        <v>2</v>
      </c>
      <c r="AR556" s="46"/>
      <c r="AS556" s="46"/>
      <c r="AT556" s="46"/>
      <c r="AU556" s="46" t="s">
        <v>376</v>
      </c>
      <c r="AV556" s="46"/>
      <c r="AW556" s="46" t="s">
        <v>30</v>
      </c>
      <c r="AX556" s="46"/>
      <c r="AY556" s="46" t="s">
        <v>30</v>
      </c>
      <c r="AZ556" s="46"/>
      <c r="BA556" s="47"/>
      <c r="BB556" s="51"/>
      <c r="BC556" s="46"/>
      <c r="BD556" s="46"/>
      <c r="BE556" s="46"/>
      <c r="BF556" s="46">
        <v>1</v>
      </c>
      <c r="BG556" s="46">
        <v>1</v>
      </c>
      <c r="BH556" s="46">
        <v>3</v>
      </c>
      <c r="BI556" s="46" t="s">
        <v>1322</v>
      </c>
      <c r="BJ556" s="46" t="s">
        <v>1321</v>
      </c>
      <c r="BK556" s="46">
        <v>1959</v>
      </c>
      <c r="BL556" s="46" t="str">
        <f>BK556&amp;BI556</f>
        <v>1959Luton Town</v>
      </c>
      <c r="BM556" s="52" t="str">
        <f>IF(AD556="Home",BI556,IF(AD556="Away",BJ556,Q556))</f>
        <v>Birmingham</v>
      </c>
      <c r="BN556" s="46"/>
      <c r="BO556" s="46"/>
      <c r="BP556" s="46"/>
      <c r="BQ556" s="46"/>
      <c r="BR556" s="46"/>
      <c r="BS556" s="46"/>
      <c r="BT556" s="46"/>
      <c r="BU556" s="46"/>
      <c r="BV556" s="46" t="s">
        <v>376</v>
      </c>
      <c r="BW556" s="46" t="s">
        <v>376</v>
      </c>
      <c r="BX556" s="46"/>
      <c r="BZ556" s="53"/>
      <c r="CA556" s="53"/>
      <c r="CB556" s="93" t="str">
        <f>IF(OR(C556="",A556="",B556=""),"",TEXT(C556,"0000")&amp;TEXT(A556,"00")&amp;TEXT(B556,"00"))</f>
        <v>19590318</v>
      </c>
    </row>
    <row r="557" spans="1:80" s="52" customFormat="1" ht="12.95" customHeight="1" x14ac:dyDescent="0.2">
      <c r="A557" s="46">
        <v>3</v>
      </c>
      <c r="B557" s="46">
        <v>18</v>
      </c>
      <c r="C557" s="46">
        <v>1959</v>
      </c>
      <c r="D557" s="46" t="s">
        <v>658</v>
      </c>
      <c r="E557" s="46" t="s">
        <v>577</v>
      </c>
      <c r="F557" s="47" t="s">
        <v>1010</v>
      </c>
      <c r="G557" s="46"/>
      <c r="H557" s="47" t="s">
        <v>1011</v>
      </c>
      <c r="I557" s="47" t="s">
        <v>1023</v>
      </c>
      <c r="J557" s="48">
        <v>21627</v>
      </c>
      <c r="K557" s="46" t="s">
        <v>1321</v>
      </c>
      <c r="L557" s="46" t="s">
        <v>4</v>
      </c>
      <c r="M557" s="46" t="s">
        <v>1322</v>
      </c>
      <c r="N557" s="49">
        <v>0</v>
      </c>
      <c r="O557" s="49">
        <v>1</v>
      </c>
      <c r="P557" s="47" t="s">
        <v>1232</v>
      </c>
      <c r="Q557" s="47" t="s">
        <v>1111</v>
      </c>
      <c r="R557" s="47" t="s">
        <v>376</v>
      </c>
      <c r="S557" s="46"/>
      <c r="T557" s="46"/>
      <c r="U557" s="46"/>
      <c r="V557" s="46"/>
      <c r="W557" s="46"/>
      <c r="X557" s="46"/>
      <c r="Y557" s="46"/>
      <c r="Z557" s="46"/>
      <c r="AA557" s="46"/>
      <c r="AB557" s="46"/>
      <c r="AC557" s="46"/>
      <c r="AD557" s="46"/>
      <c r="AE557" s="50">
        <f>IF(L557="W",1,0)</f>
        <v>0</v>
      </c>
      <c r="AF557" s="50">
        <f>IF(L557="T",1,0)</f>
        <v>0</v>
      </c>
      <c r="AG557" s="50">
        <f>IF(L557="L",1,0)</f>
        <v>1</v>
      </c>
      <c r="AH557" s="46" t="s">
        <v>1323</v>
      </c>
      <c r="AI557" s="46" t="s">
        <v>1324</v>
      </c>
      <c r="AJ557" s="46" t="s">
        <v>376</v>
      </c>
      <c r="AK557" s="46" t="s">
        <v>658</v>
      </c>
      <c r="AL557" s="46" t="s">
        <v>1325</v>
      </c>
      <c r="AM557" s="46" t="s">
        <v>1326</v>
      </c>
      <c r="AN557" s="46" t="s">
        <v>376</v>
      </c>
      <c r="AO557" s="46" t="s">
        <v>658</v>
      </c>
      <c r="AP557" s="46"/>
      <c r="AQ557" s="46">
        <v>2</v>
      </c>
      <c r="AR557" s="46"/>
      <c r="AS557" s="46"/>
      <c r="AT557" s="46"/>
      <c r="AU557" s="46" t="s">
        <v>376</v>
      </c>
      <c r="AV557" s="46"/>
      <c r="AW557" s="46" t="s">
        <v>30</v>
      </c>
      <c r="AX557" s="46"/>
      <c r="AY557" s="46" t="s">
        <v>30</v>
      </c>
      <c r="AZ557" s="46"/>
      <c r="BA557" s="47"/>
      <c r="BB557" s="51"/>
      <c r="BC557" s="46"/>
      <c r="BD557" s="46"/>
      <c r="BE557" s="46"/>
      <c r="BF557" s="46">
        <v>1</v>
      </c>
      <c r="BG557" s="46">
        <v>3</v>
      </c>
      <c r="BH557" s="46">
        <v>1</v>
      </c>
      <c r="BI557" s="46" t="s">
        <v>1321</v>
      </c>
      <c r="BJ557" s="46" t="s">
        <v>1322</v>
      </c>
      <c r="BK557" s="46">
        <v>1959</v>
      </c>
      <c r="BL557" s="46" t="str">
        <f>BK557&amp;BI557</f>
        <v>1959Norwich City</v>
      </c>
      <c r="BM557" s="52" t="str">
        <f>IF(AD557="Home",BI557,IF(AD557="Away",BJ557,Q557))</f>
        <v>Birmingham</v>
      </c>
      <c r="BN557" s="46"/>
      <c r="BO557" s="46"/>
      <c r="BP557" s="46"/>
      <c r="BQ557" s="46"/>
      <c r="BR557" s="46"/>
      <c r="BS557" s="46"/>
      <c r="BT557" s="46"/>
      <c r="BU557" s="46"/>
      <c r="BV557" s="46" t="s">
        <v>376</v>
      </c>
      <c r="BW557" s="46" t="s">
        <v>376</v>
      </c>
      <c r="BX557" s="46"/>
      <c r="BZ557" s="53"/>
      <c r="CA557" s="53"/>
      <c r="CB557" s="93" t="str">
        <f>IF(OR(C557="",A557="",B557=""),"",TEXT(C557,"0000")&amp;TEXT(A557,"00")&amp;TEXT(B557,"00"))</f>
        <v>19590318</v>
      </c>
    </row>
    <row r="558" spans="1:80" s="52" customFormat="1" ht="12.95" customHeight="1" x14ac:dyDescent="0.2">
      <c r="A558" s="46">
        <v>5</v>
      </c>
      <c r="B558" s="46">
        <v>2</v>
      </c>
      <c r="C558" s="46">
        <v>1959</v>
      </c>
      <c r="D558" s="46" t="s">
        <v>658</v>
      </c>
      <c r="E558" s="46" t="s">
        <v>577</v>
      </c>
      <c r="F558" s="47" t="s">
        <v>1010</v>
      </c>
      <c r="G558" s="46"/>
      <c r="H558" s="47" t="s">
        <v>1025</v>
      </c>
      <c r="I558" s="47"/>
      <c r="J558" s="48">
        <v>21672</v>
      </c>
      <c r="K558" s="46" t="s">
        <v>1072</v>
      </c>
      <c r="L558" s="46" t="s">
        <v>3</v>
      </c>
      <c r="M558" s="46" t="s">
        <v>1322</v>
      </c>
      <c r="N558" s="49">
        <v>2</v>
      </c>
      <c r="O558" s="49">
        <v>1</v>
      </c>
      <c r="P558" s="47" t="s">
        <v>1268</v>
      </c>
      <c r="Q558" s="47" t="s">
        <v>1017</v>
      </c>
      <c r="R558" s="47" t="s">
        <v>376</v>
      </c>
      <c r="S558" s="46"/>
      <c r="T558" s="46"/>
      <c r="U558" s="46"/>
      <c r="V558" s="46"/>
      <c r="W558" s="46"/>
      <c r="X558" s="46"/>
      <c r="Y558" s="46"/>
      <c r="Z558" s="46"/>
      <c r="AA558" s="46"/>
      <c r="AB558" s="46"/>
      <c r="AC558" s="46"/>
      <c r="AD558" s="46"/>
      <c r="AE558" s="50">
        <f>IF(L558="W",1,0)</f>
        <v>1</v>
      </c>
      <c r="AF558" s="50">
        <f>IF(L558="T",1,0)</f>
        <v>0</v>
      </c>
      <c r="AG558" s="50">
        <f>IF(L558="L",1,0)</f>
        <v>0</v>
      </c>
      <c r="AH558" s="46" t="s">
        <v>1073</v>
      </c>
      <c r="AI558" s="46" t="s">
        <v>1074</v>
      </c>
      <c r="AJ558" s="46" t="s">
        <v>376</v>
      </c>
      <c r="AK558" s="46" t="s">
        <v>658</v>
      </c>
      <c r="AL558" s="46" t="s">
        <v>1325</v>
      </c>
      <c r="AM558" s="46" t="s">
        <v>1326</v>
      </c>
      <c r="AN558" s="46" t="s">
        <v>376</v>
      </c>
      <c r="AO558" s="46" t="s">
        <v>658</v>
      </c>
      <c r="AP558" s="46"/>
      <c r="AQ558" s="46">
        <v>1</v>
      </c>
      <c r="AR558" s="46"/>
      <c r="AS558" s="46"/>
      <c r="AT558" s="46"/>
      <c r="AU558" s="46" t="s">
        <v>376</v>
      </c>
      <c r="AV558" s="46"/>
      <c r="AW558" s="46" t="s">
        <v>30</v>
      </c>
      <c r="AX558" s="46"/>
      <c r="AY558" s="46" t="s">
        <v>30</v>
      </c>
      <c r="AZ558" s="46"/>
      <c r="BA558" s="47"/>
      <c r="BB558" s="51" t="s">
        <v>30</v>
      </c>
      <c r="BC558" s="46" t="s">
        <v>30</v>
      </c>
      <c r="BD558" s="46"/>
      <c r="BE558" s="46"/>
      <c r="BF558" s="46">
        <v>1</v>
      </c>
      <c r="BG558" s="46">
        <v>1</v>
      </c>
      <c r="BH558" s="46">
        <v>1</v>
      </c>
      <c r="BI558" s="46" t="s">
        <v>1072</v>
      </c>
      <c r="BJ558" s="46" t="s">
        <v>1322</v>
      </c>
      <c r="BK558" s="46">
        <v>1959</v>
      </c>
      <c r="BL558" s="46" t="str">
        <f>BK558&amp;BI558</f>
        <v>1959Nottingham Forest</v>
      </c>
      <c r="BM558" s="52" t="str">
        <f>IF(AD558="Home",BI558,IF(AD558="Away",BJ558,Q558))</f>
        <v>London</v>
      </c>
      <c r="BN558" s="46"/>
      <c r="BO558" s="46"/>
      <c r="BP558" s="46"/>
      <c r="BQ558" s="46"/>
      <c r="BR558" s="46"/>
      <c r="BS558" s="46"/>
      <c r="BT558" s="46"/>
      <c r="BU558" s="46"/>
      <c r="BV558" s="46" t="s">
        <v>376</v>
      </c>
      <c r="BW558" s="46" t="s">
        <v>376</v>
      </c>
      <c r="BX558" s="46"/>
      <c r="BZ558" s="53"/>
      <c r="CA558" s="53"/>
      <c r="CB558" s="93" t="str">
        <f>IF(OR(C558="",A558="",B558=""),"",TEXT(C558,"0000")&amp;TEXT(A558,"00")&amp;TEXT(B558,"00"))</f>
        <v>19590502</v>
      </c>
    </row>
    <row r="559" spans="1:80" s="52" customFormat="1" ht="12.95" customHeight="1" x14ac:dyDescent="0.2">
      <c r="A559" s="46">
        <v>5</v>
      </c>
      <c r="B559" s="46">
        <v>2</v>
      </c>
      <c r="C559" s="46">
        <v>1959</v>
      </c>
      <c r="D559" s="46" t="s">
        <v>658</v>
      </c>
      <c r="E559" s="46" t="s">
        <v>577</v>
      </c>
      <c r="F559" s="47" t="s">
        <v>1010</v>
      </c>
      <c r="G559" s="46"/>
      <c r="H559" s="47" t="s">
        <v>1025</v>
      </c>
      <c r="I559" s="47"/>
      <c r="J559" s="48">
        <v>21672</v>
      </c>
      <c r="K559" s="46" t="s">
        <v>1322</v>
      </c>
      <c r="L559" s="46" t="s">
        <v>4</v>
      </c>
      <c r="M559" s="46" t="s">
        <v>1072</v>
      </c>
      <c r="N559" s="49">
        <v>1</v>
      </c>
      <c r="O559" s="49">
        <v>2</v>
      </c>
      <c r="P559" s="47" t="s">
        <v>1268</v>
      </c>
      <c r="Q559" s="47" t="s">
        <v>1017</v>
      </c>
      <c r="R559" s="47" t="s">
        <v>376</v>
      </c>
      <c r="S559" s="46"/>
      <c r="T559" s="46"/>
      <c r="U559" s="46"/>
      <c r="V559" s="46"/>
      <c r="W559" s="46"/>
      <c r="X559" s="46"/>
      <c r="Y559" s="46"/>
      <c r="Z559" s="46"/>
      <c r="AA559" s="46"/>
      <c r="AB559" s="46"/>
      <c r="AC559" s="46"/>
      <c r="AD559" s="46"/>
      <c r="AE559" s="50">
        <f>IF(L559="W",1,0)</f>
        <v>0</v>
      </c>
      <c r="AF559" s="50">
        <f>IF(L559="T",1,0)</f>
        <v>0</v>
      </c>
      <c r="AG559" s="50">
        <f>IF(L559="L",1,0)</f>
        <v>1</v>
      </c>
      <c r="AH559" s="46" t="s">
        <v>1325</v>
      </c>
      <c r="AI559" s="46" t="s">
        <v>1326</v>
      </c>
      <c r="AJ559" s="46" t="s">
        <v>376</v>
      </c>
      <c r="AK559" s="46" t="s">
        <v>658</v>
      </c>
      <c r="AL559" s="46" t="s">
        <v>1073</v>
      </c>
      <c r="AM559" s="46" t="s">
        <v>1074</v>
      </c>
      <c r="AN559" s="46" t="s">
        <v>376</v>
      </c>
      <c r="AO559" s="46" t="s">
        <v>658</v>
      </c>
      <c r="AP559" s="46"/>
      <c r="AQ559" s="46">
        <v>1</v>
      </c>
      <c r="AR559" s="46"/>
      <c r="AS559" s="46"/>
      <c r="AT559" s="46"/>
      <c r="AU559" s="46" t="s">
        <v>376</v>
      </c>
      <c r="AV559" s="46"/>
      <c r="AW559" s="46" t="s">
        <v>30</v>
      </c>
      <c r="AX559" s="46"/>
      <c r="AY559" s="46" t="s">
        <v>30</v>
      </c>
      <c r="AZ559" s="46"/>
      <c r="BA559" s="47"/>
      <c r="BB559" s="51"/>
      <c r="BC559" s="46" t="s">
        <v>30</v>
      </c>
      <c r="BD559" s="46"/>
      <c r="BE559" s="46"/>
      <c r="BF559" s="46">
        <v>1</v>
      </c>
      <c r="BG559" s="46">
        <v>1</v>
      </c>
      <c r="BH559" s="46">
        <v>1</v>
      </c>
      <c r="BI559" s="46" t="s">
        <v>1322</v>
      </c>
      <c r="BJ559" s="46" t="s">
        <v>1072</v>
      </c>
      <c r="BK559" s="46">
        <v>1959</v>
      </c>
      <c r="BL559" s="46" t="str">
        <f>BK559&amp;BI559</f>
        <v>1959Luton Town</v>
      </c>
      <c r="BM559" s="52" t="str">
        <f>IF(AD559="Home",BI559,IF(AD559="Away",BJ559,Q559))</f>
        <v>London</v>
      </c>
      <c r="BN559" s="46"/>
      <c r="BO559" s="46"/>
      <c r="BP559" s="46"/>
      <c r="BQ559" s="46"/>
      <c r="BR559" s="46"/>
      <c r="BS559" s="46"/>
      <c r="BT559" s="46"/>
      <c r="BU559" s="46"/>
      <c r="BV559" s="46" t="s">
        <v>376</v>
      </c>
      <c r="BW559" s="46" t="s">
        <v>376</v>
      </c>
      <c r="BX559" s="46"/>
      <c r="BZ559" s="53"/>
      <c r="CA559" s="53"/>
      <c r="CB559" s="93" t="str">
        <f>IF(OR(C559="",A559="",B559=""),"",TEXT(C559,"0000")&amp;TEXT(A559,"00")&amp;TEXT(B559,"00"))</f>
        <v>19590502</v>
      </c>
    </row>
    <row r="560" spans="1:80" s="52" customFormat="1" ht="12.95" customHeight="1" x14ac:dyDescent="0.2">
      <c r="A560" s="46">
        <v>3</v>
      </c>
      <c r="B560" s="46">
        <v>26</v>
      </c>
      <c r="C560" s="46">
        <v>1960</v>
      </c>
      <c r="D560" s="46" t="s">
        <v>658</v>
      </c>
      <c r="E560" s="46" t="s">
        <v>576</v>
      </c>
      <c r="F560" s="47" t="s">
        <v>1010</v>
      </c>
      <c r="G560" s="46"/>
      <c r="H560" s="47" t="s">
        <v>1011</v>
      </c>
      <c r="I560" s="47"/>
      <c r="J560" s="48">
        <v>22001</v>
      </c>
      <c r="K560" s="46" t="s">
        <v>1094</v>
      </c>
      <c r="L560" s="46" t="s">
        <v>3</v>
      </c>
      <c r="M560" s="46" t="s">
        <v>1093</v>
      </c>
      <c r="N560" s="49">
        <v>2</v>
      </c>
      <c r="O560" s="49">
        <v>1</v>
      </c>
      <c r="P560" s="47" t="s">
        <v>1226</v>
      </c>
      <c r="Q560" s="47" t="s">
        <v>1101</v>
      </c>
      <c r="R560" s="47" t="s">
        <v>376</v>
      </c>
      <c r="S560" s="46"/>
      <c r="T560" s="46"/>
      <c r="U560" s="46"/>
      <c r="V560" s="46"/>
      <c r="W560" s="46"/>
      <c r="X560" s="46"/>
      <c r="Y560" s="46"/>
      <c r="Z560" s="46"/>
      <c r="AA560" s="46"/>
      <c r="AB560" s="46"/>
      <c r="AC560" s="46"/>
      <c r="AD560" s="46"/>
      <c r="AE560" s="50">
        <f>IF(L560="W",1,0)</f>
        <v>1</v>
      </c>
      <c r="AF560" s="50">
        <f>IF(L560="T",1,0)</f>
        <v>0</v>
      </c>
      <c r="AG560" s="50">
        <f>IF(L560="L",1,0)</f>
        <v>0</v>
      </c>
      <c r="AH560" s="46" t="s">
        <v>1085</v>
      </c>
      <c r="AI560" s="46" t="s">
        <v>1086</v>
      </c>
      <c r="AJ560" s="46" t="s">
        <v>376</v>
      </c>
      <c r="AK560" s="46" t="s">
        <v>658</v>
      </c>
      <c r="AL560" s="46" t="s">
        <v>1097</v>
      </c>
      <c r="AM560" s="46" t="s">
        <v>1098</v>
      </c>
      <c r="AN560" s="46" t="s">
        <v>376</v>
      </c>
      <c r="AO560" s="46" t="s">
        <v>658</v>
      </c>
      <c r="AP560" s="46"/>
      <c r="AQ560" s="46">
        <v>2</v>
      </c>
      <c r="AR560" s="46"/>
      <c r="AS560" s="46"/>
      <c r="AT560" s="46"/>
      <c r="AU560" s="46" t="s">
        <v>376</v>
      </c>
      <c r="AV560" s="46"/>
      <c r="AW560" s="46" t="s">
        <v>30</v>
      </c>
      <c r="AX560" s="46"/>
      <c r="AY560" s="46" t="s">
        <v>30</v>
      </c>
      <c r="AZ560" s="46"/>
      <c r="BA560" s="47"/>
      <c r="BB560" s="51"/>
      <c r="BC560" s="46"/>
      <c r="BD560" s="46"/>
      <c r="BE560" s="46"/>
      <c r="BF560" s="46">
        <v>1</v>
      </c>
      <c r="BG560" s="46">
        <v>1</v>
      </c>
      <c r="BH560" s="46">
        <v>1</v>
      </c>
      <c r="BI560" s="46" t="s">
        <v>1094</v>
      </c>
      <c r="BJ560" s="46" t="s">
        <v>1093</v>
      </c>
      <c r="BK560" s="46">
        <v>1960</v>
      </c>
      <c r="BL560" s="46" t="str">
        <f>BK560&amp;BI560</f>
        <v>1960Blackburn Rovers</v>
      </c>
      <c r="BM560" s="52" t="str">
        <f>IF(AD560="Home",BI560,IF(AD560="Away",BJ560,Q560))</f>
        <v>Manchester</v>
      </c>
      <c r="BN560" s="46"/>
      <c r="BO560" s="46"/>
      <c r="BP560" s="46"/>
      <c r="BQ560" s="46"/>
      <c r="BR560" s="46"/>
      <c r="BS560" s="46"/>
      <c r="BT560" s="46"/>
      <c r="BU560" s="46"/>
      <c r="BV560" s="46" t="s">
        <v>376</v>
      </c>
      <c r="BW560" s="46" t="s">
        <v>376</v>
      </c>
      <c r="BX560" s="46"/>
      <c r="BZ560" s="53"/>
      <c r="CA560" s="53"/>
      <c r="CB560" s="93" t="str">
        <f>IF(OR(C560="",A560="",B560=""),"",TEXT(C560,"0000")&amp;TEXT(A560,"00")&amp;TEXT(B560,"00"))</f>
        <v>19600326</v>
      </c>
    </row>
    <row r="561" spans="1:80" s="52" customFormat="1" ht="12.95" customHeight="1" x14ac:dyDescent="0.2">
      <c r="A561" s="46">
        <v>3</v>
      </c>
      <c r="B561" s="46">
        <v>26</v>
      </c>
      <c r="C561" s="46">
        <v>1960</v>
      </c>
      <c r="D561" s="46" t="s">
        <v>658</v>
      </c>
      <c r="E561" s="46" t="s">
        <v>576</v>
      </c>
      <c r="F561" s="47" t="s">
        <v>1010</v>
      </c>
      <c r="G561" s="46"/>
      <c r="H561" s="47" t="s">
        <v>1011</v>
      </c>
      <c r="I561" s="47"/>
      <c r="J561" s="48">
        <v>22001</v>
      </c>
      <c r="K561" s="46" t="s">
        <v>1093</v>
      </c>
      <c r="L561" s="46" t="s">
        <v>4</v>
      </c>
      <c r="M561" s="46" t="s">
        <v>1094</v>
      </c>
      <c r="N561" s="49">
        <v>1</v>
      </c>
      <c r="O561" s="49">
        <v>2</v>
      </c>
      <c r="P561" s="47" t="s">
        <v>1226</v>
      </c>
      <c r="Q561" s="47" t="s">
        <v>1101</v>
      </c>
      <c r="R561" s="47" t="s">
        <v>376</v>
      </c>
      <c r="S561" s="46"/>
      <c r="T561" s="46"/>
      <c r="U561" s="46"/>
      <c r="V561" s="46"/>
      <c r="W561" s="46"/>
      <c r="X561" s="46"/>
      <c r="Y561" s="46"/>
      <c r="Z561" s="46"/>
      <c r="AA561" s="46"/>
      <c r="AB561" s="46"/>
      <c r="AC561" s="46"/>
      <c r="AD561" s="46"/>
      <c r="AE561" s="50">
        <f>IF(L561="W",1,0)</f>
        <v>0</v>
      </c>
      <c r="AF561" s="50">
        <f>IF(L561="T",1,0)</f>
        <v>0</v>
      </c>
      <c r="AG561" s="50">
        <f>IF(L561="L",1,0)</f>
        <v>1</v>
      </c>
      <c r="AH561" s="46" t="s">
        <v>1097</v>
      </c>
      <c r="AI561" s="46" t="s">
        <v>1098</v>
      </c>
      <c r="AJ561" s="46" t="s">
        <v>376</v>
      </c>
      <c r="AK561" s="46" t="s">
        <v>658</v>
      </c>
      <c r="AL561" s="46" t="s">
        <v>1085</v>
      </c>
      <c r="AM561" s="46" t="s">
        <v>1086</v>
      </c>
      <c r="AN561" s="46" t="s">
        <v>376</v>
      </c>
      <c r="AO561" s="46" t="s">
        <v>658</v>
      </c>
      <c r="AP561" s="46"/>
      <c r="AQ561" s="46">
        <v>2</v>
      </c>
      <c r="AR561" s="46"/>
      <c r="AS561" s="46"/>
      <c r="AT561" s="46"/>
      <c r="AU561" s="46" t="s">
        <v>376</v>
      </c>
      <c r="AV561" s="46"/>
      <c r="AW561" s="46" t="s">
        <v>30</v>
      </c>
      <c r="AX561" s="46"/>
      <c r="AY561" s="46" t="s">
        <v>30</v>
      </c>
      <c r="AZ561" s="46"/>
      <c r="BA561" s="47"/>
      <c r="BB561" s="51"/>
      <c r="BC561" s="46"/>
      <c r="BD561" s="46"/>
      <c r="BE561" s="46"/>
      <c r="BF561" s="46">
        <v>1</v>
      </c>
      <c r="BG561" s="46">
        <v>1</v>
      </c>
      <c r="BH561" s="46">
        <v>1</v>
      </c>
      <c r="BI561" s="46" t="s">
        <v>1093</v>
      </c>
      <c r="BJ561" s="46" t="s">
        <v>1094</v>
      </c>
      <c r="BK561" s="46">
        <v>1960</v>
      </c>
      <c r="BL561" s="46" t="str">
        <f>BK561&amp;BI561</f>
        <v>1960Sheffield Wednesday</v>
      </c>
      <c r="BM561" s="52" t="str">
        <f>IF(AD561="Home",BI561,IF(AD561="Away",BJ561,Q561))</f>
        <v>Manchester</v>
      </c>
      <c r="BN561" s="46"/>
      <c r="BO561" s="46"/>
      <c r="BP561" s="46"/>
      <c r="BQ561" s="46"/>
      <c r="BR561" s="46"/>
      <c r="BS561" s="46"/>
      <c r="BT561" s="46"/>
      <c r="BU561" s="46"/>
      <c r="BV561" s="46" t="s">
        <v>376</v>
      </c>
      <c r="BW561" s="46" t="s">
        <v>376</v>
      </c>
      <c r="BX561" s="46"/>
      <c r="BZ561" s="53"/>
      <c r="CA561" s="53"/>
      <c r="CB561" s="93" t="str">
        <f>IF(OR(C561="",A561="",B561=""),"",TEXT(C561,"0000")&amp;TEXT(A561,"00")&amp;TEXT(B561,"00"))</f>
        <v>19600326</v>
      </c>
    </row>
    <row r="562" spans="1:80" s="52" customFormat="1" ht="12.95" customHeight="1" x14ac:dyDescent="0.2">
      <c r="A562" s="46">
        <v>3</v>
      </c>
      <c r="B562" s="46">
        <v>26</v>
      </c>
      <c r="C562" s="46">
        <v>1960</v>
      </c>
      <c r="D562" s="46" t="s">
        <v>658</v>
      </c>
      <c r="E562" s="46" t="s">
        <v>576</v>
      </c>
      <c r="F562" s="47" t="s">
        <v>1010</v>
      </c>
      <c r="G562" s="46"/>
      <c r="H562" s="47" t="s">
        <v>1011</v>
      </c>
      <c r="I562" s="47"/>
      <c r="J562" s="48">
        <v>22001</v>
      </c>
      <c r="K562" s="46" t="s">
        <v>1151</v>
      </c>
      <c r="L562" s="46" t="s">
        <v>3</v>
      </c>
      <c r="M562" s="46" t="s">
        <v>806</v>
      </c>
      <c r="N562" s="49">
        <v>1</v>
      </c>
      <c r="O562" s="49">
        <v>0</v>
      </c>
      <c r="P562" s="47" t="s">
        <v>1221</v>
      </c>
      <c r="Q562" s="47" t="s">
        <v>1111</v>
      </c>
      <c r="R562" s="47" t="s">
        <v>376</v>
      </c>
      <c r="S562" s="46"/>
      <c r="T562" s="46"/>
      <c r="U562" s="46"/>
      <c r="V562" s="46"/>
      <c r="W562" s="46"/>
      <c r="X562" s="46"/>
      <c r="Y562" s="46"/>
      <c r="Z562" s="46"/>
      <c r="AA562" s="46"/>
      <c r="AB562" s="46"/>
      <c r="AC562" s="46"/>
      <c r="AD562" s="46"/>
      <c r="AE562" s="50">
        <f>IF(L562="W",1,0)</f>
        <v>1</v>
      </c>
      <c r="AF562" s="50">
        <f>IF(L562="T",1,0)</f>
        <v>0</v>
      </c>
      <c r="AG562" s="50">
        <f>IF(L562="L",1,0)</f>
        <v>0</v>
      </c>
      <c r="AH562" s="46" t="s">
        <v>1111</v>
      </c>
      <c r="AI562" s="46" t="s">
        <v>1126</v>
      </c>
      <c r="AJ562" s="46" t="s">
        <v>376</v>
      </c>
      <c r="AK562" s="46" t="s">
        <v>658</v>
      </c>
      <c r="AL562" s="46" t="s">
        <v>1111</v>
      </c>
      <c r="AM562" s="46" t="s">
        <v>1126</v>
      </c>
      <c r="AN562" s="46" t="s">
        <v>376</v>
      </c>
      <c r="AO562" s="46" t="s">
        <v>658</v>
      </c>
      <c r="AP562" s="46"/>
      <c r="AQ562" s="46">
        <v>2</v>
      </c>
      <c r="AR562" s="46"/>
      <c r="AS562" s="46"/>
      <c r="AT562" s="46"/>
      <c r="AU562" s="46" t="s">
        <v>376</v>
      </c>
      <c r="AV562" s="46"/>
      <c r="AW562" s="46" t="s">
        <v>30</v>
      </c>
      <c r="AX562" s="46"/>
      <c r="AY562" s="46" t="s">
        <v>30</v>
      </c>
      <c r="AZ562" s="46"/>
      <c r="BA562" s="47"/>
      <c r="BB562" s="51"/>
      <c r="BC562" s="46"/>
      <c r="BD562" s="46"/>
      <c r="BE562" s="46"/>
      <c r="BF562" s="46">
        <v>1</v>
      </c>
      <c r="BG562" s="46">
        <v>1</v>
      </c>
      <c r="BH562" s="46">
        <v>2</v>
      </c>
      <c r="BI562" s="46" t="s">
        <v>1151</v>
      </c>
      <c r="BJ562" s="46" t="s">
        <v>806</v>
      </c>
      <c r="BK562" s="46">
        <v>1960</v>
      </c>
      <c r="BL562" s="46" t="str">
        <f>BK562&amp;BI562</f>
        <v>1960Wolverhampton Wanderers</v>
      </c>
      <c r="BM562" s="52" t="str">
        <f>IF(AD562="Home",BI562,IF(AD562="Away",BJ562,Q562))</f>
        <v>Birmingham</v>
      </c>
      <c r="BN562" s="46"/>
      <c r="BO562" s="46"/>
      <c r="BP562" s="46"/>
      <c r="BQ562" s="46"/>
      <c r="BR562" s="46"/>
      <c r="BS562" s="46"/>
      <c r="BT562" s="46"/>
      <c r="BU562" s="46"/>
      <c r="BV562" s="46" t="s">
        <v>376</v>
      </c>
      <c r="BW562" s="46" t="s">
        <v>376</v>
      </c>
      <c r="BX562" s="46"/>
      <c r="BZ562" s="53"/>
      <c r="CA562" s="53"/>
      <c r="CB562" s="93" t="str">
        <f>IF(OR(C562="",A562="",B562=""),"",TEXT(C562,"0000")&amp;TEXT(A562,"00")&amp;TEXT(B562,"00"))</f>
        <v>19600326</v>
      </c>
    </row>
    <row r="563" spans="1:80" s="52" customFormat="1" ht="12.95" customHeight="1" x14ac:dyDescent="0.2">
      <c r="A563" s="46">
        <v>3</v>
      </c>
      <c r="B563" s="46">
        <v>26</v>
      </c>
      <c r="C563" s="46">
        <v>1960</v>
      </c>
      <c r="D563" s="46" t="s">
        <v>658</v>
      </c>
      <c r="E563" s="46" t="s">
        <v>576</v>
      </c>
      <c r="F563" s="47" t="s">
        <v>1010</v>
      </c>
      <c r="G563" s="46"/>
      <c r="H563" s="47" t="s">
        <v>1011</v>
      </c>
      <c r="I563" s="47"/>
      <c r="J563" s="48">
        <v>22001</v>
      </c>
      <c r="K563" s="46" t="s">
        <v>806</v>
      </c>
      <c r="L563" s="46" t="s">
        <v>4</v>
      </c>
      <c r="M563" s="46" t="s">
        <v>1151</v>
      </c>
      <c r="N563" s="49">
        <v>0</v>
      </c>
      <c r="O563" s="49">
        <v>1</v>
      </c>
      <c r="P563" s="47" t="s">
        <v>1221</v>
      </c>
      <c r="Q563" s="47" t="s">
        <v>1111</v>
      </c>
      <c r="R563" s="47" t="s">
        <v>376</v>
      </c>
      <c r="S563" s="46"/>
      <c r="T563" s="46"/>
      <c r="U563" s="46"/>
      <c r="V563" s="46"/>
      <c r="W563" s="46"/>
      <c r="X563" s="46"/>
      <c r="Y563" s="46"/>
      <c r="Z563" s="46"/>
      <c r="AA563" s="46"/>
      <c r="AB563" s="46"/>
      <c r="AC563" s="46"/>
      <c r="AD563" s="46"/>
      <c r="AE563" s="50">
        <f>IF(L563="W",1,0)</f>
        <v>0</v>
      </c>
      <c r="AF563" s="50">
        <f>IF(L563="T",1,0)</f>
        <v>0</v>
      </c>
      <c r="AG563" s="50">
        <f>IF(L563="L",1,0)</f>
        <v>1</v>
      </c>
      <c r="AH563" s="46" t="s">
        <v>1111</v>
      </c>
      <c r="AI563" s="46" t="s">
        <v>1126</v>
      </c>
      <c r="AJ563" s="46" t="s">
        <v>376</v>
      </c>
      <c r="AK563" s="46" t="s">
        <v>658</v>
      </c>
      <c r="AL563" s="46" t="s">
        <v>1111</v>
      </c>
      <c r="AM563" s="46" t="s">
        <v>1126</v>
      </c>
      <c r="AN563" s="46" t="s">
        <v>376</v>
      </c>
      <c r="AO563" s="46" t="s">
        <v>658</v>
      </c>
      <c r="AP563" s="46"/>
      <c r="AQ563" s="46">
        <v>2</v>
      </c>
      <c r="AR563" s="46"/>
      <c r="AS563" s="46"/>
      <c r="AT563" s="46"/>
      <c r="AU563" s="46" t="s">
        <v>376</v>
      </c>
      <c r="AV563" s="46"/>
      <c r="AW563" s="46" t="s">
        <v>30</v>
      </c>
      <c r="AX563" s="46"/>
      <c r="AY563" s="46" t="s">
        <v>30</v>
      </c>
      <c r="AZ563" s="46"/>
      <c r="BA563" s="47"/>
      <c r="BB563" s="51"/>
      <c r="BC563" s="46"/>
      <c r="BD563" s="46"/>
      <c r="BE563" s="46"/>
      <c r="BF563" s="46">
        <v>1</v>
      </c>
      <c r="BG563" s="46">
        <v>2</v>
      </c>
      <c r="BH563" s="46">
        <v>1</v>
      </c>
      <c r="BI563" s="46" t="s">
        <v>806</v>
      </c>
      <c r="BJ563" s="46" t="s">
        <v>1151</v>
      </c>
      <c r="BK563" s="46">
        <v>1960</v>
      </c>
      <c r="BL563" s="46" t="str">
        <f>BK563&amp;BI563</f>
        <v>1960Aston Villa</v>
      </c>
      <c r="BM563" s="52" t="str">
        <f>IF(AD563="Home",BI563,IF(AD563="Away",BJ563,Q563))</f>
        <v>Birmingham</v>
      </c>
      <c r="BN563" s="46"/>
      <c r="BO563" s="46"/>
      <c r="BP563" s="46"/>
      <c r="BQ563" s="46"/>
      <c r="BR563" s="46"/>
      <c r="BS563" s="46"/>
      <c r="BT563" s="46"/>
      <c r="BU563" s="46"/>
      <c r="BV563" s="46" t="s">
        <v>376</v>
      </c>
      <c r="BW563" s="46" t="s">
        <v>376</v>
      </c>
      <c r="BX563" s="46"/>
      <c r="BZ563" s="53"/>
      <c r="CA563" s="53"/>
      <c r="CB563" s="93" t="str">
        <f>IF(OR(C563="",A563="",B563=""),"",TEXT(C563,"0000")&amp;TEXT(A563,"00")&amp;TEXT(B563,"00"))</f>
        <v>19600326</v>
      </c>
    </row>
    <row r="564" spans="1:80" s="52" customFormat="1" ht="12.95" customHeight="1" x14ac:dyDescent="0.2">
      <c r="A564" s="46">
        <v>5</v>
      </c>
      <c r="B564" s="46">
        <v>7</v>
      </c>
      <c r="C564" s="46">
        <v>1960</v>
      </c>
      <c r="D564" s="46" t="s">
        <v>658</v>
      </c>
      <c r="E564" s="46" t="s">
        <v>576</v>
      </c>
      <c r="F564" s="47" t="s">
        <v>1010</v>
      </c>
      <c r="G564" s="46"/>
      <c r="H564" s="47" t="s">
        <v>1025</v>
      </c>
      <c r="I564" s="47"/>
      <c r="J564" s="48">
        <v>22043</v>
      </c>
      <c r="K564" s="46" t="s">
        <v>1151</v>
      </c>
      <c r="L564" s="46" t="s">
        <v>3</v>
      </c>
      <c r="M564" s="46" t="s">
        <v>1094</v>
      </c>
      <c r="N564" s="49">
        <v>3</v>
      </c>
      <c r="O564" s="49">
        <v>0</v>
      </c>
      <c r="P564" s="47" t="s">
        <v>1268</v>
      </c>
      <c r="Q564" s="47" t="s">
        <v>1017</v>
      </c>
      <c r="R564" s="47" t="s">
        <v>376</v>
      </c>
      <c r="S564" s="46"/>
      <c r="T564" s="46"/>
      <c r="U564" s="46"/>
      <c r="V564" s="46"/>
      <c r="W564" s="46"/>
      <c r="X564" s="46"/>
      <c r="Y564" s="46"/>
      <c r="Z564" s="46"/>
      <c r="AA564" s="46"/>
      <c r="AB564" s="46"/>
      <c r="AC564" s="46"/>
      <c r="AD564" s="46"/>
      <c r="AE564" s="50">
        <f>IF(L564="W",1,0)</f>
        <v>1</v>
      </c>
      <c r="AF564" s="50">
        <f>IF(L564="T",1,0)</f>
        <v>0</v>
      </c>
      <c r="AG564" s="50">
        <f>IF(L564="L",1,0)</f>
        <v>0</v>
      </c>
      <c r="AH564" s="46" t="s">
        <v>1111</v>
      </c>
      <c r="AI564" s="46" t="s">
        <v>1126</v>
      </c>
      <c r="AJ564" s="46" t="s">
        <v>376</v>
      </c>
      <c r="AK564" s="46" t="s">
        <v>658</v>
      </c>
      <c r="AL564" s="46" t="s">
        <v>1085</v>
      </c>
      <c r="AM564" s="46" t="s">
        <v>1086</v>
      </c>
      <c r="AN564" s="46" t="s">
        <v>376</v>
      </c>
      <c r="AO564" s="46" t="s">
        <v>658</v>
      </c>
      <c r="AP564" s="46"/>
      <c r="AQ564" s="46">
        <v>1</v>
      </c>
      <c r="AR564" s="46"/>
      <c r="AS564" s="46"/>
      <c r="AT564" s="46"/>
      <c r="AU564" s="46" t="s">
        <v>376</v>
      </c>
      <c r="AV564" s="46"/>
      <c r="AW564" s="46" t="s">
        <v>30</v>
      </c>
      <c r="AX564" s="46"/>
      <c r="AY564" s="46" t="s">
        <v>30</v>
      </c>
      <c r="AZ564" s="46"/>
      <c r="BA564" s="47"/>
      <c r="BB564" s="51" t="s">
        <v>30</v>
      </c>
      <c r="BC564" s="46" t="s">
        <v>30</v>
      </c>
      <c r="BD564" s="46"/>
      <c r="BE564" s="46"/>
      <c r="BF564" s="46">
        <v>1</v>
      </c>
      <c r="BG564" s="46">
        <v>1</v>
      </c>
      <c r="BH564" s="46">
        <v>1</v>
      </c>
      <c r="BI564" s="46" t="s">
        <v>1151</v>
      </c>
      <c r="BJ564" s="46" t="s">
        <v>1094</v>
      </c>
      <c r="BK564" s="46">
        <v>1960</v>
      </c>
      <c r="BL564" s="46" t="str">
        <f>BK564&amp;BI564</f>
        <v>1960Wolverhampton Wanderers</v>
      </c>
      <c r="BM564" s="52" t="str">
        <f>IF(AD564="Home",BI564,IF(AD564="Away",BJ564,Q564))</f>
        <v>London</v>
      </c>
      <c r="BN564" s="46"/>
      <c r="BO564" s="46"/>
      <c r="BP564" s="46"/>
      <c r="BQ564" s="46"/>
      <c r="BR564" s="46"/>
      <c r="BS564" s="46"/>
      <c r="BT564" s="46"/>
      <c r="BU564" s="46"/>
      <c r="BV564" s="46" t="s">
        <v>376</v>
      </c>
      <c r="BW564" s="46" t="s">
        <v>376</v>
      </c>
      <c r="BX564" s="46"/>
      <c r="BZ564" s="53"/>
      <c r="CA564" s="53"/>
      <c r="CB564" s="93" t="str">
        <f>IF(OR(C564="",A564="",B564=""),"",TEXT(C564,"0000")&amp;TEXT(A564,"00")&amp;TEXT(B564,"00"))</f>
        <v>19600507</v>
      </c>
    </row>
    <row r="565" spans="1:80" s="52" customFormat="1" ht="12.95" customHeight="1" x14ac:dyDescent="0.2">
      <c r="A565" s="46">
        <v>5</v>
      </c>
      <c r="B565" s="46">
        <v>7</v>
      </c>
      <c r="C565" s="46">
        <v>1960</v>
      </c>
      <c r="D565" s="46" t="s">
        <v>658</v>
      </c>
      <c r="E565" s="46" t="s">
        <v>576</v>
      </c>
      <c r="F565" s="47" t="s">
        <v>1010</v>
      </c>
      <c r="G565" s="46"/>
      <c r="H565" s="47" t="s">
        <v>1025</v>
      </c>
      <c r="I565" s="47"/>
      <c r="J565" s="48">
        <v>22043</v>
      </c>
      <c r="K565" s="46" t="s">
        <v>1094</v>
      </c>
      <c r="L565" s="46" t="s">
        <v>4</v>
      </c>
      <c r="M565" s="46" t="s">
        <v>1151</v>
      </c>
      <c r="N565" s="49">
        <v>0</v>
      </c>
      <c r="O565" s="49">
        <v>3</v>
      </c>
      <c r="P565" s="47" t="s">
        <v>1268</v>
      </c>
      <c r="Q565" s="47" t="s">
        <v>1017</v>
      </c>
      <c r="R565" s="47" t="s">
        <v>376</v>
      </c>
      <c r="S565" s="46"/>
      <c r="T565" s="46"/>
      <c r="U565" s="46"/>
      <c r="V565" s="46"/>
      <c r="W565" s="46"/>
      <c r="X565" s="46"/>
      <c r="Y565" s="46"/>
      <c r="Z565" s="46"/>
      <c r="AA565" s="46"/>
      <c r="AB565" s="46"/>
      <c r="AC565" s="46"/>
      <c r="AD565" s="46"/>
      <c r="AE565" s="50">
        <f>IF(L565="W",1,0)</f>
        <v>0</v>
      </c>
      <c r="AF565" s="50">
        <f>IF(L565="T",1,0)</f>
        <v>0</v>
      </c>
      <c r="AG565" s="50">
        <f>IF(L565="L",1,0)</f>
        <v>1</v>
      </c>
      <c r="AH565" s="46" t="s">
        <v>1085</v>
      </c>
      <c r="AI565" s="46" t="s">
        <v>1086</v>
      </c>
      <c r="AJ565" s="46" t="s">
        <v>376</v>
      </c>
      <c r="AK565" s="46" t="s">
        <v>658</v>
      </c>
      <c r="AL565" s="46" t="s">
        <v>1111</v>
      </c>
      <c r="AM565" s="46" t="s">
        <v>1126</v>
      </c>
      <c r="AN565" s="46" t="s">
        <v>376</v>
      </c>
      <c r="AO565" s="46" t="s">
        <v>658</v>
      </c>
      <c r="AP565" s="46"/>
      <c r="AQ565" s="46">
        <v>1</v>
      </c>
      <c r="AR565" s="46"/>
      <c r="AS565" s="46"/>
      <c r="AT565" s="46"/>
      <c r="AU565" s="46" t="s">
        <v>376</v>
      </c>
      <c r="AV565" s="46"/>
      <c r="AW565" s="46" t="s">
        <v>30</v>
      </c>
      <c r="AX565" s="46"/>
      <c r="AY565" s="46" t="s">
        <v>30</v>
      </c>
      <c r="AZ565" s="46"/>
      <c r="BA565" s="47"/>
      <c r="BB565" s="51"/>
      <c r="BC565" s="46" t="s">
        <v>30</v>
      </c>
      <c r="BD565" s="46"/>
      <c r="BE565" s="46"/>
      <c r="BF565" s="46">
        <v>1</v>
      </c>
      <c r="BG565" s="46">
        <v>1</v>
      </c>
      <c r="BH565" s="46">
        <v>1</v>
      </c>
      <c r="BI565" s="46" t="s">
        <v>1094</v>
      </c>
      <c r="BJ565" s="46" t="s">
        <v>1151</v>
      </c>
      <c r="BK565" s="46">
        <v>1960</v>
      </c>
      <c r="BL565" s="46" t="str">
        <f>BK565&amp;BI565</f>
        <v>1960Blackburn Rovers</v>
      </c>
      <c r="BM565" s="52" t="str">
        <f>IF(AD565="Home",BI565,IF(AD565="Away",BJ565,Q565))</f>
        <v>London</v>
      </c>
      <c r="BN565" s="46"/>
      <c r="BO565" s="46"/>
      <c r="BP565" s="46"/>
      <c r="BQ565" s="46"/>
      <c r="BR565" s="46"/>
      <c r="BS565" s="46"/>
      <c r="BT565" s="46"/>
      <c r="BU565" s="46"/>
      <c r="BV565" s="46" t="s">
        <v>376</v>
      </c>
      <c r="BW565" s="46" t="s">
        <v>376</v>
      </c>
      <c r="BX565" s="46"/>
      <c r="BZ565" s="53"/>
      <c r="CA565" s="53"/>
      <c r="CB565" s="93" t="str">
        <f>IF(OR(C565="",A565="",B565=""),"",TEXT(C565,"0000")&amp;TEXT(A565,"00")&amp;TEXT(B565,"00"))</f>
        <v>19600507</v>
      </c>
    </row>
    <row r="566" spans="1:80" s="52" customFormat="1" ht="12.95" customHeight="1" x14ac:dyDescent="0.2">
      <c r="A566" s="46">
        <v>3</v>
      </c>
      <c r="B566" s="46">
        <v>18</v>
      </c>
      <c r="C566" s="46">
        <v>1961</v>
      </c>
      <c r="D566" s="46" t="s">
        <v>658</v>
      </c>
      <c r="E566" s="46" t="s">
        <v>574</v>
      </c>
      <c r="F566" s="47" t="s">
        <v>1010</v>
      </c>
      <c r="G566" s="46"/>
      <c r="H566" s="47" t="s">
        <v>1011</v>
      </c>
      <c r="I566" s="47"/>
      <c r="J566" s="48">
        <v>22358</v>
      </c>
      <c r="K566" s="46" t="s">
        <v>1207</v>
      </c>
      <c r="L566" s="46" t="s">
        <v>1014</v>
      </c>
      <c r="M566" s="46" t="s">
        <v>1291</v>
      </c>
      <c r="N566" s="49">
        <v>0</v>
      </c>
      <c r="O566" s="49">
        <v>0</v>
      </c>
      <c r="P566" s="47" t="s">
        <v>1240</v>
      </c>
      <c r="Q566" s="47" t="s">
        <v>1241</v>
      </c>
      <c r="R566" s="47" t="s">
        <v>376</v>
      </c>
      <c r="S566" s="46"/>
      <c r="T566" s="46"/>
      <c r="U566" s="46"/>
      <c r="V566" s="46"/>
      <c r="W566" s="46"/>
      <c r="X566" s="46"/>
      <c r="Y566" s="46"/>
      <c r="Z566" s="46"/>
      <c r="AA566" s="46"/>
      <c r="AB566" s="46"/>
      <c r="AC566" s="46"/>
      <c r="AD566" s="46"/>
      <c r="AE566" s="50">
        <f>IF(L566="W",1,0)</f>
        <v>0</v>
      </c>
      <c r="AF566" s="50">
        <f>IF(L566="T",1,0)</f>
        <v>1</v>
      </c>
      <c r="AG566" s="50">
        <f>IF(L566="L",1,0)</f>
        <v>0</v>
      </c>
      <c r="AH566" s="46" t="s">
        <v>1097</v>
      </c>
      <c r="AI566" s="46" t="s">
        <v>1098</v>
      </c>
      <c r="AJ566" s="46" t="s">
        <v>376</v>
      </c>
      <c r="AK566" s="46" t="s">
        <v>658</v>
      </c>
      <c r="AL566" s="46" t="s">
        <v>1278</v>
      </c>
      <c r="AM566" s="46" t="s">
        <v>1292</v>
      </c>
      <c r="AN566" s="46" t="s">
        <v>376</v>
      </c>
      <c r="AO566" s="46" t="s">
        <v>658</v>
      </c>
      <c r="AP566" s="46"/>
      <c r="AQ566" s="46">
        <v>2</v>
      </c>
      <c r="AR566" s="46"/>
      <c r="AS566" s="46"/>
      <c r="AT566" s="46"/>
      <c r="AU566" s="46" t="s">
        <v>376</v>
      </c>
      <c r="AV566" s="46"/>
      <c r="AW566" s="46" t="s">
        <v>30</v>
      </c>
      <c r="AX566" s="46"/>
      <c r="AY566" s="46" t="s">
        <v>30</v>
      </c>
      <c r="AZ566" s="46"/>
      <c r="BA566" s="47"/>
      <c r="BB566" s="51"/>
      <c r="BC566" s="46"/>
      <c r="BD566" s="46"/>
      <c r="BE566" s="46"/>
      <c r="BF566" s="46">
        <v>1</v>
      </c>
      <c r="BG566" s="46">
        <v>2</v>
      </c>
      <c r="BH566" s="46">
        <v>1</v>
      </c>
      <c r="BI566" s="46" t="s">
        <v>1207</v>
      </c>
      <c r="BJ566" s="46" t="s">
        <v>1291</v>
      </c>
      <c r="BK566" s="46">
        <v>1961</v>
      </c>
      <c r="BL566" s="46" t="str">
        <f>BK566&amp;BI566</f>
        <v>1961Sheffield United</v>
      </c>
      <c r="BM566" s="52" t="str">
        <f>IF(AD566="Home",BI566,IF(AD566="Away",BJ566,Q566))</f>
        <v>Leeds</v>
      </c>
      <c r="BN566" s="46"/>
      <c r="BO566" s="46"/>
      <c r="BP566" s="46"/>
      <c r="BQ566" s="46"/>
      <c r="BR566" s="46"/>
      <c r="BS566" s="46"/>
      <c r="BT566" s="46"/>
      <c r="BU566" s="46"/>
      <c r="BV566" s="46" t="s">
        <v>376</v>
      </c>
      <c r="BW566" s="46" t="s">
        <v>376</v>
      </c>
      <c r="BX566" s="46"/>
      <c r="BZ566" s="53"/>
      <c r="CA566" s="53"/>
      <c r="CB566" s="93" t="str">
        <f>IF(OR(C566="",A566="",B566=""),"",TEXT(C566,"0000")&amp;TEXT(A566,"00")&amp;TEXT(B566,"00"))</f>
        <v>19610318</v>
      </c>
    </row>
    <row r="567" spans="1:80" s="52" customFormat="1" ht="12.95" customHeight="1" x14ac:dyDescent="0.2">
      <c r="A567" s="46">
        <v>3</v>
      </c>
      <c r="B567" s="46">
        <v>18</v>
      </c>
      <c r="C567" s="46">
        <v>1961</v>
      </c>
      <c r="D567" s="46" t="s">
        <v>658</v>
      </c>
      <c r="E567" s="46" t="s">
        <v>574</v>
      </c>
      <c r="F567" s="47" t="s">
        <v>1010</v>
      </c>
      <c r="G567" s="46"/>
      <c r="H567" s="47" t="s">
        <v>1011</v>
      </c>
      <c r="I567" s="47"/>
      <c r="J567" s="48">
        <v>22358</v>
      </c>
      <c r="K567" s="46" t="s">
        <v>1291</v>
      </c>
      <c r="L567" s="46" t="s">
        <v>1014</v>
      </c>
      <c r="M567" s="46" t="s">
        <v>1207</v>
      </c>
      <c r="N567" s="49">
        <v>0</v>
      </c>
      <c r="O567" s="49">
        <v>0</v>
      </c>
      <c r="P567" s="47" t="s">
        <v>1240</v>
      </c>
      <c r="Q567" s="47" t="s">
        <v>1241</v>
      </c>
      <c r="R567" s="47" t="s">
        <v>376</v>
      </c>
      <c r="S567" s="46"/>
      <c r="T567" s="46"/>
      <c r="U567" s="46"/>
      <c r="V567" s="46"/>
      <c r="W567" s="46"/>
      <c r="X567" s="46"/>
      <c r="Y567" s="46"/>
      <c r="Z567" s="46"/>
      <c r="AA567" s="46"/>
      <c r="AB567" s="46"/>
      <c r="AC567" s="46"/>
      <c r="AD567" s="46"/>
      <c r="AE567" s="50">
        <f>IF(L567="W",1,0)</f>
        <v>0</v>
      </c>
      <c r="AF567" s="50">
        <f>IF(L567="T",1,0)</f>
        <v>1</v>
      </c>
      <c r="AG567" s="50">
        <f>IF(L567="L",1,0)</f>
        <v>0</v>
      </c>
      <c r="AH567" s="46" t="s">
        <v>1278</v>
      </c>
      <c r="AI567" s="46" t="s">
        <v>1292</v>
      </c>
      <c r="AJ567" s="46" t="s">
        <v>376</v>
      </c>
      <c r="AK567" s="46" t="s">
        <v>658</v>
      </c>
      <c r="AL567" s="46" t="s">
        <v>1097</v>
      </c>
      <c r="AM567" s="46" t="s">
        <v>1098</v>
      </c>
      <c r="AN567" s="46" t="s">
        <v>376</v>
      </c>
      <c r="AO567" s="46" t="s">
        <v>658</v>
      </c>
      <c r="AP567" s="46"/>
      <c r="AQ567" s="46">
        <v>2</v>
      </c>
      <c r="AR567" s="46"/>
      <c r="AS567" s="46"/>
      <c r="AT567" s="46"/>
      <c r="AU567" s="46" t="s">
        <v>376</v>
      </c>
      <c r="AV567" s="46"/>
      <c r="AW567" s="46" t="s">
        <v>30</v>
      </c>
      <c r="AX567" s="46"/>
      <c r="AY567" s="46" t="s">
        <v>30</v>
      </c>
      <c r="AZ567" s="46"/>
      <c r="BA567" s="47"/>
      <c r="BB567" s="51"/>
      <c r="BC567" s="46"/>
      <c r="BD567" s="46"/>
      <c r="BE567" s="46"/>
      <c r="BF567" s="46">
        <v>1</v>
      </c>
      <c r="BG567" s="46">
        <v>1</v>
      </c>
      <c r="BH567" s="46">
        <v>2</v>
      </c>
      <c r="BI567" s="46" t="s">
        <v>1291</v>
      </c>
      <c r="BJ567" s="46" t="s">
        <v>1207</v>
      </c>
      <c r="BK567" s="46">
        <v>1961</v>
      </c>
      <c r="BL567" s="46" t="str">
        <f>BK567&amp;BI567</f>
        <v>1961Leicester City</v>
      </c>
      <c r="BM567" s="52" t="str">
        <f>IF(AD567="Home",BI567,IF(AD567="Away",BJ567,Q567))</f>
        <v>Leeds</v>
      </c>
      <c r="BN567" s="46"/>
      <c r="BO567" s="46"/>
      <c r="BP567" s="46"/>
      <c r="BQ567" s="46"/>
      <c r="BR567" s="46"/>
      <c r="BS567" s="46"/>
      <c r="BT567" s="46"/>
      <c r="BU567" s="46"/>
      <c r="BV567" s="46" t="s">
        <v>376</v>
      </c>
      <c r="BW567" s="46" t="s">
        <v>376</v>
      </c>
      <c r="BX567" s="46"/>
      <c r="BZ567" s="53"/>
      <c r="CA567" s="53"/>
      <c r="CB567" s="93" t="str">
        <f>IF(OR(C567="",A567="",B567=""),"",TEXT(C567,"0000")&amp;TEXT(A567,"00")&amp;TEXT(B567,"00"))</f>
        <v>19610318</v>
      </c>
    </row>
    <row r="568" spans="1:80" s="52" customFormat="1" ht="12.95" customHeight="1" x14ac:dyDescent="0.2">
      <c r="A568" s="46">
        <v>3</v>
      </c>
      <c r="B568" s="46">
        <v>18</v>
      </c>
      <c r="C568" s="46">
        <v>1961</v>
      </c>
      <c r="D568" s="46" t="s">
        <v>658</v>
      </c>
      <c r="E568" s="46" t="s">
        <v>574</v>
      </c>
      <c r="F568" s="47" t="s">
        <v>1010</v>
      </c>
      <c r="G568" s="46"/>
      <c r="H568" s="47" t="s">
        <v>1011</v>
      </c>
      <c r="I568" s="47"/>
      <c r="J568" s="48">
        <v>22358</v>
      </c>
      <c r="K568" s="46" t="s">
        <v>813</v>
      </c>
      <c r="L568" s="46" t="s">
        <v>3</v>
      </c>
      <c r="M568" s="46" t="s">
        <v>1255</v>
      </c>
      <c r="N568" s="49">
        <v>3</v>
      </c>
      <c r="O568" s="49">
        <v>0</v>
      </c>
      <c r="P568" s="47" t="s">
        <v>1219</v>
      </c>
      <c r="Q568" s="47" t="s">
        <v>1111</v>
      </c>
      <c r="R568" s="47" t="s">
        <v>376</v>
      </c>
      <c r="S568" s="46"/>
      <c r="T568" s="46"/>
      <c r="U568" s="46"/>
      <c r="V568" s="46"/>
      <c r="W568" s="46"/>
      <c r="X568" s="46"/>
      <c r="Y568" s="46"/>
      <c r="Z568" s="46"/>
      <c r="AA568" s="46"/>
      <c r="AB568" s="46"/>
      <c r="AC568" s="46"/>
      <c r="AD568" s="46"/>
      <c r="AE568" s="50">
        <f>IF(L568="W",1,0)</f>
        <v>1</v>
      </c>
      <c r="AF568" s="50">
        <f>IF(L568="T",1,0)</f>
        <v>0</v>
      </c>
      <c r="AG568" s="50">
        <f>IF(L568="L",1,0)</f>
        <v>0</v>
      </c>
      <c r="AH568" s="46" t="s">
        <v>1017</v>
      </c>
      <c r="AI568" s="46" t="s">
        <v>1018</v>
      </c>
      <c r="AJ568" s="46" t="s">
        <v>376</v>
      </c>
      <c r="AK568" s="46" t="s">
        <v>658</v>
      </c>
      <c r="AL568" s="46" t="s">
        <v>1255</v>
      </c>
      <c r="AM568" s="46" t="s">
        <v>1086</v>
      </c>
      <c r="AN568" s="46" t="s">
        <v>376</v>
      </c>
      <c r="AO568" s="46" t="s">
        <v>658</v>
      </c>
      <c r="AP568" s="46"/>
      <c r="AQ568" s="46">
        <v>2</v>
      </c>
      <c r="AR568" s="46"/>
      <c r="AS568" s="46"/>
      <c r="AT568" s="46"/>
      <c r="AU568" s="46" t="s">
        <v>376</v>
      </c>
      <c r="AV568" s="46"/>
      <c r="AW568" s="46" t="s">
        <v>30</v>
      </c>
      <c r="AX568" s="46"/>
      <c r="AY568" s="46" t="s">
        <v>30</v>
      </c>
      <c r="AZ568" s="46"/>
      <c r="BA568" s="47"/>
      <c r="BB568" s="51"/>
      <c r="BC568" s="46"/>
      <c r="BD568" s="46"/>
      <c r="BE568" s="46"/>
      <c r="BF568" s="46">
        <v>1</v>
      </c>
      <c r="BG568" s="46">
        <v>1</v>
      </c>
      <c r="BH568" s="46">
        <v>1</v>
      </c>
      <c r="BI568" s="46" t="s">
        <v>813</v>
      </c>
      <c r="BJ568" s="46" t="s">
        <v>1255</v>
      </c>
      <c r="BK568" s="46">
        <v>1961</v>
      </c>
      <c r="BL568" s="46" t="str">
        <f>BK568&amp;BI568</f>
        <v>1961Tottenham Hotspur</v>
      </c>
      <c r="BM568" s="52" t="str">
        <f>IF(AD568="Home",BI568,IF(AD568="Away",BJ568,Q568))</f>
        <v>Birmingham</v>
      </c>
      <c r="BN568" s="46"/>
      <c r="BO568" s="46"/>
      <c r="BP568" s="46"/>
      <c r="BQ568" s="46"/>
      <c r="BR568" s="46"/>
      <c r="BS568" s="46"/>
      <c r="BT568" s="46"/>
      <c r="BU568" s="46"/>
      <c r="BV568" s="46" t="s">
        <v>376</v>
      </c>
      <c r="BW568" s="46" t="s">
        <v>376</v>
      </c>
      <c r="BX568" s="46"/>
      <c r="BZ568" s="53"/>
      <c r="CA568" s="53"/>
      <c r="CB568" s="93" t="str">
        <f>IF(OR(C568="",A568="",B568=""),"",TEXT(C568,"0000")&amp;TEXT(A568,"00")&amp;TEXT(B568,"00"))</f>
        <v>19610318</v>
      </c>
    </row>
    <row r="569" spans="1:80" s="52" customFormat="1" ht="12.95" customHeight="1" x14ac:dyDescent="0.2">
      <c r="A569" s="46">
        <v>3</v>
      </c>
      <c r="B569" s="46">
        <v>18</v>
      </c>
      <c r="C569" s="46">
        <v>1961</v>
      </c>
      <c r="D569" s="46" t="s">
        <v>658</v>
      </c>
      <c r="E569" s="46" t="s">
        <v>574</v>
      </c>
      <c r="F569" s="47" t="s">
        <v>1010</v>
      </c>
      <c r="G569" s="46"/>
      <c r="H569" s="47" t="s">
        <v>1011</v>
      </c>
      <c r="I569" s="47"/>
      <c r="J569" s="48">
        <v>22358</v>
      </c>
      <c r="K569" s="46" t="s">
        <v>1255</v>
      </c>
      <c r="L569" s="46" t="s">
        <v>4</v>
      </c>
      <c r="M569" s="46" t="s">
        <v>813</v>
      </c>
      <c r="N569" s="49">
        <v>0</v>
      </c>
      <c r="O569" s="49">
        <v>3</v>
      </c>
      <c r="P569" s="47" t="s">
        <v>1219</v>
      </c>
      <c r="Q569" s="47" t="s">
        <v>1111</v>
      </c>
      <c r="R569" s="47" t="s">
        <v>376</v>
      </c>
      <c r="S569" s="46"/>
      <c r="T569" s="46"/>
      <c r="U569" s="46"/>
      <c r="V569" s="46"/>
      <c r="W569" s="46"/>
      <c r="X569" s="46"/>
      <c r="Y569" s="46"/>
      <c r="Z569" s="46"/>
      <c r="AA569" s="46"/>
      <c r="AB569" s="46"/>
      <c r="AC569" s="46"/>
      <c r="AD569" s="46"/>
      <c r="AE569" s="50">
        <f>IF(L569="W",1,0)</f>
        <v>0</v>
      </c>
      <c r="AF569" s="50">
        <f>IF(L569="T",1,0)</f>
        <v>0</v>
      </c>
      <c r="AG569" s="50">
        <f>IF(L569="L",1,0)</f>
        <v>1</v>
      </c>
      <c r="AH569" s="46" t="s">
        <v>1255</v>
      </c>
      <c r="AI569" s="46" t="s">
        <v>1086</v>
      </c>
      <c r="AJ569" s="46" t="s">
        <v>376</v>
      </c>
      <c r="AK569" s="46" t="s">
        <v>658</v>
      </c>
      <c r="AL569" s="46" t="s">
        <v>1017</v>
      </c>
      <c r="AM569" s="46" t="s">
        <v>1018</v>
      </c>
      <c r="AN569" s="46" t="s">
        <v>376</v>
      </c>
      <c r="AO569" s="46" t="s">
        <v>658</v>
      </c>
      <c r="AP569" s="46"/>
      <c r="AQ569" s="46">
        <v>2</v>
      </c>
      <c r="AR569" s="46"/>
      <c r="AS569" s="46"/>
      <c r="AT569" s="46"/>
      <c r="AU569" s="46" t="s">
        <v>376</v>
      </c>
      <c r="AV569" s="46"/>
      <c r="AW569" s="46" t="s">
        <v>30</v>
      </c>
      <c r="AX569" s="46"/>
      <c r="AY569" s="46" t="s">
        <v>30</v>
      </c>
      <c r="AZ569" s="46"/>
      <c r="BA569" s="47"/>
      <c r="BB569" s="51"/>
      <c r="BC569" s="46"/>
      <c r="BD569" s="46"/>
      <c r="BE569" s="46"/>
      <c r="BF569" s="46">
        <v>1</v>
      </c>
      <c r="BG569" s="46">
        <v>1</v>
      </c>
      <c r="BH569" s="46">
        <v>1</v>
      </c>
      <c r="BI569" s="46" t="s">
        <v>1255</v>
      </c>
      <c r="BJ569" s="46" t="s">
        <v>813</v>
      </c>
      <c r="BK569" s="46">
        <v>1961</v>
      </c>
      <c r="BL569" s="46" t="str">
        <f>BK569&amp;BI569</f>
        <v>1961Burnley</v>
      </c>
      <c r="BM569" s="52" t="str">
        <f>IF(AD569="Home",BI569,IF(AD569="Away",BJ569,Q569))</f>
        <v>Birmingham</v>
      </c>
      <c r="BN569" s="46"/>
      <c r="BO569" s="46"/>
      <c r="BP569" s="46"/>
      <c r="BQ569" s="46"/>
      <c r="BR569" s="46"/>
      <c r="BS569" s="46"/>
      <c r="BT569" s="46"/>
      <c r="BU569" s="46"/>
      <c r="BV569" s="46" t="s">
        <v>376</v>
      </c>
      <c r="BW569" s="46" t="s">
        <v>376</v>
      </c>
      <c r="BX569" s="46"/>
      <c r="BZ569" s="53"/>
      <c r="CA569" s="53"/>
      <c r="CB569" s="93" t="str">
        <f>IF(OR(C569="",A569="",B569=""),"",TEXT(C569,"0000")&amp;TEXT(A569,"00")&amp;TEXT(B569,"00"))</f>
        <v>19610318</v>
      </c>
    </row>
    <row r="570" spans="1:80" s="52" customFormat="1" ht="12.95" customHeight="1" x14ac:dyDescent="0.2">
      <c r="A570" s="46">
        <v>3</v>
      </c>
      <c r="B570" s="46">
        <v>21</v>
      </c>
      <c r="C570" s="46">
        <v>1961</v>
      </c>
      <c r="D570" s="46" t="s">
        <v>658</v>
      </c>
      <c r="E570" s="46" t="s">
        <v>574</v>
      </c>
      <c r="F570" s="54" t="s">
        <v>1327</v>
      </c>
      <c r="G570" s="46"/>
      <c r="H570" s="54" t="s">
        <v>1011</v>
      </c>
      <c r="I570" s="54">
        <v>1</v>
      </c>
      <c r="J570" s="55">
        <v>22361</v>
      </c>
      <c r="K570" s="46" t="s">
        <v>1328</v>
      </c>
      <c r="L570" s="46" t="s">
        <v>3</v>
      </c>
      <c r="M570" s="46" t="s">
        <v>1329</v>
      </c>
      <c r="N570" s="49">
        <v>3</v>
      </c>
      <c r="O570" s="49">
        <v>2</v>
      </c>
      <c r="P570" s="54" t="s">
        <v>1330</v>
      </c>
      <c r="Q570" s="54" t="s">
        <v>1331</v>
      </c>
      <c r="R570" s="54" t="s">
        <v>376</v>
      </c>
      <c r="S570" s="46"/>
      <c r="T570" s="46"/>
      <c r="U570" s="46"/>
      <c r="V570" s="46"/>
      <c r="W570" s="46"/>
      <c r="X570" s="46"/>
      <c r="Y570" s="46"/>
      <c r="Z570" s="46"/>
      <c r="AA570" s="46"/>
      <c r="AB570" s="46"/>
      <c r="AC570" s="46"/>
      <c r="AD570" s="46" t="s">
        <v>1033</v>
      </c>
      <c r="AE570" s="50">
        <f>IF(L570="W",1,0)</f>
        <v>1</v>
      </c>
      <c r="AF570" s="50">
        <f>IF(L570="T",1,0)</f>
        <v>0</v>
      </c>
      <c r="AG570" s="50">
        <f>IF(L570="L",1,0)</f>
        <v>0</v>
      </c>
      <c r="AH570" s="46"/>
      <c r="AI570" s="46"/>
      <c r="AJ570" s="46" t="s">
        <v>376</v>
      </c>
      <c r="AK570" s="46" t="s">
        <v>658</v>
      </c>
      <c r="AL570" s="46"/>
      <c r="AM570" s="46"/>
      <c r="AN570" s="46" t="s">
        <v>376</v>
      </c>
      <c r="AO570" s="46" t="s">
        <v>658</v>
      </c>
      <c r="AP570" s="46"/>
      <c r="AQ570" s="46">
        <v>2</v>
      </c>
      <c r="AR570" s="46"/>
      <c r="AS570" s="46"/>
      <c r="AT570" s="46"/>
      <c r="AU570" s="46" t="s">
        <v>376</v>
      </c>
      <c r="AV570" s="46"/>
      <c r="AW570" s="46" t="s">
        <v>30</v>
      </c>
      <c r="AX570" s="46"/>
      <c r="AY570" s="46"/>
      <c r="AZ570" s="46" t="s">
        <v>30</v>
      </c>
      <c r="BA570" s="54"/>
      <c r="BB570" s="51"/>
      <c r="BC570" s="46"/>
      <c r="BD570" s="46"/>
      <c r="BE570" s="46"/>
      <c r="BF570" s="46">
        <v>1</v>
      </c>
      <c r="BG570" s="46">
        <v>2</v>
      </c>
      <c r="BH570" s="46">
        <v>3</v>
      </c>
      <c r="BI570" s="46" t="s">
        <v>1328</v>
      </c>
      <c r="BJ570" s="46" t="s">
        <v>1329</v>
      </c>
      <c r="BK570" s="46">
        <v>1961</v>
      </c>
      <c r="BL570" s="46" t="str">
        <f>BK570&amp;BI570</f>
        <v>1961Rotherham United</v>
      </c>
      <c r="BM570" s="52" t="str">
        <f>IF(AD570="Home",BI570,IF(AD570="Away",BJ570,Q570))</f>
        <v>Rotherham United</v>
      </c>
      <c r="BN570" s="46"/>
      <c r="BO570" s="46"/>
      <c r="BP570" s="46"/>
      <c r="BQ570" s="46"/>
      <c r="BR570" s="46"/>
      <c r="BS570" s="46"/>
      <c r="BT570" s="46"/>
      <c r="BU570" s="46"/>
      <c r="BV570" s="46" t="s">
        <v>376</v>
      </c>
      <c r="BW570" s="46" t="s">
        <v>376</v>
      </c>
      <c r="BX570" s="46"/>
      <c r="BY570" s="50"/>
      <c r="BZ570" s="53"/>
      <c r="CA570" s="53"/>
      <c r="CB570" s="93" t="str">
        <f>IF(OR(C570="",A570="",B570=""),"",TEXT(C570,"0000")&amp;TEXT(A570,"00")&amp;TEXT(B570,"00"))</f>
        <v>19610321</v>
      </c>
    </row>
    <row r="571" spans="1:80" s="52" customFormat="1" ht="12.95" customHeight="1" x14ac:dyDescent="0.2">
      <c r="A571" s="46">
        <v>3</v>
      </c>
      <c r="B571" s="46">
        <v>21</v>
      </c>
      <c r="C571" s="46">
        <v>1961</v>
      </c>
      <c r="D571" s="46" t="s">
        <v>658</v>
      </c>
      <c r="E571" s="46" t="s">
        <v>574</v>
      </c>
      <c r="F571" s="54" t="s">
        <v>1327</v>
      </c>
      <c r="G571" s="46"/>
      <c r="H571" s="54" t="s">
        <v>1011</v>
      </c>
      <c r="I571" s="54">
        <v>1</v>
      </c>
      <c r="J571" s="55">
        <v>22361</v>
      </c>
      <c r="K571" s="46" t="s">
        <v>1329</v>
      </c>
      <c r="L571" s="46" t="s">
        <v>4</v>
      </c>
      <c r="M571" s="46" t="s">
        <v>1328</v>
      </c>
      <c r="N571" s="49">
        <v>2</v>
      </c>
      <c r="O571" s="49">
        <v>3</v>
      </c>
      <c r="P571" s="54" t="s">
        <v>1330</v>
      </c>
      <c r="Q571" s="54" t="s">
        <v>1331</v>
      </c>
      <c r="R571" s="54" t="s">
        <v>376</v>
      </c>
      <c r="S571" s="46"/>
      <c r="T571" s="46"/>
      <c r="U571" s="46"/>
      <c r="V571" s="46"/>
      <c r="W571" s="46"/>
      <c r="X571" s="46"/>
      <c r="Y571" s="46"/>
      <c r="Z571" s="46"/>
      <c r="AA571" s="46"/>
      <c r="AB571" s="46"/>
      <c r="AC571" s="46"/>
      <c r="AD571" s="46" t="s">
        <v>1037</v>
      </c>
      <c r="AE571" s="50">
        <f>IF(L571="W",1,0)</f>
        <v>0</v>
      </c>
      <c r="AF571" s="50">
        <f>IF(L571="T",1,0)</f>
        <v>0</v>
      </c>
      <c r="AG571" s="50">
        <f>IF(L571="L",1,0)</f>
        <v>1</v>
      </c>
      <c r="AH571" s="46"/>
      <c r="AI571" s="46"/>
      <c r="AJ571" s="46" t="s">
        <v>376</v>
      </c>
      <c r="AK571" s="46" t="s">
        <v>658</v>
      </c>
      <c r="AL571" s="46"/>
      <c r="AM571" s="46"/>
      <c r="AN571" s="46" t="s">
        <v>376</v>
      </c>
      <c r="AO571" s="46" t="s">
        <v>658</v>
      </c>
      <c r="AP571" s="46"/>
      <c r="AQ571" s="46">
        <v>2</v>
      </c>
      <c r="AR571" s="46"/>
      <c r="AS571" s="46"/>
      <c r="AT571" s="46"/>
      <c r="AU571" s="46" t="s">
        <v>376</v>
      </c>
      <c r="AV571" s="46"/>
      <c r="AW571" s="46" t="s">
        <v>30</v>
      </c>
      <c r="AX571" s="46"/>
      <c r="AY571" s="46"/>
      <c r="AZ571" s="46" t="s">
        <v>30</v>
      </c>
      <c r="BA571" s="54"/>
      <c r="BB571" s="51"/>
      <c r="BC571" s="46"/>
      <c r="BD571" s="46"/>
      <c r="BE571" s="46"/>
      <c r="BF571" s="46">
        <v>1</v>
      </c>
      <c r="BG571" s="46">
        <v>3</v>
      </c>
      <c r="BH571" s="46">
        <v>2</v>
      </c>
      <c r="BI571" s="46" t="s">
        <v>1329</v>
      </c>
      <c r="BJ571" s="46" t="s">
        <v>1328</v>
      </c>
      <c r="BK571" s="46">
        <v>1961</v>
      </c>
      <c r="BL571" s="46" t="str">
        <f>BK571&amp;BI571</f>
        <v>1961Shrewsbury Town</v>
      </c>
      <c r="BM571" s="52" t="str">
        <f>IF(AD571="Home",BI571,IF(AD571="Away",BJ571,Q571))</f>
        <v>Rotherham United</v>
      </c>
      <c r="BN571" s="46"/>
      <c r="BO571" s="46"/>
      <c r="BP571" s="46"/>
      <c r="BQ571" s="46"/>
      <c r="BR571" s="46"/>
      <c r="BS571" s="46"/>
      <c r="BT571" s="46"/>
      <c r="BU571" s="46"/>
      <c r="BV571" s="46" t="s">
        <v>376</v>
      </c>
      <c r="BW571" s="46" t="s">
        <v>376</v>
      </c>
      <c r="BX571" s="46"/>
      <c r="BY571" s="50"/>
      <c r="BZ571" s="53"/>
      <c r="CA571" s="53"/>
      <c r="CB571" s="93" t="str">
        <f>IF(OR(C571="",A571="",B571=""),"",TEXT(C571,"0000")&amp;TEXT(A571,"00")&amp;TEXT(B571,"00"))</f>
        <v>19610321</v>
      </c>
    </row>
    <row r="572" spans="1:80" s="52" customFormat="1" ht="12.95" customHeight="1" x14ac:dyDescent="0.2">
      <c r="A572" s="46">
        <v>3</v>
      </c>
      <c r="B572" s="46">
        <v>23</v>
      </c>
      <c r="C572" s="46">
        <v>1961</v>
      </c>
      <c r="D572" s="46" t="s">
        <v>658</v>
      </c>
      <c r="E572" s="46" t="s">
        <v>574</v>
      </c>
      <c r="F572" s="47" t="s">
        <v>1010</v>
      </c>
      <c r="G572" s="46"/>
      <c r="H572" s="47" t="s">
        <v>1011</v>
      </c>
      <c r="I572" s="47" t="s">
        <v>1023</v>
      </c>
      <c r="J572" s="48">
        <v>22363</v>
      </c>
      <c r="K572" s="46" t="s">
        <v>1207</v>
      </c>
      <c r="L572" s="46" t="s">
        <v>1014</v>
      </c>
      <c r="M572" s="46" t="s">
        <v>1291</v>
      </c>
      <c r="N572" s="49">
        <v>0</v>
      </c>
      <c r="O572" s="49">
        <v>0</v>
      </c>
      <c r="P572" s="47" t="s">
        <v>1135</v>
      </c>
      <c r="Q572" s="47" t="s">
        <v>1073</v>
      </c>
      <c r="R572" s="47" t="s">
        <v>376</v>
      </c>
      <c r="S572" s="46"/>
      <c r="T572" s="46"/>
      <c r="U572" s="46"/>
      <c r="V572" s="46"/>
      <c r="W572" s="46"/>
      <c r="X572" s="46"/>
      <c r="Y572" s="46"/>
      <c r="Z572" s="46"/>
      <c r="AA572" s="46"/>
      <c r="AB572" s="46"/>
      <c r="AC572" s="46"/>
      <c r="AD572" s="46"/>
      <c r="AE572" s="50">
        <f>IF(L572="W",1,0)</f>
        <v>0</v>
      </c>
      <c r="AF572" s="50">
        <f>IF(L572="T",1,0)</f>
        <v>1</v>
      </c>
      <c r="AG572" s="50">
        <f>IF(L572="L",1,0)</f>
        <v>0</v>
      </c>
      <c r="AH572" s="46" t="s">
        <v>1097</v>
      </c>
      <c r="AI572" s="46" t="s">
        <v>1098</v>
      </c>
      <c r="AJ572" s="46" t="s">
        <v>376</v>
      </c>
      <c r="AK572" s="46" t="s">
        <v>658</v>
      </c>
      <c r="AL572" s="46" t="s">
        <v>1278</v>
      </c>
      <c r="AM572" s="46" t="s">
        <v>1292</v>
      </c>
      <c r="AN572" s="46" t="s">
        <v>376</v>
      </c>
      <c r="AO572" s="46" t="s">
        <v>658</v>
      </c>
      <c r="AP572" s="46"/>
      <c r="AQ572" s="46">
        <v>2</v>
      </c>
      <c r="AR572" s="46"/>
      <c r="AS572" s="46"/>
      <c r="AT572" s="46"/>
      <c r="AU572" s="46" t="s">
        <v>376</v>
      </c>
      <c r="AV572" s="46"/>
      <c r="AW572" s="46" t="s">
        <v>30</v>
      </c>
      <c r="AX572" s="46"/>
      <c r="AY572" s="46" t="s">
        <v>30</v>
      </c>
      <c r="AZ572" s="46"/>
      <c r="BA572" s="47"/>
      <c r="BB572" s="51"/>
      <c r="BC572" s="46"/>
      <c r="BD572" s="46"/>
      <c r="BE572" s="46"/>
      <c r="BF572" s="46">
        <v>1</v>
      </c>
      <c r="BG572" s="46">
        <v>2</v>
      </c>
      <c r="BH572" s="46">
        <v>1</v>
      </c>
      <c r="BI572" s="46" t="s">
        <v>1207</v>
      </c>
      <c r="BJ572" s="46" t="s">
        <v>1291</v>
      </c>
      <c r="BK572" s="46">
        <v>1961</v>
      </c>
      <c r="BL572" s="46" t="str">
        <f>BK572&amp;BI572</f>
        <v>1961Sheffield United</v>
      </c>
      <c r="BM572" s="52" t="str">
        <f>IF(AD572="Home",BI572,IF(AD572="Away",BJ572,Q572))</f>
        <v>Nottingham</v>
      </c>
      <c r="BN572" s="46"/>
      <c r="BO572" s="46"/>
      <c r="BP572" s="46"/>
      <c r="BQ572" s="46"/>
      <c r="BR572" s="46"/>
      <c r="BS572" s="46"/>
      <c r="BT572" s="46"/>
      <c r="BU572" s="46"/>
      <c r="BV572" s="46" t="s">
        <v>376</v>
      </c>
      <c r="BW572" s="46" t="s">
        <v>376</v>
      </c>
      <c r="BX572" s="46"/>
      <c r="BY572" s="35"/>
      <c r="BZ572" s="53"/>
      <c r="CA572" s="53"/>
      <c r="CB572" s="93" t="str">
        <f>IF(OR(C572="",A572="",B572=""),"",TEXT(C572,"0000")&amp;TEXT(A572,"00")&amp;TEXT(B572,"00"))</f>
        <v>19610323</v>
      </c>
    </row>
    <row r="573" spans="1:80" s="52" customFormat="1" ht="12.95" customHeight="1" x14ac:dyDescent="0.2">
      <c r="A573" s="46">
        <v>3</v>
      </c>
      <c r="B573" s="46">
        <v>23</v>
      </c>
      <c r="C573" s="46">
        <v>1961</v>
      </c>
      <c r="D573" s="46" t="s">
        <v>658</v>
      </c>
      <c r="E573" s="46" t="s">
        <v>574</v>
      </c>
      <c r="F573" s="47" t="s">
        <v>1010</v>
      </c>
      <c r="G573" s="46"/>
      <c r="H573" s="47" t="s">
        <v>1011</v>
      </c>
      <c r="I573" s="47" t="s">
        <v>1023</v>
      </c>
      <c r="J573" s="48">
        <v>22363</v>
      </c>
      <c r="K573" s="46" t="s">
        <v>1291</v>
      </c>
      <c r="L573" s="46" t="s">
        <v>1014</v>
      </c>
      <c r="M573" s="46" t="s">
        <v>1207</v>
      </c>
      <c r="N573" s="49">
        <v>0</v>
      </c>
      <c r="O573" s="49">
        <v>0</v>
      </c>
      <c r="P573" s="47" t="s">
        <v>1135</v>
      </c>
      <c r="Q573" s="47" t="s">
        <v>1073</v>
      </c>
      <c r="R573" s="47" t="s">
        <v>376</v>
      </c>
      <c r="S573" s="46"/>
      <c r="T573" s="46"/>
      <c r="U573" s="46"/>
      <c r="V573" s="46"/>
      <c r="W573" s="46"/>
      <c r="X573" s="46"/>
      <c r="Y573" s="46"/>
      <c r="Z573" s="46"/>
      <c r="AA573" s="46"/>
      <c r="AB573" s="46"/>
      <c r="AC573" s="46"/>
      <c r="AD573" s="46"/>
      <c r="AE573" s="50">
        <f>IF(L573="W",1,0)</f>
        <v>0</v>
      </c>
      <c r="AF573" s="50">
        <f>IF(L573="T",1,0)</f>
        <v>1</v>
      </c>
      <c r="AG573" s="50">
        <f>IF(L573="L",1,0)</f>
        <v>0</v>
      </c>
      <c r="AH573" s="46" t="s">
        <v>1278</v>
      </c>
      <c r="AI573" s="46" t="s">
        <v>1292</v>
      </c>
      <c r="AJ573" s="46" t="s">
        <v>376</v>
      </c>
      <c r="AK573" s="46" t="s">
        <v>658</v>
      </c>
      <c r="AL573" s="46" t="s">
        <v>1097</v>
      </c>
      <c r="AM573" s="46" t="s">
        <v>1098</v>
      </c>
      <c r="AN573" s="46" t="s">
        <v>376</v>
      </c>
      <c r="AO573" s="46" t="s">
        <v>658</v>
      </c>
      <c r="AP573" s="46"/>
      <c r="AQ573" s="46">
        <v>2</v>
      </c>
      <c r="AR573" s="46"/>
      <c r="AS573" s="46"/>
      <c r="AT573" s="46"/>
      <c r="AU573" s="46" t="s">
        <v>376</v>
      </c>
      <c r="AV573" s="46"/>
      <c r="AW573" s="46" t="s">
        <v>30</v>
      </c>
      <c r="AX573" s="46"/>
      <c r="AY573" s="46" t="s">
        <v>30</v>
      </c>
      <c r="AZ573" s="46"/>
      <c r="BA573" s="47"/>
      <c r="BB573" s="51"/>
      <c r="BC573" s="46"/>
      <c r="BD573" s="46"/>
      <c r="BE573" s="46"/>
      <c r="BF573" s="46">
        <v>1</v>
      </c>
      <c r="BG573" s="46">
        <v>1</v>
      </c>
      <c r="BH573" s="46">
        <v>2</v>
      </c>
      <c r="BI573" s="46" t="s">
        <v>1291</v>
      </c>
      <c r="BJ573" s="46" t="s">
        <v>1207</v>
      </c>
      <c r="BK573" s="46">
        <v>1961</v>
      </c>
      <c r="BL573" s="46" t="str">
        <f>BK573&amp;BI573</f>
        <v>1961Leicester City</v>
      </c>
      <c r="BM573" s="52" t="str">
        <f>IF(AD573="Home",BI573,IF(AD573="Away",BJ573,Q573))</f>
        <v>Nottingham</v>
      </c>
      <c r="BN573" s="46"/>
      <c r="BO573" s="46"/>
      <c r="BP573" s="46"/>
      <c r="BQ573" s="46"/>
      <c r="BR573" s="46"/>
      <c r="BS573" s="46"/>
      <c r="BT573" s="46"/>
      <c r="BU573" s="46"/>
      <c r="BV573" s="46" t="s">
        <v>376</v>
      </c>
      <c r="BW573" s="46" t="s">
        <v>376</v>
      </c>
      <c r="BX573" s="46"/>
      <c r="BY573" s="35"/>
      <c r="BZ573" s="53"/>
      <c r="CA573" s="53"/>
      <c r="CB573" s="93" t="str">
        <f>IF(OR(C573="",A573="",B573=""),"",TEXT(C573,"0000")&amp;TEXT(A573,"00")&amp;TEXT(B573,"00"))</f>
        <v>19610323</v>
      </c>
    </row>
    <row r="574" spans="1:80" s="52" customFormat="1" ht="12.95" customHeight="1" x14ac:dyDescent="0.2">
      <c r="A574" s="46">
        <v>3</v>
      </c>
      <c r="B574" s="46">
        <v>27</v>
      </c>
      <c r="C574" s="46">
        <v>1961</v>
      </c>
      <c r="D574" s="46" t="s">
        <v>658</v>
      </c>
      <c r="E574" s="46" t="s">
        <v>574</v>
      </c>
      <c r="F574" s="47" t="s">
        <v>1010</v>
      </c>
      <c r="G574" s="46"/>
      <c r="H574" s="47" t="s">
        <v>1011</v>
      </c>
      <c r="I574" s="47" t="s">
        <v>1170</v>
      </c>
      <c r="J574" s="48">
        <v>22367</v>
      </c>
      <c r="K574" s="46" t="s">
        <v>1291</v>
      </c>
      <c r="L574" s="46" t="s">
        <v>3</v>
      </c>
      <c r="M574" s="46" t="s">
        <v>1207</v>
      </c>
      <c r="N574" s="49">
        <v>2</v>
      </c>
      <c r="O574" s="49">
        <v>0</v>
      </c>
      <c r="P574" s="47" t="s">
        <v>1232</v>
      </c>
      <c r="Q574" s="47" t="s">
        <v>1111</v>
      </c>
      <c r="R574" s="47" t="s">
        <v>376</v>
      </c>
      <c r="S574" s="46"/>
      <c r="T574" s="46"/>
      <c r="U574" s="46"/>
      <c r="V574" s="46"/>
      <c r="W574" s="46"/>
      <c r="X574" s="46"/>
      <c r="Y574" s="46"/>
      <c r="Z574" s="46"/>
      <c r="AA574" s="46"/>
      <c r="AB574" s="46"/>
      <c r="AC574" s="46"/>
      <c r="AD574" s="46"/>
      <c r="AE574" s="50">
        <f>IF(L574="W",1,0)</f>
        <v>1</v>
      </c>
      <c r="AF574" s="50">
        <f>IF(L574="T",1,0)</f>
        <v>0</v>
      </c>
      <c r="AG574" s="50">
        <f>IF(L574="L",1,0)</f>
        <v>0</v>
      </c>
      <c r="AH574" s="46" t="s">
        <v>1278</v>
      </c>
      <c r="AI574" s="46" t="s">
        <v>1292</v>
      </c>
      <c r="AJ574" s="46" t="s">
        <v>376</v>
      </c>
      <c r="AK574" s="46" t="s">
        <v>658</v>
      </c>
      <c r="AL574" s="46" t="s">
        <v>1097</v>
      </c>
      <c r="AM574" s="46" t="s">
        <v>1098</v>
      </c>
      <c r="AN574" s="46" t="s">
        <v>376</v>
      </c>
      <c r="AO574" s="46" t="s">
        <v>658</v>
      </c>
      <c r="AP574" s="46"/>
      <c r="AQ574" s="46">
        <v>2</v>
      </c>
      <c r="AR574" s="46"/>
      <c r="AS574" s="46"/>
      <c r="AT574" s="46"/>
      <c r="AU574" s="46" t="s">
        <v>376</v>
      </c>
      <c r="AV574" s="46"/>
      <c r="AW574" s="46" t="s">
        <v>30</v>
      </c>
      <c r="AX574" s="46"/>
      <c r="AY574" s="46" t="s">
        <v>30</v>
      </c>
      <c r="AZ574" s="46"/>
      <c r="BA574" s="47"/>
      <c r="BB574" s="51"/>
      <c r="BC574" s="46"/>
      <c r="BD574" s="46"/>
      <c r="BE574" s="46"/>
      <c r="BF574" s="46">
        <v>1</v>
      </c>
      <c r="BG574" s="46">
        <v>1</v>
      </c>
      <c r="BH574" s="46">
        <v>2</v>
      </c>
      <c r="BI574" s="46" t="s">
        <v>1291</v>
      </c>
      <c r="BJ574" s="46" t="s">
        <v>1207</v>
      </c>
      <c r="BK574" s="46">
        <v>1961</v>
      </c>
      <c r="BL574" s="46" t="str">
        <f>BK574&amp;BI574</f>
        <v>1961Leicester City</v>
      </c>
      <c r="BM574" s="52" t="str">
        <f>IF(AD574="Home",BI574,IF(AD574="Away",BJ574,Q574))</f>
        <v>Birmingham</v>
      </c>
      <c r="BN574" s="46"/>
      <c r="BO574" s="46"/>
      <c r="BP574" s="46"/>
      <c r="BQ574" s="46"/>
      <c r="BR574" s="46"/>
      <c r="BS574" s="46"/>
      <c r="BT574" s="46"/>
      <c r="BU574" s="46"/>
      <c r="BV574" s="46" t="s">
        <v>376</v>
      </c>
      <c r="BW574" s="46" t="s">
        <v>376</v>
      </c>
      <c r="BX574" s="46"/>
      <c r="BZ574" s="53"/>
      <c r="CA574" s="53"/>
      <c r="CB574" s="93" t="str">
        <f>IF(OR(C574="",A574="",B574=""),"",TEXT(C574,"0000")&amp;TEXT(A574,"00")&amp;TEXT(B574,"00"))</f>
        <v>19610327</v>
      </c>
    </row>
    <row r="575" spans="1:80" s="52" customFormat="1" ht="12.95" customHeight="1" x14ac:dyDescent="0.2">
      <c r="A575" s="46">
        <v>3</v>
      </c>
      <c r="B575" s="46">
        <v>27</v>
      </c>
      <c r="C575" s="46">
        <v>1961</v>
      </c>
      <c r="D575" s="46" t="s">
        <v>658</v>
      </c>
      <c r="E575" s="46" t="s">
        <v>574</v>
      </c>
      <c r="F575" s="47" t="s">
        <v>1010</v>
      </c>
      <c r="G575" s="46"/>
      <c r="H575" s="47" t="s">
        <v>1011</v>
      </c>
      <c r="I575" s="47" t="s">
        <v>1170</v>
      </c>
      <c r="J575" s="48">
        <v>22367</v>
      </c>
      <c r="K575" s="46" t="s">
        <v>1207</v>
      </c>
      <c r="L575" s="46" t="s">
        <v>4</v>
      </c>
      <c r="M575" s="46" t="s">
        <v>1291</v>
      </c>
      <c r="N575" s="49">
        <v>0</v>
      </c>
      <c r="O575" s="49">
        <v>2</v>
      </c>
      <c r="P575" s="47" t="s">
        <v>1232</v>
      </c>
      <c r="Q575" s="47" t="s">
        <v>1111</v>
      </c>
      <c r="R575" s="47" t="s">
        <v>376</v>
      </c>
      <c r="S575" s="46"/>
      <c r="T575" s="46"/>
      <c r="U575" s="46"/>
      <c r="V575" s="46"/>
      <c r="W575" s="46"/>
      <c r="X575" s="46"/>
      <c r="Y575" s="46"/>
      <c r="Z575" s="46"/>
      <c r="AA575" s="46"/>
      <c r="AB575" s="46"/>
      <c r="AC575" s="46"/>
      <c r="AD575" s="46"/>
      <c r="AE575" s="50">
        <f>IF(L575="W",1,0)</f>
        <v>0</v>
      </c>
      <c r="AF575" s="50">
        <f>IF(L575="T",1,0)</f>
        <v>0</v>
      </c>
      <c r="AG575" s="50">
        <f>IF(L575="L",1,0)</f>
        <v>1</v>
      </c>
      <c r="AH575" s="46" t="s">
        <v>1097</v>
      </c>
      <c r="AI575" s="46" t="s">
        <v>1098</v>
      </c>
      <c r="AJ575" s="46" t="s">
        <v>376</v>
      </c>
      <c r="AK575" s="46" t="s">
        <v>658</v>
      </c>
      <c r="AL575" s="46" t="s">
        <v>1278</v>
      </c>
      <c r="AM575" s="46" t="s">
        <v>1292</v>
      </c>
      <c r="AN575" s="46" t="s">
        <v>376</v>
      </c>
      <c r="AO575" s="46" t="s">
        <v>658</v>
      </c>
      <c r="AP575" s="46"/>
      <c r="AQ575" s="46">
        <v>2</v>
      </c>
      <c r="AR575" s="46"/>
      <c r="AS575" s="46"/>
      <c r="AT575" s="46"/>
      <c r="AU575" s="46" t="s">
        <v>376</v>
      </c>
      <c r="AV575" s="46"/>
      <c r="AW575" s="46" t="s">
        <v>30</v>
      </c>
      <c r="AX575" s="46"/>
      <c r="AY575" s="46" t="s">
        <v>30</v>
      </c>
      <c r="AZ575" s="46"/>
      <c r="BA575" s="47"/>
      <c r="BB575" s="51"/>
      <c r="BC575" s="46"/>
      <c r="BD575" s="46"/>
      <c r="BE575" s="46"/>
      <c r="BF575" s="46">
        <v>1</v>
      </c>
      <c r="BG575" s="46">
        <v>2</v>
      </c>
      <c r="BH575" s="46">
        <v>1</v>
      </c>
      <c r="BI575" s="46" t="s">
        <v>1207</v>
      </c>
      <c r="BJ575" s="46" t="s">
        <v>1291</v>
      </c>
      <c r="BK575" s="46">
        <v>1961</v>
      </c>
      <c r="BL575" s="46" t="str">
        <f>BK575&amp;BI575</f>
        <v>1961Sheffield United</v>
      </c>
      <c r="BM575" s="52" t="str">
        <f>IF(AD575="Home",BI575,IF(AD575="Away",BJ575,Q575))</f>
        <v>Birmingham</v>
      </c>
      <c r="BN575" s="46"/>
      <c r="BO575" s="46"/>
      <c r="BP575" s="46"/>
      <c r="BQ575" s="46"/>
      <c r="BR575" s="46"/>
      <c r="BS575" s="46"/>
      <c r="BT575" s="46"/>
      <c r="BU575" s="46"/>
      <c r="BV575" s="46" t="s">
        <v>376</v>
      </c>
      <c r="BW575" s="46" t="s">
        <v>376</v>
      </c>
      <c r="BX575" s="46"/>
      <c r="BZ575" s="53"/>
      <c r="CA575" s="53"/>
      <c r="CB575" s="93" t="str">
        <f>IF(OR(C575="",A575="",B575=""),"",TEXT(C575,"0000")&amp;TEXT(A575,"00")&amp;TEXT(B575,"00"))</f>
        <v>19610327</v>
      </c>
    </row>
    <row r="576" spans="1:80" s="52" customFormat="1" ht="12.95" customHeight="1" x14ac:dyDescent="0.2">
      <c r="A576" s="46">
        <v>3</v>
      </c>
      <c r="B576" s="46">
        <v>29</v>
      </c>
      <c r="C576" s="46">
        <v>1961</v>
      </c>
      <c r="D576" s="46" t="s">
        <v>658</v>
      </c>
      <c r="E576" s="46" t="s">
        <v>574</v>
      </c>
      <c r="F576" s="54" t="s">
        <v>1327</v>
      </c>
      <c r="G576" s="46"/>
      <c r="H576" s="54" t="s">
        <v>1011</v>
      </c>
      <c r="I576" s="54">
        <v>2</v>
      </c>
      <c r="J576" s="55">
        <v>22369</v>
      </c>
      <c r="K576" s="46" t="s">
        <v>1329</v>
      </c>
      <c r="L576" s="46" t="s">
        <v>1014</v>
      </c>
      <c r="M576" s="46" t="s">
        <v>1328</v>
      </c>
      <c r="N576" s="49">
        <v>1</v>
      </c>
      <c r="O576" s="49">
        <v>1</v>
      </c>
      <c r="P576" s="54" t="s">
        <v>1332</v>
      </c>
      <c r="Q576" s="54" t="s">
        <v>1333</v>
      </c>
      <c r="R576" s="54" t="s">
        <v>376</v>
      </c>
      <c r="S576" s="46"/>
      <c r="T576" s="46"/>
      <c r="U576" s="46"/>
      <c r="V576" s="46"/>
      <c r="W576" s="46"/>
      <c r="X576" s="46"/>
      <c r="Y576" s="46"/>
      <c r="Z576" s="46"/>
      <c r="AA576" s="46"/>
      <c r="AB576" s="46"/>
      <c r="AC576" s="46"/>
      <c r="AD576" s="46" t="s">
        <v>1033</v>
      </c>
      <c r="AE576" s="50">
        <f>IF(L576="W",1,0)</f>
        <v>0</v>
      </c>
      <c r="AF576" s="50">
        <f>IF(L576="T",1,0)</f>
        <v>1</v>
      </c>
      <c r="AG576" s="50">
        <f>IF(L576="L",1,0)</f>
        <v>0</v>
      </c>
      <c r="AH576" s="46"/>
      <c r="AI576" s="46"/>
      <c r="AJ576" s="46" t="s">
        <v>376</v>
      </c>
      <c r="AK576" s="46" t="s">
        <v>658</v>
      </c>
      <c r="AL576" s="46"/>
      <c r="AM576" s="46"/>
      <c r="AN576" s="46" t="s">
        <v>376</v>
      </c>
      <c r="AO576" s="46" t="s">
        <v>658</v>
      </c>
      <c r="AP576" s="46"/>
      <c r="AQ576" s="46">
        <v>2</v>
      </c>
      <c r="AR576" s="46"/>
      <c r="AS576" s="46"/>
      <c r="AT576" s="46"/>
      <c r="AU576" s="46" t="s">
        <v>376</v>
      </c>
      <c r="AV576" s="46"/>
      <c r="AW576" s="46" t="s">
        <v>30</v>
      </c>
      <c r="AX576" s="46"/>
      <c r="AY576" s="46"/>
      <c r="AZ576" s="46" t="s">
        <v>30</v>
      </c>
      <c r="BA576" s="54"/>
      <c r="BB576" s="51"/>
      <c r="BC576" s="46"/>
      <c r="BD576" s="46"/>
      <c r="BE576" s="46"/>
      <c r="BF576" s="46">
        <v>1</v>
      </c>
      <c r="BG576" s="46">
        <v>3</v>
      </c>
      <c r="BH576" s="46">
        <v>2</v>
      </c>
      <c r="BI576" s="46" t="s">
        <v>1329</v>
      </c>
      <c r="BJ576" s="46" t="s">
        <v>1328</v>
      </c>
      <c r="BK576" s="46">
        <v>1961</v>
      </c>
      <c r="BL576" s="46" t="str">
        <f>BK576&amp;BI576</f>
        <v>1961Shrewsbury Town</v>
      </c>
      <c r="BM576" s="52" t="str">
        <f>IF(AD576="Home",BI576,IF(AD576="Away",BJ576,Q576))</f>
        <v>Shrewsbury Town</v>
      </c>
      <c r="BN576" s="46"/>
      <c r="BO576" s="46"/>
      <c r="BP576" s="46"/>
      <c r="BQ576" s="46"/>
      <c r="BR576" s="46"/>
      <c r="BS576" s="46"/>
      <c r="BT576" s="46"/>
      <c r="BU576" s="46"/>
      <c r="BV576" s="46" t="s">
        <v>376</v>
      </c>
      <c r="BW576" s="46" t="s">
        <v>376</v>
      </c>
      <c r="BX576" s="46"/>
      <c r="BY576" s="50"/>
      <c r="BZ576" s="53"/>
      <c r="CA576" s="53"/>
      <c r="CB576" s="93" t="str">
        <f>IF(OR(C576="",A576="",B576=""),"",TEXT(C576,"0000")&amp;TEXT(A576,"00")&amp;TEXT(B576,"00"))</f>
        <v>19610329</v>
      </c>
    </row>
    <row r="577" spans="1:80" s="52" customFormat="1" ht="12.95" customHeight="1" x14ac:dyDescent="0.2">
      <c r="A577" s="46">
        <v>3</v>
      </c>
      <c r="B577" s="46">
        <v>29</v>
      </c>
      <c r="C577" s="46">
        <v>1961</v>
      </c>
      <c r="D577" s="46" t="s">
        <v>658</v>
      </c>
      <c r="E577" s="46" t="s">
        <v>574</v>
      </c>
      <c r="F577" s="54" t="s">
        <v>1327</v>
      </c>
      <c r="G577" s="46"/>
      <c r="H577" s="54" t="s">
        <v>1011</v>
      </c>
      <c r="I577" s="54">
        <v>2</v>
      </c>
      <c r="J577" s="55">
        <v>22369</v>
      </c>
      <c r="K577" s="46" t="s">
        <v>1328</v>
      </c>
      <c r="L577" s="46" t="s">
        <v>1014</v>
      </c>
      <c r="M577" s="46" t="s">
        <v>1329</v>
      </c>
      <c r="N577" s="49">
        <v>1</v>
      </c>
      <c r="O577" s="49">
        <v>1</v>
      </c>
      <c r="P577" s="54" t="s">
        <v>1332</v>
      </c>
      <c r="Q577" s="54" t="s">
        <v>1333</v>
      </c>
      <c r="R577" s="54" t="s">
        <v>376</v>
      </c>
      <c r="S577" s="46"/>
      <c r="T577" s="46"/>
      <c r="U577" s="46"/>
      <c r="V577" s="46"/>
      <c r="W577" s="46"/>
      <c r="X577" s="46"/>
      <c r="Y577" s="46"/>
      <c r="Z577" s="46"/>
      <c r="AA577" s="46"/>
      <c r="AB577" s="46"/>
      <c r="AC577" s="46"/>
      <c r="AD577" s="46" t="s">
        <v>1037</v>
      </c>
      <c r="AE577" s="50">
        <f>IF(L577="W",1,0)</f>
        <v>0</v>
      </c>
      <c r="AF577" s="50">
        <f>IF(L577="T",1,0)</f>
        <v>1</v>
      </c>
      <c r="AG577" s="50">
        <f>IF(L577="L",1,0)</f>
        <v>0</v>
      </c>
      <c r="AH577" s="46"/>
      <c r="AI577" s="46"/>
      <c r="AJ577" s="46" t="s">
        <v>376</v>
      </c>
      <c r="AK577" s="46" t="s">
        <v>658</v>
      </c>
      <c r="AL577" s="46"/>
      <c r="AM577" s="46"/>
      <c r="AN577" s="46" t="s">
        <v>376</v>
      </c>
      <c r="AO577" s="46" t="s">
        <v>658</v>
      </c>
      <c r="AP577" s="46"/>
      <c r="AQ577" s="46">
        <v>2</v>
      </c>
      <c r="AR577" s="46"/>
      <c r="AS577" s="46"/>
      <c r="AT577" s="46"/>
      <c r="AU577" s="46" t="s">
        <v>376</v>
      </c>
      <c r="AV577" s="46"/>
      <c r="AW577" s="46" t="s">
        <v>30</v>
      </c>
      <c r="AX577" s="46"/>
      <c r="AY577" s="46"/>
      <c r="AZ577" s="46" t="s">
        <v>30</v>
      </c>
      <c r="BA577" s="54"/>
      <c r="BB577" s="51"/>
      <c r="BC577" s="46"/>
      <c r="BD577" s="46"/>
      <c r="BE577" s="46"/>
      <c r="BF577" s="46">
        <v>1</v>
      </c>
      <c r="BG577" s="46">
        <v>2</v>
      </c>
      <c r="BH577" s="46">
        <v>3</v>
      </c>
      <c r="BI577" s="46" t="s">
        <v>1328</v>
      </c>
      <c r="BJ577" s="46" t="s">
        <v>1329</v>
      </c>
      <c r="BK577" s="46">
        <v>1961</v>
      </c>
      <c r="BL577" s="46" t="str">
        <f>BK577&amp;BI577</f>
        <v>1961Rotherham United</v>
      </c>
      <c r="BM577" s="52" t="str">
        <f>IF(AD577="Home",BI577,IF(AD577="Away",BJ577,Q577))</f>
        <v>Shrewsbury Town</v>
      </c>
      <c r="BN577" s="46"/>
      <c r="BO577" s="46"/>
      <c r="BP577" s="46"/>
      <c r="BQ577" s="46"/>
      <c r="BR577" s="46"/>
      <c r="BS577" s="46"/>
      <c r="BT577" s="46"/>
      <c r="BU577" s="46"/>
      <c r="BV577" s="46" t="s">
        <v>376</v>
      </c>
      <c r="BW577" s="46" t="s">
        <v>376</v>
      </c>
      <c r="BX577" s="46"/>
      <c r="BY577" s="50"/>
      <c r="BZ577" s="53"/>
      <c r="CA577" s="53"/>
      <c r="CB577" s="93" t="str">
        <f>IF(OR(C577="",A577="",B577=""),"",TEXT(C577,"0000")&amp;TEXT(A577,"00")&amp;TEXT(B577,"00"))</f>
        <v>19610329</v>
      </c>
    </row>
    <row r="578" spans="1:80" s="52" customFormat="1" ht="12.95" customHeight="1" x14ac:dyDescent="0.2">
      <c r="A578" s="46">
        <v>4</v>
      </c>
      <c r="B578" s="46">
        <v>10</v>
      </c>
      <c r="C578" s="46">
        <v>1961</v>
      </c>
      <c r="D578" s="46" t="s">
        <v>658</v>
      </c>
      <c r="E578" s="46" t="s">
        <v>574</v>
      </c>
      <c r="F578" s="54" t="s">
        <v>1327</v>
      </c>
      <c r="G578" s="46"/>
      <c r="H578" s="54" t="s">
        <v>1011</v>
      </c>
      <c r="I578" s="54">
        <v>1</v>
      </c>
      <c r="J578" s="55">
        <v>22381</v>
      </c>
      <c r="K578" s="46" t="s">
        <v>1255</v>
      </c>
      <c r="L578" s="46" t="s">
        <v>1014</v>
      </c>
      <c r="M578" s="46" t="s">
        <v>806</v>
      </c>
      <c r="N578" s="49">
        <v>1</v>
      </c>
      <c r="O578" s="49">
        <v>1</v>
      </c>
      <c r="P578" s="54" t="s">
        <v>1266</v>
      </c>
      <c r="Q578" s="54" t="s">
        <v>1255</v>
      </c>
      <c r="R578" s="54" t="s">
        <v>376</v>
      </c>
      <c r="S578" s="46"/>
      <c r="T578" s="46"/>
      <c r="U578" s="46"/>
      <c r="V578" s="46"/>
      <c r="W578" s="46"/>
      <c r="X578" s="46"/>
      <c r="Y578" s="46"/>
      <c r="Z578" s="46"/>
      <c r="AA578" s="46"/>
      <c r="AB578" s="46"/>
      <c r="AC578" s="46"/>
      <c r="AD578" s="46" t="s">
        <v>1033</v>
      </c>
      <c r="AE578" s="50">
        <f>IF(L578="W",1,0)</f>
        <v>0</v>
      </c>
      <c r="AF578" s="50">
        <f>IF(L578="T",1,0)</f>
        <v>1</v>
      </c>
      <c r="AG578" s="50">
        <f>IF(L578="L",1,0)</f>
        <v>0</v>
      </c>
      <c r="AH578" s="46"/>
      <c r="AI578" s="46"/>
      <c r="AJ578" s="46" t="s">
        <v>376</v>
      </c>
      <c r="AK578" s="46" t="s">
        <v>658</v>
      </c>
      <c r="AL578" s="46"/>
      <c r="AM578" s="46"/>
      <c r="AN578" s="46" t="s">
        <v>376</v>
      </c>
      <c r="AO578" s="46" t="s">
        <v>658</v>
      </c>
      <c r="AP578" s="46"/>
      <c r="AQ578" s="46">
        <v>2</v>
      </c>
      <c r="AR578" s="46"/>
      <c r="AS578" s="46"/>
      <c r="AT578" s="46"/>
      <c r="AU578" s="46" t="s">
        <v>376</v>
      </c>
      <c r="AV578" s="46"/>
      <c r="AW578" s="46" t="s">
        <v>30</v>
      </c>
      <c r="AX578" s="46"/>
      <c r="AY578" s="46"/>
      <c r="AZ578" s="46" t="s">
        <v>30</v>
      </c>
      <c r="BA578" s="54"/>
      <c r="BB578" s="51"/>
      <c r="BC578" s="46"/>
      <c r="BD578" s="46"/>
      <c r="BE578" s="46"/>
      <c r="BF578" s="46">
        <v>1</v>
      </c>
      <c r="BG578" s="46">
        <v>1</v>
      </c>
      <c r="BH578" s="46">
        <v>1</v>
      </c>
      <c r="BI578" s="46" t="s">
        <v>1255</v>
      </c>
      <c r="BJ578" s="46" t="s">
        <v>806</v>
      </c>
      <c r="BK578" s="46">
        <v>1961</v>
      </c>
      <c r="BL578" s="46" t="str">
        <f>BK578&amp;BI578</f>
        <v>1961Burnley</v>
      </c>
      <c r="BM578" s="52" t="str">
        <f>IF(AD578="Home",BI578,IF(AD578="Away",BJ578,Q578))</f>
        <v>Burnley</v>
      </c>
      <c r="BN578" s="46"/>
      <c r="BO578" s="46"/>
      <c r="BP578" s="46"/>
      <c r="BQ578" s="46"/>
      <c r="BR578" s="46"/>
      <c r="BS578" s="46"/>
      <c r="BT578" s="46"/>
      <c r="BU578" s="46"/>
      <c r="BV578" s="46" t="s">
        <v>376</v>
      </c>
      <c r="BW578" s="46" t="s">
        <v>376</v>
      </c>
      <c r="BX578" s="46"/>
      <c r="BZ578" s="53"/>
      <c r="CA578" s="53"/>
      <c r="CB578" s="93" t="str">
        <f>IF(OR(C578="",A578="",B578=""),"",TEXT(C578,"0000")&amp;TEXT(A578,"00")&amp;TEXT(B578,"00"))</f>
        <v>19610410</v>
      </c>
    </row>
    <row r="579" spans="1:80" s="52" customFormat="1" ht="12.95" customHeight="1" x14ac:dyDescent="0.2">
      <c r="A579" s="46">
        <v>4</v>
      </c>
      <c r="B579" s="46">
        <v>10</v>
      </c>
      <c r="C579" s="46">
        <v>1961</v>
      </c>
      <c r="D579" s="46" t="s">
        <v>658</v>
      </c>
      <c r="E579" s="46" t="s">
        <v>574</v>
      </c>
      <c r="F579" s="54" t="s">
        <v>1327</v>
      </c>
      <c r="G579" s="46"/>
      <c r="H579" s="54" t="s">
        <v>1011</v>
      </c>
      <c r="I579" s="54">
        <v>1</v>
      </c>
      <c r="J579" s="55">
        <v>22381</v>
      </c>
      <c r="K579" s="46" t="s">
        <v>806</v>
      </c>
      <c r="L579" s="46" t="s">
        <v>1014</v>
      </c>
      <c r="M579" s="46" t="s">
        <v>1255</v>
      </c>
      <c r="N579" s="49">
        <v>1</v>
      </c>
      <c r="O579" s="49">
        <v>1</v>
      </c>
      <c r="P579" s="54" t="s">
        <v>1266</v>
      </c>
      <c r="Q579" s="54" t="s">
        <v>1255</v>
      </c>
      <c r="R579" s="54" t="s">
        <v>376</v>
      </c>
      <c r="S579" s="46"/>
      <c r="T579" s="46"/>
      <c r="U579" s="46"/>
      <c r="V579" s="46"/>
      <c r="W579" s="46"/>
      <c r="X579" s="46"/>
      <c r="Y579" s="46"/>
      <c r="Z579" s="46"/>
      <c r="AA579" s="46"/>
      <c r="AB579" s="46"/>
      <c r="AC579" s="46"/>
      <c r="AD579" s="46" t="s">
        <v>1037</v>
      </c>
      <c r="AE579" s="50">
        <f>IF(L579="W",1,0)</f>
        <v>0</v>
      </c>
      <c r="AF579" s="50">
        <f>IF(L579="T",1,0)</f>
        <v>1</v>
      </c>
      <c r="AG579" s="50">
        <f>IF(L579="L",1,0)</f>
        <v>0</v>
      </c>
      <c r="AH579" s="46"/>
      <c r="AI579" s="46"/>
      <c r="AJ579" s="46" t="s">
        <v>376</v>
      </c>
      <c r="AK579" s="46" t="s">
        <v>658</v>
      </c>
      <c r="AL579" s="46"/>
      <c r="AM579" s="46"/>
      <c r="AN579" s="46" t="s">
        <v>376</v>
      </c>
      <c r="AO579" s="46" t="s">
        <v>658</v>
      </c>
      <c r="AP579" s="46"/>
      <c r="AQ579" s="46">
        <v>2</v>
      </c>
      <c r="AR579" s="46"/>
      <c r="AS579" s="46"/>
      <c r="AT579" s="46"/>
      <c r="AU579" s="46" t="s">
        <v>376</v>
      </c>
      <c r="AV579" s="46"/>
      <c r="AW579" s="46" t="s">
        <v>30</v>
      </c>
      <c r="AX579" s="46"/>
      <c r="AY579" s="46"/>
      <c r="AZ579" s="46" t="s">
        <v>30</v>
      </c>
      <c r="BA579" s="54"/>
      <c r="BB579" s="51"/>
      <c r="BC579" s="46"/>
      <c r="BD579" s="46"/>
      <c r="BE579" s="46"/>
      <c r="BF579" s="46">
        <v>1</v>
      </c>
      <c r="BG579" s="46">
        <v>1</v>
      </c>
      <c r="BH579" s="46">
        <v>1</v>
      </c>
      <c r="BI579" s="46" t="s">
        <v>806</v>
      </c>
      <c r="BJ579" s="46" t="s">
        <v>1255</v>
      </c>
      <c r="BK579" s="46">
        <v>1961</v>
      </c>
      <c r="BL579" s="46" t="str">
        <f>BK579&amp;BI579</f>
        <v>1961Aston Villa</v>
      </c>
      <c r="BM579" s="52" t="str">
        <f>IF(AD579="Home",BI579,IF(AD579="Away",BJ579,Q579))</f>
        <v>Burnley</v>
      </c>
      <c r="BN579" s="46"/>
      <c r="BO579" s="46"/>
      <c r="BP579" s="46"/>
      <c r="BQ579" s="46"/>
      <c r="BR579" s="46"/>
      <c r="BS579" s="46"/>
      <c r="BT579" s="46"/>
      <c r="BU579" s="46"/>
      <c r="BV579" s="46" t="s">
        <v>376</v>
      </c>
      <c r="BW579" s="46" t="s">
        <v>376</v>
      </c>
      <c r="BX579" s="46"/>
      <c r="BZ579" s="53"/>
      <c r="CA579" s="53"/>
      <c r="CB579" s="93" t="str">
        <f>IF(OR(C579="",A579="",B579=""),"",TEXT(C579,"0000")&amp;TEXT(A579,"00")&amp;TEXT(B579,"00"))</f>
        <v>19610410</v>
      </c>
    </row>
    <row r="580" spans="1:80" s="52" customFormat="1" ht="12.95" customHeight="1" x14ac:dyDescent="0.2">
      <c r="A580" s="46">
        <v>4</v>
      </c>
      <c r="B580" s="46">
        <v>26</v>
      </c>
      <c r="C580" s="46">
        <v>1961</v>
      </c>
      <c r="D580" s="46" t="s">
        <v>658</v>
      </c>
      <c r="E580" s="46" t="s">
        <v>574</v>
      </c>
      <c r="F580" s="54" t="s">
        <v>1327</v>
      </c>
      <c r="G580" s="46"/>
      <c r="H580" s="54" t="s">
        <v>1011</v>
      </c>
      <c r="I580" s="54">
        <v>2</v>
      </c>
      <c r="J580" s="55">
        <v>22397</v>
      </c>
      <c r="K580" s="46" t="s">
        <v>806</v>
      </c>
      <c r="L580" s="46" t="s">
        <v>1014</v>
      </c>
      <c r="M580" s="46" t="s">
        <v>1255</v>
      </c>
      <c r="N580" s="49">
        <v>2</v>
      </c>
      <c r="O580" s="49">
        <v>2</v>
      </c>
      <c r="P580" s="54" t="s">
        <v>1219</v>
      </c>
      <c r="Q580" s="54" t="s">
        <v>1111</v>
      </c>
      <c r="R580" s="54" t="s">
        <v>376</v>
      </c>
      <c r="S580" s="46" t="s">
        <v>1023</v>
      </c>
      <c r="T580" s="46"/>
      <c r="U580" s="46"/>
      <c r="V580" s="46"/>
      <c r="W580" s="46"/>
      <c r="X580" s="46"/>
      <c r="Y580" s="46"/>
      <c r="Z580" s="46"/>
      <c r="AA580" s="46"/>
      <c r="AB580" s="46"/>
      <c r="AC580" s="46"/>
      <c r="AD580" s="46" t="s">
        <v>1033</v>
      </c>
      <c r="AE580" s="50">
        <f>IF(L580="W",1,0)</f>
        <v>0</v>
      </c>
      <c r="AF580" s="50">
        <f>IF(L580="T",1,0)</f>
        <v>1</v>
      </c>
      <c r="AG580" s="50">
        <f>IF(L580="L",1,0)</f>
        <v>0</v>
      </c>
      <c r="AH580" s="46"/>
      <c r="AI580" s="46"/>
      <c r="AJ580" s="46" t="s">
        <v>376</v>
      </c>
      <c r="AK580" s="46" t="s">
        <v>658</v>
      </c>
      <c r="AL580" s="46"/>
      <c r="AM580" s="46"/>
      <c r="AN580" s="46" t="s">
        <v>376</v>
      </c>
      <c r="AO580" s="46" t="s">
        <v>658</v>
      </c>
      <c r="AP580" s="46"/>
      <c r="AQ580" s="46">
        <v>2</v>
      </c>
      <c r="AR580" s="46"/>
      <c r="AS580" s="46"/>
      <c r="AT580" s="46"/>
      <c r="AU580" s="46" t="s">
        <v>376</v>
      </c>
      <c r="AV580" s="46"/>
      <c r="AW580" s="46" t="s">
        <v>30</v>
      </c>
      <c r="AX580" s="46"/>
      <c r="AY580" s="46"/>
      <c r="AZ580" s="46" t="s">
        <v>30</v>
      </c>
      <c r="BA580" s="54"/>
      <c r="BB580" s="51"/>
      <c r="BC580" s="46"/>
      <c r="BD580" s="46"/>
      <c r="BE580" s="46"/>
      <c r="BF580" s="46">
        <v>1</v>
      </c>
      <c r="BG580" s="46">
        <v>1</v>
      </c>
      <c r="BH580" s="46">
        <v>1</v>
      </c>
      <c r="BI580" s="46" t="s">
        <v>806</v>
      </c>
      <c r="BJ580" s="46" t="s">
        <v>1255</v>
      </c>
      <c r="BK580" s="46">
        <v>1961</v>
      </c>
      <c r="BL580" s="46" t="str">
        <f>BK580&amp;BI580</f>
        <v>1961Aston Villa</v>
      </c>
      <c r="BM580" s="52" t="str">
        <f>IF(AD580="Home",BI580,IF(AD580="Away",BJ580,Q580))</f>
        <v>Aston Villa</v>
      </c>
      <c r="BN580" s="46"/>
      <c r="BO580" s="46"/>
      <c r="BP580" s="46"/>
      <c r="BQ580" s="46"/>
      <c r="BR580" s="46"/>
      <c r="BS580" s="46"/>
      <c r="BT580" s="46"/>
      <c r="BU580" s="46"/>
      <c r="BV580" s="46" t="s">
        <v>376</v>
      </c>
      <c r="BW580" s="46" t="s">
        <v>376</v>
      </c>
      <c r="BX580" s="46"/>
      <c r="BZ580" s="53"/>
      <c r="CA580" s="53"/>
      <c r="CB580" s="93" t="str">
        <f>IF(OR(C580="",A580="",B580=""),"",TEXT(C580,"0000")&amp;TEXT(A580,"00")&amp;TEXT(B580,"00"))</f>
        <v>19610426</v>
      </c>
    </row>
    <row r="581" spans="1:80" s="52" customFormat="1" ht="12.95" customHeight="1" x14ac:dyDescent="0.2">
      <c r="A581" s="46">
        <v>4</v>
      </c>
      <c r="B581" s="46">
        <v>26</v>
      </c>
      <c r="C581" s="46">
        <v>1961</v>
      </c>
      <c r="D581" s="46" t="s">
        <v>658</v>
      </c>
      <c r="E581" s="46" t="s">
        <v>574</v>
      </c>
      <c r="F581" s="54" t="s">
        <v>1327</v>
      </c>
      <c r="G581" s="46"/>
      <c r="H581" s="54" t="s">
        <v>1011</v>
      </c>
      <c r="I581" s="54">
        <v>2</v>
      </c>
      <c r="J581" s="55">
        <v>22397</v>
      </c>
      <c r="K581" s="46" t="s">
        <v>1255</v>
      </c>
      <c r="L581" s="46" t="s">
        <v>1014</v>
      </c>
      <c r="M581" s="46" t="s">
        <v>806</v>
      </c>
      <c r="N581" s="49">
        <v>2</v>
      </c>
      <c r="O581" s="49">
        <v>2</v>
      </c>
      <c r="P581" s="54" t="s">
        <v>1219</v>
      </c>
      <c r="Q581" s="54" t="s">
        <v>1111</v>
      </c>
      <c r="R581" s="54" t="s">
        <v>376</v>
      </c>
      <c r="S581" s="46" t="s">
        <v>1023</v>
      </c>
      <c r="T581" s="46"/>
      <c r="U581" s="46"/>
      <c r="V581" s="46"/>
      <c r="W581" s="46"/>
      <c r="X581" s="46"/>
      <c r="Y581" s="46"/>
      <c r="Z581" s="46"/>
      <c r="AA581" s="46"/>
      <c r="AB581" s="46"/>
      <c r="AC581" s="46"/>
      <c r="AD581" s="46" t="s">
        <v>1037</v>
      </c>
      <c r="AE581" s="50">
        <f>IF(L581="W",1,0)</f>
        <v>0</v>
      </c>
      <c r="AF581" s="50">
        <f>IF(L581="T",1,0)</f>
        <v>1</v>
      </c>
      <c r="AG581" s="50">
        <f>IF(L581="L",1,0)</f>
        <v>0</v>
      </c>
      <c r="AH581" s="46"/>
      <c r="AI581" s="46"/>
      <c r="AJ581" s="46" t="s">
        <v>376</v>
      </c>
      <c r="AK581" s="46" t="s">
        <v>658</v>
      </c>
      <c r="AL581" s="46"/>
      <c r="AM581" s="46"/>
      <c r="AN581" s="46" t="s">
        <v>376</v>
      </c>
      <c r="AO581" s="46" t="s">
        <v>658</v>
      </c>
      <c r="AP581" s="46"/>
      <c r="AQ581" s="46">
        <v>2</v>
      </c>
      <c r="AR581" s="46"/>
      <c r="AS581" s="46"/>
      <c r="AT581" s="46"/>
      <c r="AU581" s="46" t="s">
        <v>376</v>
      </c>
      <c r="AV581" s="46"/>
      <c r="AW581" s="46" t="s">
        <v>30</v>
      </c>
      <c r="AX581" s="46"/>
      <c r="AY581" s="46"/>
      <c r="AZ581" s="46" t="s">
        <v>30</v>
      </c>
      <c r="BA581" s="54"/>
      <c r="BB581" s="51"/>
      <c r="BC581" s="46"/>
      <c r="BD581" s="46"/>
      <c r="BE581" s="46"/>
      <c r="BF581" s="46">
        <v>1</v>
      </c>
      <c r="BG581" s="46">
        <v>1</v>
      </c>
      <c r="BH581" s="46">
        <v>1</v>
      </c>
      <c r="BI581" s="46" t="s">
        <v>1255</v>
      </c>
      <c r="BJ581" s="46" t="s">
        <v>806</v>
      </c>
      <c r="BK581" s="46">
        <v>1961</v>
      </c>
      <c r="BL581" s="46" t="str">
        <f>BK581&amp;BI581</f>
        <v>1961Burnley</v>
      </c>
      <c r="BM581" s="52" t="str">
        <f>IF(AD581="Home",BI581,IF(AD581="Away",BJ581,Q581))</f>
        <v>Aston Villa</v>
      </c>
      <c r="BN581" s="46"/>
      <c r="BO581" s="46"/>
      <c r="BP581" s="46"/>
      <c r="BQ581" s="46"/>
      <c r="BR581" s="46"/>
      <c r="BS581" s="46"/>
      <c r="BT581" s="46"/>
      <c r="BU581" s="46"/>
      <c r="BV581" s="46" t="s">
        <v>376</v>
      </c>
      <c r="BW581" s="46" t="s">
        <v>376</v>
      </c>
      <c r="BX581" s="46"/>
      <c r="BZ581" s="53"/>
      <c r="CA581" s="53"/>
      <c r="CB581" s="93" t="str">
        <f>IF(OR(C581="",A581="",B581=""),"",TEXT(C581,"0000")&amp;TEXT(A581,"00")&amp;TEXT(B581,"00"))</f>
        <v>19610426</v>
      </c>
    </row>
    <row r="582" spans="1:80" s="52" customFormat="1" ht="12.95" customHeight="1" x14ac:dyDescent="0.2">
      <c r="A582" s="46">
        <v>5</v>
      </c>
      <c r="B582" s="46">
        <v>2</v>
      </c>
      <c r="C582" s="46">
        <v>1961</v>
      </c>
      <c r="D582" s="46" t="s">
        <v>658</v>
      </c>
      <c r="E582" s="46" t="s">
        <v>574</v>
      </c>
      <c r="F582" s="54" t="s">
        <v>1327</v>
      </c>
      <c r="G582" s="46"/>
      <c r="H582" s="54" t="s">
        <v>1011</v>
      </c>
      <c r="I582" s="54" t="s">
        <v>1023</v>
      </c>
      <c r="J582" s="55">
        <v>22403</v>
      </c>
      <c r="K582" s="46" t="s">
        <v>1255</v>
      </c>
      <c r="L582" s="46" t="s">
        <v>4</v>
      </c>
      <c r="M582" s="46" t="s">
        <v>806</v>
      </c>
      <c r="N582" s="49">
        <v>1</v>
      </c>
      <c r="O582" s="49">
        <v>2</v>
      </c>
      <c r="P582" s="54" t="s">
        <v>1266</v>
      </c>
      <c r="Q582" s="54" t="s">
        <v>1255</v>
      </c>
      <c r="R582" s="54" t="s">
        <v>376</v>
      </c>
      <c r="S582" s="46"/>
      <c r="T582" s="46"/>
      <c r="U582" s="46"/>
      <c r="V582" s="46"/>
      <c r="W582" s="46"/>
      <c r="X582" s="46"/>
      <c r="Y582" s="46"/>
      <c r="Z582" s="46"/>
      <c r="AA582" s="46"/>
      <c r="AB582" s="46"/>
      <c r="AC582" s="46"/>
      <c r="AD582" s="46" t="s">
        <v>1033</v>
      </c>
      <c r="AE582" s="50">
        <f>IF(L582="W",1,0)</f>
        <v>0</v>
      </c>
      <c r="AF582" s="50">
        <f>IF(L582="T",1,0)</f>
        <v>0</v>
      </c>
      <c r="AG582" s="50">
        <f>IF(L582="L",1,0)</f>
        <v>1</v>
      </c>
      <c r="AH582" s="46"/>
      <c r="AI582" s="46"/>
      <c r="AJ582" s="46" t="s">
        <v>376</v>
      </c>
      <c r="AK582" s="46" t="s">
        <v>658</v>
      </c>
      <c r="AL582" s="46"/>
      <c r="AM582" s="46"/>
      <c r="AN582" s="46" t="s">
        <v>376</v>
      </c>
      <c r="AO582" s="46" t="s">
        <v>658</v>
      </c>
      <c r="AP582" s="46"/>
      <c r="AQ582" s="46">
        <v>2</v>
      </c>
      <c r="AR582" s="46"/>
      <c r="AS582" s="46"/>
      <c r="AT582" s="46"/>
      <c r="AU582" s="46" t="s">
        <v>376</v>
      </c>
      <c r="AV582" s="46"/>
      <c r="AW582" s="46" t="s">
        <v>30</v>
      </c>
      <c r="AX582" s="46"/>
      <c r="AY582" s="46"/>
      <c r="AZ582" s="46" t="s">
        <v>30</v>
      </c>
      <c r="BA582" s="54"/>
      <c r="BB582" s="51"/>
      <c r="BC582" s="46"/>
      <c r="BD582" s="46"/>
      <c r="BE582" s="46"/>
      <c r="BF582" s="46">
        <v>1</v>
      </c>
      <c r="BG582" s="46">
        <v>1</v>
      </c>
      <c r="BH582" s="46">
        <v>1</v>
      </c>
      <c r="BI582" s="46" t="s">
        <v>1255</v>
      </c>
      <c r="BJ582" s="46" t="s">
        <v>806</v>
      </c>
      <c r="BK582" s="46">
        <v>1961</v>
      </c>
      <c r="BL582" s="46" t="str">
        <f>BK582&amp;BI582</f>
        <v>1961Burnley</v>
      </c>
      <c r="BM582" s="52" t="str">
        <f>IF(AD582="Home",BI582,IF(AD582="Away",BJ582,Q582))</f>
        <v>Burnley</v>
      </c>
      <c r="BN582" s="46"/>
      <c r="BO582" s="46"/>
      <c r="BP582" s="46"/>
      <c r="BQ582" s="46"/>
      <c r="BR582" s="46"/>
      <c r="BS582" s="46"/>
      <c r="BT582" s="46"/>
      <c r="BU582" s="46"/>
      <c r="BV582" s="46" t="s">
        <v>376</v>
      </c>
      <c r="BW582" s="46" t="s">
        <v>376</v>
      </c>
      <c r="BX582" s="46"/>
      <c r="BZ582" s="53"/>
      <c r="CA582" s="53"/>
      <c r="CB582" s="93" t="str">
        <f>IF(OR(C582="",A582="",B582=""),"",TEXT(C582,"0000")&amp;TEXT(A582,"00")&amp;TEXT(B582,"00"))</f>
        <v>19610502</v>
      </c>
    </row>
    <row r="583" spans="1:80" s="52" customFormat="1" ht="12.95" customHeight="1" x14ac:dyDescent="0.2">
      <c r="A583" s="46">
        <v>5</v>
      </c>
      <c r="B583" s="46">
        <v>2</v>
      </c>
      <c r="C583" s="46">
        <v>1961</v>
      </c>
      <c r="D583" s="46" t="s">
        <v>658</v>
      </c>
      <c r="E583" s="46" t="s">
        <v>574</v>
      </c>
      <c r="F583" s="54" t="s">
        <v>1327</v>
      </c>
      <c r="G583" s="46"/>
      <c r="H583" s="54" t="s">
        <v>1011</v>
      </c>
      <c r="I583" s="54" t="s">
        <v>1023</v>
      </c>
      <c r="J583" s="55">
        <v>22403</v>
      </c>
      <c r="K583" s="46" t="s">
        <v>806</v>
      </c>
      <c r="L583" s="46" t="s">
        <v>3</v>
      </c>
      <c r="M583" s="46" t="s">
        <v>1255</v>
      </c>
      <c r="N583" s="49">
        <v>2</v>
      </c>
      <c r="O583" s="49">
        <v>1</v>
      </c>
      <c r="P583" s="54" t="s">
        <v>1266</v>
      </c>
      <c r="Q583" s="54" t="s">
        <v>1255</v>
      </c>
      <c r="R583" s="54" t="s">
        <v>376</v>
      </c>
      <c r="S583" s="46"/>
      <c r="T583" s="46"/>
      <c r="U583" s="46"/>
      <c r="V583" s="46"/>
      <c r="W583" s="46"/>
      <c r="X583" s="46"/>
      <c r="Y583" s="46"/>
      <c r="Z583" s="46"/>
      <c r="AA583" s="46"/>
      <c r="AB583" s="46"/>
      <c r="AC583" s="46"/>
      <c r="AD583" s="46" t="s">
        <v>1037</v>
      </c>
      <c r="AE583" s="50">
        <f>IF(L583="W",1,0)</f>
        <v>1</v>
      </c>
      <c r="AF583" s="50">
        <f>IF(L583="T",1,0)</f>
        <v>0</v>
      </c>
      <c r="AG583" s="50">
        <f>IF(L583="L",1,0)</f>
        <v>0</v>
      </c>
      <c r="AH583" s="46"/>
      <c r="AI583" s="46"/>
      <c r="AJ583" s="46" t="s">
        <v>376</v>
      </c>
      <c r="AK583" s="46" t="s">
        <v>658</v>
      </c>
      <c r="AL583" s="46"/>
      <c r="AM583" s="46"/>
      <c r="AN583" s="46" t="s">
        <v>376</v>
      </c>
      <c r="AO583" s="46" t="s">
        <v>658</v>
      </c>
      <c r="AP583" s="46"/>
      <c r="AQ583" s="46">
        <v>2</v>
      </c>
      <c r="AR583" s="46"/>
      <c r="AS583" s="46"/>
      <c r="AT583" s="46"/>
      <c r="AU583" s="46" t="s">
        <v>376</v>
      </c>
      <c r="AV583" s="46"/>
      <c r="AW583" s="46" t="s">
        <v>30</v>
      </c>
      <c r="AX583" s="46"/>
      <c r="AY583" s="46"/>
      <c r="AZ583" s="46" t="s">
        <v>30</v>
      </c>
      <c r="BA583" s="54"/>
      <c r="BB583" s="51"/>
      <c r="BC583" s="46"/>
      <c r="BD583" s="46"/>
      <c r="BE583" s="46"/>
      <c r="BF583" s="46">
        <v>1</v>
      </c>
      <c r="BG583" s="46">
        <v>1</v>
      </c>
      <c r="BH583" s="46">
        <v>1</v>
      </c>
      <c r="BI583" s="46" t="s">
        <v>806</v>
      </c>
      <c r="BJ583" s="46" t="s">
        <v>1255</v>
      </c>
      <c r="BK583" s="46">
        <v>1961</v>
      </c>
      <c r="BL583" s="46" t="str">
        <f>BK583&amp;BI583</f>
        <v>1961Aston Villa</v>
      </c>
      <c r="BM583" s="52" t="str">
        <f>IF(AD583="Home",BI583,IF(AD583="Away",BJ583,Q583))</f>
        <v>Burnley</v>
      </c>
      <c r="BN583" s="46"/>
      <c r="BO583" s="46"/>
      <c r="BP583" s="46"/>
      <c r="BQ583" s="46"/>
      <c r="BR583" s="46"/>
      <c r="BS583" s="46"/>
      <c r="BT583" s="46"/>
      <c r="BU583" s="46"/>
      <c r="BV583" s="46" t="s">
        <v>376</v>
      </c>
      <c r="BW583" s="46" t="s">
        <v>376</v>
      </c>
      <c r="BX583" s="46"/>
      <c r="BZ583" s="53"/>
      <c r="CA583" s="53"/>
      <c r="CB583" s="93" t="str">
        <f>IF(OR(C583="",A583="",B583=""),"",TEXT(C583,"0000")&amp;TEXT(A583,"00")&amp;TEXT(B583,"00"))</f>
        <v>19610502</v>
      </c>
    </row>
    <row r="584" spans="1:80" s="52" customFormat="1" ht="12.95" customHeight="1" x14ac:dyDescent="0.2">
      <c r="A584" s="46">
        <v>5</v>
      </c>
      <c r="B584" s="46">
        <v>6</v>
      </c>
      <c r="C584" s="46">
        <v>1961</v>
      </c>
      <c r="D584" s="46" t="s">
        <v>658</v>
      </c>
      <c r="E584" s="46" t="s">
        <v>574</v>
      </c>
      <c r="F584" s="47" t="s">
        <v>1010</v>
      </c>
      <c r="G584" s="46"/>
      <c r="H584" s="47" t="s">
        <v>1025</v>
      </c>
      <c r="I584" s="47"/>
      <c r="J584" s="48">
        <v>22407</v>
      </c>
      <c r="K584" s="46" t="s">
        <v>813</v>
      </c>
      <c r="L584" s="46" t="s">
        <v>3</v>
      </c>
      <c r="M584" s="46" t="s">
        <v>1291</v>
      </c>
      <c r="N584" s="49">
        <v>2</v>
      </c>
      <c r="O584" s="49">
        <v>0</v>
      </c>
      <c r="P584" s="47" t="s">
        <v>1268</v>
      </c>
      <c r="Q584" s="47" t="s">
        <v>1017</v>
      </c>
      <c r="R584" s="47" t="s">
        <v>376</v>
      </c>
      <c r="S584" s="46"/>
      <c r="T584" s="46"/>
      <c r="U584" s="46"/>
      <c r="V584" s="46"/>
      <c r="W584" s="46"/>
      <c r="X584" s="46"/>
      <c r="Y584" s="46"/>
      <c r="Z584" s="46"/>
      <c r="AA584" s="46"/>
      <c r="AB584" s="46"/>
      <c r="AC584" s="46"/>
      <c r="AD584" s="46"/>
      <c r="AE584" s="50">
        <f>IF(L584="W",1,0)</f>
        <v>1</v>
      </c>
      <c r="AF584" s="50">
        <f>IF(L584="T",1,0)</f>
        <v>0</v>
      </c>
      <c r="AG584" s="50">
        <f>IF(L584="L",1,0)</f>
        <v>0</v>
      </c>
      <c r="AH584" s="46" t="s">
        <v>1017</v>
      </c>
      <c r="AI584" s="46" t="s">
        <v>1018</v>
      </c>
      <c r="AJ584" s="46" t="s">
        <v>376</v>
      </c>
      <c r="AK584" s="46" t="s">
        <v>658</v>
      </c>
      <c r="AL584" s="46" t="s">
        <v>1278</v>
      </c>
      <c r="AM584" s="46" t="s">
        <v>1292</v>
      </c>
      <c r="AN584" s="46" t="s">
        <v>376</v>
      </c>
      <c r="AO584" s="46" t="s">
        <v>658</v>
      </c>
      <c r="AP584" s="46"/>
      <c r="AQ584" s="46">
        <v>1</v>
      </c>
      <c r="AR584" s="46"/>
      <c r="AS584" s="46"/>
      <c r="AT584" s="46"/>
      <c r="AU584" s="46" t="s">
        <v>376</v>
      </c>
      <c r="AV584" s="46"/>
      <c r="AW584" s="46" t="s">
        <v>30</v>
      </c>
      <c r="AX584" s="46"/>
      <c r="AY584" s="46" t="s">
        <v>30</v>
      </c>
      <c r="AZ584" s="46"/>
      <c r="BA584" s="47"/>
      <c r="BB584" s="51" t="s">
        <v>30</v>
      </c>
      <c r="BC584" s="46" t="s">
        <v>30</v>
      </c>
      <c r="BD584" s="46"/>
      <c r="BE584" s="46"/>
      <c r="BF584" s="46">
        <v>1</v>
      </c>
      <c r="BG584" s="46">
        <v>1</v>
      </c>
      <c r="BH584" s="46">
        <v>1</v>
      </c>
      <c r="BI584" s="46" t="s">
        <v>813</v>
      </c>
      <c r="BJ584" s="46" t="s">
        <v>1291</v>
      </c>
      <c r="BK584" s="46">
        <v>1961</v>
      </c>
      <c r="BL584" s="46" t="str">
        <f>BK584&amp;BI584</f>
        <v>1961Tottenham Hotspur</v>
      </c>
      <c r="BM584" s="52" t="str">
        <f>IF(AD584="Home",BI584,IF(AD584="Away",BJ584,Q584))</f>
        <v>London</v>
      </c>
      <c r="BN584" s="46"/>
      <c r="BO584" s="46"/>
      <c r="BP584" s="46"/>
      <c r="BQ584" s="46"/>
      <c r="BR584" s="46"/>
      <c r="BS584" s="46"/>
      <c r="BT584" s="46"/>
      <c r="BU584" s="46"/>
      <c r="BV584" s="46" t="s">
        <v>376</v>
      </c>
      <c r="BW584" s="46" t="s">
        <v>376</v>
      </c>
      <c r="BX584" s="46"/>
      <c r="BZ584" s="53"/>
      <c r="CA584" s="53"/>
      <c r="CB584" s="93" t="str">
        <f>IF(OR(C584="",A584="",B584=""),"",TEXT(C584,"0000")&amp;TEXT(A584,"00")&amp;TEXT(B584,"00"))</f>
        <v>19610506</v>
      </c>
    </row>
    <row r="585" spans="1:80" s="52" customFormat="1" ht="12.95" customHeight="1" x14ac:dyDescent="0.2">
      <c r="A585" s="46">
        <v>5</v>
      </c>
      <c r="B585" s="46">
        <v>6</v>
      </c>
      <c r="C585" s="46">
        <v>1961</v>
      </c>
      <c r="D585" s="46" t="s">
        <v>658</v>
      </c>
      <c r="E585" s="46" t="s">
        <v>574</v>
      </c>
      <c r="F585" s="47" t="s">
        <v>1010</v>
      </c>
      <c r="G585" s="46"/>
      <c r="H585" s="47" t="s">
        <v>1025</v>
      </c>
      <c r="I585" s="47"/>
      <c r="J585" s="48">
        <v>22407</v>
      </c>
      <c r="K585" s="46" t="s">
        <v>1291</v>
      </c>
      <c r="L585" s="46" t="s">
        <v>4</v>
      </c>
      <c r="M585" s="46" t="s">
        <v>813</v>
      </c>
      <c r="N585" s="49">
        <v>0</v>
      </c>
      <c r="O585" s="49">
        <v>2</v>
      </c>
      <c r="P585" s="47" t="s">
        <v>1268</v>
      </c>
      <c r="Q585" s="47" t="s">
        <v>1017</v>
      </c>
      <c r="R585" s="47" t="s">
        <v>376</v>
      </c>
      <c r="S585" s="46"/>
      <c r="T585" s="46"/>
      <c r="U585" s="46"/>
      <c r="V585" s="46"/>
      <c r="W585" s="46"/>
      <c r="X585" s="46"/>
      <c r="Y585" s="46"/>
      <c r="Z585" s="46"/>
      <c r="AA585" s="46"/>
      <c r="AB585" s="46"/>
      <c r="AC585" s="46"/>
      <c r="AD585" s="46"/>
      <c r="AE585" s="50">
        <f>IF(L585="W",1,0)</f>
        <v>0</v>
      </c>
      <c r="AF585" s="50">
        <f>IF(L585="T",1,0)</f>
        <v>0</v>
      </c>
      <c r="AG585" s="50">
        <f>IF(L585="L",1,0)</f>
        <v>1</v>
      </c>
      <c r="AH585" s="46" t="s">
        <v>1278</v>
      </c>
      <c r="AI585" s="46" t="s">
        <v>1292</v>
      </c>
      <c r="AJ585" s="46" t="s">
        <v>376</v>
      </c>
      <c r="AK585" s="46" t="s">
        <v>658</v>
      </c>
      <c r="AL585" s="46" t="s">
        <v>1017</v>
      </c>
      <c r="AM585" s="46" t="s">
        <v>1018</v>
      </c>
      <c r="AN585" s="46" t="s">
        <v>376</v>
      </c>
      <c r="AO585" s="46" t="s">
        <v>658</v>
      </c>
      <c r="AP585" s="46"/>
      <c r="AQ585" s="46">
        <v>1</v>
      </c>
      <c r="AR585" s="46"/>
      <c r="AS585" s="46"/>
      <c r="AT585" s="46"/>
      <c r="AU585" s="46" t="s">
        <v>376</v>
      </c>
      <c r="AV585" s="46"/>
      <c r="AW585" s="46" t="s">
        <v>30</v>
      </c>
      <c r="AX585" s="46"/>
      <c r="AY585" s="46" t="s">
        <v>30</v>
      </c>
      <c r="AZ585" s="46"/>
      <c r="BA585" s="47"/>
      <c r="BB585" s="51"/>
      <c r="BC585" s="46" t="s">
        <v>30</v>
      </c>
      <c r="BD585" s="46"/>
      <c r="BE585" s="46"/>
      <c r="BF585" s="46">
        <v>1</v>
      </c>
      <c r="BG585" s="46">
        <v>1</v>
      </c>
      <c r="BH585" s="46">
        <v>1</v>
      </c>
      <c r="BI585" s="46" t="s">
        <v>1291</v>
      </c>
      <c r="BJ585" s="46" t="s">
        <v>813</v>
      </c>
      <c r="BK585" s="46">
        <v>1961</v>
      </c>
      <c r="BL585" s="46" t="str">
        <f>BK585&amp;BI585</f>
        <v>1961Leicester City</v>
      </c>
      <c r="BM585" s="52" t="str">
        <f>IF(AD585="Home",BI585,IF(AD585="Away",BJ585,Q585))</f>
        <v>London</v>
      </c>
      <c r="BN585" s="46"/>
      <c r="BO585" s="46"/>
      <c r="BP585" s="46"/>
      <c r="BQ585" s="46"/>
      <c r="BR585" s="46"/>
      <c r="BS585" s="46"/>
      <c r="BT585" s="46"/>
      <c r="BU585" s="46"/>
      <c r="BV585" s="46" t="s">
        <v>376</v>
      </c>
      <c r="BW585" s="46" t="s">
        <v>376</v>
      </c>
      <c r="BX585" s="46"/>
      <c r="BZ585" s="53"/>
      <c r="CA585" s="53"/>
      <c r="CB585" s="93" t="str">
        <f>IF(OR(C585="",A585="",B585=""),"",TEXT(C585,"0000")&amp;TEXT(A585,"00")&amp;TEXT(B585,"00"))</f>
        <v>19610506</v>
      </c>
    </row>
    <row r="586" spans="1:80" s="52" customFormat="1" ht="12.95" customHeight="1" x14ac:dyDescent="0.2">
      <c r="A586" s="46">
        <v>8</v>
      </c>
      <c r="B586" s="46">
        <v>22</v>
      </c>
      <c r="C586" s="46">
        <v>1961</v>
      </c>
      <c r="D586" s="46" t="s">
        <v>658</v>
      </c>
      <c r="E586" s="46" t="s">
        <v>574</v>
      </c>
      <c r="F586" s="54" t="s">
        <v>1327</v>
      </c>
      <c r="G586" s="46"/>
      <c r="H586" s="46" t="s">
        <v>1334</v>
      </c>
      <c r="I586" s="54">
        <v>1</v>
      </c>
      <c r="J586" s="55">
        <v>22515</v>
      </c>
      <c r="K586" s="46" t="s">
        <v>1328</v>
      </c>
      <c r="L586" s="46" t="s">
        <v>3</v>
      </c>
      <c r="M586" s="46" t="s">
        <v>806</v>
      </c>
      <c r="N586" s="49">
        <v>2</v>
      </c>
      <c r="O586" s="49">
        <v>0</v>
      </c>
      <c r="P586" s="54" t="s">
        <v>1330</v>
      </c>
      <c r="Q586" s="54" t="s">
        <v>1331</v>
      </c>
      <c r="R586" s="54" t="s">
        <v>376</v>
      </c>
      <c r="S586" s="46"/>
      <c r="T586" s="46"/>
      <c r="U586" s="46"/>
      <c r="V586" s="46"/>
      <c r="W586" s="46"/>
      <c r="X586" s="46"/>
      <c r="Y586" s="46"/>
      <c r="Z586" s="46"/>
      <c r="AA586" s="46"/>
      <c r="AB586" s="46"/>
      <c r="AC586" s="46"/>
      <c r="AD586" s="46" t="s">
        <v>1033</v>
      </c>
      <c r="AE586" s="50">
        <f>IF(L586="W",1,0)</f>
        <v>1</v>
      </c>
      <c r="AF586" s="50">
        <f>IF(L586="T",1,0)</f>
        <v>0</v>
      </c>
      <c r="AG586" s="50">
        <f>IF(L586="L",1,0)</f>
        <v>0</v>
      </c>
      <c r="AH586" s="46"/>
      <c r="AI586" s="46"/>
      <c r="AJ586" s="46" t="s">
        <v>376</v>
      </c>
      <c r="AK586" s="46" t="s">
        <v>658</v>
      </c>
      <c r="AL586" s="46"/>
      <c r="AM586" s="46"/>
      <c r="AN586" s="46" t="s">
        <v>376</v>
      </c>
      <c r="AO586" s="46" t="s">
        <v>658</v>
      </c>
      <c r="AP586" s="46"/>
      <c r="AQ586" s="46">
        <v>1</v>
      </c>
      <c r="AR586" s="46"/>
      <c r="AS586" s="46"/>
      <c r="AT586" s="46"/>
      <c r="AU586" s="46" t="s">
        <v>376</v>
      </c>
      <c r="AV586" s="46"/>
      <c r="AW586" s="46" t="s">
        <v>30</v>
      </c>
      <c r="AX586" s="46"/>
      <c r="AY586" s="46"/>
      <c r="AZ586" s="46" t="s">
        <v>30</v>
      </c>
      <c r="BA586" s="54"/>
      <c r="BB586" s="51" t="s">
        <v>30</v>
      </c>
      <c r="BC586" s="46" t="s">
        <v>30</v>
      </c>
      <c r="BD586" s="46"/>
      <c r="BE586" s="46"/>
      <c r="BF586" s="46">
        <v>1</v>
      </c>
      <c r="BG586" s="46">
        <v>2</v>
      </c>
      <c r="BH586" s="46">
        <v>1</v>
      </c>
      <c r="BI586" s="46" t="s">
        <v>1328</v>
      </c>
      <c r="BJ586" s="46" t="s">
        <v>806</v>
      </c>
      <c r="BK586" s="46">
        <v>1961</v>
      </c>
      <c r="BL586" s="46" t="str">
        <f>BK586&amp;BI586</f>
        <v>1961Rotherham United</v>
      </c>
      <c r="BM586" s="52" t="str">
        <f>IF(AD586="Home",BI586,IF(AD586="Away",BJ586,Q586))</f>
        <v>Rotherham United</v>
      </c>
      <c r="BN586" s="46"/>
      <c r="BO586" s="46"/>
      <c r="BP586" s="46"/>
      <c r="BQ586" s="46"/>
      <c r="BR586" s="46"/>
      <c r="BS586" s="46"/>
      <c r="BT586" s="46"/>
      <c r="BU586" s="46"/>
      <c r="BV586" s="46" t="s">
        <v>376</v>
      </c>
      <c r="BW586" s="46" t="s">
        <v>376</v>
      </c>
      <c r="BX586" s="46"/>
      <c r="BY586" s="50"/>
      <c r="BZ586" s="53"/>
      <c r="CA586" s="53"/>
      <c r="CB586" s="93" t="str">
        <f>IF(OR(C586="",A586="",B586=""),"",TEXT(C586,"0000")&amp;TEXT(A586,"00")&amp;TEXT(B586,"00"))</f>
        <v>19610822</v>
      </c>
    </row>
    <row r="587" spans="1:80" s="52" customFormat="1" ht="12.95" customHeight="1" x14ac:dyDescent="0.2">
      <c r="A587" s="46">
        <v>8</v>
      </c>
      <c r="B587" s="46">
        <v>22</v>
      </c>
      <c r="C587" s="46">
        <v>1961</v>
      </c>
      <c r="D587" s="46" t="s">
        <v>658</v>
      </c>
      <c r="E587" s="46" t="s">
        <v>574</v>
      </c>
      <c r="F587" s="54" t="s">
        <v>1327</v>
      </c>
      <c r="G587" s="46"/>
      <c r="H587" s="46" t="s">
        <v>1334</v>
      </c>
      <c r="I587" s="54">
        <v>1</v>
      </c>
      <c r="J587" s="55">
        <v>22515</v>
      </c>
      <c r="K587" s="46" t="s">
        <v>806</v>
      </c>
      <c r="L587" s="46" t="s">
        <v>4</v>
      </c>
      <c r="M587" s="46" t="s">
        <v>1328</v>
      </c>
      <c r="N587" s="49">
        <v>0</v>
      </c>
      <c r="O587" s="49">
        <v>2</v>
      </c>
      <c r="P587" s="54" t="s">
        <v>1330</v>
      </c>
      <c r="Q587" s="54" t="s">
        <v>1331</v>
      </c>
      <c r="R587" s="54" t="s">
        <v>376</v>
      </c>
      <c r="S587" s="46"/>
      <c r="T587" s="46"/>
      <c r="U587" s="46"/>
      <c r="V587" s="46"/>
      <c r="W587" s="46"/>
      <c r="X587" s="46"/>
      <c r="Y587" s="46"/>
      <c r="Z587" s="46"/>
      <c r="AA587" s="46"/>
      <c r="AB587" s="46"/>
      <c r="AC587" s="46"/>
      <c r="AD587" s="46" t="s">
        <v>1037</v>
      </c>
      <c r="AE587" s="50">
        <f>IF(L587="W",1,0)</f>
        <v>0</v>
      </c>
      <c r="AF587" s="50">
        <f>IF(L587="T",1,0)</f>
        <v>0</v>
      </c>
      <c r="AG587" s="50">
        <f>IF(L587="L",1,0)</f>
        <v>1</v>
      </c>
      <c r="AH587" s="46"/>
      <c r="AI587" s="46"/>
      <c r="AJ587" s="46" t="s">
        <v>376</v>
      </c>
      <c r="AK587" s="46" t="s">
        <v>658</v>
      </c>
      <c r="AL587" s="46"/>
      <c r="AM587" s="46"/>
      <c r="AN587" s="46" t="s">
        <v>376</v>
      </c>
      <c r="AO587" s="46" t="s">
        <v>658</v>
      </c>
      <c r="AP587" s="46"/>
      <c r="AQ587" s="46">
        <v>1</v>
      </c>
      <c r="AR587" s="46"/>
      <c r="AS587" s="46"/>
      <c r="AT587" s="46"/>
      <c r="AU587" s="46" t="s">
        <v>376</v>
      </c>
      <c r="AV587" s="46"/>
      <c r="AW587" s="46" t="s">
        <v>30</v>
      </c>
      <c r="AX587" s="46"/>
      <c r="AY587" s="46"/>
      <c r="AZ587" s="46" t="s">
        <v>30</v>
      </c>
      <c r="BA587" s="54"/>
      <c r="BB587" s="51"/>
      <c r="BC587" s="46" t="s">
        <v>30</v>
      </c>
      <c r="BD587" s="46"/>
      <c r="BE587" s="46"/>
      <c r="BF587" s="46">
        <v>1</v>
      </c>
      <c r="BG587" s="46">
        <v>1</v>
      </c>
      <c r="BH587" s="46">
        <v>2</v>
      </c>
      <c r="BI587" s="46" t="s">
        <v>806</v>
      </c>
      <c r="BJ587" s="46" t="s">
        <v>1328</v>
      </c>
      <c r="BK587" s="46">
        <v>1961</v>
      </c>
      <c r="BL587" s="46" t="str">
        <f>BK587&amp;BI587</f>
        <v>1961Aston Villa</v>
      </c>
      <c r="BM587" s="52" t="str">
        <f>IF(AD587="Home",BI587,IF(AD587="Away",BJ587,Q587))</f>
        <v>Rotherham United</v>
      </c>
      <c r="BN587" s="46"/>
      <c r="BO587" s="46"/>
      <c r="BP587" s="46"/>
      <c r="BQ587" s="46"/>
      <c r="BR587" s="46"/>
      <c r="BS587" s="46"/>
      <c r="BT587" s="46"/>
      <c r="BU587" s="46"/>
      <c r="BV587" s="46" t="s">
        <v>376</v>
      </c>
      <c r="BW587" s="46" t="s">
        <v>376</v>
      </c>
      <c r="BX587" s="46"/>
      <c r="BY587" s="50"/>
      <c r="BZ587" s="53"/>
      <c r="CA587" s="53"/>
      <c r="CB587" s="93" t="str">
        <f>IF(OR(C587="",A587="",B587=""),"",TEXT(C587,"0000")&amp;TEXT(A587,"00")&amp;TEXT(B587,"00"))</f>
        <v>19610822</v>
      </c>
    </row>
    <row r="588" spans="1:80" s="52" customFormat="1" ht="12.95" customHeight="1" x14ac:dyDescent="0.2">
      <c r="A588" s="46">
        <v>9</v>
      </c>
      <c r="B588" s="46">
        <v>5</v>
      </c>
      <c r="C588" s="46">
        <v>1961</v>
      </c>
      <c r="D588" s="46" t="s">
        <v>658</v>
      </c>
      <c r="E588" s="46" t="s">
        <v>574</v>
      </c>
      <c r="F588" s="54" t="s">
        <v>1327</v>
      </c>
      <c r="G588" s="46"/>
      <c r="H588" s="46" t="s">
        <v>1334</v>
      </c>
      <c r="I588" s="54">
        <v>2</v>
      </c>
      <c r="J588" s="55">
        <v>22529</v>
      </c>
      <c r="K588" s="46" t="s">
        <v>806</v>
      </c>
      <c r="L588" s="46" t="s">
        <v>3</v>
      </c>
      <c r="M588" s="46" t="s">
        <v>1328</v>
      </c>
      <c r="N588" s="49">
        <v>3</v>
      </c>
      <c r="O588" s="49">
        <v>0</v>
      </c>
      <c r="P588" s="54" t="s">
        <v>1219</v>
      </c>
      <c r="Q588" s="54" t="s">
        <v>1111</v>
      </c>
      <c r="R588" s="54" t="s">
        <v>376</v>
      </c>
      <c r="S588" s="46"/>
      <c r="T588" s="46"/>
      <c r="U588" s="46"/>
      <c r="V588" s="46"/>
      <c r="W588" s="46"/>
      <c r="X588" s="46"/>
      <c r="Y588" s="46"/>
      <c r="Z588" s="46"/>
      <c r="AA588" s="46"/>
      <c r="AB588" s="46"/>
      <c r="AC588" s="46"/>
      <c r="AD588" s="46" t="s">
        <v>1033</v>
      </c>
      <c r="AE588" s="50">
        <f>IF(L588="W",1,0)</f>
        <v>1</v>
      </c>
      <c r="AF588" s="50">
        <f>IF(L588="T",1,0)</f>
        <v>0</v>
      </c>
      <c r="AG588" s="50">
        <f>IF(L588="L",1,0)</f>
        <v>0</v>
      </c>
      <c r="AH588" s="46"/>
      <c r="AI588" s="46"/>
      <c r="AJ588" s="46" t="s">
        <v>376</v>
      </c>
      <c r="AK588" s="46" t="s">
        <v>658</v>
      </c>
      <c r="AL588" s="46"/>
      <c r="AM588" s="46"/>
      <c r="AN588" s="46" t="s">
        <v>376</v>
      </c>
      <c r="AO588" s="46" t="s">
        <v>658</v>
      </c>
      <c r="AP588" s="46"/>
      <c r="AQ588" s="46">
        <v>1</v>
      </c>
      <c r="AR588" s="46"/>
      <c r="AS588" s="46"/>
      <c r="AT588" s="46"/>
      <c r="AU588" s="46" t="s">
        <v>376</v>
      </c>
      <c r="AV588" s="46"/>
      <c r="AW588" s="46" t="s">
        <v>30</v>
      </c>
      <c r="AX588" s="46"/>
      <c r="AY588" s="46"/>
      <c r="AZ588" s="46" t="s">
        <v>30</v>
      </c>
      <c r="BA588" s="54"/>
      <c r="BB588" s="51" t="s">
        <v>30</v>
      </c>
      <c r="BC588" s="46" t="s">
        <v>30</v>
      </c>
      <c r="BD588" s="46"/>
      <c r="BE588" s="46"/>
      <c r="BF588" s="46">
        <v>1</v>
      </c>
      <c r="BG588" s="46">
        <v>1</v>
      </c>
      <c r="BH588" s="46">
        <v>2</v>
      </c>
      <c r="BI588" s="46" t="s">
        <v>806</v>
      </c>
      <c r="BJ588" s="46" t="s">
        <v>1328</v>
      </c>
      <c r="BK588" s="46">
        <v>1961</v>
      </c>
      <c r="BL588" s="46" t="str">
        <f>BK588&amp;BI588</f>
        <v>1961Aston Villa</v>
      </c>
      <c r="BM588" s="52" t="str">
        <f>IF(AD588="Home",BI588,IF(AD588="Away",BJ588,Q588))</f>
        <v>Aston Villa</v>
      </c>
      <c r="BN588" s="46"/>
      <c r="BO588" s="46"/>
      <c r="BP588" s="46"/>
      <c r="BQ588" s="46"/>
      <c r="BR588" s="46"/>
      <c r="BS588" s="46"/>
      <c r="BT588" s="46"/>
      <c r="BU588" s="46"/>
      <c r="BV588" s="46" t="s">
        <v>376</v>
      </c>
      <c r="BW588" s="46" t="s">
        <v>376</v>
      </c>
      <c r="BX588" s="46"/>
      <c r="BZ588" s="53"/>
      <c r="CA588" s="53"/>
      <c r="CB588" s="93" t="str">
        <f>IF(OR(C588="",A588="",B588=""),"",TEXT(C588,"0000")&amp;TEXT(A588,"00")&amp;TEXT(B588,"00"))</f>
        <v>19610905</v>
      </c>
    </row>
    <row r="589" spans="1:80" s="52" customFormat="1" ht="12.95" customHeight="1" x14ac:dyDescent="0.2">
      <c r="A589" s="46">
        <v>9</v>
      </c>
      <c r="B589" s="46">
        <v>5</v>
      </c>
      <c r="C589" s="46">
        <v>1961</v>
      </c>
      <c r="D589" s="46" t="s">
        <v>658</v>
      </c>
      <c r="E589" s="46" t="s">
        <v>574</v>
      </c>
      <c r="F589" s="54" t="s">
        <v>1327</v>
      </c>
      <c r="G589" s="46"/>
      <c r="H589" s="46" t="s">
        <v>1334</v>
      </c>
      <c r="I589" s="54">
        <v>2</v>
      </c>
      <c r="J589" s="55">
        <v>22529</v>
      </c>
      <c r="K589" s="46" t="s">
        <v>1328</v>
      </c>
      <c r="L589" s="46" t="s">
        <v>4</v>
      </c>
      <c r="M589" s="46" t="s">
        <v>806</v>
      </c>
      <c r="N589" s="49">
        <v>0</v>
      </c>
      <c r="O589" s="49">
        <v>3</v>
      </c>
      <c r="P589" s="54" t="s">
        <v>1219</v>
      </c>
      <c r="Q589" s="54" t="s">
        <v>1111</v>
      </c>
      <c r="R589" s="54" t="s">
        <v>376</v>
      </c>
      <c r="S589" s="46"/>
      <c r="T589" s="46"/>
      <c r="U589" s="46"/>
      <c r="V589" s="46"/>
      <c r="W589" s="46"/>
      <c r="X589" s="46"/>
      <c r="Y589" s="46"/>
      <c r="Z589" s="46"/>
      <c r="AA589" s="46"/>
      <c r="AB589" s="46"/>
      <c r="AC589" s="46"/>
      <c r="AD589" s="46" t="s">
        <v>1037</v>
      </c>
      <c r="AE589" s="50">
        <f>IF(L589="W",1,0)</f>
        <v>0</v>
      </c>
      <c r="AF589" s="50">
        <f>IF(L589="T",1,0)</f>
        <v>0</v>
      </c>
      <c r="AG589" s="50">
        <f>IF(L589="L",1,0)</f>
        <v>1</v>
      </c>
      <c r="AH589" s="46"/>
      <c r="AI589" s="46"/>
      <c r="AJ589" s="46" t="s">
        <v>376</v>
      </c>
      <c r="AK589" s="46" t="s">
        <v>658</v>
      </c>
      <c r="AL589" s="46"/>
      <c r="AM589" s="46"/>
      <c r="AN589" s="46" t="s">
        <v>376</v>
      </c>
      <c r="AO589" s="46" t="s">
        <v>658</v>
      </c>
      <c r="AP589" s="46"/>
      <c r="AQ589" s="46">
        <v>1</v>
      </c>
      <c r="AR589" s="46"/>
      <c r="AS589" s="46"/>
      <c r="AT589" s="46"/>
      <c r="AU589" s="46" t="s">
        <v>376</v>
      </c>
      <c r="AV589" s="46"/>
      <c r="AW589" s="46" t="s">
        <v>30</v>
      </c>
      <c r="AX589" s="46"/>
      <c r="AY589" s="46"/>
      <c r="AZ589" s="46" t="s">
        <v>30</v>
      </c>
      <c r="BA589" s="54"/>
      <c r="BB589" s="51"/>
      <c r="BC589" s="46" t="s">
        <v>30</v>
      </c>
      <c r="BD589" s="46"/>
      <c r="BE589" s="46"/>
      <c r="BF589" s="46">
        <v>1</v>
      </c>
      <c r="BG589" s="46">
        <v>2</v>
      </c>
      <c r="BH589" s="46">
        <v>1</v>
      </c>
      <c r="BI589" s="46" t="s">
        <v>1328</v>
      </c>
      <c r="BJ589" s="46" t="s">
        <v>806</v>
      </c>
      <c r="BK589" s="46">
        <v>1961</v>
      </c>
      <c r="BL589" s="46" t="str">
        <f>BK589&amp;BI589</f>
        <v>1961Rotherham United</v>
      </c>
      <c r="BM589" s="52" t="str">
        <f>IF(AD589="Home",BI589,IF(AD589="Away",BJ589,Q589))</f>
        <v>Aston Villa</v>
      </c>
      <c r="BN589" s="46"/>
      <c r="BO589" s="46"/>
      <c r="BP589" s="46"/>
      <c r="BQ589" s="46"/>
      <c r="BR589" s="46"/>
      <c r="BS589" s="46"/>
      <c r="BT589" s="46"/>
      <c r="BU589" s="46"/>
      <c r="BV589" s="46" t="s">
        <v>376</v>
      </c>
      <c r="BW589" s="46" t="s">
        <v>376</v>
      </c>
      <c r="BX589" s="46"/>
      <c r="BZ589" s="53"/>
      <c r="CA589" s="53"/>
      <c r="CB589" s="93" t="str">
        <f>IF(OR(C589="",A589="",B589=""),"",TEXT(C589,"0000")&amp;TEXT(A589,"00")&amp;TEXT(B589,"00"))</f>
        <v>19610905</v>
      </c>
    </row>
    <row r="590" spans="1:80" s="52" customFormat="1" ht="12.95" customHeight="1" x14ac:dyDescent="0.2">
      <c r="A590" s="46">
        <v>3</v>
      </c>
      <c r="B590" s="46">
        <v>19</v>
      </c>
      <c r="C590" s="46">
        <v>1962</v>
      </c>
      <c r="D590" s="46" t="s">
        <v>658</v>
      </c>
      <c r="E590" s="46" t="s">
        <v>572</v>
      </c>
      <c r="F590" s="54" t="s">
        <v>1327</v>
      </c>
      <c r="G590" s="46"/>
      <c r="H590" s="54" t="s">
        <v>1011</v>
      </c>
      <c r="I590" s="54">
        <v>1</v>
      </c>
      <c r="J590" s="55">
        <v>22724</v>
      </c>
      <c r="K590" s="46" t="s">
        <v>1335</v>
      </c>
      <c r="L590" s="46" t="s">
        <v>3</v>
      </c>
      <c r="M590" s="46" t="s">
        <v>1094</v>
      </c>
      <c r="N590" s="49">
        <v>3</v>
      </c>
      <c r="O590" s="49">
        <v>1</v>
      </c>
      <c r="P590" s="54" t="s">
        <v>1336</v>
      </c>
      <c r="Q590" s="54" t="s">
        <v>1101</v>
      </c>
      <c r="R590" s="54" t="s">
        <v>376</v>
      </c>
      <c r="S590" s="46"/>
      <c r="T590" s="46"/>
      <c r="U590" s="46"/>
      <c r="V590" s="46"/>
      <c r="W590" s="46"/>
      <c r="X590" s="46"/>
      <c r="Y590" s="46"/>
      <c r="Z590" s="46"/>
      <c r="AA590" s="46"/>
      <c r="AB590" s="46"/>
      <c r="AC590" s="46"/>
      <c r="AD590" s="46" t="s">
        <v>1033</v>
      </c>
      <c r="AE590" s="50">
        <f>IF(L590="W",1,0)</f>
        <v>1</v>
      </c>
      <c r="AF590" s="50">
        <f>IF(L590="T",1,0)</f>
        <v>0</v>
      </c>
      <c r="AG590" s="50">
        <f>IF(L590="L",1,0)</f>
        <v>0</v>
      </c>
      <c r="AH590" s="46"/>
      <c r="AI590" s="46"/>
      <c r="AJ590" s="46" t="s">
        <v>376</v>
      </c>
      <c r="AK590" s="46" t="s">
        <v>658</v>
      </c>
      <c r="AL590" s="46"/>
      <c r="AM590" s="46"/>
      <c r="AN590" s="46" t="s">
        <v>376</v>
      </c>
      <c r="AO590" s="46" t="s">
        <v>658</v>
      </c>
      <c r="AP590" s="46"/>
      <c r="AQ590" s="46">
        <v>2</v>
      </c>
      <c r="AR590" s="46"/>
      <c r="AS590" s="46"/>
      <c r="AT590" s="46"/>
      <c r="AU590" s="46" t="s">
        <v>376</v>
      </c>
      <c r="AV590" s="46"/>
      <c r="AW590" s="46" t="s">
        <v>30</v>
      </c>
      <c r="AX590" s="46"/>
      <c r="AY590" s="46"/>
      <c r="AZ590" s="46" t="s">
        <v>30</v>
      </c>
      <c r="BA590" s="54"/>
      <c r="BB590" s="51"/>
      <c r="BC590" s="46"/>
      <c r="BD590" s="46"/>
      <c r="BE590" s="46"/>
      <c r="BF590" s="46">
        <v>1</v>
      </c>
      <c r="BG590" s="46">
        <v>4</v>
      </c>
      <c r="BH590" s="46">
        <v>1</v>
      </c>
      <c r="BI590" s="46" t="s">
        <v>1335</v>
      </c>
      <c r="BJ590" s="46" t="s">
        <v>1094</v>
      </c>
      <c r="BK590" s="46">
        <v>1962</v>
      </c>
      <c r="BL590" s="46" t="str">
        <f>BK590&amp;BI590</f>
        <v>1962Rochdale</v>
      </c>
      <c r="BM590" s="52" t="str">
        <f>IF(AD590="Home",BI590,IF(AD590="Away",BJ590,Q590))</f>
        <v>Rochdale</v>
      </c>
      <c r="BN590" s="46"/>
      <c r="BO590" s="46"/>
      <c r="BP590" s="46"/>
      <c r="BQ590" s="46"/>
      <c r="BR590" s="46"/>
      <c r="BS590" s="46"/>
      <c r="BT590" s="46"/>
      <c r="BU590" s="46"/>
      <c r="BV590" s="46" t="s">
        <v>376</v>
      </c>
      <c r="BW590" s="46" t="s">
        <v>376</v>
      </c>
      <c r="BX590" s="46"/>
      <c r="BZ590" s="53"/>
      <c r="CA590" s="53"/>
      <c r="CB590" s="93" t="str">
        <f>IF(OR(C590="",A590="",B590=""),"",TEXT(C590,"0000")&amp;TEXT(A590,"00")&amp;TEXT(B590,"00"))</f>
        <v>19620319</v>
      </c>
    </row>
    <row r="591" spans="1:80" s="52" customFormat="1" ht="12.95" customHeight="1" x14ac:dyDescent="0.2">
      <c r="A591" s="46">
        <v>3</v>
      </c>
      <c r="B591" s="46">
        <v>19</v>
      </c>
      <c r="C591" s="46">
        <v>1962</v>
      </c>
      <c r="D591" s="46" t="s">
        <v>658</v>
      </c>
      <c r="E591" s="46" t="s">
        <v>572</v>
      </c>
      <c r="F591" s="54" t="s">
        <v>1327</v>
      </c>
      <c r="G591" s="46"/>
      <c r="H591" s="54" t="s">
        <v>1011</v>
      </c>
      <c r="I591" s="54">
        <v>1</v>
      </c>
      <c r="J591" s="55">
        <v>22724</v>
      </c>
      <c r="K591" s="46" t="s">
        <v>1094</v>
      </c>
      <c r="L591" s="46" t="s">
        <v>4</v>
      </c>
      <c r="M591" s="46" t="s">
        <v>1335</v>
      </c>
      <c r="N591" s="49">
        <v>1</v>
      </c>
      <c r="O591" s="49">
        <v>3</v>
      </c>
      <c r="P591" s="54" t="s">
        <v>1336</v>
      </c>
      <c r="Q591" s="54" t="s">
        <v>1101</v>
      </c>
      <c r="R591" s="54" t="s">
        <v>376</v>
      </c>
      <c r="S591" s="46"/>
      <c r="T591" s="46"/>
      <c r="U591" s="46"/>
      <c r="V591" s="46"/>
      <c r="W591" s="46"/>
      <c r="X591" s="46"/>
      <c r="Y591" s="46"/>
      <c r="Z591" s="46"/>
      <c r="AA591" s="46"/>
      <c r="AB591" s="46"/>
      <c r="AC591" s="46"/>
      <c r="AD591" s="46" t="s">
        <v>1037</v>
      </c>
      <c r="AE591" s="50">
        <f>IF(L591="W",1,0)</f>
        <v>0</v>
      </c>
      <c r="AF591" s="50">
        <f>IF(L591="T",1,0)</f>
        <v>0</v>
      </c>
      <c r="AG591" s="50">
        <f>IF(L591="L",1,0)</f>
        <v>1</v>
      </c>
      <c r="AH591" s="46"/>
      <c r="AI591" s="46"/>
      <c r="AJ591" s="46" t="s">
        <v>376</v>
      </c>
      <c r="AK591" s="46" t="s">
        <v>658</v>
      </c>
      <c r="AL591" s="46"/>
      <c r="AM591" s="46"/>
      <c r="AN591" s="46" t="s">
        <v>376</v>
      </c>
      <c r="AO591" s="46" t="s">
        <v>658</v>
      </c>
      <c r="AP591" s="46"/>
      <c r="AQ591" s="46">
        <v>2</v>
      </c>
      <c r="AR591" s="46"/>
      <c r="AS591" s="46"/>
      <c r="AT591" s="46"/>
      <c r="AU591" s="46" t="s">
        <v>376</v>
      </c>
      <c r="AV591" s="46"/>
      <c r="AW591" s="46" t="s">
        <v>30</v>
      </c>
      <c r="AX591" s="46"/>
      <c r="AY591" s="46"/>
      <c r="AZ591" s="46" t="s">
        <v>30</v>
      </c>
      <c r="BA591" s="54"/>
      <c r="BB591" s="51"/>
      <c r="BC591" s="46"/>
      <c r="BD591" s="46"/>
      <c r="BE591" s="46"/>
      <c r="BF591" s="46">
        <v>1</v>
      </c>
      <c r="BG591" s="46">
        <v>1</v>
      </c>
      <c r="BH591" s="46">
        <v>4</v>
      </c>
      <c r="BI591" s="46" t="s">
        <v>1094</v>
      </c>
      <c r="BJ591" s="46" t="s">
        <v>1335</v>
      </c>
      <c r="BK591" s="46">
        <v>1962</v>
      </c>
      <c r="BL591" s="46" t="str">
        <f>BK591&amp;BI591</f>
        <v>1962Blackburn Rovers</v>
      </c>
      <c r="BM591" s="52" t="str">
        <f>IF(AD591="Home",BI591,IF(AD591="Away",BJ591,Q591))</f>
        <v>Rochdale</v>
      </c>
      <c r="BN591" s="46"/>
      <c r="BO591" s="46"/>
      <c r="BP591" s="46"/>
      <c r="BQ591" s="46"/>
      <c r="BR591" s="46"/>
      <c r="BS591" s="46"/>
      <c r="BT591" s="46"/>
      <c r="BU591" s="46"/>
      <c r="BV591" s="46" t="s">
        <v>376</v>
      </c>
      <c r="BW591" s="46" t="s">
        <v>376</v>
      </c>
      <c r="BX591" s="46"/>
      <c r="BZ591" s="53"/>
      <c r="CA591" s="53"/>
      <c r="CB591" s="93" t="str">
        <f>IF(OR(C591="",A591="",B591=""),"",TEXT(C591,"0000")&amp;TEXT(A591,"00")&amp;TEXT(B591,"00"))</f>
        <v>19620319</v>
      </c>
    </row>
    <row r="592" spans="1:80" s="52" customFormat="1" ht="12.95" customHeight="1" x14ac:dyDescent="0.2">
      <c r="A592" s="46">
        <v>3</v>
      </c>
      <c r="B592" s="46">
        <v>31</v>
      </c>
      <c r="C592" s="46">
        <v>1962</v>
      </c>
      <c r="D592" s="46" t="s">
        <v>658</v>
      </c>
      <c r="E592" s="46" t="s">
        <v>572</v>
      </c>
      <c r="F592" s="47" t="s">
        <v>1010</v>
      </c>
      <c r="G592" s="46"/>
      <c r="H592" s="47" t="s">
        <v>1011</v>
      </c>
      <c r="I592" s="47"/>
      <c r="J592" s="48">
        <v>22736</v>
      </c>
      <c r="K592" s="46" t="s">
        <v>813</v>
      </c>
      <c r="L592" s="46" t="s">
        <v>3</v>
      </c>
      <c r="M592" s="46" t="s">
        <v>821</v>
      </c>
      <c r="N592" s="49">
        <v>3</v>
      </c>
      <c r="O592" s="49">
        <v>1</v>
      </c>
      <c r="P592" s="47" t="s">
        <v>1252</v>
      </c>
      <c r="Q592" s="47" t="s">
        <v>1097</v>
      </c>
      <c r="R592" s="47" t="s">
        <v>376</v>
      </c>
      <c r="S592" s="46"/>
      <c r="T592" s="46"/>
      <c r="U592" s="46"/>
      <c r="V592" s="46"/>
      <c r="W592" s="46"/>
      <c r="X592" s="46"/>
      <c r="Y592" s="46"/>
      <c r="Z592" s="46"/>
      <c r="AA592" s="46"/>
      <c r="AB592" s="46"/>
      <c r="AC592" s="46"/>
      <c r="AD592" s="46"/>
      <c r="AE592" s="50">
        <f>IF(L592="W",1,0)</f>
        <v>1</v>
      </c>
      <c r="AF592" s="50">
        <f>IF(L592="T",1,0)</f>
        <v>0</v>
      </c>
      <c r="AG592" s="50">
        <f>IF(L592="L",1,0)</f>
        <v>0</v>
      </c>
      <c r="AH592" s="46" t="s">
        <v>1017</v>
      </c>
      <c r="AI592" s="46" t="s">
        <v>1018</v>
      </c>
      <c r="AJ592" s="46" t="s">
        <v>376</v>
      </c>
      <c r="AK592" s="46" t="s">
        <v>658</v>
      </c>
      <c r="AL592" s="46" t="s">
        <v>1101</v>
      </c>
      <c r="AM592" s="46" t="s">
        <v>1159</v>
      </c>
      <c r="AN592" s="46" t="s">
        <v>376</v>
      </c>
      <c r="AO592" s="46" t="s">
        <v>658</v>
      </c>
      <c r="AP592" s="46"/>
      <c r="AQ592" s="46">
        <v>2</v>
      </c>
      <c r="AR592" s="46"/>
      <c r="AS592" s="46"/>
      <c r="AT592" s="46"/>
      <c r="AU592" s="46" t="s">
        <v>376</v>
      </c>
      <c r="AV592" s="46"/>
      <c r="AW592" s="46" t="s">
        <v>30</v>
      </c>
      <c r="AX592" s="46"/>
      <c r="AY592" s="46" t="s">
        <v>30</v>
      </c>
      <c r="AZ592" s="46"/>
      <c r="BA592" s="47"/>
      <c r="BB592" s="51"/>
      <c r="BC592" s="46"/>
      <c r="BD592" s="46"/>
      <c r="BE592" s="46"/>
      <c r="BF592" s="46">
        <v>1</v>
      </c>
      <c r="BG592" s="46">
        <v>1</v>
      </c>
      <c r="BH592" s="46">
        <v>1</v>
      </c>
      <c r="BI592" s="46" t="s">
        <v>813</v>
      </c>
      <c r="BJ592" s="46" t="s">
        <v>821</v>
      </c>
      <c r="BK592" s="46">
        <v>1962</v>
      </c>
      <c r="BL592" s="46" t="str">
        <f>BK592&amp;BI592</f>
        <v>1962Tottenham Hotspur</v>
      </c>
      <c r="BM592" s="52" t="str">
        <f>IF(AD592="Home",BI592,IF(AD592="Away",BJ592,Q592))</f>
        <v>Sheffield</v>
      </c>
      <c r="BN592" s="46"/>
      <c r="BO592" s="46"/>
      <c r="BP592" s="46"/>
      <c r="BQ592" s="46"/>
      <c r="BR592" s="46"/>
      <c r="BS592" s="46"/>
      <c r="BT592" s="46"/>
      <c r="BU592" s="46"/>
      <c r="BV592" s="46" t="s">
        <v>376</v>
      </c>
      <c r="BW592" s="46" t="s">
        <v>376</v>
      </c>
      <c r="BX592" s="46"/>
      <c r="BY592" s="50"/>
      <c r="BZ592" s="53"/>
      <c r="CA592" s="53"/>
      <c r="CB592" s="93" t="str">
        <f>IF(OR(C592="",A592="",B592=""),"",TEXT(C592,"0000")&amp;TEXT(A592,"00")&amp;TEXT(B592,"00"))</f>
        <v>19620331</v>
      </c>
    </row>
    <row r="593" spans="1:80" s="52" customFormat="1" ht="12.95" customHeight="1" x14ac:dyDescent="0.2">
      <c r="A593" s="46">
        <v>3</v>
      </c>
      <c r="B593" s="46">
        <v>31</v>
      </c>
      <c r="C593" s="46">
        <v>1962</v>
      </c>
      <c r="D593" s="46" t="s">
        <v>658</v>
      </c>
      <c r="E593" s="46" t="s">
        <v>572</v>
      </c>
      <c r="F593" s="47" t="s">
        <v>1010</v>
      </c>
      <c r="G593" s="46"/>
      <c r="H593" s="47" t="s">
        <v>1011</v>
      </c>
      <c r="I593" s="47"/>
      <c r="J593" s="48">
        <v>22736</v>
      </c>
      <c r="K593" s="46" t="s">
        <v>821</v>
      </c>
      <c r="L593" s="46" t="s">
        <v>4</v>
      </c>
      <c r="M593" s="46" t="s">
        <v>813</v>
      </c>
      <c r="N593" s="49">
        <v>1</v>
      </c>
      <c r="O593" s="49">
        <v>3</v>
      </c>
      <c r="P593" s="47" t="s">
        <v>1252</v>
      </c>
      <c r="Q593" s="47" t="s">
        <v>1097</v>
      </c>
      <c r="R593" s="47" t="s">
        <v>376</v>
      </c>
      <c r="S593" s="46"/>
      <c r="T593" s="46"/>
      <c r="U593" s="46"/>
      <c r="V593" s="46"/>
      <c r="W593" s="46"/>
      <c r="X593" s="46"/>
      <c r="Y593" s="46"/>
      <c r="Z593" s="46"/>
      <c r="AA593" s="46"/>
      <c r="AB593" s="46"/>
      <c r="AC593" s="46"/>
      <c r="AD593" s="46"/>
      <c r="AE593" s="50">
        <f>IF(L593="W",1,0)</f>
        <v>0</v>
      </c>
      <c r="AF593" s="50">
        <f>IF(L593="T",1,0)</f>
        <v>0</v>
      </c>
      <c r="AG593" s="50">
        <f>IF(L593="L",1,0)</f>
        <v>1</v>
      </c>
      <c r="AH593" s="46" t="s">
        <v>1101</v>
      </c>
      <c r="AI593" s="46" t="s">
        <v>1159</v>
      </c>
      <c r="AJ593" s="46" t="s">
        <v>376</v>
      </c>
      <c r="AK593" s="46" t="s">
        <v>658</v>
      </c>
      <c r="AL593" s="46" t="s">
        <v>1017</v>
      </c>
      <c r="AM593" s="46" t="s">
        <v>1018</v>
      </c>
      <c r="AN593" s="46" t="s">
        <v>376</v>
      </c>
      <c r="AO593" s="46" t="s">
        <v>658</v>
      </c>
      <c r="AP593" s="46"/>
      <c r="AQ593" s="46">
        <v>2</v>
      </c>
      <c r="AR593" s="46"/>
      <c r="AS593" s="46"/>
      <c r="AT593" s="46"/>
      <c r="AU593" s="46" t="s">
        <v>376</v>
      </c>
      <c r="AV593" s="46"/>
      <c r="AW593" s="46" t="s">
        <v>30</v>
      </c>
      <c r="AX593" s="46"/>
      <c r="AY593" s="46" t="s">
        <v>30</v>
      </c>
      <c r="AZ593" s="46"/>
      <c r="BA593" s="47"/>
      <c r="BB593" s="51"/>
      <c r="BC593" s="46"/>
      <c r="BD593" s="46"/>
      <c r="BE593" s="46"/>
      <c r="BF593" s="46">
        <v>1</v>
      </c>
      <c r="BG593" s="46">
        <v>1</v>
      </c>
      <c r="BH593" s="46">
        <v>1</v>
      </c>
      <c r="BI593" s="46" t="s">
        <v>821</v>
      </c>
      <c r="BJ593" s="46" t="s">
        <v>813</v>
      </c>
      <c r="BK593" s="46">
        <v>1962</v>
      </c>
      <c r="BL593" s="46" t="str">
        <f>BK593&amp;BI593</f>
        <v>1962Manchester United</v>
      </c>
      <c r="BM593" s="52" t="str">
        <f>IF(AD593="Home",BI593,IF(AD593="Away",BJ593,Q593))</f>
        <v>Sheffield</v>
      </c>
      <c r="BN593" s="46"/>
      <c r="BO593" s="46"/>
      <c r="BP593" s="46"/>
      <c r="BQ593" s="46"/>
      <c r="BR593" s="46"/>
      <c r="BS593" s="46"/>
      <c r="BT593" s="46"/>
      <c r="BU593" s="46"/>
      <c r="BV593" s="46" t="s">
        <v>376</v>
      </c>
      <c r="BW593" s="46" t="s">
        <v>376</v>
      </c>
      <c r="BX593" s="46"/>
      <c r="BY593" s="50"/>
      <c r="BZ593" s="53"/>
      <c r="CA593" s="53"/>
      <c r="CB593" s="93" t="str">
        <f>IF(OR(C593="",A593="",B593=""),"",TEXT(C593,"0000")&amp;TEXT(A593,"00")&amp;TEXT(B593,"00"))</f>
        <v>19620331</v>
      </c>
    </row>
    <row r="594" spans="1:80" s="52" customFormat="1" ht="12.95" customHeight="1" x14ac:dyDescent="0.2">
      <c r="A594" s="46">
        <v>3</v>
      </c>
      <c r="B594" s="46">
        <v>31</v>
      </c>
      <c r="C594" s="46">
        <v>1962</v>
      </c>
      <c r="D594" s="46" t="s">
        <v>658</v>
      </c>
      <c r="E594" s="46" t="s">
        <v>572</v>
      </c>
      <c r="F594" s="47" t="s">
        <v>1010</v>
      </c>
      <c r="G594" s="46"/>
      <c r="H594" s="47" t="s">
        <v>1011</v>
      </c>
      <c r="I594" s="47"/>
      <c r="J594" s="48">
        <v>22736</v>
      </c>
      <c r="K594" s="46" t="s">
        <v>589</v>
      </c>
      <c r="L594" s="46" t="s">
        <v>1014</v>
      </c>
      <c r="M594" s="46" t="s">
        <v>1255</v>
      </c>
      <c r="N594" s="49">
        <v>1</v>
      </c>
      <c r="O594" s="49">
        <v>1</v>
      </c>
      <c r="P594" s="47" t="s">
        <v>1219</v>
      </c>
      <c r="Q594" s="47" t="s">
        <v>1111</v>
      </c>
      <c r="R594" s="47" t="s">
        <v>376</v>
      </c>
      <c r="S594" s="46"/>
      <c r="T594" s="46"/>
      <c r="U594" s="46"/>
      <c r="V594" s="46"/>
      <c r="W594" s="46"/>
      <c r="X594" s="46"/>
      <c r="Y594" s="46"/>
      <c r="Z594" s="46"/>
      <c r="AA594" s="46"/>
      <c r="AB594" s="46"/>
      <c r="AC594" s="46"/>
      <c r="AD594" s="46"/>
      <c r="AE594" s="50">
        <f>IF(L594="W",1,0)</f>
        <v>0</v>
      </c>
      <c r="AF594" s="50">
        <f>IF(L594="T",1,0)</f>
        <v>1</v>
      </c>
      <c r="AG594" s="50">
        <f>IF(L594="L",1,0)</f>
        <v>0</v>
      </c>
      <c r="AH594" s="46" t="s">
        <v>1017</v>
      </c>
      <c r="AI594" s="46" t="s">
        <v>1018</v>
      </c>
      <c r="AJ594" s="46" t="s">
        <v>376</v>
      </c>
      <c r="AK594" s="46" t="s">
        <v>658</v>
      </c>
      <c r="AL594" s="46" t="s">
        <v>1255</v>
      </c>
      <c r="AM594" s="46" t="s">
        <v>1086</v>
      </c>
      <c r="AN594" s="46" t="s">
        <v>376</v>
      </c>
      <c r="AO594" s="46" t="s">
        <v>658</v>
      </c>
      <c r="AP594" s="46"/>
      <c r="AQ594" s="46">
        <v>2</v>
      </c>
      <c r="AR594" s="46"/>
      <c r="AS594" s="46"/>
      <c r="AT594" s="46"/>
      <c r="AU594" s="46" t="s">
        <v>376</v>
      </c>
      <c r="AV594" s="46"/>
      <c r="AW594" s="46" t="s">
        <v>30</v>
      </c>
      <c r="AX594" s="46"/>
      <c r="AY594" s="46" t="s">
        <v>30</v>
      </c>
      <c r="AZ594" s="46"/>
      <c r="BA594" s="47"/>
      <c r="BB594" s="51"/>
      <c r="BC594" s="46"/>
      <c r="BD594" s="46"/>
      <c r="BE594" s="46"/>
      <c r="BF594" s="46">
        <v>1</v>
      </c>
      <c r="BG594" s="46">
        <v>1</v>
      </c>
      <c r="BH594" s="46">
        <v>1</v>
      </c>
      <c r="BI594" s="46" t="s">
        <v>589</v>
      </c>
      <c r="BJ594" s="46" t="s">
        <v>1255</v>
      </c>
      <c r="BK594" s="46">
        <v>1962</v>
      </c>
      <c r="BL594" s="46" t="str">
        <f>BK594&amp;BI594</f>
        <v>1962Fulham</v>
      </c>
      <c r="BM594" s="52" t="str">
        <f>IF(AD594="Home",BI594,IF(AD594="Away",BJ594,Q594))</f>
        <v>Birmingham</v>
      </c>
      <c r="BN594" s="46"/>
      <c r="BO594" s="46"/>
      <c r="BP594" s="46"/>
      <c r="BQ594" s="46"/>
      <c r="BR594" s="46"/>
      <c r="BS594" s="46"/>
      <c r="BT594" s="46"/>
      <c r="BU594" s="46"/>
      <c r="BV594" s="46" t="s">
        <v>376</v>
      </c>
      <c r="BW594" s="46" t="s">
        <v>376</v>
      </c>
      <c r="BX594" s="46"/>
      <c r="BZ594" s="53"/>
      <c r="CA594" s="53"/>
      <c r="CB594" s="93" t="str">
        <f>IF(OR(C594="",A594="",B594=""),"",TEXT(C594,"0000")&amp;TEXT(A594,"00")&amp;TEXT(B594,"00"))</f>
        <v>19620331</v>
      </c>
    </row>
    <row r="595" spans="1:80" s="52" customFormat="1" ht="12.95" customHeight="1" x14ac:dyDescent="0.2">
      <c r="A595" s="46">
        <v>3</v>
      </c>
      <c r="B595" s="46">
        <v>31</v>
      </c>
      <c r="C595" s="46">
        <v>1962</v>
      </c>
      <c r="D595" s="46" t="s">
        <v>658</v>
      </c>
      <c r="E595" s="46" t="s">
        <v>572</v>
      </c>
      <c r="F595" s="47" t="s">
        <v>1010</v>
      </c>
      <c r="G595" s="46"/>
      <c r="H595" s="47" t="s">
        <v>1011</v>
      </c>
      <c r="I595" s="47"/>
      <c r="J595" s="48">
        <v>22736</v>
      </c>
      <c r="K595" s="46" t="s">
        <v>1255</v>
      </c>
      <c r="L595" s="46" t="s">
        <v>1014</v>
      </c>
      <c r="M595" s="46" t="s">
        <v>589</v>
      </c>
      <c r="N595" s="49">
        <v>1</v>
      </c>
      <c r="O595" s="49">
        <v>1</v>
      </c>
      <c r="P595" s="47" t="s">
        <v>1219</v>
      </c>
      <c r="Q595" s="47" t="s">
        <v>1111</v>
      </c>
      <c r="R595" s="47" t="s">
        <v>376</v>
      </c>
      <c r="S595" s="46"/>
      <c r="T595" s="46"/>
      <c r="U595" s="46"/>
      <c r="V595" s="46"/>
      <c r="W595" s="46"/>
      <c r="X595" s="46"/>
      <c r="Y595" s="46"/>
      <c r="Z595" s="46"/>
      <c r="AA595" s="46"/>
      <c r="AB595" s="46"/>
      <c r="AC595" s="46"/>
      <c r="AD595" s="46"/>
      <c r="AE595" s="50">
        <f>IF(L595="W",1,0)</f>
        <v>0</v>
      </c>
      <c r="AF595" s="50">
        <f>IF(L595="T",1,0)</f>
        <v>1</v>
      </c>
      <c r="AG595" s="50">
        <f>IF(L595="L",1,0)</f>
        <v>0</v>
      </c>
      <c r="AH595" s="46" t="s">
        <v>1255</v>
      </c>
      <c r="AI595" s="46" t="s">
        <v>1086</v>
      </c>
      <c r="AJ595" s="46" t="s">
        <v>376</v>
      </c>
      <c r="AK595" s="46" t="s">
        <v>658</v>
      </c>
      <c r="AL595" s="46" t="s">
        <v>1017</v>
      </c>
      <c r="AM595" s="46" t="s">
        <v>1018</v>
      </c>
      <c r="AN595" s="46" t="s">
        <v>376</v>
      </c>
      <c r="AO595" s="46" t="s">
        <v>658</v>
      </c>
      <c r="AP595" s="46"/>
      <c r="AQ595" s="46">
        <v>2</v>
      </c>
      <c r="AR595" s="46"/>
      <c r="AS595" s="46"/>
      <c r="AT595" s="46"/>
      <c r="AU595" s="46" t="s">
        <v>376</v>
      </c>
      <c r="AV595" s="46"/>
      <c r="AW595" s="46" t="s">
        <v>30</v>
      </c>
      <c r="AX595" s="46"/>
      <c r="AY595" s="46" t="s">
        <v>30</v>
      </c>
      <c r="AZ595" s="46"/>
      <c r="BA595" s="47"/>
      <c r="BB595" s="51"/>
      <c r="BC595" s="46"/>
      <c r="BD595" s="46"/>
      <c r="BE595" s="46"/>
      <c r="BF595" s="46">
        <v>1</v>
      </c>
      <c r="BG595" s="46">
        <v>1</v>
      </c>
      <c r="BH595" s="46">
        <v>1</v>
      </c>
      <c r="BI595" s="46" t="s">
        <v>1255</v>
      </c>
      <c r="BJ595" s="46" t="s">
        <v>589</v>
      </c>
      <c r="BK595" s="46">
        <v>1962</v>
      </c>
      <c r="BL595" s="46" t="str">
        <f>BK595&amp;BI595</f>
        <v>1962Burnley</v>
      </c>
      <c r="BM595" s="52" t="str">
        <f>IF(AD595="Home",BI595,IF(AD595="Away",BJ595,Q595))</f>
        <v>Birmingham</v>
      </c>
      <c r="BN595" s="46"/>
      <c r="BO595" s="46"/>
      <c r="BP595" s="46"/>
      <c r="BQ595" s="46"/>
      <c r="BR595" s="46"/>
      <c r="BS595" s="46"/>
      <c r="BT595" s="46"/>
      <c r="BU595" s="46"/>
      <c r="BV595" s="46" t="s">
        <v>376</v>
      </c>
      <c r="BW595" s="46" t="s">
        <v>376</v>
      </c>
      <c r="BX595" s="46"/>
      <c r="BZ595" s="53"/>
      <c r="CA595" s="53"/>
      <c r="CB595" s="93" t="str">
        <f>IF(OR(C595="",A595="",B595=""),"",TEXT(C595,"0000")&amp;TEXT(A595,"00")&amp;TEXT(B595,"00"))</f>
        <v>19620331</v>
      </c>
    </row>
    <row r="596" spans="1:80" s="52" customFormat="1" ht="12.95" customHeight="1" x14ac:dyDescent="0.2">
      <c r="A596" s="46">
        <v>4</v>
      </c>
      <c r="B596" s="46">
        <v>4</v>
      </c>
      <c r="C596" s="46">
        <v>1962</v>
      </c>
      <c r="D596" s="46" t="s">
        <v>658</v>
      </c>
      <c r="E596" s="46" t="s">
        <v>572</v>
      </c>
      <c r="F596" s="54" t="s">
        <v>1327</v>
      </c>
      <c r="G596" s="46"/>
      <c r="H596" s="54" t="s">
        <v>1011</v>
      </c>
      <c r="I596" s="54">
        <v>2</v>
      </c>
      <c r="J596" s="55">
        <v>22740</v>
      </c>
      <c r="K596" s="46" t="s">
        <v>1094</v>
      </c>
      <c r="L596" s="46" t="s">
        <v>3</v>
      </c>
      <c r="M596" s="46" t="s">
        <v>1335</v>
      </c>
      <c r="N596" s="49">
        <v>2</v>
      </c>
      <c r="O596" s="49">
        <v>1</v>
      </c>
      <c r="P596" s="54" t="s">
        <v>1178</v>
      </c>
      <c r="Q596" s="54" t="s">
        <v>1085</v>
      </c>
      <c r="R596" s="54" t="s">
        <v>376</v>
      </c>
      <c r="S596" s="46"/>
      <c r="T596" s="46"/>
      <c r="U596" s="46"/>
      <c r="V596" s="46"/>
      <c r="W596" s="46"/>
      <c r="X596" s="46"/>
      <c r="Y596" s="46"/>
      <c r="Z596" s="46"/>
      <c r="AA596" s="46"/>
      <c r="AB596" s="46"/>
      <c r="AC596" s="46"/>
      <c r="AD596" s="46" t="s">
        <v>1033</v>
      </c>
      <c r="AE596" s="50">
        <f>IF(L596="W",1,0)</f>
        <v>1</v>
      </c>
      <c r="AF596" s="50">
        <f>IF(L596="T",1,0)</f>
        <v>0</v>
      </c>
      <c r="AG596" s="50">
        <f>IF(L596="L",1,0)</f>
        <v>0</v>
      </c>
      <c r="AH596" s="46"/>
      <c r="AI596" s="46"/>
      <c r="AJ596" s="46" t="s">
        <v>376</v>
      </c>
      <c r="AK596" s="46" t="s">
        <v>658</v>
      </c>
      <c r="AL596" s="46"/>
      <c r="AM596" s="46"/>
      <c r="AN596" s="46" t="s">
        <v>376</v>
      </c>
      <c r="AO596" s="46" t="s">
        <v>658</v>
      </c>
      <c r="AP596" s="46"/>
      <c r="AQ596" s="46">
        <v>2</v>
      </c>
      <c r="AR596" s="46"/>
      <c r="AS596" s="46"/>
      <c r="AT596" s="46"/>
      <c r="AU596" s="46" t="s">
        <v>376</v>
      </c>
      <c r="AV596" s="46"/>
      <c r="AW596" s="46" t="s">
        <v>30</v>
      </c>
      <c r="AX596" s="46"/>
      <c r="AY596" s="46"/>
      <c r="AZ596" s="46" t="s">
        <v>30</v>
      </c>
      <c r="BA596" s="54"/>
      <c r="BB596" s="51"/>
      <c r="BC596" s="46"/>
      <c r="BD596" s="46"/>
      <c r="BE596" s="46"/>
      <c r="BF596" s="46">
        <v>1</v>
      </c>
      <c r="BG596" s="46">
        <v>1</v>
      </c>
      <c r="BH596" s="46">
        <v>4</v>
      </c>
      <c r="BI596" s="46" t="s">
        <v>1094</v>
      </c>
      <c r="BJ596" s="46" t="s">
        <v>1335</v>
      </c>
      <c r="BK596" s="46">
        <v>1962</v>
      </c>
      <c r="BL596" s="46" t="str">
        <f>BK596&amp;BI596</f>
        <v>1962Blackburn Rovers</v>
      </c>
      <c r="BM596" s="52" t="str">
        <f>IF(AD596="Home",BI596,IF(AD596="Away",BJ596,Q596))</f>
        <v>Blackburn Rovers</v>
      </c>
      <c r="BN596" s="46"/>
      <c r="BO596" s="46"/>
      <c r="BP596" s="46"/>
      <c r="BQ596" s="46"/>
      <c r="BR596" s="46"/>
      <c r="BS596" s="46"/>
      <c r="BT596" s="46"/>
      <c r="BU596" s="46"/>
      <c r="BV596" s="46" t="s">
        <v>376</v>
      </c>
      <c r="BW596" s="46" t="s">
        <v>376</v>
      </c>
      <c r="BX596" s="46"/>
      <c r="BZ596" s="53"/>
      <c r="CA596" s="53"/>
      <c r="CB596" s="93" t="str">
        <f>IF(OR(C596="",A596="",B596=""),"",TEXT(C596,"0000")&amp;TEXT(A596,"00")&amp;TEXT(B596,"00"))</f>
        <v>19620404</v>
      </c>
    </row>
    <row r="597" spans="1:80" s="52" customFormat="1" ht="12.95" customHeight="1" x14ac:dyDescent="0.2">
      <c r="A597" s="46">
        <v>4</v>
      </c>
      <c r="B597" s="46">
        <v>4</v>
      </c>
      <c r="C597" s="46">
        <v>1962</v>
      </c>
      <c r="D597" s="46" t="s">
        <v>658</v>
      </c>
      <c r="E597" s="46" t="s">
        <v>572</v>
      </c>
      <c r="F597" s="54" t="s">
        <v>1327</v>
      </c>
      <c r="G597" s="46"/>
      <c r="H597" s="54" t="s">
        <v>1011</v>
      </c>
      <c r="I597" s="54">
        <v>2</v>
      </c>
      <c r="J597" s="55">
        <v>22740</v>
      </c>
      <c r="K597" s="46" t="s">
        <v>1335</v>
      </c>
      <c r="L597" s="46" t="s">
        <v>4</v>
      </c>
      <c r="M597" s="46" t="s">
        <v>1094</v>
      </c>
      <c r="N597" s="49">
        <v>1</v>
      </c>
      <c r="O597" s="49">
        <v>2</v>
      </c>
      <c r="P597" s="54" t="s">
        <v>1178</v>
      </c>
      <c r="Q597" s="54" t="s">
        <v>1085</v>
      </c>
      <c r="R597" s="54" t="s">
        <v>376</v>
      </c>
      <c r="S597" s="46"/>
      <c r="T597" s="46"/>
      <c r="U597" s="46"/>
      <c r="V597" s="46"/>
      <c r="W597" s="46"/>
      <c r="X597" s="46"/>
      <c r="Y597" s="46"/>
      <c r="Z597" s="46"/>
      <c r="AA597" s="46"/>
      <c r="AB597" s="46"/>
      <c r="AC597" s="46"/>
      <c r="AD597" s="46" t="s">
        <v>1037</v>
      </c>
      <c r="AE597" s="50">
        <f>IF(L597="W",1,0)</f>
        <v>0</v>
      </c>
      <c r="AF597" s="50">
        <f>IF(L597="T",1,0)</f>
        <v>0</v>
      </c>
      <c r="AG597" s="50">
        <f>IF(L597="L",1,0)</f>
        <v>1</v>
      </c>
      <c r="AH597" s="46"/>
      <c r="AI597" s="46"/>
      <c r="AJ597" s="46" t="s">
        <v>376</v>
      </c>
      <c r="AK597" s="46" t="s">
        <v>658</v>
      </c>
      <c r="AL597" s="46"/>
      <c r="AM597" s="46"/>
      <c r="AN597" s="46" t="s">
        <v>376</v>
      </c>
      <c r="AO597" s="46" t="s">
        <v>658</v>
      </c>
      <c r="AP597" s="46"/>
      <c r="AQ597" s="46">
        <v>2</v>
      </c>
      <c r="AR597" s="46"/>
      <c r="AS597" s="46"/>
      <c r="AT597" s="46"/>
      <c r="AU597" s="46" t="s">
        <v>376</v>
      </c>
      <c r="AV597" s="46"/>
      <c r="AW597" s="46" t="s">
        <v>30</v>
      </c>
      <c r="AX597" s="46"/>
      <c r="AY597" s="46"/>
      <c r="AZ597" s="46" t="s">
        <v>30</v>
      </c>
      <c r="BA597" s="54"/>
      <c r="BB597" s="51"/>
      <c r="BC597" s="46"/>
      <c r="BD597" s="46"/>
      <c r="BE597" s="46"/>
      <c r="BF597" s="46">
        <v>1</v>
      </c>
      <c r="BG597" s="46">
        <v>4</v>
      </c>
      <c r="BH597" s="46">
        <v>1</v>
      </c>
      <c r="BI597" s="46" t="s">
        <v>1335</v>
      </c>
      <c r="BJ597" s="46" t="s">
        <v>1094</v>
      </c>
      <c r="BK597" s="46">
        <v>1962</v>
      </c>
      <c r="BL597" s="46" t="str">
        <f>BK597&amp;BI597</f>
        <v>1962Rochdale</v>
      </c>
      <c r="BM597" s="52" t="str">
        <f>IF(AD597="Home",BI597,IF(AD597="Away",BJ597,Q597))</f>
        <v>Blackburn Rovers</v>
      </c>
      <c r="BN597" s="46"/>
      <c r="BO597" s="46"/>
      <c r="BP597" s="46"/>
      <c r="BQ597" s="46"/>
      <c r="BR597" s="46"/>
      <c r="BS597" s="46"/>
      <c r="BT597" s="46"/>
      <c r="BU597" s="46"/>
      <c r="BV597" s="46" t="s">
        <v>376</v>
      </c>
      <c r="BW597" s="46" t="s">
        <v>376</v>
      </c>
      <c r="BX597" s="46"/>
      <c r="BZ597" s="53"/>
      <c r="CA597" s="53"/>
      <c r="CB597" s="93" t="str">
        <f>IF(OR(C597="",A597="",B597=""),"",TEXT(C597,"0000")&amp;TEXT(A597,"00")&amp;TEXT(B597,"00"))</f>
        <v>19620404</v>
      </c>
    </row>
    <row r="598" spans="1:80" s="52" customFormat="1" ht="12.95" customHeight="1" x14ac:dyDescent="0.2">
      <c r="A598" s="46">
        <v>4</v>
      </c>
      <c r="B598" s="46">
        <v>9</v>
      </c>
      <c r="C598" s="46">
        <v>1962</v>
      </c>
      <c r="D598" s="46" t="s">
        <v>658</v>
      </c>
      <c r="E598" s="46" t="s">
        <v>572</v>
      </c>
      <c r="F598" s="47" t="s">
        <v>1010</v>
      </c>
      <c r="G598" s="46"/>
      <c r="H598" s="47" t="s">
        <v>1011</v>
      </c>
      <c r="I598" s="47" t="s">
        <v>1023</v>
      </c>
      <c r="J598" s="48">
        <v>22745</v>
      </c>
      <c r="K598" s="46" t="s">
        <v>1255</v>
      </c>
      <c r="L598" s="46" t="s">
        <v>3</v>
      </c>
      <c r="M598" s="46" t="s">
        <v>589</v>
      </c>
      <c r="N598" s="49">
        <v>2</v>
      </c>
      <c r="O598" s="49">
        <v>1</v>
      </c>
      <c r="P598" s="47" t="s">
        <v>1277</v>
      </c>
      <c r="Q598" s="47" t="s">
        <v>1278</v>
      </c>
      <c r="R598" s="47" t="s">
        <v>376</v>
      </c>
      <c r="S598" s="46"/>
      <c r="T598" s="46"/>
      <c r="U598" s="46"/>
      <c r="V598" s="46"/>
      <c r="W598" s="46"/>
      <c r="X598" s="46"/>
      <c r="Y598" s="46"/>
      <c r="Z598" s="46"/>
      <c r="AA598" s="46"/>
      <c r="AB598" s="46"/>
      <c r="AC598" s="46"/>
      <c r="AD598" s="46"/>
      <c r="AE598" s="50">
        <f>IF(L598="W",1,0)</f>
        <v>1</v>
      </c>
      <c r="AF598" s="50">
        <f>IF(L598="T",1,0)</f>
        <v>0</v>
      </c>
      <c r="AG598" s="50">
        <f>IF(L598="L",1,0)</f>
        <v>0</v>
      </c>
      <c r="AH598" s="46" t="s">
        <v>1255</v>
      </c>
      <c r="AI598" s="46" t="s">
        <v>1086</v>
      </c>
      <c r="AJ598" s="46" t="s">
        <v>376</v>
      </c>
      <c r="AK598" s="46" t="s">
        <v>658</v>
      </c>
      <c r="AL598" s="46" t="s">
        <v>1017</v>
      </c>
      <c r="AM598" s="46" t="s">
        <v>1018</v>
      </c>
      <c r="AN598" s="46" t="s">
        <v>376</v>
      </c>
      <c r="AO598" s="46" t="s">
        <v>658</v>
      </c>
      <c r="AP598" s="46"/>
      <c r="AQ598" s="46">
        <v>2</v>
      </c>
      <c r="AR598" s="46"/>
      <c r="AS598" s="46"/>
      <c r="AT598" s="46"/>
      <c r="AU598" s="46" t="s">
        <v>376</v>
      </c>
      <c r="AV598" s="46"/>
      <c r="AW598" s="46" t="s">
        <v>30</v>
      </c>
      <c r="AX598" s="46"/>
      <c r="AY598" s="46" t="s">
        <v>30</v>
      </c>
      <c r="AZ598" s="46"/>
      <c r="BA598" s="47"/>
      <c r="BB598" s="51"/>
      <c r="BC598" s="46"/>
      <c r="BD598" s="46"/>
      <c r="BE598" s="46"/>
      <c r="BF598" s="46">
        <v>1</v>
      </c>
      <c r="BG598" s="46">
        <v>1</v>
      </c>
      <c r="BH598" s="46">
        <v>1</v>
      </c>
      <c r="BI598" s="46" t="s">
        <v>1255</v>
      </c>
      <c r="BJ598" s="46" t="s">
        <v>589</v>
      </c>
      <c r="BK598" s="46">
        <v>1962</v>
      </c>
      <c r="BL598" s="46" t="str">
        <f>BK598&amp;BI598</f>
        <v>1962Burnley</v>
      </c>
      <c r="BM598" s="52" t="str">
        <f>IF(AD598="Home",BI598,IF(AD598="Away",BJ598,Q598))</f>
        <v>Leicester</v>
      </c>
      <c r="BN598" s="46"/>
      <c r="BO598" s="46"/>
      <c r="BP598" s="46"/>
      <c r="BQ598" s="46"/>
      <c r="BR598" s="46"/>
      <c r="BS598" s="46"/>
      <c r="BT598" s="46"/>
      <c r="BU598" s="46"/>
      <c r="BV598" s="46" t="s">
        <v>376</v>
      </c>
      <c r="BW598" s="46" t="s">
        <v>376</v>
      </c>
      <c r="BX598" s="46"/>
      <c r="BZ598" s="53"/>
      <c r="CA598" s="53"/>
      <c r="CB598" s="93" t="str">
        <f>IF(OR(C598="",A598="",B598=""),"",TEXT(C598,"0000")&amp;TEXT(A598,"00")&amp;TEXT(B598,"00"))</f>
        <v>19620409</v>
      </c>
    </row>
    <row r="599" spans="1:80" s="52" customFormat="1" ht="12.95" customHeight="1" x14ac:dyDescent="0.2">
      <c r="A599" s="46">
        <v>4</v>
      </c>
      <c r="B599" s="46">
        <v>9</v>
      </c>
      <c r="C599" s="46">
        <v>1962</v>
      </c>
      <c r="D599" s="46" t="s">
        <v>658</v>
      </c>
      <c r="E599" s="46" t="s">
        <v>572</v>
      </c>
      <c r="F599" s="47" t="s">
        <v>1010</v>
      </c>
      <c r="G599" s="46"/>
      <c r="H599" s="47" t="s">
        <v>1011</v>
      </c>
      <c r="I599" s="47" t="s">
        <v>1023</v>
      </c>
      <c r="J599" s="48">
        <v>22745</v>
      </c>
      <c r="K599" s="46" t="s">
        <v>589</v>
      </c>
      <c r="L599" s="46" t="s">
        <v>4</v>
      </c>
      <c r="M599" s="46" t="s">
        <v>1255</v>
      </c>
      <c r="N599" s="49">
        <v>1</v>
      </c>
      <c r="O599" s="49">
        <v>2</v>
      </c>
      <c r="P599" s="47" t="s">
        <v>1277</v>
      </c>
      <c r="Q599" s="47" t="s">
        <v>1278</v>
      </c>
      <c r="R599" s="47" t="s">
        <v>376</v>
      </c>
      <c r="S599" s="46"/>
      <c r="T599" s="46"/>
      <c r="U599" s="46"/>
      <c r="V599" s="46"/>
      <c r="W599" s="46"/>
      <c r="X599" s="46"/>
      <c r="Y599" s="46"/>
      <c r="Z599" s="46"/>
      <c r="AA599" s="46"/>
      <c r="AB599" s="46"/>
      <c r="AC599" s="46"/>
      <c r="AD599" s="46"/>
      <c r="AE599" s="50">
        <f>IF(L599="W",1,0)</f>
        <v>0</v>
      </c>
      <c r="AF599" s="50">
        <f>IF(L599="T",1,0)</f>
        <v>0</v>
      </c>
      <c r="AG599" s="50">
        <f>IF(L599="L",1,0)</f>
        <v>1</v>
      </c>
      <c r="AH599" s="46" t="s">
        <v>1017</v>
      </c>
      <c r="AI599" s="46" t="s">
        <v>1018</v>
      </c>
      <c r="AJ599" s="46" t="s">
        <v>376</v>
      </c>
      <c r="AK599" s="46" t="s">
        <v>658</v>
      </c>
      <c r="AL599" s="46" t="s">
        <v>1255</v>
      </c>
      <c r="AM599" s="46" t="s">
        <v>1086</v>
      </c>
      <c r="AN599" s="46" t="s">
        <v>376</v>
      </c>
      <c r="AO599" s="46" t="s">
        <v>658</v>
      </c>
      <c r="AP599" s="46"/>
      <c r="AQ599" s="46">
        <v>2</v>
      </c>
      <c r="AR599" s="46"/>
      <c r="AS599" s="46"/>
      <c r="AT599" s="46"/>
      <c r="AU599" s="46" t="s">
        <v>376</v>
      </c>
      <c r="AV599" s="46"/>
      <c r="AW599" s="46" t="s">
        <v>30</v>
      </c>
      <c r="AX599" s="46"/>
      <c r="AY599" s="46" t="s">
        <v>30</v>
      </c>
      <c r="AZ599" s="46"/>
      <c r="BA599" s="47"/>
      <c r="BB599" s="51"/>
      <c r="BC599" s="46"/>
      <c r="BD599" s="46"/>
      <c r="BE599" s="46"/>
      <c r="BF599" s="46">
        <v>1</v>
      </c>
      <c r="BG599" s="46">
        <v>1</v>
      </c>
      <c r="BH599" s="46">
        <v>1</v>
      </c>
      <c r="BI599" s="46" t="s">
        <v>589</v>
      </c>
      <c r="BJ599" s="46" t="s">
        <v>1255</v>
      </c>
      <c r="BK599" s="46">
        <v>1962</v>
      </c>
      <c r="BL599" s="46" t="str">
        <f>BK599&amp;BI599</f>
        <v>1962Fulham</v>
      </c>
      <c r="BM599" s="52" t="str">
        <f>IF(AD599="Home",BI599,IF(AD599="Away",BJ599,Q599))</f>
        <v>Leicester</v>
      </c>
      <c r="BN599" s="46"/>
      <c r="BO599" s="46"/>
      <c r="BP599" s="46"/>
      <c r="BQ599" s="46"/>
      <c r="BR599" s="46"/>
      <c r="BS599" s="46"/>
      <c r="BT599" s="46"/>
      <c r="BU599" s="46"/>
      <c r="BV599" s="46" t="s">
        <v>376</v>
      </c>
      <c r="BW599" s="46" t="s">
        <v>376</v>
      </c>
      <c r="BX599" s="46"/>
      <c r="BZ599" s="53"/>
      <c r="CA599" s="53"/>
      <c r="CB599" s="93" t="str">
        <f>IF(OR(C599="",A599="",B599=""),"",TEXT(C599,"0000")&amp;TEXT(A599,"00")&amp;TEXT(B599,"00"))</f>
        <v>19620409</v>
      </c>
    </row>
    <row r="600" spans="1:80" s="52" customFormat="1" ht="12.95" customHeight="1" x14ac:dyDescent="0.2">
      <c r="A600" s="46">
        <v>4</v>
      </c>
      <c r="B600" s="46">
        <v>11</v>
      </c>
      <c r="C600" s="46">
        <v>1962</v>
      </c>
      <c r="D600" s="46" t="s">
        <v>658</v>
      </c>
      <c r="E600" s="46" t="s">
        <v>572</v>
      </c>
      <c r="F600" s="54" t="s">
        <v>1327</v>
      </c>
      <c r="G600" s="46"/>
      <c r="H600" s="54" t="s">
        <v>1011</v>
      </c>
      <c r="I600" s="54">
        <v>1</v>
      </c>
      <c r="J600" s="55">
        <v>22747</v>
      </c>
      <c r="K600" s="46" t="s">
        <v>1321</v>
      </c>
      <c r="L600" s="46" t="s">
        <v>3</v>
      </c>
      <c r="M600" s="46" t="s">
        <v>1305</v>
      </c>
      <c r="N600" s="49">
        <v>4</v>
      </c>
      <c r="O600" s="49">
        <v>1</v>
      </c>
      <c r="P600" s="54" t="s">
        <v>1337</v>
      </c>
      <c r="Q600" s="54" t="s">
        <v>1323</v>
      </c>
      <c r="R600" s="54" t="s">
        <v>376</v>
      </c>
      <c r="S600" s="46"/>
      <c r="T600" s="46"/>
      <c r="U600" s="46"/>
      <c r="V600" s="46"/>
      <c r="W600" s="46"/>
      <c r="X600" s="46"/>
      <c r="Y600" s="46"/>
      <c r="Z600" s="46"/>
      <c r="AA600" s="46"/>
      <c r="AB600" s="46"/>
      <c r="AC600" s="46"/>
      <c r="AD600" s="46" t="s">
        <v>1033</v>
      </c>
      <c r="AE600" s="50">
        <f>IF(L600="W",1,0)</f>
        <v>1</v>
      </c>
      <c r="AF600" s="50">
        <f>IF(L600="T",1,0)</f>
        <v>0</v>
      </c>
      <c r="AG600" s="50">
        <f>IF(L600="L",1,0)</f>
        <v>0</v>
      </c>
      <c r="AH600" s="46"/>
      <c r="AI600" s="46"/>
      <c r="AJ600" s="46" t="s">
        <v>376</v>
      </c>
      <c r="AK600" s="46" t="s">
        <v>658</v>
      </c>
      <c r="AL600" s="46"/>
      <c r="AM600" s="46"/>
      <c r="AN600" s="46" t="s">
        <v>376</v>
      </c>
      <c r="AO600" s="46" t="s">
        <v>658</v>
      </c>
      <c r="AP600" s="46"/>
      <c r="AQ600" s="46">
        <v>2</v>
      </c>
      <c r="AR600" s="46"/>
      <c r="AS600" s="46"/>
      <c r="AT600" s="46"/>
      <c r="AU600" s="46" t="s">
        <v>376</v>
      </c>
      <c r="AV600" s="46"/>
      <c r="AW600" s="46" t="s">
        <v>30</v>
      </c>
      <c r="AX600" s="46"/>
      <c r="AY600" s="46"/>
      <c r="AZ600" s="46" t="s">
        <v>30</v>
      </c>
      <c r="BA600" s="54"/>
      <c r="BB600" s="51"/>
      <c r="BC600" s="46"/>
      <c r="BD600" s="46"/>
      <c r="BE600" s="46"/>
      <c r="BF600" s="46">
        <v>1</v>
      </c>
      <c r="BG600" s="46">
        <v>2</v>
      </c>
      <c r="BH600" s="46">
        <v>1</v>
      </c>
      <c r="BI600" s="46" t="s">
        <v>1321</v>
      </c>
      <c r="BJ600" s="46" t="s">
        <v>1305</v>
      </c>
      <c r="BK600" s="46">
        <v>1962</v>
      </c>
      <c r="BL600" s="46" t="str">
        <f>BK600&amp;BI600</f>
        <v>1962Norwich City</v>
      </c>
      <c r="BM600" s="52" t="str">
        <f>IF(AD600="Home",BI600,IF(AD600="Away",BJ600,Q600))</f>
        <v>Norwich City</v>
      </c>
      <c r="BN600" s="46"/>
      <c r="BO600" s="46"/>
      <c r="BP600" s="46"/>
      <c r="BQ600" s="46"/>
      <c r="BR600" s="46"/>
      <c r="BS600" s="46"/>
      <c r="BT600" s="46"/>
      <c r="BU600" s="46"/>
      <c r="BV600" s="46" t="s">
        <v>376</v>
      </c>
      <c r="BW600" s="46" t="s">
        <v>376</v>
      </c>
      <c r="BX600" s="46"/>
      <c r="BZ600" s="53"/>
      <c r="CA600" s="53"/>
      <c r="CB600" s="93" t="str">
        <f>IF(OR(C600="",A600="",B600=""),"",TEXT(C600,"0000")&amp;TEXT(A600,"00")&amp;TEXT(B600,"00"))</f>
        <v>19620411</v>
      </c>
    </row>
    <row r="601" spans="1:80" s="52" customFormat="1" ht="12.95" customHeight="1" x14ac:dyDescent="0.2">
      <c r="A601" s="46">
        <v>4</v>
      </c>
      <c r="B601" s="46">
        <v>11</v>
      </c>
      <c r="C601" s="46">
        <v>1962</v>
      </c>
      <c r="D601" s="46" t="s">
        <v>658</v>
      </c>
      <c r="E601" s="46" t="s">
        <v>572</v>
      </c>
      <c r="F601" s="54" t="s">
        <v>1327</v>
      </c>
      <c r="G601" s="46"/>
      <c r="H601" s="54" t="s">
        <v>1011</v>
      </c>
      <c r="I601" s="54">
        <v>1</v>
      </c>
      <c r="J601" s="55">
        <v>22747</v>
      </c>
      <c r="K601" s="46" t="s">
        <v>1305</v>
      </c>
      <c r="L601" s="46" t="s">
        <v>4</v>
      </c>
      <c r="M601" s="46" t="s">
        <v>1321</v>
      </c>
      <c r="N601" s="49">
        <v>1</v>
      </c>
      <c r="O601" s="49">
        <v>4</v>
      </c>
      <c r="P601" s="54" t="s">
        <v>1337</v>
      </c>
      <c r="Q601" s="54" t="s">
        <v>1323</v>
      </c>
      <c r="R601" s="54" t="s">
        <v>376</v>
      </c>
      <c r="S601" s="46"/>
      <c r="T601" s="46"/>
      <c r="U601" s="46"/>
      <c r="V601" s="46"/>
      <c r="W601" s="46"/>
      <c r="X601" s="46"/>
      <c r="Y601" s="46"/>
      <c r="Z601" s="46"/>
      <c r="AA601" s="46"/>
      <c r="AB601" s="46"/>
      <c r="AC601" s="46"/>
      <c r="AD601" s="46" t="s">
        <v>1037</v>
      </c>
      <c r="AE601" s="50">
        <f>IF(L601="W",1,0)</f>
        <v>0</v>
      </c>
      <c r="AF601" s="50">
        <f>IF(L601="T",1,0)</f>
        <v>0</v>
      </c>
      <c r="AG601" s="50">
        <f>IF(L601="L",1,0)</f>
        <v>1</v>
      </c>
      <c r="AH601" s="46"/>
      <c r="AI601" s="46"/>
      <c r="AJ601" s="46" t="s">
        <v>376</v>
      </c>
      <c r="AK601" s="46" t="s">
        <v>658</v>
      </c>
      <c r="AL601" s="46"/>
      <c r="AM601" s="46"/>
      <c r="AN601" s="46" t="s">
        <v>376</v>
      </c>
      <c r="AO601" s="46" t="s">
        <v>658</v>
      </c>
      <c r="AP601" s="46"/>
      <c r="AQ601" s="46">
        <v>2</v>
      </c>
      <c r="AR601" s="46"/>
      <c r="AS601" s="46"/>
      <c r="AT601" s="46"/>
      <c r="AU601" s="46" t="s">
        <v>376</v>
      </c>
      <c r="AV601" s="46"/>
      <c r="AW601" s="46" t="s">
        <v>30</v>
      </c>
      <c r="AX601" s="46"/>
      <c r="AY601" s="46"/>
      <c r="AZ601" s="46" t="s">
        <v>30</v>
      </c>
      <c r="BA601" s="54"/>
      <c r="BB601" s="51"/>
      <c r="BC601" s="46"/>
      <c r="BD601" s="46"/>
      <c r="BE601" s="46"/>
      <c r="BF601" s="46">
        <v>1</v>
      </c>
      <c r="BG601" s="46">
        <v>1</v>
      </c>
      <c r="BH601" s="46">
        <v>2</v>
      </c>
      <c r="BI601" s="46" t="s">
        <v>1305</v>
      </c>
      <c r="BJ601" s="46" t="s">
        <v>1321</v>
      </c>
      <c r="BK601" s="46">
        <v>1962</v>
      </c>
      <c r="BL601" s="46" t="str">
        <f>BK601&amp;BI601</f>
        <v>1962Blackpool</v>
      </c>
      <c r="BM601" s="52" t="str">
        <f>IF(AD601="Home",BI601,IF(AD601="Away",BJ601,Q601))</f>
        <v>Norwich City</v>
      </c>
      <c r="BN601" s="46"/>
      <c r="BO601" s="46"/>
      <c r="BP601" s="46"/>
      <c r="BQ601" s="46"/>
      <c r="BR601" s="46"/>
      <c r="BS601" s="46"/>
      <c r="BT601" s="46"/>
      <c r="BU601" s="46"/>
      <c r="BV601" s="46" t="s">
        <v>376</v>
      </c>
      <c r="BW601" s="46" t="s">
        <v>376</v>
      </c>
      <c r="BX601" s="46"/>
      <c r="BZ601" s="53"/>
      <c r="CA601" s="53"/>
      <c r="CB601" s="93" t="str">
        <f>IF(OR(C601="",A601="",B601=""),"",TEXT(C601,"0000")&amp;TEXT(A601,"00")&amp;TEXT(B601,"00"))</f>
        <v>19620411</v>
      </c>
    </row>
    <row r="602" spans="1:80" s="52" customFormat="1" ht="12.95" customHeight="1" x14ac:dyDescent="0.2">
      <c r="A602" s="46">
        <v>4</v>
      </c>
      <c r="B602" s="46">
        <v>16</v>
      </c>
      <c r="C602" s="46">
        <v>1962</v>
      </c>
      <c r="D602" s="46" t="s">
        <v>658</v>
      </c>
      <c r="E602" s="46" t="s">
        <v>572</v>
      </c>
      <c r="F602" s="54" t="s">
        <v>1327</v>
      </c>
      <c r="G602" s="46"/>
      <c r="H602" s="54" t="s">
        <v>1011</v>
      </c>
      <c r="I602" s="54">
        <v>2</v>
      </c>
      <c r="J602" s="55">
        <v>22752</v>
      </c>
      <c r="K602" s="46" t="s">
        <v>1305</v>
      </c>
      <c r="L602" s="46" t="s">
        <v>3</v>
      </c>
      <c r="M602" s="46" t="s">
        <v>1321</v>
      </c>
      <c r="N602" s="49">
        <v>2</v>
      </c>
      <c r="O602" s="49">
        <v>0</v>
      </c>
      <c r="P602" s="54" t="s">
        <v>1338</v>
      </c>
      <c r="Q602" s="54" t="s">
        <v>1305</v>
      </c>
      <c r="R602" s="54" t="s">
        <v>376</v>
      </c>
      <c r="S602" s="46"/>
      <c r="T602" s="46"/>
      <c r="U602" s="46"/>
      <c r="V602" s="46"/>
      <c r="W602" s="46"/>
      <c r="X602" s="46"/>
      <c r="Y602" s="46"/>
      <c r="Z602" s="46"/>
      <c r="AA602" s="46"/>
      <c r="AB602" s="46"/>
      <c r="AC602" s="46"/>
      <c r="AD602" s="46" t="s">
        <v>1033</v>
      </c>
      <c r="AE602" s="50">
        <f>IF(L602="W",1,0)</f>
        <v>1</v>
      </c>
      <c r="AF602" s="50">
        <f>IF(L602="T",1,0)</f>
        <v>0</v>
      </c>
      <c r="AG602" s="50">
        <f>IF(L602="L",1,0)</f>
        <v>0</v>
      </c>
      <c r="AH602" s="46"/>
      <c r="AI602" s="46"/>
      <c r="AJ602" s="46" t="s">
        <v>376</v>
      </c>
      <c r="AK602" s="46" t="s">
        <v>658</v>
      </c>
      <c r="AL602" s="46"/>
      <c r="AM602" s="46"/>
      <c r="AN602" s="46" t="s">
        <v>376</v>
      </c>
      <c r="AO602" s="46" t="s">
        <v>658</v>
      </c>
      <c r="AP602" s="46"/>
      <c r="AQ602" s="46">
        <v>2</v>
      </c>
      <c r="AR602" s="46"/>
      <c r="AS602" s="46"/>
      <c r="AT602" s="46"/>
      <c r="AU602" s="46" t="s">
        <v>376</v>
      </c>
      <c r="AV602" s="46"/>
      <c r="AW602" s="46" t="s">
        <v>30</v>
      </c>
      <c r="AX602" s="46"/>
      <c r="AY602" s="46"/>
      <c r="AZ602" s="46" t="s">
        <v>30</v>
      </c>
      <c r="BA602" s="54"/>
      <c r="BB602" s="51"/>
      <c r="BC602" s="46"/>
      <c r="BD602" s="46"/>
      <c r="BE602" s="46"/>
      <c r="BF602" s="46">
        <v>1</v>
      </c>
      <c r="BG602" s="46">
        <v>1</v>
      </c>
      <c r="BH602" s="46">
        <v>2</v>
      </c>
      <c r="BI602" s="46" t="s">
        <v>1305</v>
      </c>
      <c r="BJ602" s="46" t="s">
        <v>1321</v>
      </c>
      <c r="BK602" s="46">
        <v>1962</v>
      </c>
      <c r="BL602" s="46" t="str">
        <f>BK602&amp;BI602</f>
        <v>1962Blackpool</v>
      </c>
      <c r="BM602" s="52" t="str">
        <f>IF(AD602="Home",BI602,IF(AD602="Away",BJ602,Q602))</f>
        <v>Blackpool</v>
      </c>
      <c r="BN602" s="46"/>
      <c r="BO602" s="46"/>
      <c r="BP602" s="46"/>
      <c r="BQ602" s="46"/>
      <c r="BR602" s="46"/>
      <c r="BS602" s="46"/>
      <c r="BT602" s="46"/>
      <c r="BU602" s="46"/>
      <c r="BV602" s="46" t="s">
        <v>376</v>
      </c>
      <c r="BW602" s="46" t="s">
        <v>376</v>
      </c>
      <c r="BX602" s="46"/>
      <c r="BZ602" s="53"/>
      <c r="CA602" s="53"/>
      <c r="CB602" s="93" t="str">
        <f>IF(OR(C602="",A602="",B602=""),"",TEXT(C602,"0000")&amp;TEXT(A602,"00")&amp;TEXT(B602,"00"))</f>
        <v>19620416</v>
      </c>
    </row>
    <row r="603" spans="1:80" s="52" customFormat="1" ht="12.95" customHeight="1" x14ac:dyDescent="0.2">
      <c r="A603" s="46">
        <v>4</v>
      </c>
      <c r="B603" s="46">
        <v>16</v>
      </c>
      <c r="C603" s="46">
        <v>1962</v>
      </c>
      <c r="D603" s="46" t="s">
        <v>658</v>
      </c>
      <c r="E603" s="46" t="s">
        <v>572</v>
      </c>
      <c r="F603" s="54" t="s">
        <v>1327</v>
      </c>
      <c r="G603" s="46"/>
      <c r="H603" s="54" t="s">
        <v>1011</v>
      </c>
      <c r="I603" s="54">
        <v>2</v>
      </c>
      <c r="J603" s="55">
        <v>22752</v>
      </c>
      <c r="K603" s="46" t="s">
        <v>1321</v>
      </c>
      <c r="L603" s="46" t="s">
        <v>4</v>
      </c>
      <c r="M603" s="46" t="s">
        <v>1305</v>
      </c>
      <c r="N603" s="49">
        <v>0</v>
      </c>
      <c r="O603" s="49">
        <v>2</v>
      </c>
      <c r="P603" s="54" t="s">
        <v>1338</v>
      </c>
      <c r="Q603" s="54" t="s">
        <v>1305</v>
      </c>
      <c r="R603" s="54" t="s">
        <v>376</v>
      </c>
      <c r="S603" s="46"/>
      <c r="T603" s="46"/>
      <c r="U603" s="46"/>
      <c r="V603" s="46"/>
      <c r="W603" s="46"/>
      <c r="X603" s="46"/>
      <c r="Y603" s="46"/>
      <c r="Z603" s="46"/>
      <c r="AA603" s="46"/>
      <c r="AB603" s="46"/>
      <c r="AC603" s="46"/>
      <c r="AD603" s="46" t="s">
        <v>1037</v>
      </c>
      <c r="AE603" s="50">
        <f>IF(L603="W",1,0)</f>
        <v>0</v>
      </c>
      <c r="AF603" s="50">
        <f>IF(L603="T",1,0)</f>
        <v>0</v>
      </c>
      <c r="AG603" s="50">
        <f>IF(L603="L",1,0)</f>
        <v>1</v>
      </c>
      <c r="AH603" s="46"/>
      <c r="AI603" s="46"/>
      <c r="AJ603" s="46" t="s">
        <v>376</v>
      </c>
      <c r="AK603" s="46" t="s">
        <v>658</v>
      </c>
      <c r="AL603" s="46"/>
      <c r="AM603" s="46"/>
      <c r="AN603" s="46" t="s">
        <v>376</v>
      </c>
      <c r="AO603" s="46" t="s">
        <v>658</v>
      </c>
      <c r="AP603" s="46"/>
      <c r="AQ603" s="46">
        <v>2</v>
      </c>
      <c r="AR603" s="46"/>
      <c r="AS603" s="46"/>
      <c r="AT603" s="46"/>
      <c r="AU603" s="46" t="s">
        <v>376</v>
      </c>
      <c r="AV603" s="46"/>
      <c r="AW603" s="46" t="s">
        <v>30</v>
      </c>
      <c r="AX603" s="46"/>
      <c r="AY603" s="46"/>
      <c r="AZ603" s="46" t="s">
        <v>30</v>
      </c>
      <c r="BA603" s="54"/>
      <c r="BB603" s="51"/>
      <c r="BC603" s="46"/>
      <c r="BD603" s="46"/>
      <c r="BE603" s="46"/>
      <c r="BF603" s="46">
        <v>1</v>
      </c>
      <c r="BG603" s="46">
        <v>2</v>
      </c>
      <c r="BH603" s="46">
        <v>1</v>
      </c>
      <c r="BI603" s="46" t="s">
        <v>1321</v>
      </c>
      <c r="BJ603" s="46" t="s">
        <v>1305</v>
      </c>
      <c r="BK603" s="46">
        <v>1962</v>
      </c>
      <c r="BL603" s="46" t="str">
        <f>BK603&amp;BI603</f>
        <v>1962Norwich City</v>
      </c>
      <c r="BM603" s="52" t="str">
        <f>IF(AD603="Home",BI603,IF(AD603="Away",BJ603,Q603))</f>
        <v>Blackpool</v>
      </c>
      <c r="BN603" s="46"/>
      <c r="BO603" s="46"/>
      <c r="BP603" s="46"/>
      <c r="BQ603" s="46"/>
      <c r="BR603" s="46"/>
      <c r="BS603" s="46"/>
      <c r="BT603" s="46"/>
      <c r="BU603" s="46"/>
      <c r="BV603" s="46" t="s">
        <v>376</v>
      </c>
      <c r="BW603" s="46" t="s">
        <v>376</v>
      </c>
      <c r="BX603" s="46"/>
      <c r="BZ603" s="53"/>
      <c r="CA603" s="53"/>
      <c r="CB603" s="93" t="str">
        <f>IF(OR(C603="",A603="",B603=""),"",TEXT(C603,"0000")&amp;TEXT(A603,"00")&amp;TEXT(B603,"00"))</f>
        <v>19620416</v>
      </c>
    </row>
    <row r="604" spans="1:80" s="52" customFormat="1" ht="12.95" customHeight="1" x14ac:dyDescent="0.2">
      <c r="A604" s="46">
        <v>4</v>
      </c>
      <c r="B604" s="46">
        <v>26</v>
      </c>
      <c r="C604" s="46">
        <v>1962</v>
      </c>
      <c r="D604" s="46" t="s">
        <v>658</v>
      </c>
      <c r="E604" s="46" t="s">
        <v>572</v>
      </c>
      <c r="F604" s="54" t="s">
        <v>1327</v>
      </c>
      <c r="G604" s="46"/>
      <c r="H604" s="46" t="s">
        <v>1334</v>
      </c>
      <c r="I604" s="54">
        <v>1</v>
      </c>
      <c r="J604" s="55">
        <v>22762</v>
      </c>
      <c r="K604" s="46" t="s">
        <v>1335</v>
      </c>
      <c r="L604" s="46" t="s">
        <v>4</v>
      </c>
      <c r="M604" s="46" t="s">
        <v>1321</v>
      </c>
      <c r="N604" s="49">
        <v>0</v>
      </c>
      <c r="O604" s="49">
        <v>3</v>
      </c>
      <c r="P604" s="54" t="s">
        <v>1336</v>
      </c>
      <c r="Q604" s="54" t="s">
        <v>1101</v>
      </c>
      <c r="R604" s="54" t="s">
        <v>376</v>
      </c>
      <c r="S604" s="46"/>
      <c r="T604" s="46"/>
      <c r="U604" s="46"/>
      <c r="V604" s="46"/>
      <c r="W604" s="46"/>
      <c r="X604" s="46"/>
      <c r="Y604" s="46"/>
      <c r="Z604" s="46"/>
      <c r="AA604" s="46"/>
      <c r="AB604" s="46"/>
      <c r="AC604" s="46"/>
      <c r="AD604" s="46" t="s">
        <v>1033</v>
      </c>
      <c r="AE604" s="50">
        <f>IF(L604="W",1,0)</f>
        <v>0</v>
      </c>
      <c r="AF604" s="50">
        <f>IF(L604="T",1,0)</f>
        <v>0</v>
      </c>
      <c r="AG604" s="50">
        <f>IF(L604="L",1,0)</f>
        <v>1</v>
      </c>
      <c r="AH604" s="46"/>
      <c r="AI604" s="46"/>
      <c r="AJ604" s="46" t="s">
        <v>376</v>
      </c>
      <c r="AK604" s="46" t="s">
        <v>658</v>
      </c>
      <c r="AL604" s="46"/>
      <c r="AM604" s="46"/>
      <c r="AN604" s="46" t="s">
        <v>376</v>
      </c>
      <c r="AO604" s="46" t="s">
        <v>658</v>
      </c>
      <c r="AP604" s="46"/>
      <c r="AQ604" s="46">
        <v>1</v>
      </c>
      <c r="AR604" s="46"/>
      <c r="AS604" s="46"/>
      <c r="AT604" s="46"/>
      <c r="AU604" s="46" t="s">
        <v>376</v>
      </c>
      <c r="AV604" s="46"/>
      <c r="AW604" s="46" t="s">
        <v>30</v>
      </c>
      <c r="AX604" s="46"/>
      <c r="AY604" s="46"/>
      <c r="AZ604" s="46" t="s">
        <v>30</v>
      </c>
      <c r="BA604" s="54"/>
      <c r="BB604" s="51"/>
      <c r="BC604" s="46" t="s">
        <v>30</v>
      </c>
      <c r="BD604" s="46"/>
      <c r="BE604" s="46"/>
      <c r="BF604" s="46">
        <v>1</v>
      </c>
      <c r="BG604" s="46">
        <v>4</v>
      </c>
      <c r="BH604" s="46">
        <v>2</v>
      </c>
      <c r="BI604" s="46" t="s">
        <v>1335</v>
      </c>
      <c r="BJ604" s="46" t="s">
        <v>1321</v>
      </c>
      <c r="BK604" s="46">
        <v>1962</v>
      </c>
      <c r="BL604" s="46" t="str">
        <f>BK604&amp;BI604</f>
        <v>1962Rochdale</v>
      </c>
      <c r="BM604" s="52" t="str">
        <f>IF(AD604="Home",BI604,IF(AD604="Away",BJ604,Q604))</f>
        <v>Rochdale</v>
      </c>
      <c r="BN604" s="46"/>
      <c r="BO604" s="46"/>
      <c r="BP604" s="46"/>
      <c r="BQ604" s="46"/>
      <c r="BR604" s="46"/>
      <c r="BS604" s="46"/>
      <c r="BT604" s="46"/>
      <c r="BU604" s="46"/>
      <c r="BV604" s="46" t="s">
        <v>376</v>
      </c>
      <c r="BW604" s="46" t="s">
        <v>376</v>
      </c>
      <c r="BX604" s="46"/>
      <c r="BZ604" s="53"/>
      <c r="CA604" s="53"/>
      <c r="CB604" s="93" t="str">
        <f>IF(OR(C604="",A604="",B604=""),"",TEXT(C604,"0000")&amp;TEXT(A604,"00")&amp;TEXT(B604,"00"))</f>
        <v>19620426</v>
      </c>
    </row>
    <row r="605" spans="1:80" s="52" customFormat="1" ht="12.95" customHeight="1" x14ac:dyDescent="0.2">
      <c r="A605" s="46">
        <v>4</v>
      </c>
      <c r="B605" s="46">
        <v>26</v>
      </c>
      <c r="C605" s="46">
        <v>1962</v>
      </c>
      <c r="D605" s="46" t="s">
        <v>658</v>
      </c>
      <c r="E605" s="46" t="s">
        <v>572</v>
      </c>
      <c r="F605" s="54" t="s">
        <v>1327</v>
      </c>
      <c r="G605" s="46"/>
      <c r="H605" s="46" t="s">
        <v>1334</v>
      </c>
      <c r="I605" s="54">
        <v>1</v>
      </c>
      <c r="J605" s="55">
        <v>22762</v>
      </c>
      <c r="K605" s="46" t="s">
        <v>1321</v>
      </c>
      <c r="L605" s="46" t="s">
        <v>3</v>
      </c>
      <c r="M605" s="46" t="s">
        <v>1335</v>
      </c>
      <c r="N605" s="49">
        <v>3</v>
      </c>
      <c r="O605" s="49">
        <v>0</v>
      </c>
      <c r="P605" s="54" t="s">
        <v>1336</v>
      </c>
      <c r="Q605" s="54" t="s">
        <v>1101</v>
      </c>
      <c r="R605" s="54" t="s">
        <v>376</v>
      </c>
      <c r="S605" s="46"/>
      <c r="T605" s="46"/>
      <c r="U605" s="46"/>
      <c r="V605" s="46"/>
      <c r="W605" s="46"/>
      <c r="X605" s="46"/>
      <c r="Y605" s="46"/>
      <c r="Z605" s="46"/>
      <c r="AA605" s="46"/>
      <c r="AB605" s="46"/>
      <c r="AC605" s="46"/>
      <c r="AD605" s="46" t="s">
        <v>1037</v>
      </c>
      <c r="AE605" s="50">
        <f>IF(L605="W",1,0)</f>
        <v>1</v>
      </c>
      <c r="AF605" s="50">
        <f>IF(L605="T",1,0)</f>
        <v>0</v>
      </c>
      <c r="AG605" s="50">
        <f>IF(L605="L",1,0)</f>
        <v>0</v>
      </c>
      <c r="AH605" s="46"/>
      <c r="AI605" s="46"/>
      <c r="AJ605" s="46" t="s">
        <v>376</v>
      </c>
      <c r="AK605" s="46" t="s">
        <v>658</v>
      </c>
      <c r="AL605" s="46"/>
      <c r="AM605" s="46"/>
      <c r="AN605" s="46" t="s">
        <v>376</v>
      </c>
      <c r="AO605" s="46" t="s">
        <v>658</v>
      </c>
      <c r="AP605" s="46"/>
      <c r="AQ605" s="46">
        <v>1</v>
      </c>
      <c r="AR605" s="46"/>
      <c r="AS605" s="46"/>
      <c r="AT605" s="46"/>
      <c r="AU605" s="46" t="s">
        <v>376</v>
      </c>
      <c r="AV605" s="46"/>
      <c r="AW605" s="46" t="s">
        <v>30</v>
      </c>
      <c r="AX605" s="46"/>
      <c r="AY605" s="46"/>
      <c r="AZ605" s="46" t="s">
        <v>30</v>
      </c>
      <c r="BA605" s="54"/>
      <c r="BB605" s="51" t="s">
        <v>30</v>
      </c>
      <c r="BC605" s="46" t="s">
        <v>30</v>
      </c>
      <c r="BD605" s="46"/>
      <c r="BE605" s="46"/>
      <c r="BF605" s="46">
        <v>1</v>
      </c>
      <c r="BG605" s="46">
        <v>2</v>
      </c>
      <c r="BH605" s="46">
        <v>4</v>
      </c>
      <c r="BI605" s="46" t="s">
        <v>1321</v>
      </c>
      <c r="BJ605" s="46" t="s">
        <v>1335</v>
      </c>
      <c r="BK605" s="46">
        <v>1962</v>
      </c>
      <c r="BL605" s="46" t="str">
        <f>BK605&amp;BI605</f>
        <v>1962Norwich City</v>
      </c>
      <c r="BM605" s="52" t="str">
        <f>IF(AD605="Home",BI605,IF(AD605="Away",BJ605,Q605))</f>
        <v>Rochdale</v>
      </c>
      <c r="BN605" s="46"/>
      <c r="BO605" s="46"/>
      <c r="BP605" s="46"/>
      <c r="BQ605" s="46"/>
      <c r="BR605" s="46"/>
      <c r="BS605" s="46"/>
      <c r="BT605" s="46"/>
      <c r="BU605" s="46"/>
      <c r="BV605" s="46" t="s">
        <v>376</v>
      </c>
      <c r="BW605" s="46" t="s">
        <v>376</v>
      </c>
      <c r="BX605" s="46"/>
      <c r="BZ605" s="53"/>
      <c r="CA605" s="53"/>
      <c r="CB605" s="93" t="str">
        <f>IF(OR(C605="",A605="",B605=""),"",TEXT(C605,"0000")&amp;TEXT(A605,"00")&amp;TEXT(B605,"00"))</f>
        <v>19620426</v>
      </c>
    </row>
    <row r="606" spans="1:80" s="52" customFormat="1" ht="12.95" customHeight="1" x14ac:dyDescent="0.2">
      <c r="A606" s="46">
        <v>5</v>
      </c>
      <c r="B606" s="46">
        <v>1</v>
      </c>
      <c r="C606" s="46">
        <v>1962</v>
      </c>
      <c r="D606" s="46" t="s">
        <v>658</v>
      </c>
      <c r="E606" s="46" t="s">
        <v>572</v>
      </c>
      <c r="F606" s="54" t="s">
        <v>1327</v>
      </c>
      <c r="G606" s="46"/>
      <c r="H606" s="46" t="s">
        <v>1334</v>
      </c>
      <c r="I606" s="54">
        <v>2</v>
      </c>
      <c r="J606" s="55">
        <v>22767</v>
      </c>
      <c r="K606" s="46" t="s">
        <v>1321</v>
      </c>
      <c r="L606" s="46" t="s">
        <v>3</v>
      </c>
      <c r="M606" s="46" t="s">
        <v>1335</v>
      </c>
      <c r="N606" s="49">
        <v>1</v>
      </c>
      <c r="O606" s="49">
        <v>0</v>
      </c>
      <c r="P606" s="54" t="s">
        <v>1337</v>
      </c>
      <c r="Q606" s="54" t="s">
        <v>1323</v>
      </c>
      <c r="R606" s="54" t="s">
        <v>376</v>
      </c>
      <c r="S606" s="46"/>
      <c r="T606" s="46"/>
      <c r="U606" s="46"/>
      <c r="V606" s="46"/>
      <c r="W606" s="46"/>
      <c r="X606" s="46"/>
      <c r="Y606" s="46"/>
      <c r="Z606" s="46"/>
      <c r="AA606" s="46"/>
      <c r="AB606" s="46"/>
      <c r="AC606" s="46"/>
      <c r="AD606" s="46" t="s">
        <v>1033</v>
      </c>
      <c r="AE606" s="50">
        <f>IF(L606="W",1,0)</f>
        <v>1</v>
      </c>
      <c r="AF606" s="50">
        <f>IF(L606="T",1,0)</f>
        <v>0</v>
      </c>
      <c r="AG606" s="50">
        <f>IF(L606="L",1,0)</f>
        <v>0</v>
      </c>
      <c r="AH606" s="46"/>
      <c r="AI606" s="46"/>
      <c r="AJ606" s="46" t="s">
        <v>376</v>
      </c>
      <c r="AK606" s="46" t="s">
        <v>658</v>
      </c>
      <c r="AL606" s="46"/>
      <c r="AM606" s="46"/>
      <c r="AN606" s="46" t="s">
        <v>376</v>
      </c>
      <c r="AO606" s="46" t="s">
        <v>658</v>
      </c>
      <c r="AP606" s="46"/>
      <c r="AQ606" s="46">
        <v>1</v>
      </c>
      <c r="AR606" s="46"/>
      <c r="AS606" s="46"/>
      <c r="AT606" s="46"/>
      <c r="AU606" s="46" t="s">
        <v>376</v>
      </c>
      <c r="AV606" s="46"/>
      <c r="AW606" s="46" t="s">
        <v>30</v>
      </c>
      <c r="AX606" s="46"/>
      <c r="AY606" s="46"/>
      <c r="AZ606" s="46" t="s">
        <v>30</v>
      </c>
      <c r="BA606" s="54"/>
      <c r="BB606" s="51" t="s">
        <v>30</v>
      </c>
      <c r="BC606" s="46" t="s">
        <v>30</v>
      </c>
      <c r="BD606" s="46"/>
      <c r="BE606" s="46"/>
      <c r="BF606" s="46">
        <v>1</v>
      </c>
      <c r="BG606" s="46">
        <v>2</v>
      </c>
      <c r="BH606" s="46">
        <v>4</v>
      </c>
      <c r="BI606" s="46" t="s">
        <v>1321</v>
      </c>
      <c r="BJ606" s="46" t="s">
        <v>1335</v>
      </c>
      <c r="BK606" s="46">
        <v>1962</v>
      </c>
      <c r="BL606" s="46" t="str">
        <f>BK606&amp;BI606</f>
        <v>1962Norwich City</v>
      </c>
      <c r="BM606" s="52" t="str">
        <f>IF(AD606="Home",BI606,IF(AD606="Away",BJ606,Q606))</f>
        <v>Norwich City</v>
      </c>
      <c r="BN606" s="46"/>
      <c r="BO606" s="46"/>
      <c r="BP606" s="46"/>
      <c r="BQ606" s="46"/>
      <c r="BR606" s="46"/>
      <c r="BS606" s="46"/>
      <c r="BT606" s="46"/>
      <c r="BU606" s="46"/>
      <c r="BV606" s="46" t="s">
        <v>376</v>
      </c>
      <c r="BW606" s="46" t="s">
        <v>376</v>
      </c>
      <c r="BX606" s="46"/>
      <c r="BZ606" s="53"/>
      <c r="CA606" s="53"/>
      <c r="CB606" s="93" t="str">
        <f>IF(OR(C606="",A606="",B606=""),"",TEXT(C606,"0000")&amp;TEXT(A606,"00")&amp;TEXT(B606,"00"))</f>
        <v>19620501</v>
      </c>
    </row>
    <row r="607" spans="1:80" s="52" customFormat="1" ht="12.95" customHeight="1" x14ac:dyDescent="0.2">
      <c r="A607" s="46">
        <v>5</v>
      </c>
      <c r="B607" s="46">
        <v>1</v>
      </c>
      <c r="C607" s="46">
        <v>1962</v>
      </c>
      <c r="D607" s="46" t="s">
        <v>658</v>
      </c>
      <c r="E607" s="46" t="s">
        <v>572</v>
      </c>
      <c r="F607" s="54" t="s">
        <v>1327</v>
      </c>
      <c r="G607" s="46"/>
      <c r="H607" s="46" t="s">
        <v>1334</v>
      </c>
      <c r="I607" s="54">
        <v>2</v>
      </c>
      <c r="J607" s="55">
        <v>22767</v>
      </c>
      <c r="K607" s="46" t="s">
        <v>1335</v>
      </c>
      <c r="L607" s="46" t="s">
        <v>4</v>
      </c>
      <c r="M607" s="46" t="s">
        <v>1321</v>
      </c>
      <c r="N607" s="49">
        <v>0</v>
      </c>
      <c r="O607" s="49">
        <v>1</v>
      </c>
      <c r="P607" s="54" t="s">
        <v>1337</v>
      </c>
      <c r="Q607" s="54" t="s">
        <v>1323</v>
      </c>
      <c r="R607" s="54" t="s">
        <v>376</v>
      </c>
      <c r="S607" s="46"/>
      <c r="T607" s="46"/>
      <c r="U607" s="46"/>
      <c r="V607" s="46"/>
      <c r="W607" s="46"/>
      <c r="X607" s="46"/>
      <c r="Y607" s="46"/>
      <c r="Z607" s="46"/>
      <c r="AA607" s="46"/>
      <c r="AB607" s="46"/>
      <c r="AC607" s="46"/>
      <c r="AD607" s="46" t="s">
        <v>1037</v>
      </c>
      <c r="AE607" s="50">
        <f>IF(L607="W",1,0)</f>
        <v>0</v>
      </c>
      <c r="AF607" s="50">
        <f>IF(L607="T",1,0)</f>
        <v>0</v>
      </c>
      <c r="AG607" s="50">
        <f>IF(L607="L",1,0)</f>
        <v>1</v>
      </c>
      <c r="AH607" s="46"/>
      <c r="AI607" s="46"/>
      <c r="AJ607" s="46" t="s">
        <v>376</v>
      </c>
      <c r="AK607" s="46" t="s">
        <v>658</v>
      </c>
      <c r="AL607" s="46"/>
      <c r="AM607" s="46"/>
      <c r="AN607" s="46" t="s">
        <v>376</v>
      </c>
      <c r="AO607" s="46" t="s">
        <v>658</v>
      </c>
      <c r="AP607" s="46"/>
      <c r="AQ607" s="46">
        <v>1</v>
      </c>
      <c r="AR607" s="46"/>
      <c r="AS607" s="46"/>
      <c r="AT607" s="46"/>
      <c r="AU607" s="46" t="s">
        <v>376</v>
      </c>
      <c r="AV607" s="46"/>
      <c r="AW607" s="46" t="s">
        <v>30</v>
      </c>
      <c r="AX607" s="46"/>
      <c r="AY607" s="46"/>
      <c r="AZ607" s="46" t="s">
        <v>30</v>
      </c>
      <c r="BA607" s="54"/>
      <c r="BB607" s="51"/>
      <c r="BC607" s="46" t="s">
        <v>30</v>
      </c>
      <c r="BD607" s="46"/>
      <c r="BE607" s="46"/>
      <c r="BF607" s="46">
        <v>1</v>
      </c>
      <c r="BG607" s="46">
        <v>4</v>
      </c>
      <c r="BH607" s="46">
        <v>2</v>
      </c>
      <c r="BI607" s="46" t="s">
        <v>1335</v>
      </c>
      <c r="BJ607" s="46" t="s">
        <v>1321</v>
      </c>
      <c r="BK607" s="46">
        <v>1962</v>
      </c>
      <c r="BL607" s="46" t="str">
        <f>BK607&amp;BI607</f>
        <v>1962Rochdale</v>
      </c>
      <c r="BM607" s="52" t="str">
        <f>IF(AD607="Home",BI607,IF(AD607="Away",BJ607,Q607))</f>
        <v>Norwich City</v>
      </c>
      <c r="BN607" s="46"/>
      <c r="BO607" s="46"/>
      <c r="BP607" s="46"/>
      <c r="BQ607" s="46"/>
      <c r="BR607" s="46"/>
      <c r="BS607" s="46"/>
      <c r="BT607" s="46"/>
      <c r="BU607" s="46"/>
      <c r="BV607" s="46" t="s">
        <v>376</v>
      </c>
      <c r="BW607" s="46" t="s">
        <v>376</v>
      </c>
      <c r="BX607" s="46"/>
      <c r="BZ607" s="53"/>
      <c r="CA607" s="53"/>
      <c r="CB607" s="93" t="str">
        <f>IF(OR(C607="",A607="",B607=""),"",TEXT(C607,"0000")&amp;TEXT(A607,"00")&amp;TEXT(B607,"00"))</f>
        <v>19620501</v>
      </c>
    </row>
    <row r="608" spans="1:80" s="52" customFormat="1" ht="12.95" customHeight="1" x14ac:dyDescent="0.2">
      <c r="A608" s="46">
        <v>5</v>
      </c>
      <c r="B608" s="46">
        <v>5</v>
      </c>
      <c r="C608" s="46">
        <v>1962</v>
      </c>
      <c r="D608" s="46" t="s">
        <v>658</v>
      </c>
      <c r="E608" s="46" t="s">
        <v>572</v>
      </c>
      <c r="F608" s="47" t="s">
        <v>1010</v>
      </c>
      <c r="G608" s="46"/>
      <c r="H608" s="47" t="s">
        <v>1025</v>
      </c>
      <c r="I608" s="47"/>
      <c r="J608" s="48">
        <v>22771</v>
      </c>
      <c r="K608" s="46" t="s">
        <v>813</v>
      </c>
      <c r="L608" s="46" t="s">
        <v>3</v>
      </c>
      <c r="M608" s="46" t="s">
        <v>1255</v>
      </c>
      <c r="N608" s="49">
        <v>3</v>
      </c>
      <c r="O608" s="49">
        <v>1</v>
      </c>
      <c r="P608" s="47" t="s">
        <v>1268</v>
      </c>
      <c r="Q608" s="47" t="s">
        <v>1017</v>
      </c>
      <c r="R608" s="47" t="s">
        <v>376</v>
      </c>
      <c r="S608" s="46"/>
      <c r="T608" s="46"/>
      <c r="U608" s="46"/>
      <c r="V608" s="46"/>
      <c r="W608" s="46"/>
      <c r="X608" s="46"/>
      <c r="Y608" s="46"/>
      <c r="Z608" s="46"/>
      <c r="AA608" s="46"/>
      <c r="AB608" s="46"/>
      <c r="AC608" s="46"/>
      <c r="AD608" s="46"/>
      <c r="AE608" s="50">
        <f>IF(L608="W",1,0)</f>
        <v>1</v>
      </c>
      <c r="AF608" s="50">
        <f>IF(L608="T",1,0)</f>
        <v>0</v>
      </c>
      <c r="AG608" s="50">
        <f>IF(L608="L",1,0)</f>
        <v>0</v>
      </c>
      <c r="AH608" s="46" t="s">
        <v>1017</v>
      </c>
      <c r="AI608" s="46" t="s">
        <v>1018</v>
      </c>
      <c r="AJ608" s="46" t="s">
        <v>376</v>
      </c>
      <c r="AK608" s="46" t="s">
        <v>658</v>
      </c>
      <c r="AL608" s="46" t="s">
        <v>1255</v>
      </c>
      <c r="AM608" s="46" t="s">
        <v>1086</v>
      </c>
      <c r="AN608" s="46" t="s">
        <v>376</v>
      </c>
      <c r="AO608" s="46" t="s">
        <v>658</v>
      </c>
      <c r="AP608" s="46"/>
      <c r="AQ608" s="46">
        <v>1</v>
      </c>
      <c r="AR608" s="46"/>
      <c r="AS608" s="46"/>
      <c r="AT608" s="46"/>
      <c r="AU608" s="46" t="s">
        <v>376</v>
      </c>
      <c r="AV608" s="46"/>
      <c r="AW608" s="46" t="s">
        <v>30</v>
      </c>
      <c r="AX608" s="46"/>
      <c r="AY608" s="46" t="s">
        <v>30</v>
      </c>
      <c r="AZ608" s="46"/>
      <c r="BA608" s="47"/>
      <c r="BB608" s="51" t="s">
        <v>30</v>
      </c>
      <c r="BC608" s="46" t="s">
        <v>30</v>
      </c>
      <c r="BD608" s="46"/>
      <c r="BE608" s="46"/>
      <c r="BF608" s="46">
        <v>1</v>
      </c>
      <c r="BG608" s="46">
        <v>1</v>
      </c>
      <c r="BH608" s="46">
        <v>1</v>
      </c>
      <c r="BI608" s="46" t="s">
        <v>813</v>
      </c>
      <c r="BJ608" s="46" t="s">
        <v>1255</v>
      </c>
      <c r="BK608" s="46">
        <v>1962</v>
      </c>
      <c r="BL608" s="46" t="str">
        <f>BK608&amp;BI608</f>
        <v>1962Tottenham Hotspur</v>
      </c>
      <c r="BM608" s="52" t="str">
        <f>IF(AD608="Home",BI608,IF(AD608="Away",BJ608,Q608))</f>
        <v>London</v>
      </c>
      <c r="BN608" s="46"/>
      <c r="BO608" s="46"/>
      <c r="BP608" s="46"/>
      <c r="BQ608" s="46"/>
      <c r="BR608" s="46"/>
      <c r="BS608" s="46"/>
      <c r="BT608" s="46"/>
      <c r="BU608" s="46"/>
      <c r="BV608" s="46" t="s">
        <v>376</v>
      </c>
      <c r="BW608" s="46" t="s">
        <v>376</v>
      </c>
      <c r="BX608" s="46"/>
      <c r="BZ608" s="53"/>
      <c r="CA608" s="53"/>
      <c r="CB608" s="93" t="str">
        <f>IF(OR(C608="",A608="",B608=""),"",TEXT(C608,"0000")&amp;TEXT(A608,"00")&amp;TEXT(B608,"00"))</f>
        <v>19620505</v>
      </c>
    </row>
    <row r="609" spans="1:80" s="52" customFormat="1" ht="12.95" customHeight="1" x14ac:dyDescent="0.2">
      <c r="A609" s="46">
        <v>5</v>
      </c>
      <c r="B609" s="46">
        <v>5</v>
      </c>
      <c r="C609" s="46">
        <v>1962</v>
      </c>
      <c r="D609" s="46" t="s">
        <v>658</v>
      </c>
      <c r="E609" s="46" t="s">
        <v>572</v>
      </c>
      <c r="F609" s="47" t="s">
        <v>1010</v>
      </c>
      <c r="G609" s="46"/>
      <c r="H609" s="47" t="s">
        <v>1025</v>
      </c>
      <c r="I609" s="47"/>
      <c r="J609" s="48">
        <v>22771</v>
      </c>
      <c r="K609" s="46" t="s">
        <v>1255</v>
      </c>
      <c r="L609" s="46" t="s">
        <v>4</v>
      </c>
      <c r="M609" s="46" t="s">
        <v>813</v>
      </c>
      <c r="N609" s="49">
        <v>1</v>
      </c>
      <c r="O609" s="49">
        <v>3</v>
      </c>
      <c r="P609" s="47" t="s">
        <v>1268</v>
      </c>
      <c r="Q609" s="47" t="s">
        <v>1017</v>
      </c>
      <c r="R609" s="47" t="s">
        <v>376</v>
      </c>
      <c r="S609" s="46"/>
      <c r="T609" s="46"/>
      <c r="U609" s="46"/>
      <c r="V609" s="46"/>
      <c r="W609" s="46"/>
      <c r="X609" s="46"/>
      <c r="Y609" s="46"/>
      <c r="Z609" s="46"/>
      <c r="AA609" s="46"/>
      <c r="AB609" s="46"/>
      <c r="AC609" s="46"/>
      <c r="AD609" s="46"/>
      <c r="AE609" s="50">
        <f>IF(L609="W",1,0)</f>
        <v>0</v>
      </c>
      <c r="AF609" s="50">
        <f>IF(L609="T",1,0)</f>
        <v>0</v>
      </c>
      <c r="AG609" s="50">
        <f>IF(L609="L",1,0)</f>
        <v>1</v>
      </c>
      <c r="AH609" s="46" t="s">
        <v>1255</v>
      </c>
      <c r="AI609" s="46" t="s">
        <v>1086</v>
      </c>
      <c r="AJ609" s="46" t="s">
        <v>376</v>
      </c>
      <c r="AK609" s="46" t="s">
        <v>658</v>
      </c>
      <c r="AL609" s="46" t="s">
        <v>1017</v>
      </c>
      <c r="AM609" s="46" t="s">
        <v>1018</v>
      </c>
      <c r="AN609" s="46" t="s">
        <v>376</v>
      </c>
      <c r="AO609" s="46" t="s">
        <v>658</v>
      </c>
      <c r="AP609" s="46"/>
      <c r="AQ609" s="46">
        <v>1</v>
      </c>
      <c r="AR609" s="46"/>
      <c r="AS609" s="46"/>
      <c r="AT609" s="46"/>
      <c r="AU609" s="46" t="s">
        <v>376</v>
      </c>
      <c r="AV609" s="46"/>
      <c r="AW609" s="46" t="s">
        <v>30</v>
      </c>
      <c r="AX609" s="46"/>
      <c r="AY609" s="46" t="s">
        <v>30</v>
      </c>
      <c r="AZ609" s="46"/>
      <c r="BA609" s="47"/>
      <c r="BB609" s="51"/>
      <c r="BC609" s="46" t="s">
        <v>30</v>
      </c>
      <c r="BD609" s="46"/>
      <c r="BE609" s="46"/>
      <c r="BF609" s="46">
        <v>1</v>
      </c>
      <c r="BG609" s="46">
        <v>1</v>
      </c>
      <c r="BH609" s="46">
        <v>1</v>
      </c>
      <c r="BI609" s="46" t="s">
        <v>1255</v>
      </c>
      <c r="BJ609" s="46" t="s">
        <v>813</v>
      </c>
      <c r="BK609" s="46">
        <v>1962</v>
      </c>
      <c r="BL609" s="46" t="str">
        <f>BK609&amp;BI609</f>
        <v>1962Burnley</v>
      </c>
      <c r="BM609" s="52" t="str">
        <f>IF(AD609="Home",BI609,IF(AD609="Away",BJ609,Q609))</f>
        <v>London</v>
      </c>
      <c r="BN609" s="46"/>
      <c r="BO609" s="46"/>
      <c r="BP609" s="46"/>
      <c r="BQ609" s="46"/>
      <c r="BR609" s="46"/>
      <c r="BS609" s="46"/>
      <c r="BT609" s="46"/>
      <c r="BU609" s="46"/>
      <c r="BV609" s="46" t="s">
        <v>376</v>
      </c>
      <c r="BW609" s="46" t="s">
        <v>376</v>
      </c>
      <c r="BX609" s="46"/>
      <c r="BZ609" s="53"/>
      <c r="CA609" s="53"/>
      <c r="CB609" s="93" t="str">
        <f>IF(OR(C609="",A609="",B609=""),"",TEXT(C609,"0000")&amp;TEXT(A609,"00")&amp;TEXT(B609,"00"))</f>
        <v>19620505</v>
      </c>
    </row>
    <row r="610" spans="1:80" s="52" customFormat="1" ht="12.95" customHeight="1" x14ac:dyDescent="0.2">
      <c r="A610" s="46">
        <v>1</v>
      </c>
      <c r="B610" s="46">
        <v>12</v>
      </c>
      <c r="C610" s="46">
        <v>1963</v>
      </c>
      <c r="D610" s="46" t="s">
        <v>658</v>
      </c>
      <c r="E610" s="46" t="s">
        <v>570</v>
      </c>
      <c r="F610" s="54" t="s">
        <v>1327</v>
      </c>
      <c r="G610" s="46"/>
      <c r="H610" s="54" t="s">
        <v>1011</v>
      </c>
      <c r="I610" s="54">
        <v>1</v>
      </c>
      <c r="J610" s="55">
        <v>23023</v>
      </c>
      <c r="K610" s="46" t="s">
        <v>793</v>
      </c>
      <c r="L610" s="46" t="s">
        <v>4</v>
      </c>
      <c r="M610" s="46" t="s">
        <v>806</v>
      </c>
      <c r="N610" s="49">
        <v>1</v>
      </c>
      <c r="O610" s="49">
        <v>3</v>
      </c>
      <c r="P610" s="54" t="s">
        <v>1318</v>
      </c>
      <c r="Q610" s="54" t="s">
        <v>793</v>
      </c>
      <c r="R610" s="54" t="s">
        <v>376</v>
      </c>
      <c r="S610" s="46"/>
      <c r="T610" s="46"/>
      <c r="U610" s="46"/>
      <c r="V610" s="46"/>
      <c r="W610" s="46"/>
      <c r="X610" s="46"/>
      <c r="Y610" s="46"/>
      <c r="Z610" s="46"/>
      <c r="AA610" s="46"/>
      <c r="AB610" s="46"/>
      <c r="AC610" s="46"/>
      <c r="AD610" s="46" t="s">
        <v>1033</v>
      </c>
      <c r="AE610" s="50">
        <f>IF(L610="W",1,0)</f>
        <v>0</v>
      </c>
      <c r="AF610" s="50">
        <f>IF(L610="T",1,0)</f>
        <v>0</v>
      </c>
      <c r="AG610" s="50">
        <f>IF(L610="L",1,0)</f>
        <v>1</v>
      </c>
      <c r="AH610" s="46"/>
      <c r="AI610" s="46"/>
      <c r="AJ610" s="46" t="s">
        <v>376</v>
      </c>
      <c r="AK610" s="46" t="s">
        <v>658</v>
      </c>
      <c r="AL610" s="46"/>
      <c r="AM610" s="46"/>
      <c r="AN610" s="46" t="s">
        <v>376</v>
      </c>
      <c r="AO610" s="46" t="s">
        <v>658</v>
      </c>
      <c r="AP610" s="46"/>
      <c r="AQ610" s="46">
        <v>2</v>
      </c>
      <c r="AR610" s="46"/>
      <c r="AS610" s="46"/>
      <c r="AT610" s="46"/>
      <c r="AU610" s="46" t="s">
        <v>376</v>
      </c>
      <c r="AV610" s="46"/>
      <c r="AW610" s="46" t="s">
        <v>30</v>
      </c>
      <c r="AX610" s="46"/>
      <c r="AY610" s="46"/>
      <c r="AZ610" s="46" t="s">
        <v>30</v>
      </c>
      <c r="BA610" s="54"/>
      <c r="BB610" s="51"/>
      <c r="BC610" s="46"/>
      <c r="BD610" s="46"/>
      <c r="BE610" s="46"/>
      <c r="BF610" s="46">
        <v>1</v>
      </c>
      <c r="BG610" s="46">
        <v>2</v>
      </c>
      <c r="BH610" s="46">
        <v>1</v>
      </c>
      <c r="BI610" s="46" t="s">
        <v>793</v>
      </c>
      <c r="BJ610" s="46" t="s">
        <v>806</v>
      </c>
      <c r="BK610" s="46">
        <v>1963</v>
      </c>
      <c r="BL610" s="46" t="str">
        <f>BK610&amp;BI610</f>
        <v>1963Sunderland</v>
      </c>
      <c r="BM610" s="52" t="str">
        <f>IF(AD610="Home",BI610,IF(AD610="Away",BJ610,Q610))</f>
        <v>Sunderland</v>
      </c>
      <c r="BN610" s="46"/>
      <c r="BO610" s="46"/>
      <c r="BP610" s="46"/>
      <c r="BQ610" s="46"/>
      <c r="BR610" s="46"/>
      <c r="BS610" s="46"/>
      <c r="BT610" s="46"/>
      <c r="BU610" s="46"/>
      <c r="BV610" s="46" t="s">
        <v>376</v>
      </c>
      <c r="BW610" s="46" t="s">
        <v>376</v>
      </c>
      <c r="BX610" s="46"/>
      <c r="BY610" s="50"/>
      <c r="BZ610" s="53"/>
      <c r="CA610" s="53"/>
      <c r="CB610" s="93" t="str">
        <f>IF(OR(C610="",A610="",B610=""),"",TEXT(C610,"0000")&amp;TEXT(A610,"00")&amp;TEXT(B610,"00"))</f>
        <v>19630112</v>
      </c>
    </row>
    <row r="611" spans="1:80" s="52" customFormat="1" ht="12.95" customHeight="1" x14ac:dyDescent="0.2">
      <c r="A611" s="46">
        <v>1</v>
      </c>
      <c r="B611" s="46">
        <v>12</v>
      </c>
      <c r="C611" s="46">
        <v>1963</v>
      </c>
      <c r="D611" s="46" t="s">
        <v>658</v>
      </c>
      <c r="E611" s="46" t="s">
        <v>570</v>
      </c>
      <c r="F611" s="54" t="s">
        <v>1327</v>
      </c>
      <c r="G611" s="46"/>
      <c r="H611" s="54" t="s">
        <v>1011</v>
      </c>
      <c r="I611" s="54">
        <v>1</v>
      </c>
      <c r="J611" s="55">
        <v>23023</v>
      </c>
      <c r="K611" s="46" t="s">
        <v>806</v>
      </c>
      <c r="L611" s="46" t="s">
        <v>3</v>
      </c>
      <c r="M611" s="46" t="s">
        <v>793</v>
      </c>
      <c r="N611" s="49">
        <v>3</v>
      </c>
      <c r="O611" s="49">
        <v>1</v>
      </c>
      <c r="P611" s="54" t="s">
        <v>1318</v>
      </c>
      <c r="Q611" s="54" t="s">
        <v>793</v>
      </c>
      <c r="R611" s="54" t="s">
        <v>376</v>
      </c>
      <c r="S611" s="46"/>
      <c r="T611" s="46"/>
      <c r="U611" s="46"/>
      <c r="V611" s="46"/>
      <c r="W611" s="46"/>
      <c r="X611" s="46"/>
      <c r="Y611" s="46"/>
      <c r="Z611" s="46"/>
      <c r="AA611" s="46"/>
      <c r="AB611" s="46"/>
      <c r="AC611" s="46"/>
      <c r="AD611" s="46" t="s">
        <v>1037</v>
      </c>
      <c r="AE611" s="50">
        <f>IF(L611="W",1,0)</f>
        <v>1</v>
      </c>
      <c r="AF611" s="50">
        <f>IF(L611="T",1,0)</f>
        <v>0</v>
      </c>
      <c r="AG611" s="50">
        <f>IF(L611="L",1,0)</f>
        <v>0</v>
      </c>
      <c r="AH611" s="46"/>
      <c r="AI611" s="46"/>
      <c r="AJ611" s="46" t="s">
        <v>376</v>
      </c>
      <c r="AK611" s="46" t="s">
        <v>658</v>
      </c>
      <c r="AL611" s="46"/>
      <c r="AM611" s="46"/>
      <c r="AN611" s="46" t="s">
        <v>376</v>
      </c>
      <c r="AO611" s="46" t="s">
        <v>658</v>
      </c>
      <c r="AP611" s="46"/>
      <c r="AQ611" s="46">
        <v>2</v>
      </c>
      <c r="AR611" s="46"/>
      <c r="AS611" s="46"/>
      <c r="AT611" s="46"/>
      <c r="AU611" s="46" t="s">
        <v>376</v>
      </c>
      <c r="AV611" s="46"/>
      <c r="AW611" s="46" t="s">
        <v>30</v>
      </c>
      <c r="AX611" s="46"/>
      <c r="AY611" s="46"/>
      <c r="AZ611" s="46" t="s">
        <v>30</v>
      </c>
      <c r="BA611" s="54"/>
      <c r="BB611" s="51"/>
      <c r="BC611" s="46"/>
      <c r="BD611" s="46"/>
      <c r="BE611" s="46"/>
      <c r="BF611" s="46">
        <v>1</v>
      </c>
      <c r="BG611" s="46">
        <v>1</v>
      </c>
      <c r="BH611" s="46">
        <v>2</v>
      </c>
      <c r="BI611" s="46" t="s">
        <v>806</v>
      </c>
      <c r="BJ611" s="46" t="s">
        <v>793</v>
      </c>
      <c r="BK611" s="46">
        <v>1963</v>
      </c>
      <c r="BL611" s="46" t="str">
        <f>BK611&amp;BI611</f>
        <v>1963Aston Villa</v>
      </c>
      <c r="BM611" s="52" t="str">
        <f>IF(AD611="Home",BI611,IF(AD611="Away",BJ611,Q611))</f>
        <v>Sunderland</v>
      </c>
      <c r="BN611" s="46"/>
      <c r="BO611" s="46"/>
      <c r="BP611" s="46"/>
      <c r="BQ611" s="46"/>
      <c r="BR611" s="46"/>
      <c r="BS611" s="46"/>
      <c r="BT611" s="46"/>
      <c r="BU611" s="46"/>
      <c r="BV611" s="46" t="s">
        <v>376</v>
      </c>
      <c r="BW611" s="46" t="s">
        <v>376</v>
      </c>
      <c r="BX611" s="46"/>
      <c r="BY611" s="50"/>
      <c r="BZ611" s="53"/>
      <c r="CA611" s="53"/>
      <c r="CB611" s="93" t="str">
        <f>IF(OR(C611="",A611="",B611=""),"",TEXT(C611,"0000")&amp;TEXT(A611,"00")&amp;TEXT(B611,"00"))</f>
        <v>19630112</v>
      </c>
    </row>
    <row r="612" spans="1:80" s="52" customFormat="1" ht="12.95" customHeight="1" x14ac:dyDescent="0.2">
      <c r="A612" s="46">
        <v>3</v>
      </c>
      <c r="B612" s="46">
        <v>27</v>
      </c>
      <c r="C612" s="46">
        <v>1963</v>
      </c>
      <c r="D612" s="46" t="s">
        <v>658</v>
      </c>
      <c r="E612" s="46" t="s">
        <v>570</v>
      </c>
      <c r="F612" s="54" t="s">
        <v>1327</v>
      </c>
      <c r="G612" s="46"/>
      <c r="H612" s="54" t="s">
        <v>1011</v>
      </c>
      <c r="I612" s="54">
        <v>1</v>
      </c>
      <c r="J612" s="55">
        <v>23097</v>
      </c>
      <c r="K612" s="46" t="s">
        <v>1125</v>
      </c>
      <c r="L612" s="46" t="s">
        <v>3</v>
      </c>
      <c r="M612" s="46" t="s">
        <v>1215</v>
      </c>
      <c r="N612" s="49">
        <v>3</v>
      </c>
      <c r="O612" s="49">
        <v>2</v>
      </c>
      <c r="P612" s="54" t="s">
        <v>1232</v>
      </c>
      <c r="Q612" s="54" t="s">
        <v>1111</v>
      </c>
      <c r="R612" s="54" t="s">
        <v>376</v>
      </c>
      <c r="S612" s="46"/>
      <c r="T612" s="46"/>
      <c r="U612" s="46"/>
      <c r="V612" s="46"/>
      <c r="W612" s="46"/>
      <c r="X612" s="46"/>
      <c r="Y612" s="46"/>
      <c r="Z612" s="46"/>
      <c r="AA612" s="46"/>
      <c r="AB612" s="46"/>
      <c r="AC612" s="46"/>
      <c r="AD612" s="46" t="s">
        <v>1033</v>
      </c>
      <c r="AE612" s="50">
        <f>IF(L612="W",1,0)</f>
        <v>1</v>
      </c>
      <c r="AF612" s="50">
        <f>IF(L612="T",1,0)</f>
        <v>0</v>
      </c>
      <c r="AG612" s="50">
        <f>IF(L612="L",1,0)</f>
        <v>0</v>
      </c>
      <c r="AH612" s="46"/>
      <c r="AI612" s="46"/>
      <c r="AJ612" s="46" t="s">
        <v>376</v>
      </c>
      <c r="AK612" s="46" t="s">
        <v>658</v>
      </c>
      <c r="AL612" s="46"/>
      <c r="AM612" s="46"/>
      <c r="AN612" s="46" t="s">
        <v>376</v>
      </c>
      <c r="AO612" s="46" t="s">
        <v>658</v>
      </c>
      <c r="AP612" s="46"/>
      <c r="AQ612" s="46">
        <v>2</v>
      </c>
      <c r="AR612" s="46"/>
      <c r="AS612" s="46"/>
      <c r="AT612" s="46"/>
      <c r="AU612" s="46" t="s">
        <v>376</v>
      </c>
      <c r="AV612" s="46"/>
      <c r="AW612" s="46" t="s">
        <v>30</v>
      </c>
      <c r="AX612" s="46"/>
      <c r="AY612" s="46"/>
      <c r="AZ612" s="46" t="s">
        <v>30</v>
      </c>
      <c r="BA612" s="54"/>
      <c r="BB612" s="51"/>
      <c r="BC612" s="46"/>
      <c r="BD612" s="46"/>
      <c r="BE612" s="46"/>
      <c r="BF612" s="46">
        <v>1</v>
      </c>
      <c r="BG612" s="46">
        <v>1</v>
      </c>
      <c r="BH612" s="46">
        <v>2</v>
      </c>
      <c r="BI612" s="46" t="s">
        <v>1125</v>
      </c>
      <c r="BJ612" s="46" t="s">
        <v>1215</v>
      </c>
      <c r="BK612" s="46">
        <v>1963</v>
      </c>
      <c r="BL612" s="46" t="str">
        <f>BK612&amp;BI612</f>
        <v>1963Birmingham City</v>
      </c>
      <c r="BM612" s="52" t="str">
        <f>IF(AD612="Home",BI612,IF(AD612="Away",BJ612,Q612))</f>
        <v>Birmingham City</v>
      </c>
      <c r="BN612" s="46"/>
      <c r="BO612" s="46"/>
      <c r="BP612" s="46"/>
      <c r="BQ612" s="46"/>
      <c r="BR612" s="46"/>
      <c r="BS612" s="46"/>
      <c r="BT612" s="46"/>
      <c r="BU612" s="46"/>
      <c r="BV612" s="46" t="s">
        <v>376</v>
      </c>
      <c r="BW612" s="46" t="s">
        <v>376</v>
      </c>
      <c r="BX612" s="46"/>
      <c r="BZ612" s="53"/>
      <c r="CA612" s="53"/>
      <c r="CB612" s="93" t="str">
        <f>IF(OR(C612="",A612="",B612=""),"",TEXT(C612,"0000")&amp;TEXT(A612,"00")&amp;TEXT(B612,"00"))</f>
        <v>19630327</v>
      </c>
    </row>
    <row r="613" spans="1:80" s="52" customFormat="1" ht="12.95" customHeight="1" x14ac:dyDescent="0.2">
      <c r="A613" s="46">
        <v>3</v>
      </c>
      <c r="B613" s="46">
        <v>27</v>
      </c>
      <c r="C613" s="46">
        <v>1963</v>
      </c>
      <c r="D613" s="46" t="s">
        <v>658</v>
      </c>
      <c r="E613" s="46" t="s">
        <v>570</v>
      </c>
      <c r="F613" s="54" t="s">
        <v>1327</v>
      </c>
      <c r="G613" s="46"/>
      <c r="H613" s="54" t="s">
        <v>1011</v>
      </c>
      <c r="I613" s="54">
        <v>1</v>
      </c>
      <c r="J613" s="55">
        <v>23097</v>
      </c>
      <c r="K613" s="46" t="s">
        <v>1215</v>
      </c>
      <c r="L613" s="46" t="s">
        <v>4</v>
      </c>
      <c r="M613" s="46" t="s">
        <v>1125</v>
      </c>
      <c r="N613" s="49">
        <v>2</v>
      </c>
      <c r="O613" s="49">
        <v>3</v>
      </c>
      <c r="P613" s="54" t="s">
        <v>1232</v>
      </c>
      <c r="Q613" s="54" t="s">
        <v>1111</v>
      </c>
      <c r="R613" s="54" t="s">
        <v>376</v>
      </c>
      <c r="S613" s="46"/>
      <c r="T613" s="46"/>
      <c r="U613" s="46"/>
      <c r="V613" s="46"/>
      <c r="W613" s="46"/>
      <c r="X613" s="46"/>
      <c r="Y613" s="46"/>
      <c r="Z613" s="46"/>
      <c r="AA613" s="46"/>
      <c r="AB613" s="46"/>
      <c r="AC613" s="46"/>
      <c r="AD613" s="46" t="s">
        <v>1037</v>
      </c>
      <c r="AE613" s="50">
        <f>IF(L613="W",1,0)</f>
        <v>0</v>
      </c>
      <c r="AF613" s="50">
        <f>IF(L613="T",1,0)</f>
        <v>0</v>
      </c>
      <c r="AG613" s="50">
        <f>IF(L613="L",1,0)</f>
        <v>1</v>
      </c>
      <c r="AH613" s="46"/>
      <c r="AI613" s="46"/>
      <c r="AJ613" s="46" t="s">
        <v>376</v>
      </c>
      <c r="AK613" s="46" t="s">
        <v>658</v>
      </c>
      <c r="AL613" s="46"/>
      <c r="AM613" s="46"/>
      <c r="AN613" s="46" t="s">
        <v>376</v>
      </c>
      <c r="AO613" s="46" t="s">
        <v>658</v>
      </c>
      <c r="AP613" s="46"/>
      <c r="AQ613" s="46">
        <v>2</v>
      </c>
      <c r="AR613" s="46"/>
      <c r="AS613" s="46"/>
      <c r="AT613" s="46"/>
      <c r="AU613" s="46" t="s">
        <v>376</v>
      </c>
      <c r="AV613" s="46"/>
      <c r="AW613" s="46" t="s">
        <v>30</v>
      </c>
      <c r="AX613" s="46"/>
      <c r="AY613" s="46"/>
      <c r="AZ613" s="46" t="s">
        <v>30</v>
      </c>
      <c r="BA613" s="54"/>
      <c r="BB613" s="51"/>
      <c r="BC613" s="46"/>
      <c r="BD613" s="46"/>
      <c r="BE613" s="46"/>
      <c r="BF613" s="46">
        <v>1</v>
      </c>
      <c r="BG613" s="46">
        <v>2</v>
      </c>
      <c r="BH613" s="46">
        <v>1</v>
      </c>
      <c r="BI613" s="46" t="s">
        <v>1215</v>
      </c>
      <c r="BJ613" s="46" t="s">
        <v>1125</v>
      </c>
      <c r="BK613" s="46">
        <v>1963</v>
      </c>
      <c r="BL613" s="46" t="str">
        <f>BK613&amp;BI613</f>
        <v>1963Bury</v>
      </c>
      <c r="BM613" s="52" t="str">
        <f>IF(AD613="Home",BI613,IF(AD613="Away",BJ613,Q613))</f>
        <v>Birmingham City</v>
      </c>
      <c r="BN613" s="46"/>
      <c r="BO613" s="46"/>
      <c r="BP613" s="46"/>
      <c r="BQ613" s="46"/>
      <c r="BR613" s="46"/>
      <c r="BS613" s="46"/>
      <c r="BT613" s="46"/>
      <c r="BU613" s="46"/>
      <c r="BV613" s="46" t="s">
        <v>376</v>
      </c>
      <c r="BW613" s="46" t="s">
        <v>376</v>
      </c>
      <c r="BX613" s="46"/>
      <c r="BZ613" s="53"/>
      <c r="CA613" s="53"/>
      <c r="CB613" s="93" t="str">
        <f>IF(OR(C613="",A613="",B613=""),"",TEXT(C613,"0000")&amp;TEXT(A613,"00")&amp;TEXT(B613,"00"))</f>
        <v>19630327</v>
      </c>
    </row>
    <row r="614" spans="1:80" s="52" customFormat="1" ht="12.95" customHeight="1" x14ac:dyDescent="0.2">
      <c r="A614" s="46">
        <v>4</v>
      </c>
      <c r="B614" s="46">
        <v>8</v>
      </c>
      <c r="C614" s="46">
        <v>1963</v>
      </c>
      <c r="D614" s="46" t="s">
        <v>658</v>
      </c>
      <c r="E614" s="46" t="s">
        <v>570</v>
      </c>
      <c r="F614" s="54" t="s">
        <v>1327</v>
      </c>
      <c r="G614" s="46"/>
      <c r="H614" s="54" t="s">
        <v>1011</v>
      </c>
      <c r="I614" s="54">
        <v>2</v>
      </c>
      <c r="J614" s="55">
        <v>23109</v>
      </c>
      <c r="K614" s="46" t="s">
        <v>1215</v>
      </c>
      <c r="L614" s="46" t="s">
        <v>1014</v>
      </c>
      <c r="M614" s="46" t="s">
        <v>1125</v>
      </c>
      <c r="N614" s="49">
        <v>1</v>
      </c>
      <c r="O614" s="49">
        <v>1</v>
      </c>
      <c r="P614" s="54" t="s">
        <v>1339</v>
      </c>
      <c r="Q614" s="54" t="s">
        <v>1101</v>
      </c>
      <c r="R614" s="54" t="s">
        <v>376</v>
      </c>
      <c r="S614" s="46"/>
      <c r="T614" s="46"/>
      <c r="U614" s="46"/>
      <c r="V614" s="46"/>
      <c r="W614" s="46"/>
      <c r="X614" s="46"/>
      <c r="Y614" s="46"/>
      <c r="Z614" s="46"/>
      <c r="AA614" s="46"/>
      <c r="AB614" s="46"/>
      <c r="AC614" s="46"/>
      <c r="AD614" s="46" t="s">
        <v>1033</v>
      </c>
      <c r="AE614" s="50">
        <f>IF(L614="W",1,0)</f>
        <v>0</v>
      </c>
      <c r="AF614" s="50">
        <f>IF(L614="T",1,0)</f>
        <v>1</v>
      </c>
      <c r="AG614" s="50">
        <f>IF(L614="L",1,0)</f>
        <v>0</v>
      </c>
      <c r="AH614" s="46"/>
      <c r="AI614" s="46"/>
      <c r="AJ614" s="46" t="s">
        <v>376</v>
      </c>
      <c r="AK614" s="46" t="s">
        <v>658</v>
      </c>
      <c r="AL614" s="46"/>
      <c r="AM614" s="46"/>
      <c r="AN614" s="46" t="s">
        <v>376</v>
      </c>
      <c r="AO614" s="46" t="s">
        <v>658</v>
      </c>
      <c r="AP614" s="46"/>
      <c r="AQ614" s="46">
        <v>2</v>
      </c>
      <c r="AR614" s="46"/>
      <c r="AS614" s="46"/>
      <c r="AT614" s="46"/>
      <c r="AU614" s="46" t="s">
        <v>376</v>
      </c>
      <c r="AV614" s="46"/>
      <c r="AW614" s="46" t="s">
        <v>30</v>
      </c>
      <c r="AX614" s="46"/>
      <c r="AY614" s="46"/>
      <c r="AZ614" s="46" t="s">
        <v>30</v>
      </c>
      <c r="BA614" s="54"/>
      <c r="BB614" s="51"/>
      <c r="BC614" s="46"/>
      <c r="BD614" s="46"/>
      <c r="BE614" s="46"/>
      <c r="BF614" s="46">
        <v>1</v>
      </c>
      <c r="BG614" s="46">
        <v>2</v>
      </c>
      <c r="BH614" s="46">
        <v>1</v>
      </c>
      <c r="BI614" s="46" t="s">
        <v>1215</v>
      </c>
      <c r="BJ614" s="46" t="s">
        <v>1125</v>
      </c>
      <c r="BK614" s="46">
        <v>1963</v>
      </c>
      <c r="BL614" s="46" t="str">
        <f>BK614&amp;BI614</f>
        <v>1963Bury</v>
      </c>
      <c r="BM614" s="52" t="str">
        <f>IF(AD614="Home",BI614,IF(AD614="Away",BJ614,Q614))</f>
        <v>Bury</v>
      </c>
      <c r="BN614" s="46"/>
      <c r="BO614" s="46"/>
      <c r="BP614" s="46"/>
      <c r="BQ614" s="46"/>
      <c r="BR614" s="46"/>
      <c r="BS614" s="46"/>
      <c r="BT614" s="46"/>
      <c r="BU614" s="46"/>
      <c r="BV614" s="46" t="s">
        <v>376</v>
      </c>
      <c r="BW614" s="46" t="s">
        <v>376</v>
      </c>
      <c r="BX614" s="46"/>
      <c r="BZ614" s="53"/>
      <c r="CA614" s="53"/>
      <c r="CB614" s="93" t="str">
        <f>IF(OR(C614="",A614="",B614=""),"",TEXT(C614,"0000")&amp;TEXT(A614,"00")&amp;TEXT(B614,"00"))</f>
        <v>19630408</v>
      </c>
    </row>
    <row r="615" spans="1:80" s="52" customFormat="1" ht="12.95" customHeight="1" x14ac:dyDescent="0.2">
      <c r="A615" s="46">
        <v>4</v>
      </c>
      <c r="B615" s="46">
        <v>8</v>
      </c>
      <c r="C615" s="46">
        <v>1963</v>
      </c>
      <c r="D615" s="46" t="s">
        <v>658</v>
      </c>
      <c r="E615" s="46" t="s">
        <v>570</v>
      </c>
      <c r="F615" s="54" t="s">
        <v>1327</v>
      </c>
      <c r="G615" s="46"/>
      <c r="H615" s="54" t="s">
        <v>1011</v>
      </c>
      <c r="I615" s="54">
        <v>2</v>
      </c>
      <c r="J615" s="55">
        <v>23109</v>
      </c>
      <c r="K615" s="46" t="s">
        <v>1125</v>
      </c>
      <c r="L615" s="46" t="s">
        <v>1014</v>
      </c>
      <c r="M615" s="46" t="s">
        <v>1215</v>
      </c>
      <c r="N615" s="49">
        <v>1</v>
      </c>
      <c r="O615" s="49">
        <v>1</v>
      </c>
      <c r="P615" s="54" t="s">
        <v>1339</v>
      </c>
      <c r="Q615" s="54" t="s">
        <v>1101</v>
      </c>
      <c r="R615" s="54" t="s">
        <v>376</v>
      </c>
      <c r="S615" s="46"/>
      <c r="T615" s="46"/>
      <c r="U615" s="46"/>
      <c r="V615" s="46"/>
      <c r="W615" s="46"/>
      <c r="X615" s="46"/>
      <c r="Y615" s="46"/>
      <c r="Z615" s="46"/>
      <c r="AA615" s="46"/>
      <c r="AB615" s="46"/>
      <c r="AC615" s="46"/>
      <c r="AD615" s="46" t="s">
        <v>1037</v>
      </c>
      <c r="AE615" s="50">
        <f>IF(L615="W",1,0)</f>
        <v>0</v>
      </c>
      <c r="AF615" s="50">
        <f>IF(L615="T",1,0)</f>
        <v>1</v>
      </c>
      <c r="AG615" s="50">
        <f>IF(L615="L",1,0)</f>
        <v>0</v>
      </c>
      <c r="AH615" s="46"/>
      <c r="AI615" s="46"/>
      <c r="AJ615" s="46" t="s">
        <v>376</v>
      </c>
      <c r="AK615" s="46" t="s">
        <v>658</v>
      </c>
      <c r="AL615" s="46"/>
      <c r="AM615" s="46"/>
      <c r="AN615" s="46" t="s">
        <v>376</v>
      </c>
      <c r="AO615" s="46" t="s">
        <v>658</v>
      </c>
      <c r="AP615" s="46"/>
      <c r="AQ615" s="46">
        <v>2</v>
      </c>
      <c r="AR615" s="46"/>
      <c r="AS615" s="46"/>
      <c r="AT615" s="46"/>
      <c r="AU615" s="46" t="s">
        <v>376</v>
      </c>
      <c r="AV615" s="46"/>
      <c r="AW615" s="46" t="s">
        <v>30</v>
      </c>
      <c r="AX615" s="46"/>
      <c r="AY615" s="46"/>
      <c r="AZ615" s="46" t="s">
        <v>30</v>
      </c>
      <c r="BA615" s="54"/>
      <c r="BB615" s="51"/>
      <c r="BC615" s="46"/>
      <c r="BD615" s="46"/>
      <c r="BE615" s="46"/>
      <c r="BF615" s="46">
        <v>1</v>
      </c>
      <c r="BG615" s="46">
        <v>1</v>
      </c>
      <c r="BH615" s="46">
        <v>2</v>
      </c>
      <c r="BI615" s="46" t="s">
        <v>1125</v>
      </c>
      <c r="BJ615" s="46" t="s">
        <v>1215</v>
      </c>
      <c r="BK615" s="46">
        <v>1963</v>
      </c>
      <c r="BL615" s="46" t="str">
        <f>BK615&amp;BI615</f>
        <v>1963Birmingham City</v>
      </c>
      <c r="BM615" s="52" t="str">
        <f>IF(AD615="Home",BI615,IF(AD615="Away",BJ615,Q615))</f>
        <v>Bury</v>
      </c>
      <c r="BN615" s="46"/>
      <c r="BO615" s="46"/>
      <c r="BP615" s="46"/>
      <c r="BQ615" s="46"/>
      <c r="BR615" s="46"/>
      <c r="BS615" s="46"/>
      <c r="BT615" s="46"/>
      <c r="BU615" s="46"/>
      <c r="BV615" s="46" t="s">
        <v>376</v>
      </c>
      <c r="BW615" s="46" t="s">
        <v>376</v>
      </c>
      <c r="BX615" s="46"/>
      <c r="BZ615" s="53"/>
      <c r="CA615" s="53"/>
      <c r="CB615" s="93" t="str">
        <f>IF(OR(C615="",A615="",B615=""),"",TEXT(C615,"0000")&amp;TEXT(A615,"00")&amp;TEXT(B615,"00"))</f>
        <v>19630408</v>
      </c>
    </row>
    <row r="616" spans="1:80" s="52" customFormat="1" ht="12.95" customHeight="1" x14ac:dyDescent="0.2">
      <c r="A616" s="46">
        <v>4</v>
      </c>
      <c r="B616" s="46">
        <v>22</v>
      </c>
      <c r="C616" s="46">
        <v>1963</v>
      </c>
      <c r="D616" s="46" t="s">
        <v>658</v>
      </c>
      <c r="E616" s="46" t="s">
        <v>570</v>
      </c>
      <c r="F616" s="54" t="s">
        <v>1327</v>
      </c>
      <c r="G616" s="46"/>
      <c r="H616" s="54" t="s">
        <v>1011</v>
      </c>
      <c r="I616" s="54">
        <v>2</v>
      </c>
      <c r="J616" s="55">
        <v>23123</v>
      </c>
      <c r="K616" s="46" t="s">
        <v>806</v>
      </c>
      <c r="L616" s="46" t="s">
        <v>1014</v>
      </c>
      <c r="M616" s="46" t="s">
        <v>793</v>
      </c>
      <c r="N616" s="49">
        <v>0</v>
      </c>
      <c r="O616" s="49">
        <v>0</v>
      </c>
      <c r="P616" s="54" t="s">
        <v>1219</v>
      </c>
      <c r="Q616" s="54" t="s">
        <v>1111</v>
      </c>
      <c r="R616" s="54" t="s">
        <v>376</v>
      </c>
      <c r="S616" s="46"/>
      <c r="T616" s="46"/>
      <c r="U616" s="46"/>
      <c r="V616" s="46"/>
      <c r="W616" s="46"/>
      <c r="X616" s="46"/>
      <c r="Y616" s="46"/>
      <c r="Z616" s="46"/>
      <c r="AA616" s="46"/>
      <c r="AB616" s="46"/>
      <c r="AC616" s="46"/>
      <c r="AD616" s="46" t="s">
        <v>1033</v>
      </c>
      <c r="AE616" s="50">
        <f>IF(L616="W",1,0)</f>
        <v>0</v>
      </c>
      <c r="AF616" s="50">
        <f>IF(L616="T",1,0)</f>
        <v>1</v>
      </c>
      <c r="AG616" s="50">
        <f>IF(L616="L",1,0)</f>
        <v>0</v>
      </c>
      <c r="AH616" s="46"/>
      <c r="AI616" s="46"/>
      <c r="AJ616" s="46" t="s">
        <v>376</v>
      </c>
      <c r="AK616" s="46" t="s">
        <v>658</v>
      </c>
      <c r="AL616" s="46"/>
      <c r="AM616" s="46"/>
      <c r="AN616" s="46" t="s">
        <v>376</v>
      </c>
      <c r="AO616" s="46" t="s">
        <v>658</v>
      </c>
      <c r="AP616" s="46"/>
      <c r="AQ616" s="46">
        <v>2</v>
      </c>
      <c r="AR616" s="46"/>
      <c r="AS616" s="46"/>
      <c r="AT616" s="46"/>
      <c r="AU616" s="46" t="s">
        <v>376</v>
      </c>
      <c r="AV616" s="46"/>
      <c r="AW616" s="46" t="s">
        <v>30</v>
      </c>
      <c r="AX616" s="46"/>
      <c r="AY616" s="46"/>
      <c r="AZ616" s="46" t="s">
        <v>30</v>
      </c>
      <c r="BA616" s="54"/>
      <c r="BB616" s="51"/>
      <c r="BC616" s="46"/>
      <c r="BD616" s="46"/>
      <c r="BE616" s="46"/>
      <c r="BF616" s="46">
        <v>1</v>
      </c>
      <c r="BG616" s="46">
        <v>1</v>
      </c>
      <c r="BH616" s="46">
        <v>2</v>
      </c>
      <c r="BI616" s="46" t="s">
        <v>806</v>
      </c>
      <c r="BJ616" s="46" t="s">
        <v>793</v>
      </c>
      <c r="BK616" s="46">
        <v>1963</v>
      </c>
      <c r="BL616" s="46" t="str">
        <f>BK616&amp;BI616</f>
        <v>1963Aston Villa</v>
      </c>
      <c r="BM616" s="52" t="str">
        <f>IF(AD616="Home",BI616,IF(AD616="Away",BJ616,Q616))</f>
        <v>Aston Villa</v>
      </c>
      <c r="BN616" s="46"/>
      <c r="BO616" s="46"/>
      <c r="BP616" s="46"/>
      <c r="BQ616" s="46"/>
      <c r="BR616" s="46"/>
      <c r="BS616" s="46"/>
      <c r="BT616" s="46"/>
      <c r="BU616" s="46"/>
      <c r="BV616" s="46" t="s">
        <v>376</v>
      </c>
      <c r="BW616" s="46" t="s">
        <v>376</v>
      </c>
      <c r="BX616" s="46"/>
      <c r="BZ616" s="53"/>
      <c r="CA616" s="53"/>
      <c r="CB616" s="93" t="str">
        <f>IF(OR(C616="",A616="",B616=""),"",TEXT(C616,"0000")&amp;TEXT(A616,"00")&amp;TEXT(B616,"00"))</f>
        <v>19630422</v>
      </c>
    </row>
    <row r="617" spans="1:80" s="52" customFormat="1" ht="12.95" customHeight="1" x14ac:dyDescent="0.2">
      <c r="A617" s="46">
        <v>4</v>
      </c>
      <c r="B617" s="46">
        <v>22</v>
      </c>
      <c r="C617" s="46">
        <v>1963</v>
      </c>
      <c r="D617" s="46" t="s">
        <v>658</v>
      </c>
      <c r="E617" s="46" t="s">
        <v>570</v>
      </c>
      <c r="F617" s="54" t="s">
        <v>1327</v>
      </c>
      <c r="G617" s="46"/>
      <c r="H617" s="54" t="s">
        <v>1011</v>
      </c>
      <c r="I617" s="54">
        <v>2</v>
      </c>
      <c r="J617" s="55">
        <v>23123</v>
      </c>
      <c r="K617" s="46" t="s">
        <v>793</v>
      </c>
      <c r="L617" s="46" t="s">
        <v>1014</v>
      </c>
      <c r="M617" s="46" t="s">
        <v>806</v>
      </c>
      <c r="N617" s="49">
        <v>0</v>
      </c>
      <c r="O617" s="49">
        <v>0</v>
      </c>
      <c r="P617" s="54" t="s">
        <v>1219</v>
      </c>
      <c r="Q617" s="54" t="s">
        <v>1111</v>
      </c>
      <c r="R617" s="54" t="s">
        <v>376</v>
      </c>
      <c r="S617" s="46"/>
      <c r="T617" s="46"/>
      <c r="U617" s="46"/>
      <c r="V617" s="46"/>
      <c r="W617" s="46"/>
      <c r="X617" s="46"/>
      <c r="Y617" s="46"/>
      <c r="Z617" s="46"/>
      <c r="AA617" s="46"/>
      <c r="AB617" s="46"/>
      <c r="AC617" s="46"/>
      <c r="AD617" s="46" t="s">
        <v>1037</v>
      </c>
      <c r="AE617" s="50">
        <f>IF(L617="W",1,0)</f>
        <v>0</v>
      </c>
      <c r="AF617" s="50">
        <f>IF(L617="T",1,0)</f>
        <v>1</v>
      </c>
      <c r="AG617" s="50">
        <f>IF(L617="L",1,0)</f>
        <v>0</v>
      </c>
      <c r="AH617" s="46"/>
      <c r="AI617" s="46"/>
      <c r="AJ617" s="46" t="s">
        <v>376</v>
      </c>
      <c r="AK617" s="46" t="s">
        <v>658</v>
      </c>
      <c r="AL617" s="46"/>
      <c r="AM617" s="46"/>
      <c r="AN617" s="46" t="s">
        <v>376</v>
      </c>
      <c r="AO617" s="46" t="s">
        <v>658</v>
      </c>
      <c r="AP617" s="46"/>
      <c r="AQ617" s="46">
        <v>2</v>
      </c>
      <c r="AR617" s="46"/>
      <c r="AS617" s="46"/>
      <c r="AT617" s="46"/>
      <c r="AU617" s="46" t="s">
        <v>376</v>
      </c>
      <c r="AV617" s="46"/>
      <c r="AW617" s="46" t="s">
        <v>30</v>
      </c>
      <c r="AX617" s="46"/>
      <c r="AY617" s="46"/>
      <c r="AZ617" s="46" t="s">
        <v>30</v>
      </c>
      <c r="BA617" s="54"/>
      <c r="BB617" s="51"/>
      <c r="BC617" s="46"/>
      <c r="BD617" s="46"/>
      <c r="BE617" s="46"/>
      <c r="BF617" s="46">
        <v>1</v>
      </c>
      <c r="BG617" s="46">
        <v>2</v>
      </c>
      <c r="BH617" s="46">
        <v>1</v>
      </c>
      <c r="BI617" s="46" t="s">
        <v>793</v>
      </c>
      <c r="BJ617" s="46" t="s">
        <v>806</v>
      </c>
      <c r="BK617" s="46">
        <v>1963</v>
      </c>
      <c r="BL617" s="46" t="str">
        <f>BK617&amp;BI617</f>
        <v>1963Sunderland</v>
      </c>
      <c r="BM617" s="52" t="str">
        <f>IF(AD617="Home",BI617,IF(AD617="Away",BJ617,Q617))</f>
        <v>Aston Villa</v>
      </c>
      <c r="BN617" s="46"/>
      <c r="BO617" s="46"/>
      <c r="BP617" s="46"/>
      <c r="BQ617" s="46"/>
      <c r="BR617" s="46"/>
      <c r="BS617" s="46"/>
      <c r="BT617" s="46"/>
      <c r="BU617" s="46"/>
      <c r="BV617" s="46" t="s">
        <v>376</v>
      </c>
      <c r="BW617" s="46" t="s">
        <v>376</v>
      </c>
      <c r="BX617" s="46"/>
      <c r="BZ617" s="53"/>
      <c r="CA617" s="53"/>
      <c r="CB617" s="93" t="str">
        <f>IF(OR(C617="",A617="",B617=""),"",TEXT(C617,"0000")&amp;TEXT(A617,"00")&amp;TEXT(B617,"00"))</f>
        <v>19630422</v>
      </c>
    </row>
    <row r="618" spans="1:80" s="52" customFormat="1" ht="12.95" customHeight="1" x14ac:dyDescent="0.2">
      <c r="A618" s="46">
        <v>4</v>
      </c>
      <c r="B618" s="46">
        <v>27</v>
      </c>
      <c r="C618" s="46">
        <v>1963</v>
      </c>
      <c r="D618" s="46" t="s">
        <v>658</v>
      </c>
      <c r="E618" s="46" t="s">
        <v>570</v>
      </c>
      <c r="F618" s="47" t="s">
        <v>1010</v>
      </c>
      <c r="G618" s="46"/>
      <c r="H618" s="47" t="s">
        <v>1011</v>
      </c>
      <c r="I618" s="47"/>
      <c r="J618" s="48">
        <v>23128</v>
      </c>
      <c r="K618" s="46" t="s">
        <v>1291</v>
      </c>
      <c r="L618" s="46" t="s">
        <v>3</v>
      </c>
      <c r="M618" s="46" t="s">
        <v>588</v>
      </c>
      <c r="N618" s="49">
        <v>1</v>
      </c>
      <c r="O618" s="49">
        <v>0</v>
      </c>
      <c r="P618" s="47" t="s">
        <v>1252</v>
      </c>
      <c r="Q618" s="47" t="s">
        <v>1097</v>
      </c>
      <c r="R618" s="47" t="s">
        <v>376</v>
      </c>
      <c r="S618" s="46"/>
      <c r="T618" s="46"/>
      <c r="U618" s="46"/>
      <c r="V618" s="46"/>
      <c r="W618" s="46"/>
      <c r="X618" s="46"/>
      <c r="Y618" s="46"/>
      <c r="Z618" s="46"/>
      <c r="AA618" s="46"/>
      <c r="AB618" s="46"/>
      <c r="AC618" s="46"/>
      <c r="AD618" s="46"/>
      <c r="AE618" s="50">
        <f>IF(L618="W",1,0)</f>
        <v>1</v>
      </c>
      <c r="AF618" s="50">
        <f>IF(L618="T",1,0)</f>
        <v>0</v>
      </c>
      <c r="AG618" s="50">
        <f>IF(L618="L",1,0)</f>
        <v>0</v>
      </c>
      <c r="AH618" s="46" t="s">
        <v>1278</v>
      </c>
      <c r="AI618" s="46" t="s">
        <v>1292</v>
      </c>
      <c r="AJ618" s="46" t="s">
        <v>376</v>
      </c>
      <c r="AK618" s="46" t="s">
        <v>658</v>
      </c>
      <c r="AL618" s="46" t="s">
        <v>588</v>
      </c>
      <c r="AM618" s="46" t="s">
        <v>1175</v>
      </c>
      <c r="AN618" s="46" t="s">
        <v>376</v>
      </c>
      <c r="AO618" s="46" t="s">
        <v>658</v>
      </c>
      <c r="AP618" s="46"/>
      <c r="AQ618" s="46">
        <v>2</v>
      </c>
      <c r="AR618" s="46"/>
      <c r="AS618" s="46"/>
      <c r="AT618" s="46"/>
      <c r="AU618" s="46" t="s">
        <v>376</v>
      </c>
      <c r="AV618" s="46"/>
      <c r="AW618" s="46" t="s">
        <v>30</v>
      </c>
      <c r="AX618" s="46"/>
      <c r="AY618" s="46" t="s">
        <v>30</v>
      </c>
      <c r="AZ618" s="46"/>
      <c r="BA618" s="47"/>
      <c r="BB618" s="51"/>
      <c r="BC618" s="46"/>
      <c r="BD618" s="46"/>
      <c r="BE618" s="46"/>
      <c r="BF618" s="46">
        <v>1</v>
      </c>
      <c r="BG618" s="46">
        <v>1</v>
      </c>
      <c r="BH618" s="46">
        <v>1</v>
      </c>
      <c r="BI618" s="46" t="s">
        <v>1291</v>
      </c>
      <c r="BJ618" s="46" t="s">
        <v>588</v>
      </c>
      <c r="BK618" s="46">
        <v>1963</v>
      </c>
      <c r="BL618" s="46" t="str">
        <f>BK618&amp;BI618</f>
        <v>1963Leicester City</v>
      </c>
      <c r="BM618" s="52" t="str">
        <f>IF(AD618="Home",BI618,IF(AD618="Away",BJ618,Q618))</f>
        <v>Sheffield</v>
      </c>
      <c r="BN618" s="46"/>
      <c r="BO618" s="46"/>
      <c r="BP618" s="46"/>
      <c r="BQ618" s="46"/>
      <c r="BR618" s="46"/>
      <c r="BS618" s="46"/>
      <c r="BT618" s="46"/>
      <c r="BU618" s="46"/>
      <c r="BV618" s="46" t="s">
        <v>376</v>
      </c>
      <c r="BW618" s="46" t="s">
        <v>376</v>
      </c>
      <c r="BX618" s="46"/>
      <c r="BY618" s="50"/>
      <c r="BZ618" s="53"/>
      <c r="CA618" s="53"/>
      <c r="CB618" s="93" t="str">
        <f>IF(OR(C618="",A618="",B618=""),"",TEXT(C618,"0000")&amp;TEXT(A618,"00")&amp;TEXT(B618,"00"))</f>
        <v>19630427</v>
      </c>
    </row>
    <row r="619" spans="1:80" s="52" customFormat="1" ht="12.95" customHeight="1" x14ac:dyDescent="0.2">
      <c r="A619" s="46">
        <v>4</v>
      </c>
      <c r="B619" s="46">
        <v>27</v>
      </c>
      <c r="C619" s="46">
        <v>1963</v>
      </c>
      <c r="D619" s="46" t="s">
        <v>658</v>
      </c>
      <c r="E619" s="46" t="s">
        <v>570</v>
      </c>
      <c r="F619" s="47" t="s">
        <v>1010</v>
      </c>
      <c r="G619" s="46"/>
      <c r="H619" s="47" t="s">
        <v>1011</v>
      </c>
      <c r="I619" s="47"/>
      <c r="J619" s="48">
        <v>23128</v>
      </c>
      <c r="K619" s="46" t="s">
        <v>588</v>
      </c>
      <c r="L619" s="46" t="s">
        <v>4</v>
      </c>
      <c r="M619" s="46" t="s">
        <v>1291</v>
      </c>
      <c r="N619" s="49">
        <v>0</v>
      </c>
      <c r="O619" s="49">
        <v>1</v>
      </c>
      <c r="P619" s="47" t="s">
        <v>1252</v>
      </c>
      <c r="Q619" s="47" t="s">
        <v>1097</v>
      </c>
      <c r="R619" s="47" t="s">
        <v>376</v>
      </c>
      <c r="S619" s="46"/>
      <c r="T619" s="46"/>
      <c r="U619" s="46"/>
      <c r="V619" s="46"/>
      <c r="W619" s="46"/>
      <c r="X619" s="46"/>
      <c r="Y619" s="46"/>
      <c r="Z619" s="46"/>
      <c r="AA619" s="46"/>
      <c r="AB619" s="46"/>
      <c r="AC619" s="46"/>
      <c r="AD619" s="46"/>
      <c r="AE619" s="50">
        <f>IF(L619="W",1,0)</f>
        <v>0</v>
      </c>
      <c r="AF619" s="50">
        <f>IF(L619="T",1,0)</f>
        <v>0</v>
      </c>
      <c r="AG619" s="50">
        <f>IF(L619="L",1,0)</f>
        <v>1</v>
      </c>
      <c r="AH619" s="46" t="s">
        <v>588</v>
      </c>
      <c r="AI619" s="46" t="s">
        <v>1175</v>
      </c>
      <c r="AJ619" s="46" t="s">
        <v>376</v>
      </c>
      <c r="AK619" s="46" t="s">
        <v>658</v>
      </c>
      <c r="AL619" s="46" t="s">
        <v>1278</v>
      </c>
      <c r="AM619" s="46" t="s">
        <v>1292</v>
      </c>
      <c r="AN619" s="46" t="s">
        <v>376</v>
      </c>
      <c r="AO619" s="46" t="s">
        <v>658</v>
      </c>
      <c r="AP619" s="46"/>
      <c r="AQ619" s="46">
        <v>2</v>
      </c>
      <c r="AR619" s="46"/>
      <c r="AS619" s="46"/>
      <c r="AT619" s="46"/>
      <c r="AU619" s="46" t="s">
        <v>376</v>
      </c>
      <c r="AV619" s="46"/>
      <c r="AW619" s="46" t="s">
        <v>30</v>
      </c>
      <c r="AX619" s="46"/>
      <c r="AY619" s="46" t="s">
        <v>30</v>
      </c>
      <c r="AZ619" s="46"/>
      <c r="BA619" s="47"/>
      <c r="BB619" s="51"/>
      <c r="BC619" s="46"/>
      <c r="BD619" s="46"/>
      <c r="BE619" s="46"/>
      <c r="BF619" s="46">
        <v>1</v>
      </c>
      <c r="BG619" s="46">
        <v>1</v>
      </c>
      <c r="BH619" s="46">
        <v>1</v>
      </c>
      <c r="BI619" s="46" t="s">
        <v>588</v>
      </c>
      <c r="BJ619" s="46" t="s">
        <v>1291</v>
      </c>
      <c r="BK619" s="46">
        <v>1963</v>
      </c>
      <c r="BL619" s="46" t="str">
        <f>BK619&amp;BI619</f>
        <v>1963Liverpool</v>
      </c>
      <c r="BM619" s="52" t="str">
        <f>IF(AD619="Home",BI619,IF(AD619="Away",BJ619,Q619))</f>
        <v>Sheffield</v>
      </c>
      <c r="BN619" s="46"/>
      <c r="BO619" s="46"/>
      <c r="BP619" s="46"/>
      <c r="BQ619" s="46"/>
      <c r="BR619" s="46"/>
      <c r="BS619" s="46"/>
      <c r="BT619" s="46"/>
      <c r="BU619" s="46"/>
      <c r="BV619" s="46" t="s">
        <v>376</v>
      </c>
      <c r="BW619" s="46" t="s">
        <v>376</v>
      </c>
      <c r="BX619" s="46"/>
      <c r="BY619" s="50"/>
      <c r="BZ619" s="53"/>
      <c r="CA619" s="53"/>
      <c r="CB619" s="93" t="str">
        <f>IF(OR(C619="",A619="",B619=""),"",TEXT(C619,"0000")&amp;TEXT(A619,"00")&amp;TEXT(B619,"00"))</f>
        <v>19630427</v>
      </c>
    </row>
    <row r="620" spans="1:80" s="52" customFormat="1" ht="12.95" customHeight="1" x14ac:dyDescent="0.2">
      <c r="A620" s="46">
        <v>4</v>
      </c>
      <c r="B620" s="46">
        <v>27</v>
      </c>
      <c r="C620" s="46">
        <v>1963</v>
      </c>
      <c r="D620" s="46" t="s">
        <v>658</v>
      </c>
      <c r="E620" s="46" t="s">
        <v>570</v>
      </c>
      <c r="F620" s="47" t="s">
        <v>1010</v>
      </c>
      <c r="G620" s="46"/>
      <c r="H620" s="47" t="s">
        <v>1011</v>
      </c>
      <c r="I620" s="47"/>
      <c r="J620" s="48">
        <v>23128</v>
      </c>
      <c r="K620" s="46" t="s">
        <v>821</v>
      </c>
      <c r="L620" s="46" t="s">
        <v>3</v>
      </c>
      <c r="M620" s="46" t="s">
        <v>629</v>
      </c>
      <c r="N620" s="49">
        <v>1</v>
      </c>
      <c r="O620" s="49">
        <v>0</v>
      </c>
      <c r="P620" s="47" t="s">
        <v>1219</v>
      </c>
      <c r="Q620" s="47" t="s">
        <v>1111</v>
      </c>
      <c r="R620" s="47" t="s">
        <v>376</v>
      </c>
      <c r="S620" s="46"/>
      <c r="T620" s="46"/>
      <c r="U620" s="46"/>
      <c r="V620" s="46"/>
      <c r="W620" s="46"/>
      <c r="X620" s="46"/>
      <c r="Y620" s="46"/>
      <c r="Z620" s="46"/>
      <c r="AA620" s="46"/>
      <c r="AB620" s="46"/>
      <c r="AC620" s="46"/>
      <c r="AD620" s="46"/>
      <c r="AE620" s="50">
        <f>IF(L620="W",1,0)</f>
        <v>1</v>
      </c>
      <c r="AF620" s="50">
        <f>IF(L620="T",1,0)</f>
        <v>0</v>
      </c>
      <c r="AG620" s="50">
        <f>IF(L620="L",1,0)</f>
        <v>0</v>
      </c>
      <c r="AH620" s="46" t="s">
        <v>1101</v>
      </c>
      <c r="AI620" s="46" t="s">
        <v>1159</v>
      </c>
      <c r="AJ620" s="46" t="s">
        <v>376</v>
      </c>
      <c r="AK620" s="46" t="s">
        <v>658</v>
      </c>
      <c r="AL620" s="46" t="s">
        <v>629</v>
      </c>
      <c r="AM620" s="46" t="s">
        <v>1199</v>
      </c>
      <c r="AN620" s="46" t="s">
        <v>376</v>
      </c>
      <c r="AO620" s="46" t="s">
        <v>658</v>
      </c>
      <c r="AP620" s="46"/>
      <c r="AQ620" s="46">
        <v>2</v>
      </c>
      <c r="AR620" s="46"/>
      <c r="AS620" s="46"/>
      <c r="AT620" s="46"/>
      <c r="AU620" s="46" t="s">
        <v>376</v>
      </c>
      <c r="AV620" s="46"/>
      <c r="AW620" s="46" t="s">
        <v>30</v>
      </c>
      <c r="AX620" s="46"/>
      <c r="AY620" s="46" t="s">
        <v>30</v>
      </c>
      <c r="AZ620" s="46"/>
      <c r="BA620" s="47"/>
      <c r="BB620" s="51"/>
      <c r="BC620" s="46"/>
      <c r="BD620" s="46"/>
      <c r="BE620" s="46"/>
      <c r="BF620" s="46">
        <v>1</v>
      </c>
      <c r="BG620" s="46">
        <v>1</v>
      </c>
      <c r="BH620" s="46">
        <v>2</v>
      </c>
      <c r="BI620" s="46" t="s">
        <v>821</v>
      </c>
      <c r="BJ620" s="46" t="s">
        <v>629</v>
      </c>
      <c r="BK620" s="46">
        <v>1963</v>
      </c>
      <c r="BL620" s="46" t="str">
        <f>BK620&amp;BI620</f>
        <v>1963Manchester United</v>
      </c>
      <c r="BM620" s="52" t="str">
        <f>IF(AD620="Home",BI620,IF(AD620="Away",BJ620,Q620))</f>
        <v>Birmingham</v>
      </c>
      <c r="BN620" s="46"/>
      <c r="BO620" s="46"/>
      <c r="BP620" s="46"/>
      <c r="BQ620" s="46"/>
      <c r="BR620" s="46"/>
      <c r="BS620" s="46"/>
      <c r="BT620" s="46"/>
      <c r="BU620" s="46"/>
      <c r="BV620" s="46" t="s">
        <v>376</v>
      </c>
      <c r="BW620" s="46" t="s">
        <v>376</v>
      </c>
      <c r="BX620" s="46"/>
      <c r="BZ620" s="53"/>
      <c r="CA620" s="53"/>
      <c r="CB620" s="93" t="str">
        <f>IF(OR(C620="",A620="",B620=""),"",TEXT(C620,"0000")&amp;TEXT(A620,"00")&amp;TEXT(B620,"00"))</f>
        <v>19630427</v>
      </c>
    </row>
    <row r="621" spans="1:80" s="52" customFormat="1" ht="12.95" customHeight="1" x14ac:dyDescent="0.2">
      <c r="A621" s="46">
        <v>4</v>
      </c>
      <c r="B621" s="46">
        <v>27</v>
      </c>
      <c r="C621" s="46">
        <v>1963</v>
      </c>
      <c r="D621" s="46" t="s">
        <v>658</v>
      </c>
      <c r="E621" s="46" t="s">
        <v>570</v>
      </c>
      <c r="F621" s="47" t="s">
        <v>1010</v>
      </c>
      <c r="G621" s="46"/>
      <c r="H621" s="47" t="s">
        <v>1011</v>
      </c>
      <c r="I621" s="47"/>
      <c r="J621" s="48">
        <v>23128</v>
      </c>
      <c r="K621" s="46" t="s">
        <v>629</v>
      </c>
      <c r="L621" s="46" t="s">
        <v>4</v>
      </c>
      <c r="M621" s="46" t="s">
        <v>821</v>
      </c>
      <c r="N621" s="49">
        <v>0</v>
      </c>
      <c r="O621" s="49">
        <v>1</v>
      </c>
      <c r="P621" s="47" t="s">
        <v>1219</v>
      </c>
      <c r="Q621" s="47" t="s">
        <v>1111</v>
      </c>
      <c r="R621" s="47" t="s">
        <v>376</v>
      </c>
      <c r="S621" s="46"/>
      <c r="T621" s="46"/>
      <c r="U621" s="46"/>
      <c r="V621" s="46"/>
      <c r="W621" s="46"/>
      <c r="X621" s="46"/>
      <c r="Y621" s="46"/>
      <c r="Z621" s="46"/>
      <c r="AA621" s="46"/>
      <c r="AB621" s="46"/>
      <c r="AC621" s="46"/>
      <c r="AD621" s="46"/>
      <c r="AE621" s="50">
        <f>IF(L621="W",1,0)</f>
        <v>0</v>
      </c>
      <c r="AF621" s="50">
        <f>IF(L621="T",1,0)</f>
        <v>0</v>
      </c>
      <c r="AG621" s="50">
        <f>IF(L621="L",1,0)</f>
        <v>1</v>
      </c>
      <c r="AH621" s="46" t="s">
        <v>629</v>
      </c>
      <c r="AI621" s="46" t="s">
        <v>1199</v>
      </c>
      <c r="AJ621" s="46" t="s">
        <v>376</v>
      </c>
      <c r="AK621" s="46" t="s">
        <v>658</v>
      </c>
      <c r="AL621" s="46" t="s">
        <v>1101</v>
      </c>
      <c r="AM621" s="46" t="s">
        <v>1159</v>
      </c>
      <c r="AN621" s="46" t="s">
        <v>376</v>
      </c>
      <c r="AO621" s="46" t="s">
        <v>658</v>
      </c>
      <c r="AP621" s="46"/>
      <c r="AQ621" s="46">
        <v>2</v>
      </c>
      <c r="AR621" s="46"/>
      <c r="AS621" s="46"/>
      <c r="AT621" s="46"/>
      <c r="AU621" s="46" t="s">
        <v>376</v>
      </c>
      <c r="AV621" s="46"/>
      <c r="AW621" s="46" t="s">
        <v>30</v>
      </c>
      <c r="AX621" s="46"/>
      <c r="AY621" s="46" t="s">
        <v>30</v>
      </c>
      <c r="AZ621" s="46"/>
      <c r="BA621" s="47"/>
      <c r="BB621" s="51"/>
      <c r="BC621" s="46"/>
      <c r="BD621" s="46"/>
      <c r="BE621" s="46"/>
      <c r="BF621" s="46">
        <v>1</v>
      </c>
      <c r="BG621" s="46">
        <v>2</v>
      </c>
      <c r="BH621" s="46">
        <v>1</v>
      </c>
      <c r="BI621" s="46" t="s">
        <v>629</v>
      </c>
      <c r="BJ621" s="46" t="s">
        <v>821</v>
      </c>
      <c r="BK621" s="46">
        <v>1963</v>
      </c>
      <c r="BL621" s="46" t="str">
        <f>BK621&amp;BI621</f>
        <v>1963Southampton</v>
      </c>
      <c r="BM621" s="52" t="str">
        <f>IF(AD621="Home",BI621,IF(AD621="Away",BJ621,Q621))</f>
        <v>Birmingham</v>
      </c>
      <c r="BN621" s="46"/>
      <c r="BO621" s="46"/>
      <c r="BP621" s="46"/>
      <c r="BQ621" s="46"/>
      <c r="BR621" s="46"/>
      <c r="BS621" s="46"/>
      <c r="BT621" s="46"/>
      <c r="BU621" s="46"/>
      <c r="BV621" s="46" t="s">
        <v>376</v>
      </c>
      <c r="BW621" s="46" t="s">
        <v>376</v>
      </c>
      <c r="BX621" s="46"/>
      <c r="BZ621" s="53"/>
      <c r="CA621" s="53"/>
      <c r="CB621" s="93" t="str">
        <f>IF(OR(C621="",A621="",B621=""),"",TEXT(C621,"0000")&amp;TEXT(A621,"00")&amp;TEXT(B621,"00"))</f>
        <v>19630427</v>
      </c>
    </row>
    <row r="622" spans="1:80" s="52" customFormat="1" ht="12.95" customHeight="1" x14ac:dyDescent="0.2">
      <c r="A622" s="46">
        <v>5</v>
      </c>
      <c r="B622" s="46">
        <v>23</v>
      </c>
      <c r="C622" s="46">
        <v>1963</v>
      </c>
      <c r="D622" s="46" t="s">
        <v>658</v>
      </c>
      <c r="E622" s="46" t="s">
        <v>570</v>
      </c>
      <c r="F622" s="54" t="s">
        <v>1327</v>
      </c>
      <c r="G622" s="46"/>
      <c r="H622" s="46" t="s">
        <v>1334</v>
      </c>
      <c r="I622" s="54">
        <v>1</v>
      </c>
      <c r="J622" s="55">
        <v>23154</v>
      </c>
      <c r="K622" s="46" t="s">
        <v>1125</v>
      </c>
      <c r="L622" s="46" t="s">
        <v>3</v>
      </c>
      <c r="M622" s="46" t="s">
        <v>806</v>
      </c>
      <c r="N622" s="49">
        <v>3</v>
      </c>
      <c r="O622" s="49">
        <v>1</v>
      </c>
      <c r="P622" s="54" t="s">
        <v>1232</v>
      </c>
      <c r="Q622" s="54" t="s">
        <v>1111</v>
      </c>
      <c r="R622" s="54" t="s">
        <v>376</v>
      </c>
      <c r="S622" s="46"/>
      <c r="T622" s="46"/>
      <c r="U622" s="46"/>
      <c r="V622" s="46"/>
      <c r="W622" s="46"/>
      <c r="X622" s="46"/>
      <c r="Y622" s="46"/>
      <c r="Z622" s="46"/>
      <c r="AA622" s="46"/>
      <c r="AB622" s="46"/>
      <c r="AC622" s="46"/>
      <c r="AD622" s="46" t="s">
        <v>1033</v>
      </c>
      <c r="AE622" s="50">
        <f>IF(L622="W",1,0)</f>
        <v>1</v>
      </c>
      <c r="AF622" s="50">
        <f>IF(L622="T",1,0)</f>
        <v>0</v>
      </c>
      <c r="AG622" s="50">
        <f>IF(L622="L",1,0)</f>
        <v>0</v>
      </c>
      <c r="AH622" s="46"/>
      <c r="AI622" s="46"/>
      <c r="AJ622" s="46" t="s">
        <v>376</v>
      </c>
      <c r="AK622" s="46" t="s">
        <v>658</v>
      </c>
      <c r="AL622" s="46"/>
      <c r="AM622" s="46"/>
      <c r="AN622" s="46" t="s">
        <v>376</v>
      </c>
      <c r="AO622" s="46" t="s">
        <v>658</v>
      </c>
      <c r="AP622" s="46"/>
      <c r="AQ622" s="46">
        <v>1</v>
      </c>
      <c r="AR622" s="46"/>
      <c r="AS622" s="46"/>
      <c r="AT622" s="46" t="s">
        <v>1340</v>
      </c>
      <c r="AU622" s="46" t="s">
        <v>376</v>
      </c>
      <c r="AV622" s="46"/>
      <c r="AW622" s="46" t="s">
        <v>30</v>
      </c>
      <c r="AX622" s="46"/>
      <c r="AY622" s="46"/>
      <c r="AZ622" s="46" t="s">
        <v>30</v>
      </c>
      <c r="BA622" s="54"/>
      <c r="BB622" s="51" t="s">
        <v>30</v>
      </c>
      <c r="BC622" s="46" t="s">
        <v>30</v>
      </c>
      <c r="BD622" s="46"/>
      <c r="BE622" s="46"/>
      <c r="BF622" s="46">
        <v>1</v>
      </c>
      <c r="BG622" s="46">
        <v>1</v>
      </c>
      <c r="BH622" s="46">
        <v>1</v>
      </c>
      <c r="BI622" s="46" t="s">
        <v>1125</v>
      </c>
      <c r="BJ622" s="46" t="s">
        <v>806</v>
      </c>
      <c r="BK622" s="46">
        <v>1963</v>
      </c>
      <c r="BL622" s="46" t="str">
        <f>BK622&amp;BI622</f>
        <v>1963Birmingham City</v>
      </c>
      <c r="BM622" s="52" t="str">
        <f>IF(AD622="Home",BI622,IF(AD622="Away",BJ622,Q622))</f>
        <v>Birmingham City</v>
      </c>
      <c r="BN622" s="46"/>
      <c r="BO622" s="46"/>
      <c r="BP622" s="46"/>
      <c r="BQ622" s="46"/>
      <c r="BR622" s="46"/>
      <c r="BS622" s="46"/>
      <c r="BT622" s="46"/>
      <c r="BU622" s="46"/>
      <c r="BV622" s="46" t="s">
        <v>376</v>
      </c>
      <c r="BW622" s="46" t="s">
        <v>376</v>
      </c>
      <c r="BX622" s="46"/>
      <c r="BZ622" s="53"/>
      <c r="CA622" s="53"/>
      <c r="CB622" s="93" t="str">
        <f>IF(OR(C622="",A622="",B622=""),"",TEXT(C622,"0000")&amp;TEXT(A622,"00")&amp;TEXT(B622,"00"))</f>
        <v>19630523</v>
      </c>
    </row>
    <row r="623" spans="1:80" s="52" customFormat="1" ht="12.95" customHeight="1" x14ac:dyDescent="0.2">
      <c r="A623" s="46">
        <v>5</v>
      </c>
      <c r="B623" s="46">
        <v>23</v>
      </c>
      <c r="C623" s="46">
        <v>1963</v>
      </c>
      <c r="D623" s="46" t="s">
        <v>658</v>
      </c>
      <c r="E623" s="46" t="s">
        <v>570</v>
      </c>
      <c r="F623" s="54" t="s">
        <v>1327</v>
      </c>
      <c r="G623" s="46"/>
      <c r="H623" s="46" t="s">
        <v>1334</v>
      </c>
      <c r="I623" s="54">
        <v>1</v>
      </c>
      <c r="J623" s="55">
        <v>23154</v>
      </c>
      <c r="K623" s="46" t="s">
        <v>806</v>
      </c>
      <c r="L623" s="46" t="s">
        <v>4</v>
      </c>
      <c r="M623" s="46" t="s">
        <v>1125</v>
      </c>
      <c r="N623" s="49">
        <v>1</v>
      </c>
      <c r="O623" s="49">
        <v>3</v>
      </c>
      <c r="P623" s="54" t="s">
        <v>1232</v>
      </c>
      <c r="Q623" s="54" t="s">
        <v>1111</v>
      </c>
      <c r="R623" s="54" t="s">
        <v>376</v>
      </c>
      <c r="S623" s="46"/>
      <c r="T623" s="46"/>
      <c r="U623" s="46"/>
      <c r="V623" s="46"/>
      <c r="W623" s="46"/>
      <c r="X623" s="46"/>
      <c r="Y623" s="46"/>
      <c r="Z623" s="46"/>
      <c r="AA623" s="46"/>
      <c r="AB623" s="46"/>
      <c r="AC623" s="46"/>
      <c r="AD623" s="46" t="s">
        <v>1037</v>
      </c>
      <c r="AE623" s="50">
        <f>IF(L623="W",1,0)</f>
        <v>0</v>
      </c>
      <c r="AF623" s="50">
        <f>IF(L623="T",1,0)</f>
        <v>0</v>
      </c>
      <c r="AG623" s="50">
        <f>IF(L623="L",1,0)</f>
        <v>1</v>
      </c>
      <c r="AH623" s="46"/>
      <c r="AI623" s="46"/>
      <c r="AJ623" s="46" t="s">
        <v>376</v>
      </c>
      <c r="AK623" s="46" t="s">
        <v>658</v>
      </c>
      <c r="AL623" s="46"/>
      <c r="AM623" s="46"/>
      <c r="AN623" s="46" t="s">
        <v>376</v>
      </c>
      <c r="AO623" s="46" t="s">
        <v>658</v>
      </c>
      <c r="AP623" s="46"/>
      <c r="AQ623" s="46">
        <v>1</v>
      </c>
      <c r="AR623" s="46"/>
      <c r="AS623" s="46"/>
      <c r="AT623" s="46" t="s">
        <v>1340</v>
      </c>
      <c r="AU623" s="46" t="s">
        <v>376</v>
      </c>
      <c r="AV623" s="46"/>
      <c r="AW623" s="46" t="s">
        <v>30</v>
      </c>
      <c r="AX623" s="46"/>
      <c r="AY623" s="46"/>
      <c r="AZ623" s="46" t="s">
        <v>30</v>
      </c>
      <c r="BA623" s="54"/>
      <c r="BB623" s="51"/>
      <c r="BC623" s="46" t="s">
        <v>30</v>
      </c>
      <c r="BD623" s="46"/>
      <c r="BE623" s="46"/>
      <c r="BF623" s="46">
        <v>1</v>
      </c>
      <c r="BG623" s="46">
        <v>1</v>
      </c>
      <c r="BH623" s="46">
        <v>1</v>
      </c>
      <c r="BI623" s="46" t="s">
        <v>806</v>
      </c>
      <c r="BJ623" s="46" t="s">
        <v>1125</v>
      </c>
      <c r="BK623" s="46">
        <v>1963</v>
      </c>
      <c r="BL623" s="46" t="str">
        <f>BK623&amp;BI623</f>
        <v>1963Aston Villa</v>
      </c>
      <c r="BM623" s="52" t="str">
        <f>IF(AD623="Home",BI623,IF(AD623="Away",BJ623,Q623))</f>
        <v>Birmingham City</v>
      </c>
      <c r="BN623" s="46"/>
      <c r="BO623" s="46"/>
      <c r="BP623" s="46"/>
      <c r="BQ623" s="46"/>
      <c r="BR623" s="46"/>
      <c r="BS623" s="46"/>
      <c r="BT623" s="46"/>
      <c r="BU623" s="46"/>
      <c r="BV623" s="46" t="s">
        <v>376</v>
      </c>
      <c r="BW623" s="46" t="s">
        <v>376</v>
      </c>
      <c r="BX623" s="46"/>
      <c r="BZ623" s="53"/>
      <c r="CA623" s="53"/>
      <c r="CB623" s="93" t="str">
        <f>IF(OR(C623="",A623="",B623=""),"",TEXT(C623,"0000")&amp;TEXT(A623,"00")&amp;TEXT(B623,"00"))</f>
        <v>19630523</v>
      </c>
    </row>
    <row r="624" spans="1:80" s="52" customFormat="1" ht="12.95" customHeight="1" x14ac:dyDescent="0.2">
      <c r="A624" s="46">
        <v>5</v>
      </c>
      <c r="B624" s="46">
        <v>25</v>
      </c>
      <c r="C624" s="46">
        <v>1963</v>
      </c>
      <c r="D624" s="46" t="s">
        <v>658</v>
      </c>
      <c r="E624" s="46" t="s">
        <v>570</v>
      </c>
      <c r="F624" s="47" t="s">
        <v>1010</v>
      </c>
      <c r="G624" s="46"/>
      <c r="H624" s="47" t="s">
        <v>1025</v>
      </c>
      <c r="I624" s="47"/>
      <c r="J624" s="48">
        <v>23156</v>
      </c>
      <c r="K624" s="46" t="s">
        <v>821</v>
      </c>
      <c r="L624" s="46" t="s">
        <v>3</v>
      </c>
      <c r="M624" s="46" t="s">
        <v>1291</v>
      </c>
      <c r="N624" s="49">
        <v>3</v>
      </c>
      <c r="O624" s="49">
        <v>1</v>
      </c>
      <c r="P624" s="47" t="s">
        <v>1268</v>
      </c>
      <c r="Q624" s="47" t="s">
        <v>1017</v>
      </c>
      <c r="R624" s="47" t="s">
        <v>376</v>
      </c>
      <c r="S624" s="46"/>
      <c r="T624" s="46"/>
      <c r="U624" s="46"/>
      <c r="V624" s="46"/>
      <c r="W624" s="46"/>
      <c r="X624" s="46"/>
      <c r="Y624" s="46"/>
      <c r="Z624" s="46"/>
      <c r="AA624" s="46"/>
      <c r="AB624" s="46"/>
      <c r="AC624" s="46"/>
      <c r="AD624" s="46"/>
      <c r="AE624" s="50">
        <f>IF(L624="W",1,0)</f>
        <v>1</v>
      </c>
      <c r="AF624" s="50">
        <f>IF(L624="T",1,0)</f>
        <v>0</v>
      </c>
      <c r="AG624" s="50">
        <f>IF(L624="L",1,0)</f>
        <v>0</v>
      </c>
      <c r="AH624" s="46" t="s">
        <v>1101</v>
      </c>
      <c r="AI624" s="46" t="s">
        <v>1159</v>
      </c>
      <c r="AJ624" s="46" t="s">
        <v>376</v>
      </c>
      <c r="AK624" s="46" t="s">
        <v>658</v>
      </c>
      <c r="AL624" s="46" t="s">
        <v>1278</v>
      </c>
      <c r="AM624" s="46" t="s">
        <v>1292</v>
      </c>
      <c r="AN624" s="46" t="s">
        <v>376</v>
      </c>
      <c r="AO624" s="46" t="s">
        <v>658</v>
      </c>
      <c r="AP624" s="46"/>
      <c r="AQ624" s="46">
        <v>1</v>
      </c>
      <c r="AR624" s="46"/>
      <c r="AS624" s="46"/>
      <c r="AT624" s="46"/>
      <c r="AU624" s="46" t="s">
        <v>376</v>
      </c>
      <c r="AV624" s="46"/>
      <c r="AW624" s="46" t="s">
        <v>30</v>
      </c>
      <c r="AX624" s="46"/>
      <c r="AY624" s="46" t="s">
        <v>30</v>
      </c>
      <c r="AZ624" s="46"/>
      <c r="BA624" s="47"/>
      <c r="BB624" s="51" t="s">
        <v>30</v>
      </c>
      <c r="BC624" s="46" t="s">
        <v>30</v>
      </c>
      <c r="BD624" s="46"/>
      <c r="BE624" s="46"/>
      <c r="BF624" s="46">
        <v>1</v>
      </c>
      <c r="BG624" s="46">
        <v>1</v>
      </c>
      <c r="BH624" s="46">
        <v>1</v>
      </c>
      <c r="BI624" s="46" t="s">
        <v>821</v>
      </c>
      <c r="BJ624" s="46" t="s">
        <v>1291</v>
      </c>
      <c r="BK624" s="46">
        <v>1963</v>
      </c>
      <c r="BL624" s="46" t="str">
        <f>BK624&amp;BI624</f>
        <v>1963Manchester United</v>
      </c>
      <c r="BM624" s="52" t="str">
        <f>IF(AD624="Home",BI624,IF(AD624="Away",BJ624,Q624))</f>
        <v>London</v>
      </c>
      <c r="BN624" s="46"/>
      <c r="BO624" s="46"/>
      <c r="BP624" s="46"/>
      <c r="BQ624" s="46"/>
      <c r="BR624" s="46"/>
      <c r="BS624" s="46"/>
      <c r="BT624" s="46"/>
      <c r="BU624" s="46"/>
      <c r="BV624" s="46" t="s">
        <v>376</v>
      </c>
      <c r="BW624" s="46" t="s">
        <v>376</v>
      </c>
      <c r="BX624" s="46"/>
      <c r="BZ624" s="53"/>
      <c r="CA624" s="53"/>
      <c r="CB624" s="93" t="str">
        <f>IF(OR(C624="",A624="",B624=""),"",TEXT(C624,"0000")&amp;TEXT(A624,"00")&amp;TEXT(B624,"00"))</f>
        <v>19630525</v>
      </c>
    </row>
    <row r="625" spans="1:80" s="52" customFormat="1" ht="12.95" customHeight="1" x14ac:dyDescent="0.2">
      <c r="A625" s="46">
        <v>5</v>
      </c>
      <c r="B625" s="46">
        <v>25</v>
      </c>
      <c r="C625" s="46">
        <v>1963</v>
      </c>
      <c r="D625" s="46" t="s">
        <v>658</v>
      </c>
      <c r="E625" s="46" t="s">
        <v>570</v>
      </c>
      <c r="F625" s="47" t="s">
        <v>1010</v>
      </c>
      <c r="G625" s="46"/>
      <c r="H625" s="47" t="s">
        <v>1025</v>
      </c>
      <c r="I625" s="47"/>
      <c r="J625" s="48">
        <v>23156</v>
      </c>
      <c r="K625" s="46" t="s">
        <v>1291</v>
      </c>
      <c r="L625" s="46" t="s">
        <v>4</v>
      </c>
      <c r="M625" s="46" t="s">
        <v>821</v>
      </c>
      <c r="N625" s="49">
        <v>1</v>
      </c>
      <c r="O625" s="49">
        <v>3</v>
      </c>
      <c r="P625" s="47" t="s">
        <v>1268</v>
      </c>
      <c r="Q625" s="47" t="s">
        <v>1017</v>
      </c>
      <c r="R625" s="47" t="s">
        <v>376</v>
      </c>
      <c r="S625" s="46"/>
      <c r="T625" s="46"/>
      <c r="U625" s="46"/>
      <c r="V625" s="46"/>
      <c r="W625" s="46"/>
      <c r="X625" s="46"/>
      <c r="Y625" s="46"/>
      <c r="Z625" s="46"/>
      <c r="AA625" s="46"/>
      <c r="AB625" s="46"/>
      <c r="AC625" s="46"/>
      <c r="AD625" s="46"/>
      <c r="AE625" s="50">
        <f>IF(L625="W",1,0)</f>
        <v>0</v>
      </c>
      <c r="AF625" s="50">
        <f>IF(L625="T",1,0)</f>
        <v>0</v>
      </c>
      <c r="AG625" s="50">
        <f>IF(L625="L",1,0)</f>
        <v>1</v>
      </c>
      <c r="AH625" s="46" t="s">
        <v>1278</v>
      </c>
      <c r="AI625" s="46" t="s">
        <v>1292</v>
      </c>
      <c r="AJ625" s="46" t="s">
        <v>376</v>
      </c>
      <c r="AK625" s="46" t="s">
        <v>658</v>
      </c>
      <c r="AL625" s="46" t="s">
        <v>1101</v>
      </c>
      <c r="AM625" s="46" t="s">
        <v>1159</v>
      </c>
      <c r="AN625" s="46" t="s">
        <v>376</v>
      </c>
      <c r="AO625" s="46" t="s">
        <v>658</v>
      </c>
      <c r="AP625" s="46"/>
      <c r="AQ625" s="46">
        <v>1</v>
      </c>
      <c r="AR625" s="46"/>
      <c r="AS625" s="46"/>
      <c r="AT625" s="46"/>
      <c r="AU625" s="46" t="s">
        <v>376</v>
      </c>
      <c r="AV625" s="46"/>
      <c r="AW625" s="46" t="s">
        <v>30</v>
      </c>
      <c r="AX625" s="46"/>
      <c r="AY625" s="46" t="s">
        <v>30</v>
      </c>
      <c r="AZ625" s="46"/>
      <c r="BA625" s="47"/>
      <c r="BB625" s="51"/>
      <c r="BC625" s="46" t="s">
        <v>30</v>
      </c>
      <c r="BD625" s="46"/>
      <c r="BE625" s="46"/>
      <c r="BF625" s="46">
        <v>1</v>
      </c>
      <c r="BG625" s="46">
        <v>1</v>
      </c>
      <c r="BH625" s="46">
        <v>1</v>
      </c>
      <c r="BI625" s="46" t="s">
        <v>1291</v>
      </c>
      <c r="BJ625" s="46" t="s">
        <v>821</v>
      </c>
      <c r="BK625" s="46">
        <v>1963</v>
      </c>
      <c r="BL625" s="46" t="str">
        <f>BK625&amp;BI625</f>
        <v>1963Leicester City</v>
      </c>
      <c r="BM625" s="52" t="str">
        <f>IF(AD625="Home",BI625,IF(AD625="Away",BJ625,Q625))</f>
        <v>London</v>
      </c>
      <c r="BN625" s="46"/>
      <c r="BO625" s="46"/>
      <c r="BP625" s="46"/>
      <c r="BQ625" s="46"/>
      <c r="BR625" s="46"/>
      <c r="BS625" s="46"/>
      <c r="BT625" s="46"/>
      <c r="BU625" s="46"/>
      <c r="BV625" s="46" t="s">
        <v>376</v>
      </c>
      <c r="BW625" s="46" t="s">
        <v>376</v>
      </c>
      <c r="BX625" s="46"/>
      <c r="BZ625" s="53"/>
      <c r="CA625" s="53"/>
      <c r="CB625" s="93" t="str">
        <f>IF(OR(C625="",A625="",B625=""),"",TEXT(C625,"0000")&amp;TEXT(A625,"00")&amp;TEXT(B625,"00"))</f>
        <v>19630525</v>
      </c>
    </row>
    <row r="626" spans="1:80" s="52" customFormat="1" ht="12.95" customHeight="1" x14ac:dyDescent="0.2">
      <c r="A626" s="46">
        <v>5</v>
      </c>
      <c r="B626" s="46">
        <v>27</v>
      </c>
      <c r="C626" s="46">
        <v>1963</v>
      </c>
      <c r="D626" s="46" t="s">
        <v>658</v>
      </c>
      <c r="E626" s="46" t="s">
        <v>570</v>
      </c>
      <c r="F626" s="54" t="s">
        <v>1327</v>
      </c>
      <c r="G626" s="46"/>
      <c r="H626" s="46" t="s">
        <v>1334</v>
      </c>
      <c r="I626" s="54">
        <v>2</v>
      </c>
      <c r="J626" s="55">
        <v>23158</v>
      </c>
      <c r="K626" s="46" t="s">
        <v>806</v>
      </c>
      <c r="L626" s="46" t="s">
        <v>1014</v>
      </c>
      <c r="M626" s="46" t="s">
        <v>1125</v>
      </c>
      <c r="N626" s="49">
        <v>0</v>
      </c>
      <c r="O626" s="49">
        <v>0</v>
      </c>
      <c r="P626" s="54" t="s">
        <v>1219</v>
      </c>
      <c r="Q626" s="54" t="s">
        <v>1111</v>
      </c>
      <c r="R626" s="54" t="s">
        <v>376</v>
      </c>
      <c r="S626" s="46"/>
      <c r="T626" s="46"/>
      <c r="U626" s="46"/>
      <c r="V626" s="46"/>
      <c r="W626" s="46"/>
      <c r="X626" s="46"/>
      <c r="Y626" s="46"/>
      <c r="Z626" s="46"/>
      <c r="AA626" s="46"/>
      <c r="AB626" s="46"/>
      <c r="AC626" s="46"/>
      <c r="AD626" s="46" t="s">
        <v>1033</v>
      </c>
      <c r="AE626" s="50">
        <f>IF(L626="W",1,0)</f>
        <v>0</v>
      </c>
      <c r="AF626" s="50">
        <f>IF(L626="T",1,0)</f>
        <v>1</v>
      </c>
      <c r="AG626" s="50">
        <f>IF(L626="L",1,0)</f>
        <v>0</v>
      </c>
      <c r="AH626" s="46"/>
      <c r="AI626" s="46"/>
      <c r="AJ626" s="46" t="s">
        <v>376</v>
      </c>
      <c r="AK626" s="46" t="s">
        <v>658</v>
      </c>
      <c r="AL626" s="46"/>
      <c r="AM626" s="46"/>
      <c r="AN626" s="46" t="s">
        <v>376</v>
      </c>
      <c r="AO626" s="46" t="s">
        <v>658</v>
      </c>
      <c r="AP626" s="46"/>
      <c r="AQ626" s="46">
        <v>1</v>
      </c>
      <c r="AR626" s="46"/>
      <c r="AS626" s="46"/>
      <c r="AT626" s="46" t="s">
        <v>1340</v>
      </c>
      <c r="AU626" s="46" t="s">
        <v>376</v>
      </c>
      <c r="AV626" s="46"/>
      <c r="AW626" s="46" t="s">
        <v>30</v>
      </c>
      <c r="AX626" s="46"/>
      <c r="AY626" s="46"/>
      <c r="AZ626" s="46" t="s">
        <v>30</v>
      </c>
      <c r="BA626" s="54"/>
      <c r="BB626" s="51"/>
      <c r="BC626" s="46" t="s">
        <v>30</v>
      </c>
      <c r="BD626" s="46"/>
      <c r="BE626" s="46"/>
      <c r="BF626" s="46">
        <v>1</v>
      </c>
      <c r="BG626" s="46">
        <v>1</v>
      </c>
      <c r="BH626" s="46">
        <v>1</v>
      </c>
      <c r="BI626" s="46" t="s">
        <v>806</v>
      </c>
      <c r="BJ626" s="46" t="s">
        <v>1125</v>
      </c>
      <c r="BK626" s="46">
        <v>1963</v>
      </c>
      <c r="BL626" s="46" t="str">
        <f>BK626&amp;BI626</f>
        <v>1963Aston Villa</v>
      </c>
      <c r="BM626" s="52" t="str">
        <f>IF(AD626="Home",BI626,IF(AD626="Away",BJ626,Q626))</f>
        <v>Aston Villa</v>
      </c>
      <c r="BN626" s="46"/>
      <c r="BO626" s="46"/>
      <c r="BP626" s="46"/>
      <c r="BQ626" s="46"/>
      <c r="BR626" s="46"/>
      <c r="BS626" s="46"/>
      <c r="BT626" s="46"/>
      <c r="BU626" s="46"/>
      <c r="BV626" s="46" t="s">
        <v>376</v>
      </c>
      <c r="BW626" s="46" t="s">
        <v>376</v>
      </c>
      <c r="BX626" s="46"/>
      <c r="BZ626" s="53"/>
      <c r="CA626" s="53"/>
      <c r="CB626" s="93" t="str">
        <f>IF(OR(C626="",A626="",B626=""),"",TEXT(C626,"0000")&amp;TEXT(A626,"00")&amp;TEXT(B626,"00"))</f>
        <v>19630527</v>
      </c>
    </row>
    <row r="627" spans="1:80" s="52" customFormat="1" ht="12.95" customHeight="1" x14ac:dyDescent="0.2">
      <c r="A627" s="46">
        <v>5</v>
      </c>
      <c r="B627" s="46">
        <v>27</v>
      </c>
      <c r="C627" s="46">
        <v>1963</v>
      </c>
      <c r="D627" s="46" t="s">
        <v>658</v>
      </c>
      <c r="E627" s="46" t="s">
        <v>570</v>
      </c>
      <c r="F627" s="54" t="s">
        <v>1327</v>
      </c>
      <c r="G627" s="46"/>
      <c r="H627" s="46" t="s">
        <v>1334</v>
      </c>
      <c r="I627" s="54">
        <v>2</v>
      </c>
      <c r="J627" s="55">
        <v>23158</v>
      </c>
      <c r="K627" s="46" t="s">
        <v>1125</v>
      </c>
      <c r="L627" s="46" t="s">
        <v>1014</v>
      </c>
      <c r="M627" s="46" t="s">
        <v>806</v>
      </c>
      <c r="N627" s="49">
        <v>0</v>
      </c>
      <c r="O627" s="49">
        <v>0</v>
      </c>
      <c r="P627" s="54" t="s">
        <v>1219</v>
      </c>
      <c r="Q627" s="54" t="s">
        <v>1111</v>
      </c>
      <c r="R627" s="54" t="s">
        <v>376</v>
      </c>
      <c r="S627" s="46"/>
      <c r="T627" s="46"/>
      <c r="U627" s="46"/>
      <c r="V627" s="46"/>
      <c r="W627" s="46"/>
      <c r="X627" s="46"/>
      <c r="Y627" s="46"/>
      <c r="Z627" s="46"/>
      <c r="AA627" s="46"/>
      <c r="AB627" s="46"/>
      <c r="AC627" s="46"/>
      <c r="AD627" s="46" t="s">
        <v>1037</v>
      </c>
      <c r="AE627" s="50">
        <f>IF(L627="W",1,0)</f>
        <v>0</v>
      </c>
      <c r="AF627" s="50">
        <f>IF(L627="T",1,0)</f>
        <v>1</v>
      </c>
      <c r="AG627" s="50">
        <f>IF(L627="L",1,0)</f>
        <v>0</v>
      </c>
      <c r="AH627" s="46"/>
      <c r="AI627" s="46"/>
      <c r="AJ627" s="46" t="s">
        <v>376</v>
      </c>
      <c r="AK627" s="46" t="s">
        <v>658</v>
      </c>
      <c r="AL627" s="46"/>
      <c r="AM627" s="46"/>
      <c r="AN627" s="46" t="s">
        <v>376</v>
      </c>
      <c r="AO627" s="46" t="s">
        <v>658</v>
      </c>
      <c r="AP627" s="46"/>
      <c r="AQ627" s="46">
        <v>1</v>
      </c>
      <c r="AR627" s="46"/>
      <c r="AS627" s="46"/>
      <c r="AT627" s="46" t="s">
        <v>1340</v>
      </c>
      <c r="AU627" s="46" t="s">
        <v>376</v>
      </c>
      <c r="AV627" s="46"/>
      <c r="AW627" s="46" t="s">
        <v>30</v>
      </c>
      <c r="AX627" s="46"/>
      <c r="AY627" s="46"/>
      <c r="AZ627" s="46" t="s">
        <v>30</v>
      </c>
      <c r="BA627" s="54"/>
      <c r="BB627" s="51"/>
      <c r="BC627" s="46" t="s">
        <v>30</v>
      </c>
      <c r="BD627" s="46"/>
      <c r="BE627" s="46"/>
      <c r="BF627" s="46">
        <v>1</v>
      </c>
      <c r="BG627" s="46">
        <v>1</v>
      </c>
      <c r="BH627" s="46">
        <v>1</v>
      </c>
      <c r="BI627" s="46" t="s">
        <v>1125</v>
      </c>
      <c r="BJ627" s="46" t="s">
        <v>806</v>
      </c>
      <c r="BK627" s="46">
        <v>1963</v>
      </c>
      <c r="BL627" s="46" t="str">
        <f>BK627&amp;BI627</f>
        <v>1963Birmingham City</v>
      </c>
      <c r="BM627" s="52" t="str">
        <f>IF(AD627="Home",BI627,IF(AD627="Away",BJ627,Q627))</f>
        <v>Aston Villa</v>
      </c>
      <c r="BN627" s="46"/>
      <c r="BO627" s="46"/>
      <c r="BP627" s="46"/>
      <c r="BQ627" s="46"/>
      <c r="BR627" s="46"/>
      <c r="BS627" s="46"/>
      <c r="BT627" s="46"/>
      <c r="BU627" s="46"/>
      <c r="BV627" s="46" t="s">
        <v>376</v>
      </c>
      <c r="BW627" s="46" t="s">
        <v>376</v>
      </c>
      <c r="BX627" s="46"/>
      <c r="BZ627" s="53"/>
      <c r="CA627" s="53"/>
      <c r="CB627" s="93" t="str">
        <f>IF(OR(C627="",A627="",B627=""),"",TEXT(C627,"0000")&amp;TEXT(A627,"00")&amp;TEXT(B627,"00"))</f>
        <v>19630527</v>
      </c>
    </row>
    <row r="628" spans="1:80" s="52" customFormat="1" ht="12.95" customHeight="1" x14ac:dyDescent="0.2">
      <c r="A628" s="46">
        <v>1</v>
      </c>
      <c r="B628" s="46">
        <v>15</v>
      </c>
      <c r="C628" s="46">
        <v>1964</v>
      </c>
      <c r="D628" s="46" t="s">
        <v>658</v>
      </c>
      <c r="E628" s="46" t="s">
        <v>569</v>
      </c>
      <c r="F628" s="54" t="s">
        <v>1327</v>
      </c>
      <c r="G628" s="46"/>
      <c r="H628" s="54" t="s">
        <v>1011</v>
      </c>
      <c r="I628" s="54">
        <v>1</v>
      </c>
      <c r="J628" s="55">
        <v>23391</v>
      </c>
      <c r="K628" s="46" t="s">
        <v>1205</v>
      </c>
      <c r="L628" s="46" t="s">
        <v>3</v>
      </c>
      <c r="M628" s="46" t="s">
        <v>823</v>
      </c>
      <c r="N628" s="49">
        <v>2</v>
      </c>
      <c r="O628" s="49">
        <v>0</v>
      </c>
      <c r="P628" s="54" t="s">
        <v>1144</v>
      </c>
      <c r="Q628" s="54" t="s">
        <v>1145</v>
      </c>
      <c r="R628" s="54" t="s">
        <v>376</v>
      </c>
      <c r="S628" s="46"/>
      <c r="T628" s="46"/>
      <c r="U628" s="46"/>
      <c r="V628" s="46"/>
      <c r="W628" s="46"/>
      <c r="X628" s="46"/>
      <c r="Y628" s="46"/>
      <c r="Z628" s="46"/>
      <c r="AA628" s="46"/>
      <c r="AB628" s="46"/>
      <c r="AC628" s="46"/>
      <c r="AD628" s="46" t="s">
        <v>1033</v>
      </c>
      <c r="AE628" s="50">
        <f>IF(L628="W",1,0)</f>
        <v>1</v>
      </c>
      <c r="AF628" s="50">
        <f>IF(L628="T",1,0)</f>
        <v>0</v>
      </c>
      <c r="AG628" s="50">
        <f>IF(L628="L",1,0)</f>
        <v>0</v>
      </c>
      <c r="AH628" s="46"/>
      <c r="AI628" s="46"/>
      <c r="AJ628" s="46" t="s">
        <v>376</v>
      </c>
      <c r="AK628" s="46" t="s">
        <v>658</v>
      </c>
      <c r="AL628" s="46"/>
      <c r="AM628" s="46"/>
      <c r="AN628" s="46" t="s">
        <v>376</v>
      </c>
      <c r="AO628" s="46" t="s">
        <v>658</v>
      </c>
      <c r="AP628" s="46"/>
      <c r="AQ628" s="46">
        <v>2</v>
      </c>
      <c r="AR628" s="46"/>
      <c r="AS628" s="46"/>
      <c r="AT628" s="46"/>
      <c r="AU628" s="46" t="s">
        <v>376</v>
      </c>
      <c r="AV628" s="46"/>
      <c r="AW628" s="46" t="s">
        <v>30</v>
      </c>
      <c r="AX628" s="46"/>
      <c r="AY628" s="46"/>
      <c r="AZ628" s="46" t="s">
        <v>30</v>
      </c>
      <c r="BA628" s="54"/>
      <c r="BB628" s="51"/>
      <c r="BC628" s="46"/>
      <c r="BD628" s="46"/>
      <c r="BE628" s="46"/>
      <c r="BF628" s="46">
        <v>1</v>
      </c>
      <c r="BG628" s="46">
        <v>1</v>
      </c>
      <c r="BH628" s="46">
        <v>2</v>
      </c>
      <c r="BI628" s="46" t="s">
        <v>1205</v>
      </c>
      <c r="BJ628" s="46" t="s">
        <v>823</v>
      </c>
      <c r="BK628" s="46">
        <v>1964</v>
      </c>
      <c r="BL628" s="46" t="str">
        <f>BK628&amp;BI628</f>
        <v>1964Stoke City</v>
      </c>
      <c r="BM628" s="52" t="str">
        <f>IF(AD628="Home",BI628,IF(AD628="Away",BJ628,Q628))</f>
        <v>Stoke City</v>
      </c>
      <c r="BN628" s="46"/>
      <c r="BO628" s="46"/>
      <c r="BP628" s="46"/>
      <c r="BQ628" s="46"/>
      <c r="BR628" s="46"/>
      <c r="BS628" s="46"/>
      <c r="BT628" s="46"/>
      <c r="BU628" s="46"/>
      <c r="BV628" s="46" t="s">
        <v>376</v>
      </c>
      <c r="BW628" s="46" t="s">
        <v>376</v>
      </c>
      <c r="BX628" s="46"/>
      <c r="BY628" s="50"/>
      <c r="BZ628" s="53"/>
      <c r="CA628" s="53"/>
      <c r="CB628" s="93" t="str">
        <f>IF(OR(C628="",A628="",B628=""),"",TEXT(C628,"0000")&amp;TEXT(A628,"00")&amp;TEXT(B628,"00"))</f>
        <v>19640115</v>
      </c>
    </row>
    <row r="629" spans="1:80" s="52" customFormat="1" ht="12.95" customHeight="1" x14ac:dyDescent="0.2">
      <c r="A629" s="46">
        <v>1</v>
      </c>
      <c r="B629" s="46">
        <v>15</v>
      </c>
      <c r="C629" s="46">
        <v>1964</v>
      </c>
      <c r="D629" s="46" t="s">
        <v>658</v>
      </c>
      <c r="E629" s="46" t="s">
        <v>569</v>
      </c>
      <c r="F629" s="54" t="s">
        <v>1327</v>
      </c>
      <c r="G629" s="46"/>
      <c r="H629" s="54" t="s">
        <v>1011</v>
      </c>
      <c r="I629" s="54">
        <v>1</v>
      </c>
      <c r="J629" s="55">
        <v>23391</v>
      </c>
      <c r="K629" s="46" t="s">
        <v>823</v>
      </c>
      <c r="L629" s="46" t="s">
        <v>4</v>
      </c>
      <c r="M629" s="46" t="s">
        <v>1205</v>
      </c>
      <c r="N629" s="49">
        <v>0</v>
      </c>
      <c r="O629" s="49">
        <v>2</v>
      </c>
      <c r="P629" s="54" t="s">
        <v>1144</v>
      </c>
      <c r="Q629" s="54" t="s">
        <v>1145</v>
      </c>
      <c r="R629" s="54" t="s">
        <v>376</v>
      </c>
      <c r="S629" s="46"/>
      <c r="T629" s="46"/>
      <c r="U629" s="46"/>
      <c r="V629" s="46"/>
      <c r="W629" s="46"/>
      <c r="X629" s="46"/>
      <c r="Y629" s="46"/>
      <c r="Z629" s="46"/>
      <c r="AA629" s="46"/>
      <c r="AB629" s="46"/>
      <c r="AC629" s="46"/>
      <c r="AD629" s="46" t="s">
        <v>1037</v>
      </c>
      <c r="AE629" s="50">
        <f>IF(L629="W",1,0)</f>
        <v>0</v>
      </c>
      <c r="AF629" s="50">
        <f>IF(L629="T",1,0)</f>
        <v>0</v>
      </c>
      <c r="AG629" s="50">
        <f>IF(L629="L",1,0)</f>
        <v>1</v>
      </c>
      <c r="AH629" s="46"/>
      <c r="AI629" s="46"/>
      <c r="AJ629" s="46" t="s">
        <v>376</v>
      </c>
      <c r="AK629" s="46" t="s">
        <v>658</v>
      </c>
      <c r="AL629" s="46"/>
      <c r="AM629" s="46"/>
      <c r="AN629" s="46" t="s">
        <v>376</v>
      </c>
      <c r="AO629" s="46" t="s">
        <v>658</v>
      </c>
      <c r="AP629" s="46"/>
      <c r="AQ629" s="46">
        <v>2</v>
      </c>
      <c r="AR629" s="46"/>
      <c r="AS629" s="46"/>
      <c r="AT629" s="46"/>
      <c r="AU629" s="46" t="s">
        <v>376</v>
      </c>
      <c r="AV629" s="46"/>
      <c r="AW629" s="46" t="s">
        <v>30</v>
      </c>
      <c r="AX629" s="46"/>
      <c r="AY629" s="46"/>
      <c r="AZ629" s="46" t="s">
        <v>30</v>
      </c>
      <c r="BA629" s="54"/>
      <c r="BB629" s="51"/>
      <c r="BC629" s="46"/>
      <c r="BD629" s="46"/>
      <c r="BE629" s="46"/>
      <c r="BF629" s="46">
        <v>1</v>
      </c>
      <c r="BG629" s="46">
        <v>2</v>
      </c>
      <c r="BH629" s="46">
        <v>1</v>
      </c>
      <c r="BI629" s="46" t="s">
        <v>823</v>
      </c>
      <c r="BJ629" s="46" t="s">
        <v>1205</v>
      </c>
      <c r="BK629" s="46">
        <v>1964</v>
      </c>
      <c r="BL629" s="46" t="str">
        <f>BK629&amp;BI629</f>
        <v>1964Manchester City</v>
      </c>
      <c r="BM629" s="52" t="str">
        <f>IF(AD629="Home",BI629,IF(AD629="Away",BJ629,Q629))</f>
        <v>Stoke City</v>
      </c>
      <c r="BN629" s="46"/>
      <c r="BO629" s="46"/>
      <c r="BP629" s="46"/>
      <c r="BQ629" s="46"/>
      <c r="BR629" s="46"/>
      <c r="BS629" s="46"/>
      <c r="BT629" s="46"/>
      <c r="BU629" s="46"/>
      <c r="BV629" s="46" t="s">
        <v>376</v>
      </c>
      <c r="BW629" s="46" t="s">
        <v>376</v>
      </c>
      <c r="BX629" s="46"/>
      <c r="BY629" s="50"/>
      <c r="BZ629" s="53"/>
      <c r="CA629" s="53"/>
      <c r="CB629" s="93" t="str">
        <f>IF(OR(C629="",A629="",B629=""),"",TEXT(C629,"0000")&amp;TEXT(A629,"00")&amp;TEXT(B629,"00"))</f>
        <v>19640115</v>
      </c>
    </row>
    <row r="630" spans="1:80" s="52" customFormat="1" ht="12.95" customHeight="1" x14ac:dyDescent="0.2">
      <c r="A630" s="46">
        <v>2</v>
      </c>
      <c r="B630" s="46">
        <v>5</v>
      </c>
      <c r="C630" s="46">
        <v>1964</v>
      </c>
      <c r="D630" s="46" t="s">
        <v>658</v>
      </c>
      <c r="E630" s="46" t="s">
        <v>569</v>
      </c>
      <c r="F630" s="54" t="s">
        <v>1327</v>
      </c>
      <c r="G630" s="46"/>
      <c r="H630" s="54" t="s">
        <v>1011</v>
      </c>
      <c r="I630" s="54">
        <v>1</v>
      </c>
      <c r="J630" s="55">
        <v>23412</v>
      </c>
      <c r="K630" s="46" t="s">
        <v>1291</v>
      </c>
      <c r="L630" s="46" t="s">
        <v>3</v>
      </c>
      <c r="M630" s="46" t="s">
        <v>803</v>
      </c>
      <c r="N630" s="49">
        <v>4</v>
      </c>
      <c r="O630" s="49">
        <v>3</v>
      </c>
      <c r="P630" s="54" t="s">
        <v>1277</v>
      </c>
      <c r="Q630" s="54" t="s">
        <v>1278</v>
      </c>
      <c r="R630" s="54" t="s">
        <v>376</v>
      </c>
      <c r="S630" s="46"/>
      <c r="T630" s="46"/>
      <c r="U630" s="46"/>
      <c r="V630" s="46"/>
      <c r="W630" s="46"/>
      <c r="X630" s="46"/>
      <c r="Y630" s="46"/>
      <c r="Z630" s="46"/>
      <c r="AA630" s="46"/>
      <c r="AB630" s="46"/>
      <c r="AC630" s="46"/>
      <c r="AD630" s="46" t="s">
        <v>1033</v>
      </c>
      <c r="AE630" s="50">
        <f>IF(L630="W",1,0)</f>
        <v>1</v>
      </c>
      <c r="AF630" s="50">
        <f>IF(L630="T",1,0)</f>
        <v>0</v>
      </c>
      <c r="AG630" s="50">
        <f>IF(L630="L",1,0)</f>
        <v>0</v>
      </c>
      <c r="AH630" s="46"/>
      <c r="AI630" s="46"/>
      <c r="AJ630" s="46" t="s">
        <v>376</v>
      </c>
      <c r="AK630" s="46" t="s">
        <v>658</v>
      </c>
      <c r="AL630" s="46"/>
      <c r="AM630" s="46"/>
      <c r="AN630" s="46" t="s">
        <v>376</v>
      </c>
      <c r="AO630" s="46" t="s">
        <v>658</v>
      </c>
      <c r="AP630" s="46"/>
      <c r="AQ630" s="46">
        <v>2</v>
      </c>
      <c r="AR630" s="46"/>
      <c r="AS630" s="46"/>
      <c r="AT630" s="46"/>
      <c r="AU630" s="46" t="s">
        <v>376</v>
      </c>
      <c r="AV630" s="46"/>
      <c r="AW630" s="46" t="s">
        <v>30</v>
      </c>
      <c r="AX630" s="46"/>
      <c r="AY630" s="46"/>
      <c r="AZ630" s="46" t="s">
        <v>30</v>
      </c>
      <c r="BA630" s="54"/>
      <c r="BB630" s="51"/>
      <c r="BC630" s="46"/>
      <c r="BD630" s="46"/>
      <c r="BE630" s="46"/>
      <c r="BF630" s="46">
        <v>1</v>
      </c>
      <c r="BG630" s="46">
        <v>1</v>
      </c>
      <c r="BH630" s="46">
        <v>1</v>
      </c>
      <c r="BI630" s="46" t="s">
        <v>1291</v>
      </c>
      <c r="BJ630" s="46" t="s">
        <v>803</v>
      </c>
      <c r="BK630" s="46">
        <v>1964</v>
      </c>
      <c r="BL630" s="46" t="str">
        <f>BK630&amp;BI630</f>
        <v>1964Leicester City</v>
      </c>
      <c r="BM630" s="52" t="str">
        <f>IF(AD630="Home",BI630,IF(AD630="Away",BJ630,Q630))</f>
        <v>Leicester City</v>
      </c>
      <c r="BN630" s="46"/>
      <c r="BO630" s="46"/>
      <c r="BP630" s="46"/>
      <c r="BQ630" s="46"/>
      <c r="BR630" s="46"/>
      <c r="BS630" s="46"/>
      <c r="BT630" s="46"/>
      <c r="BU630" s="46"/>
      <c r="BV630" s="46" t="s">
        <v>376</v>
      </c>
      <c r="BW630" s="46" t="s">
        <v>376</v>
      </c>
      <c r="BX630" s="46"/>
      <c r="BZ630" s="53"/>
      <c r="CA630" s="53"/>
      <c r="CB630" s="93" t="str">
        <f>IF(OR(C630="",A630="",B630=""),"",TEXT(C630,"0000")&amp;TEXT(A630,"00")&amp;TEXT(B630,"00"))</f>
        <v>19640205</v>
      </c>
    </row>
    <row r="631" spans="1:80" s="52" customFormat="1" ht="12.95" customHeight="1" x14ac:dyDescent="0.2">
      <c r="A631" s="46">
        <v>2</v>
      </c>
      <c r="B631" s="46">
        <v>5</v>
      </c>
      <c r="C631" s="46">
        <v>1964</v>
      </c>
      <c r="D631" s="46" t="s">
        <v>658</v>
      </c>
      <c r="E631" s="46" t="s">
        <v>569</v>
      </c>
      <c r="F631" s="54" t="s">
        <v>1327</v>
      </c>
      <c r="G631" s="46"/>
      <c r="H631" s="54" t="s">
        <v>1011</v>
      </c>
      <c r="I631" s="54">
        <v>1</v>
      </c>
      <c r="J631" s="55">
        <v>23412</v>
      </c>
      <c r="K631" s="46" t="s">
        <v>803</v>
      </c>
      <c r="L631" s="46" t="s">
        <v>4</v>
      </c>
      <c r="M631" s="46" t="s">
        <v>1291</v>
      </c>
      <c r="N631" s="49">
        <v>3</v>
      </c>
      <c r="O631" s="49">
        <v>4</v>
      </c>
      <c r="P631" s="54" t="s">
        <v>1277</v>
      </c>
      <c r="Q631" s="54" t="s">
        <v>1278</v>
      </c>
      <c r="R631" s="54" t="s">
        <v>376</v>
      </c>
      <c r="S631" s="46"/>
      <c r="T631" s="46"/>
      <c r="U631" s="46"/>
      <c r="V631" s="46"/>
      <c r="W631" s="46"/>
      <c r="X631" s="46"/>
      <c r="Y631" s="46"/>
      <c r="Z631" s="46"/>
      <c r="AA631" s="46"/>
      <c r="AB631" s="46"/>
      <c r="AC631" s="46"/>
      <c r="AD631" s="46" t="s">
        <v>1037</v>
      </c>
      <c r="AE631" s="50">
        <f>IF(L631="W",1,0)</f>
        <v>0</v>
      </c>
      <c r="AF631" s="50">
        <f>IF(L631="T",1,0)</f>
        <v>0</v>
      </c>
      <c r="AG631" s="50">
        <f>IF(L631="L",1,0)</f>
        <v>1</v>
      </c>
      <c r="AH631" s="46"/>
      <c r="AI631" s="46"/>
      <c r="AJ631" s="46" t="s">
        <v>376</v>
      </c>
      <c r="AK631" s="46" t="s">
        <v>658</v>
      </c>
      <c r="AL631" s="46"/>
      <c r="AM631" s="46"/>
      <c r="AN631" s="46" t="s">
        <v>376</v>
      </c>
      <c r="AO631" s="46" t="s">
        <v>658</v>
      </c>
      <c r="AP631" s="46"/>
      <c r="AQ631" s="46">
        <v>2</v>
      </c>
      <c r="AR631" s="46"/>
      <c r="AS631" s="46"/>
      <c r="AT631" s="46"/>
      <c r="AU631" s="46" t="s">
        <v>376</v>
      </c>
      <c r="AV631" s="46"/>
      <c r="AW631" s="46" t="s">
        <v>30</v>
      </c>
      <c r="AX631" s="46"/>
      <c r="AY631" s="46"/>
      <c r="AZ631" s="46" t="s">
        <v>30</v>
      </c>
      <c r="BA631" s="54"/>
      <c r="BB631" s="51"/>
      <c r="BC631" s="46"/>
      <c r="BD631" s="46"/>
      <c r="BE631" s="46"/>
      <c r="BF631" s="46">
        <v>1</v>
      </c>
      <c r="BG631" s="46">
        <v>1</v>
      </c>
      <c r="BH631" s="46">
        <v>1</v>
      </c>
      <c r="BI631" s="46" t="s">
        <v>803</v>
      </c>
      <c r="BJ631" s="46" t="s">
        <v>1291</v>
      </c>
      <c r="BK631" s="46">
        <v>1964</v>
      </c>
      <c r="BL631" s="46" t="str">
        <f>BK631&amp;BI631</f>
        <v>1964West Ham United</v>
      </c>
      <c r="BM631" s="52" t="str">
        <f>IF(AD631="Home",BI631,IF(AD631="Away",BJ631,Q631))</f>
        <v>Leicester City</v>
      </c>
      <c r="BN631" s="46"/>
      <c r="BO631" s="46"/>
      <c r="BP631" s="46"/>
      <c r="BQ631" s="46"/>
      <c r="BR631" s="46"/>
      <c r="BS631" s="46"/>
      <c r="BT631" s="46"/>
      <c r="BU631" s="46"/>
      <c r="BV631" s="46" t="s">
        <v>376</v>
      </c>
      <c r="BW631" s="46" t="s">
        <v>376</v>
      </c>
      <c r="BX631" s="46"/>
      <c r="BZ631" s="53"/>
      <c r="CA631" s="53"/>
      <c r="CB631" s="93" t="str">
        <f>IF(OR(C631="",A631="",B631=""),"",TEXT(C631,"0000")&amp;TEXT(A631,"00")&amp;TEXT(B631,"00"))</f>
        <v>19640205</v>
      </c>
    </row>
    <row r="632" spans="1:80" s="52" customFormat="1" ht="12.95" customHeight="1" x14ac:dyDescent="0.2">
      <c r="A632" s="46">
        <v>2</v>
      </c>
      <c r="B632" s="46">
        <v>5</v>
      </c>
      <c r="C632" s="46">
        <v>1964</v>
      </c>
      <c r="D632" s="46" t="s">
        <v>658</v>
      </c>
      <c r="E632" s="46" t="s">
        <v>569</v>
      </c>
      <c r="F632" s="54" t="s">
        <v>1327</v>
      </c>
      <c r="G632" s="46"/>
      <c r="H632" s="54" t="s">
        <v>1011</v>
      </c>
      <c r="I632" s="54">
        <v>2</v>
      </c>
      <c r="J632" s="55">
        <v>23412</v>
      </c>
      <c r="K632" s="46" t="s">
        <v>823</v>
      </c>
      <c r="L632" s="46" t="s">
        <v>3</v>
      </c>
      <c r="M632" s="46" t="s">
        <v>1205</v>
      </c>
      <c r="N632" s="49">
        <v>1</v>
      </c>
      <c r="O632" s="49">
        <v>0</v>
      </c>
      <c r="P632" s="54" t="s">
        <v>1226</v>
      </c>
      <c r="Q632" s="54" t="s">
        <v>1101</v>
      </c>
      <c r="R632" s="54" t="s">
        <v>376</v>
      </c>
      <c r="S632" s="46"/>
      <c r="T632" s="46"/>
      <c r="U632" s="46"/>
      <c r="V632" s="46"/>
      <c r="W632" s="46"/>
      <c r="X632" s="46"/>
      <c r="Y632" s="46"/>
      <c r="Z632" s="46"/>
      <c r="AA632" s="46"/>
      <c r="AB632" s="46"/>
      <c r="AC632" s="46"/>
      <c r="AD632" s="46" t="s">
        <v>1033</v>
      </c>
      <c r="AE632" s="50">
        <f>IF(L632="W",1,0)</f>
        <v>1</v>
      </c>
      <c r="AF632" s="50">
        <f>IF(L632="T",1,0)</f>
        <v>0</v>
      </c>
      <c r="AG632" s="50">
        <f>IF(L632="L",1,0)</f>
        <v>0</v>
      </c>
      <c r="AH632" s="46"/>
      <c r="AI632" s="46"/>
      <c r="AJ632" s="46" t="s">
        <v>376</v>
      </c>
      <c r="AK632" s="46" t="s">
        <v>658</v>
      </c>
      <c r="AL632" s="46"/>
      <c r="AM632" s="46"/>
      <c r="AN632" s="46" t="s">
        <v>376</v>
      </c>
      <c r="AO632" s="46" t="s">
        <v>658</v>
      </c>
      <c r="AP632" s="46"/>
      <c r="AQ632" s="46">
        <v>2</v>
      </c>
      <c r="AR632" s="46"/>
      <c r="AS632" s="46"/>
      <c r="AT632" s="46"/>
      <c r="AU632" s="46" t="s">
        <v>376</v>
      </c>
      <c r="AV632" s="46"/>
      <c r="AW632" s="46" t="s">
        <v>30</v>
      </c>
      <c r="AX632" s="46"/>
      <c r="AY632" s="46"/>
      <c r="AZ632" s="46" t="s">
        <v>30</v>
      </c>
      <c r="BA632" s="54"/>
      <c r="BB632" s="51"/>
      <c r="BC632" s="46"/>
      <c r="BD632" s="46"/>
      <c r="BE632" s="46"/>
      <c r="BF632" s="46">
        <v>1</v>
      </c>
      <c r="BG632" s="46">
        <v>2</v>
      </c>
      <c r="BH632" s="46">
        <v>1</v>
      </c>
      <c r="BI632" s="46" t="s">
        <v>823</v>
      </c>
      <c r="BJ632" s="46" t="s">
        <v>1205</v>
      </c>
      <c r="BK632" s="46">
        <v>1964</v>
      </c>
      <c r="BL632" s="46" t="str">
        <f>BK632&amp;BI632</f>
        <v>1964Manchester City</v>
      </c>
      <c r="BM632" s="52" t="str">
        <f>IF(AD632="Home",BI632,IF(AD632="Away",BJ632,Q632))</f>
        <v>Manchester City</v>
      </c>
      <c r="BN632" s="46"/>
      <c r="BO632" s="46"/>
      <c r="BP632" s="46"/>
      <c r="BQ632" s="46"/>
      <c r="BR632" s="46"/>
      <c r="BS632" s="46"/>
      <c r="BT632" s="46"/>
      <c r="BU632" s="46"/>
      <c r="BV632" s="46" t="s">
        <v>376</v>
      </c>
      <c r="BW632" s="46" t="s">
        <v>376</v>
      </c>
      <c r="BX632" s="46"/>
      <c r="BZ632" s="53"/>
      <c r="CA632" s="53"/>
      <c r="CB632" s="93" t="str">
        <f>IF(OR(C632="",A632="",B632=""),"",TEXT(C632,"0000")&amp;TEXT(A632,"00")&amp;TEXT(B632,"00"))</f>
        <v>19640205</v>
      </c>
    </row>
    <row r="633" spans="1:80" s="52" customFormat="1" ht="12.95" customHeight="1" x14ac:dyDescent="0.2">
      <c r="A633" s="46">
        <v>2</v>
      </c>
      <c r="B633" s="46">
        <v>5</v>
      </c>
      <c r="C633" s="46">
        <v>1964</v>
      </c>
      <c r="D633" s="46" t="s">
        <v>658</v>
      </c>
      <c r="E633" s="46" t="s">
        <v>569</v>
      </c>
      <c r="F633" s="54" t="s">
        <v>1327</v>
      </c>
      <c r="G633" s="46"/>
      <c r="H633" s="54" t="s">
        <v>1011</v>
      </c>
      <c r="I633" s="54">
        <v>2</v>
      </c>
      <c r="J633" s="55">
        <v>23412</v>
      </c>
      <c r="K633" s="46" t="s">
        <v>1205</v>
      </c>
      <c r="L633" s="46" t="s">
        <v>4</v>
      </c>
      <c r="M633" s="46" t="s">
        <v>823</v>
      </c>
      <c r="N633" s="49">
        <v>0</v>
      </c>
      <c r="O633" s="49">
        <v>1</v>
      </c>
      <c r="P633" s="54" t="s">
        <v>1226</v>
      </c>
      <c r="Q633" s="54" t="s">
        <v>1101</v>
      </c>
      <c r="R633" s="54" t="s">
        <v>376</v>
      </c>
      <c r="S633" s="46"/>
      <c r="T633" s="46"/>
      <c r="U633" s="46"/>
      <c r="V633" s="46"/>
      <c r="W633" s="46"/>
      <c r="X633" s="46"/>
      <c r="Y633" s="46"/>
      <c r="Z633" s="46"/>
      <c r="AA633" s="46"/>
      <c r="AB633" s="46"/>
      <c r="AC633" s="46"/>
      <c r="AD633" s="46" t="s">
        <v>1037</v>
      </c>
      <c r="AE633" s="50">
        <f>IF(L633="W",1,0)</f>
        <v>0</v>
      </c>
      <c r="AF633" s="50">
        <f>IF(L633="T",1,0)</f>
        <v>0</v>
      </c>
      <c r="AG633" s="50">
        <f>IF(L633="L",1,0)</f>
        <v>1</v>
      </c>
      <c r="AH633" s="46"/>
      <c r="AI633" s="46"/>
      <c r="AJ633" s="46" t="s">
        <v>376</v>
      </c>
      <c r="AK633" s="46" t="s">
        <v>658</v>
      </c>
      <c r="AL633" s="46"/>
      <c r="AM633" s="46"/>
      <c r="AN633" s="46" t="s">
        <v>376</v>
      </c>
      <c r="AO633" s="46" t="s">
        <v>658</v>
      </c>
      <c r="AP633" s="46"/>
      <c r="AQ633" s="46">
        <v>2</v>
      </c>
      <c r="AR633" s="46"/>
      <c r="AS633" s="46"/>
      <c r="AT633" s="46"/>
      <c r="AU633" s="46" t="s">
        <v>376</v>
      </c>
      <c r="AV633" s="46"/>
      <c r="AW633" s="46" t="s">
        <v>30</v>
      </c>
      <c r="AX633" s="46"/>
      <c r="AY633" s="46"/>
      <c r="AZ633" s="46" t="s">
        <v>30</v>
      </c>
      <c r="BA633" s="54"/>
      <c r="BB633" s="51"/>
      <c r="BC633" s="46"/>
      <c r="BD633" s="46"/>
      <c r="BE633" s="46"/>
      <c r="BF633" s="46">
        <v>1</v>
      </c>
      <c r="BG633" s="46">
        <v>1</v>
      </c>
      <c r="BH633" s="46">
        <v>2</v>
      </c>
      <c r="BI633" s="46" t="s">
        <v>1205</v>
      </c>
      <c r="BJ633" s="46" t="s">
        <v>823</v>
      </c>
      <c r="BK633" s="46">
        <v>1964</v>
      </c>
      <c r="BL633" s="46" t="str">
        <f>BK633&amp;BI633</f>
        <v>1964Stoke City</v>
      </c>
      <c r="BM633" s="52" t="str">
        <f>IF(AD633="Home",BI633,IF(AD633="Away",BJ633,Q633))</f>
        <v>Manchester City</v>
      </c>
      <c r="BN633" s="46"/>
      <c r="BO633" s="46"/>
      <c r="BP633" s="46"/>
      <c r="BQ633" s="46"/>
      <c r="BR633" s="46"/>
      <c r="BS633" s="46"/>
      <c r="BT633" s="46"/>
      <c r="BU633" s="46"/>
      <c r="BV633" s="46" t="s">
        <v>376</v>
      </c>
      <c r="BW633" s="46" t="s">
        <v>376</v>
      </c>
      <c r="BX633" s="46"/>
      <c r="BZ633" s="53"/>
      <c r="CA633" s="53"/>
      <c r="CB633" s="93" t="str">
        <f>IF(OR(C633="",A633="",B633=""),"",TEXT(C633,"0000")&amp;TEXT(A633,"00")&amp;TEXT(B633,"00"))</f>
        <v>19640205</v>
      </c>
    </row>
    <row r="634" spans="1:80" s="52" customFormat="1" ht="12.95" customHeight="1" x14ac:dyDescent="0.2">
      <c r="A634" s="46">
        <v>3</v>
      </c>
      <c r="B634" s="46">
        <v>14</v>
      </c>
      <c r="C634" s="46">
        <v>1964</v>
      </c>
      <c r="D634" s="46" t="s">
        <v>658</v>
      </c>
      <c r="E634" s="46" t="s">
        <v>569</v>
      </c>
      <c r="F634" s="47" t="s">
        <v>1010</v>
      </c>
      <c r="G634" s="46"/>
      <c r="H634" s="47" t="s">
        <v>1011</v>
      </c>
      <c r="I634" s="47"/>
      <c r="J634" s="48">
        <v>23450</v>
      </c>
      <c r="K634" s="46" t="s">
        <v>803</v>
      </c>
      <c r="L634" s="46" t="s">
        <v>3</v>
      </c>
      <c r="M634" s="46" t="s">
        <v>821</v>
      </c>
      <c r="N634" s="49">
        <v>3</v>
      </c>
      <c r="O634" s="49">
        <v>1</v>
      </c>
      <c r="P634" s="47" t="s">
        <v>1252</v>
      </c>
      <c r="Q634" s="47" t="s">
        <v>1097</v>
      </c>
      <c r="R634" s="47" t="s">
        <v>376</v>
      </c>
      <c r="S634" s="46"/>
      <c r="T634" s="46"/>
      <c r="U634" s="46"/>
      <c r="V634" s="46"/>
      <c r="W634" s="46"/>
      <c r="X634" s="46"/>
      <c r="Y634" s="46"/>
      <c r="Z634" s="46"/>
      <c r="AA634" s="46"/>
      <c r="AB634" s="46"/>
      <c r="AC634" s="46"/>
      <c r="AD634" s="46"/>
      <c r="AE634" s="50">
        <f>IF(L634="W",1,0)</f>
        <v>1</v>
      </c>
      <c r="AF634" s="50">
        <f>IF(L634="T",1,0)</f>
        <v>0</v>
      </c>
      <c r="AG634" s="50">
        <f>IF(L634="L",1,0)</f>
        <v>0</v>
      </c>
      <c r="AH634" s="46" t="s">
        <v>1017</v>
      </c>
      <c r="AI634" s="46" t="s">
        <v>1018</v>
      </c>
      <c r="AJ634" s="46" t="s">
        <v>376</v>
      </c>
      <c r="AK634" s="46" t="s">
        <v>658</v>
      </c>
      <c r="AL634" s="46" t="s">
        <v>1101</v>
      </c>
      <c r="AM634" s="46" t="s">
        <v>1159</v>
      </c>
      <c r="AN634" s="46" t="s">
        <v>376</v>
      </c>
      <c r="AO634" s="46" t="s">
        <v>658</v>
      </c>
      <c r="AP634" s="46"/>
      <c r="AQ634" s="46">
        <v>2</v>
      </c>
      <c r="AR634" s="46"/>
      <c r="AS634" s="46"/>
      <c r="AT634" s="46"/>
      <c r="AU634" s="46" t="s">
        <v>376</v>
      </c>
      <c r="AV634" s="46"/>
      <c r="AW634" s="46" t="s">
        <v>30</v>
      </c>
      <c r="AX634" s="46"/>
      <c r="AY634" s="46" t="s">
        <v>30</v>
      </c>
      <c r="AZ634" s="46"/>
      <c r="BA634" s="47"/>
      <c r="BB634" s="51"/>
      <c r="BC634" s="46"/>
      <c r="BD634" s="46"/>
      <c r="BE634" s="46"/>
      <c r="BF634" s="46">
        <v>1</v>
      </c>
      <c r="BG634" s="46">
        <v>1</v>
      </c>
      <c r="BH634" s="46">
        <v>1</v>
      </c>
      <c r="BI634" s="46" t="s">
        <v>803</v>
      </c>
      <c r="BJ634" s="46" t="s">
        <v>821</v>
      </c>
      <c r="BK634" s="46">
        <v>1964</v>
      </c>
      <c r="BL634" s="46" t="str">
        <f>BK634&amp;BI634</f>
        <v>1964West Ham United</v>
      </c>
      <c r="BM634" s="52" t="str">
        <f>IF(AD634="Home",BI634,IF(AD634="Away",BJ634,Q634))</f>
        <v>Sheffield</v>
      </c>
      <c r="BN634" s="46"/>
      <c r="BO634" s="46"/>
      <c r="BP634" s="46"/>
      <c r="BQ634" s="46"/>
      <c r="BR634" s="46"/>
      <c r="BS634" s="46"/>
      <c r="BT634" s="46"/>
      <c r="BU634" s="46"/>
      <c r="BV634" s="46" t="s">
        <v>376</v>
      </c>
      <c r="BW634" s="46" t="s">
        <v>376</v>
      </c>
      <c r="BX634" s="46"/>
      <c r="BY634" s="50"/>
      <c r="BZ634" s="53"/>
      <c r="CA634" s="53"/>
      <c r="CB634" s="93" t="str">
        <f>IF(OR(C634="",A634="",B634=""),"",TEXT(C634,"0000")&amp;TEXT(A634,"00")&amp;TEXT(B634,"00"))</f>
        <v>19640314</v>
      </c>
    </row>
    <row r="635" spans="1:80" s="52" customFormat="1" ht="12.95" customHeight="1" x14ac:dyDescent="0.2">
      <c r="A635" s="46">
        <v>3</v>
      </c>
      <c r="B635" s="46">
        <v>14</v>
      </c>
      <c r="C635" s="46">
        <v>1964</v>
      </c>
      <c r="D635" s="46" t="s">
        <v>658</v>
      </c>
      <c r="E635" s="46" t="s">
        <v>569</v>
      </c>
      <c r="F635" s="47" t="s">
        <v>1010</v>
      </c>
      <c r="G635" s="46"/>
      <c r="H635" s="47" t="s">
        <v>1011</v>
      </c>
      <c r="I635" s="47"/>
      <c r="J635" s="48">
        <v>23450</v>
      </c>
      <c r="K635" s="46" t="s">
        <v>821</v>
      </c>
      <c r="L635" s="46" t="s">
        <v>4</v>
      </c>
      <c r="M635" s="46" t="s">
        <v>803</v>
      </c>
      <c r="N635" s="49">
        <v>1</v>
      </c>
      <c r="O635" s="49">
        <v>3</v>
      </c>
      <c r="P635" s="47" t="s">
        <v>1252</v>
      </c>
      <c r="Q635" s="47" t="s">
        <v>1097</v>
      </c>
      <c r="R635" s="47" t="s">
        <v>376</v>
      </c>
      <c r="S635" s="46"/>
      <c r="T635" s="46"/>
      <c r="U635" s="46"/>
      <c r="V635" s="46"/>
      <c r="W635" s="46"/>
      <c r="X635" s="46"/>
      <c r="Y635" s="46"/>
      <c r="Z635" s="46"/>
      <c r="AA635" s="46"/>
      <c r="AB635" s="46"/>
      <c r="AC635" s="46"/>
      <c r="AD635" s="46"/>
      <c r="AE635" s="50">
        <f>IF(L635="W",1,0)</f>
        <v>0</v>
      </c>
      <c r="AF635" s="50">
        <f>IF(L635="T",1,0)</f>
        <v>0</v>
      </c>
      <c r="AG635" s="50">
        <f>IF(L635="L",1,0)</f>
        <v>1</v>
      </c>
      <c r="AH635" s="46" t="s">
        <v>1101</v>
      </c>
      <c r="AI635" s="46" t="s">
        <v>1159</v>
      </c>
      <c r="AJ635" s="46" t="s">
        <v>376</v>
      </c>
      <c r="AK635" s="46" t="s">
        <v>658</v>
      </c>
      <c r="AL635" s="46" t="s">
        <v>1017</v>
      </c>
      <c r="AM635" s="46" t="s">
        <v>1018</v>
      </c>
      <c r="AN635" s="46" t="s">
        <v>376</v>
      </c>
      <c r="AO635" s="46" t="s">
        <v>658</v>
      </c>
      <c r="AP635" s="46"/>
      <c r="AQ635" s="46">
        <v>2</v>
      </c>
      <c r="AR635" s="46"/>
      <c r="AS635" s="46"/>
      <c r="AT635" s="46"/>
      <c r="AU635" s="46" t="s">
        <v>376</v>
      </c>
      <c r="AV635" s="46"/>
      <c r="AW635" s="46" t="s">
        <v>30</v>
      </c>
      <c r="AX635" s="46"/>
      <c r="AY635" s="46" t="s">
        <v>30</v>
      </c>
      <c r="AZ635" s="46"/>
      <c r="BA635" s="47"/>
      <c r="BB635" s="51"/>
      <c r="BC635" s="46"/>
      <c r="BD635" s="46"/>
      <c r="BE635" s="46"/>
      <c r="BF635" s="46">
        <v>1</v>
      </c>
      <c r="BG635" s="46">
        <v>1</v>
      </c>
      <c r="BH635" s="46">
        <v>1</v>
      </c>
      <c r="BI635" s="46" t="s">
        <v>821</v>
      </c>
      <c r="BJ635" s="46" t="s">
        <v>803</v>
      </c>
      <c r="BK635" s="46">
        <v>1964</v>
      </c>
      <c r="BL635" s="46" t="str">
        <f>BK635&amp;BI635</f>
        <v>1964Manchester United</v>
      </c>
      <c r="BM635" s="52" t="str">
        <f>IF(AD635="Home",BI635,IF(AD635="Away",BJ635,Q635))</f>
        <v>Sheffield</v>
      </c>
      <c r="BN635" s="46"/>
      <c r="BO635" s="46"/>
      <c r="BP635" s="46"/>
      <c r="BQ635" s="46"/>
      <c r="BR635" s="46"/>
      <c r="BS635" s="46"/>
      <c r="BT635" s="46"/>
      <c r="BU635" s="46"/>
      <c r="BV635" s="46" t="s">
        <v>376</v>
      </c>
      <c r="BW635" s="46" t="s">
        <v>376</v>
      </c>
      <c r="BX635" s="46"/>
      <c r="BY635" s="50"/>
      <c r="BZ635" s="53"/>
      <c r="CA635" s="53"/>
      <c r="CB635" s="93" t="str">
        <f>IF(OR(C635="",A635="",B635=""),"",TEXT(C635,"0000")&amp;TEXT(A635,"00")&amp;TEXT(B635,"00"))</f>
        <v>19640314</v>
      </c>
    </row>
    <row r="636" spans="1:80" s="52" customFormat="1" ht="12.95" customHeight="1" x14ac:dyDescent="0.2">
      <c r="A636" s="46">
        <v>3</v>
      </c>
      <c r="B636" s="46">
        <v>14</v>
      </c>
      <c r="C636" s="46">
        <v>1964</v>
      </c>
      <c r="D636" s="46" t="s">
        <v>658</v>
      </c>
      <c r="E636" s="46" t="s">
        <v>569</v>
      </c>
      <c r="F636" s="47" t="s">
        <v>1010</v>
      </c>
      <c r="G636" s="46"/>
      <c r="H636" s="47" t="s">
        <v>1011</v>
      </c>
      <c r="I636" s="47"/>
      <c r="J636" s="48">
        <v>23450</v>
      </c>
      <c r="K636" s="46" t="s">
        <v>640</v>
      </c>
      <c r="L636" s="46" t="s">
        <v>3</v>
      </c>
      <c r="M636" s="46" t="s">
        <v>1273</v>
      </c>
      <c r="N636" s="49">
        <v>2</v>
      </c>
      <c r="O636" s="49">
        <v>1</v>
      </c>
      <c r="P636" s="47" t="s">
        <v>1219</v>
      </c>
      <c r="Q636" s="47" t="s">
        <v>1111</v>
      </c>
      <c r="R636" s="47" t="s">
        <v>376</v>
      </c>
      <c r="S636" s="46"/>
      <c r="T636" s="46"/>
      <c r="U636" s="46"/>
      <c r="V636" s="46"/>
      <c r="W636" s="46"/>
      <c r="X636" s="46"/>
      <c r="Y636" s="46"/>
      <c r="Z636" s="46"/>
      <c r="AA636" s="46"/>
      <c r="AB636" s="46"/>
      <c r="AC636" s="46"/>
      <c r="AD636" s="46"/>
      <c r="AE636" s="50">
        <f>IF(L636="W",1,0)</f>
        <v>1</v>
      </c>
      <c r="AF636" s="50">
        <f>IF(L636="T",1,0)</f>
        <v>0</v>
      </c>
      <c r="AG636" s="50">
        <f>IF(L636="L",1,0)</f>
        <v>0</v>
      </c>
      <c r="AH636" s="46" t="s">
        <v>1136</v>
      </c>
      <c r="AI636" s="46" t="s">
        <v>1086</v>
      </c>
      <c r="AJ636" s="46" t="s">
        <v>376</v>
      </c>
      <c r="AK636" s="46" t="s">
        <v>658</v>
      </c>
      <c r="AL636" s="46" t="s">
        <v>1274</v>
      </c>
      <c r="AM636" s="46" t="s">
        <v>1264</v>
      </c>
      <c r="AN636" s="46" t="s">
        <v>376</v>
      </c>
      <c r="AO636" s="46" t="s">
        <v>658</v>
      </c>
      <c r="AP636" s="46"/>
      <c r="AQ636" s="46">
        <v>2</v>
      </c>
      <c r="AR636" s="46"/>
      <c r="AS636" s="46"/>
      <c r="AT636" s="46"/>
      <c r="AU636" s="46" t="s">
        <v>376</v>
      </c>
      <c r="AV636" s="46"/>
      <c r="AW636" s="46" t="s">
        <v>30</v>
      </c>
      <c r="AX636" s="46"/>
      <c r="AY636" s="46" t="s">
        <v>30</v>
      </c>
      <c r="AZ636" s="46"/>
      <c r="BA636" s="47"/>
      <c r="BB636" s="51"/>
      <c r="BC636" s="46"/>
      <c r="BD636" s="46"/>
      <c r="BE636" s="46"/>
      <c r="BF636" s="46">
        <v>1</v>
      </c>
      <c r="BG636" s="46">
        <v>2</v>
      </c>
      <c r="BH636" s="46">
        <v>2</v>
      </c>
      <c r="BI636" s="46" t="s">
        <v>640</v>
      </c>
      <c r="BJ636" s="46" t="s">
        <v>1273</v>
      </c>
      <c r="BK636" s="46">
        <v>1964</v>
      </c>
      <c r="BL636" s="46" t="str">
        <f>BK636&amp;BI636</f>
        <v>1964Preston North End</v>
      </c>
      <c r="BM636" s="52" t="str">
        <f>IF(AD636="Home",BI636,IF(AD636="Away",BJ636,Q636))</f>
        <v>Birmingham</v>
      </c>
      <c r="BN636" s="46"/>
      <c r="BO636" s="46"/>
      <c r="BP636" s="46"/>
      <c r="BQ636" s="46"/>
      <c r="BR636" s="46"/>
      <c r="BS636" s="46"/>
      <c r="BT636" s="46"/>
      <c r="BU636" s="46"/>
      <c r="BV636" s="46" t="s">
        <v>376</v>
      </c>
      <c r="BW636" s="46" t="s">
        <v>376</v>
      </c>
      <c r="BX636" s="46"/>
      <c r="BZ636" s="53"/>
      <c r="CA636" s="53"/>
      <c r="CB636" s="93" t="str">
        <f>IF(OR(C636="",A636="",B636=""),"",TEXT(C636,"0000")&amp;TEXT(A636,"00")&amp;TEXT(B636,"00"))</f>
        <v>19640314</v>
      </c>
    </row>
    <row r="637" spans="1:80" s="52" customFormat="1" ht="12.95" customHeight="1" x14ac:dyDescent="0.2">
      <c r="A637" s="46">
        <v>3</v>
      </c>
      <c r="B637" s="46">
        <v>14</v>
      </c>
      <c r="C637" s="46">
        <v>1964</v>
      </c>
      <c r="D637" s="46" t="s">
        <v>658</v>
      </c>
      <c r="E637" s="46" t="s">
        <v>569</v>
      </c>
      <c r="F637" s="47" t="s">
        <v>1010</v>
      </c>
      <c r="G637" s="46"/>
      <c r="H637" s="47" t="s">
        <v>1011</v>
      </c>
      <c r="I637" s="47"/>
      <c r="J637" s="48">
        <v>23450</v>
      </c>
      <c r="K637" s="46" t="s">
        <v>1273</v>
      </c>
      <c r="L637" s="46" t="s">
        <v>4</v>
      </c>
      <c r="M637" s="46" t="s">
        <v>640</v>
      </c>
      <c r="N637" s="49">
        <v>1</v>
      </c>
      <c r="O637" s="49">
        <v>2</v>
      </c>
      <c r="P637" s="47" t="s">
        <v>1219</v>
      </c>
      <c r="Q637" s="47" t="s">
        <v>1111</v>
      </c>
      <c r="R637" s="47" t="s">
        <v>376</v>
      </c>
      <c r="S637" s="46"/>
      <c r="T637" s="46"/>
      <c r="U637" s="46"/>
      <c r="V637" s="46"/>
      <c r="W637" s="46"/>
      <c r="X637" s="46"/>
      <c r="Y637" s="46"/>
      <c r="Z637" s="46"/>
      <c r="AA637" s="46"/>
      <c r="AB637" s="46"/>
      <c r="AC637" s="46"/>
      <c r="AD637" s="46"/>
      <c r="AE637" s="50">
        <f>IF(L637="W",1,0)</f>
        <v>0</v>
      </c>
      <c r="AF637" s="50">
        <f>IF(L637="T",1,0)</f>
        <v>0</v>
      </c>
      <c r="AG637" s="50">
        <f>IF(L637="L",1,0)</f>
        <v>1</v>
      </c>
      <c r="AH637" s="46" t="s">
        <v>1274</v>
      </c>
      <c r="AI637" s="46" t="s">
        <v>1264</v>
      </c>
      <c r="AJ637" s="46" t="s">
        <v>376</v>
      </c>
      <c r="AK637" s="46" t="s">
        <v>658</v>
      </c>
      <c r="AL637" s="46" t="s">
        <v>1136</v>
      </c>
      <c r="AM637" s="46" t="s">
        <v>1086</v>
      </c>
      <c r="AN637" s="46" t="s">
        <v>376</v>
      </c>
      <c r="AO637" s="46" t="s">
        <v>658</v>
      </c>
      <c r="AP637" s="46"/>
      <c r="AQ637" s="46">
        <v>2</v>
      </c>
      <c r="AR637" s="46"/>
      <c r="AS637" s="46"/>
      <c r="AT637" s="46"/>
      <c r="AU637" s="46" t="s">
        <v>376</v>
      </c>
      <c r="AV637" s="46"/>
      <c r="AW637" s="46" t="s">
        <v>30</v>
      </c>
      <c r="AX637" s="46"/>
      <c r="AY637" s="46" t="s">
        <v>30</v>
      </c>
      <c r="AZ637" s="46"/>
      <c r="BA637" s="47"/>
      <c r="BB637" s="51"/>
      <c r="BC637" s="46"/>
      <c r="BD637" s="46"/>
      <c r="BE637" s="46"/>
      <c r="BF637" s="46">
        <v>1</v>
      </c>
      <c r="BG637" s="46">
        <v>2</v>
      </c>
      <c r="BH637" s="46">
        <v>2</v>
      </c>
      <c r="BI637" s="46" t="s">
        <v>1273</v>
      </c>
      <c r="BJ637" s="46" t="s">
        <v>640</v>
      </c>
      <c r="BK637" s="46">
        <v>1964</v>
      </c>
      <c r="BL637" s="46" t="str">
        <f>BK637&amp;BI637</f>
        <v>1964Swansea City</v>
      </c>
      <c r="BM637" s="52" t="str">
        <f>IF(AD637="Home",BI637,IF(AD637="Away",BJ637,Q637))</f>
        <v>Birmingham</v>
      </c>
      <c r="BN637" s="46"/>
      <c r="BO637" s="46"/>
      <c r="BP637" s="46"/>
      <c r="BQ637" s="46"/>
      <c r="BR637" s="46"/>
      <c r="BS637" s="46"/>
      <c r="BT637" s="46"/>
      <c r="BU637" s="46"/>
      <c r="BV637" s="46" t="s">
        <v>376</v>
      </c>
      <c r="BW637" s="46" t="s">
        <v>376</v>
      </c>
      <c r="BX637" s="46"/>
      <c r="BZ637" s="53"/>
      <c r="CA637" s="53"/>
      <c r="CB637" s="93" t="str">
        <f>IF(OR(C637="",A637="",B637=""),"",TEXT(C637,"0000")&amp;TEXT(A637,"00")&amp;TEXT(B637,"00"))</f>
        <v>19640314</v>
      </c>
    </row>
    <row r="638" spans="1:80" s="52" customFormat="1" ht="12.95" customHeight="1" x14ac:dyDescent="0.2">
      <c r="A638" s="46">
        <v>3</v>
      </c>
      <c r="B638" s="46">
        <v>23</v>
      </c>
      <c r="C638" s="46">
        <v>1964</v>
      </c>
      <c r="D638" s="46" t="s">
        <v>658</v>
      </c>
      <c r="E638" s="46" t="s">
        <v>569</v>
      </c>
      <c r="F638" s="54" t="s">
        <v>1327</v>
      </c>
      <c r="G638" s="46"/>
      <c r="H638" s="54" t="s">
        <v>1011</v>
      </c>
      <c r="I638" s="54">
        <v>2</v>
      </c>
      <c r="J638" s="55">
        <v>23459</v>
      </c>
      <c r="K638" s="46" t="s">
        <v>803</v>
      </c>
      <c r="L638" s="46" t="s">
        <v>4</v>
      </c>
      <c r="M638" s="46" t="s">
        <v>1291</v>
      </c>
      <c r="N638" s="49">
        <v>0</v>
      </c>
      <c r="O638" s="49">
        <v>2</v>
      </c>
      <c r="P638" s="54" t="s">
        <v>1341</v>
      </c>
      <c r="Q638" s="54" t="s">
        <v>1017</v>
      </c>
      <c r="R638" s="54" t="s">
        <v>376</v>
      </c>
      <c r="S638" s="46"/>
      <c r="T638" s="46"/>
      <c r="U638" s="46"/>
      <c r="V638" s="46"/>
      <c r="W638" s="46"/>
      <c r="X638" s="46"/>
      <c r="Y638" s="46"/>
      <c r="Z638" s="46"/>
      <c r="AA638" s="46"/>
      <c r="AB638" s="46"/>
      <c r="AC638" s="46"/>
      <c r="AD638" s="46" t="s">
        <v>1033</v>
      </c>
      <c r="AE638" s="50">
        <f>IF(L638="W",1,0)</f>
        <v>0</v>
      </c>
      <c r="AF638" s="50">
        <f>IF(L638="T",1,0)</f>
        <v>0</v>
      </c>
      <c r="AG638" s="50">
        <f>IF(L638="L",1,0)</f>
        <v>1</v>
      </c>
      <c r="AH638" s="46"/>
      <c r="AI638" s="46"/>
      <c r="AJ638" s="46" t="s">
        <v>376</v>
      </c>
      <c r="AK638" s="46" t="s">
        <v>658</v>
      </c>
      <c r="AL638" s="46"/>
      <c r="AM638" s="46"/>
      <c r="AN638" s="46" t="s">
        <v>376</v>
      </c>
      <c r="AO638" s="46" t="s">
        <v>658</v>
      </c>
      <c r="AP638" s="46"/>
      <c r="AQ638" s="46">
        <v>2</v>
      </c>
      <c r="AR638" s="46"/>
      <c r="AS638" s="46"/>
      <c r="AT638" s="46"/>
      <c r="AU638" s="46" t="s">
        <v>376</v>
      </c>
      <c r="AV638" s="46"/>
      <c r="AW638" s="46" t="s">
        <v>30</v>
      </c>
      <c r="AX638" s="46"/>
      <c r="AY638" s="46"/>
      <c r="AZ638" s="46" t="s">
        <v>30</v>
      </c>
      <c r="BA638" s="54"/>
      <c r="BB638" s="51"/>
      <c r="BC638" s="46"/>
      <c r="BD638" s="46"/>
      <c r="BE638" s="46"/>
      <c r="BF638" s="46">
        <v>1</v>
      </c>
      <c r="BG638" s="46">
        <v>1</v>
      </c>
      <c r="BH638" s="46">
        <v>1</v>
      </c>
      <c r="BI638" s="46" t="s">
        <v>803</v>
      </c>
      <c r="BJ638" s="46" t="s">
        <v>1291</v>
      </c>
      <c r="BK638" s="46">
        <v>1964</v>
      </c>
      <c r="BL638" s="46" t="str">
        <f>BK638&amp;BI638</f>
        <v>1964West Ham United</v>
      </c>
      <c r="BM638" s="52" t="str">
        <f>IF(AD638="Home",BI638,IF(AD638="Away",BJ638,Q638))</f>
        <v>West Ham United</v>
      </c>
      <c r="BN638" s="46"/>
      <c r="BO638" s="46"/>
      <c r="BP638" s="46"/>
      <c r="BQ638" s="46"/>
      <c r="BR638" s="46"/>
      <c r="BS638" s="46"/>
      <c r="BT638" s="46"/>
      <c r="BU638" s="46"/>
      <c r="BV638" s="46" t="s">
        <v>376</v>
      </c>
      <c r="BW638" s="46" t="s">
        <v>376</v>
      </c>
      <c r="BX638" s="46"/>
      <c r="BZ638" s="53"/>
      <c r="CA638" s="53"/>
      <c r="CB638" s="93" t="str">
        <f>IF(OR(C638="",A638="",B638=""),"",TEXT(C638,"0000")&amp;TEXT(A638,"00")&amp;TEXT(B638,"00"))</f>
        <v>19640323</v>
      </c>
    </row>
    <row r="639" spans="1:80" s="52" customFormat="1" ht="12.95" customHeight="1" x14ac:dyDescent="0.2">
      <c r="A639" s="46">
        <v>3</v>
      </c>
      <c r="B639" s="46">
        <v>23</v>
      </c>
      <c r="C639" s="46">
        <v>1964</v>
      </c>
      <c r="D639" s="46" t="s">
        <v>658</v>
      </c>
      <c r="E639" s="46" t="s">
        <v>569</v>
      </c>
      <c r="F639" s="54" t="s">
        <v>1327</v>
      </c>
      <c r="G639" s="46"/>
      <c r="H639" s="54" t="s">
        <v>1011</v>
      </c>
      <c r="I639" s="54">
        <v>2</v>
      </c>
      <c r="J639" s="55">
        <v>23459</v>
      </c>
      <c r="K639" s="46" t="s">
        <v>1291</v>
      </c>
      <c r="L639" s="46" t="s">
        <v>3</v>
      </c>
      <c r="M639" s="46" t="s">
        <v>803</v>
      </c>
      <c r="N639" s="49">
        <v>2</v>
      </c>
      <c r="O639" s="49">
        <v>0</v>
      </c>
      <c r="P639" s="54" t="s">
        <v>1341</v>
      </c>
      <c r="Q639" s="54" t="s">
        <v>1017</v>
      </c>
      <c r="R639" s="54" t="s">
        <v>376</v>
      </c>
      <c r="S639" s="46"/>
      <c r="T639" s="46"/>
      <c r="U639" s="46"/>
      <c r="V639" s="46"/>
      <c r="W639" s="46"/>
      <c r="X639" s="46"/>
      <c r="Y639" s="46"/>
      <c r="Z639" s="46"/>
      <c r="AA639" s="46"/>
      <c r="AB639" s="46"/>
      <c r="AC639" s="46"/>
      <c r="AD639" s="46" t="s">
        <v>1037</v>
      </c>
      <c r="AE639" s="50">
        <f>IF(L639="W",1,0)</f>
        <v>1</v>
      </c>
      <c r="AF639" s="50">
        <f>IF(L639="T",1,0)</f>
        <v>0</v>
      </c>
      <c r="AG639" s="50">
        <f>IF(L639="L",1,0)</f>
        <v>0</v>
      </c>
      <c r="AH639" s="46"/>
      <c r="AI639" s="46"/>
      <c r="AJ639" s="46" t="s">
        <v>376</v>
      </c>
      <c r="AK639" s="46" t="s">
        <v>658</v>
      </c>
      <c r="AL639" s="46"/>
      <c r="AM639" s="46"/>
      <c r="AN639" s="46" t="s">
        <v>376</v>
      </c>
      <c r="AO639" s="46" t="s">
        <v>658</v>
      </c>
      <c r="AP639" s="46"/>
      <c r="AQ639" s="46">
        <v>2</v>
      </c>
      <c r="AR639" s="46"/>
      <c r="AS639" s="46"/>
      <c r="AT639" s="46"/>
      <c r="AU639" s="46" t="s">
        <v>376</v>
      </c>
      <c r="AV639" s="46"/>
      <c r="AW639" s="46" t="s">
        <v>30</v>
      </c>
      <c r="AX639" s="46"/>
      <c r="AY639" s="46"/>
      <c r="AZ639" s="46" t="s">
        <v>30</v>
      </c>
      <c r="BA639" s="54"/>
      <c r="BB639" s="51"/>
      <c r="BC639" s="46"/>
      <c r="BD639" s="46"/>
      <c r="BE639" s="46"/>
      <c r="BF639" s="46">
        <v>1</v>
      </c>
      <c r="BG639" s="46">
        <v>1</v>
      </c>
      <c r="BH639" s="46">
        <v>1</v>
      </c>
      <c r="BI639" s="46" t="s">
        <v>1291</v>
      </c>
      <c r="BJ639" s="46" t="s">
        <v>803</v>
      </c>
      <c r="BK639" s="46">
        <v>1964</v>
      </c>
      <c r="BL639" s="46" t="str">
        <f>BK639&amp;BI639</f>
        <v>1964Leicester City</v>
      </c>
      <c r="BM639" s="52" t="str">
        <f>IF(AD639="Home",BI639,IF(AD639="Away",BJ639,Q639))</f>
        <v>West Ham United</v>
      </c>
      <c r="BN639" s="46"/>
      <c r="BO639" s="46"/>
      <c r="BP639" s="46"/>
      <c r="BQ639" s="46"/>
      <c r="BR639" s="46"/>
      <c r="BS639" s="46"/>
      <c r="BT639" s="46"/>
      <c r="BU639" s="46"/>
      <c r="BV639" s="46" t="s">
        <v>376</v>
      </c>
      <c r="BW639" s="46" t="s">
        <v>376</v>
      </c>
      <c r="BX639" s="46"/>
      <c r="BZ639" s="53"/>
      <c r="CA639" s="53"/>
      <c r="CB639" s="93" t="str">
        <f>IF(OR(C639="",A639="",B639=""),"",TEXT(C639,"0000")&amp;TEXT(A639,"00")&amp;TEXT(B639,"00"))</f>
        <v>19640323</v>
      </c>
    </row>
    <row r="640" spans="1:80" s="52" customFormat="1" ht="12.95" customHeight="1" x14ac:dyDescent="0.2">
      <c r="A640" s="46">
        <v>4</v>
      </c>
      <c r="B640" s="46">
        <v>15</v>
      </c>
      <c r="C640" s="46">
        <v>1964</v>
      </c>
      <c r="D640" s="46" t="s">
        <v>658</v>
      </c>
      <c r="E640" s="46" t="s">
        <v>569</v>
      </c>
      <c r="F640" s="54" t="s">
        <v>1327</v>
      </c>
      <c r="G640" s="46"/>
      <c r="H640" s="46" t="s">
        <v>1334</v>
      </c>
      <c r="I640" s="54">
        <v>1</v>
      </c>
      <c r="J640" s="55">
        <v>23482</v>
      </c>
      <c r="K640" s="46" t="s">
        <v>1205</v>
      </c>
      <c r="L640" s="46" t="s">
        <v>1014</v>
      </c>
      <c r="M640" s="46" t="s">
        <v>1291</v>
      </c>
      <c r="N640" s="49">
        <v>1</v>
      </c>
      <c r="O640" s="49">
        <v>1</v>
      </c>
      <c r="P640" s="54" t="s">
        <v>1144</v>
      </c>
      <c r="Q640" s="54" t="s">
        <v>1145</v>
      </c>
      <c r="R640" s="54" t="s">
        <v>376</v>
      </c>
      <c r="S640" s="46"/>
      <c r="T640" s="46"/>
      <c r="U640" s="46"/>
      <c r="V640" s="46"/>
      <c r="W640" s="46"/>
      <c r="X640" s="46"/>
      <c r="Y640" s="46"/>
      <c r="Z640" s="46"/>
      <c r="AA640" s="46"/>
      <c r="AB640" s="46"/>
      <c r="AC640" s="46"/>
      <c r="AD640" s="46" t="s">
        <v>1033</v>
      </c>
      <c r="AE640" s="50">
        <f>IF(L640="W",1,0)</f>
        <v>0</v>
      </c>
      <c r="AF640" s="50">
        <f>IF(L640="T",1,0)</f>
        <v>1</v>
      </c>
      <c r="AG640" s="50">
        <f>IF(L640="L",1,0)</f>
        <v>0</v>
      </c>
      <c r="AH640" s="46"/>
      <c r="AI640" s="46"/>
      <c r="AJ640" s="46" t="s">
        <v>376</v>
      </c>
      <c r="AK640" s="46" t="s">
        <v>658</v>
      </c>
      <c r="AL640" s="46"/>
      <c r="AM640" s="46"/>
      <c r="AN640" s="46" t="s">
        <v>376</v>
      </c>
      <c r="AO640" s="46" t="s">
        <v>658</v>
      </c>
      <c r="AP640" s="46"/>
      <c r="AQ640" s="46">
        <v>1</v>
      </c>
      <c r="AR640" s="46"/>
      <c r="AS640" s="46"/>
      <c r="AT640" s="46"/>
      <c r="AU640" s="46" t="s">
        <v>376</v>
      </c>
      <c r="AV640" s="46"/>
      <c r="AW640" s="46" t="s">
        <v>30</v>
      </c>
      <c r="AX640" s="46"/>
      <c r="AY640" s="46"/>
      <c r="AZ640" s="46" t="s">
        <v>30</v>
      </c>
      <c r="BA640" s="54"/>
      <c r="BB640" s="51"/>
      <c r="BC640" s="46" t="s">
        <v>30</v>
      </c>
      <c r="BD640" s="46"/>
      <c r="BE640" s="46"/>
      <c r="BF640" s="46">
        <v>1</v>
      </c>
      <c r="BG640" s="46">
        <v>1</v>
      </c>
      <c r="BH640" s="46">
        <v>1</v>
      </c>
      <c r="BI640" s="46" t="s">
        <v>1205</v>
      </c>
      <c r="BJ640" s="46" t="s">
        <v>1291</v>
      </c>
      <c r="BK640" s="46">
        <v>1964</v>
      </c>
      <c r="BL640" s="46" t="str">
        <f>BK640&amp;BI640</f>
        <v>1964Stoke City</v>
      </c>
      <c r="BM640" s="52" t="str">
        <f>IF(AD640="Home",BI640,IF(AD640="Away",BJ640,Q640))</f>
        <v>Stoke City</v>
      </c>
      <c r="BN640" s="46"/>
      <c r="BO640" s="46"/>
      <c r="BP640" s="46"/>
      <c r="BQ640" s="46"/>
      <c r="BR640" s="46"/>
      <c r="BS640" s="46"/>
      <c r="BT640" s="46"/>
      <c r="BU640" s="46"/>
      <c r="BV640" s="46" t="s">
        <v>376</v>
      </c>
      <c r="BW640" s="46" t="s">
        <v>376</v>
      </c>
      <c r="BX640" s="46"/>
      <c r="BY640" s="50"/>
      <c r="BZ640" s="53"/>
      <c r="CA640" s="53"/>
      <c r="CB640" s="93" t="str">
        <f>IF(OR(C640="",A640="",B640=""),"",TEXT(C640,"0000")&amp;TEXT(A640,"00")&amp;TEXT(B640,"00"))</f>
        <v>19640415</v>
      </c>
    </row>
    <row r="641" spans="1:80" s="52" customFormat="1" ht="12.95" customHeight="1" x14ac:dyDescent="0.2">
      <c r="A641" s="46">
        <v>4</v>
      </c>
      <c r="B641" s="46">
        <v>15</v>
      </c>
      <c r="C641" s="46">
        <v>1964</v>
      </c>
      <c r="D641" s="46" t="s">
        <v>658</v>
      </c>
      <c r="E641" s="46" t="s">
        <v>569</v>
      </c>
      <c r="F641" s="54" t="s">
        <v>1327</v>
      </c>
      <c r="G641" s="46"/>
      <c r="H641" s="46" t="s">
        <v>1334</v>
      </c>
      <c r="I641" s="54">
        <v>1</v>
      </c>
      <c r="J641" s="55">
        <v>23482</v>
      </c>
      <c r="K641" s="46" t="s">
        <v>1291</v>
      </c>
      <c r="L641" s="46" t="s">
        <v>1014</v>
      </c>
      <c r="M641" s="46" t="s">
        <v>1205</v>
      </c>
      <c r="N641" s="49">
        <v>1</v>
      </c>
      <c r="O641" s="49">
        <v>1</v>
      </c>
      <c r="P641" s="54" t="s">
        <v>1144</v>
      </c>
      <c r="Q641" s="54" t="s">
        <v>1145</v>
      </c>
      <c r="R641" s="54" t="s">
        <v>376</v>
      </c>
      <c r="S641" s="46"/>
      <c r="T641" s="46"/>
      <c r="U641" s="46"/>
      <c r="V641" s="46"/>
      <c r="W641" s="46"/>
      <c r="X641" s="46"/>
      <c r="Y641" s="46"/>
      <c r="Z641" s="46"/>
      <c r="AA641" s="46"/>
      <c r="AB641" s="46"/>
      <c r="AC641" s="46"/>
      <c r="AD641" s="46" t="s">
        <v>1037</v>
      </c>
      <c r="AE641" s="50">
        <f>IF(L641="W",1,0)</f>
        <v>0</v>
      </c>
      <c r="AF641" s="50">
        <f>IF(L641="T",1,0)</f>
        <v>1</v>
      </c>
      <c r="AG641" s="50">
        <f>IF(L641="L",1,0)</f>
        <v>0</v>
      </c>
      <c r="AH641" s="46"/>
      <c r="AI641" s="46"/>
      <c r="AJ641" s="46" t="s">
        <v>376</v>
      </c>
      <c r="AK641" s="46" t="s">
        <v>658</v>
      </c>
      <c r="AL641" s="46"/>
      <c r="AM641" s="46"/>
      <c r="AN641" s="46" t="s">
        <v>376</v>
      </c>
      <c r="AO641" s="46" t="s">
        <v>658</v>
      </c>
      <c r="AP641" s="46"/>
      <c r="AQ641" s="46">
        <v>1</v>
      </c>
      <c r="AR641" s="46"/>
      <c r="AS641" s="46"/>
      <c r="AT641" s="46"/>
      <c r="AU641" s="46" t="s">
        <v>376</v>
      </c>
      <c r="AV641" s="46"/>
      <c r="AW641" s="46" t="s">
        <v>30</v>
      </c>
      <c r="AX641" s="46"/>
      <c r="AY641" s="46"/>
      <c r="AZ641" s="46" t="s">
        <v>30</v>
      </c>
      <c r="BA641" s="54"/>
      <c r="BB641" s="51"/>
      <c r="BC641" s="46" t="s">
        <v>30</v>
      </c>
      <c r="BD641" s="46"/>
      <c r="BE641" s="46"/>
      <c r="BF641" s="46">
        <v>1</v>
      </c>
      <c r="BG641" s="46">
        <v>1</v>
      </c>
      <c r="BH641" s="46">
        <v>1</v>
      </c>
      <c r="BI641" s="46" t="s">
        <v>1291</v>
      </c>
      <c r="BJ641" s="46" t="s">
        <v>1205</v>
      </c>
      <c r="BK641" s="46">
        <v>1964</v>
      </c>
      <c r="BL641" s="46" t="str">
        <f>BK641&amp;BI641</f>
        <v>1964Leicester City</v>
      </c>
      <c r="BM641" s="52" t="str">
        <f>IF(AD641="Home",BI641,IF(AD641="Away",BJ641,Q641))</f>
        <v>Stoke City</v>
      </c>
      <c r="BN641" s="46"/>
      <c r="BO641" s="46"/>
      <c r="BP641" s="46"/>
      <c r="BQ641" s="46"/>
      <c r="BR641" s="46"/>
      <c r="BS641" s="46"/>
      <c r="BT641" s="46"/>
      <c r="BU641" s="46"/>
      <c r="BV641" s="46" t="s">
        <v>376</v>
      </c>
      <c r="BW641" s="46" t="s">
        <v>376</v>
      </c>
      <c r="BX641" s="46"/>
      <c r="BY641" s="50"/>
      <c r="BZ641" s="53"/>
      <c r="CA641" s="53"/>
      <c r="CB641" s="93" t="str">
        <f>IF(OR(C641="",A641="",B641=""),"",TEXT(C641,"0000")&amp;TEXT(A641,"00")&amp;TEXT(B641,"00"))</f>
        <v>19640415</v>
      </c>
    </row>
    <row r="642" spans="1:80" s="52" customFormat="1" ht="12.95" customHeight="1" x14ac:dyDescent="0.2">
      <c r="A642" s="46">
        <v>4</v>
      </c>
      <c r="B642" s="46">
        <v>22</v>
      </c>
      <c r="C642" s="46">
        <v>1964</v>
      </c>
      <c r="D642" s="46" t="s">
        <v>658</v>
      </c>
      <c r="E642" s="46" t="s">
        <v>569</v>
      </c>
      <c r="F642" s="54" t="s">
        <v>1327</v>
      </c>
      <c r="G642" s="46"/>
      <c r="H642" s="46" t="s">
        <v>1334</v>
      </c>
      <c r="I642" s="54">
        <v>2</v>
      </c>
      <c r="J642" s="55">
        <v>23489</v>
      </c>
      <c r="K642" s="46" t="s">
        <v>1291</v>
      </c>
      <c r="L642" s="46" t="s">
        <v>3</v>
      </c>
      <c r="M642" s="46" t="s">
        <v>1205</v>
      </c>
      <c r="N642" s="49">
        <v>3</v>
      </c>
      <c r="O642" s="49">
        <v>2</v>
      </c>
      <c r="P642" s="54" t="s">
        <v>1277</v>
      </c>
      <c r="Q642" s="54" t="s">
        <v>1278</v>
      </c>
      <c r="R642" s="54" t="s">
        <v>376</v>
      </c>
      <c r="S642" s="46"/>
      <c r="T642" s="46"/>
      <c r="U642" s="46"/>
      <c r="V642" s="46"/>
      <c r="W642" s="46"/>
      <c r="X642" s="46"/>
      <c r="Y642" s="46"/>
      <c r="Z642" s="46"/>
      <c r="AA642" s="46"/>
      <c r="AB642" s="46"/>
      <c r="AC642" s="46"/>
      <c r="AD642" s="46" t="s">
        <v>1033</v>
      </c>
      <c r="AE642" s="50">
        <f>IF(L642="W",1,0)</f>
        <v>1</v>
      </c>
      <c r="AF642" s="50">
        <f>IF(L642="T",1,0)</f>
        <v>0</v>
      </c>
      <c r="AG642" s="50">
        <f>IF(L642="L",1,0)</f>
        <v>0</v>
      </c>
      <c r="AH642" s="46"/>
      <c r="AI642" s="46"/>
      <c r="AJ642" s="46" t="s">
        <v>376</v>
      </c>
      <c r="AK642" s="46" t="s">
        <v>658</v>
      </c>
      <c r="AL642" s="46"/>
      <c r="AM642" s="46"/>
      <c r="AN642" s="46" t="s">
        <v>376</v>
      </c>
      <c r="AO642" s="46" t="s">
        <v>658</v>
      </c>
      <c r="AP642" s="46"/>
      <c r="AQ642" s="46">
        <v>1</v>
      </c>
      <c r="AR642" s="46"/>
      <c r="AS642" s="46"/>
      <c r="AT642" s="46"/>
      <c r="AU642" s="46" t="s">
        <v>376</v>
      </c>
      <c r="AV642" s="46"/>
      <c r="AW642" s="46" t="s">
        <v>30</v>
      </c>
      <c r="AX642" s="46"/>
      <c r="AY642" s="46"/>
      <c r="AZ642" s="46" t="s">
        <v>30</v>
      </c>
      <c r="BA642" s="54"/>
      <c r="BB642" s="51" t="s">
        <v>30</v>
      </c>
      <c r="BC642" s="46" t="s">
        <v>30</v>
      </c>
      <c r="BD642" s="46"/>
      <c r="BE642" s="46"/>
      <c r="BF642" s="46">
        <v>1</v>
      </c>
      <c r="BG642" s="46">
        <v>1</v>
      </c>
      <c r="BH642" s="46">
        <v>1</v>
      </c>
      <c r="BI642" s="46" t="s">
        <v>1291</v>
      </c>
      <c r="BJ642" s="46" t="s">
        <v>1205</v>
      </c>
      <c r="BK642" s="46">
        <v>1964</v>
      </c>
      <c r="BL642" s="46" t="str">
        <f>BK642&amp;BI642</f>
        <v>1964Leicester City</v>
      </c>
      <c r="BM642" s="52" t="str">
        <f>IF(AD642="Home",BI642,IF(AD642="Away",BJ642,Q642))</f>
        <v>Leicester City</v>
      </c>
      <c r="BN642" s="46"/>
      <c r="BO642" s="46"/>
      <c r="BP642" s="46"/>
      <c r="BQ642" s="46"/>
      <c r="BR642" s="46"/>
      <c r="BS642" s="46"/>
      <c r="BT642" s="46"/>
      <c r="BU642" s="46"/>
      <c r="BV642" s="46" t="s">
        <v>376</v>
      </c>
      <c r="BW642" s="46" t="s">
        <v>376</v>
      </c>
      <c r="BX642" s="46"/>
      <c r="BZ642" s="53"/>
      <c r="CA642" s="53"/>
      <c r="CB642" s="93" t="str">
        <f>IF(OR(C642="",A642="",B642=""),"",TEXT(C642,"0000")&amp;TEXT(A642,"00")&amp;TEXT(B642,"00"))</f>
        <v>19640422</v>
      </c>
    </row>
    <row r="643" spans="1:80" s="52" customFormat="1" ht="12.95" customHeight="1" x14ac:dyDescent="0.2">
      <c r="A643" s="46">
        <v>4</v>
      </c>
      <c r="B643" s="46">
        <v>22</v>
      </c>
      <c r="C643" s="46">
        <v>1964</v>
      </c>
      <c r="D643" s="46" t="s">
        <v>658</v>
      </c>
      <c r="E643" s="46" t="s">
        <v>569</v>
      </c>
      <c r="F643" s="54" t="s">
        <v>1327</v>
      </c>
      <c r="G643" s="46"/>
      <c r="H643" s="46" t="s">
        <v>1334</v>
      </c>
      <c r="I643" s="54">
        <v>2</v>
      </c>
      <c r="J643" s="55">
        <v>23489</v>
      </c>
      <c r="K643" s="46" t="s">
        <v>1205</v>
      </c>
      <c r="L643" s="46" t="s">
        <v>4</v>
      </c>
      <c r="M643" s="46" t="s">
        <v>1291</v>
      </c>
      <c r="N643" s="49">
        <v>2</v>
      </c>
      <c r="O643" s="49">
        <v>3</v>
      </c>
      <c r="P643" s="54" t="s">
        <v>1277</v>
      </c>
      <c r="Q643" s="54" t="s">
        <v>1278</v>
      </c>
      <c r="R643" s="54" t="s">
        <v>376</v>
      </c>
      <c r="S643" s="46"/>
      <c r="T643" s="46"/>
      <c r="U643" s="46"/>
      <c r="V643" s="46"/>
      <c r="W643" s="46"/>
      <c r="X643" s="46"/>
      <c r="Y643" s="46"/>
      <c r="Z643" s="46"/>
      <c r="AA643" s="46"/>
      <c r="AB643" s="46"/>
      <c r="AC643" s="46"/>
      <c r="AD643" s="46" t="s">
        <v>1037</v>
      </c>
      <c r="AE643" s="50">
        <f>IF(L643="W",1,0)</f>
        <v>0</v>
      </c>
      <c r="AF643" s="50">
        <f>IF(L643="T",1,0)</f>
        <v>0</v>
      </c>
      <c r="AG643" s="50">
        <f>IF(L643="L",1,0)</f>
        <v>1</v>
      </c>
      <c r="AH643" s="46"/>
      <c r="AI643" s="46"/>
      <c r="AJ643" s="46" t="s">
        <v>376</v>
      </c>
      <c r="AK643" s="46" t="s">
        <v>658</v>
      </c>
      <c r="AL643" s="46"/>
      <c r="AM643" s="46"/>
      <c r="AN643" s="46" t="s">
        <v>376</v>
      </c>
      <c r="AO643" s="46" t="s">
        <v>658</v>
      </c>
      <c r="AP643" s="46"/>
      <c r="AQ643" s="46">
        <v>1</v>
      </c>
      <c r="AR643" s="46"/>
      <c r="AS643" s="46"/>
      <c r="AT643" s="46"/>
      <c r="AU643" s="46" t="s">
        <v>376</v>
      </c>
      <c r="AV643" s="46"/>
      <c r="AW643" s="46" t="s">
        <v>30</v>
      </c>
      <c r="AX643" s="46"/>
      <c r="AY643" s="46"/>
      <c r="AZ643" s="46" t="s">
        <v>30</v>
      </c>
      <c r="BA643" s="54"/>
      <c r="BB643" s="51"/>
      <c r="BC643" s="46" t="s">
        <v>30</v>
      </c>
      <c r="BD643" s="46"/>
      <c r="BE643" s="46"/>
      <c r="BF643" s="46">
        <v>1</v>
      </c>
      <c r="BG643" s="46">
        <v>1</v>
      </c>
      <c r="BH643" s="46">
        <v>1</v>
      </c>
      <c r="BI643" s="46" t="s">
        <v>1205</v>
      </c>
      <c r="BJ643" s="46" t="s">
        <v>1291</v>
      </c>
      <c r="BK643" s="46">
        <v>1964</v>
      </c>
      <c r="BL643" s="46" t="str">
        <f>BK643&amp;BI643</f>
        <v>1964Stoke City</v>
      </c>
      <c r="BM643" s="52" t="str">
        <f>IF(AD643="Home",BI643,IF(AD643="Away",BJ643,Q643))</f>
        <v>Leicester City</v>
      </c>
      <c r="BN643" s="46"/>
      <c r="BO643" s="46"/>
      <c r="BP643" s="46"/>
      <c r="BQ643" s="46"/>
      <c r="BR643" s="46"/>
      <c r="BS643" s="46"/>
      <c r="BT643" s="46"/>
      <c r="BU643" s="46"/>
      <c r="BV643" s="46" t="s">
        <v>376</v>
      </c>
      <c r="BW643" s="46" t="s">
        <v>376</v>
      </c>
      <c r="BX643" s="46"/>
      <c r="BZ643" s="53"/>
      <c r="CA643" s="53"/>
      <c r="CB643" s="93" t="str">
        <f>IF(OR(C643="",A643="",B643=""),"",TEXT(C643,"0000")&amp;TEXT(A643,"00")&amp;TEXT(B643,"00"))</f>
        <v>19640422</v>
      </c>
    </row>
    <row r="644" spans="1:80" s="52" customFormat="1" ht="12.95" customHeight="1" x14ac:dyDescent="0.2">
      <c r="A644" s="46">
        <v>5</v>
      </c>
      <c r="B644" s="46">
        <v>2</v>
      </c>
      <c r="C644" s="46">
        <v>1964</v>
      </c>
      <c r="D644" s="46" t="s">
        <v>658</v>
      </c>
      <c r="E644" s="46" t="s">
        <v>569</v>
      </c>
      <c r="F644" s="47" t="s">
        <v>1010</v>
      </c>
      <c r="G644" s="46"/>
      <c r="H644" s="47" t="s">
        <v>1025</v>
      </c>
      <c r="I644" s="47"/>
      <c r="J644" s="48">
        <v>23499</v>
      </c>
      <c r="K644" s="46" t="s">
        <v>803</v>
      </c>
      <c r="L644" s="46" t="s">
        <v>3</v>
      </c>
      <c r="M644" s="46" t="s">
        <v>640</v>
      </c>
      <c r="N644" s="49">
        <v>3</v>
      </c>
      <c r="O644" s="49">
        <v>2</v>
      </c>
      <c r="P644" s="47" t="s">
        <v>1268</v>
      </c>
      <c r="Q644" s="47" t="s">
        <v>1017</v>
      </c>
      <c r="R644" s="47" t="s">
        <v>376</v>
      </c>
      <c r="S644" s="46"/>
      <c r="T644" s="46"/>
      <c r="U644" s="46"/>
      <c r="V644" s="46"/>
      <c r="W644" s="46"/>
      <c r="X644" s="46"/>
      <c r="Y644" s="46"/>
      <c r="Z644" s="46"/>
      <c r="AA644" s="46"/>
      <c r="AB644" s="46"/>
      <c r="AC644" s="46"/>
      <c r="AD644" s="46"/>
      <c r="AE644" s="50">
        <f>IF(L644="W",1,0)</f>
        <v>1</v>
      </c>
      <c r="AF644" s="50">
        <f>IF(L644="T",1,0)</f>
        <v>0</v>
      </c>
      <c r="AG644" s="50">
        <f>IF(L644="L",1,0)</f>
        <v>0</v>
      </c>
      <c r="AH644" s="46" t="s">
        <v>1017</v>
      </c>
      <c r="AI644" s="46" t="s">
        <v>1018</v>
      </c>
      <c r="AJ644" s="46" t="s">
        <v>376</v>
      </c>
      <c r="AK644" s="46" t="s">
        <v>658</v>
      </c>
      <c r="AL644" s="46" t="s">
        <v>1136</v>
      </c>
      <c r="AM644" s="46" t="s">
        <v>1086</v>
      </c>
      <c r="AN644" s="46" t="s">
        <v>376</v>
      </c>
      <c r="AO644" s="46" t="s">
        <v>658</v>
      </c>
      <c r="AP644" s="46"/>
      <c r="AQ644" s="46">
        <v>1</v>
      </c>
      <c r="AR644" s="46"/>
      <c r="AS644" s="46"/>
      <c r="AT644" s="46"/>
      <c r="AU644" s="46" t="s">
        <v>376</v>
      </c>
      <c r="AV644" s="46"/>
      <c r="AW644" s="46" t="s">
        <v>30</v>
      </c>
      <c r="AX644" s="46"/>
      <c r="AY644" s="46" t="s">
        <v>30</v>
      </c>
      <c r="AZ644" s="46"/>
      <c r="BA644" s="47"/>
      <c r="BB644" s="51" t="s">
        <v>30</v>
      </c>
      <c r="BC644" s="46" t="s">
        <v>30</v>
      </c>
      <c r="BD644" s="46"/>
      <c r="BE644" s="46"/>
      <c r="BF644" s="46">
        <v>1</v>
      </c>
      <c r="BG644" s="46">
        <v>1</v>
      </c>
      <c r="BH644" s="46">
        <v>2</v>
      </c>
      <c r="BI644" s="46" t="s">
        <v>803</v>
      </c>
      <c r="BJ644" s="46" t="s">
        <v>640</v>
      </c>
      <c r="BK644" s="46">
        <v>1964</v>
      </c>
      <c r="BL644" s="46" t="str">
        <f>BK644&amp;BI644</f>
        <v>1964West Ham United</v>
      </c>
      <c r="BM644" s="52" t="str">
        <f>IF(AD644="Home",BI644,IF(AD644="Away",BJ644,Q644))</f>
        <v>London</v>
      </c>
      <c r="BN644" s="46"/>
      <c r="BO644" s="46"/>
      <c r="BP644" s="46"/>
      <c r="BQ644" s="46"/>
      <c r="BR644" s="46"/>
      <c r="BS644" s="46"/>
      <c r="BT644" s="46"/>
      <c r="BU644" s="46"/>
      <c r="BV644" s="46" t="s">
        <v>376</v>
      </c>
      <c r="BW644" s="46" t="s">
        <v>376</v>
      </c>
      <c r="BX644" s="46"/>
      <c r="BZ644" s="53"/>
      <c r="CA644" s="53"/>
      <c r="CB644" s="93" t="str">
        <f>IF(OR(C644="",A644="",B644=""),"",TEXT(C644,"0000")&amp;TEXT(A644,"00")&amp;TEXT(B644,"00"))</f>
        <v>19640502</v>
      </c>
    </row>
    <row r="645" spans="1:80" s="52" customFormat="1" ht="12.95" customHeight="1" x14ac:dyDescent="0.2">
      <c r="A645" s="46">
        <v>5</v>
      </c>
      <c r="B645" s="46">
        <v>2</v>
      </c>
      <c r="C645" s="46">
        <v>1964</v>
      </c>
      <c r="D645" s="46" t="s">
        <v>658</v>
      </c>
      <c r="E645" s="46" t="s">
        <v>569</v>
      </c>
      <c r="F645" s="47" t="s">
        <v>1010</v>
      </c>
      <c r="G645" s="46"/>
      <c r="H645" s="47" t="s">
        <v>1025</v>
      </c>
      <c r="I645" s="47"/>
      <c r="J645" s="48">
        <v>23499</v>
      </c>
      <c r="K645" s="46" t="s">
        <v>640</v>
      </c>
      <c r="L645" s="46" t="s">
        <v>4</v>
      </c>
      <c r="M645" s="46" t="s">
        <v>803</v>
      </c>
      <c r="N645" s="49">
        <v>2</v>
      </c>
      <c r="O645" s="49">
        <v>3</v>
      </c>
      <c r="P645" s="47" t="s">
        <v>1268</v>
      </c>
      <c r="Q645" s="47" t="s">
        <v>1017</v>
      </c>
      <c r="R645" s="47" t="s">
        <v>376</v>
      </c>
      <c r="S645" s="46"/>
      <c r="T645" s="46"/>
      <c r="U645" s="46"/>
      <c r="V645" s="46"/>
      <c r="W645" s="46"/>
      <c r="X645" s="46"/>
      <c r="Y645" s="46"/>
      <c r="Z645" s="46"/>
      <c r="AA645" s="46"/>
      <c r="AB645" s="46"/>
      <c r="AC645" s="46"/>
      <c r="AD645" s="46"/>
      <c r="AE645" s="50">
        <f>IF(L645="W",1,0)</f>
        <v>0</v>
      </c>
      <c r="AF645" s="50">
        <f>IF(L645="T",1,0)</f>
        <v>0</v>
      </c>
      <c r="AG645" s="50">
        <f>IF(L645="L",1,0)</f>
        <v>1</v>
      </c>
      <c r="AH645" s="46" t="s">
        <v>1136</v>
      </c>
      <c r="AI645" s="46" t="s">
        <v>1086</v>
      </c>
      <c r="AJ645" s="46" t="s">
        <v>376</v>
      </c>
      <c r="AK645" s="46" t="s">
        <v>658</v>
      </c>
      <c r="AL645" s="46" t="s">
        <v>1017</v>
      </c>
      <c r="AM645" s="46" t="s">
        <v>1018</v>
      </c>
      <c r="AN645" s="46" t="s">
        <v>376</v>
      </c>
      <c r="AO645" s="46" t="s">
        <v>658</v>
      </c>
      <c r="AP645" s="46"/>
      <c r="AQ645" s="46">
        <v>1</v>
      </c>
      <c r="AR645" s="46"/>
      <c r="AS645" s="46"/>
      <c r="AT645" s="46"/>
      <c r="AU645" s="46" t="s">
        <v>376</v>
      </c>
      <c r="AV645" s="46"/>
      <c r="AW645" s="46" t="s">
        <v>30</v>
      </c>
      <c r="AX645" s="46"/>
      <c r="AY645" s="46" t="s">
        <v>30</v>
      </c>
      <c r="AZ645" s="46"/>
      <c r="BA645" s="47"/>
      <c r="BB645" s="51"/>
      <c r="BC645" s="46" t="s">
        <v>30</v>
      </c>
      <c r="BD645" s="46"/>
      <c r="BE645" s="46"/>
      <c r="BF645" s="46">
        <v>1</v>
      </c>
      <c r="BG645" s="46">
        <v>2</v>
      </c>
      <c r="BH645" s="46">
        <v>1</v>
      </c>
      <c r="BI645" s="46" t="s">
        <v>640</v>
      </c>
      <c r="BJ645" s="46" t="s">
        <v>803</v>
      </c>
      <c r="BK645" s="46">
        <v>1964</v>
      </c>
      <c r="BL645" s="46" t="str">
        <f>BK645&amp;BI645</f>
        <v>1964Preston North End</v>
      </c>
      <c r="BM645" s="52" t="str">
        <f>IF(AD645="Home",BI645,IF(AD645="Away",BJ645,Q645))</f>
        <v>London</v>
      </c>
      <c r="BN645" s="46"/>
      <c r="BO645" s="46"/>
      <c r="BP645" s="46"/>
      <c r="BQ645" s="46"/>
      <c r="BR645" s="46"/>
      <c r="BS645" s="46"/>
      <c r="BT645" s="46"/>
      <c r="BU645" s="46"/>
      <c r="BV645" s="46" t="s">
        <v>376</v>
      </c>
      <c r="BW645" s="46" t="s">
        <v>376</v>
      </c>
      <c r="BX645" s="46"/>
      <c r="BZ645" s="53"/>
      <c r="CA645" s="53"/>
      <c r="CB645" s="93" t="str">
        <f>IF(OR(C645="",A645="",B645=""),"",TEXT(C645,"0000")&amp;TEXT(A645,"00")&amp;TEXT(B645,"00"))</f>
        <v>19640502</v>
      </c>
    </row>
    <row r="646" spans="1:80" s="52" customFormat="1" ht="12.95" customHeight="1" x14ac:dyDescent="0.2">
      <c r="A646" s="46">
        <v>1</v>
      </c>
      <c r="B646" s="46">
        <v>20</v>
      </c>
      <c r="C646" s="46">
        <v>1965</v>
      </c>
      <c r="D646" s="46" t="s">
        <v>658</v>
      </c>
      <c r="E646" s="46" t="s">
        <v>568</v>
      </c>
      <c r="F646" s="54" t="s">
        <v>1327</v>
      </c>
      <c r="G646" s="46"/>
      <c r="H646" s="54" t="s">
        <v>1011</v>
      </c>
      <c r="I646" s="54">
        <v>1</v>
      </c>
      <c r="J646" s="55">
        <v>23762</v>
      </c>
      <c r="K646" s="46" t="s">
        <v>1291</v>
      </c>
      <c r="L646" s="46" t="s">
        <v>3</v>
      </c>
      <c r="M646" s="46" t="s">
        <v>1342</v>
      </c>
      <c r="N646" s="49">
        <v>3</v>
      </c>
      <c r="O646" s="49">
        <v>2</v>
      </c>
      <c r="P646" s="54" t="s">
        <v>1277</v>
      </c>
      <c r="Q646" s="54" t="s">
        <v>1278</v>
      </c>
      <c r="R646" s="54" t="s">
        <v>376</v>
      </c>
      <c r="S646" s="46"/>
      <c r="T646" s="46"/>
      <c r="U646" s="46"/>
      <c r="V646" s="46"/>
      <c r="W646" s="46"/>
      <c r="X646" s="46"/>
      <c r="Y646" s="46"/>
      <c r="Z646" s="46"/>
      <c r="AA646" s="46"/>
      <c r="AB646" s="46"/>
      <c r="AC646" s="46"/>
      <c r="AD646" s="46" t="s">
        <v>1033</v>
      </c>
      <c r="AE646" s="50">
        <f>IF(L646="W",1,0)</f>
        <v>1</v>
      </c>
      <c r="AF646" s="50">
        <f>IF(L646="T",1,0)</f>
        <v>0</v>
      </c>
      <c r="AG646" s="50">
        <f>IF(L646="L",1,0)</f>
        <v>0</v>
      </c>
      <c r="AH646" s="46"/>
      <c r="AI646" s="46"/>
      <c r="AJ646" s="46" t="s">
        <v>376</v>
      </c>
      <c r="AK646" s="46" t="s">
        <v>658</v>
      </c>
      <c r="AL646" s="46"/>
      <c r="AM646" s="46"/>
      <c r="AN646" s="46" t="s">
        <v>376</v>
      </c>
      <c r="AO646" s="46" t="s">
        <v>658</v>
      </c>
      <c r="AP646" s="46"/>
      <c r="AQ646" s="46">
        <v>2</v>
      </c>
      <c r="AR646" s="46"/>
      <c r="AS646" s="46"/>
      <c r="AT646" s="46"/>
      <c r="AU646" s="46" t="s">
        <v>376</v>
      </c>
      <c r="AV646" s="46"/>
      <c r="AW646" s="46" t="s">
        <v>30</v>
      </c>
      <c r="AX646" s="46"/>
      <c r="AY646" s="46"/>
      <c r="AZ646" s="46" t="s">
        <v>30</v>
      </c>
      <c r="BA646" s="54"/>
      <c r="BB646" s="51"/>
      <c r="BC646" s="46"/>
      <c r="BD646" s="46"/>
      <c r="BE646" s="46"/>
      <c r="BF646" s="46">
        <v>1</v>
      </c>
      <c r="BG646" s="46">
        <v>1</v>
      </c>
      <c r="BH646" s="46">
        <v>2</v>
      </c>
      <c r="BI646" s="46" t="s">
        <v>1291</v>
      </c>
      <c r="BJ646" s="46" t="s">
        <v>1342</v>
      </c>
      <c r="BK646" s="46">
        <v>1965</v>
      </c>
      <c r="BL646" s="46" t="str">
        <f>BK646&amp;BI646</f>
        <v>1965Leicester City</v>
      </c>
      <c r="BM646" s="52" t="str">
        <f>IF(AD646="Home",BI646,IF(AD646="Away",BJ646,Q646))</f>
        <v>Leicester City</v>
      </c>
      <c r="BN646" s="46"/>
      <c r="BO646" s="46"/>
      <c r="BP646" s="46"/>
      <c r="BQ646" s="46"/>
      <c r="BR646" s="46"/>
      <c r="BS646" s="46"/>
      <c r="BT646" s="46"/>
      <c r="BU646" s="46"/>
      <c r="BV646" s="46" t="s">
        <v>376</v>
      </c>
      <c r="BW646" s="46" t="s">
        <v>376</v>
      </c>
      <c r="BX646" s="46"/>
      <c r="BZ646" s="53"/>
      <c r="CA646" s="53"/>
      <c r="CB646" s="93" t="str">
        <f>IF(OR(C646="",A646="",B646=""),"",TEXT(C646,"0000")&amp;TEXT(A646,"00")&amp;TEXT(B646,"00"))</f>
        <v>19650120</v>
      </c>
    </row>
    <row r="647" spans="1:80" s="52" customFormat="1" ht="12.95" customHeight="1" x14ac:dyDescent="0.2">
      <c r="A647" s="46">
        <v>1</v>
      </c>
      <c r="B647" s="46">
        <v>20</v>
      </c>
      <c r="C647" s="46">
        <v>1965</v>
      </c>
      <c r="D647" s="46" t="s">
        <v>658</v>
      </c>
      <c r="E647" s="46" t="s">
        <v>568</v>
      </c>
      <c r="F647" s="54" t="s">
        <v>1327</v>
      </c>
      <c r="G647" s="46"/>
      <c r="H647" s="54" t="s">
        <v>1011</v>
      </c>
      <c r="I647" s="54">
        <v>1</v>
      </c>
      <c r="J647" s="55">
        <v>23762</v>
      </c>
      <c r="K647" s="46" t="s">
        <v>1342</v>
      </c>
      <c r="L647" s="46" t="s">
        <v>4</v>
      </c>
      <c r="M647" s="46" t="s">
        <v>1291</v>
      </c>
      <c r="N647" s="49">
        <v>2</v>
      </c>
      <c r="O647" s="49">
        <v>3</v>
      </c>
      <c r="P647" s="54" t="s">
        <v>1277</v>
      </c>
      <c r="Q647" s="54" t="s">
        <v>1278</v>
      </c>
      <c r="R647" s="54" t="s">
        <v>376</v>
      </c>
      <c r="S647" s="46"/>
      <c r="T647" s="46"/>
      <c r="U647" s="46"/>
      <c r="V647" s="46"/>
      <c r="W647" s="46"/>
      <c r="X647" s="46"/>
      <c r="Y647" s="46"/>
      <c r="Z647" s="46"/>
      <c r="AA647" s="46"/>
      <c r="AB647" s="46"/>
      <c r="AC647" s="46"/>
      <c r="AD647" s="46" t="s">
        <v>1037</v>
      </c>
      <c r="AE647" s="50">
        <f>IF(L647="W",1,0)</f>
        <v>0</v>
      </c>
      <c r="AF647" s="50">
        <f>IF(L647="T",1,0)</f>
        <v>0</v>
      </c>
      <c r="AG647" s="50">
        <f>IF(L647="L",1,0)</f>
        <v>1</v>
      </c>
      <c r="AH647" s="46"/>
      <c r="AI647" s="46"/>
      <c r="AJ647" s="46" t="s">
        <v>376</v>
      </c>
      <c r="AK647" s="46" t="s">
        <v>658</v>
      </c>
      <c r="AL647" s="46"/>
      <c r="AM647" s="46"/>
      <c r="AN647" s="46" t="s">
        <v>376</v>
      </c>
      <c r="AO647" s="46" t="s">
        <v>658</v>
      </c>
      <c r="AP647" s="46"/>
      <c r="AQ647" s="46">
        <v>2</v>
      </c>
      <c r="AR647" s="46"/>
      <c r="AS647" s="46"/>
      <c r="AT647" s="46"/>
      <c r="AU647" s="46" t="s">
        <v>376</v>
      </c>
      <c r="AV647" s="46"/>
      <c r="AW647" s="46" t="s">
        <v>30</v>
      </c>
      <c r="AX647" s="46"/>
      <c r="AY647" s="46"/>
      <c r="AZ647" s="46" t="s">
        <v>30</v>
      </c>
      <c r="BA647" s="54"/>
      <c r="BB647" s="51"/>
      <c r="BC647" s="46"/>
      <c r="BD647" s="46"/>
      <c r="BE647" s="46"/>
      <c r="BF647" s="46">
        <v>1</v>
      </c>
      <c r="BG647" s="46">
        <v>2</v>
      </c>
      <c r="BH647" s="46">
        <v>1</v>
      </c>
      <c r="BI647" s="46" t="s">
        <v>1342</v>
      </c>
      <c r="BJ647" s="46" t="s">
        <v>1291</v>
      </c>
      <c r="BK647" s="46">
        <v>1965</v>
      </c>
      <c r="BL647" s="46" t="str">
        <f>BK647&amp;BI647</f>
        <v>1965Plymouth Argyle</v>
      </c>
      <c r="BM647" s="52" t="str">
        <f>IF(AD647="Home",BI647,IF(AD647="Away",BJ647,Q647))</f>
        <v>Leicester City</v>
      </c>
      <c r="BN647" s="46"/>
      <c r="BO647" s="46"/>
      <c r="BP647" s="46"/>
      <c r="BQ647" s="46"/>
      <c r="BR647" s="46"/>
      <c r="BS647" s="46"/>
      <c r="BT647" s="46"/>
      <c r="BU647" s="46"/>
      <c r="BV647" s="46" t="s">
        <v>376</v>
      </c>
      <c r="BW647" s="46" t="s">
        <v>376</v>
      </c>
      <c r="BX647" s="46"/>
      <c r="BZ647" s="53"/>
      <c r="CA647" s="53"/>
      <c r="CB647" s="93" t="str">
        <f>IF(OR(C647="",A647="",B647=""),"",TEXT(C647,"0000")&amp;TEXT(A647,"00")&amp;TEXT(B647,"00"))</f>
        <v>19650120</v>
      </c>
    </row>
    <row r="648" spans="1:80" s="52" customFormat="1" ht="12.95" customHeight="1" x14ac:dyDescent="0.2">
      <c r="A648" s="46">
        <v>1</v>
      </c>
      <c r="B648" s="46">
        <v>20</v>
      </c>
      <c r="C648" s="46">
        <v>1965</v>
      </c>
      <c r="D648" s="46" t="s">
        <v>658</v>
      </c>
      <c r="E648" s="46" t="s">
        <v>568</v>
      </c>
      <c r="F648" s="54" t="s">
        <v>1327</v>
      </c>
      <c r="G648" s="46"/>
      <c r="H648" s="54" t="s">
        <v>1011</v>
      </c>
      <c r="I648" s="54">
        <v>1</v>
      </c>
      <c r="J648" s="55">
        <v>23762</v>
      </c>
      <c r="K648" s="46" t="s">
        <v>806</v>
      </c>
      <c r="L648" s="46" t="s">
        <v>4</v>
      </c>
      <c r="M648" s="46" t="s">
        <v>816</v>
      </c>
      <c r="N648" s="49">
        <v>2</v>
      </c>
      <c r="O648" s="49">
        <v>3</v>
      </c>
      <c r="P648" s="54" t="s">
        <v>1219</v>
      </c>
      <c r="Q648" s="54" t="s">
        <v>1111</v>
      </c>
      <c r="R648" s="54" t="s">
        <v>376</v>
      </c>
      <c r="S648" s="46"/>
      <c r="T648" s="46"/>
      <c r="U648" s="46"/>
      <c r="V648" s="46"/>
      <c r="W648" s="46"/>
      <c r="X648" s="46"/>
      <c r="Y648" s="46"/>
      <c r="Z648" s="46"/>
      <c r="AA648" s="46"/>
      <c r="AB648" s="46"/>
      <c r="AC648" s="46"/>
      <c r="AD648" s="46" t="s">
        <v>1033</v>
      </c>
      <c r="AE648" s="50">
        <f>IF(L648="W",1,0)</f>
        <v>0</v>
      </c>
      <c r="AF648" s="50">
        <f>IF(L648="T",1,0)</f>
        <v>0</v>
      </c>
      <c r="AG648" s="50">
        <f>IF(L648="L",1,0)</f>
        <v>1</v>
      </c>
      <c r="AH648" s="46"/>
      <c r="AI648" s="46"/>
      <c r="AJ648" s="46" t="s">
        <v>376</v>
      </c>
      <c r="AK648" s="46" t="s">
        <v>658</v>
      </c>
      <c r="AL648" s="46"/>
      <c r="AM648" s="46"/>
      <c r="AN648" s="46" t="s">
        <v>376</v>
      </c>
      <c r="AO648" s="46" t="s">
        <v>658</v>
      </c>
      <c r="AP648" s="46"/>
      <c r="AQ648" s="46">
        <v>2</v>
      </c>
      <c r="AR648" s="46"/>
      <c r="AS648" s="46"/>
      <c r="AT648" s="46"/>
      <c r="AU648" s="46" t="s">
        <v>376</v>
      </c>
      <c r="AV648" s="46"/>
      <c r="AW648" s="46" t="s">
        <v>30</v>
      </c>
      <c r="AX648" s="46"/>
      <c r="AY648" s="46"/>
      <c r="AZ648" s="46" t="s">
        <v>30</v>
      </c>
      <c r="BA648" s="54"/>
      <c r="BB648" s="51"/>
      <c r="BC648" s="46"/>
      <c r="BD648" s="46"/>
      <c r="BE648" s="46"/>
      <c r="BF648" s="46">
        <v>1</v>
      </c>
      <c r="BG648" s="46">
        <v>1</v>
      </c>
      <c r="BH648" s="46">
        <v>1</v>
      </c>
      <c r="BI648" s="46" t="s">
        <v>806</v>
      </c>
      <c r="BJ648" s="46" t="s">
        <v>816</v>
      </c>
      <c r="BK648" s="46">
        <v>1965</v>
      </c>
      <c r="BL648" s="46" t="str">
        <f>BK648&amp;BI648</f>
        <v>1965Aston Villa</v>
      </c>
      <c r="BM648" s="52" t="str">
        <f>IF(AD648="Home",BI648,IF(AD648="Away",BJ648,Q648))</f>
        <v>Aston Villa</v>
      </c>
      <c r="BN648" s="46"/>
      <c r="BO648" s="46"/>
      <c r="BP648" s="46"/>
      <c r="BQ648" s="46"/>
      <c r="BR648" s="46"/>
      <c r="BS648" s="46"/>
      <c r="BT648" s="46"/>
      <c r="BU648" s="46"/>
      <c r="BV648" s="46" t="s">
        <v>376</v>
      </c>
      <c r="BW648" s="46" t="s">
        <v>376</v>
      </c>
      <c r="BX648" s="46"/>
      <c r="BZ648" s="53"/>
      <c r="CA648" s="53"/>
      <c r="CB648" s="93" t="str">
        <f>IF(OR(C648="",A648="",B648=""),"",TEXT(C648,"0000")&amp;TEXT(A648,"00")&amp;TEXT(B648,"00"))</f>
        <v>19650120</v>
      </c>
    </row>
    <row r="649" spans="1:80" s="52" customFormat="1" ht="12.95" customHeight="1" x14ac:dyDescent="0.2">
      <c r="A649" s="46">
        <v>1</v>
      </c>
      <c r="B649" s="46">
        <v>20</v>
      </c>
      <c r="C649" s="46">
        <v>1965</v>
      </c>
      <c r="D649" s="46" t="s">
        <v>658</v>
      </c>
      <c r="E649" s="46" t="s">
        <v>568</v>
      </c>
      <c r="F649" s="54" t="s">
        <v>1327</v>
      </c>
      <c r="G649" s="46"/>
      <c r="H649" s="54" t="s">
        <v>1011</v>
      </c>
      <c r="I649" s="54">
        <v>1</v>
      </c>
      <c r="J649" s="55">
        <v>23762</v>
      </c>
      <c r="K649" s="46" t="s">
        <v>816</v>
      </c>
      <c r="L649" s="46" t="s">
        <v>3</v>
      </c>
      <c r="M649" s="46" t="s">
        <v>806</v>
      </c>
      <c r="N649" s="49">
        <v>3</v>
      </c>
      <c r="O649" s="49">
        <v>2</v>
      </c>
      <c r="P649" s="54" t="s">
        <v>1219</v>
      </c>
      <c r="Q649" s="54" t="s">
        <v>1111</v>
      </c>
      <c r="R649" s="54" t="s">
        <v>376</v>
      </c>
      <c r="S649" s="46"/>
      <c r="T649" s="46"/>
      <c r="U649" s="46"/>
      <c r="V649" s="46"/>
      <c r="W649" s="46"/>
      <c r="X649" s="46"/>
      <c r="Y649" s="46"/>
      <c r="Z649" s="46"/>
      <c r="AA649" s="46"/>
      <c r="AB649" s="46"/>
      <c r="AC649" s="46"/>
      <c r="AD649" s="46" t="s">
        <v>1037</v>
      </c>
      <c r="AE649" s="50">
        <f>IF(L649="W",1,0)</f>
        <v>1</v>
      </c>
      <c r="AF649" s="50">
        <f>IF(L649="T",1,0)</f>
        <v>0</v>
      </c>
      <c r="AG649" s="50">
        <f>IF(L649="L",1,0)</f>
        <v>0</v>
      </c>
      <c r="AH649" s="46"/>
      <c r="AI649" s="46"/>
      <c r="AJ649" s="46" t="s">
        <v>376</v>
      </c>
      <c r="AK649" s="46" t="s">
        <v>658</v>
      </c>
      <c r="AL649" s="46"/>
      <c r="AM649" s="46"/>
      <c r="AN649" s="46" t="s">
        <v>376</v>
      </c>
      <c r="AO649" s="46" t="s">
        <v>658</v>
      </c>
      <c r="AP649" s="46"/>
      <c r="AQ649" s="46">
        <v>2</v>
      </c>
      <c r="AR649" s="46"/>
      <c r="AS649" s="46"/>
      <c r="AT649" s="46"/>
      <c r="AU649" s="46" t="s">
        <v>376</v>
      </c>
      <c r="AV649" s="46"/>
      <c r="AW649" s="46" t="s">
        <v>30</v>
      </c>
      <c r="AX649" s="46"/>
      <c r="AY649" s="46"/>
      <c r="AZ649" s="46" t="s">
        <v>30</v>
      </c>
      <c r="BA649" s="54"/>
      <c r="BB649" s="51"/>
      <c r="BC649" s="46"/>
      <c r="BD649" s="46"/>
      <c r="BE649" s="46"/>
      <c r="BF649" s="46">
        <v>1</v>
      </c>
      <c r="BG649" s="46">
        <v>1</v>
      </c>
      <c r="BH649" s="46">
        <v>1</v>
      </c>
      <c r="BI649" s="46" t="s">
        <v>816</v>
      </c>
      <c r="BJ649" s="46" t="s">
        <v>806</v>
      </c>
      <c r="BK649" s="46">
        <v>1965</v>
      </c>
      <c r="BL649" s="46" t="str">
        <f>BK649&amp;BI649</f>
        <v>1965Chelsea</v>
      </c>
      <c r="BM649" s="52" t="str">
        <f>IF(AD649="Home",BI649,IF(AD649="Away",BJ649,Q649))</f>
        <v>Aston Villa</v>
      </c>
      <c r="BN649" s="46"/>
      <c r="BO649" s="46"/>
      <c r="BP649" s="46"/>
      <c r="BQ649" s="46"/>
      <c r="BR649" s="46"/>
      <c r="BS649" s="46"/>
      <c r="BT649" s="46"/>
      <c r="BU649" s="46"/>
      <c r="BV649" s="46" t="s">
        <v>376</v>
      </c>
      <c r="BW649" s="46" t="s">
        <v>376</v>
      </c>
      <c r="BX649" s="46"/>
      <c r="BZ649" s="53"/>
      <c r="CA649" s="53"/>
      <c r="CB649" s="93" t="str">
        <f>IF(OR(C649="",A649="",B649=""),"",TEXT(C649,"0000")&amp;TEXT(A649,"00")&amp;TEXT(B649,"00"))</f>
        <v>19650120</v>
      </c>
    </row>
    <row r="650" spans="1:80" s="52" customFormat="1" ht="12.95" customHeight="1" x14ac:dyDescent="0.2">
      <c r="A650" s="46">
        <v>2</v>
      </c>
      <c r="B650" s="46">
        <v>10</v>
      </c>
      <c r="C650" s="46">
        <v>1965</v>
      </c>
      <c r="D650" s="46" t="s">
        <v>658</v>
      </c>
      <c r="E650" s="46" t="s">
        <v>568</v>
      </c>
      <c r="F650" s="54" t="s">
        <v>1327</v>
      </c>
      <c r="G650" s="46"/>
      <c r="H650" s="54" t="s">
        <v>1011</v>
      </c>
      <c r="I650" s="54">
        <v>2</v>
      </c>
      <c r="J650" s="55">
        <v>23783</v>
      </c>
      <c r="K650" s="46" t="s">
        <v>1342</v>
      </c>
      <c r="L650" s="46" t="s">
        <v>4</v>
      </c>
      <c r="M650" s="46" t="s">
        <v>1291</v>
      </c>
      <c r="N650" s="49">
        <v>0</v>
      </c>
      <c r="O650" s="49">
        <v>1</v>
      </c>
      <c r="P650" s="54" t="s">
        <v>1343</v>
      </c>
      <c r="Q650" s="54" t="s">
        <v>1344</v>
      </c>
      <c r="R650" s="54" t="s">
        <v>376</v>
      </c>
      <c r="S650" s="46"/>
      <c r="T650" s="46"/>
      <c r="U650" s="46"/>
      <c r="V650" s="46"/>
      <c r="W650" s="46"/>
      <c r="X650" s="46"/>
      <c r="Y650" s="46"/>
      <c r="Z650" s="46"/>
      <c r="AA650" s="46"/>
      <c r="AB650" s="46"/>
      <c r="AC650" s="46"/>
      <c r="AD650" s="46" t="s">
        <v>1033</v>
      </c>
      <c r="AE650" s="50">
        <f>IF(L650="W",1,0)</f>
        <v>0</v>
      </c>
      <c r="AF650" s="50">
        <f>IF(L650="T",1,0)</f>
        <v>0</v>
      </c>
      <c r="AG650" s="50">
        <f>IF(L650="L",1,0)</f>
        <v>1</v>
      </c>
      <c r="AH650" s="46"/>
      <c r="AI650" s="46"/>
      <c r="AJ650" s="46" t="s">
        <v>376</v>
      </c>
      <c r="AK650" s="46" t="s">
        <v>658</v>
      </c>
      <c r="AL650" s="46"/>
      <c r="AM650" s="46"/>
      <c r="AN650" s="46" t="s">
        <v>376</v>
      </c>
      <c r="AO650" s="46" t="s">
        <v>658</v>
      </c>
      <c r="AP650" s="46"/>
      <c r="AQ650" s="46">
        <v>2</v>
      </c>
      <c r="AR650" s="46"/>
      <c r="AS650" s="46"/>
      <c r="AT650" s="46"/>
      <c r="AU650" s="46" t="s">
        <v>376</v>
      </c>
      <c r="AV650" s="46"/>
      <c r="AW650" s="46" t="s">
        <v>30</v>
      </c>
      <c r="AX650" s="46"/>
      <c r="AY650" s="46"/>
      <c r="AZ650" s="46" t="s">
        <v>30</v>
      </c>
      <c r="BA650" s="54"/>
      <c r="BB650" s="51"/>
      <c r="BC650" s="46"/>
      <c r="BD650" s="46"/>
      <c r="BE650" s="46"/>
      <c r="BF650" s="46">
        <v>1</v>
      </c>
      <c r="BG650" s="46">
        <v>2</v>
      </c>
      <c r="BH650" s="46">
        <v>1</v>
      </c>
      <c r="BI650" s="46" t="s">
        <v>1342</v>
      </c>
      <c r="BJ650" s="46" t="s">
        <v>1291</v>
      </c>
      <c r="BK650" s="46">
        <v>1965</v>
      </c>
      <c r="BL650" s="46" t="str">
        <f>BK650&amp;BI650</f>
        <v>1965Plymouth Argyle</v>
      </c>
      <c r="BM650" s="52" t="str">
        <f>IF(AD650="Home",BI650,IF(AD650="Away",BJ650,Q650))</f>
        <v>Plymouth Argyle</v>
      </c>
      <c r="BN650" s="46"/>
      <c r="BO650" s="46"/>
      <c r="BP650" s="46"/>
      <c r="BQ650" s="46"/>
      <c r="BR650" s="46"/>
      <c r="BS650" s="46"/>
      <c r="BT650" s="46"/>
      <c r="BU650" s="46"/>
      <c r="BV650" s="46" t="s">
        <v>376</v>
      </c>
      <c r="BW650" s="46" t="s">
        <v>376</v>
      </c>
      <c r="BX650" s="46"/>
      <c r="BY650" s="35"/>
      <c r="BZ650" s="53"/>
      <c r="CA650" s="53"/>
      <c r="CB650" s="93" t="str">
        <f>IF(OR(C650="",A650="",B650=""),"",TEXT(C650,"0000")&amp;TEXT(A650,"00")&amp;TEXT(B650,"00"))</f>
        <v>19650210</v>
      </c>
    </row>
    <row r="651" spans="1:80" s="52" customFormat="1" ht="12.95" customHeight="1" x14ac:dyDescent="0.2">
      <c r="A651" s="46">
        <v>2</v>
      </c>
      <c r="B651" s="46">
        <v>10</v>
      </c>
      <c r="C651" s="46">
        <v>1965</v>
      </c>
      <c r="D651" s="46" t="s">
        <v>658</v>
      </c>
      <c r="E651" s="46" t="s">
        <v>568</v>
      </c>
      <c r="F651" s="54" t="s">
        <v>1327</v>
      </c>
      <c r="G651" s="46"/>
      <c r="H651" s="54" t="s">
        <v>1011</v>
      </c>
      <c r="I651" s="54">
        <v>2</v>
      </c>
      <c r="J651" s="55">
        <v>23783</v>
      </c>
      <c r="K651" s="46" t="s">
        <v>1291</v>
      </c>
      <c r="L651" s="46" t="s">
        <v>3</v>
      </c>
      <c r="M651" s="46" t="s">
        <v>1342</v>
      </c>
      <c r="N651" s="49">
        <v>1</v>
      </c>
      <c r="O651" s="49">
        <v>0</v>
      </c>
      <c r="P651" s="54" t="s">
        <v>1343</v>
      </c>
      <c r="Q651" s="54" t="s">
        <v>1344</v>
      </c>
      <c r="R651" s="54" t="s">
        <v>376</v>
      </c>
      <c r="S651" s="46"/>
      <c r="T651" s="46"/>
      <c r="U651" s="46"/>
      <c r="V651" s="46"/>
      <c r="W651" s="46"/>
      <c r="X651" s="46"/>
      <c r="Y651" s="46"/>
      <c r="Z651" s="46"/>
      <c r="AA651" s="46"/>
      <c r="AB651" s="46"/>
      <c r="AC651" s="46"/>
      <c r="AD651" s="46" t="s">
        <v>1037</v>
      </c>
      <c r="AE651" s="50">
        <f>IF(L651="W",1,0)</f>
        <v>1</v>
      </c>
      <c r="AF651" s="50">
        <f>IF(L651="T",1,0)</f>
        <v>0</v>
      </c>
      <c r="AG651" s="50">
        <f>IF(L651="L",1,0)</f>
        <v>0</v>
      </c>
      <c r="AH651" s="46"/>
      <c r="AI651" s="46"/>
      <c r="AJ651" s="46" t="s">
        <v>376</v>
      </c>
      <c r="AK651" s="46" t="s">
        <v>658</v>
      </c>
      <c r="AL651" s="46"/>
      <c r="AM651" s="46"/>
      <c r="AN651" s="46" t="s">
        <v>376</v>
      </c>
      <c r="AO651" s="46" t="s">
        <v>658</v>
      </c>
      <c r="AP651" s="46"/>
      <c r="AQ651" s="46">
        <v>2</v>
      </c>
      <c r="AR651" s="46"/>
      <c r="AS651" s="46"/>
      <c r="AT651" s="46"/>
      <c r="AU651" s="46" t="s">
        <v>376</v>
      </c>
      <c r="AV651" s="46"/>
      <c r="AW651" s="46" t="s">
        <v>30</v>
      </c>
      <c r="AX651" s="46"/>
      <c r="AY651" s="46"/>
      <c r="AZ651" s="46" t="s">
        <v>30</v>
      </c>
      <c r="BA651" s="54"/>
      <c r="BB651" s="51"/>
      <c r="BC651" s="46"/>
      <c r="BD651" s="46"/>
      <c r="BE651" s="46"/>
      <c r="BF651" s="46">
        <v>1</v>
      </c>
      <c r="BG651" s="46">
        <v>1</v>
      </c>
      <c r="BH651" s="46">
        <v>2</v>
      </c>
      <c r="BI651" s="46" t="s">
        <v>1291</v>
      </c>
      <c r="BJ651" s="46" t="s">
        <v>1342</v>
      </c>
      <c r="BK651" s="46">
        <v>1965</v>
      </c>
      <c r="BL651" s="46" t="str">
        <f>BK651&amp;BI651</f>
        <v>1965Leicester City</v>
      </c>
      <c r="BM651" s="52" t="str">
        <f>IF(AD651="Home",BI651,IF(AD651="Away",BJ651,Q651))</f>
        <v>Plymouth Argyle</v>
      </c>
      <c r="BN651" s="46"/>
      <c r="BO651" s="46"/>
      <c r="BP651" s="46"/>
      <c r="BQ651" s="46"/>
      <c r="BR651" s="46"/>
      <c r="BS651" s="46"/>
      <c r="BT651" s="46"/>
      <c r="BU651" s="46"/>
      <c r="BV651" s="46" t="s">
        <v>376</v>
      </c>
      <c r="BW651" s="46" t="s">
        <v>376</v>
      </c>
      <c r="BX651" s="46"/>
      <c r="BY651" s="35"/>
      <c r="BZ651" s="53"/>
      <c r="CA651" s="53"/>
      <c r="CB651" s="93" t="str">
        <f>IF(OR(C651="",A651="",B651=""),"",TEXT(C651,"0000")&amp;TEXT(A651,"00")&amp;TEXT(B651,"00"))</f>
        <v>19650210</v>
      </c>
    </row>
    <row r="652" spans="1:80" s="52" customFormat="1" ht="12.95" customHeight="1" x14ac:dyDescent="0.2">
      <c r="A652" s="46">
        <v>2</v>
      </c>
      <c r="B652" s="46">
        <v>10</v>
      </c>
      <c r="C652" s="46">
        <v>1965</v>
      </c>
      <c r="D652" s="46" t="s">
        <v>658</v>
      </c>
      <c r="E652" s="46" t="s">
        <v>568</v>
      </c>
      <c r="F652" s="54" t="s">
        <v>1327</v>
      </c>
      <c r="G652" s="46"/>
      <c r="H652" s="54" t="s">
        <v>1011</v>
      </c>
      <c r="I652" s="54">
        <v>2</v>
      </c>
      <c r="J652" s="55">
        <v>23783</v>
      </c>
      <c r="K652" s="46" t="s">
        <v>816</v>
      </c>
      <c r="L652" s="46" t="s">
        <v>1014</v>
      </c>
      <c r="M652" s="46" t="s">
        <v>806</v>
      </c>
      <c r="N652" s="49">
        <v>1</v>
      </c>
      <c r="O652" s="49">
        <v>1</v>
      </c>
      <c r="P652" s="54" t="s">
        <v>1234</v>
      </c>
      <c r="Q652" s="54" t="s">
        <v>1017</v>
      </c>
      <c r="R652" s="54" t="s">
        <v>376</v>
      </c>
      <c r="S652" s="46"/>
      <c r="T652" s="46"/>
      <c r="U652" s="46"/>
      <c r="V652" s="46"/>
      <c r="W652" s="46"/>
      <c r="X652" s="46"/>
      <c r="Y652" s="46"/>
      <c r="Z652" s="46"/>
      <c r="AA652" s="46"/>
      <c r="AB652" s="46"/>
      <c r="AC652" s="46"/>
      <c r="AD652" s="46" t="s">
        <v>1033</v>
      </c>
      <c r="AE652" s="50">
        <f>IF(L652="W",1,0)</f>
        <v>0</v>
      </c>
      <c r="AF652" s="50">
        <f>IF(L652="T",1,0)</f>
        <v>1</v>
      </c>
      <c r="AG652" s="50">
        <f>IF(L652="L",1,0)</f>
        <v>0</v>
      </c>
      <c r="AH652" s="46"/>
      <c r="AI652" s="46"/>
      <c r="AJ652" s="46" t="s">
        <v>376</v>
      </c>
      <c r="AK652" s="46" t="s">
        <v>658</v>
      </c>
      <c r="AL652" s="46"/>
      <c r="AM652" s="46"/>
      <c r="AN652" s="46" t="s">
        <v>376</v>
      </c>
      <c r="AO652" s="46" t="s">
        <v>658</v>
      </c>
      <c r="AP652" s="46"/>
      <c r="AQ652" s="46">
        <v>2</v>
      </c>
      <c r="AR652" s="46"/>
      <c r="AS652" s="46"/>
      <c r="AT652" s="46"/>
      <c r="AU652" s="46" t="s">
        <v>376</v>
      </c>
      <c r="AV652" s="46"/>
      <c r="AW652" s="46" t="s">
        <v>30</v>
      </c>
      <c r="AX652" s="46"/>
      <c r="AY652" s="46"/>
      <c r="AZ652" s="46" t="s">
        <v>30</v>
      </c>
      <c r="BA652" s="54"/>
      <c r="BB652" s="51"/>
      <c r="BC652" s="46"/>
      <c r="BD652" s="46"/>
      <c r="BE652" s="46"/>
      <c r="BF652" s="46">
        <v>1</v>
      </c>
      <c r="BG652" s="46">
        <v>1</v>
      </c>
      <c r="BH652" s="46">
        <v>1</v>
      </c>
      <c r="BI652" s="46" t="s">
        <v>816</v>
      </c>
      <c r="BJ652" s="46" t="s">
        <v>806</v>
      </c>
      <c r="BK652" s="46">
        <v>1965</v>
      </c>
      <c r="BL652" s="46" t="str">
        <f>BK652&amp;BI652</f>
        <v>1965Chelsea</v>
      </c>
      <c r="BM652" s="52" t="str">
        <f>IF(AD652="Home",BI652,IF(AD652="Away",BJ652,Q652))</f>
        <v>Chelsea</v>
      </c>
      <c r="BN652" s="46"/>
      <c r="BO652" s="46"/>
      <c r="BP652" s="46"/>
      <c r="BQ652" s="46"/>
      <c r="BR652" s="46"/>
      <c r="BS652" s="46"/>
      <c r="BT652" s="46"/>
      <c r="BU652" s="46"/>
      <c r="BV652" s="46" t="s">
        <v>376</v>
      </c>
      <c r="BW652" s="46" t="s">
        <v>376</v>
      </c>
      <c r="BX652" s="46"/>
      <c r="BZ652" s="53"/>
      <c r="CA652" s="53"/>
      <c r="CB652" s="93" t="str">
        <f>IF(OR(C652="",A652="",B652=""),"",TEXT(C652,"0000")&amp;TEXT(A652,"00")&amp;TEXT(B652,"00"))</f>
        <v>19650210</v>
      </c>
    </row>
    <row r="653" spans="1:80" s="52" customFormat="1" ht="12.95" customHeight="1" x14ac:dyDescent="0.2">
      <c r="A653" s="46">
        <v>2</v>
      </c>
      <c r="B653" s="46">
        <v>10</v>
      </c>
      <c r="C653" s="46">
        <v>1965</v>
      </c>
      <c r="D653" s="46" t="s">
        <v>658</v>
      </c>
      <c r="E653" s="46" t="s">
        <v>568</v>
      </c>
      <c r="F653" s="54" t="s">
        <v>1327</v>
      </c>
      <c r="G653" s="46"/>
      <c r="H653" s="54" t="s">
        <v>1011</v>
      </c>
      <c r="I653" s="54">
        <v>2</v>
      </c>
      <c r="J653" s="55">
        <v>23783</v>
      </c>
      <c r="K653" s="46" t="s">
        <v>806</v>
      </c>
      <c r="L653" s="46" t="s">
        <v>1014</v>
      </c>
      <c r="M653" s="46" t="s">
        <v>816</v>
      </c>
      <c r="N653" s="49">
        <v>1</v>
      </c>
      <c r="O653" s="49">
        <v>1</v>
      </c>
      <c r="P653" s="54" t="s">
        <v>1234</v>
      </c>
      <c r="Q653" s="54" t="s">
        <v>1017</v>
      </c>
      <c r="R653" s="54" t="s">
        <v>376</v>
      </c>
      <c r="S653" s="46"/>
      <c r="T653" s="46"/>
      <c r="U653" s="46"/>
      <c r="V653" s="46"/>
      <c r="W653" s="46"/>
      <c r="X653" s="46"/>
      <c r="Y653" s="46"/>
      <c r="Z653" s="46"/>
      <c r="AA653" s="46"/>
      <c r="AB653" s="46"/>
      <c r="AC653" s="46"/>
      <c r="AD653" s="46" t="s">
        <v>1037</v>
      </c>
      <c r="AE653" s="50">
        <f>IF(L653="W",1,0)</f>
        <v>0</v>
      </c>
      <c r="AF653" s="50">
        <f>IF(L653="T",1,0)</f>
        <v>1</v>
      </c>
      <c r="AG653" s="50">
        <f>IF(L653="L",1,0)</f>
        <v>0</v>
      </c>
      <c r="AH653" s="46"/>
      <c r="AI653" s="46"/>
      <c r="AJ653" s="46" t="s">
        <v>376</v>
      </c>
      <c r="AK653" s="46" t="s">
        <v>658</v>
      </c>
      <c r="AL653" s="46"/>
      <c r="AM653" s="46"/>
      <c r="AN653" s="46" t="s">
        <v>376</v>
      </c>
      <c r="AO653" s="46" t="s">
        <v>658</v>
      </c>
      <c r="AP653" s="46"/>
      <c r="AQ653" s="46">
        <v>2</v>
      </c>
      <c r="AR653" s="46"/>
      <c r="AS653" s="46"/>
      <c r="AT653" s="46"/>
      <c r="AU653" s="46" t="s">
        <v>376</v>
      </c>
      <c r="AV653" s="46"/>
      <c r="AW653" s="46" t="s">
        <v>30</v>
      </c>
      <c r="AX653" s="46"/>
      <c r="AY653" s="46"/>
      <c r="AZ653" s="46" t="s">
        <v>30</v>
      </c>
      <c r="BA653" s="54"/>
      <c r="BB653" s="51"/>
      <c r="BC653" s="46"/>
      <c r="BD653" s="46"/>
      <c r="BE653" s="46"/>
      <c r="BF653" s="46">
        <v>1</v>
      </c>
      <c r="BG653" s="46">
        <v>1</v>
      </c>
      <c r="BH653" s="46">
        <v>1</v>
      </c>
      <c r="BI653" s="46" t="s">
        <v>806</v>
      </c>
      <c r="BJ653" s="46" t="s">
        <v>816</v>
      </c>
      <c r="BK653" s="46">
        <v>1965</v>
      </c>
      <c r="BL653" s="46" t="str">
        <f>BK653&amp;BI653</f>
        <v>1965Aston Villa</v>
      </c>
      <c r="BM653" s="52" t="str">
        <f>IF(AD653="Home",BI653,IF(AD653="Away",BJ653,Q653))</f>
        <v>Chelsea</v>
      </c>
      <c r="BN653" s="46"/>
      <c r="BO653" s="46"/>
      <c r="BP653" s="46"/>
      <c r="BQ653" s="46"/>
      <c r="BR653" s="46"/>
      <c r="BS653" s="46"/>
      <c r="BT653" s="46"/>
      <c r="BU653" s="46"/>
      <c r="BV653" s="46" t="s">
        <v>376</v>
      </c>
      <c r="BW653" s="46" t="s">
        <v>376</v>
      </c>
      <c r="BX653" s="46"/>
      <c r="BZ653" s="53"/>
      <c r="CA653" s="53"/>
      <c r="CB653" s="93" t="str">
        <f>IF(OR(C653="",A653="",B653=""),"",TEXT(C653,"0000")&amp;TEXT(A653,"00")&amp;TEXT(B653,"00"))</f>
        <v>19650210</v>
      </c>
    </row>
    <row r="654" spans="1:80" s="52" customFormat="1" ht="12.95" customHeight="1" x14ac:dyDescent="0.2">
      <c r="A654" s="46">
        <v>3</v>
      </c>
      <c r="B654" s="46">
        <v>15</v>
      </c>
      <c r="C654" s="46">
        <v>1965</v>
      </c>
      <c r="D654" s="46" t="s">
        <v>658</v>
      </c>
      <c r="E654" s="46" t="s">
        <v>568</v>
      </c>
      <c r="F654" s="54" t="s">
        <v>1327</v>
      </c>
      <c r="G654" s="46"/>
      <c r="H654" s="46" t="s">
        <v>1334</v>
      </c>
      <c r="I654" s="54">
        <v>1</v>
      </c>
      <c r="J654" s="55">
        <v>23816</v>
      </c>
      <c r="K654" s="46" t="s">
        <v>816</v>
      </c>
      <c r="L654" s="46" t="s">
        <v>3</v>
      </c>
      <c r="M654" s="46" t="s">
        <v>1291</v>
      </c>
      <c r="N654" s="49">
        <v>3</v>
      </c>
      <c r="O654" s="49">
        <v>2</v>
      </c>
      <c r="P654" s="54" t="s">
        <v>1234</v>
      </c>
      <c r="Q654" s="54" t="s">
        <v>1017</v>
      </c>
      <c r="R654" s="54" t="s">
        <v>376</v>
      </c>
      <c r="S654" s="46"/>
      <c r="T654" s="46"/>
      <c r="U654" s="46"/>
      <c r="V654" s="46"/>
      <c r="W654" s="46"/>
      <c r="X654" s="46"/>
      <c r="Y654" s="46"/>
      <c r="Z654" s="46"/>
      <c r="AA654" s="46"/>
      <c r="AB654" s="46"/>
      <c r="AC654" s="46"/>
      <c r="AD654" s="46" t="s">
        <v>1033</v>
      </c>
      <c r="AE654" s="50">
        <f>IF(L654="W",1,0)</f>
        <v>1</v>
      </c>
      <c r="AF654" s="50">
        <f>IF(L654="T",1,0)</f>
        <v>0</v>
      </c>
      <c r="AG654" s="50">
        <f>IF(L654="L",1,0)</f>
        <v>0</v>
      </c>
      <c r="AH654" s="46"/>
      <c r="AI654" s="46"/>
      <c r="AJ654" s="46" t="s">
        <v>376</v>
      </c>
      <c r="AK654" s="46" t="s">
        <v>658</v>
      </c>
      <c r="AL654" s="46"/>
      <c r="AM654" s="46"/>
      <c r="AN654" s="46" t="s">
        <v>376</v>
      </c>
      <c r="AO654" s="46" t="s">
        <v>658</v>
      </c>
      <c r="AP654" s="46"/>
      <c r="AQ654" s="46">
        <v>1</v>
      </c>
      <c r="AR654" s="46"/>
      <c r="AS654" s="46"/>
      <c r="AT654" s="46"/>
      <c r="AU654" s="46" t="s">
        <v>376</v>
      </c>
      <c r="AV654" s="46"/>
      <c r="AW654" s="46" t="s">
        <v>30</v>
      </c>
      <c r="AX654" s="46"/>
      <c r="AY654" s="46"/>
      <c r="AZ654" s="46" t="s">
        <v>30</v>
      </c>
      <c r="BA654" s="54"/>
      <c r="BB654" s="51" t="s">
        <v>30</v>
      </c>
      <c r="BC654" s="46" t="s">
        <v>30</v>
      </c>
      <c r="BD654" s="46"/>
      <c r="BE654" s="46"/>
      <c r="BF654" s="46">
        <v>1</v>
      </c>
      <c r="BG654" s="46">
        <v>1</v>
      </c>
      <c r="BH654" s="46">
        <v>1</v>
      </c>
      <c r="BI654" s="46" t="s">
        <v>816</v>
      </c>
      <c r="BJ654" s="46" t="s">
        <v>1291</v>
      </c>
      <c r="BK654" s="46">
        <v>1965</v>
      </c>
      <c r="BL654" s="46" t="str">
        <f>BK654&amp;BI654</f>
        <v>1965Chelsea</v>
      </c>
      <c r="BM654" s="52" t="str">
        <f>IF(AD654="Home",BI654,IF(AD654="Away",BJ654,Q654))</f>
        <v>Chelsea</v>
      </c>
      <c r="BN654" s="46"/>
      <c r="BO654" s="46"/>
      <c r="BP654" s="46"/>
      <c r="BQ654" s="46"/>
      <c r="BR654" s="46"/>
      <c r="BS654" s="46"/>
      <c r="BT654" s="46"/>
      <c r="BU654" s="46"/>
      <c r="BV654" s="46" t="s">
        <v>376</v>
      </c>
      <c r="BW654" s="46" t="s">
        <v>376</v>
      </c>
      <c r="BX654" s="46"/>
      <c r="BZ654" s="53"/>
      <c r="CA654" s="53"/>
      <c r="CB654" s="93" t="str">
        <f>IF(OR(C654="",A654="",B654=""),"",TEXT(C654,"0000")&amp;TEXT(A654,"00")&amp;TEXT(B654,"00"))</f>
        <v>19650315</v>
      </c>
    </row>
    <row r="655" spans="1:80" s="52" customFormat="1" ht="12.95" customHeight="1" x14ac:dyDescent="0.2">
      <c r="A655" s="46">
        <v>3</v>
      </c>
      <c r="B655" s="46">
        <v>15</v>
      </c>
      <c r="C655" s="46">
        <v>1965</v>
      </c>
      <c r="D655" s="46" t="s">
        <v>658</v>
      </c>
      <c r="E655" s="46" t="s">
        <v>568</v>
      </c>
      <c r="F655" s="54" t="s">
        <v>1327</v>
      </c>
      <c r="G655" s="46"/>
      <c r="H655" s="46" t="s">
        <v>1334</v>
      </c>
      <c r="I655" s="54">
        <v>1</v>
      </c>
      <c r="J655" s="55">
        <v>23816</v>
      </c>
      <c r="K655" s="46" t="s">
        <v>1291</v>
      </c>
      <c r="L655" s="46" t="s">
        <v>4</v>
      </c>
      <c r="M655" s="46" t="s">
        <v>816</v>
      </c>
      <c r="N655" s="49">
        <v>2</v>
      </c>
      <c r="O655" s="49">
        <v>3</v>
      </c>
      <c r="P655" s="54" t="s">
        <v>1234</v>
      </c>
      <c r="Q655" s="54" t="s">
        <v>1017</v>
      </c>
      <c r="R655" s="54" t="s">
        <v>376</v>
      </c>
      <c r="S655" s="46"/>
      <c r="T655" s="46"/>
      <c r="U655" s="46"/>
      <c r="V655" s="46"/>
      <c r="W655" s="46"/>
      <c r="X655" s="46"/>
      <c r="Y655" s="46"/>
      <c r="Z655" s="46"/>
      <c r="AA655" s="46"/>
      <c r="AB655" s="46"/>
      <c r="AC655" s="46"/>
      <c r="AD655" s="46" t="s">
        <v>1037</v>
      </c>
      <c r="AE655" s="50">
        <f>IF(L655="W",1,0)</f>
        <v>0</v>
      </c>
      <c r="AF655" s="50">
        <f>IF(L655="T",1,0)</f>
        <v>0</v>
      </c>
      <c r="AG655" s="50">
        <f>IF(L655="L",1,0)</f>
        <v>1</v>
      </c>
      <c r="AH655" s="46"/>
      <c r="AI655" s="46"/>
      <c r="AJ655" s="46" t="s">
        <v>376</v>
      </c>
      <c r="AK655" s="46" t="s">
        <v>658</v>
      </c>
      <c r="AL655" s="46"/>
      <c r="AM655" s="46"/>
      <c r="AN655" s="46" t="s">
        <v>376</v>
      </c>
      <c r="AO655" s="46" t="s">
        <v>658</v>
      </c>
      <c r="AP655" s="46"/>
      <c r="AQ655" s="46">
        <v>1</v>
      </c>
      <c r="AR655" s="46"/>
      <c r="AS655" s="46"/>
      <c r="AT655" s="46"/>
      <c r="AU655" s="46" t="s">
        <v>376</v>
      </c>
      <c r="AV655" s="46"/>
      <c r="AW655" s="46" t="s">
        <v>30</v>
      </c>
      <c r="AX655" s="46"/>
      <c r="AY655" s="46"/>
      <c r="AZ655" s="46" t="s">
        <v>30</v>
      </c>
      <c r="BA655" s="54"/>
      <c r="BB655" s="51"/>
      <c r="BC655" s="46" t="s">
        <v>30</v>
      </c>
      <c r="BD655" s="46"/>
      <c r="BE655" s="46"/>
      <c r="BF655" s="46">
        <v>1</v>
      </c>
      <c r="BG655" s="46">
        <v>1</v>
      </c>
      <c r="BH655" s="46">
        <v>1</v>
      </c>
      <c r="BI655" s="46" t="s">
        <v>1291</v>
      </c>
      <c r="BJ655" s="46" t="s">
        <v>816</v>
      </c>
      <c r="BK655" s="46">
        <v>1965</v>
      </c>
      <c r="BL655" s="46" t="str">
        <f>BK655&amp;BI655</f>
        <v>1965Leicester City</v>
      </c>
      <c r="BM655" s="52" t="str">
        <f>IF(AD655="Home",BI655,IF(AD655="Away",BJ655,Q655))</f>
        <v>Chelsea</v>
      </c>
      <c r="BN655" s="46"/>
      <c r="BO655" s="46"/>
      <c r="BP655" s="46"/>
      <c r="BQ655" s="46"/>
      <c r="BR655" s="46"/>
      <c r="BS655" s="46"/>
      <c r="BT655" s="46"/>
      <c r="BU655" s="46"/>
      <c r="BV655" s="46" t="s">
        <v>376</v>
      </c>
      <c r="BW655" s="46" t="s">
        <v>376</v>
      </c>
      <c r="BX655" s="46"/>
      <c r="BZ655" s="53"/>
      <c r="CA655" s="53"/>
      <c r="CB655" s="93" t="str">
        <f>IF(OR(C655="",A655="",B655=""),"",TEXT(C655,"0000")&amp;TEXT(A655,"00")&amp;TEXT(B655,"00"))</f>
        <v>19650315</v>
      </c>
    </row>
    <row r="656" spans="1:80" s="52" customFormat="1" ht="12.95" customHeight="1" x14ac:dyDescent="0.2">
      <c r="A656" s="46">
        <v>3</v>
      </c>
      <c r="B656" s="46">
        <v>27</v>
      </c>
      <c r="C656" s="46">
        <v>1965</v>
      </c>
      <c r="D656" s="46" t="s">
        <v>658</v>
      </c>
      <c r="E656" s="46" t="s">
        <v>568</v>
      </c>
      <c r="F656" s="47" t="s">
        <v>1010</v>
      </c>
      <c r="G656" s="46"/>
      <c r="H656" s="47" t="s">
        <v>1011</v>
      </c>
      <c r="I656" s="47"/>
      <c r="J656" s="48">
        <v>23828</v>
      </c>
      <c r="K656" s="46" t="s">
        <v>821</v>
      </c>
      <c r="L656" s="46" t="s">
        <v>1014</v>
      </c>
      <c r="M656" s="46" t="s">
        <v>794</v>
      </c>
      <c r="N656" s="49">
        <v>0</v>
      </c>
      <c r="O656" s="49">
        <v>0</v>
      </c>
      <c r="P656" s="47" t="s">
        <v>1252</v>
      </c>
      <c r="Q656" s="47" t="s">
        <v>1097</v>
      </c>
      <c r="R656" s="47" t="s">
        <v>376</v>
      </c>
      <c r="S656" s="46"/>
      <c r="T656" s="46"/>
      <c r="U656" s="46"/>
      <c r="V656" s="46"/>
      <c r="W656" s="46"/>
      <c r="X656" s="46"/>
      <c r="Y656" s="46"/>
      <c r="Z656" s="46"/>
      <c r="AA656" s="46"/>
      <c r="AB656" s="46"/>
      <c r="AC656" s="46"/>
      <c r="AD656" s="46"/>
      <c r="AE656" s="50">
        <f>IF(L656="W",1,0)</f>
        <v>0</v>
      </c>
      <c r="AF656" s="50">
        <f>IF(L656="T",1,0)</f>
        <v>1</v>
      </c>
      <c r="AG656" s="50">
        <f>IF(L656="L",1,0)</f>
        <v>0</v>
      </c>
      <c r="AH656" s="46" t="s">
        <v>1101</v>
      </c>
      <c r="AI656" s="46" t="s">
        <v>1159</v>
      </c>
      <c r="AJ656" s="46" t="s">
        <v>376</v>
      </c>
      <c r="AK656" s="46" t="s">
        <v>658</v>
      </c>
      <c r="AL656" s="46" t="s">
        <v>1241</v>
      </c>
      <c r="AM656" s="46" t="s">
        <v>1260</v>
      </c>
      <c r="AN656" s="46" t="s">
        <v>376</v>
      </c>
      <c r="AO656" s="46" t="s">
        <v>658</v>
      </c>
      <c r="AP656" s="46"/>
      <c r="AQ656" s="46">
        <v>2</v>
      </c>
      <c r="AR656" s="46"/>
      <c r="AS656" s="46"/>
      <c r="AT656" s="46"/>
      <c r="AU656" s="46" t="s">
        <v>376</v>
      </c>
      <c r="AV656" s="46"/>
      <c r="AW656" s="46" t="s">
        <v>30</v>
      </c>
      <c r="AX656" s="46"/>
      <c r="AY656" s="46" t="s">
        <v>30</v>
      </c>
      <c r="AZ656" s="46"/>
      <c r="BA656" s="47"/>
      <c r="BB656" s="51"/>
      <c r="BC656" s="46"/>
      <c r="BD656" s="46"/>
      <c r="BE656" s="46"/>
      <c r="BF656" s="46">
        <v>1</v>
      </c>
      <c r="BG656" s="46">
        <v>1</v>
      </c>
      <c r="BH656" s="46">
        <v>1</v>
      </c>
      <c r="BI656" s="46" t="s">
        <v>821</v>
      </c>
      <c r="BJ656" s="46" t="s">
        <v>794</v>
      </c>
      <c r="BK656" s="46">
        <v>1965</v>
      </c>
      <c r="BL656" s="46" t="str">
        <f>BK656&amp;BI656</f>
        <v>1965Manchester United</v>
      </c>
      <c r="BM656" s="52" t="str">
        <f>IF(AD656="Home",BI656,IF(AD656="Away",BJ656,Q656))</f>
        <v>Sheffield</v>
      </c>
      <c r="BN656" s="46"/>
      <c r="BO656" s="46"/>
      <c r="BP656" s="46"/>
      <c r="BQ656" s="46"/>
      <c r="BR656" s="46"/>
      <c r="BS656" s="46"/>
      <c r="BT656" s="46"/>
      <c r="BU656" s="46"/>
      <c r="BV656" s="46" t="s">
        <v>376</v>
      </c>
      <c r="BW656" s="46" t="s">
        <v>376</v>
      </c>
      <c r="BX656" s="46"/>
      <c r="BY656" s="50"/>
      <c r="BZ656" s="53"/>
      <c r="CA656" s="53"/>
      <c r="CB656" s="93" t="str">
        <f>IF(OR(C656="",A656="",B656=""),"",TEXT(C656,"0000")&amp;TEXT(A656,"00")&amp;TEXT(B656,"00"))</f>
        <v>19650327</v>
      </c>
    </row>
    <row r="657" spans="1:80" s="52" customFormat="1" ht="12.95" customHeight="1" x14ac:dyDescent="0.2">
      <c r="A657" s="46">
        <v>3</v>
      </c>
      <c r="B657" s="46">
        <v>27</v>
      </c>
      <c r="C657" s="46">
        <v>1965</v>
      </c>
      <c r="D657" s="46" t="s">
        <v>658</v>
      </c>
      <c r="E657" s="46" t="s">
        <v>568</v>
      </c>
      <c r="F657" s="47" t="s">
        <v>1010</v>
      </c>
      <c r="G657" s="46"/>
      <c r="H657" s="47" t="s">
        <v>1011</v>
      </c>
      <c r="I657" s="47"/>
      <c r="J657" s="48">
        <v>23828</v>
      </c>
      <c r="K657" s="46" t="s">
        <v>794</v>
      </c>
      <c r="L657" s="46" t="s">
        <v>1014</v>
      </c>
      <c r="M657" s="46" t="s">
        <v>821</v>
      </c>
      <c r="N657" s="49">
        <v>0</v>
      </c>
      <c r="O657" s="49">
        <v>0</v>
      </c>
      <c r="P657" s="47" t="s">
        <v>1252</v>
      </c>
      <c r="Q657" s="47" t="s">
        <v>1097</v>
      </c>
      <c r="R657" s="47" t="s">
        <v>376</v>
      </c>
      <c r="S657" s="46"/>
      <c r="T657" s="46"/>
      <c r="U657" s="46"/>
      <c r="V657" s="46"/>
      <c r="W657" s="46"/>
      <c r="X657" s="46"/>
      <c r="Y657" s="46"/>
      <c r="Z657" s="46"/>
      <c r="AA657" s="46"/>
      <c r="AB657" s="46"/>
      <c r="AC657" s="46"/>
      <c r="AD657" s="46"/>
      <c r="AE657" s="50">
        <f>IF(L657="W",1,0)</f>
        <v>0</v>
      </c>
      <c r="AF657" s="50">
        <f>IF(L657="T",1,0)</f>
        <v>1</v>
      </c>
      <c r="AG657" s="50">
        <f>IF(L657="L",1,0)</f>
        <v>0</v>
      </c>
      <c r="AH657" s="46" t="s">
        <v>1241</v>
      </c>
      <c r="AI657" s="46" t="s">
        <v>1260</v>
      </c>
      <c r="AJ657" s="46" t="s">
        <v>376</v>
      </c>
      <c r="AK657" s="46" t="s">
        <v>658</v>
      </c>
      <c r="AL657" s="46" t="s">
        <v>1101</v>
      </c>
      <c r="AM657" s="46" t="s">
        <v>1159</v>
      </c>
      <c r="AN657" s="46" t="s">
        <v>376</v>
      </c>
      <c r="AO657" s="46" t="s">
        <v>658</v>
      </c>
      <c r="AP657" s="46"/>
      <c r="AQ657" s="46">
        <v>2</v>
      </c>
      <c r="AR657" s="46"/>
      <c r="AS657" s="46"/>
      <c r="AT657" s="46"/>
      <c r="AU657" s="46" t="s">
        <v>376</v>
      </c>
      <c r="AV657" s="46"/>
      <c r="AW657" s="46" t="s">
        <v>30</v>
      </c>
      <c r="AX657" s="46"/>
      <c r="AY657" s="46" t="s">
        <v>30</v>
      </c>
      <c r="AZ657" s="46"/>
      <c r="BA657" s="47"/>
      <c r="BB657" s="51"/>
      <c r="BC657" s="46"/>
      <c r="BD657" s="46"/>
      <c r="BE657" s="46"/>
      <c r="BF657" s="46">
        <v>1</v>
      </c>
      <c r="BG657" s="46">
        <v>1</v>
      </c>
      <c r="BH657" s="46">
        <v>1</v>
      </c>
      <c r="BI657" s="46" t="s">
        <v>794</v>
      </c>
      <c r="BJ657" s="46" t="s">
        <v>821</v>
      </c>
      <c r="BK657" s="46">
        <v>1965</v>
      </c>
      <c r="BL657" s="46" t="str">
        <f>BK657&amp;BI657</f>
        <v>1965Leeds United</v>
      </c>
      <c r="BM657" s="52" t="str">
        <f>IF(AD657="Home",BI657,IF(AD657="Away",BJ657,Q657))</f>
        <v>Sheffield</v>
      </c>
      <c r="BN657" s="46"/>
      <c r="BO657" s="46"/>
      <c r="BP657" s="46"/>
      <c r="BQ657" s="46"/>
      <c r="BR657" s="46"/>
      <c r="BS657" s="46"/>
      <c r="BT657" s="46"/>
      <c r="BU657" s="46"/>
      <c r="BV657" s="46" t="s">
        <v>376</v>
      </c>
      <c r="BW657" s="46" t="s">
        <v>376</v>
      </c>
      <c r="BX657" s="46"/>
      <c r="BY657" s="50"/>
      <c r="BZ657" s="53"/>
      <c r="CA657" s="53"/>
      <c r="CB657" s="93" t="str">
        <f>IF(OR(C657="",A657="",B657=""),"",TEXT(C657,"0000")&amp;TEXT(A657,"00")&amp;TEXT(B657,"00"))</f>
        <v>19650327</v>
      </c>
    </row>
    <row r="658" spans="1:80" s="52" customFormat="1" ht="12.95" customHeight="1" x14ac:dyDescent="0.2">
      <c r="A658" s="46">
        <v>3</v>
      </c>
      <c r="B658" s="46">
        <v>27</v>
      </c>
      <c r="C658" s="46">
        <v>1965</v>
      </c>
      <c r="D658" s="46" t="s">
        <v>658</v>
      </c>
      <c r="E658" s="46" t="s">
        <v>568</v>
      </c>
      <c r="F658" s="47" t="s">
        <v>1010</v>
      </c>
      <c r="G658" s="46"/>
      <c r="H658" s="47" t="s">
        <v>1011</v>
      </c>
      <c r="I658" s="47"/>
      <c r="J658" s="48">
        <v>23828</v>
      </c>
      <c r="K658" s="46" t="s">
        <v>588</v>
      </c>
      <c r="L658" s="46" t="s">
        <v>3</v>
      </c>
      <c r="M658" s="46" t="s">
        <v>816</v>
      </c>
      <c r="N658" s="49">
        <v>2</v>
      </c>
      <c r="O658" s="49">
        <v>0</v>
      </c>
      <c r="P658" s="47" t="s">
        <v>1219</v>
      </c>
      <c r="Q658" s="47" t="s">
        <v>1111</v>
      </c>
      <c r="R658" s="47" t="s">
        <v>376</v>
      </c>
      <c r="S658" s="46"/>
      <c r="T658" s="46"/>
      <c r="U658" s="46"/>
      <c r="V658" s="46"/>
      <c r="W658" s="46"/>
      <c r="X658" s="46"/>
      <c r="Y658" s="46"/>
      <c r="Z658" s="46"/>
      <c r="AA658" s="46"/>
      <c r="AB658" s="46"/>
      <c r="AC658" s="46"/>
      <c r="AD658" s="46"/>
      <c r="AE658" s="50">
        <f>IF(L658="W",1,0)</f>
        <v>1</v>
      </c>
      <c r="AF658" s="50">
        <f>IF(L658="T",1,0)</f>
        <v>0</v>
      </c>
      <c r="AG658" s="50">
        <f>IF(L658="L",1,0)</f>
        <v>0</v>
      </c>
      <c r="AH658" s="46" t="s">
        <v>588</v>
      </c>
      <c r="AI658" s="46" t="s">
        <v>1175</v>
      </c>
      <c r="AJ658" s="46" t="s">
        <v>376</v>
      </c>
      <c r="AK658" s="46" t="s">
        <v>658</v>
      </c>
      <c r="AL658" s="46" t="s">
        <v>1017</v>
      </c>
      <c r="AM658" s="46" t="s">
        <v>1018</v>
      </c>
      <c r="AN658" s="46" t="s">
        <v>376</v>
      </c>
      <c r="AO658" s="46" t="s">
        <v>658</v>
      </c>
      <c r="AP658" s="46"/>
      <c r="AQ658" s="46">
        <v>2</v>
      </c>
      <c r="AR658" s="46"/>
      <c r="AS658" s="46"/>
      <c r="AT658" s="46"/>
      <c r="AU658" s="46" t="s">
        <v>376</v>
      </c>
      <c r="AV658" s="46"/>
      <c r="AW658" s="46" t="s">
        <v>30</v>
      </c>
      <c r="AX658" s="46"/>
      <c r="AY658" s="46" t="s">
        <v>30</v>
      </c>
      <c r="AZ658" s="46"/>
      <c r="BA658" s="47"/>
      <c r="BB658" s="51"/>
      <c r="BC658" s="46"/>
      <c r="BD658" s="46"/>
      <c r="BE658" s="46"/>
      <c r="BF658" s="46">
        <v>1</v>
      </c>
      <c r="BG658" s="46">
        <v>1</v>
      </c>
      <c r="BH658" s="46">
        <v>1</v>
      </c>
      <c r="BI658" s="46" t="s">
        <v>588</v>
      </c>
      <c r="BJ658" s="46" t="s">
        <v>816</v>
      </c>
      <c r="BK658" s="46">
        <v>1965</v>
      </c>
      <c r="BL658" s="46" t="str">
        <f>BK658&amp;BI658</f>
        <v>1965Liverpool</v>
      </c>
      <c r="BM658" s="52" t="str">
        <f>IF(AD658="Home",BI658,IF(AD658="Away",BJ658,Q658))</f>
        <v>Birmingham</v>
      </c>
      <c r="BN658" s="46"/>
      <c r="BO658" s="46"/>
      <c r="BP658" s="46"/>
      <c r="BQ658" s="46"/>
      <c r="BR658" s="46"/>
      <c r="BS658" s="46"/>
      <c r="BT658" s="46"/>
      <c r="BU658" s="46"/>
      <c r="BV658" s="46" t="s">
        <v>376</v>
      </c>
      <c r="BW658" s="46" t="s">
        <v>376</v>
      </c>
      <c r="BX658" s="46"/>
      <c r="BZ658" s="53"/>
      <c r="CA658" s="53"/>
      <c r="CB658" s="93" t="str">
        <f>IF(OR(C658="",A658="",B658=""),"",TEXT(C658,"0000")&amp;TEXT(A658,"00")&amp;TEXT(B658,"00"))</f>
        <v>19650327</v>
      </c>
    </row>
    <row r="659" spans="1:80" s="52" customFormat="1" ht="12.95" customHeight="1" x14ac:dyDescent="0.2">
      <c r="A659" s="46">
        <v>3</v>
      </c>
      <c r="B659" s="46">
        <v>27</v>
      </c>
      <c r="C659" s="46">
        <v>1965</v>
      </c>
      <c r="D659" s="46" t="s">
        <v>658</v>
      </c>
      <c r="E659" s="46" t="s">
        <v>568</v>
      </c>
      <c r="F659" s="47" t="s">
        <v>1010</v>
      </c>
      <c r="G659" s="46"/>
      <c r="H659" s="47" t="s">
        <v>1011</v>
      </c>
      <c r="I659" s="47"/>
      <c r="J659" s="48">
        <v>23828</v>
      </c>
      <c r="K659" s="46" t="s">
        <v>816</v>
      </c>
      <c r="L659" s="46" t="s">
        <v>4</v>
      </c>
      <c r="M659" s="46" t="s">
        <v>588</v>
      </c>
      <c r="N659" s="49">
        <v>0</v>
      </c>
      <c r="O659" s="49">
        <v>2</v>
      </c>
      <c r="P659" s="47" t="s">
        <v>1219</v>
      </c>
      <c r="Q659" s="47" t="s">
        <v>1111</v>
      </c>
      <c r="R659" s="47" t="s">
        <v>376</v>
      </c>
      <c r="S659" s="46"/>
      <c r="T659" s="46"/>
      <c r="U659" s="46"/>
      <c r="V659" s="46"/>
      <c r="W659" s="46"/>
      <c r="X659" s="46"/>
      <c r="Y659" s="46"/>
      <c r="Z659" s="46"/>
      <c r="AA659" s="46"/>
      <c r="AB659" s="46"/>
      <c r="AC659" s="46"/>
      <c r="AD659" s="46"/>
      <c r="AE659" s="50">
        <f>IF(L659="W",1,0)</f>
        <v>0</v>
      </c>
      <c r="AF659" s="50">
        <f>IF(L659="T",1,0)</f>
        <v>0</v>
      </c>
      <c r="AG659" s="50">
        <f>IF(L659="L",1,0)</f>
        <v>1</v>
      </c>
      <c r="AH659" s="46" t="s">
        <v>1017</v>
      </c>
      <c r="AI659" s="46" t="s">
        <v>1018</v>
      </c>
      <c r="AJ659" s="46" t="s">
        <v>376</v>
      </c>
      <c r="AK659" s="46" t="s">
        <v>658</v>
      </c>
      <c r="AL659" s="46" t="s">
        <v>588</v>
      </c>
      <c r="AM659" s="46" t="s">
        <v>1175</v>
      </c>
      <c r="AN659" s="46" t="s">
        <v>376</v>
      </c>
      <c r="AO659" s="46" t="s">
        <v>658</v>
      </c>
      <c r="AP659" s="46"/>
      <c r="AQ659" s="46">
        <v>2</v>
      </c>
      <c r="AR659" s="46"/>
      <c r="AS659" s="46"/>
      <c r="AT659" s="46"/>
      <c r="AU659" s="46" t="s">
        <v>376</v>
      </c>
      <c r="AV659" s="46"/>
      <c r="AW659" s="46" t="s">
        <v>30</v>
      </c>
      <c r="AX659" s="46"/>
      <c r="AY659" s="46" t="s">
        <v>30</v>
      </c>
      <c r="AZ659" s="46"/>
      <c r="BA659" s="47"/>
      <c r="BB659" s="51"/>
      <c r="BC659" s="46"/>
      <c r="BD659" s="46"/>
      <c r="BE659" s="46"/>
      <c r="BF659" s="46">
        <v>1</v>
      </c>
      <c r="BG659" s="46">
        <v>1</v>
      </c>
      <c r="BH659" s="46">
        <v>1</v>
      </c>
      <c r="BI659" s="46" t="s">
        <v>816</v>
      </c>
      <c r="BJ659" s="46" t="s">
        <v>588</v>
      </c>
      <c r="BK659" s="46">
        <v>1965</v>
      </c>
      <c r="BL659" s="46" t="str">
        <f>BK659&amp;BI659</f>
        <v>1965Chelsea</v>
      </c>
      <c r="BM659" s="52" t="str">
        <f>IF(AD659="Home",BI659,IF(AD659="Away",BJ659,Q659))</f>
        <v>Birmingham</v>
      </c>
      <c r="BN659" s="46"/>
      <c r="BO659" s="46"/>
      <c r="BP659" s="46"/>
      <c r="BQ659" s="46"/>
      <c r="BR659" s="46"/>
      <c r="BS659" s="46"/>
      <c r="BT659" s="46"/>
      <c r="BU659" s="46"/>
      <c r="BV659" s="46" t="s">
        <v>376</v>
      </c>
      <c r="BW659" s="46" t="s">
        <v>376</v>
      </c>
      <c r="BX659" s="46"/>
      <c r="BZ659" s="53"/>
      <c r="CA659" s="53"/>
      <c r="CB659" s="93" t="str">
        <f>IF(OR(C659="",A659="",B659=""),"",TEXT(C659,"0000")&amp;TEXT(A659,"00")&amp;TEXT(B659,"00"))</f>
        <v>19650327</v>
      </c>
    </row>
    <row r="660" spans="1:80" s="52" customFormat="1" ht="12.95" customHeight="1" x14ac:dyDescent="0.2">
      <c r="A660" s="46">
        <v>3</v>
      </c>
      <c r="B660" s="46">
        <v>31</v>
      </c>
      <c r="C660" s="46">
        <v>1965</v>
      </c>
      <c r="D660" s="46" t="s">
        <v>658</v>
      </c>
      <c r="E660" s="46" t="s">
        <v>568</v>
      </c>
      <c r="F660" s="47" t="s">
        <v>1010</v>
      </c>
      <c r="G660" s="46"/>
      <c r="H660" s="47" t="s">
        <v>1011</v>
      </c>
      <c r="I660" s="47" t="s">
        <v>1023</v>
      </c>
      <c r="J660" s="48">
        <v>23832</v>
      </c>
      <c r="K660" s="46" t="s">
        <v>794</v>
      </c>
      <c r="L660" s="46" t="s">
        <v>3</v>
      </c>
      <c r="M660" s="46" t="s">
        <v>821</v>
      </c>
      <c r="N660" s="49">
        <v>1</v>
      </c>
      <c r="O660" s="49">
        <v>0</v>
      </c>
      <c r="P660" s="47" t="s">
        <v>1135</v>
      </c>
      <c r="Q660" s="47" t="s">
        <v>1073</v>
      </c>
      <c r="R660" s="47" t="s">
        <v>376</v>
      </c>
      <c r="S660" s="46"/>
      <c r="T660" s="46"/>
      <c r="U660" s="46"/>
      <c r="V660" s="46"/>
      <c r="W660" s="46"/>
      <c r="X660" s="46"/>
      <c r="Y660" s="46"/>
      <c r="Z660" s="46"/>
      <c r="AA660" s="46"/>
      <c r="AB660" s="46"/>
      <c r="AC660" s="46"/>
      <c r="AD660" s="46"/>
      <c r="AE660" s="50">
        <f>IF(L660="W",1,0)</f>
        <v>1</v>
      </c>
      <c r="AF660" s="50">
        <f>IF(L660="T",1,0)</f>
        <v>0</v>
      </c>
      <c r="AG660" s="50">
        <f>IF(L660="L",1,0)</f>
        <v>0</v>
      </c>
      <c r="AH660" s="46" t="s">
        <v>1241</v>
      </c>
      <c r="AI660" s="46" t="s">
        <v>1260</v>
      </c>
      <c r="AJ660" s="46" t="s">
        <v>376</v>
      </c>
      <c r="AK660" s="46" t="s">
        <v>658</v>
      </c>
      <c r="AL660" s="46" t="s">
        <v>1101</v>
      </c>
      <c r="AM660" s="46" t="s">
        <v>1159</v>
      </c>
      <c r="AN660" s="46" t="s">
        <v>376</v>
      </c>
      <c r="AO660" s="46" t="s">
        <v>658</v>
      </c>
      <c r="AP660" s="46"/>
      <c r="AQ660" s="46">
        <v>2</v>
      </c>
      <c r="AR660" s="46"/>
      <c r="AS660" s="46"/>
      <c r="AT660" s="46"/>
      <c r="AU660" s="46" t="s">
        <v>376</v>
      </c>
      <c r="AV660" s="46"/>
      <c r="AW660" s="46" t="s">
        <v>30</v>
      </c>
      <c r="AX660" s="46"/>
      <c r="AY660" s="46" t="s">
        <v>30</v>
      </c>
      <c r="AZ660" s="46"/>
      <c r="BA660" s="47"/>
      <c r="BB660" s="51"/>
      <c r="BC660" s="46"/>
      <c r="BD660" s="46"/>
      <c r="BE660" s="46"/>
      <c r="BF660" s="46">
        <v>1</v>
      </c>
      <c r="BG660" s="46">
        <v>1</v>
      </c>
      <c r="BH660" s="46">
        <v>1</v>
      </c>
      <c r="BI660" s="46" t="s">
        <v>794</v>
      </c>
      <c r="BJ660" s="46" t="s">
        <v>821</v>
      </c>
      <c r="BK660" s="46">
        <v>1965</v>
      </c>
      <c r="BL660" s="46" t="str">
        <f>BK660&amp;BI660</f>
        <v>1965Leeds United</v>
      </c>
      <c r="BM660" s="52" t="str">
        <f>IF(AD660="Home",BI660,IF(AD660="Away",BJ660,Q660))</f>
        <v>Nottingham</v>
      </c>
      <c r="BN660" s="46"/>
      <c r="BO660" s="46"/>
      <c r="BP660" s="46"/>
      <c r="BQ660" s="46"/>
      <c r="BR660" s="46"/>
      <c r="BS660" s="46"/>
      <c r="BT660" s="46"/>
      <c r="BU660" s="46"/>
      <c r="BV660" s="46" t="s">
        <v>376</v>
      </c>
      <c r="BW660" s="46" t="s">
        <v>376</v>
      </c>
      <c r="BX660" s="46"/>
      <c r="BY660" s="35"/>
      <c r="BZ660" s="53"/>
      <c r="CA660" s="53"/>
      <c r="CB660" s="93" t="str">
        <f>IF(OR(C660="",A660="",B660=""),"",TEXT(C660,"0000")&amp;TEXT(A660,"00")&amp;TEXT(B660,"00"))</f>
        <v>19650331</v>
      </c>
    </row>
    <row r="661" spans="1:80" s="52" customFormat="1" ht="12.95" customHeight="1" x14ac:dyDescent="0.2">
      <c r="A661" s="46">
        <v>3</v>
      </c>
      <c r="B661" s="46">
        <v>31</v>
      </c>
      <c r="C661" s="46">
        <v>1965</v>
      </c>
      <c r="D661" s="46" t="s">
        <v>658</v>
      </c>
      <c r="E661" s="46" t="s">
        <v>568</v>
      </c>
      <c r="F661" s="47" t="s">
        <v>1010</v>
      </c>
      <c r="G661" s="46"/>
      <c r="H661" s="47" t="s">
        <v>1011</v>
      </c>
      <c r="I661" s="47" t="s">
        <v>1023</v>
      </c>
      <c r="J661" s="48">
        <v>23832</v>
      </c>
      <c r="K661" s="46" t="s">
        <v>821</v>
      </c>
      <c r="L661" s="46" t="s">
        <v>4</v>
      </c>
      <c r="M661" s="46" t="s">
        <v>794</v>
      </c>
      <c r="N661" s="49">
        <v>0</v>
      </c>
      <c r="O661" s="49">
        <v>1</v>
      </c>
      <c r="P661" s="47" t="s">
        <v>1135</v>
      </c>
      <c r="Q661" s="47" t="s">
        <v>1073</v>
      </c>
      <c r="R661" s="47" t="s">
        <v>376</v>
      </c>
      <c r="S661" s="46"/>
      <c r="T661" s="46"/>
      <c r="U661" s="46"/>
      <c r="V661" s="46"/>
      <c r="W661" s="46"/>
      <c r="X661" s="46"/>
      <c r="Y661" s="46"/>
      <c r="Z661" s="46"/>
      <c r="AA661" s="46"/>
      <c r="AB661" s="46"/>
      <c r="AC661" s="46"/>
      <c r="AD661" s="46"/>
      <c r="AE661" s="50">
        <f>IF(L661="W",1,0)</f>
        <v>0</v>
      </c>
      <c r="AF661" s="50">
        <f>IF(L661="T",1,0)</f>
        <v>0</v>
      </c>
      <c r="AG661" s="50">
        <f>IF(L661="L",1,0)</f>
        <v>1</v>
      </c>
      <c r="AH661" s="46" t="s">
        <v>1101</v>
      </c>
      <c r="AI661" s="46" t="s">
        <v>1159</v>
      </c>
      <c r="AJ661" s="46" t="s">
        <v>376</v>
      </c>
      <c r="AK661" s="46" t="s">
        <v>658</v>
      </c>
      <c r="AL661" s="46" t="s">
        <v>1241</v>
      </c>
      <c r="AM661" s="46" t="s">
        <v>1260</v>
      </c>
      <c r="AN661" s="46" t="s">
        <v>376</v>
      </c>
      <c r="AO661" s="46" t="s">
        <v>658</v>
      </c>
      <c r="AP661" s="46"/>
      <c r="AQ661" s="46">
        <v>2</v>
      </c>
      <c r="AR661" s="46"/>
      <c r="AS661" s="46"/>
      <c r="AT661" s="46"/>
      <c r="AU661" s="46" t="s">
        <v>376</v>
      </c>
      <c r="AV661" s="46"/>
      <c r="AW661" s="46" t="s">
        <v>30</v>
      </c>
      <c r="AX661" s="46"/>
      <c r="AY661" s="46" t="s">
        <v>30</v>
      </c>
      <c r="AZ661" s="46"/>
      <c r="BA661" s="47"/>
      <c r="BB661" s="51"/>
      <c r="BC661" s="46"/>
      <c r="BD661" s="46"/>
      <c r="BE661" s="46"/>
      <c r="BF661" s="46">
        <v>1</v>
      </c>
      <c r="BG661" s="46">
        <v>1</v>
      </c>
      <c r="BH661" s="46">
        <v>1</v>
      </c>
      <c r="BI661" s="46" t="s">
        <v>821</v>
      </c>
      <c r="BJ661" s="46" t="s">
        <v>794</v>
      </c>
      <c r="BK661" s="46">
        <v>1965</v>
      </c>
      <c r="BL661" s="46" t="str">
        <f>BK661&amp;BI661</f>
        <v>1965Manchester United</v>
      </c>
      <c r="BM661" s="52" t="str">
        <f>IF(AD661="Home",BI661,IF(AD661="Away",BJ661,Q661))</f>
        <v>Nottingham</v>
      </c>
      <c r="BN661" s="46"/>
      <c r="BO661" s="46"/>
      <c r="BP661" s="46"/>
      <c r="BQ661" s="46"/>
      <c r="BR661" s="46"/>
      <c r="BS661" s="46"/>
      <c r="BT661" s="46"/>
      <c r="BU661" s="46"/>
      <c r="BV661" s="46" t="s">
        <v>376</v>
      </c>
      <c r="BW661" s="46" t="s">
        <v>376</v>
      </c>
      <c r="BX661" s="46"/>
      <c r="BY661" s="35"/>
      <c r="BZ661" s="53"/>
      <c r="CA661" s="53"/>
      <c r="CB661" s="93" t="str">
        <f>IF(OR(C661="",A661="",B661=""),"",TEXT(C661,"0000")&amp;TEXT(A661,"00")&amp;TEXT(B661,"00"))</f>
        <v>19650331</v>
      </c>
    </row>
    <row r="662" spans="1:80" s="52" customFormat="1" ht="12.95" customHeight="1" x14ac:dyDescent="0.2">
      <c r="A662" s="46">
        <v>4</v>
      </c>
      <c r="B662" s="46">
        <v>5</v>
      </c>
      <c r="C662" s="46">
        <v>1965</v>
      </c>
      <c r="D662" s="46" t="s">
        <v>658</v>
      </c>
      <c r="E662" s="46" t="s">
        <v>568</v>
      </c>
      <c r="F662" s="54" t="s">
        <v>1327</v>
      </c>
      <c r="G662" s="46"/>
      <c r="H662" s="46" t="s">
        <v>1334</v>
      </c>
      <c r="I662" s="54">
        <v>2</v>
      </c>
      <c r="J662" s="55">
        <v>23837</v>
      </c>
      <c r="K662" s="46" t="s">
        <v>1291</v>
      </c>
      <c r="L662" s="46" t="s">
        <v>1014</v>
      </c>
      <c r="M662" s="46" t="s">
        <v>816</v>
      </c>
      <c r="N662" s="49">
        <v>0</v>
      </c>
      <c r="O662" s="49">
        <v>0</v>
      </c>
      <c r="P662" s="54" t="s">
        <v>1277</v>
      </c>
      <c r="Q662" s="54" t="s">
        <v>1278</v>
      </c>
      <c r="R662" s="54" t="s">
        <v>376</v>
      </c>
      <c r="S662" s="46"/>
      <c r="T662" s="46"/>
      <c r="U662" s="46"/>
      <c r="V662" s="46"/>
      <c r="W662" s="46"/>
      <c r="X662" s="46"/>
      <c r="Y662" s="46"/>
      <c r="Z662" s="46"/>
      <c r="AA662" s="46"/>
      <c r="AB662" s="46"/>
      <c r="AC662" s="46"/>
      <c r="AD662" s="46" t="s">
        <v>1033</v>
      </c>
      <c r="AE662" s="50">
        <f>IF(L662="W",1,0)</f>
        <v>0</v>
      </c>
      <c r="AF662" s="50">
        <f>IF(L662="T",1,0)</f>
        <v>1</v>
      </c>
      <c r="AG662" s="50">
        <f>IF(L662="L",1,0)</f>
        <v>0</v>
      </c>
      <c r="AH662" s="46"/>
      <c r="AI662" s="46"/>
      <c r="AJ662" s="46" t="s">
        <v>376</v>
      </c>
      <c r="AK662" s="46" t="s">
        <v>658</v>
      </c>
      <c r="AL662" s="46"/>
      <c r="AM662" s="46"/>
      <c r="AN662" s="46" t="s">
        <v>376</v>
      </c>
      <c r="AO662" s="46" t="s">
        <v>658</v>
      </c>
      <c r="AP662" s="46"/>
      <c r="AQ662" s="46">
        <v>1</v>
      </c>
      <c r="AR662" s="46"/>
      <c r="AS662" s="46"/>
      <c r="AT662" s="46"/>
      <c r="AU662" s="46" t="s">
        <v>376</v>
      </c>
      <c r="AV662" s="46"/>
      <c r="AW662" s="46" t="s">
        <v>30</v>
      </c>
      <c r="AX662" s="46"/>
      <c r="AY662" s="46"/>
      <c r="AZ662" s="46" t="s">
        <v>30</v>
      </c>
      <c r="BA662" s="54"/>
      <c r="BB662" s="51"/>
      <c r="BC662" s="46" t="s">
        <v>30</v>
      </c>
      <c r="BD662" s="46"/>
      <c r="BE662" s="46"/>
      <c r="BF662" s="46">
        <v>1</v>
      </c>
      <c r="BG662" s="46">
        <v>1</v>
      </c>
      <c r="BH662" s="46">
        <v>1</v>
      </c>
      <c r="BI662" s="46" t="s">
        <v>1291</v>
      </c>
      <c r="BJ662" s="46" t="s">
        <v>816</v>
      </c>
      <c r="BK662" s="46">
        <v>1965</v>
      </c>
      <c r="BL662" s="46" t="str">
        <f>BK662&amp;BI662</f>
        <v>1965Leicester City</v>
      </c>
      <c r="BM662" s="52" t="str">
        <f>IF(AD662="Home",BI662,IF(AD662="Away",BJ662,Q662))</f>
        <v>Leicester City</v>
      </c>
      <c r="BN662" s="46"/>
      <c r="BO662" s="46"/>
      <c r="BP662" s="46"/>
      <c r="BQ662" s="46"/>
      <c r="BR662" s="46"/>
      <c r="BS662" s="46"/>
      <c r="BT662" s="46"/>
      <c r="BU662" s="46"/>
      <c r="BV662" s="46" t="s">
        <v>376</v>
      </c>
      <c r="BW662" s="46" t="s">
        <v>376</v>
      </c>
      <c r="BX662" s="46"/>
      <c r="BZ662" s="53"/>
      <c r="CA662" s="53"/>
      <c r="CB662" s="93" t="str">
        <f>IF(OR(C662="",A662="",B662=""),"",TEXT(C662,"0000")&amp;TEXT(A662,"00")&amp;TEXT(B662,"00"))</f>
        <v>19650405</v>
      </c>
    </row>
    <row r="663" spans="1:80" s="52" customFormat="1" ht="12.95" customHeight="1" x14ac:dyDescent="0.2">
      <c r="A663" s="46">
        <v>4</v>
      </c>
      <c r="B663" s="46">
        <v>5</v>
      </c>
      <c r="C663" s="46">
        <v>1965</v>
      </c>
      <c r="D663" s="46" t="s">
        <v>658</v>
      </c>
      <c r="E663" s="46" t="s">
        <v>568</v>
      </c>
      <c r="F663" s="54" t="s">
        <v>1327</v>
      </c>
      <c r="G663" s="46"/>
      <c r="H663" s="46" t="s">
        <v>1334</v>
      </c>
      <c r="I663" s="54">
        <v>2</v>
      </c>
      <c r="J663" s="55">
        <v>23837</v>
      </c>
      <c r="K663" s="46" t="s">
        <v>816</v>
      </c>
      <c r="L663" s="46" t="s">
        <v>1014</v>
      </c>
      <c r="M663" s="46" t="s">
        <v>1291</v>
      </c>
      <c r="N663" s="49">
        <v>0</v>
      </c>
      <c r="O663" s="49">
        <v>0</v>
      </c>
      <c r="P663" s="54" t="s">
        <v>1277</v>
      </c>
      <c r="Q663" s="54" t="s">
        <v>1278</v>
      </c>
      <c r="R663" s="54" t="s">
        <v>376</v>
      </c>
      <c r="S663" s="46"/>
      <c r="T663" s="46"/>
      <c r="U663" s="46"/>
      <c r="V663" s="46"/>
      <c r="W663" s="46"/>
      <c r="X663" s="46"/>
      <c r="Y663" s="46"/>
      <c r="Z663" s="46"/>
      <c r="AA663" s="46"/>
      <c r="AB663" s="46"/>
      <c r="AC663" s="46"/>
      <c r="AD663" s="46" t="s">
        <v>1037</v>
      </c>
      <c r="AE663" s="50">
        <f>IF(L663="W",1,0)</f>
        <v>0</v>
      </c>
      <c r="AF663" s="50">
        <f>IF(L663="T",1,0)</f>
        <v>1</v>
      </c>
      <c r="AG663" s="50">
        <f>IF(L663="L",1,0)</f>
        <v>0</v>
      </c>
      <c r="AH663" s="46"/>
      <c r="AI663" s="46"/>
      <c r="AJ663" s="46" t="s">
        <v>376</v>
      </c>
      <c r="AK663" s="46" t="s">
        <v>658</v>
      </c>
      <c r="AL663" s="46"/>
      <c r="AM663" s="46"/>
      <c r="AN663" s="46" t="s">
        <v>376</v>
      </c>
      <c r="AO663" s="46" t="s">
        <v>658</v>
      </c>
      <c r="AP663" s="46"/>
      <c r="AQ663" s="46">
        <v>1</v>
      </c>
      <c r="AR663" s="46"/>
      <c r="AS663" s="46"/>
      <c r="AT663" s="46"/>
      <c r="AU663" s="46" t="s">
        <v>376</v>
      </c>
      <c r="AV663" s="46"/>
      <c r="AW663" s="46" t="s">
        <v>30</v>
      </c>
      <c r="AX663" s="46"/>
      <c r="AY663" s="46"/>
      <c r="AZ663" s="46" t="s">
        <v>30</v>
      </c>
      <c r="BA663" s="54"/>
      <c r="BB663" s="51"/>
      <c r="BC663" s="46" t="s">
        <v>30</v>
      </c>
      <c r="BD663" s="46"/>
      <c r="BE663" s="46"/>
      <c r="BF663" s="46">
        <v>1</v>
      </c>
      <c r="BG663" s="46">
        <v>1</v>
      </c>
      <c r="BH663" s="46">
        <v>1</v>
      </c>
      <c r="BI663" s="46" t="s">
        <v>816</v>
      </c>
      <c r="BJ663" s="46" t="s">
        <v>1291</v>
      </c>
      <c r="BK663" s="46">
        <v>1965</v>
      </c>
      <c r="BL663" s="46" t="str">
        <f>BK663&amp;BI663</f>
        <v>1965Chelsea</v>
      </c>
      <c r="BM663" s="52" t="str">
        <f>IF(AD663="Home",BI663,IF(AD663="Away",BJ663,Q663))</f>
        <v>Leicester City</v>
      </c>
      <c r="BN663" s="46"/>
      <c r="BO663" s="46"/>
      <c r="BP663" s="46"/>
      <c r="BQ663" s="46"/>
      <c r="BR663" s="46"/>
      <c r="BS663" s="46"/>
      <c r="BT663" s="46"/>
      <c r="BU663" s="46"/>
      <c r="BV663" s="46" t="s">
        <v>376</v>
      </c>
      <c r="BW663" s="46" t="s">
        <v>376</v>
      </c>
      <c r="BX663" s="46"/>
      <c r="BZ663" s="53"/>
      <c r="CA663" s="53"/>
      <c r="CB663" s="93" t="str">
        <f>IF(OR(C663="",A663="",B663=""),"",TEXT(C663,"0000")&amp;TEXT(A663,"00")&amp;TEXT(B663,"00"))</f>
        <v>19650405</v>
      </c>
    </row>
    <row r="664" spans="1:80" s="52" customFormat="1" ht="12.95" customHeight="1" x14ac:dyDescent="0.2">
      <c r="A664" s="46">
        <v>5</v>
      </c>
      <c r="B664" s="46">
        <v>1</v>
      </c>
      <c r="C664" s="46">
        <v>1965</v>
      </c>
      <c r="D664" s="46" t="s">
        <v>658</v>
      </c>
      <c r="E664" s="46" t="s">
        <v>568</v>
      </c>
      <c r="F664" s="47" t="s">
        <v>1010</v>
      </c>
      <c r="G664" s="46"/>
      <c r="H664" s="47" t="s">
        <v>1025</v>
      </c>
      <c r="I664" s="47"/>
      <c r="J664" s="48">
        <v>23863</v>
      </c>
      <c r="K664" s="46" t="s">
        <v>588</v>
      </c>
      <c r="L664" s="46" t="s">
        <v>3</v>
      </c>
      <c r="M664" s="46" t="s">
        <v>794</v>
      </c>
      <c r="N664" s="49">
        <v>2</v>
      </c>
      <c r="O664" s="49">
        <v>1</v>
      </c>
      <c r="P664" s="47" t="s">
        <v>1268</v>
      </c>
      <c r="Q664" s="47" t="s">
        <v>1017</v>
      </c>
      <c r="R664" s="47" t="s">
        <v>376</v>
      </c>
      <c r="S664" s="46"/>
      <c r="T664" s="46"/>
      <c r="U664" s="46"/>
      <c r="V664" s="46"/>
      <c r="W664" s="46"/>
      <c r="X664" s="46"/>
      <c r="Y664" s="46"/>
      <c r="Z664" s="46"/>
      <c r="AA664" s="46"/>
      <c r="AB664" s="46"/>
      <c r="AC664" s="46"/>
      <c r="AD664" s="46"/>
      <c r="AE664" s="50">
        <f>IF(L664="W",1,0)</f>
        <v>1</v>
      </c>
      <c r="AF664" s="50">
        <f>IF(L664="T",1,0)</f>
        <v>0</v>
      </c>
      <c r="AG664" s="50">
        <f>IF(L664="L",1,0)</f>
        <v>0</v>
      </c>
      <c r="AH664" s="46" t="s">
        <v>588</v>
      </c>
      <c r="AI664" s="46" t="s">
        <v>1175</v>
      </c>
      <c r="AJ664" s="46" t="s">
        <v>376</v>
      </c>
      <c r="AK664" s="46" t="s">
        <v>658</v>
      </c>
      <c r="AL664" s="46" t="s">
        <v>1241</v>
      </c>
      <c r="AM664" s="46" t="s">
        <v>1260</v>
      </c>
      <c r="AN664" s="46" t="s">
        <v>376</v>
      </c>
      <c r="AO664" s="46" t="s">
        <v>658</v>
      </c>
      <c r="AP664" s="46"/>
      <c r="AQ664" s="46">
        <v>1</v>
      </c>
      <c r="AR664" s="46"/>
      <c r="AS664" s="46"/>
      <c r="AT664" s="46"/>
      <c r="AU664" s="46" t="s">
        <v>376</v>
      </c>
      <c r="AV664" s="46"/>
      <c r="AW664" s="46" t="s">
        <v>30</v>
      </c>
      <c r="AX664" s="46"/>
      <c r="AY664" s="46" t="s">
        <v>30</v>
      </c>
      <c r="AZ664" s="46"/>
      <c r="BA664" s="47"/>
      <c r="BB664" s="51" t="s">
        <v>30</v>
      </c>
      <c r="BC664" s="46" t="s">
        <v>30</v>
      </c>
      <c r="BD664" s="46"/>
      <c r="BE664" s="46"/>
      <c r="BF664" s="46">
        <v>1</v>
      </c>
      <c r="BG664" s="46">
        <v>1</v>
      </c>
      <c r="BH664" s="46">
        <v>1</v>
      </c>
      <c r="BI664" s="46" t="s">
        <v>588</v>
      </c>
      <c r="BJ664" s="46" t="s">
        <v>794</v>
      </c>
      <c r="BK664" s="46">
        <v>1965</v>
      </c>
      <c r="BL664" s="46" t="str">
        <f>BK664&amp;BI664</f>
        <v>1965Liverpool</v>
      </c>
      <c r="BM664" s="52" t="str">
        <f>IF(AD664="Home",BI664,IF(AD664="Away",BJ664,Q664))</f>
        <v>London</v>
      </c>
      <c r="BN664" s="46"/>
      <c r="BO664" s="46"/>
      <c r="BP664" s="46"/>
      <c r="BQ664" s="46"/>
      <c r="BR664" s="46"/>
      <c r="BS664" s="46"/>
      <c r="BT664" s="46"/>
      <c r="BU664" s="46"/>
      <c r="BV664" s="46" t="s">
        <v>376</v>
      </c>
      <c r="BW664" s="46" t="s">
        <v>376</v>
      </c>
      <c r="BX664" s="46"/>
      <c r="BZ664" s="53"/>
      <c r="CA664" s="53"/>
      <c r="CB664" s="93" t="str">
        <f>IF(OR(C664="",A664="",B664=""),"",TEXT(C664,"0000")&amp;TEXT(A664,"00")&amp;TEXT(B664,"00"))</f>
        <v>19650501</v>
      </c>
    </row>
    <row r="665" spans="1:80" s="52" customFormat="1" ht="12.95" customHeight="1" x14ac:dyDescent="0.2">
      <c r="A665" s="46">
        <v>5</v>
      </c>
      <c r="B665" s="46">
        <v>1</v>
      </c>
      <c r="C665" s="46">
        <v>1965</v>
      </c>
      <c r="D665" s="46" t="s">
        <v>658</v>
      </c>
      <c r="E665" s="46" t="s">
        <v>568</v>
      </c>
      <c r="F665" s="47" t="s">
        <v>1010</v>
      </c>
      <c r="G665" s="46"/>
      <c r="H665" s="47" t="s">
        <v>1025</v>
      </c>
      <c r="I665" s="47"/>
      <c r="J665" s="48">
        <v>23863</v>
      </c>
      <c r="K665" s="46" t="s">
        <v>794</v>
      </c>
      <c r="L665" s="46" t="s">
        <v>4</v>
      </c>
      <c r="M665" s="46" t="s">
        <v>588</v>
      </c>
      <c r="N665" s="49">
        <v>1</v>
      </c>
      <c r="O665" s="49">
        <v>2</v>
      </c>
      <c r="P665" s="47" t="s">
        <v>1268</v>
      </c>
      <c r="Q665" s="47" t="s">
        <v>1017</v>
      </c>
      <c r="R665" s="47" t="s">
        <v>376</v>
      </c>
      <c r="S665" s="46"/>
      <c r="T665" s="46"/>
      <c r="U665" s="46"/>
      <c r="V665" s="46"/>
      <c r="W665" s="46"/>
      <c r="X665" s="46"/>
      <c r="Y665" s="46"/>
      <c r="Z665" s="46"/>
      <c r="AA665" s="46"/>
      <c r="AB665" s="46"/>
      <c r="AC665" s="46"/>
      <c r="AD665" s="46"/>
      <c r="AE665" s="50">
        <f>IF(L665="W",1,0)</f>
        <v>0</v>
      </c>
      <c r="AF665" s="50">
        <f>IF(L665="T",1,0)</f>
        <v>0</v>
      </c>
      <c r="AG665" s="50">
        <f>IF(L665="L",1,0)</f>
        <v>1</v>
      </c>
      <c r="AH665" s="46" t="s">
        <v>1241</v>
      </c>
      <c r="AI665" s="46" t="s">
        <v>1260</v>
      </c>
      <c r="AJ665" s="46" t="s">
        <v>376</v>
      </c>
      <c r="AK665" s="46" t="s">
        <v>658</v>
      </c>
      <c r="AL665" s="46" t="s">
        <v>588</v>
      </c>
      <c r="AM665" s="46" t="s">
        <v>1175</v>
      </c>
      <c r="AN665" s="46" t="s">
        <v>376</v>
      </c>
      <c r="AO665" s="46" t="s">
        <v>658</v>
      </c>
      <c r="AP665" s="46"/>
      <c r="AQ665" s="46">
        <v>1</v>
      </c>
      <c r="AR665" s="46"/>
      <c r="AS665" s="46"/>
      <c r="AT665" s="46"/>
      <c r="AU665" s="46" t="s">
        <v>376</v>
      </c>
      <c r="AV665" s="46"/>
      <c r="AW665" s="46" t="s">
        <v>30</v>
      </c>
      <c r="AX665" s="46"/>
      <c r="AY665" s="46" t="s">
        <v>30</v>
      </c>
      <c r="AZ665" s="46"/>
      <c r="BA665" s="47"/>
      <c r="BB665" s="51"/>
      <c r="BC665" s="46" t="s">
        <v>30</v>
      </c>
      <c r="BD665" s="46"/>
      <c r="BE665" s="46"/>
      <c r="BF665" s="46">
        <v>1</v>
      </c>
      <c r="BG665" s="46">
        <v>1</v>
      </c>
      <c r="BH665" s="46">
        <v>1</v>
      </c>
      <c r="BI665" s="46" t="s">
        <v>794</v>
      </c>
      <c r="BJ665" s="46" t="s">
        <v>588</v>
      </c>
      <c r="BK665" s="46">
        <v>1965</v>
      </c>
      <c r="BL665" s="46" t="str">
        <f>BK665&amp;BI665</f>
        <v>1965Leeds United</v>
      </c>
      <c r="BM665" s="52" t="str">
        <f>IF(AD665="Home",BI665,IF(AD665="Away",BJ665,Q665))</f>
        <v>London</v>
      </c>
      <c r="BN665" s="46"/>
      <c r="BO665" s="46"/>
      <c r="BP665" s="46"/>
      <c r="BQ665" s="46"/>
      <c r="BR665" s="46"/>
      <c r="BS665" s="46"/>
      <c r="BT665" s="46"/>
      <c r="BU665" s="46"/>
      <c r="BV665" s="46" t="s">
        <v>376</v>
      </c>
      <c r="BW665" s="46" t="s">
        <v>376</v>
      </c>
      <c r="BX665" s="46"/>
      <c r="BZ665" s="53"/>
      <c r="CA665" s="53"/>
      <c r="CB665" s="93" t="str">
        <f>IF(OR(C665="",A665="",B665=""),"",TEXT(C665,"0000")&amp;TEXT(A665,"00")&amp;TEXT(B665,"00"))</f>
        <v>19650501</v>
      </c>
    </row>
    <row r="666" spans="1:80" s="52" customFormat="1" ht="12.95" customHeight="1" x14ac:dyDescent="0.2">
      <c r="A666" s="46">
        <v>12</v>
      </c>
      <c r="B666" s="46">
        <v>1</v>
      </c>
      <c r="C666" s="46">
        <v>1965</v>
      </c>
      <c r="D666" s="46" t="s">
        <v>658</v>
      </c>
      <c r="E666" s="46" t="s">
        <v>566</v>
      </c>
      <c r="F666" s="54" t="s">
        <v>1327</v>
      </c>
      <c r="G666" s="46"/>
      <c r="H666" s="54" t="s">
        <v>1011</v>
      </c>
      <c r="I666" s="54">
        <v>1</v>
      </c>
      <c r="J666" s="55">
        <v>24077</v>
      </c>
      <c r="K666" s="46" t="s">
        <v>1124</v>
      </c>
      <c r="L666" s="46" t="s">
        <v>3</v>
      </c>
      <c r="M666" s="46" t="s">
        <v>1345</v>
      </c>
      <c r="N666" s="49">
        <v>2</v>
      </c>
      <c r="O666" s="49">
        <v>1</v>
      </c>
      <c r="P666" s="54" t="s">
        <v>1221</v>
      </c>
      <c r="Q666" s="54" t="s">
        <v>1111</v>
      </c>
      <c r="R666" s="54" t="s">
        <v>376</v>
      </c>
      <c r="S666" s="46"/>
      <c r="T666" s="46"/>
      <c r="U666" s="46"/>
      <c r="V666" s="46"/>
      <c r="W666" s="46"/>
      <c r="X666" s="46"/>
      <c r="Y666" s="46"/>
      <c r="Z666" s="46"/>
      <c r="AA666" s="46"/>
      <c r="AB666" s="46"/>
      <c r="AC666" s="46"/>
      <c r="AD666" s="46" t="s">
        <v>1033</v>
      </c>
      <c r="AE666" s="50">
        <f>IF(L666="W",1,0)</f>
        <v>1</v>
      </c>
      <c r="AF666" s="50">
        <f>IF(L666="T",1,0)</f>
        <v>0</v>
      </c>
      <c r="AG666" s="50">
        <f>IF(L666="L",1,0)</f>
        <v>0</v>
      </c>
      <c r="AH666" s="46"/>
      <c r="AI666" s="46"/>
      <c r="AJ666" s="46" t="s">
        <v>376</v>
      </c>
      <c r="AK666" s="46" t="s">
        <v>658</v>
      </c>
      <c r="AL666" s="46"/>
      <c r="AM666" s="46"/>
      <c r="AN666" s="46" t="s">
        <v>376</v>
      </c>
      <c r="AO666" s="46" t="s">
        <v>658</v>
      </c>
      <c r="AP666" s="46"/>
      <c r="AQ666" s="46">
        <v>2</v>
      </c>
      <c r="AR666" s="46"/>
      <c r="AS666" s="46"/>
      <c r="AT666" s="46"/>
      <c r="AU666" s="46" t="s">
        <v>376</v>
      </c>
      <c r="AV666" s="46"/>
      <c r="AW666" s="46" t="s">
        <v>30</v>
      </c>
      <c r="AX666" s="46"/>
      <c r="AY666" s="46"/>
      <c r="AZ666" s="46" t="s">
        <v>30</v>
      </c>
      <c r="BA666" s="54"/>
      <c r="BB666" s="51"/>
      <c r="BC666" s="46"/>
      <c r="BD666" s="46"/>
      <c r="BE666" s="46"/>
      <c r="BF666" s="46">
        <v>1</v>
      </c>
      <c r="BG666" s="46">
        <v>1</v>
      </c>
      <c r="BH666" s="46">
        <v>3</v>
      </c>
      <c r="BI666" s="46" t="s">
        <v>1124</v>
      </c>
      <c r="BJ666" s="46" t="s">
        <v>1345</v>
      </c>
      <c r="BK666" s="46">
        <v>1966</v>
      </c>
      <c r="BL666" s="46" t="str">
        <f>BK666&amp;BI666</f>
        <v>1966West Bromwich Albion</v>
      </c>
      <c r="BM666" s="52" t="str">
        <f>IF(AD666="Home",BI666,IF(AD666="Away",BJ666,Q666))</f>
        <v>West Bromwich Albion</v>
      </c>
      <c r="BN666" s="46"/>
      <c r="BO666" s="46"/>
      <c r="BP666" s="46"/>
      <c r="BQ666" s="46"/>
      <c r="BR666" s="46"/>
      <c r="BS666" s="46"/>
      <c r="BT666" s="46"/>
      <c r="BU666" s="46"/>
      <c r="BV666" s="46" t="s">
        <v>376</v>
      </c>
      <c r="BW666" s="46" t="s">
        <v>376</v>
      </c>
      <c r="BX666" s="46"/>
      <c r="BZ666" s="53"/>
      <c r="CA666" s="53"/>
      <c r="CB666" s="93" t="str">
        <f>IF(OR(C666="",A666="",B666=""),"",TEXT(C666,"0000")&amp;TEXT(A666,"00")&amp;TEXT(B666,"00"))</f>
        <v>19651201</v>
      </c>
    </row>
    <row r="667" spans="1:80" s="52" customFormat="1" ht="12.95" customHeight="1" x14ac:dyDescent="0.2">
      <c r="A667" s="46">
        <v>12</v>
      </c>
      <c r="B667" s="46">
        <v>1</v>
      </c>
      <c r="C667" s="46">
        <v>1965</v>
      </c>
      <c r="D667" s="46" t="s">
        <v>658</v>
      </c>
      <c r="E667" s="46" t="s">
        <v>566</v>
      </c>
      <c r="F667" s="54" t="s">
        <v>1327</v>
      </c>
      <c r="G667" s="46"/>
      <c r="H667" s="54" t="s">
        <v>1011</v>
      </c>
      <c r="I667" s="54">
        <v>1</v>
      </c>
      <c r="J667" s="55">
        <v>24077</v>
      </c>
      <c r="K667" s="46" t="s">
        <v>1345</v>
      </c>
      <c r="L667" s="46" t="s">
        <v>4</v>
      </c>
      <c r="M667" s="46" t="s">
        <v>1124</v>
      </c>
      <c r="N667" s="49">
        <v>1</v>
      </c>
      <c r="O667" s="49">
        <v>2</v>
      </c>
      <c r="P667" s="54" t="s">
        <v>1221</v>
      </c>
      <c r="Q667" s="54" t="s">
        <v>1111</v>
      </c>
      <c r="R667" s="54" t="s">
        <v>376</v>
      </c>
      <c r="S667" s="46"/>
      <c r="T667" s="46"/>
      <c r="U667" s="46"/>
      <c r="V667" s="46"/>
      <c r="W667" s="46"/>
      <c r="X667" s="46"/>
      <c r="Y667" s="46"/>
      <c r="Z667" s="46"/>
      <c r="AA667" s="46"/>
      <c r="AB667" s="46"/>
      <c r="AC667" s="46"/>
      <c r="AD667" s="46" t="s">
        <v>1037</v>
      </c>
      <c r="AE667" s="50">
        <f>IF(L667="W",1,0)</f>
        <v>0</v>
      </c>
      <c r="AF667" s="50">
        <f>IF(L667="T",1,0)</f>
        <v>0</v>
      </c>
      <c r="AG667" s="50">
        <f>IF(L667="L",1,0)</f>
        <v>1</v>
      </c>
      <c r="AH667" s="46"/>
      <c r="AI667" s="46"/>
      <c r="AJ667" s="46" t="s">
        <v>376</v>
      </c>
      <c r="AK667" s="46" t="s">
        <v>658</v>
      </c>
      <c r="AL667" s="46"/>
      <c r="AM667" s="46"/>
      <c r="AN667" s="46" t="s">
        <v>376</v>
      </c>
      <c r="AO667" s="46" t="s">
        <v>658</v>
      </c>
      <c r="AP667" s="46"/>
      <c r="AQ667" s="46">
        <v>2</v>
      </c>
      <c r="AR667" s="46"/>
      <c r="AS667" s="46"/>
      <c r="AT667" s="46"/>
      <c r="AU667" s="46" t="s">
        <v>376</v>
      </c>
      <c r="AV667" s="46"/>
      <c r="AW667" s="46" t="s">
        <v>30</v>
      </c>
      <c r="AX667" s="46"/>
      <c r="AY667" s="46"/>
      <c r="AZ667" s="46" t="s">
        <v>30</v>
      </c>
      <c r="BA667" s="54"/>
      <c r="BB667" s="51"/>
      <c r="BC667" s="46"/>
      <c r="BD667" s="46"/>
      <c r="BE667" s="46"/>
      <c r="BF667" s="46">
        <v>1</v>
      </c>
      <c r="BG667" s="46">
        <v>3</v>
      </c>
      <c r="BH667" s="46">
        <v>1</v>
      </c>
      <c r="BI667" s="46" t="s">
        <v>1345</v>
      </c>
      <c r="BJ667" s="46" t="s">
        <v>1124</v>
      </c>
      <c r="BK667" s="46">
        <v>1966</v>
      </c>
      <c r="BL667" s="46" t="str">
        <f>BK667&amp;BI667</f>
        <v>1966Peterborough United</v>
      </c>
      <c r="BM667" s="52" t="str">
        <f>IF(AD667="Home",BI667,IF(AD667="Away",BJ667,Q667))</f>
        <v>West Bromwich Albion</v>
      </c>
      <c r="BN667" s="46"/>
      <c r="BO667" s="46"/>
      <c r="BP667" s="46"/>
      <c r="BQ667" s="46"/>
      <c r="BR667" s="46"/>
      <c r="BS667" s="46"/>
      <c r="BT667" s="46"/>
      <c r="BU667" s="46"/>
      <c r="BV667" s="46" t="s">
        <v>376</v>
      </c>
      <c r="BW667" s="46" t="s">
        <v>376</v>
      </c>
      <c r="BX667" s="46"/>
      <c r="BZ667" s="53"/>
      <c r="CA667" s="53"/>
      <c r="CB667" s="93" t="str">
        <f>IF(OR(C667="",A667="",B667=""),"",TEXT(C667,"0000")&amp;TEXT(A667,"00")&amp;TEXT(B667,"00"))</f>
        <v>19651201</v>
      </c>
    </row>
    <row r="668" spans="1:80" s="52" customFormat="1" ht="12.95" customHeight="1" x14ac:dyDescent="0.2">
      <c r="A668" s="46">
        <v>12</v>
      </c>
      <c r="B668" s="46">
        <v>15</v>
      </c>
      <c r="C668" s="46">
        <v>1965</v>
      </c>
      <c r="D668" s="46" t="s">
        <v>658</v>
      </c>
      <c r="E668" s="46" t="s">
        <v>566</v>
      </c>
      <c r="F668" s="54" t="s">
        <v>1327</v>
      </c>
      <c r="G668" s="46"/>
      <c r="H668" s="54" t="s">
        <v>1011</v>
      </c>
      <c r="I668" s="54">
        <v>2</v>
      </c>
      <c r="J668" s="55">
        <v>24091</v>
      </c>
      <c r="K668" s="46" t="s">
        <v>1345</v>
      </c>
      <c r="L668" s="46" t="s">
        <v>4</v>
      </c>
      <c r="M668" s="46" t="s">
        <v>1124</v>
      </c>
      <c r="N668" s="49">
        <v>2</v>
      </c>
      <c r="O668" s="49">
        <v>4</v>
      </c>
      <c r="P668" s="54" t="s">
        <v>1346</v>
      </c>
      <c r="Q668" s="54" t="s">
        <v>1347</v>
      </c>
      <c r="R668" s="54" t="s">
        <v>376</v>
      </c>
      <c r="S668" s="46"/>
      <c r="T668" s="46"/>
      <c r="U668" s="46"/>
      <c r="V668" s="46"/>
      <c r="W668" s="46"/>
      <c r="X668" s="46"/>
      <c r="Y668" s="46"/>
      <c r="Z668" s="46"/>
      <c r="AA668" s="46"/>
      <c r="AB668" s="46"/>
      <c r="AC668" s="46"/>
      <c r="AD668" s="46" t="s">
        <v>1033</v>
      </c>
      <c r="AE668" s="50">
        <f>IF(L668="W",1,0)</f>
        <v>0</v>
      </c>
      <c r="AF668" s="50">
        <f>IF(L668="T",1,0)</f>
        <v>0</v>
      </c>
      <c r="AG668" s="50">
        <f>IF(L668="L",1,0)</f>
        <v>1</v>
      </c>
      <c r="AH668" s="46"/>
      <c r="AI668" s="46"/>
      <c r="AJ668" s="46" t="s">
        <v>376</v>
      </c>
      <c r="AK668" s="46" t="s">
        <v>658</v>
      </c>
      <c r="AL668" s="46"/>
      <c r="AM668" s="46"/>
      <c r="AN668" s="46" t="s">
        <v>376</v>
      </c>
      <c r="AO668" s="46" t="s">
        <v>658</v>
      </c>
      <c r="AP668" s="46"/>
      <c r="AQ668" s="46">
        <v>2</v>
      </c>
      <c r="AR668" s="46"/>
      <c r="AS668" s="46"/>
      <c r="AT668" s="46"/>
      <c r="AU668" s="46" t="s">
        <v>376</v>
      </c>
      <c r="AV668" s="46"/>
      <c r="AW668" s="46" t="s">
        <v>30</v>
      </c>
      <c r="AX668" s="46"/>
      <c r="AY668" s="46"/>
      <c r="AZ668" s="46" t="s">
        <v>30</v>
      </c>
      <c r="BA668" s="54"/>
      <c r="BB668" s="51"/>
      <c r="BC668" s="46"/>
      <c r="BD668" s="46"/>
      <c r="BE668" s="46"/>
      <c r="BF668" s="46">
        <v>1</v>
      </c>
      <c r="BG668" s="46">
        <v>3</v>
      </c>
      <c r="BH668" s="46">
        <v>1</v>
      </c>
      <c r="BI668" s="46" t="s">
        <v>1345</v>
      </c>
      <c r="BJ668" s="46" t="s">
        <v>1124</v>
      </c>
      <c r="BK668" s="46">
        <v>1966</v>
      </c>
      <c r="BL668" s="46" t="str">
        <f>BK668&amp;BI668</f>
        <v>1966Peterborough United</v>
      </c>
      <c r="BM668" s="52" t="str">
        <f>IF(AD668="Home",BI668,IF(AD668="Away",BJ668,Q668))</f>
        <v>Peterborough United</v>
      </c>
      <c r="BN668" s="46"/>
      <c r="BO668" s="46"/>
      <c r="BP668" s="46"/>
      <c r="BQ668" s="46"/>
      <c r="BR668" s="46"/>
      <c r="BS668" s="46"/>
      <c r="BT668" s="46"/>
      <c r="BU668" s="46"/>
      <c r="BV668" s="46" t="s">
        <v>376</v>
      </c>
      <c r="BW668" s="46" t="s">
        <v>376</v>
      </c>
      <c r="BX668" s="46"/>
      <c r="BY668" s="35"/>
      <c r="BZ668" s="53"/>
      <c r="CA668" s="53"/>
      <c r="CB668" s="93" t="str">
        <f>IF(OR(C668="",A668="",B668=""),"",TEXT(C668,"0000")&amp;TEXT(A668,"00")&amp;TEXT(B668,"00"))</f>
        <v>19651215</v>
      </c>
    </row>
    <row r="669" spans="1:80" s="52" customFormat="1" ht="12.95" customHeight="1" x14ac:dyDescent="0.2">
      <c r="A669" s="46">
        <v>12</v>
      </c>
      <c r="B669" s="46">
        <v>15</v>
      </c>
      <c r="C669" s="46">
        <v>1965</v>
      </c>
      <c r="D669" s="46" t="s">
        <v>658</v>
      </c>
      <c r="E669" s="46" t="s">
        <v>566</v>
      </c>
      <c r="F669" s="54" t="s">
        <v>1327</v>
      </c>
      <c r="G669" s="46"/>
      <c r="H669" s="54" t="s">
        <v>1011</v>
      </c>
      <c r="I669" s="54">
        <v>2</v>
      </c>
      <c r="J669" s="55">
        <v>24091</v>
      </c>
      <c r="K669" s="46" t="s">
        <v>1124</v>
      </c>
      <c r="L669" s="46" t="s">
        <v>3</v>
      </c>
      <c r="M669" s="46" t="s">
        <v>1345</v>
      </c>
      <c r="N669" s="49">
        <v>4</v>
      </c>
      <c r="O669" s="49">
        <v>2</v>
      </c>
      <c r="P669" s="54" t="s">
        <v>1346</v>
      </c>
      <c r="Q669" s="54" t="s">
        <v>1347</v>
      </c>
      <c r="R669" s="54" t="s">
        <v>376</v>
      </c>
      <c r="S669" s="46"/>
      <c r="T669" s="46"/>
      <c r="U669" s="46"/>
      <c r="V669" s="46"/>
      <c r="W669" s="46"/>
      <c r="X669" s="46"/>
      <c r="Y669" s="46"/>
      <c r="Z669" s="46"/>
      <c r="AA669" s="46"/>
      <c r="AB669" s="46"/>
      <c r="AC669" s="46"/>
      <c r="AD669" s="46" t="s">
        <v>1037</v>
      </c>
      <c r="AE669" s="50">
        <f>IF(L669="W",1,0)</f>
        <v>1</v>
      </c>
      <c r="AF669" s="50">
        <f>IF(L669="T",1,0)</f>
        <v>0</v>
      </c>
      <c r="AG669" s="50">
        <f>IF(L669="L",1,0)</f>
        <v>0</v>
      </c>
      <c r="AH669" s="46"/>
      <c r="AI669" s="46"/>
      <c r="AJ669" s="46" t="s">
        <v>376</v>
      </c>
      <c r="AK669" s="46" t="s">
        <v>658</v>
      </c>
      <c r="AL669" s="46"/>
      <c r="AM669" s="46"/>
      <c r="AN669" s="46" t="s">
        <v>376</v>
      </c>
      <c r="AO669" s="46" t="s">
        <v>658</v>
      </c>
      <c r="AP669" s="46"/>
      <c r="AQ669" s="46">
        <v>2</v>
      </c>
      <c r="AR669" s="46"/>
      <c r="AS669" s="46"/>
      <c r="AT669" s="46"/>
      <c r="AU669" s="46" t="s">
        <v>376</v>
      </c>
      <c r="AV669" s="46"/>
      <c r="AW669" s="46" t="s">
        <v>30</v>
      </c>
      <c r="AX669" s="46"/>
      <c r="AY669" s="46"/>
      <c r="AZ669" s="46" t="s">
        <v>30</v>
      </c>
      <c r="BA669" s="54"/>
      <c r="BB669" s="51"/>
      <c r="BC669" s="46"/>
      <c r="BD669" s="46"/>
      <c r="BE669" s="46"/>
      <c r="BF669" s="46">
        <v>1</v>
      </c>
      <c r="BG669" s="46">
        <v>1</v>
      </c>
      <c r="BH669" s="46">
        <v>3</v>
      </c>
      <c r="BI669" s="46" t="s">
        <v>1124</v>
      </c>
      <c r="BJ669" s="46" t="s">
        <v>1345</v>
      </c>
      <c r="BK669" s="46">
        <v>1966</v>
      </c>
      <c r="BL669" s="46" t="str">
        <f>BK669&amp;BI669</f>
        <v>1966West Bromwich Albion</v>
      </c>
      <c r="BM669" s="52" t="str">
        <f>IF(AD669="Home",BI669,IF(AD669="Away",BJ669,Q669))</f>
        <v>Peterborough United</v>
      </c>
      <c r="BN669" s="46"/>
      <c r="BO669" s="46"/>
      <c r="BP669" s="46"/>
      <c r="BQ669" s="46"/>
      <c r="BR669" s="46"/>
      <c r="BS669" s="46"/>
      <c r="BT669" s="46"/>
      <c r="BU669" s="46"/>
      <c r="BV669" s="46" t="s">
        <v>376</v>
      </c>
      <c r="BW669" s="46" t="s">
        <v>376</v>
      </c>
      <c r="BX669" s="46"/>
      <c r="BY669" s="35"/>
      <c r="BZ669" s="53"/>
      <c r="CA669" s="53"/>
      <c r="CB669" s="93" t="str">
        <f>IF(OR(C669="",A669="",B669=""),"",TEXT(C669,"0000")&amp;TEXT(A669,"00")&amp;TEXT(B669,"00"))</f>
        <v>19651215</v>
      </c>
    </row>
    <row r="670" spans="1:80" s="52" customFormat="1" ht="12.95" customHeight="1" x14ac:dyDescent="0.2">
      <c r="A670" s="46">
        <v>12</v>
      </c>
      <c r="B670" s="46">
        <v>20</v>
      </c>
      <c r="C670" s="46">
        <v>1965</v>
      </c>
      <c r="D670" s="46" t="s">
        <v>658</v>
      </c>
      <c r="E670" s="46" t="s">
        <v>566</v>
      </c>
      <c r="F670" s="54" t="s">
        <v>1327</v>
      </c>
      <c r="G670" s="46"/>
      <c r="H670" s="54" t="s">
        <v>1011</v>
      </c>
      <c r="I670" s="54">
        <v>1</v>
      </c>
      <c r="J670" s="55">
        <v>24096</v>
      </c>
      <c r="K670" s="46" t="s">
        <v>803</v>
      </c>
      <c r="L670" s="46" t="s">
        <v>3</v>
      </c>
      <c r="M670" s="46" t="s">
        <v>1262</v>
      </c>
      <c r="N670" s="49">
        <v>5</v>
      </c>
      <c r="O670" s="49">
        <v>2</v>
      </c>
      <c r="P670" s="54" t="s">
        <v>1341</v>
      </c>
      <c r="Q670" s="54" t="s">
        <v>1017</v>
      </c>
      <c r="R670" s="54" t="s">
        <v>376</v>
      </c>
      <c r="S670" s="46"/>
      <c r="T670" s="46"/>
      <c r="U670" s="46"/>
      <c r="V670" s="46"/>
      <c r="W670" s="46"/>
      <c r="X670" s="46"/>
      <c r="Y670" s="46"/>
      <c r="Z670" s="46"/>
      <c r="AA670" s="46"/>
      <c r="AB670" s="46"/>
      <c r="AC670" s="46"/>
      <c r="AD670" s="46" t="s">
        <v>1033</v>
      </c>
      <c r="AE670" s="50">
        <f>IF(L670="W",1,0)</f>
        <v>1</v>
      </c>
      <c r="AF670" s="50">
        <f>IF(L670="T",1,0)</f>
        <v>0</v>
      </c>
      <c r="AG670" s="50">
        <f>IF(L670="L",1,0)</f>
        <v>0</v>
      </c>
      <c r="AH670" s="46"/>
      <c r="AI670" s="46"/>
      <c r="AJ670" s="46" t="s">
        <v>376</v>
      </c>
      <c r="AK670" s="46" t="s">
        <v>658</v>
      </c>
      <c r="AL670" s="46"/>
      <c r="AM670" s="46"/>
      <c r="AN670" s="46" t="s">
        <v>376</v>
      </c>
      <c r="AO670" s="46" t="s">
        <v>658</v>
      </c>
      <c r="AP670" s="46"/>
      <c r="AQ670" s="46">
        <v>2</v>
      </c>
      <c r="AR670" s="46"/>
      <c r="AS670" s="46"/>
      <c r="AT670" s="46"/>
      <c r="AU670" s="46" t="s">
        <v>376</v>
      </c>
      <c r="AV670" s="46"/>
      <c r="AW670" s="46" t="s">
        <v>30</v>
      </c>
      <c r="AX670" s="46"/>
      <c r="AY670" s="46"/>
      <c r="AZ670" s="46" t="s">
        <v>30</v>
      </c>
      <c r="BA670" s="54"/>
      <c r="BB670" s="51"/>
      <c r="BC670" s="46"/>
      <c r="BD670" s="46"/>
      <c r="BE670" s="46"/>
      <c r="BF670" s="46">
        <v>1</v>
      </c>
      <c r="BG670" s="46">
        <v>1</v>
      </c>
      <c r="BH670" s="46">
        <v>2</v>
      </c>
      <c r="BI670" s="46" t="s">
        <v>803</v>
      </c>
      <c r="BJ670" s="46" t="s">
        <v>1262</v>
      </c>
      <c r="BK670" s="46">
        <v>1966</v>
      </c>
      <c r="BL670" s="46" t="str">
        <f>BK670&amp;BI670</f>
        <v>1966West Ham United</v>
      </c>
      <c r="BM670" s="52" t="str">
        <f>IF(AD670="Home",BI670,IF(AD670="Away",BJ670,Q670))</f>
        <v>West Ham United</v>
      </c>
      <c r="BN670" s="46"/>
      <c r="BO670" s="46"/>
      <c r="BP670" s="46"/>
      <c r="BQ670" s="46"/>
      <c r="BR670" s="46"/>
      <c r="BS670" s="46"/>
      <c r="BT670" s="46"/>
      <c r="BU670" s="46"/>
      <c r="BV670" s="46" t="s">
        <v>376</v>
      </c>
      <c r="BW670" s="46" t="s">
        <v>376</v>
      </c>
      <c r="BX670" s="46"/>
      <c r="BZ670" s="53"/>
      <c r="CA670" s="53"/>
      <c r="CB670" s="93" t="str">
        <f>IF(OR(C670="",A670="",B670=""),"",TEXT(C670,"0000")&amp;TEXT(A670,"00")&amp;TEXT(B670,"00"))</f>
        <v>19651220</v>
      </c>
    </row>
    <row r="671" spans="1:80" s="52" customFormat="1" ht="12.95" customHeight="1" x14ac:dyDescent="0.2">
      <c r="A671" s="46">
        <v>12</v>
      </c>
      <c r="B671" s="46">
        <v>20</v>
      </c>
      <c r="C671" s="46">
        <v>1965</v>
      </c>
      <c r="D671" s="46" t="s">
        <v>658</v>
      </c>
      <c r="E671" s="46" t="s">
        <v>566</v>
      </c>
      <c r="F671" s="54" t="s">
        <v>1327</v>
      </c>
      <c r="G671" s="46"/>
      <c r="H671" s="54" t="s">
        <v>1011</v>
      </c>
      <c r="I671" s="54">
        <v>1</v>
      </c>
      <c r="J671" s="55">
        <v>24096</v>
      </c>
      <c r="K671" s="46" t="s">
        <v>1262</v>
      </c>
      <c r="L671" s="46" t="s">
        <v>4</v>
      </c>
      <c r="M671" s="46" t="s">
        <v>803</v>
      </c>
      <c r="N671" s="49">
        <v>2</v>
      </c>
      <c r="O671" s="49">
        <v>5</v>
      </c>
      <c r="P671" s="54" t="s">
        <v>1341</v>
      </c>
      <c r="Q671" s="54" t="s">
        <v>1017</v>
      </c>
      <c r="R671" s="54" t="s">
        <v>376</v>
      </c>
      <c r="S671" s="46"/>
      <c r="T671" s="46"/>
      <c r="U671" s="46"/>
      <c r="V671" s="46"/>
      <c r="W671" s="46"/>
      <c r="X671" s="46"/>
      <c r="Y671" s="46"/>
      <c r="Z671" s="46"/>
      <c r="AA671" s="46"/>
      <c r="AB671" s="46"/>
      <c r="AC671" s="46"/>
      <c r="AD671" s="46" t="s">
        <v>1037</v>
      </c>
      <c r="AE671" s="50">
        <f>IF(L671="W",1,0)</f>
        <v>0</v>
      </c>
      <c r="AF671" s="50">
        <f>IF(L671="T",1,0)</f>
        <v>0</v>
      </c>
      <c r="AG671" s="50">
        <f>IF(L671="L",1,0)</f>
        <v>1</v>
      </c>
      <c r="AH671" s="46"/>
      <c r="AI671" s="46"/>
      <c r="AJ671" s="46" t="s">
        <v>376</v>
      </c>
      <c r="AK671" s="46" t="s">
        <v>658</v>
      </c>
      <c r="AL671" s="46"/>
      <c r="AM671" s="46"/>
      <c r="AN671" s="46" t="s">
        <v>376</v>
      </c>
      <c r="AO671" s="46" t="s">
        <v>658</v>
      </c>
      <c r="AP671" s="46"/>
      <c r="AQ671" s="46">
        <v>2</v>
      </c>
      <c r="AR671" s="46"/>
      <c r="AS671" s="46"/>
      <c r="AT671" s="46"/>
      <c r="AU671" s="46" t="s">
        <v>376</v>
      </c>
      <c r="AV671" s="46"/>
      <c r="AW671" s="46" t="s">
        <v>30</v>
      </c>
      <c r="AX671" s="46"/>
      <c r="AY671" s="46"/>
      <c r="AZ671" s="46" t="s">
        <v>30</v>
      </c>
      <c r="BA671" s="54"/>
      <c r="BB671" s="51"/>
      <c r="BC671" s="46"/>
      <c r="BD671" s="46"/>
      <c r="BE671" s="46"/>
      <c r="BF671" s="46">
        <v>1</v>
      </c>
      <c r="BG671" s="46">
        <v>2</v>
      </c>
      <c r="BH671" s="46">
        <v>1</v>
      </c>
      <c r="BI671" s="46" t="s">
        <v>1262</v>
      </c>
      <c r="BJ671" s="46" t="s">
        <v>803</v>
      </c>
      <c r="BK671" s="46">
        <v>1966</v>
      </c>
      <c r="BL671" s="46" t="str">
        <f>BK671&amp;BI671</f>
        <v>1966Cardiff City</v>
      </c>
      <c r="BM671" s="52" t="str">
        <f>IF(AD671="Home",BI671,IF(AD671="Away",BJ671,Q671))</f>
        <v>West Ham United</v>
      </c>
      <c r="BN671" s="46"/>
      <c r="BO671" s="46"/>
      <c r="BP671" s="46"/>
      <c r="BQ671" s="46"/>
      <c r="BR671" s="46"/>
      <c r="BS671" s="46"/>
      <c r="BT671" s="46"/>
      <c r="BU671" s="46"/>
      <c r="BV671" s="46" t="s">
        <v>376</v>
      </c>
      <c r="BW671" s="46" t="s">
        <v>376</v>
      </c>
      <c r="BX671" s="46"/>
      <c r="BZ671" s="53"/>
      <c r="CA671" s="53"/>
      <c r="CB671" s="93" t="str">
        <f>IF(OR(C671="",A671="",B671=""),"",TEXT(C671,"0000")&amp;TEXT(A671,"00")&amp;TEXT(B671,"00"))</f>
        <v>19651220</v>
      </c>
    </row>
    <row r="672" spans="1:80" s="52" customFormat="1" ht="12.95" customHeight="1" x14ac:dyDescent="0.2">
      <c r="A672" s="46">
        <v>2</v>
      </c>
      <c r="B672" s="46">
        <v>2</v>
      </c>
      <c r="C672" s="46">
        <v>1966</v>
      </c>
      <c r="D672" s="46" t="s">
        <v>658</v>
      </c>
      <c r="E672" s="46" t="s">
        <v>566</v>
      </c>
      <c r="F672" s="54" t="s">
        <v>1327</v>
      </c>
      <c r="G672" s="46"/>
      <c r="H672" s="54" t="s">
        <v>1011</v>
      </c>
      <c r="I672" s="54">
        <v>2</v>
      </c>
      <c r="J672" s="55">
        <v>24140</v>
      </c>
      <c r="K672" s="46" t="s">
        <v>1262</v>
      </c>
      <c r="L672" s="46" t="s">
        <v>4</v>
      </c>
      <c r="M672" s="46" t="s">
        <v>803</v>
      </c>
      <c r="N672" s="49">
        <v>1</v>
      </c>
      <c r="O672" s="49">
        <v>5</v>
      </c>
      <c r="P672" s="54" t="s">
        <v>1348</v>
      </c>
      <c r="Q672" s="46" t="s">
        <v>1263</v>
      </c>
      <c r="R672" s="46" t="s">
        <v>1264</v>
      </c>
      <c r="S672" s="46"/>
      <c r="T672" s="46"/>
      <c r="U672" s="46"/>
      <c r="V672" s="46"/>
      <c r="W672" s="46"/>
      <c r="X672" s="46"/>
      <c r="Y672" s="46"/>
      <c r="Z672" s="46"/>
      <c r="AA672" s="46"/>
      <c r="AB672" s="46"/>
      <c r="AC672" s="46"/>
      <c r="AD672" s="46" t="s">
        <v>1033</v>
      </c>
      <c r="AE672" s="50">
        <f>IF(L672="W",1,0)</f>
        <v>0</v>
      </c>
      <c r="AF672" s="50">
        <f>IF(L672="T",1,0)</f>
        <v>0</v>
      </c>
      <c r="AG672" s="50">
        <f>IF(L672="L",1,0)</f>
        <v>1</v>
      </c>
      <c r="AH672" s="46"/>
      <c r="AI672" s="46"/>
      <c r="AJ672" s="46" t="s">
        <v>376</v>
      </c>
      <c r="AK672" s="46" t="s">
        <v>658</v>
      </c>
      <c r="AL672" s="46"/>
      <c r="AM672" s="46"/>
      <c r="AN672" s="46" t="s">
        <v>376</v>
      </c>
      <c r="AO672" s="46" t="s">
        <v>658</v>
      </c>
      <c r="AP672" s="46"/>
      <c r="AQ672" s="46">
        <v>2</v>
      </c>
      <c r="AR672" s="46"/>
      <c r="AS672" s="46"/>
      <c r="AT672" s="46"/>
      <c r="AU672" s="46" t="s">
        <v>376</v>
      </c>
      <c r="AV672" s="46"/>
      <c r="AW672" s="46" t="s">
        <v>30</v>
      </c>
      <c r="AX672" s="46"/>
      <c r="AY672" s="46"/>
      <c r="AZ672" s="46" t="s">
        <v>30</v>
      </c>
      <c r="BA672" s="54"/>
      <c r="BB672" s="51"/>
      <c r="BC672" s="46"/>
      <c r="BD672" s="46"/>
      <c r="BE672" s="46"/>
      <c r="BF672" s="46">
        <v>1</v>
      </c>
      <c r="BG672" s="46">
        <v>2</v>
      </c>
      <c r="BH672" s="46">
        <v>1</v>
      </c>
      <c r="BI672" s="46" t="s">
        <v>1262</v>
      </c>
      <c r="BJ672" s="46" t="s">
        <v>803</v>
      </c>
      <c r="BK672" s="46">
        <v>1966</v>
      </c>
      <c r="BL672" s="46" t="str">
        <f>BK672&amp;BI672</f>
        <v>1966Cardiff City</v>
      </c>
      <c r="BM672" s="52" t="str">
        <f>IF(AD672="Home",BI672,IF(AD672="Away",BJ672,Q672))</f>
        <v>Cardiff City</v>
      </c>
      <c r="BN672" s="46"/>
      <c r="BO672" s="46"/>
      <c r="BP672" s="46"/>
      <c r="BQ672" s="46"/>
      <c r="BR672" s="46"/>
      <c r="BS672" s="46"/>
      <c r="BT672" s="46"/>
      <c r="BU672" s="46"/>
      <c r="BV672" s="46" t="s">
        <v>376</v>
      </c>
      <c r="BW672" s="46" t="s">
        <v>376</v>
      </c>
      <c r="BX672" s="46"/>
      <c r="BZ672" s="53"/>
      <c r="CA672" s="53"/>
      <c r="CB672" s="93" t="str">
        <f>IF(OR(C672="",A672="",B672=""),"",TEXT(C672,"0000")&amp;TEXT(A672,"00")&amp;TEXT(B672,"00"))</f>
        <v>19660202</v>
      </c>
    </row>
    <row r="673" spans="1:80" s="52" customFormat="1" ht="12.95" customHeight="1" x14ac:dyDescent="0.2">
      <c r="A673" s="46">
        <v>2</v>
      </c>
      <c r="B673" s="46">
        <v>2</v>
      </c>
      <c r="C673" s="46">
        <v>1966</v>
      </c>
      <c r="D673" s="46" t="s">
        <v>658</v>
      </c>
      <c r="E673" s="46" t="s">
        <v>566</v>
      </c>
      <c r="F673" s="54" t="s">
        <v>1327</v>
      </c>
      <c r="G673" s="46"/>
      <c r="H673" s="54" t="s">
        <v>1011</v>
      </c>
      <c r="I673" s="54">
        <v>2</v>
      </c>
      <c r="J673" s="55">
        <v>24140</v>
      </c>
      <c r="K673" s="46" t="s">
        <v>803</v>
      </c>
      <c r="L673" s="46" t="s">
        <v>3</v>
      </c>
      <c r="M673" s="46" t="s">
        <v>1262</v>
      </c>
      <c r="N673" s="49">
        <v>5</v>
      </c>
      <c r="O673" s="49">
        <v>1</v>
      </c>
      <c r="P673" s="54" t="s">
        <v>1348</v>
      </c>
      <c r="Q673" s="46" t="s">
        <v>1263</v>
      </c>
      <c r="R673" s="46" t="s">
        <v>1264</v>
      </c>
      <c r="S673" s="46"/>
      <c r="T673" s="46"/>
      <c r="U673" s="46"/>
      <c r="V673" s="46"/>
      <c r="W673" s="46"/>
      <c r="X673" s="46"/>
      <c r="Y673" s="46"/>
      <c r="Z673" s="46"/>
      <c r="AA673" s="46"/>
      <c r="AB673" s="46"/>
      <c r="AC673" s="46"/>
      <c r="AD673" s="46" t="s">
        <v>1037</v>
      </c>
      <c r="AE673" s="50">
        <f>IF(L673="W",1,0)</f>
        <v>1</v>
      </c>
      <c r="AF673" s="50">
        <f>IF(L673="T",1,0)</f>
        <v>0</v>
      </c>
      <c r="AG673" s="50">
        <f>IF(L673="L",1,0)</f>
        <v>0</v>
      </c>
      <c r="AH673" s="46"/>
      <c r="AI673" s="46"/>
      <c r="AJ673" s="46" t="s">
        <v>376</v>
      </c>
      <c r="AK673" s="46" t="s">
        <v>658</v>
      </c>
      <c r="AL673" s="46"/>
      <c r="AM673" s="46"/>
      <c r="AN673" s="46" t="s">
        <v>376</v>
      </c>
      <c r="AO673" s="46" t="s">
        <v>658</v>
      </c>
      <c r="AP673" s="46"/>
      <c r="AQ673" s="46">
        <v>2</v>
      </c>
      <c r="AR673" s="46"/>
      <c r="AS673" s="46"/>
      <c r="AT673" s="46"/>
      <c r="AU673" s="46" t="s">
        <v>376</v>
      </c>
      <c r="AV673" s="46"/>
      <c r="AW673" s="46" t="s">
        <v>30</v>
      </c>
      <c r="AX673" s="46"/>
      <c r="AY673" s="46"/>
      <c r="AZ673" s="46" t="s">
        <v>30</v>
      </c>
      <c r="BA673" s="54"/>
      <c r="BB673" s="51"/>
      <c r="BC673" s="46"/>
      <c r="BD673" s="46"/>
      <c r="BE673" s="46"/>
      <c r="BF673" s="46">
        <v>1</v>
      </c>
      <c r="BG673" s="46">
        <v>1</v>
      </c>
      <c r="BH673" s="46">
        <v>2</v>
      </c>
      <c r="BI673" s="46" t="s">
        <v>803</v>
      </c>
      <c r="BJ673" s="46" t="s">
        <v>1262</v>
      </c>
      <c r="BK673" s="46">
        <v>1966</v>
      </c>
      <c r="BL673" s="46" t="str">
        <f>BK673&amp;BI673</f>
        <v>1966West Ham United</v>
      </c>
      <c r="BM673" s="52" t="str">
        <f>IF(AD673="Home",BI673,IF(AD673="Away",BJ673,Q673))</f>
        <v>Cardiff City</v>
      </c>
      <c r="BN673" s="46"/>
      <c r="BO673" s="46"/>
      <c r="BP673" s="46"/>
      <c r="BQ673" s="46"/>
      <c r="BR673" s="46"/>
      <c r="BS673" s="46"/>
      <c r="BT673" s="46"/>
      <c r="BU673" s="46"/>
      <c r="BV673" s="46" t="s">
        <v>376</v>
      </c>
      <c r="BW673" s="46" t="s">
        <v>376</v>
      </c>
      <c r="BX673" s="46"/>
      <c r="BZ673" s="53"/>
      <c r="CA673" s="53"/>
      <c r="CB673" s="93" t="str">
        <f>IF(OR(C673="",A673="",B673=""),"",TEXT(C673,"0000")&amp;TEXT(A673,"00")&amp;TEXT(B673,"00"))</f>
        <v>19660202</v>
      </c>
    </row>
    <row r="674" spans="1:80" s="52" customFormat="1" ht="12.95" customHeight="1" x14ac:dyDescent="0.2">
      <c r="A674" s="46">
        <v>3</v>
      </c>
      <c r="B674" s="46">
        <v>9</v>
      </c>
      <c r="C674" s="46">
        <v>1966</v>
      </c>
      <c r="D674" s="46" t="s">
        <v>658</v>
      </c>
      <c r="E674" s="46" t="s">
        <v>566</v>
      </c>
      <c r="F674" s="54" t="s">
        <v>1327</v>
      </c>
      <c r="G674" s="46"/>
      <c r="H674" s="46" t="s">
        <v>1334</v>
      </c>
      <c r="I674" s="54">
        <v>1</v>
      </c>
      <c r="J674" s="55">
        <v>24175</v>
      </c>
      <c r="K674" s="46" t="s">
        <v>803</v>
      </c>
      <c r="L674" s="46" t="s">
        <v>3</v>
      </c>
      <c r="M674" s="46" t="s">
        <v>1124</v>
      </c>
      <c r="N674" s="49">
        <v>2</v>
      </c>
      <c r="O674" s="49">
        <v>1</v>
      </c>
      <c r="P674" s="54" t="s">
        <v>1341</v>
      </c>
      <c r="Q674" s="54" t="s">
        <v>1017</v>
      </c>
      <c r="R674" s="54" t="s">
        <v>376</v>
      </c>
      <c r="S674" s="46"/>
      <c r="T674" s="46"/>
      <c r="U674" s="46"/>
      <c r="V674" s="46"/>
      <c r="W674" s="46"/>
      <c r="X674" s="46"/>
      <c r="Y674" s="46"/>
      <c r="Z674" s="46"/>
      <c r="AA674" s="46"/>
      <c r="AB674" s="46"/>
      <c r="AC674" s="46"/>
      <c r="AD674" s="46" t="s">
        <v>1033</v>
      </c>
      <c r="AE674" s="50">
        <f>IF(L674="W",1,0)</f>
        <v>1</v>
      </c>
      <c r="AF674" s="50">
        <f>IF(L674="T",1,0)</f>
        <v>0</v>
      </c>
      <c r="AG674" s="50">
        <f>IF(L674="L",1,0)</f>
        <v>0</v>
      </c>
      <c r="AH674" s="46"/>
      <c r="AI674" s="46"/>
      <c r="AJ674" s="46" t="s">
        <v>376</v>
      </c>
      <c r="AK674" s="46" t="s">
        <v>658</v>
      </c>
      <c r="AL674" s="46"/>
      <c r="AM674" s="46"/>
      <c r="AN674" s="46" t="s">
        <v>376</v>
      </c>
      <c r="AO674" s="46" t="s">
        <v>658</v>
      </c>
      <c r="AP674" s="46"/>
      <c r="AQ674" s="46">
        <v>1</v>
      </c>
      <c r="AR674" s="46"/>
      <c r="AS674" s="46"/>
      <c r="AT674" s="46"/>
      <c r="AU674" s="46" t="s">
        <v>376</v>
      </c>
      <c r="AV674" s="46"/>
      <c r="AW674" s="46" t="s">
        <v>30</v>
      </c>
      <c r="AX674" s="46"/>
      <c r="AY674" s="46"/>
      <c r="AZ674" s="46" t="s">
        <v>30</v>
      </c>
      <c r="BA674" s="54"/>
      <c r="BB674" s="51" t="s">
        <v>30</v>
      </c>
      <c r="BC674" s="46" t="s">
        <v>30</v>
      </c>
      <c r="BD674" s="46"/>
      <c r="BE674" s="46"/>
      <c r="BF674" s="46">
        <v>1</v>
      </c>
      <c r="BG674" s="46">
        <v>1</v>
      </c>
      <c r="BH674" s="46">
        <v>1</v>
      </c>
      <c r="BI674" s="46" t="s">
        <v>803</v>
      </c>
      <c r="BJ674" s="46" t="s">
        <v>1124</v>
      </c>
      <c r="BK674" s="46">
        <v>1966</v>
      </c>
      <c r="BL674" s="46" t="str">
        <f>BK674&amp;BI674</f>
        <v>1966West Ham United</v>
      </c>
      <c r="BM674" s="52" t="str">
        <f>IF(AD674="Home",BI674,IF(AD674="Away",BJ674,Q674))</f>
        <v>West Ham United</v>
      </c>
      <c r="BN674" s="46"/>
      <c r="BO674" s="46"/>
      <c r="BP674" s="46"/>
      <c r="BQ674" s="46"/>
      <c r="BR674" s="46"/>
      <c r="BS674" s="46"/>
      <c r="BT674" s="46"/>
      <c r="BU674" s="46"/>
      <c r="BV674" s="46" t="s">
        <v>376</v>
      </c>
      <c r="BW674" s="46" t="s">
        <v>376</v>
      </c>
      <c r="BX674" s="46"/>
      <c r="BZ674" s="53"/>
      <c r="CA674" s="53"/>
      <c r="CB674" s="93" t="str">
        <f>IF(OR(C674="",A674="",B674=""),"",TEXT(C674,"0000")&amp;TEXT(A674,"00")&amp;TEXT(B674,"00"))</f>
        <v>19660309</v>
      </c>
    </row>
    <row r="675" spans="1:80" s="52" customFormat="1" ht="12.95" customHeight="1" x14ac:dyDescent="0.2">
      <c r="A675" s="46">
        <v>3</v>
      </c>
      <c r="B675" s="46">
        <v>9</v>
      </c>
      <c r="C675" s="46">
        <v>1966</v>
      </c>
      <c r="D675" s="46" t="s">
        <v>658</v>
      </c>
      <c r="E675" s="46" t="s">
        <v>566</v>
      </c>
      <c r="F675" s="54" t="s">
        <v>1327</v>
      </c>
      <c r="G675" s="46"/>
      <c r="H675" s="46" t="s">
        <v>1334</v>
      </c>
      <c r="I675" s="54">
        <v>1</v>
      </c>
      <c r="J675" s="55">
        <v>24175</v>
      </c>
      <c r="K675" s="46" t="s">
        <v>1124</v>
      </c>
      <c r="L675" s="46" t="s">
        <v>4</v>
      </c>
      <c r="M675" s="46" t="s">
        <v>803</v>
      </c>
      <c r="N675" s="49">
        <v>1</v>
      </c>
      <c r="O675" s="49">
        <v>2</v>
      </c>
      <c r="P675" s="54" t="s">
        <v>1341</v>
      </c>
      <c r="Q675" s="54" t="s">
        <v>1017</v>
      </c>
      <c r="R675" s="54" t="s">
        <v>376</v>
      </c>
      <c r="S675" s="46"/>
      <c r="T675" s="46"/>
      <c r="U675" s="46"/>
      <c r="V675" s="46"/>
      <c r="W675" s="46"/>
      <c r="X675" s="46"/>
      <c r="Y675" s="46"/>
      <c r="Z675" s="46"/>
      <c r="AA675" s="46"/>
      <c r="AB675" s="46"/>
      <c r="AC675" s="46"/>
      <c r="AD675" s="46" t="s">
        <v>1037</v>
      </c>
      <c r="AE675" s="50">
        <f>IF(L675="W",1,0)</f>
        <v>0</v>
      </c>
      <c r="AF675" s="50">
        <f>IF(L675="T",1,0)</f>
        <v>0</v>
      </c>
      <c r="AG675" s="50">
        <f>IF(L675="L",1,0)</f>
        <v>1</v>
      </c>
      <c r="AH675" s="46"/>
      <c r="AI675" s="46"/>
      <c r="AJ675" s="46" t="s">
        <v>376</v>
      </c>
      <c r="AK675" s="46" t="s">
        <v>658</v>
      </c>
      <c r="AL675" s="46"/>
      <c r="AM675" s="46"/>
      <c r="AN675" s="46" t="s">
        <v>376</v>
      </c>
      <c r="AO675" s="46" t="s">
        <v>658</v>
      </c>
      <c r="AP675" s="46"/>
      <c r="AQ675" s="46">
        <v>1</v>
      </c>
      <c r="AR675" s="46"/>
      <c r="AS675" s="46"/>
      <c r="AT675" s="46"/>
      <c r="AU675" s="46" t="s">
        <v>376</v>
      </c>
      <c r="AV675" s="46"/>
      <c r="AW675" s="46" t="s">
        <v>30</v>
      </c>
      <c r="AX675" s="46"/>
      <c r="AY675" s="46"/>
      <c r="AZ675" s="46" t="s">
        <v>30</v>
      </c>
      <c r="BA675" s="54"/>
      <c r="BB675" s="51"/>
      <c r="BC675" s="46" t="s">
        <v>30</v>
      </c>
      <c r="BD675" s="46"/>
      <c r="BE675" s="46"/>
      <c r="BF675" s="46">
        <v>1</v>
      </c>
      <c r="BG675" s="46">
        <v>1</v>
      </c>
      <c r="BH675" s="46">
        <v>1</v>
      </c>
      <c r="BI675" s="46" t="s">
        <v>1124</v>
      </c>
      <c r="BJ675" s="46" t="s">
        <v>803</v>
      </c>
      <c r="BK675" s="46">
        <v>1966</v>
      </c>
      <c r="BL675" s="46" t="str">
        <f>BK675&amp;BI675</f>
        <v>1966West Bromwich Albion</v>
      </c>
      <c r="BM675" s="52" t="str">
        <f>IF(AD675="Home",BI675,IF(AD675="Away",BJ675,Q675))</f>
        <v>West Ham United</v>
      </c>
      <c r="BN675" s="46"/>
      <c r="BO675" s="46"/>
      <c r="BP675" s="46"/>
      <c r="BQ675" s="46"/>
      <c r="BR675" s="46"/>
      <c r="BS675" s="46"/>
      <c r="BT675" s="46"/>
      <c r="BU675" s="46"/>
      <c r="BV675" s="46" t="s">
        <v>376</v>
      </c>
      <c r="BW675" s="46" t="s">
        <v>376</v>
      </c>
      <c r="BX675" s="46"/>
      <c r="BZ675" s="53"/>
      <c r="CA675" s="53"/>
      <c r="CB675" s="93" t="str">
        <f>IF(OR(C675="",A675="",B675=""),"",TEXT(C675,"0000")&amp;TEXT(A675,"00")&amp;TEXT(B675,"00"))</f>
        <v>19660309</v>
      </c>
    </row>
    <row r="676" spans="1:80" s="52" customFormat="1" ht="12.95" customHeight="1" x14ac:dyDescent="0.2">
      <c r="A676" s="46">
        <v>3</v>
      </c>
      <c r="B676" s="46">
        <v>23</v>
      </c>
      <c r="C676" s="46">
        <v>1966</v>
      </c>
      <c r="D676" s="46" t="s">
        <v>658</v>
      </c>
      <c r="E676" s="46" t="s">
        <v>566</v>
      </c>
      <c r="F676" s="54" t="s">
        <v>1327</v>
      </c>
      <c r="G676" s="46"/>
      <c r="H676" s="46" t="s">
        <v>1334</v>
      </c>
      <c r="I676" s="54">
        <v>2</v>
      </c>
      <c r="J676" s="55">
        <v>24189</v>
      </c>
      <c r="K676" s="46" t="s">
        <v>1124</v>
      </c>
      <c r="L676" s="46" t="s">
        <v>3</v>
      </c>
      <c r="M676" s="46" t="s">
        <v>803</v>
      </c>
      <c r="N676" s="49">
        <v>4</v>
      </c>
      <c r="O676" s="49">
        <v>1</v>
      </c>
      <c r="P676" s="54" t="s">
        <v>1221</v>
      </c>
      <c r="Q676" s="54" t="s">
        <v>1111</v>
      </c>
      <c r="R676" s="54" t="s">
        <v>376</v>
      </c>
      <c r="S676" s="46"/>
      <c r="T676" s="46"/>
      <c r="U676" s="46"/>
      <c r="V676" s="46"/>
      <c r="W676" s="46"/>
      <c r="X676" s="46"/>
      <c r="Y676" s="46"/>
      <c r="Z676" s="46"/>
      <c r="AA676" s="46"/>
      <c r="AB676" s="46"/>
      <c r="AC676" s="46"/>
      <c r="AD676" s="46" t="s">
        <v>1033</v>
      </c>
      <c r="AE676" s="50">
        <f>IF(L676="W",1,0)</f>
        <v>1</v>
      </c>
      <c r="AF676" s="50">
        <f>IF(L676="T",1,0)</f>
        <v>0</v>
      </c>
      <c r="AG676" s="50">
        <f>IF(L676="L",1,0)</f>
        <v>0</v>
      </c>
      <c r="AH676" s="46"/>
      <c r="AI676" s="46"/>
      <c r="AJ676" s="46" t="s">
        <v>376</v>
      </c>
      <c r="AK676" s="46" t="s">
        <v>658</v>
      </c>
      <c r="AL676" s="46"/>
      <c r="AM676" s="46"/>
      <c r="AN676" s="46" t="s">
        <v>376</v>
      </c>
      <c r="AO676" s="46" t="s">
        <v>658</v>
      </c>
      <c r="AP676" s="46"/>
      <c r="AQ676" s="46">
        <v>1</v>
      </c>
      <c r="AR676" s="46"/>
      <c r="AS676" s="46"/>
      <c r="AT676" s="46"/>
      <c r="AU676" s="46" t="s">
        <v>376</v>
      </c>
      <c r="AV676" s="46"/>
      <c r="AW676" s="46" t="s">
        <v>30</v>
      </c>
      <c r="AX676" s="46"/>
      <c r="AY676" s="46"/>
      <c r="AZ676" s="46" t="s">
        <v>30</v>
      </c>
      <c r="BA676" s="54"/>
      <c r="BB676" s="51" t="s">
        <v>30</v>
      </c>
      <c r="BC676" s="46" t="s">
        <v>30</v>
      </c>
      <c r="BD676" s="46"/>
      <c r="BE676" s="46"/>
      <c r="BF676" s="46">
        <v>1</v>
      </c>
      <c r="BG676" s="46">
        <v>1</v>
      </c>
      <c r="BH676" s="46">
        <v>1</v>
      </c>
      <c r="BI676" s="46" t="s">
        <v>1124</v>
      </c>
      <c r="BJ676" s="46" t="s">
        <v>803</v>
      </c>
      <c r="BK676" s="46">
        <v>1966</v>
      </c>
      <c r="BL676" s="46" t="str">
        <f>BK676&amp;BI676</f>
        <v>1966West Bromwich Albion</v>
      </c>
      <c r="BM676" s="52" t="str">
        <f>IF(AD676="Home",BI676,IF(AD676="Away",BJ676,Q676))</f>
        <v>West Bromwich Albion</v>
      </c>
      <c r="BN676" s="46"/>
      <c r="BO676" s="46"/>
      <c r="BP676" s="46"/>
      <c r="BQ676" s="46"/>
      <c r="BR676" s="46"/>
      <c r="BS676" s="46"/>
      <c r="BT676" s="46"/>
      <c r="BU676" s="46"/>
      <c r="BV676" s="46" t="s">
        <v>376</v>
      </c>
      <c r="BW676" s="46" t="s">
        <v>376</v>
      </c>
      <c r="BX676" s="46"/>
      <c r="BZ676" s="53"/>
      <c r="CA676" s="53"/>
      <c r="CB676" s="93" t="str">
        <f>IF(OR(C676="",A676="",B676=""),"",TEXT(C676,"0000")&amp;TEXT(A676,"00")&amp;TEXT(B676,"00"))</f>
        <v>19660323</v>
      </c>
    </row>
    <row r="677" spans="1:80" s="52" customFormat="1" ht="12.95" customHeight="1" x14ac:dyDescent="0.2">
      <c r="A677" s="46">
        <v>3</v>
      </c>
      <c r="B677" s="46">
        <v>23</v>
      </c>
      <c r="C677" s="46">
        <v>1966</v>
      </c>
      <c r="D677" s="46" t="s">
        <v>658</v>
      </c>
      <c r="E677" s="46" t="s">
        <v>566</v>
      </c>
      <c r="F677" s="54" t="s">
        <v>1327</v>
      </c>
      <c r="G677" s="46"/>
      <c r="H677" s="46" t="s">
        <v>1334</v>
      </c>
      <c r="I677" s="54">
        <v>2</v>
      </c>
      <c r="J677" s="55">
        <v>24189</v>
      </c>
      <c r="K677" s="46" t="s">
        <v>803</v>
      </c>
      <c r="L677" s="46" t="s">
        <v>4</v>
      </c>
      <c r="M677" s="46" t="s">
        <v>1124</v>
      </c>
      <c r="N677" s="49">
        <v>1</v>
      </c>
      <c r="O677" s="49">
        <v>4</v>
      </c>
      <c r="P677" s="54" t="s">
        <v>1221</v>
      </c>
      <c r="Q677" s="54" t="s">
        <v>1111</v>
      </c>
      <c r="R677" s="54" t="s">
        <v>376</v>
      </c>
      <c r="S677" s="46"/>
      <c r="T677" s="46"/>
      <c r="U677" s="46"/>
      <c r="V677" s="46"/>
      <c r="W677" s="46"/>
      <c r="X677" s="46"/>
      <c r="Y677" s="46"/>
      <c r="Z677" s="46"/>
      <c r="AA677" s="46"/>
      <c r="AB677" s="46"/>
      <c r="AC677" s="46"/>
      <c r="AD677" s="46" t="s">
        <v>1037</v>
      </c>
      <c r="AE677" s="50">
        <f>IF(L677="W",1,0)</f>
        <v>0</v>
      </c>
      <c r="AF677" s="50">
        <f>IF(L677="T",1,0)</f>
        <v>0</v>
      </c>
      <c r="AG677" s="50">
        <f>IF(L677="L",1,0)</f>
        <v>1</v>
      </c>
      <c r="AH677" s="46"/>
      <c r="AI677" s="46"/>
      <c r="AJ677" s="46" t="s">
        <v>376</v>
      </c>
      <c r="AK677" s="46" t="s">
        <v>658</v>
      </c>
      <c r="AL677" s="46"/>
      <c r="AM677" s="46"/>
      <c r="AN677" s="46" t="s">
        <v>376</v>
      </c>
      <c r="AO677" s="46" t="s">
        <v>658</v>
      </c>
      <c r="AP677" s="46"/>
      <c r="AQ677" s="46">
        <v>1</v>
      </c>
      <c r="AR677" s="46"/>
      <c r="AS677" s="46"/>
      <c r="AT677" s="46"/>
      <c r="AU677" s="46" t="s">
        <v>376</v>
      </c>
      <c r="AV677" s="46"/>
      <c r="AW677" s="46" t="s">
        <v>30</v>
      </c>
      <c r="AX677" s="46"/>
      <c r="AY677" s="46"/>
      <c r="AZ677" s="46" t="s">
        <v>30</v>
      </c>
      <c r="BA677" s="54"/>
      <c r="BB677" s="51"/>
      <c r="BC677" s="46" t="s">
        <v>30</v>
      </c>
      <c r="BD677" s="46"/>
      <c r="BE677" s="46"/>
      <c r="BF677" s="46">
        <v>1</v>
      </c>
      <c r="BG677" s="46">
        <v>1</v>
      </c>
      <c r="BH677" s="46">
        <v>1</v>
      </c>
      <c r="BI677" s="46" t="s">
        <v>803</v>
      </c>
      <c r="BJ677" s="46" t="s">
        <v>1124</v>
      </c>
      <c r="BK677" s="46">
        <v>1966</v>
      </c>
      <c r="BL677" s="46" t="str">
        <f>BK677&amp;BI677</f>
        <v>1966West Ham United</v>
      </c>
      <c r="BM677" s="52" t="str">
        <f>IF(AD677="Home",BI677,IF(AD677="Away",BJ677,Q677))</f>
        <v>West Bromwich Albion</v>
      </c>
      <c r="BN677" s="46"/>
      <c r="BO677" s="46"/>
      <c r="BP677" s="46"/>
      <c r="BQ677" s="46"/>
      <c r="BR677" s="46"/>
      <c r="BS677" s="46"/>
      <c r="BT677" s="46"/>
      <c r="BU677" s="46"/>
      <c r="BV677" s="46" t="s">
        <v>376</v>
      </c>
      <c r="BW677" s="46" t="s">
        <v>376</v>
      </c>
      <c r="BX677" s="46"/>
      <c r="BZ677" s="53"/>
      <c r="CA677" s="53"/>
      <c r="CB677" s="93" t="str">
        <f>IF(OR(C677="",A677="",B677=""),"",TEXT(C677,"0000")&amp;TEXT(A677,"00")&amp;TEXT(B677,"00"))</f>
        <v>19660323</v>
      </c>
    </row>
    <row r="678" spans="1:80" s="52" customFormat="1" ht="12.95" customHeight="1" x14ac:dyDescent="0.2">
      <c r="A678" s="46">
        <v>4</v>
      </c>
      <c r="B678" s="46">
        <v>23</v>
      </c>
      <c r="C678" s="46">
        <v>1966</v>
      </c>
      <c r="D678" s="46" t="s">
        <v>658</v>
      </c>
      <c r="E678" s="46" t="s">
        <v>566</v>
      </c>
      <c r="F678" s="47" t="s">
        <v>1010</v>
      </c>
      <c r="G678" s="46"/>
      <c r="H678" s="47" t="s">
        <v>1011</v>
      </c>
      <c r="I678" s="47"/>
      <c r="J678" s="48">
        <v>24220</v>
      </c>
      <c r="K678" s="46" t="s">
        <v>804</v>
      </c>
      <c r="L678" s="46" t="s">
        <v>3</v>
      </c>
      <c r="M678" s="46" t="s">
        <v>821</v>
      </c>
      <c r="N678" s="49">
        <v>1</v>
      </c>
      <c r="O678" s="49">
        <v>0</v>
      </c>
      <c r="P678" s="47" t="s">
        <v>1209</v>
      </c>
      <c r="Q678" s="47" t="s">
        <v>1101</v>
      </c>
      <c r="R678" s="47" t="s">
        <v>376</v>
      </c>
      <c r="S678" s="46"/>
      <c r="T678" s="46"/>
      <c r="U678" s="46"/>
      <c r="V678" s="46"/>
      <c r="W678" s="46"/>
      <c r="X678" s="46"/>
      <c r="Y678" s="46"/>
      <c r="Z678" s="46"/>
      <c r="AA678" s="46"/>
      <c r="AB678" s="46"/>
      <c r="AC678" s="46"/>
      <c r="AD678" s="46"/>
      <c r="AE678" s="50">
        <f>IF(L678="W",1,0)</f>
        <v>1</v>
      </c>
      <c r="AF678" s="50">
        <f>IF(L678="T",1,0)</f>
        <v>0</v>
      </c>
      <c r="AG678" s="50">
        <f>IF(L678="L",1,0)</f>
        <v>0</v>
      </c>
      <c r="AH678" s="46" t="s">
        <v>588</v>
      </c>
      <c r="AI678" s="46" t="s">
        <v>1175</v>
      </c>
      <c r="AJ678" s="46" t="s">
        <v>376</v>
      </c>
      <c r="AK678" s="46" t="s">
        <v>658</v>
      </c>
      <c r="AL678" s="46" t="s">
        <v>1101</v>
      </c>
      <c r="AM678" s="46" t="s">
        <v>1159</v>
      </c>
      <c r="AN678" s="46" t="s">
        <v>376</v>
      </c>
      <c r="AO678" s="46" t="s">
        <v>658</v>
      </c>
      <c r="AP678" s="46"/>
      <c r="AQ678" s="46">
        <v>2</v>
      </c>
      <c r="AR678" s="46"/>
      <c r="AS678" s="46"/>
      <c r="AT678" s="46"/>
      <c r="AU678" s="46" t="s">
        <v>376</v>
      </c>
      <c r="AV678" s="46"/>
      <c r="AW678" s="46" t="s">
        <v>30</v>
      </c>
      <c r="AX678" s="46"/>
      <c r="AY678" s="46" t="s">
        <v>30</v>
      </c>
      <c r="AZ678" s="46"/>
      <c r="BA678" s="47"/>
      <c r="BB678" s="51"/>
      <c r="BC678" s="46"/>
      <c r="BD678" s="46"/>
      <c r="BE678" s="46"/>
      <c r="BF678" s="46">
        <v>1</v>
      </c>
      <c r="BG678" s="46">
        <v>1</v>
      </c>
      <c r="BH678" s="46">
        <v>1</v>
      </c>
      <c r="BI678" s="46" t="s">
        <v>804</v>
      </c>
      <c r="BJ678" s="46" t="s">
        <v>821</v>
      </c>
      <c r="BK678" s="46">
        <v>1966</v>
      </c>
      <c r="BL678" s="46" t="str">
        <f>BK678&amp;BI678</f>
        <v>1966Everton</v>
      </c>
      <c r="BM678" s="52" t="str">
        <f>IF(AD678="Home",BI678,IF(AD678="Away",BJ678,Q678))</f>
        <v>Manchester</v>
      </c>
      <c r="BN678" s="46"/>
      <c r="BO678" s="46"/>
      <c r="BP678" s="46"/>
      <c r="BQ678" s="46"/>
      <c r="BR678" s="46"/>
      <c r="BS678" s="46"/>
      <c r="BT678" s="46"/>
      <c r="BU678" s="46"/>
      <c r="BV678" s="46" t="s">
        <v>376</v>
      </c>
      <c r="BW678" s="46" t="s">
        <v>376</v>
      </c>
      <c r="BX678" s="46"/>
      <c r="BZ678" s="53"/>
      <c r="CA678" s="53"/>
      <c r="CB678" s="93" t="str">
        <f>IF(OR(C678="",A678="",B678=""),"",TEXT(C678,"0000")&amp;TEXT(A678,"00")&amp;TEXT(B678,"00"))</f>
        <v>19660423</v>
      </c>
    </row>
    <row r="679" spans="1:80" s="52" customFormat="1" ht="12.95" customHeight="1" x14ac:dyDescent="0.2">
      <c r="A679" s="46">
        <v>4</v>
      </c>
      <c r="B679" s="46">
        <v>23</v>
      </c>
      <c r="C679" s="46">
        <v>1966</v>
      </c>
      <c r="D679" s="46" t="s">
        <v>658</v>
      </c>
      <c r="E679" s="46" t="s">
        <v>566</v>
      </c>
      <c r="F679" s="47" t="s">
        <v>1010</v>
      </c>
      <c r="G679" s="46"/>
      <c r="H679" s="47" t="s">
        <v>1011</v>
      </c>
      <c r="I679" s="47"/>
      <c r="J679" s="48">
        <v>24220</v>
      </c>
      <c r="K679" s="46" t="s">
        <v>821</v>
      </c>
      <c r="L679" s="46" t="s">
        <v>4</v>
      </c>
      <c r="M679" s="46" t="s">
        <v>804</v>
      </c>
      <c r="N679" s="49">
        <v>0</v>
      </c>
      <c r="O679" s="49">
        <v>1</v>
      </c>
      <c r="P679" s="47" t="s">
        <v>1209</v>
      </c>
      <c r="Q679" s="47" t="s">
        <v>1101</v>
      </c>
      <c r="R679" s="47" t="s">
        <v>376</v>
      </c>
      <c r="S679" s="46"/>
      <c r="T679" s="46"/>
      <c r="U679" s="46"/>
      <c r="V679" s="46"/>
      <c r="W679" s="46"/>
      <c r="X679" s="46"/>
      <c r="Y679" s="46"/>
      <c r="Z679" s="46"/>
      <c r="AA679" s="46"/>
      <c r="AB679" s="46"/>
      <c r="AC679" s="46"/>
      <c r="AD679" s="46"/>
      <c r="AE679" s="50">
        <f>IF(L679="W",1,0)</f>
        <v>0</v>
      </c>
      <c r="AF679" s="50">
        <f>IF(L679="T",1,0)</f>
        <v>0</v>
      </c>
      <c r="AG679" s="50">
        <f>IF(L679="L",1,0)</f>
        <v>1</v>
      </c>
      <c r="AH679" s="46" t="s">
        <v>1101</v>
      </c>
      <c r="AI679" s="46" t="s">
        <v>1159</v>
      </c>
      <c r="AJ679" s="46" t="s">
        <v>376</v>
      </c>
      <c r="AK679" s="46" t="s">
        <v>658</v>
      </c>
      <c r="AL679" s="46" t="s">
        <v>588</v>
      </c>
      <c r="AM679" s="46" t="s">
        <v>1175</v>
      </c>
      <c r="AN679" s="46" t="s">
        <v>376</v>
      </c>
      <c r="AO679" s="46" t="s">
        <v>658</v>
      </c>
      <c r="AP679" s="46"/>
      <c r="AQ679" s="46">
        <v>2</v>
      </c>
      <c r="AR679" s="46"/>
      <c r="AS679" s="46"/>
      <c r="AT679" s="46"/>
      <c r="AU679" s="46" t="s">
        <v>376</v>
      </c>
      <c r="AV679" s="46"/>
      <c r="AW679" s="46" t="s">
        <v>30</v>
      </c>
      <c r="AX679" s="46"/>
      <c r="AY679" s="46" t="s">
        <v>30</v>
      </c>
      <c r="AZ679" s="46"/>
      <c r="BA679" s="47"/>
      <c r="BB679" s="51"/>
      <c r="BC679" s="46"/>
      <c r="BD679" s="46"/>
      <c r="BE679" s="46"/>
      <c r="BF679" s="46">
        <v>1</v>
      </c>
      <c r="BG679" s="46">
        <v>1</v>
      </c>
      <c r="BH679" s="46">
        <v>1</v>
      </c>
      <c r="BI679" s="46" t="s">
        <v>821</v>
      </c>
      <c r="BJ679" s="46" t="s">
        <v>804</v>
      </c>
      <c r="BK679" s="46">
        <v>1966</v>
      </c>
      <c r="BL679" s="46" t="str">
        <f>BK679&amp;BI679</f>
        <v>1966Manchester United</v>
      </c>
      <c r="BM679" s="52" t="str">
        <f>IF(AD679="Home",BI679,IF(AD679="Away",BJ679,Q679))</f>
        <v>Manchester</v>
      </c>
      <c r="BN679" s="46"/>
      <c r="BO679" s="46"/>
      <c r="BP679" s="46"/>
      <c r="BQ679" s="46"/>
      <c r="BR679" s="46"/>
      <c r="BS679" s="46"/>
      <c r="BT679" s="46"/>
      <c r="BU679" s="46"/>
      <c r="BV679" s="46" t="s">
        <v>376</v>
      </c>
      <c r="BW679" s="46" t="s">
        <v>376</v>
      </c>
      <c r="BX679" s="46"/>
      <c r="BZ679" s="53"/>
      <c r="CA679" s="53"/>
      <c r="CB679" s="93" t="str">
        <f>IF(OR(C679="",A679="",B679=""),"",TEXT(C679,"0000")&amp;TEXT(A679,"00")&amp;TEXT(B679,"00"))</f>
        <v>19660423</v>
      </c>
    </row>
    <row r="680" spans="1:80" s="52" customFormat="1" ht="12.95" customHeight="1" x14ac:dyDescent="0.2">
      <c r="A680" s="46">
        <v>4</v>
      </c>
      <c r="B680" s="46">
        <v>23</v>
      </c>
      <c r="C680" s="46">
        <v>1966</v>
      </c>
      <c r="D680" s="46" t="s">
        <v>658</v>
      </c>
      <c r="E680" s="46" t="s">
        <v>566</v>
      </c>
      <c r="F680" s="47" t="s">
        <v>1010</v>
      </c>
      <c r="G680" s="46"/>
      <c r="H680" s="47" t="s">
        <v>1011</v>
      </c>
      <c r="I680" s="47"/>
      <c r="J680" s="48">
        <v>24220</v>
      </c>
      <c r="K680" s="46" t="s">
        <v>1093</v>
      </c>
      <c r="L680" s="46" t="s">
        <v>3</v>
      </c>
      <c r="M680" s="46" t="s">
        <v>816</v>
      </c>
      <c r="N680" s="49">
        <v>2</v>
      </c>
      <c r="O680" s="49">
        <v>0</v>
      </c>
      <c r="P680" s="47" t="s">
        <v>1219</v>
      </c>
      <c r="Q680" s="47" t="s">
        <v>1111</v>
      </c>
      <c r="R680" s="47" t="s">
        <v>376</v>
      </c>
      <c r="S680" s="46"/>
      <c r="T680" s="46"/>
      <c r="U680" s="46"/>
      <c r="V680" s="46"/>
      <c r="W680" s="46"/>
      <c r="X680" s="46"/>
      <c r="Y680" s="46"/>
      <c r="Z680" s="46"/>
      <c r="AA680" s="46"/>
      <c r="AB680" s="46"/>
      <c r="AC680" s="46"/>
      <c r="AD680" s="46"/>
      <c r="AE680" s="50">
        <f>IF(L680="W",1,0)</f>
        <v>1</v>
      </c>
      <c r="AF680" s="50">
        <f>IF(L680="T",1,0)</f>
        <v>0</v>
      </c>
      <c r="AG680" s="50">
        <f>IF(L680="L",1,0)</f>
        <v>0</v>
      </c>
      <c r="AH680" s="46" t="s">
        <v>1097</v>
      </c>
      <c r="AI680" s="46" t="s">
        <v>1098</v>
      </c>
      <c r="AJ680" s="46" t="s">
        <v>376</v>
      </c>
      <c r="AK680" s="46" t="s">
        <v>658</v>
      </c>
      <c r="AL680" s="46" t="s">
        <v>1017</v>
      </c>
      <c r="AM680" s="46" t="s">
        <v>1018</v>
      </c>
      <c r="AN680" s="46" t="s">
        <v>376</v>
      </c>
      <c r="AO680" s="46" t="s">
        <v>658</v>
      </c>
      <c r="AP680" s="46"/>
      <c r="AQ680" s="46">
        <v>2</v>
      </c>
      <c r="AR680" s="46"/>
      <c r="AS680" s="46"/>
      <c r="AT680" s="46"/>
      <c r="AU680" s="46" t="s">
        <v>376</v>
      </c>
      <c r="AV680" s="46"/>
      <c r="AW680" s="46" t="s">
        <v>30</v>
      </c>
      <c r="AX680" s="46"/>
      <c r="AY680" s="46" t="s">
        <v>30</v>
      </c>
      <c r="AZ680" s="46"/>
      <c r="BA680" s="47"/>
      <c r="BB680" s="51"/>
      <c r="BC680" s="46"/>
      <c r="BD680" s="46"/>
      <c r="BE680" s="46"/>
      <c r="BF680" s="46">
        <v>1</v>
      </c>
      <c r="BG680" s="46">
        <v>1</v>
      </c>
      <c r="BH680" s="46">
        <v>1</v>
      </c>
      <c r="BI680" s="46" t="s">
        <v>1093</v>
      </c>
      <c r="BJ680" s="46" t="s">
        <v>816</v>
      </c>
      <c r="BK680" s="46">
        <v>1966</v>
      </c>
      <c r="BL680" s="46" t="str">
        <f>BK680&amp;BI680</f>
        <v>1966Sheffield Wednesday</v>
      </c>
      <c r="BM680" s="52" t="str">
        <f>IF(AD680="Home",BI680,IF(AD680="Away",BJ680,Q680))</f>
        <v>Birmingham</v>
      </c>
      <c r="BN680" s="46"/>
      <c r="BO680" s="46"/>
      <c r="BP680" s="46"/>
      <c r="BQ680" s="46"/>
      <c r="BR680" s="46"/>
      <c r="BS680" s="46"/>
      <c r="BT680" s="46"/>
      <c r="BU680" s="46"/>
      <c r="BV680" s="46" t="s">
        <v>376</v>
      </c>
      <c r="BW680" s="46" t="s">
        <v>376</v>
      </c>
      <c r="BX680" s="46"/>
      <c r="BZ680" s="53"/>
      <c r="CA680" s="53"/>
      <c r="CB680" s="93" t="str">
        <f>IF(OR(C680="",A680="",B680=""),"",TEXT(C680,"0000")&amp;TEXT(A680,"00")&amp;TEXT(B680,"00"))</f>
        <v>19660423</v>
      </c>
    </row>
    <row r="681" spans="1:80" s="52" customFormat="1" ht="12.95" customHeight="1" x14ac:dyDescent="0.2">
      <c r="A681" s="46">
        <v>4</v>
      </c>
      <c r="B681" s="46">
        <v>23</v>
      </c>
      <c r="C681" s="46">
        <v>1966</v>
      </c>
      <c r="D681" s="46" t="s">
        <v>658</v>
      </c>
      <c r="E681" s="46" t="s">
        <v>566</v>
      </c>
      <c r="F681" s="47" t="s">
        <v>1010</v>
      </c>
      <c r="G681" s="46"/>
      <c r="H681" s="47" t="s">
        <v>1011</v>
      </c>
      <c r="I681" s="47"/>
      <c r="J681" s="48">
        <v>24220</v>
      </c>
      <c r="K681" s="46" t="s">
        <v>816</v>
      </c>
      <c r="L681" s="46" t="s">
        <v>4</v>
      </c>
      <c r="M681" s="46" t="s">
        <v>1093</v>
      </c>
      <c r="N681" s="49">
        <v>0</v>
      </c>
      <c r="O681" s="49">
        <v>2</v>
      </c>
      <c r="P681" s="47" t="s">
        <v>1219</v>
      </c>
      <c r="Q681" s="47" t="s">
        <v>1111</v>
      </c>
      <c r="R681" s="47" t="s">
        <v>376</v>
      </c>
      <c r="S681" s="46"/>
      <c r="T681" s="46"/>
      <c r="U681" s="46"/>
      <c r="V681" s="46"/>
      <c r="W681" s="46"/>
      <c r="X681" s="46"/>
      <c r="Y681" s="46"/>
      <c r="Z681" s="46"/>
      <c r="AA681" s="46"/>
      <c r="AB681" s="46"/>
      <c r="AC681" s="46"/>
      <c r="AD681" s="46"/>
      <c r="AE681" s="50">
        <f>IF(L681="W",1,0)</f>
        <v>0</v>
      </c>
      <c r="AF681" s="50">
        <f>IF(L681="T",1,0)</f>
        <v>0</v>
      </c>
      <c r="AG681" s="50">
        <f>IF(L681="L",1,0)</f>
        <v>1</v>
      </c>
      <c r="AH681" s="46" t="s">
        <v>1017</v>
      </c>
      <c r="AI681" s="46" t="s">
        <v>1018</v>
      </c>
      <c r="AJ681" s="46" t="s">
        <v>376</v>
      </c>
      <c r="AK681" s="46" t="s">
        <v>658</v>
      </c>
      <c r="AL681" s="46" t="s">
        <v>1097</v>
      </c>
      <c r="AM681" s="46" t="s">
        <v>1098</v>
      </c>
      <c r="AN681" s="46" t="s">
        <v>376</v>
      </c>
      <c r="AO681" s="46" t="s">
        <v>658</v>
      </c>
      <c r="AP681" s="46"/>
      <c r="AQ681" s="46">
        <v>2</v>
      </c>
      <c r="AR681" s="46"/>
      <c r="AS681" s="46"/>
      <c r="AT681" s="46"/>
      <c r="AU681" s="46" t="s">
        <v>376</v>
      </c>
      <c r="AV681" s="46"/>
      <c r="AW681" s="46" t="s">
        <v>30</v>
      </c>
      <c r="AX681" s="46"/>
      <c r="AY681" s="46" t="s">
        <v>30</v>
      </c>
      <c r="AZ681" s="46"/>
      <c r="BA681" s="47"/>
      <c r="BB681" s="51"/>
      <c r="BC681" s="46"/>
      <c r="BD681" s="46"/>
      <c r="BE681" s="46"/>
      <c r="BF681" s="46">
        <v>1</v>
      </c>
      <c r="BG681" s="46">
        <v>1</v>
      </c>
      <c r="BH681" s="46">
        <v>1</v>
      </c>
      <c r="BI681" s="46" t="s">
        <v>816</v>
      </c>
      <c r="BJ681" s="46" t="s">
        <v>1093</v>
      </c>
      <c r="BK681" s="46">
        <v>1966</v>
      </c>
      <c r="BL681" s="46" t="str">
        <f>BK681&amp;BI681</f>
        <v>1966Chelsea</v>
      </c>
      <c r="BM681" s="52" t="str">
        <f>IF(AD681="Home",BI681,IF(AD681="Away",BJ681,Q681))</f>
        <v>Birmingham</v>
      </c>
      <c r="BN681" s="46"/>
      <c r="BO681" s="46"/>
      <c r="BP681" s="46"/>
      <c r="BQ681" s="46"/>
      <c r="BR681" s="46"/>
      <c r="BS681" s="46"/>
      <c r="BT681" s="46"/>
      <c r="BU681" s="46"/>
      <c r="BV681" s="46" t="s">
        <v>376</v>
      </c>
      <c r="BW681" s="46" t="s">
        <v>376</v>
      </c>
      <c r="BX681" s="46"/>
      <c r="BZ681" s="53"/>
      <c r="CA681" s="53"/>
      <c r="CB681" s="93" t="str">
        <f>IF(OR(C681="",A681="",B681=""),"",TEXT(C681,"0000")&amp;TEXT(A681,"00")&amp;TEXT(B681,"00"))</f>
        <v>19660423</v>
      </c>
    </row>
    <row r="682" spans="1:80" s="52" customFormat="1" ht="12.95" customHeight="1" x14ac:dyDescent="0.2">
      <c r="A682" s="46">
        <v>5</v>
      </c>
      <c r="B682" s="46">
        <v>14</v>
      </c>
      <c r="C682" s="46">
        <v>1966</v>
      </c>
      <c r="D682" s="46" t="s">
        <v>658</v>
      </c>
      <c r="E682" s="46" t="s">
        <v>566</v>
      </c>
      <c r="F682" s="47" t="s">
        <v>1010</v>
      </c>
      <c r="G682" s="46"/>
      <c r="H682" s="47" t="s">
        <v>1025</v>
      </c>
      <c r="I682" s="47"/>
      <c r="J682" s="48">
        <v>24241</v>
      </c>
      <c r="K682" s="46" t="s">
        <v>804</v>
      </c>
      <c r="L682" s="46" t="s">
        <v>3</v>
      </c>
      <c r="M682" s="46" t="s">
        <v>1093</v>
      </c>
      <c r="N682" s="49">
        <v>3</v>
      </c>
      <c r="O682" s="49">
        <v>2</v>
      </c>
      <c r="P682" s="47" t="s">
        <v>1268</v>
      </c>
      <c r="Q682" s="47" t="s">
        <v>1017</v>
      </c>
      <c r="R682" s="47" t="s">
        <v>376</v>
      </c>
      <c r="S682" s="46"/>
      <c r="T682" s="46"/>
      <c r="U682" s="46"/>
      <c r="V682" s="46"/>
      <c r="W682" s="46"/>
      <c r="X682" s="46"/>
      <c r="Y682" s="46"/>
      <c r="Z682" s="46"/>
      <c r="AA682" s="46"/>
      <c r="AB682" s="46"/>
      <c r="AC682" s="46"/>
      <c r="AD682" s="46"/>
      <c r="AE682" s="50">
        <f>IF(L682="W",1,0)</f>
        <v>1</v>
      </c>
      <c r="AF682" s="50">
        <f>IF(L682="T",1,0)</f>
        <v>0</v>
      </c>
      <c r="AG682" s="50">
        <f>IF(L682="L",1,0)</f>
        <v>0</v>
      </c>
      <c r="AH682" s="46" t="s">
        <v>588</v>
      </c>
      <c r="AI682" s="46" t="s">
        <v>1175</v>
      </c>
      <c r="AJ682" s="46" t="s">
        <v>376</v>
      </c>
      <c r="AK682" s="46" t="s">
        <v>658</v>
      </c>
      <c r="AL682" s="46" t="s">
        <v>1097</v>
      </c>
      <c r="AM682" s="46" t="s">
        <v>1098</v>
      </c>
      <c r="AN682" s="46" t="s">
        <v>376</v>
      </c>
      <c r="AO682" s="46" t="s">
        <v>658</v>
      </c>
      <c r="AP682" s="46"/>
      <c r="AQ682" s="46">
        <v>1</v>
      </c>
      <c r="AR682" s="46"/>
      <c r="AS682" s="46"/>
      <c r="AT682" s="46"/>
      <c r="AU682" s="46" t="s">
        <v>376</v>
      </c>
      <c r="AV682" s="46"/>
      <c r="AW682" s="46" t="s">
        <v>30</v>
      </c>
      <c r="AX682" s="46"/>
      <c r="AY682" s="46" t="s">
        <v>30</v>
      </c>
      <c r="AZ682" s="46"/>
      <c r="BA682" s="47"/>
      <c r="BB682" s="51" t="s">
        <v>30</v>
      </c>
      <c r="BC682" s="46" t="s">
        <v>30</v>
      </c>
      <c r="BD682" s="46"/>
      <c r="BE682" s="46"/>
      <c r="BF682" s="46">
        <v>1</v>
      </c>
      <c r="BG682" s="46">
        <v>1</v>
      </c>
      <c r="BH682" s="46">
        <v>1</v>
      </c>
      <c r="BI682" s="46" t="s">
        <v>804</v>
      </c>
      <c r="BJ682" s="46" t="s">
        <v>1093</v>
      </c>
      <c r="BK682" s="46">
        <v>1966</v>
      </c>
      <c r="BL682" s="46" t="str">
        <f>BK682&amp;BI682</f>
        <v>1966Everton</v>
      </c>
      <c r="BM682" s="52" t="str">
        <f>IF(AD682="Home",BI682,IF(AD682="Away",BJ682,Q682))</f>
        <v>London</v>
      </c>
      <c r="BN682" s="46"/>
      <c r="BO682" s="46"/>
      <c r="BP682" s="46"/>
      <c r="BQ682" s="46"/>
      <c r="BR682" s="46"/>
      <c r="BS682" s="46"/>
      <c r="BT682" s="46"/>
      <c r="BU682" s="46"/>
      <c r="BV682" s="46" t="s">
        <v>376</v>
      </c>
      <c r="BW682" s="46" t="s">
        <v>376</v>
      </c>
      <c r="BX682" s="46"/>
      <c r="BZ682" s="53"/>
      <c r="CA682" s="53"/>
      <c r="CB682" s="93" t="str">
        <f>IF(OR(C682="",A682="",B682=""),"",TEXT(C682,"0000")&amp;TEXT(A682,"00")&amp;TEXT(B682,"00"))</f>
        <v>19660514</v>
      </c>
    </row>
    <row r="683" spans="1:80" s="52" customFormat="1" ht="12.95" customHeight="1" x14ac:dyDescent="0.2">
      <c r="A683" s="46">
        <v>5</v>
      </c>
      <c r="B683" s="46">
        <v>14</v>
      </c>
      <c r="C683" s="46">
        <v>1966</v>
      </c>
      <c r="D683" s="46" t="s">
        <v>658</v>
      </c>
      <c r="E683" s="46" t="s">
        <v>566</v>
      </c>
      <c r="F683" s="47" t="s">
        <v>1010</v>
      </c>
      <c r="G683" s="46"/>
      <c r="H683" s="47" t="s">
        <v>1025</v>
      </c>
      <c r="I683" s="47"/>
      <c r="J683" s="48">
        <v>24241</v>
      </c>
      <c r="K683" s="46" t="s">
        <v>1093</v>
      </c>
      <c r="L683" s="46" t="s">
        <v>4</v>
      </c>
      <c r="M683" s="46" t="s">
        <v>804</v>
      </c>
      <c r="N683" s="49">
        <v>2</v>
      </c>
      <c r="O683" s="49">
        <v>3</v>
      </c>
      <c r="P683" s="47" t="s">
        <v>1268</v>
      </c>
      <c r="Q683" s="47" t="s">
        <v>1017</v>
      </c>
      <c r="R683" s="47" t="s">
        <v>376</v>
      </c>
      <c r="S683" s="46"/>
      <c r="T683" s="46"/>
      <c r="U683" s="46"/>
      <c r="V683" s="46"/>
      <c r="W683" s="46"/>
      <c r="X683" s="46"/>
      <c r="Y683" s="46"/>
      <c r="Z683" s="46"/>
      <c r="AA683" s="46"/>
      <c r="AB683" s="46"/>
      <c r="AC683" s="46"/>
      <c r="AD683" s="46"/>
      <c r="AE683" s="50">
        <f>IF(L683="W",1,0)</f>
        <v>0</v>
      </c>
      <c r="AF683" s="50">
        <f>IF(L683="T",1,0)</f>
        <v>0</v>
      </c>
      <c r="AG683" s="50">
        <f>IF(L683="L",1,0)</f>
        <v>1</v>
      </c>
      <c r="AH683" s="46" t="s">
        <v>1097</v>
      </c>
      <c r="AI683" s="46" t="s">
        <v>1098</v>
      </c>
      <c r="AJ683" s="46" t="s">
        <v>376</v>
      </c>
      <c r="AK683" s="46" t="s">
        <v>658</v>
      </c>
      <c r="AL683" s="46" t="s">
        <v>588</v>
      </c>
      <c r="AM683" s="46" t="s">
        <v>1175</v>
      </c>
      <c r="AN683" s="46" t="s">
        <v>376</v>
      </c>
      <c r="AO683" s="46" t="s">
        <v>658</v>
      </c>
      <c r="AP683" s="46"/>
      <c r="AQ683" s="46">
        <v>1</v>
      </c>
      <c r="AR683" s="46"/>
      <c r="AS683" s="46"/>
      <c r="AT683" s="46"/>
      <c r="AU683" s="46" t="s">
        <v>376</v>
      </c>
      <c r="AV683" s="46"/>
      <c r="AW683" s="46" t="s">
        <v>30</v>
      </c>
      <c r="AX683" s="46"/>
      <c r="AY683" s="46" t="s">
        <v>30</v>
      </c>
      <c r="AZ683" s="46"/>
      <c r="BA683" s="47"/>
      <c r="BB683" s="51"/>
      <c r="BC683" s="46" t="s">
        <v>30</v>
      </c>
      <c r="BD683" s="46"/>
      <c r="BE683" s="46"/>
      <c r="BF683" s="46">
        <v>1</v>
      </c>
      <c r="BG683" s="46">
        <v>1</v>
      </c>
      <c r="BH683" s="46">
        <v>1</v>
      </c>
      <c r="BI683" s="46" t="s">
        <v>1093</v>
      </c>
      <c r="BJ683" s="46" t="s">
        <v>804</v>
      </c>
      <c r="BK683" s="46">
        <v>1966</v>
      </c>
      <c r="BL683" s="46" t="str">
        <f>BK683&amp;BI683</f>
        <v>1966Sheffield Wednesday</v>
      </c>
      <c r="BM683" s="52" t="str">
        <f>IF(AD683="Home",BI683,IF(AD683="Away",BJ683,Q683))</f>
        <v>London</v>
      </c>
      <c r="BN683" s="46"/>
      <c r="BO683" s="46"/>
      <c r="BP683" s="46"/>
      <c r="BQ683" s="46"/>
      <c r="BR683" s="46"/>
      <c r="BS683" s="46"/>
      <c r="BT683" s="46"/>
      <c r="BU683" s="46"/>
      <c r="BV683" s="46" t="s">
        <v>376</v>
      </c>
      <c r="BW683" s="46" t="s">
        <v>376</v>
      </c>
      <c r="BX683" s="46"/>
      <c r="BZ683" s="53"/>
      <c r="CA683" s="53"/>
      <c r="CB683" s="93" t="str">
        <f>IF(OR(C683="",A683="",B683=""),"",TEXT(C683,"0000")&amp;TEXT(A683,"00")&amp;TEXT(B683,"00"))</f>
        <v>19660514</v>
      </c>
    </row>
    <row r="684" spans="1:80" s="52" customFormat="1" ht="12.95" customHeight="1" x14ac:dyDescent="0.2">
      <c r="A684" s="46">
        <v>1</v>
      </c>
      <c r="B684" s="46">
        <v>17</v>
      </c>
      <c r="C684" s="46">
        <v>1967</v>
      </c>
      <c r="D684" s="46" t="s">
        <v>658</v>
      </c>
      <c r="E684" s="46" t="s">
        <v>564</v>
      </c>
      <c r="F684" s="54" t="s">
        <v>1327</v>
      </c>
      <c r="G684" s="46"/>
      <c r="H684" s="54" t="s">
        <v>1011</v>
      </c>
      <c r="I684" s="54">
        <v>1</v>
      </c>
      <c r="J684" s="55">
        <v>24489</v>
      </c>
      <c r="K684" s="46" t="s">
        <v>1125</v>
      </c>
      <c r="L684" s="46" t="s">
        <v>4</v>
      </c>
      <c r="M684" s="46" t="s">
        <v>1349</v>
      </c>
      <c r="N684" s="49">
        <v>1</v>
      </c>
      <c r="O684" s="49">
        <v>4</v>
      </c>
      <c r="P684" s="54" t="s">
        <v>1232</v>
      </c>
      <c r="Q684" s="54" t="s">
        <v>1111</v>
      </c>
      <c r="R684" s="54" t="s">
        <v>376</v>
      </c>
      <c r="S684" s="46"/>
      <c r="T684" s="46"/>
      <c r="U684" s="46"/>
      <c r="V684" s="46"/>
      <c r="W684" s="46"/>
      <c r="X684" s="46"/>
      <c r="Y684" s="46"/>
      <c r="Z684" s="46"/>
      <c r="AA684" s="46"/>
      <c r="AB684" s="46"/>
      <c r="AC684" s="46"/>
      <c r="AD684" s="46" t="s">
        <v>1033</v>
      </c>
      <c r="AE684" s="50">
        <f>IF(L684="W",1,0)</f>
        <v>0</v>
      </c>
      <c r="AF684" s="50">
        <f>IF(L684="T",1,0)</f>
        <v>0</v>
      </c>
      <c r="AG684" s="50">
        <f>IF(L684="L",1,0)</f>
        <v>1</v>
      </c>
      <c r="AH684" s="46"/>
      <c r="AI684" s="46"/>
      <c r="AJ684" s="46" t="s">
        <v>376</v>
      </c>
      <c r="AK684" s="46" t="s">
        <v>658</v>
      </c>
      <c r="AL684" s="46"/>
      <c r="AM684" s="46"/>
      <c r="AN684" s="46" t="s">
        <v>376</v>
      </c>
      <c r="AO684" s="46" t="s">
        <v>658</v>
      </c>
      <c r="AP684" s="46"/>
      <c r="AQ684" s="46">
        <v>2</v>
      </c>
      <c r="AR684" s="46"/>
      <c r="AS684" s="46"/>
      <c r="AT684" s="46"/>
      <c r="AU684" s="46" t="s">
        <v>376</v>
      </c>
      <c r="AV684" s="46"/>
      <c r="AW684" s="46" t="s">
        <v>30</v>
      </c>
      <c r="AX684" s="46"/>
      <c r="AY684" s="46"/>
      <c r="AZ684" s="46" t="s">
        <v>30</v>
      </c>
      <c r="BA684" s="54"/>
      <c r="BB684" s="51"/>
      <c r="BC684" s="46"/>
      <c r="BD684" s="46"/>
      <c r="BE684" s="46"/>
      <c r="BF684" s="46">
        <v>1</v>
      </c>
      <c r="BG684" s="46">
        <v>2</v>
      </c>
      <c r="BH684" s="46">
        <v>3</v>
      </c>
      <c r="BI684" s="46" t="s">
        <v>1125</v>
      </c>
      <c r="BJ684" s="46" t="s">
        <v>1349</v>
      </c>
      <c r="BK684" s="46">
        <v>1967</v>
      </c>
      <c r="BL684" s="46" t="str">
        <f>BK684&amp;BI684</f>
        <v>1967Birmingham City</v>
      </c>
      <c r="BM684" s="52" t="str">
        <f>IF(AD684="Home",BI684,IF(AD684="Away",BJ684,Q684))</f>
        <v>Birmingham City</v>
      </c>
      <c r="BN684" s="46"/>
      <c r="BO684" s="46"/>
      <c r="BP684" s="46"/>
      <c r="BQ684" s="46"/>
      <c r="BR684" s="46"/>
      <c r="BS684" s="46"/>
      <c r="BT684" s="46"/>
      <c r="BU684" s="46"/>
      <c r="BV684" s="46" t="s">
        <v>376</v>
      </c>
      <c r="BW684" s="46" t="s">
        <v>376</v>
      </c>
      <c r="BX684" s="46"/>
      <c r="BZ684" s="53"/>
      <c r="CA684" s="53"/>
      <c r="CB684" s="93" t="str">
        <f>IF(OR(C684="",A684="",B684=""),"",TEXT(C684,"0000")&amp;TEXT(A684,"00")&amp;TEXT(B684,"00"))</f>
        <v>19670117</v>
      </c>
    </row>
    <row r="685" spans="1:80" s="52" customFormat="1" ht="12.95" customHeight="1" x14ac:dyDescent="0.2">
      <c r="A685" s="46">
        <v>1</v>
      </c>
      <c r="B685" s="46">
        <v>17</v>
      </c>
      <c r="C685" s="46">
        <v>1967</v>
      </c>
      <c r="D685" s="46" t="s">
        <v>658</v>
      </c>
      <c r="E685" s="46" t="s">
        <v>564</v>
      </c>
      <c r="F685" s="54" t="s">
        <v>1327</v>
      </c>
      <c r="G685" s="46"/>
      <c r="H685" s="54" t="s">
        <v>1011</v>
      </c>
      <c r="I685" s="54">
        <v>1</v>
      </c>
      <c r="J685" s="55">
        <v>24489</v>
      </c>
      <c r="K685" s="46" t="s">
        <v>1349</v>
      </c>
      <c r="L685" s="46" t="s">
        <v>3</v>
      </c>
      <c r="M685" s="46" t="s">
        <v>1125</v>
      </c>
      <c r="N685" s="49">
        <v>4</v>
      </c>
      <c r="O685" s="49">
        <v>1</v>
      </c>
      <c r="P685" s="54" t="s">
        <v>1232</v>
      </c>
      <c r="Q685" s="54" t="s">
        <v>1111</v>
      </c>
      <c r="R685" s="54" t="s">
        <v>376</v>
      </c>
      <c r="S685" s="46"/>
      <c r="T685" s="46"/>
      <c r="U685" s="46"/>
      <c r="V685" s="46"/>
      <c r="W685" s="46"/>
      <c r="X685" s="46"/>
      <c r="Y685" s="46"/>
      <c r="Z685" s="46"/>
      <c r="AA685" s="46"/>
      <c r="AB685" s="46"/>
      <c r="AC685" s="46"/>
      <c r="AD685" s="46" t="s">
        <v>1037</v>
      </c>
      <c r="AE685" s="50">
        <f>IF(L685="W",1,0)</f>
        <v>1</v>
      </c>
      <c r="AF685" s="50">
        <f>IF(L685="T",1,0)</f>
        <v>0</v>
      </c>
      <c r="AG685" s="50">
        <f>IF(L685="L",1,0)</f>
        <v>0</v>
      </c>
      <c r="AH685" s="46"/>
      <c r="AI685" s="46"/>
      <c r="AJ685" s="46" t="s">
        <v>376</v>
      </c>
      <c r="AK685" s="46" t="s">
        <v>658</v>
      </c>
      <c r="AL685" s="46"/>
      <c r="AM685" s="46"/>
      <c r="AN685" s="46" t="s">
        <v>376</v>
      </c>
      <c r="AO685" s="46" t="s">
        <v>658</v>
      </c>
      <c r="AP685" s="46"/>
      <c r="AQ685" s="46">
        <v>2</v>
      </c>
      <c r="AR685" s="46"/>
      <c r="AS685" s="46"/>
      <c r="AT685" s="46"/>
      <c r="AU685" s="46" t="s">
        <v>376</v>
      </c>
      <c r="AV685" s="46"/>
      <c r="AW685" s="46" t="s">
        <v>30</v>
      </c>
      <c r="AX685" s="46"/>
      <c r="AY685" s="46"/>
      <c r="AZ685" s="46" t="s">
        <v>30</v>
      </c>
      <c r="BA685" s="54"/>
      <c r="BB685" s="51"/>
      <c r="BC685" s="46"/>
      <c r="BD685" s="46"/>
      <c r="BE685" s="46"/>
      <c r="BF685" s="46">
        <v>1</v>
      </c>
      <c r="BG685" s="46">
        <v>3</v>
      </c>
      <c r="BH685" s="46">
        <v>2</v>
      </c>
      <c r="BI685" s="46" t="s">
        <v>1349</v>
      </c>
      <c r="BJ685" s="46" t="s">
        <v>1125</v>
      </c>
      <c r="BK685" s="46">
        <v>1967</v>
      </c>
      <c r="BL685" s="46" t="str">
        <f>BK685&amp;BI685</f>
        <v>1967Queens Park Rangers</v>
      </c>
      <c r="BM685" s="52" t="str">
        <f>IF(AD685="Home",BI685,IF(AD685="Away",BJ685,Q685))</f>
        <v>Birmingham City</v>
      </c>
      <c r="BN685" s="46"/>
      <c r="BO685" s="46"/>
      <c r="BP685" s="46"/>
      <c r="BQ685" s="46"/>
      <c r="BR685" s="46"/>
      <c r="BS685" s="46"/>
      <c r="BT685" s="46"/>
      <c r="BU685" s="46"/>
      <c r="BV685" s="46" t="s">
        <v>376</v>
      </c>
      <c r="BW685" s="46" t="s">
        <v>376</v>
      </c>
      <c r="BX685" s="46"/>
      <c r="BZ685" s="53"/>
      <c r="CA685" s="53"/>
      <c r="CB685" s="93" t="str">
        <f>IF(OR(C685="",A685="",B685=""),"",TEXT(C685,"0000")&amp;TEXT(A685,"00")&amp;TEXT(B685,"00"))</f>
        <v>19670117</v>
      </c>
    </row>
    <row r="686" spans="1:80" s="52" customFormat="1" ht="12.95" customHeight="1" x14ac:dyDescent="0.2">
      <c r="A686" s="46">
        <v>1</v>
      </c>
      <c r="B686" s="46">
        <v>18</v>
      </c>
      <c r="C686" s="46">
        <v>1967</v>
      </c>
      <c r="D686" s="46" t="s">
        <v>658</v>
      </c>
      <c r="E686" s="46" t="s">
        <v>564</v>
      </c>
      <c r="F686" s="54" t="s">
        <v>1327</v>
      </c>
      <c r="G686" s="46"/>
      <c r="H686" s="54" t="s">
        <v>1011</v>
      </c>
      <c r="I686" s="54">
        <v>1</v>
      </c>
      <c r="J686" s="55">
        <v>24490</v>
      </c>
      <c r="K686" s="46" t="s">
        <v>1124</v>
      </c>
      <c r="L686" s="46" t="s">
        <v>3</v>
      </c>
      <c r="M686" s="46" t="s">
        <v>803</v>
      </c>
      <c r="N686" s="49">
        <v>4</v>
      </c>
      <c r="O686" s="49">
        <v>0</v>
      </c>
      <c r="P686" s="54" t="s">
        <v>1221</v>
      </c>
      <c r="Q686" s="54" t="s">
        <v>1111</v>
      </c>
      <c r="R686" s="54" t="s">
        <v>376</v>
      </c>
      <c r="S686" s="46"/>
      <c r="T686" s="46"/>
      <c r="U686" s="46"/>
      <c r="V686" s="46"/>
      <c r="W686" s="46"/>
      <c r="X686" s="46"/>
      <c r="Y686" s="46"/>
      <c r="Z686" s="46"/>
      <c r="AA686" s="46"/>
      <c r="AB686" s="46"/>
      <c r="AC686" s="46"/>
      <c r="AD686" s="46" t="s">
        <v>1033</v>
      </c>
      <c r="AE686" s="50">
        <f>IF(L686="W",1,0)</f>
        <v>1</v>
      </c>
      <c r="AF686" s="50">
        <f>IF(L686="T",1,0)</f>
        <v>0</v>
      </c>
      <c r="AG686" s="50">
        <f>IF(L686="L",1,0)</f>
        <v>0</v>
      </c>
      <c r="AH686" s="46"/>
      <c r="AI686" s="46"/>
      <c r="AJ686" s="46" t="s">
        <v>376</v>
      </c>
      <c r="AK686" s="46" t="s">
        <v>658</v>
      </c>
      <c r="AL686" s="46"/>
      <c r="AM686" s="46"/>
      <c r="AN686" s="46" t="s">
        <v>376</v>
      </c>
      <c r="AO686" s="46" t="s">
        <v>658</v>
      </c>
      <c r="AP686" s="46"/>
      <c r="AQ686" s="46">
        <v>2</v>
      </c>
      <c r="AR686" s="46"/>
      <c r="AS686" s="46"/>
      <c r="AT686" s="46"/>
      <c r="AU686" s="46" t="s">
        <v>376</v>
      </c>
      <c r="AV686" s="46"/>
      <c r="AW686" s="46" t="s">
        <v>30</v>
      </c>
      <c r="AX686" s="46"/>
      <c r="AY686" s="46"/>
      <c r="AZ686" s="46" t="s">
        <v>30</v>
      </c>
      <c r="BA686" s="54"/>
      <c r="BB686" s="51"/>
      <c r="BC686" s="46"/>
      <c r="BD686" s="46"/>
      <c r="BE686" s="46"/>
      <c r="BF686" s="46">
        <v>1</v>
      </c>
      <c r="BG686" s="46">
        <v>1</v>
      </c>
      <c r="BH686" s="46">
        <v>1</v>
      </c>
      <c r="BI686" s="46" t="s">
        <v>1124</v>
      </c>
      <c r="BJ686" s="46" t="s">
        <v>803</v>
      </c>
      <c r="BK686" s="46">
        <v>1967</v>
      </c>
      <c r="BL686" s="46" t="str">
        <f>BK686&amp;BI686</f>
        <v>1967West Bromwich Albion</v>
      </c>
      <c r="BM686" s="52" t="str">
        <f>IF(AD686="Home",BI686,IF(AD686="Away",BJ686,Q686))</f>
        <v>West Bromwich Albion</v>
      </c>
      <c r="BN686" s="46"/>
      <c r="BO686" s="46"/>
      <c r="BP686" s="46"/>
      <c r="BQ686" s="46"/>
      <c r="BR686" s="46"/>
      <c r="BS686" s="46"/>
      <c r="BT686" s="46"/>
      <c r="BU686" s="46"/>
      <c r="BV686" s="46" t="s">
        <v>376</v>
      </c>
      <c r="BW686" s="46" t="s">
        <v>376</v>
      </c>
      <c r="BX686" s="46"/>
      <c r="BZ686" s="53"/>
      <c r="CA686" s="53"/>
      <c r="CB686" s="93" t="str">
        <f>IF(OR(C686="",A686="",B686=""),"",TEXT(C686,"0000")&amp;TEXT(A686,"00")&amp;TEXT(B686,"00"))</f>
        <v>19670118</v>
      </c>
    </row>
    <row r="687" spans="1:80" s="52" customFormat="1" ht="12.95" customHeight="1" x14ac:dyDescent="0.2">
      <c r="A687" s="46">
        <v>1</v>
      </c>
      <c r="B687" s="46">
        <v>18</v>
      </c>
      <c r="C687" s="46">
        <v>1967</v>
      </c>
      <c r="D687" s="46" t="s">
        <v>658</v>
      </c>
      <c r="E687" s="46" t="s">
        <v>564</v>
      </c>
      <c r="F687" s="54" t="s">
        <v>1327</v>
      </c>
      <c r="G687" s="46"/>
      <c r="H687" s="54" t="s">
        <v>1011</v>
      </c>
      <c r="I687" s="54">
        <v>1</v>
      </c>
      <c r="J687" s="55">
        <v>24490</v>
      </c>
      <c r="K687" s="46" t="s">
        <v>803</v>
      </c>
      <c r="L687" s="46" t="s">
        <v>4</v>
      </c>
      <c r="M687" s="46" t="s">
        <v>1124</v>
      </c>
      <c r="N687" s="49">
        <v>0</v>
      </c>
      <c r="O687" s="49">
        <v>4</v>
      </c>
      <c r="P687" s="54" t="s">
        <v>1221</v>
      </c>
      <c r="Q687" s="54" t="s">
        <v>1111</v>
      </c>
      <c r="R687" s="54" t="s">
        <v>376</v>
      </c>
      <c r="S687" s="46"/>
      <c r="T687" s="46"/>
      <c r="U687" s="46"/>
      <c r="V687" s="46"/>
      <c r="W687" s="46"/>
      <c r="X687" s="46"/>
      <c r="Y687" s="46"/>
      <c r="Z687" s="46"/>
      <c r="AA687" s="46"/>
      <c r="AB687" s="46"/>
      <c r="AC687" s="46"/>
      <c r="AD687" s="46" t="s">
        <v>1037</v>
      </c>
      <c r="AE687" s="50">
        <f>IF(L687="W",1,0)</f>
        <v>0</v>
      </c>
      <c r="AF687" s="50">
        <f>IF(L687="T",1,0)</f>
        <v>0</v>
      </c>
      <c r="AG687" s="50">
        <f>IF(L687="L",1,0)</f>
        <v>1</v>
      </c>
      <c r="AH687" s="46"/>
      <c r="AI687" s="46"/>
      <c r="AJ687" s="46" t="s">
        <v>376</v>
      </c>
      <c r="AK687" s="46" t="s">
        <v>658</v>
      </c>
      <c r="AL687" s="46"/>
      <c r="AM687" s="46"/>
      <c r="AN687" s="46" t="s">
        <v>376</v>
      </c>
      <c r="AO687" s="46" t="s">
        <v>658</v>
      </c>
      <c r="AP687" s="46"/>
      <c r="AQ687" s="46">
        <v>2</v>
      </c>
      <c r="AR687" s="46"/>
      <c r="AS687" s="46"/>
      <c r="AT687" s="46"/>
      <c r="AU687" s="46" t="s">
        <v>376</v>
      </c>
      <c r="AV687" s="46"/>
      <c r="AW687" s="46" t="s">
        <v>30</v>
      </c>
      <c r="AX687" s="46"/>
      <c r="AY687" s="46"/>
      <c r="AZ687" s="46" t="s">
        <v>30</v>
      </c>
      <c r="BA687" s="54"/>
      <c r="BB687" s="51"/>
      <c r="BC687" s="46"/>
      <c r="BD687" s="46"/>
      <c r="BE687" s="46"/>
      <c r="BF687" s="46">
        <v>1</v>
      </c>
      <c r="BG687" s="46">
        <v>1</v>
      </c>
      <c r="BH687" s="46">
        <v>1</v>
      </c>
      <c r="BI687" s="46" t="s">
        <v>803</v>
      </c>
      <c r="BJ687" s="46" t="s">
        <v>1124</v>
      </c>
      <c r="BK687" s="46">
        <v>1967</v>
      </c>
      <c r="BL687" s="46" t="str">
        <f>BK687&amp;BI687</f>
        <v>1967West Ham United</v>
      </c>
      <c r="BM687" s="52" t="str">
        <f>IF(AD687="Home",BI687,IF(AD687="Away",BJ687,Q687))</f>
        <v>West Bromwich Albion</v>
      </c>
      <c r="BN687" s="46"/>
      <c r="BO687" s="46"/>
      <c r="BP687" s="46"/>
      <c r="BQ687" s="46"/>
      <c r="BR687" s="46"/>
      <c r="BS687" s="46"/>
      <c r="BT687" s="46"/>
      <c r="BU687" s="46"/>
      <c r="BV687" s="46" t="s">
        <v>376</v>
      </c>
      <c r="BW687" s="46" t="s">
        <v>376</v>
      </c>
      <c r="BX687" s="46"/>
      <c r="BZ687" s="53"/>
      <c r="CA687" s="53"/>
      <c r="CB687" s="93" t="str">
        <f>IF(OR(C687="",A687="",B687=""),"",TEXT(C687,"0000")&amp;TEXT(A687,"00")&amp;TEXT(B687,"00"))</f>
        <v>19670118</v>
      </c>
    </row>
    <row r="688" spans="1:80" s="52" customFormat="1" ht="12.95" customHeight="1" x14ac:dyDescent="0.2">
      <c r="A688" s="46">
        <v>2</v>
      </c>
      <c r="B688" s="46">
        <v>7</v>
      </c>
      <c r="C688" s="46">
        <v>1967</v>
      </c>
      <c r="D688" s="46" t="s">
        <v>658</v>
      </c>
      <c r="E688" s="46" t="s">
        <v>564</v>
      </c>
      <c r="F688" s="54" t="s">
        <v>1327</v>
      </c>
      <c r="G688" s="46"/>
      <c r="H688" s="54" t="s">
        <v>1011</v>
      </c>
      <c r="I688" s="54">
        <v>2</v>
      </c>
      <c r="J688" s="55">
        <v>24510</v>
      </c>
      <c r="K688" s="46" t="s">
        <v>1349</v>
      </c>
      <c r="L688" s="46" t="s">
        <v>3</v>
      </c>
      <c r="M688" s="46" t="s">
        <v>1125</v>
      </c>
      <c r="N688" s="49">
        <v>3</v>
      </c>
      <c r="O688" s="49">
        <v>1</v>
      </c>
      <c r="P688" s="54" t="s">
        <v>1350</v>
      </c>
      <c r="Q688" s="54" t="s">
        <v>1017</v>
      </c>
      <c r="R688" s="54" t="s">
        <v>376</v>
      </c>
      <c r="S688" s="46"/>
      <c r="T688" s="46"/>
      <c r="U688" s="46"/>
      <c r="V688" s="46"/>
      <c r="W688" s="46"/>
      <c r="X688" s="46"/>
      <c r="Y688" s="46"/>
      <c r="Z688" s="46"/>
      <c r="AA688" s="46"/>
      <c r="AB688" s="46"/>
      <c r="AC688" s="46"/>
      <c r="AD688" s="46" t="s">
        <v>1033</v>
      </c>
      <c r="AE688" s="50">
        <f>IF(L688="W",1,0)</f>
        <v>1</v>
      </c>
      <c r="AF688" s="50">
        <f>IF(L688="T",1,0)</f>
        <v>0</v>
      </c>
      <c r="AG688" s="50">
        <f>IF(L688="L",1,0)</f>
        <v>0</v>
      </c>
      <c r="AH688" s="46"/>
      <c r="AI688" s="46"/>
      <c r="AJ688" s="46" t="s">
        <v>376</v>
      </c>
      <c r="AK688" s="46" t="s">
        <v>658</v>
      </c>
      <c r="AL688" s="46"/>
      <c r="AM688" s="46"/>
      <c r="AN688" s="46" t="s">
        <v>376</v>
      </c>
      <c r="AO688" s="46" t="s">
        <v>658</v>
      </c>
      <c r="AP688" s="46"/>
      <c r="AQ688" s="46">
        <v>2</v>
      </c>
      <c r="AR688" s="46"/>
      <c r="AS688" s="46"/>
      <c r="AT688" s="46"/>
      <c r="AU688" s="46" t="s">
        <v>376</v>
      </c>
      <c r="AV688" s="46"/>
      <c r="AW688" s="46" t="s">
        <v>30</v>
      </c>
      <c r="AX688" s="46"/>
      <c r="AY688" s="46"/>
      <c r="AZ688" s="46" t="s">
        <v>30</v>
      </c>
      <c r="BA688" s="54"/>
      <c r="BB688" s="51"/>
      <c r="BC688" s="46"/>
      <c r="BD688" s="46"/>
      <c r="BE688" s="46"/>
      <c r="BF688" s="46">
        <v>1</v>
      </c>
      <c r="BG688" s="46">
        <v>3</v>
      </c>
      <c r="BH688" s="46">
        <v>2</v>
      </c>
      <c r="BI688" s="46" t="s">
        <v>1349</v>
      </c>
      <c r="BJ688" s="46" t="s">
        <v>1125</v>
      </c>
      <c r="BK688" s="46">
        <v>1967</v>
      </c>
      <c r="BL688" s="46" t="str">
        <f>BK688&amp;BI688</f>
        <v>1967Queens Park Rangers</v>
      </c>
      <c r="BM688" s="52" t="str">
        <f>IF(AD688="Home",BI688,IF(AD688="Away",BJ688,Q688))</f>
        <v>Queens Park Rangers</v>
      </c>
      <c r="BN688" s="46"/>
      <c r="BO688" s="46"/>
      <c r="BP688" s="46"/>
      <c r="BQ688" s="46"/>
      <c r="BR688" s="46"/>
      <c r="BS688" s="46"/>
      <c r="BT688" s="46"/>
      <c r="BU688" s="46"/>
      <c r="BV688" s="46" t="s">
        <v>376</v>
      </c>
      <c r="BW688" s="46" t="s">
        <v>376</v>
      </c>
      <c r="BX688" s="46"/>
      <c r="BZ688" s="53"/>
      <c r="CA688" s="53"/>
      <c r="CB688" s="93" t="str">
        <f>IF(OR(C688="",A688="",B688=""),"",TEXT(C688,"0000")&amp;TEXT(A688,"00")&amp;TEXT(B688,"00"))</f>
        <v>19670207</v>
      </c>
    </row>
    <row r="689" spans="1:80" s="52" customFormat="1" ht="12.95" customHeight="1" x14ac:dyDescent="0.2">
      <c r="A689" s="46">
        <v>2</v>
      </c>
      <c r="B689" s="46">
        <v>7</v>
      </c>
      <c r="C689" s="46">
        <v>1967</v>
      </c>
      <c r="D689" s="46" t="s">
        <v>658</v>
      </c>
      <c r="E689" s="46" t="s">
        <v>564</v>
      </c>
      <c r="F689" s="54" t="s">
        <v>1327</v>
      </c>
      <c r="G689" s="46"/>
      <c r="H689" s="54" t="s">
        <v>1011</v>
      </c>
      <c r="I689" s="54">
        <v>2</v>
      </c>
      <c r="J689" s="55">
        <v>24510</v>
      </c>
      <c r="K689" s="46" t="s">
        <v>1125</v>
      </c>
      <c r="L689" s="46" t="s">
        <v>4</v>
      </c>
      <c r="M689" s="46" t="s">
        <v>1349</v>
      </c>
      <c r="N689" s="49">
        <v>1</v>
      </c>
      <c r="O689" s="49">
        <v>3</v>
      </c>
      <c r="P689" s="54" t="s">
        <v>1350</v>
      </c>
      <c r="Q689" s="54" t="s">
        <v>1017</v>
      </c>
      <c r="R689" s="54" t="s">
        <v>376</v>
      </c>
      <c r="S689" s="46"/>
      <c r="T689" s="46"/>
      <c r="U689" s="46"/>
      <c r="V689" s="46"/>
      <c r="W689" s="46"/>
      <c r="X689" s="46"/>
      <c r="Y689" s="46"/>
      <c r="Z689" s="46"/>
      <c r="AA689" s="46"/>
      <c r="AB689" s="46"/>
      <c r="AC689" s="46"/>
      <c r="AD689" s="46" t="s">
        <v>1037</v>
      </c>
      <c r="AE689" s="50">
        <f>IF(L689="W",1,0)</f>
        <v>0</v>
      </c>
      <c r="AF689" s="50">
        <f>IF(L689="T",1,0)</f>
        <v>0</v>
      </c>
      <c r="AG689" s="50">
        <f>IF(L689="L",1,0)</f>
        <v>1</v>
      </c>
      <c r="AH689" s="46"/>
      <c r="AI689" s="46"/>
      <c r="AJ689" s="46" t="s">
        <v>376</v>
      </c>
      <c r="AK689" s="46" t="s">
        <v>658</v>
      </c>
      <c r="AL689" s="46"/>
      <c r="AM689" s="46"/>
      <c r="AN689" s="46" t="s">
        <v>376</v>
      </c>
      <c r="AO689" s="46" t="s">
        <v>658</v>
      </c>
      <c r="AP689" s="46"/>
      <c r="AQ689" s="46">
        <v>2</v>
      </c>
      <c r="AR689" s="46"/>
      <c r="AS689" s="46"/>
      <c r="AT689" s="46"/>
      <c r="AU689" s="46" t="s">
        <v>376</v>
      </c>
      <c r="AV689" s="46"/>
      <c r="AW689" s="46" t="s">
        <v>30</v>
      </c>
      <c r="AX689" s="46"/>
      <c r="AY689" s="46"/>
      <c r="AZ689" s="46" t="s">
        <v>30</v>
      </c>
      <c r="BA689" s="54"/>
      <c r="BB689" s="51"/>
      <c r="BC689" s="46"/>
      <c r="BD689" s="46"/>
      <c r="BE689" s="46"/>
      <c r="BF689" s="46">
        <v>1</v>
      </c>
      <c r="BG689" s="46">
        <v>2</v>
      </c>
      <c r="BH689" s="46">
        <v>3</v>
      </c>
      <c r="BI689" s="46" t="s">
        <v>1125</v>
      </c>
      <c r="BJ689" s="46" t="s">
        <v>1349</v>
      </c>
      <c r="BK689" s="46">
        <v>1967</v>
      </c>
      <c r="BL689" s="46" t="str">
        <f>BK689&amp;BI689</f>
        <v>1967Birmingham City</v>
      </c>
      <c r="BM689" s="52" t="str">
        <f>IF(AD689="Home",BI689,IF(AD689="Away",BJ689,Q689))</f>
        <v>Queens Park Rangers</v>
      </c>
      <c r="BN689" s="46"/>
      <c r="BO689" s="46"/>
      <c r="BP689" s="46"/>
      <c r="BQ689" s="46"/>
      <c r="BR689" s="46"/>
      <c r="BS689" s="46"/>
      <c r="BT689" s="46"/>
      <c r="BU689" s="46"/>
      <c r="BV689" s="46" t="s">
        <v>376</v>
      </c>
      <c r="BW689" s="46" t="s">
        <v>376</v>
      </c>
      <c r="BX689" s="46"/>
      <c r="BZ689" s="53"/>
      <c r="CA689" s="53"/>
      <c r="CB689" s="93" t="str">
        <f>IF(OR(C689="",A689="",B689=""),"",TEXT(C689,"0000")&amp;TEXT(A689,"00")&amp;TEXT(B689,"00"))</f>
        <v>19670207</v>
      </c>
    </row>
    <row r="690" spans="1:80" s="52" customFormat="1" ht="12.95" customHeight="1" x14ac:dyDescent="0.2">
      <c r="A690" s="46">
        <v>2</v>
      </c>
      <c r="B690" s="46">
        <v>8</v>
      </c>
      <c r="C690" s="46">
        <v>1967</v>
      </c>
      <c r="D690" s="46" t="s">
        <v>658</v>
      </c>
      <c r="E690" s="46" t="s">
        <v>564</v>
      </c>
      <c r="F690" s="54" t="s">
        <v>1327</v>
      </c>
      <c r="G690" s="46"/>
      <c r="H690" s="54" t="s">
        <v>1011</v>
      </c>
      <c r="I690" s="54">
        <v>2</v>
      </c>
      <c r="J690" s="55">
        <v>24511</v>
      </c>
      <c r="K690" s="46" t="s">
        <v>803</v>
      </c>
      <c r="L690" s="46" t="s">
        <v>1014</v>
      </c>
      <c r="M690" s="46" t="s">
        <v>1124</v>
      </c>
      <c r="N690" s="49">
        <v>2</v>
      </c>
      <c r="O690" s="49">
        <v>2</v>
      </c>
      <c r="P690" s="54" t="s">
        <v>1341</v>
      </c>
      <c r="Q690" s="54" t="s">
        <v>1017</v>
      </c>
      <c r="R690" s="54" t="s">
        <v>376</v>
      </c>
      <c r="S690" s="46"/>
      <c r="T690" s="46"/>
      <c r="U690" s="46"/>
      <c r="V690" s="46"/>
      <c r="W690" s="46"/>
      <c r="X690" s="46"/>
      <c r="Y690" s="46"/>
      <c r="Z690" s="46"/>
      <c r="AA690" s="46"/>
      <c r="AB690" s="46"/>
      <c r="AC690" s="46"/>
      <c r="AD690" s="46" t="s">
        <v>1033</v>
      </c>
      <c r="AE690" s="50">
        <f>IF(L690="W",1,0)</f>
        <v>0</v>
      </c>
      <c r="AF690" s="50">
        <f>IF(L690="T",1,0)</f>
        <v>1</v>
      </c>
      <c r="AG690" s="50">
        <f>IF(L690="L",1,0)</f>
        <v>0</v>
      </c>
      <c r="AH690" s="46"/>
      <c r="AI690" s="46"/>
      <c r="AJ690" s="46" t="s">
        <v>376</v>
      </c>
      <c r="AK690" s="46" t="s">
        <v>658</v>
      </c>
      <c r="AL690" s="46"/>
      <c r="AM690" s="46"/>
      <c r="AN690" s="46" t="s">
        <v>376</v>
      </c>
      <c r="AO690" s="46" t="s">
        <v>658</v>
      </c>
      <c r="AP690" s="46"/>
      <c r="AQ690" s="46">
        <v>2</v>
      </c>
      <c r="AR690" s="46"/>
      <c r="AS690" s="46"/>
      <c r="AT690" s="46"/>
      <c r="AU690" s="46" t="s">
        <v>376</v>
      </c>
      <c r="AV690" s="46"/>
      <c r="AW690" s="46" t="s">
        <v>30</v>
      </c>
      <c r="AX690" s="46"/>
      <c r="AY690" s="46"/>
      <c r="AZ690" s="46" t="s">
        <v>30</v>
      </c>
      <c r="BA690" s="54"/>
      <c r="BB690" s="51"/>
      <c r="BC690" s="46"/>
      <c r="BD690" s="46"/>
      <c r="BE690" s="46"/>
      <c r="BF690" s="46">
        <v>1</v>
      </c>
      <c r="BG690" s="46">
        <v>1</v>
      </c>
      <c r="BH690" s="46">
        <v>1</v>
      </c>
      <c r="BI690" s="46" t="s">
        <v>803</v>
      </c>
      <c r="BJ690" s="46" t="s">
        <v>1124</v>
      </c>
      <c r="BK690" s="46">
        <v>1967</v>
      </c>
      <c r="BL690" s="46" t="str">
        <f>BK690&amp;BI690</f>
        <v>1967West Ham United</v>
      </c>
      <c r="BM690" s="52" t="str">
        <f>IF(AD690="Home",BI690,IF(AD690="Away",BJ690,Q690))</f>
        <v>West Ham United</v>
      </c>
      <c r="BN690" s="46"/>
      <c r="BO690" s="46"/>
      <c r="BP690" s="46"/>
      <c r="BQ690" s="46"/>
      <c r="BR690" s="46"/>
      <c r="BS690" s="46"/>
      <c r="BT690" s="46"/>
      <c r="BU690" s="46"/>
      <c r="BV690" s="46" t="s">
        <v>376</v>
      </c>
      <c r="BW690" s="46" t="s">
        <v>376</v>
      </c>
      <c r="BX690" s="46"/>
      <c r="BZ690" s="53"/>
      <c r="CA690" s="53"/>
      <c r="CB690" s="93" t="str">
        <f>IF(OR(C690="",A690="",B690=""),"",TEXT(C690,"0000")&amp;TEXT(A690,"00")&amp;TEXT(B690,"00"))</f>
        <v>19670208</v>
      </c>
    </row>
    <row r="691" spans="1:80" s="52" customFormat="1" ht="12.95" customHeight="1" x14ac:dyDescent="0.2">
      <c r="A691" s="46">
        <v>2</v>
      </c>
      <c r="B691" s="46">
        <v>8</v>
      </c>
      <c r="C691" s="46">
        <v>1967</v>
      </c>
      <c r="D691" s="46" t="s">
        <v>658</v>
      </c>
      <c r="E691" s="46" t="s">
        <v>564</v>
      </c>
      <c r="F691" s="54" t="s">
        <v>1327</v>
      </c>
      <c r="G691" s="46"/>
      <c r="H691" s="54" t="s">
        <v>1011</v>
      </c>
      <c r="I691" s="54">
        <v>2</v>
      </c>
      <c r="J691" s="55">
        <v>24511</v>
      </c>
      <c r="K691" s="46" t="s">
        <v>1124</v>
      </c>
      <c r="L691" s="46" t="s">
        <v>1014</v>
      </c>
      <c r="M691" s="46" t="s">
        <v>803</v>
      </c>
      <c r="N691" s="49">
        <v>2</v>
      </c>
      <c r="O691" s="49">
        <v>2</v>
      </c>
      <c r="P691" s="54" t="s">
        <v>1341</v>
      </c>
      <c r="Q691" s="54" t="s">
        <v>1017</v>
      </c>
      <c r="R691" s="54" t="s">
        <v>376</v>
      </c>
      <c r="S691" s="46"/>
      <c r="T691" s="46"/>
      <c r="U691" s="46"/>
      <c r="V691" s="46"/>
      <c r="W691" s="46"/>
      <c r="X691" s="46"/>
      <c r="Y691" s="46"/>
      <c r="Z691" s="46"/>
      <c r="AA691" s="46"/>
      <c r="AB691" s="46"/>
      <c r="AC691" s="46"/>
      <c r="AD691" s="46" t="s">
        <v>1037</v>
      </c>
      <c r="AE691" s="50">
        <f>IF(L691="W",1,0)</f>
        <v>0</v>
      </c>
      <c r="AF691" s="50">
        <f>IF(L691="T",1,0)</f>
        <v>1</v>
      </c>
      <c r="AG691" s="50">
        <f>IF(L691="L",1,0)</f>
        <v>0</v>
      </c>
      <c r="AH691" s="46"/>
      <c r="AI691" s="46"/>
      <c r="AJ691" s="46" t="s">
        <v>376</v>
      </c>
      <c r="AK691" s="46" t="s">
        <v>658</v>
      </c>
      <c r="AL691" s="46"/>
      <c r="AM691" s="46"/>
      <c r="AN691" s="46" t="s">
        <v>376</v>
      </c>
      <c r="AO691" s="46" t="s">
        <v>658</v>
      </c>
      <c r="AP691" s="46"/>
      <c r="AQ691" s="46">
        <v>2</v>
      </c>
      <c r="AR691" s="46"/>
      <c r="AS691" s="46"/>
      <c r="AT691" s="46"/>
      <c r="AU691" s="46" t="s">
        <v>376</v>
      </c>
      <c r="AV691" s="46"/>
      <c r="AW691" s="46" t="s">
        <v>30</v>
      </c>
      <c r="AX691" s="46"/>
      <c r="AY691" s="46"/>
      <c r="AZ691" s="46" t="s">
        <v>30</v>
      </c>
      <c r="BA691" s="54"/>
      <c r="BB691" s="51"/>
      <c r="BC691" s="46"/>
      <c r="BD691" s="46"/>
      <c r="BE691" s="46"/>
      <c r="BF691" s="46">
        <v>1</v>
      </c>
      <c r="BG691" s="46">
        <v>1</v>
      </c>
      <c r="BH691" s="46">
        <v>1</v>
      </c>
      <c r="BI691" s="46" t="s">
        <v>1124</v>
      </c>
      <c r="BJ691" s="46" t="s">
        <v>803</v>
      </c>
      <c r="BK691" s="46">
        <v>1967</v>
      </c>
      <c r="BL691" s="46" t="str">
        <f>BK691&amp;BI691</f>
        <v>1967West Bromwich Albion</v>
      </c>
      <c r="BM691" s="52" t="str">
        <f>IF(AD691="Home",BI691,IF(AD691="Away",BJ691,Q691))</f>
        <v>West Ham United</v>
      </c>
      <c r="BN691" s="46"/>
      <c r="BO691" s="46"/>
      <c r="BP691" s="46"/>
      <c r="BQ691" s="46"/>
      <c r="BR691" s="46"/>
      <c r="BS691" s="46"/>
      <c r="BT691" s="46"/>
      <c r="BU691" s="46"/>
      <c r="BV691" s="46" t="s">
        <v>376</v>
      </c>
      <c r="BW691" s="46" t="s">
        <v>376</v>
      </c>
      <c r="BX691" s="46"/>
      <c r="BZ691" s="53"/>
      <c r="CA691" s="53"/>
      <c r="CB691" s="93" t="str">
        <f>IF(OR(C691="",A691="",B691=""),"",TEXT(C691,"0000")&amp;TEXT(A691,"00")&amp;TEXT(B691,"00"))</f>
        <v>19670208</v>
      </c>
    </row>
    <row r="692" spans="1:80" s="52" customFormat="1" ht="12.95" customHeight="1" x14ac:dyDescent="0.2">
      <c r="A692" s="46">
        <v>3</v>
      </c>
      <c r="B692" s="46">
        <v>4</v>
      </c>
      <c r="C692" s="46">
        <v>1967</v>
      </c>
      <c r="D692" s="46" t="s">
        <v>658</v>
      </c>
      <c r="E692" s="46" t="s">
        <v>564</v>
      </c>
      <c r="F692" s="54" t="s">
        <v>1327</v>
      </c>
      <c r="G692" s="46"/>
      <c r="H692" s="54" t="s">
        <v>40</v>
      </c>
      <c r="I692" s="54"/>
      <c r="J692" s="55">
        <v>24535</v>
      </c>
      <c r="K692" s="46" t="s">
        <v>1349</v>
      </c>
      <c r="L692" s="46" t="s">
        <v>3</v>
      </c>
      <c r="M692" s="46" t="s">
        <v>1124</v>
      </c>
      <c r="N692" s="49">
        <v>3</v>
      </c>
      <c r="O692" s="49">
        <v>2</v>
      </c>
      <c r="P692" s="54" t="s">
        <v>1268</v>
      </c>
      <c r="Q692" s="54" t="s">
        <v>1017</v>
      </c>
      <c r="R692" s="54" t="s">
        <v>376</v>
      </c>
      <c r="S692" s="46"/>
      <c r="T692" s="46"/>
      <c r="U692" s="46"/>
      <c r="V692" s="46"/>
      <c r="W692" s="46"/>
      <c r="X692" s="46"/>
      <c r="Y692" s="46"/>
      <c r="Z692" s="46"/>
      <c r="AA692" s="46"/>
      <c r="AB692" s="46"/>
      <c r="AC692" s="46"/>
      <c r="AD692" s="46"/>
      <c r="AE692" s="50">
        <f>IF(L692="W",1,0)</f>
        <v>1</v>
      </c>
      <c r="AF692" s="50">
        <f>IF(L692="T",1,0)</f>
        <v>0</v>
      </c>
      <c r="AG692" s="50">
        <f>IF(L692="L",1,0)</f>
        <v>0</v>
      </c>
      <c r="AH692" s="46" t="s">
        <v>1017</v>
      </c>
      <c r="AI692" s="46" t="s">
        <v>1018</v>
      </c>
      <c r="AJ692" s="46" t="s">
        <v>376</v>
      </c>
      <c r="AK692" s="46" t="s">
        <v>658</v>
      </c>
      <c r="AL692" s="46" t="s">
        <v>1111</v>
      </c>
      <c r="AM692" s="46" t="s">
        <v>1126</v>
      </c>
      <c r="AN692" s="46" t="s">
        <v>376</v>
      </c>
      <c r="AO692" s="46" t="s">
        <v>658</v>
      </c>
      <c r="AP692" s="46"/>
      <c r="AQ692" s="46">
        <v>1</v>
      </c>
      <c r="AR692" s="46"/>
      <c r="AS692" s="46"/>
      <c r="AT692" s="46"/>
      <c r="AU692" s="46" t="s">
        <v>376</v>
      </c>
      <c r="AV692" s="46"/>
      <c r="AW692" s="46" t="s">
        <v>30</v>
      </c>
      <c r="AX692" s="46"/>
      <c r="AY692" s="46"/>
      <c r="AZ692" s="46" t="s">
        <v>30</v>
      </c>
      <c r="BA692" s="54"/>
      <c r="BB692" s="51" t="s">
        <v>30</v>
      </c>
      <c r="BC692" s="46" t="s">
        <v>30</v>
      </c>
      <c r="BD692" s="46"/>
      <c r="BE692" s="46"/>
      <c r="BF692" s="46">
        <v>1</v>
      </c>
      <c r="BG692" s="46">
        <v>3</v>
      </c>
      <c r="BH692" s="46">
        <v>1</v>
      </c>
      <c r="BI692" s="46" t="s">
        <v>1349</v>
      </c>
      <c r="BJ692" s="46" t="s">
        <v>1124</v>
      </c>
      <c r="BK692" s="46">
        <v>1967</v>
      </c>
      <c r="BL692" s="46" t="str">
        <f>BK692&amp;BI692</f>
        <v>1967Queens Park Rangers</v>
      </c>
      <c r="BM692" s="52" t="str">
        <f>IF(AD692="Home",BI692,IF(AD692="Away",BJ692,Q692))</f>
        <v>London</v>
      </c>
      <c r="BN692" s="46"/>
      <c r="BO692" s="46"/>
      <c r="BP692" s="46"/>
      <c r="BQ692" s="46"/>
      <c r="BR692" s="46"/>
      <c r="BS692" s="46"/>
      <c r="BT692" s="46"/>
      <c r="BU692" s="46"/>
      <c r="BV692" s="46" t="s">
        <v>376</v>
      </c>
      <c r="BW692" s="46" t="s">
        <v>376</v>
      </c>
      <c r="BX692" s="46"/>
      <c r="BZ692" s="53"/>
      <c r="CA692" s="53"/>
      <c r="CB692" s="93" t="str">
        <f>IF(OR(C692="",A692="",B692=""),"",TEXT(C692,"0000")&amp;TEXT(A692,"00")&amp;TEXT(B692,"00"))</f>
        <v>19670304</v>
      </c>
    </row>
    <row r="693" spans="1:80" s="52" customFormat="1" ht="12.95" customHeight="1" x14ac:dyDescent="0.2">
      <c r="A693" s="46">
        <v>3</v>
      </c>
      <c r="B693" s="46">
        <v>4</v>
      </c>
      <c r="C693" s="46">
        <v>1967</v>
      </c>
      <c r="D693" s="46" t="s">
        <v>658</v>
      </c>
      <c r="E693" s="46" t="s">
        <v>564</v>
      </c>
      <c r="F693" s="54" t="s">
        <v>1327</v>
      </c>
      <c r="G693" s="46"/>
      <c r="H693" s="54" t="s">
        <v>40</v>
      </c>
      <c r="I693" s="54"/>
      <c r="J693" s="55">
        <v>24535</v>
      </c>
      <c r="K693" s="46" t="s">
        <v>1124</v>
      </c>
      <c r="L693" s="46" t="s">
        <v>4</v>
      </c>
      <c r="M693" s="46" t="s">
        <v>1349</v>
      </c>
      <c r="N693" s="49">
        <v>2</v>
      </c>
      <c r="O693" s="49">
        <v>3</v>
      </c>
      <c r="P693" s="54" t="s">
        <v>1268</v>
      </c>
      <c r="Q693" s="54" t="s">
        <v>1017</v>
      </c>
      <c r="R693" s="54" t="s">
        <v>376</v>
      </c>
      <c r="S693" s="46"/>
      <c r="T693" s="46"/>
      <c r="U693" s="46"/>
      <c r="V693" s="46"/>
      <c r="W693" s="46"/>
      <c r="X693" s="46"/>
      <c r="Y693" s="46"/>
      <c r="Z693" s="46"/>
      <c r="AA693" s="46"/>
      <c r="AB693" s="46"/>
      <c r="AC693" s="46"/>
      <c r="AD693" s="46"/>
      <c r="AE693" s="50">
        <f>IF(L693="W",1,0)</f>
        <v>0</v>
      </c>
      <c r="AF693" s="50">
        <f>IF(L693="T",1,0)</f>
        <v>0</v>
      </c>
      <c r="AG693" s="50">
        <f>IF(L693="L",1,0)</f>
        <v>1</v>
      </c>
      <c r="AH693" s="46" t="s">
        <v>1111</v>
      </c>
      <c r="AI693" s="46" t="s">
        <v>1126</v>
      </c>
      <c r="AJ693" s="46" t="s">
        <v>376</v>
      </c>
      <c r="AK693" s="46" t="s">
        <v>658</v>
      </c>
      <c r="AL693" s="46" t="s">
        <v>1017</v>
      </c>
      <c r="AM693" s="46" t="s">
        <v>1018</v>
      </c>
      <c r="AN693" s="46" t="s">
        <v>376</v>
      </c>
      <c r="AO693" s="46" t="s">
        <v>658</v>
      </c>
      <c r="AP693" s="46"/>
      <c r="AQ693" s="46">
        <v>1</v>
      </c>
      <c r="AR693" s="46"/>
      <c r="AS693" s="46"/>
      <c r="AT693" s="46"/>
      <c r="AU693" s="46" t="s">
        <v>376</v>
      </c>
      <c r="AV693" s="46"/>
      <c r="AW693" s="46" t="s">
        <v>30</v>
      </c>
      <c r="AX693" s="46"/>
      <c r="AY693" s="46"/>
      <c r="AZ693" s="46" t="s">
        <v>30</v>
      </c>
      <c r="BA693" s="54"/>
      <c r="BB693" s="51"/>
      <c r="BC693" s="46" t="s">
        <v>30</v>
      </c>
      <c r="BD693" s="46"/>
      <c r="BE693" s="46"/>
      <c r="BF693" s="46">
        <v>1</v>
      </c>
      <c r="BG693" s="46">
        <v>1</v>
      </c>
      <c r="BH693" s="46">
        <v>3</v>
      </c>
      <c r="BI693" s="46" t="s">
        <v>1124</v>
      </c>
      <c r="BJ693" s="46" t="s">
        <v>1349</v>
      </c>
      <c r="BK693" s="46">
        <v>1967</v>
      </c>
      <c r="BL693" s="46" t="str">
        <f>BK693&amp;BI693</f>
        <v>1967West Bromwich Albion</v>
      </c>
      <c r="BM693" s="52" t="str">
        <f>IF(AD693="Home",BI693,IF(AD693="Away",BJ693,Q693))</f>
        <v>London</v>
      </c>
      <c r="BN693" s="46"/>
      <c r="BO693" s="46"/>
      <c r="BP693" s="46"/>
      <c r="BQ693" s="46"/>
      <c r="BR693" s="46"/>
      <c r="BS693" s="46"/>
      <c r="BT693" s="46"/>
      <c r="BU693" s="46"/>
      <c r="BV693" s="46" t="s">
        <v>376</v>
      </c>
      <c r="BW693" s="46" t="s">
        <v>376</v>
      </c>
      <c r="BX693" s="46"/>
      <c r="BZ693" s="53"/>
      <c r="CA693" s="53"/>
      <c r="CB693" s="93" t="str">
        <f>IF(OR(C693="",A693="",B693=""),"",TEXT(C693,"0000")&amp;TEXT(A693,"00")&amp;TEXT(B693,"00"))</f>
        <v>19670304</v>
      </c>
    </row>
    <row r="694" spans="1:80" s="52" customFormat="1" ht="12.95" customHeight="1" x14ac:dyDescent="0.2">
      <c r="A694" s="46">
        <v>4</v>
      </c>
      <c r="B694" s="46">
        <v>29</v>
      </c>
      <c r="C694" s="46">
        <v>1967</v>
      </c>
      <c r="D694" s="46" t="s">
        <v>658</v>
      </c>
      <c r="E694" s="46" t="s">
        <v>564</v>
      </c>
      <c r="F694" s="47" t="s">
        <v>1010</v>
      </c>
      <c r="G694" s="46"/>
      <c r="H694" s="47" t="s">
        <v>1011</v>
      </c>
      <c r="I694" s="47"/>
      <c r="J694" s="48">
        <v>24591</v>
      </c>
      <c r="K694" s="46" t="s">
        <v>813</v>
      </c>
      <c r="L694" s="46" t="s">
        <v>3</v>
      </c>
      <c r="M694" s="46" t="s">
        <v>1072</v>
      </c>
      <c r="N694" s="49">
        <v>2</v>
      </c>
      <c r="O694" s="49">
        <v>1</v>
      </c>
      <c r="P694" s="47" t="s">
        <v>1252</v>
      </c>
      <c r="Q694" s="47" t="s">
        <v>1097</v>
      </c>
      <c r="R694" s="47" t="s">
        <v>376</v>
      </c>
      <c r="S694" s="46"/>
      <c r="T694" s="46"/>
      <c r="U694" s="46"/>
      <c r="V694" s="46"/>
      <c r="W694" s="46"/>
      <c r="X694" s="46"/>
      <c r="Y694" s="46"/>
      <c r="Z694" s="46"/>
      <c r="AA694" s="46"/>
      <c r="AB694" s="46"/>
      <c r="AC694" s="46"/>
      <c r="AD694" s="46"/>
      <c r="AE694" s="50">
        <f>IF(L694="W",1,0)</f>
        <v>1</v>
      </c>
      <c r="AF694" s="50">
        <f>IF(L694="T",1,0)</f>
        <v>0</v>
      </c>
      <c r="AG694" s="50">
        <f>IF(L694="L",1,0)</f>
        <v>0</v>
      </c>
      <c r="AH694" s="46" t="s">
        <v>1017</v>
      </c>
      <c r="AI694" s="46" t="s">
        <v>1018</v>
      </c>
      <c r="AJ694" s="46" t="s">
        <v>376</v>
      </c>
      <c r="AK694" s="46" t="s">
        <v>658</v>
      </c>
      <c r="AL694" s="46" t="s">
        <v>1073</v>
      </c>
      <c r="AM694" s="46" t="s">
        <v>1074</v>
      </c>
      <c r="AN694" s="46" t="s">
        <v>376</v>
      </c>
      <c r="AO694" s="46" t="s">
        <v>658</v>
      </c>
      <c r="AP694" s="46"/>
      <c r="AQ694" s="46">
        <v>2</v>
      </c>
      <c r="AR694" s="46"/>
      <c r="AS694" s="46"/>
      <c r="AT694" s="46"/>
      <c r="AU694" s="46" t="s">
        <v>376</v>
      </c>
      <c r="AV694" s="46"/>
      <c r="AW694" s="46" t="s">
        <v>30</v>
      </c>
      <c r="AX694" s="46"/>
      <c r="AY694" s="46" t="s">
        <v>30</v>
      </c>
      <c r="AZ694" s="46"/>
      <c r="BA694" s="47"/>
      <c r="BB694" s="51"/>
      <c r="BC694" s="46"/>
      <c r="BD694" s="46"/>
      <c r="BE694" s="46"/>
      <c r="BF694" s="46">
        <v>1</v>
      </c>
      <c r="BG694" s="46">
        <v>1</v>
      </c>
      <c r="BH694" s="46">
        <v>1</v>
      </c>
      <c r="BI694" s="46" t="s">
        <v>813</v>
      </c>
      <c r="BJ694" s="46" t="s">
        <v>1072</v>
      </c>
      <c r="BK694" s="46">
        <v>1967</v>
      </c>
      <c r="BL694" s="46" t="str">
        <f>BK694&amp;BI694</f>
        <v>1967Tottenham Hotspur</v>
      </c>
      <c r="BM694" s="52" t="str">
        <f>IF(AD694="Home",BI694,IF(AD694="Away",BJ694,Q694))</f>
        <v>Sheffield</v>
      </c>
      <c r="BN694" s="46"/>
      <c r="BO694" s="46"/>
      <c r="BP694" s="46"/>
      <c r="BQ694" s="46"/>
      <c r="BR694" s="46"/>
      <c r="BS694" s="46"/>
      <c r="BT694" s="46"/>
      <c r="BU694" s="46"/>
      <c r="BV694" s="46" t="s">
        <v>376</v>
      </c>
      <c r="BW694" s="46" t="s">
        <v>376</v>
      </c>
      <c r="BX694" s="46"/>
      <c r="BY694" s="50"/>
      <c r="BZ694" s="53"/>
      <c r="CA694" s="53"/>
      <c r="CB694" s="93" t="str">
        <f>IF(OR(C694="",A694="",B694=""),"",TEXT(C694,"0000")&amp;TEXT(A694,"00")&amp;TEXT(B694,"00"))</f>
        <v>19670429</v>
      </c>
    </row>
    <row r="695" spans="1:80" s="52" customFormat="1" ht="12.95" customHeight="1" x14ac:dyDescent="0.2">
      <c r="A695" s="46">
        <v>4</v>
      </c>
      <c r="B695" s="46">
        <v>29</v>
      </c>
      <c r="C695" s="46">
        <v>1967</v>
      </c>
      <c r="D695" s="46" t="s">
        <v>658</v>
      </c>
      <c r="E695" s="46" t="s">
        <v>564</v>
      </c>
      <c r="F695" s="47" t="s">
        <v>1010</v>
      </c>
      <c r="G695" s="46"/>
      <c r="H695" s="47" t="s">
        <v>1011</v>
      </c>
      <c r="I695" s="47"/>
      <c r="J695" s="48">
        <v>24591</v>
      </c>
      <c r="K695" s="46" t="s">
        <v>1072</v>
      </c>
      <c r="L695" s="46" t="s">
        <v>4</v>
      </c>
      <c r="M695" s="46" t="s">
        <v>813</v>
      </c>
      <c r="N695" s="49">
        <v>1</v>
      </c>
      <c r="O695" s="49">
        <v>2</v>
      </c>
      <c r="P695" s="47" t="s">
        <v>1252</v>
      </c>
      <c r="Q695" s="47" t="s">
        <v>1097</v>
      </c>
      <c r="R695" s="47" t="s">
        <v>376</v>
      </c>
      <c r="S695" s="46"/>
      <c r="T695" s="46"/>
      <c r="U695" s="46"/>
      <c r="V695" s="46"/>
      <c r="W695" s="46"/>
      <c r="X695" s="46"/>
      <c r="Y695" s="46"/>
      <c r="Z695" s="46"/>
      <c r="AA695" s="46"/>
      <c r="AB695" s="46"/>
      <c r="AC695" s="46"/>
      <c r="AD695" s="46"/>
      <c r="AE695" s="50">
        <f>IF(L695="W",1,0)</f>
        <v>0</v>
      </c>
      <c r="AF695" s="50">
        <f>IF(L695="T",1,0)</f>
        <v>0</v>
      </c>
      <c r="AG695" s="50">
        <f>IF(L695="L",1,0)</f>
        <v>1</v>
      </c>
      <c r="AH695" s="46" t="s">
        <v>1073</v>
      </c>
      <c r="AI695" s="46" t="s">
        <v>1074</v>
      </c>
      <c r="AJ695" s="46" t="s">
        <v>376</v>
      </c>
      <c r="AK695" s="46" t="s">
        <v>658</v>
      </c>
      <c r="AL695" s="46" t="s">
        <v>1017</v>
      </c>
      <c r="AM695" s="46" t="s">
        <v>1018</v>
      </c>
      <c r="AN695" s="46" t="s">
        <v>376</v>
      </c>
      <c r="AO695" s="46" t="s">
        <v>658</v>
      </c>
      <c r="AP695" s="46"/>
      <c r="AQ695" s="46">
        <v>2</v>
      </c>
      <c r="AR695" s="46"/>
      <c r="AS695" s="46"/>
      <c r="AT695" s="46"/>
      <c r="AU695" s="46" t="s">
        <v>376</v>
      </c>
      <c r="AV695" s="46"/>
      <c r="AW695" s="46" t="s">
        <v>30</v>
      </c>
      <c r="AX695" s="46"/>
      <c r="AY695" s="46" t="s">
        <v>30</v>
      </c>
      <c r="AZ695" s="46"/>
      <c r="BA695" s="47"/>
      <c r="BB695" s="51"/>
      <c r="BC695" s="46"/>
      <c r="BD695" s="46"/>
      <c r="BE695" s="46"/>
      <c r="BF695" s="46">
        <v>1</v>
      </c>
      <c r="BG695" s="46">
        <v>1</v>
      </c>
      <c r="BH695" s="46">
        <v>1</v>
      </c>
      <c r="BI695" s="46" t="s">
        <v>1072</v>
      </c>
      <c r="BJ695" s="46" t="s">
        <v>813</v>
      </c>
      <c r="BK695" s="46">
        <v>1967</v>
      </c>
      <c r="BL695" s="46" t="str">
        <f>BK695&amp;BI695</f>
        <v>1967Nottingham Forest</v>
      </c>
      <c r="BM695" s="52" t="str">
        <f>IF(AD695="Home",BI695,IF(AD695="Away",BJ695,Q695))</f>
        <v>Sheffield</v>
      </c>
      <c r="BN695" s="46"/>
      <c r="BO695" s="46"/>
      <c r="BP695" s="46"/>
      <c r="BQ695" s="46"/>
      <c r="BR695" s="46"/>
      <c r="BS695" s="46"/>
      <c r="BT695" s="46"/>
      <c r="BU695" s="46"/>
      <c r="BV695" s="46" t="s">
        <v>376</v>
      </c>
      <c r="BW695" s="46" t="s">
        <v>376</v>
      </c>
      <c r="BX695" s="46"/>
      <c r="BY695" s="50"/>
      <c r="BZ695" s="53"/>
      <c r="CA695" s="53"/>
      <c r="CB695" s="93" t="str">
        <f>IF(OR(C695="",A695="",B695=""),"",TEXT(C695,"0000")&amp;TEXT(A695,"00")&amp;TEXT(B695,"00"))</f>
        <v>19670429</v>
      </c>
    </row>
    <row r="696" spans="1:80" s="52" customFormat="1" ht="12.95" customHeight="1" x14ac:dyDescent="0.2">
      <c r="A696" s="46">
        <v>4</v>
      </c>
      <c r="B696" s="46">
        <v>29</v>
      </c>
      <c r="C696" s="46">
        <v>1967</v>
      </c>
      <c r="D696" s="46" t="s">
        <v>658</v>
      </c>
      <c r="E696" s="46" t="s">
        <v>564</v>
      </c>
      <c r="F696" s="47" t="s">
        <v>1010</v>
      </c>
      <c r="G696" s="46"/>
      <c r="H696" s="47" t="s">
        <v>1011</v>
      </c>
      <c r="I696" s="47"/>
      <c r="J696" s="48">
        <v>24591</v>
      </c>
      <c r="K696" s="46" t="s">
        <v>816</v>
      </c>
      <c r="L696" s="46" t="s">
        <v>3</v>
      </c>
      <c r="M696" s="46" t="s">
        <v>794</v>
      </c>
      <c r="N696" s="49">
        <v>1</v>
      </c>
      <c r="O696" s="49">
        <v>0</v>
      </c>
      <c r="P696" s="47" t="s">
        <v>1219</v>
      </c>
      <c r="Q696" s="47" t="s">
        <v>1111</v>
      </c>
      <c r="R696" s="47" t="s">
        <v>376</v>
      </c>
      <c r="S696" s="46"/>
      <c r="T696" s="46"/>
      <c r="U696" s="46"/>
      <c r="V696" s="46"/>
      <c r="W696" s="46"/>
      <c r="X696" s="46"/>
      <c r="Y696" s="46"/>
      <c r="Z696" s="46"/>
      <c r="AA696" s="46"/>
      <c r="AB696" s="46"/>
      <c r="AC696" s="46"/>
      <c r="AD696" s="46"/>
      <c r="AE696" s="50">
        <f>IF(L696="W",1,0)</f>
        <v>1</v>
      </c>
      <c r="AF696" s="50">
        <f>IF(L696="T",1,0)</f>
        <v>0</v>
      </c>
      <c r="AG696" s="50">
        <f>IF(L696="L",1,0)</f>
        <v>0</v>
      </c>
      <c r="AH696" s="46" t="s">
        <v>1017</v>
      </c>
      <c r="AI696" s="46" t="s">
        <v>1018</v>
      </c>
      <c r="AJ696" s="46" t="s">
        <v>376</v>
      </c>
      <c r="AK696" s="46" t="s">
        <v>658</v>
      </c>
      <c r="AL696" s="46" t="s">
        <v>1241</v>
      </c>
      <c r="AM696" s="46" t="s">
        <v>1260</v>
      </c>
      <c r="AN696" s="46" t="s">
        <v>376</v>
      </c>
      <c r="AO696" s="46" t="s">
        <v>658</v>
      </c>
      <c r="AP696" s="46"/>
      <c r="AQ696" s="46">
        <v>2</v>
      </c>
      <c r="AR696" s="46"/>
      <c r="AS696" s="46"/>
      <c r="AT696" s="46"/>
      <c r="AU696" s="46" t="s">
        <v>376</v>
      </c>
      <c r="AV696" s="46"/>
      <c r="AW696" s="46" t="s">
        <v>30</v>
      </c>
      <c r="AX696" s="46"/>
      <c r="AY696" s="46" t="s">
        <v>30</v>
      </c>
      <c r="AZ696" s="46"/>
      <c r="BA696" s="47"/>
      <c r="BB696" s="51"/>
      <c r="BC696" s="46"/>
      <c r="BD696" s="46"/>
      <c r="BE696" s="46"/>
      <c r="BF696" s="46">
        <v>1</v>
      </c>
      <c r="BG696" s="46">
        <v>1</v>
      </c>
      <c r="BH696" s="46">
        <v>1</v>
      </c>
      <c r="BI696" s="46" t="s">
        <v>816</v>
      </c>
      <c r="BJ696" s="46" t="s">
        <v>794</v>
      </c>
      <c r="BK696" s="46">
        <v>1967</v>
      </c>
      <c r="BL696" s="46" t="str">
        <f>BK696&amp;BI696</f>
        <v>1967Chelsea</v>
      </c>
      <c r="BM696" s="52" t="str">
        <f>IF(AD696="Home",BI696,IF(AD696="Away",BJ696,Q696))</f>
        <v>Birmingham</v>
      </c>
      <c r="BN696" s="46"/>
      <c r="BO696" s="46"/>
      <c r="BP696" s="46"/>
      <c r="BQ696" s="46"/>
      <c r="BR696" s="46"/>
      <c r="BS696" s="46"/>
      <c r="BT696" s="46"/>
      <c r="BU696" s="46"/>
      <c r="BV696" s="46" t="s">
        <v>376</v>
      </c>
      <c r="BW696" s="46" t="s">
        <v>376</v>
      </c>
      <c r="BX696" s="46"/>
      <c r="BZ696" s="53"/>
      <c r="CA696" s="53"/>
      <c r="CB696" s="93" t="str">
        <f>IF(OR(C696="",A696="",B696=""),"",TEXT(C696,"0000")&amp;TEXT(A696,"00")&amp;TEXT(B696,"00"))</f>
        <v>19670429</v>
      </c>
    </row>
    <row r="697" spans="1:80" s="52" customFormat="1" ht="12.95" customHeight="1" x14ac:dyDescent="0.2">
      <c r="A697" s="46">
        <v>4</v>
      </c>
      <c r="B697" s="46">
        <v>29</v>
      </c>
      <c r="C697" s="46">
        <v>1967</v>
      </c>
      <c r="D697" s="46" t="s">
        <v>658</v>
      </c>
      <c r="E697" s="46" t="s">
        <v>564</v>
      </c>
      <c r="F697" s="47" t="s">
        <v>1010</v>
      </c>
      <c r="G697" s="46"/>
      <c r="H697" s="47" t="s">
        <v>1011</v>
      </c>
      <c r="I697" s="47"/>
      <c r="J697" s="48">
        <v>24591</v>
      </c>
      <c r="K697" s="46" t="s">
        <v>794</v>
      </c>
      <c r="L697" s="46" t="s">
        <v>4</v>
      </c>
      <c r="M697" s="46" t="s">
        <v>816</v>
      </c>
      <c r="N697" s="49">
        <v>0</v>
      </c>
      <c r="O697" s="49">
        <v>1</v>
      </c>
      <c r="P697" s="47" t="s">
        <v>1219</v>
      </c>
      <c r="Q697" s="47" t="s">
        <v>1111</v>
      </c>
      <c r="R697" s="47" t="s">
        <v>376</v>
      </c>
      <c r="S697" s="46"/>
      <c r="T697" s="46"/>
      <c r="U697" s="46"/>
      <c r="V697" s="46"/>
      <c r="W697" s="46"/>
      <c r="X697" s="46"/>
      <c r="Y697" s="46"/>
      <c r="Z697" s="46"/>
      <c r="AA697" s="46"/>
      <c r="AB697" s="46"/>
      <c r="AC697" s="46"/>
      <c r="AD697" s="46"/>
      <c r="AE697" s="50">
        <f>IF(L697="W",1,0)</f>
        <v>0</v>
      </c>
      <c r="AF697" s="50">
        <f>IF(L697="T",1,0)</f>
        <v>0</v>
      </c>
      <c r="AG697" s="50">
        <f>IF(L697="L",1,0)</f>
        <v>1</v>
      </c>
      <c r="AH697" s="46" t="s">
        <v>1241</v>
      </c>
      <c r="AI697" s="46" t="s">
        <v>1260</v>
      </c>
      <c r="AJ697" s="46" t="s">
        <v>376</v>
      </c>
      <c r="AK697" s="46" t="s">
        <v>658</v>
      </c>
      <c r="AL697" s="46" t="s">
        <v>1017</v>
      </c>
      <c r="AM697" s="46" t="s">
        <v>1018</v>
      </c>
      <c r="AN697" s="46" t="s">
        <v>376</v>
      </c>
      <c r="AO697" s="46" t="s">
        <v>658</v>
      </c>
      <c r="AP697" s="46"/>
      <c r="AQ697" s="46">
        <v>2</v>
      </c>
      <c r="AR697" s="46"/>
      <c r="AS697" s="46"/>
      <c r="AT697" s="46"/>
      <c r="AU697" s="46" t="s">
        <v>376</v>
      </c>
      <c r="AV697" s="46"/>
      <c r="AW697" s="46" t="s">
        <v>30</v>
      </c>
      <c r="AX697" s="46"/>
      <c r="AY697" s="46" t="s">
        <v>30</v>
      </c>
      <c r="AZ697" s="46"/>
      <c r="BA697" s="47"/>
      <c r="BB697" s="51"/>
      <c r="BC697" s="46"/>
      <c r="BD697" s="46"/>
      <c r="BE697" s="46"/>
      <c r="BF697" s="46">
        <v>1</v>
      </c>
      <c r="BG697" s="46">
        <v>1</v>
      </c>
      <c r="BH697" s="46">
        <v>1</v>
      </c>
      <c r="BI697" s="46" t="s">
        <v>794</v>
      </c>
      <c r="BJ697" s="46" t="s">
        <v>816</v>
      </c>
      <c r="BK697" s="46">
        <v>1967</v>
      </c>
      <c r="BL697" s="46" t="str">
        <f>BK697&amp;BI697</f>
        <v>1967Leeds United</v>
      </c>
      <c r="BM697" s="52" t="str">
        <f>IF(AD697="Home",BI697,IF(AD697="Away",BJ697,Q697))</f>
        <v>Birmingham</v>
      </c>
      <c r="BN697" s="46"/>
      <c r="BO697" s="46"/>
      <c r="BP697" s="46"/>
      <c r="BQ697" s="46"/>
      <c r="BR697" s="46"/>
      <c r="BS697" s="46"/>
      <c r="BT697" s="46"/>
      <c r="BU697" s="46"/>
      <c r="BV697" s="46" t="s">
        <v>376</v>
      </c>
      <c r="BW697" s="46" t="s">
        <v>376</v>
      </c>
      <c r="BX697" s="46"/>
      <c r="BZ697" s="53"/>
      <c r="CA697" s="53"/>
      <c r="CB697" s="93" t="str">
        <f>IF(OR(C697="",A697="",B697=""),"",TEXT(C697,"0000")&amp;TEXT(A697,"00")&amp;TEXT(B697,"00"))</f>
        <v>19670429</v>
      </c>
    </row>
    <row r="698" spans="1:80" s="52" customFormat="1" ht="12.95" customHeight="1" x14ac:dyDescent="0.2">
      <c r="A698" s="46">
        <v>5</v>
      </c>
      <c r="B698" s="46">
        <v>20</v>
      </c>
      <c r="C698" s="46">
        <v>1967</v>
      </c>
      <c r="D698" s="46" t="s">
        <v>658</v>
      </c>
      <c r="E698" s="46" t="s">
        <v>564</v>
      </c>
      <c r="F698" s="47" t="s">
        <v>1010</v>
      </c>
      <c r="G698" s="46"/>
      <c r="H698" s="47" t="s">
        <v>1025</v>
      </c>
      <c r="I698" s="47"/>
      <c r="J698" s="48">
        <v>24612</v>
      </c>
      <c r="K698" s="46" t="s">
        <v>813</v>
      </c>
      <c r="L698" s="46" t="s">
        <v>3</v>
      </c>
      <c r="M698" s="46" t="s">
        <v>816</v>
      </c>
      <c r="N698" s="49">
        <v>2</v>
      </c>
      <c r="O698" s="49">
        <v>1</v>
      </c>
      <c r="P698" s="47" t="s">
        <v>1268</v>
      </c>
      <c r="Q698" s="47" t="s">
        <v>1017</v>
      </c>
      <c r="R698" s="47" t="s">
        <v>376</v>
      </c>
      <c r="S698" s="46"/>
      <c r="T698" s="46"/>
      <c r="U698" s="46"/>
      <c r="V698" s="46"/>
      <c r="W698" s="46"/>
      <c r="X698" s="46"/>
      <c r="Y698" s="46"/>
      <c r="Z698" s="46"/>
      <c r="AA698" s="46"/>
      <c r="AB698" s="46"/>
      <c r="AC698" s="46"/>
      <c r="AD698" s="46"/>
      <c r="AE698" s="50">
        <f>IF(L698="W",1,0)</f>
        <v>1</v>
      </c>
      <c r="AF698" s="50">
        <f>IF(L698="T",1,0)</f>
        <v>0</v>
      </c>
      <c r="AG698" s="50">
        <f>IF(L698="L",1,0)</f>
        <v>0</v>
      </c>
      <c r="AH698" s="46" t="s">
        <v>1017</v>
      </c>
      <c r="AI698" s="46" t="s">
        <v>1018</v>
      </c>
      <c r="AJ698" s="46" t="s">
        <v>376</v>
      </c>
      <c r="AK698" s="46" t="s">
        <v>658</v>
      </c>
      <c r="AL698" s="46" t="s">
        <v>1017</v>
      </c>
      <c r="AM698" s="46" t="s">
        <v>1018</v>
      </c>
      <c r="AN698" s="46" t="s">
        <v>376</v>
      </c>
      <c r="AO698" s="46" t="s">
        <v>658</v>
      </c>
      <c r="AP698" s="46"/>
      <c r="AQ698" s="46">
        <v>1</v>
      </c>
      <c r="AR698" s="46"/>
      <c r="AS698" s="46"/>
      <c r="AT698" s="46"/>
      <c r="AU698" s="46" t="s">
        <v>376</v>
      </c>
      <c r="AV698" s="46"/>
      <c r="AW698" s="46" t="s">
        <v>30</v>
      </c>
      <c r="AX698" s="46"/>
      <c r="AY698" s="46" t="s">
        <v>30</v>
      </c>
      <c r="AZ698" s="46"/>
      <c r="BA698" s="47"/>
      <c r="BB698" s="51" t="s">
        <v>30</v>
      </c>
      <c r="BC698" s="46" t="s">
        <v>30</v>
      </c>
      <c r="BD698" s="46"/>
      <c r="BE698" s="46"/>
      <c r="BF698" s="46">
        <v>1</v>
      </c>
      <c r="BG698" s="46">
        <v>1</v>
      </c>
      <c r="BH698" s="46">
        <v>1</v>
      </c>
      <c r="BI698" s="46" t="s">
        <v>813</v>
      </c>
      <c r="BJ698" s="46" t="s">
        <v>816</v>
      </c>
      <c r="BK698" s="46">
        <v>1967</v>
      </c>
      <c r="BL698" s="46" t="str">
        <f>BK698&amp;BI698</f>
        <v>1967Tottenham Hotspur</v>
      </c>
      <c r="BM698" s="52" t="str">
        <f>IF(AD698="Home",BI698,IF(AD698="Away",BJ698,Q698))</f>
        <v>London</v>
      </c>
      <c r="BN698" s="46"/>
      <c r="BO698" s="46"/>
      <c r="BP698" s="46"/>
      <c r="BQ698" s="46"/>
      <c r="BR698" s="46"/>
      <c r="BS698" s="46"/>
      <c r="BT698" s="46"/>
      <c r="BU698" s="46"/>
      <c r="BV698" s="46" t="s">
        <v>376</v>
      </c>
      <c r="BW698" s="46" t="s">
        <v>376</v>
      </c>
      <c r="BX698" s="46"/>
      <c r="BZ698" s="53"/>
      <c r="CA698" s="53"/>
      <c r="CB698" s="93" t="str">
        <f>IF(OR(C698="",A698="",B698=""),"",TEXT(C698,"0000")&amp;TEXT(A698,"00")&amp;TEXT(B698,"00"))</f>
        <v>19670520</v>
      </c>
    </row>
    <row r="699" spans="1:80" s="52" customFormat="1" ht="12.95" customHeight="1" x14ac:dyDescent="0.2">
      <c r="A699" s="46">
        <v>5</v>
      </c>
      <c r="B699" s="46">
        <v>20</v>
      </c>
      <c r="C699" s="46">
        <v>1967</v>
      </c>
      <c r="D699" s="46" t="s">
        <v>658</v>
      </c>
      <c r="E699" s="46" t="s">
        <v>564</v>
      </c>
      <c r="F699" s="47" t="s">
        <v>1010</v>
      </c>
      <c r="G699" s="46"/>
      <c r="H699" s="47" t="s">
        <v>1025</v>
      </c>
      <c r="I699" s="47"/>
      <c r="J699" s="48">
        <v>24612</v>
      </c>
      <c r="K699" s="46" t="s">
        <v>816</v>
      </c>
      <c r="L699" s="46" t="s">
        <v>4</v>
      </c>
      <c r="M699" s="46" t="s">
        <v>813</v>
      </c>
      <c r="N699" s="49">
        <v>1</v>
      </c>
      <c r="O699" s="49">
        <v>2</v>
      </c>
      <c r="P699" s="47" t="s">
        <v>1268</v>
      </c>
      <c r="Q699" s="47" t="s">
        <v>1017</v>
      </c>
      <c r="R699" s="47" t="s">
        <v>376</v>
      </c>
      <c r="S699" s="46"/>
      <c r="T699" s="46"/>
      <c r="U699" s="46"/>
      <c r="V699" s="46"/>
      <c r="W699" s="46"/>
      <c r="X699" s="46"/>
      <c r="Y699" s="46"/>
      <c r="Z699" s="46"/>
      <c r="AA699" s="46"/>
      <c r="AB699" s="46"/>
      <c r="AC699" s="46"/>
      <c r="AD699" s="46"/>
      <c r="AE699" s="50">
        <f>IF(L699="W",1,0)</f>
        <v>0</v>
      </c>
      <c r="AF699" s="50">
        <f>IF(L699="T",1,0)</f>
        <v>0</v>
      </c>
      <c r="AG699" s="50">
        <f>IF(L699="L",1,0)</f>
        <v>1</v>
      </c>
      <c r="AH699" s="46" t="s">
        <v>1017</v>
      </c>
      <c r="AI699" s="46" t="s">
        <v>1018</v>
      </c>
      <c r="AJ699" s="46" t="s">
        <v>376</v>
      </c>
      <c r="AK699" s="46" t="s">
        <v>658</v>
      </c>
      <c r="AL699" s="46" t="s">
        <v>1017</v>
      </c>
      <c r="AM699" s="46" t="s">
        <v>1018</v>
      </c>
      <c r="AN699" s="46" t="s">
        <v>376</v>
      </c>
      <c r="AO699" s="46" t="s">
        <v>658</v>
      </c>
      <c r="AP699" s="46"/>
      <c r="AQ699" s="46">
        <v>1</v>
      </c>
      <c r="AR699" s="46"/>
      <c r="AS699" s="46"/>
      <c r="AT699" s="46"/>
      <c r="AU699" s="46" t="s">
        <v>376</v>
      </c>
      <c r="AV699" s="46"/>
      <c r="AW699" s="46" t="s">
        <v>30</v>
      </c>
      <c r="AX699" s="46"/>
      <c r="AY699" s="46" t="s">
        <v>30</v>
      </c>
      <c r="AZ699" s="46"/>
      <c r="BA699" s="47"/>
      <c r="BB699" s="51"/>
      <c r="BC699" s="46" t="s">
        <v>30</v>
      </c>
      <c r="BD699" s="46"/>
      <c r="BE699" s="46"/>
      <c r="BF699" s="46">
        <v>1</v>
      </c>
      <c r="BG699" s="46">
        <v>1</v>
      </c>
      <c r="BH699" s="46">
        <v>1</v>
      </c>
      <c r="BI699" s="46" t="s">
        <v>816</v>
      </c>
      <c r="BJ699" s="46" t="s">
        <v>813</v>
      </c>
      <c r="BK699" s="46">
        <v>1967</v>
      </c>
      <c r="BL699" s="46" t="str">
        <f>BK699&amp;BI699</f>
        <v>1967Chelsea</v>
      </c>
      <c r="BM699" s="52" t="str">
        <f>IF(AD699="Home",BI699,IF(AD699="Away",BJ699,Q699))</f>
        <v>London</v>
      </c>
      <c r="BN699" s="46"/>
      <c r="BO699" s="46"/>
      <c r="BP699" s="46"/>
      <c r="BQ699" s="46"/>
      <c r="BR699" s="46"/>
      <c r="BS699" s="46"/>
      <c r="BT699" s="46"/>
      <c r="BU699" s="46"/>
      <c r="BV699" s="46" t="s">
        <v>376</v>
      </c>
      <c r="BW699" s="46" t="s">
        <v>376</v>
      </c>
      <c r="BX699" s="46"/>
      <c r="BZ699" s="53"/>
      <c r="CA699" s="53"/>
      <c r="CB699" s="93" t="str">
        <f>IF(OR(C699="",A699="",B699=""),"",TEXT(C699,"0000")&amp;TEXT(A699,"00")&amp;TEXT(B699,"00"))</f>
        <v>19670520</v>
      </c>
    </row>
    <row r="700" spans="1:80" s="52" customFormat="1" ht="12.95" customHeight="1" x14ac:dyDescent="0.2">
      <c r="A700" s="46">
        <v>1</v>
      </c>
      <c r="B700" s="46">
        <v>17</v>
      </c>
      <c r="C700" s="46">
        <v>1968</v>
      </c>
      <c r="D700" s="46" t="s">
        <v>658</v>
      </c>
      <c r="E700" s="46" t="s">
        <v>561</v>
      </c>
      <c r="F700" s="54" t="s">
        <v>1327</v>
      </c>
      <c r="G700" s="46"/>
      <c r="H700" s="54" t="s">
        <v>1011</v>
      </c>
      <c r="I700" s="54">
        <v>1</v>
      </c>
      <c r="J700" s="55">
        <v>24854</v>
      </c>
      <c r="K700" s="46" t="s">
        <v>587</v>
      </c>
      <c r="L700" s="46" t="s">
        <v>3</v>
      </c>
      <c r="M700" s="46" t="s">
        <v>1259</v>
      </c>
      <c r="N700" s="49">
        <v>3</v>
      </c>
      <c r="O700" s="49">
        <v>2</v>
      </c>
      <c r="P700" s="54" t="s">
        <v>1281</v>
      </c>
      <c r="Q700" s="54" t="s">
        <v>1017</v>
      </c>
      <c r="R700" s="54" t="s">
        <v>376</v>
      </c>
      <c r="S700" s="46"/>
      <c r="T700" s="46"/>
      <c r="U700" s="46"/>
      <c r="V700" s="46"/>
      <c r="W700" s="46"/>
      <c r="X700" s="46"/>
      <c r="Y700" s="46"/>
      <c r="Z700" s="46"/>
      <c r="AA700" s="46"/>
      <c r="AB700" s="46"/>
      <c r="AC700" s="46"/>
      <c r="AD700" s="46" t="s">
        <v>1033</v>
      </c>
      <c r="AE700" s="50">
        <f>IF(L700="W",1,0)</f>
        <v>1</v>
      </c>
      <c r="AF700" s="50">
        <f>IF(L700="T",1,0)</f>
        <v>0</v>
      </c>
      <c r="AG700" s="50">
        <f>IF(L700="L",1,0)</f>
        <v>0</v>
      </c>
      <c r="AH700" s="46" t="s">
        <v>1017</v>
      </c>
      <c r="AI700" s="46" t="s">
        <v>1018</v>
      </c>
      <c r="AJ700" s="46" t="s">
        <v>376</v>
      </c>
      <c r="AK700" s="46" t="s">
        <v>658</v>
      </c>
      <c r="AL700" s="46" t="s">
        <v>1096</v>
      </c>
      <c r="AM700" s="46" t="s">
        <v>1260</v>
      </c>
      <c r="AN700" s="46" t="s">
        <v>376</v>
      </c>
      <c r="AO700" s="46" t="s">
        <v>658</v>
      </c>
      <c r="AP700" s="46"/>
      <c r="AQ700" s="46">
        <v>2</v>
      </c>
      <c r="AR700" s="46"/>
      <c r="AS700" s="46"/>
      <c r="AT700" s="46"/>
      <c r="AU700" s="46" t="s">
        <v>376</v>
      </c>
      <c r="AV700" s="46"/>
      <c r="AW700" s="46" t="s">
        <v>30</v>
      </c>
      <c r="AX700" s="46"/>
      <c r="AY700" s="46"/>
      <c r="AZ700" s="46" t="s">
        <v>30</v>
      </c>
      <c r="BA700" s="54"/>
      <c r="BB700" s="51"/>
      <c r="BC700" s="46"/>
      <c r="BD700" s="46"/>
      <c r="BE700" s="46"/>
      <c r="BF700" s="46">
        <v>1</v>
      </c>
      <c r="BG700" s="46">
        <v>1</v>
      </c>
      <c r="BH700" s="46">
        <v>2</v>
      </c>
      <c r="BI700" s="46" t="s">
        <v>587</v>
      </c>
      <c r="BJ700" s="46" t="s">
        <v>1259</v>
      </c>
      <c r="BK700" s="46">
        <v>1968</v>
      </c>
      <c r="BL700" s="46" t="str">
        <f>BK700&amp;BI700</f>
        <v>1968Arsenal</v>
      </c>
      <c r="BM700" s="52" t="str">
        <f>IF(AD700="Home",BI700,IF(AD700="Away",BJ700,Q700))</f>
        <v>Arsenal</v>
      </c>
      <c r="BN700" s="46"/>
      <c r="BO700" s="46"/>
      <c r="BP700" s="46"/>
      <c r="BQ700" s="46"/>
      <c r="BR700" s="46"/>
      <c r="BS700" s="46"/>
      <c r="BT700" s="46"/>
      <c r="BU700" s="46"/>
      <c r="BV700" s="46" t="s">
        <v>376</v>
      </c>
      <c r="BW700" s="46" t="s">
        <v>376</v>
      </c>
      <c r="BX700" s="46"/>
      <c r="BZ700" s="53"/>
      <c r="CA700" s="53"/>
      <c r="CB700" s="93" t="str">
        <f>IF(OR(C700="",A700="",B700=""),"",TEXT(C700,"0000")&amp;TEXT(A700,"00")&amp;TEXT(B700,"00"))</f>
        <v>19680117</v>
      </c>
    </row>
    <row r="701" spans="1:80" s="52" customFormat="1" ht="12.95" customHeight="1" x14ac:dyDescent="0.2">
      <c r="A701" s="46">
        <v>1</v>
      </c>
      <c r="B701" s="46">
        <v>17</v>
      </c>
      <c r="C701" s="46">
        <v>1968</v>
      </c>
      <c r="D701" s="46" t="s">
        <v>658</v>
      </c>
      <c r="E701" s="46" t="s">
        <v>561</v>
      </c>
      <c r="F701" s="54" t="s">
        <v>1327</v>
      </c>
      <c r="G701" s="46"/>
      <c r="H701" s="54" t="s">
        <v>1011</v>
      </c>
      <c r="I701" s="54">
        <v>1</v>
      </c>
      <c r="J701" s="55">
        <v>24854</v>
      </c>
      <c r="K701" s="46" t="s">
        <v>1259</v>
      </c>
      <c r="L701" s="46" t="s">
        <v>4</v>
      </c>
      <c r="M701" s="46" t="s">
        <v>587</v>
      </c>
      <c r="N701" s="49">
        <v>2</v>
      </c>
      <c r="O701" s="49">
        <v>3</v>
      </c>
      <c r="P701" s="54" t="s">
        <v>1281</v>
      </c>
      <c r="Q701" s="54" t="s">
        <v>1017</v>
      </c>
      <c r="R701" s="54" t="s">
        <v>376</v>
      </c>
      <c r="S701" s="46"/>
      <c r="T701" s="46"/>
      <c r="U701" s="46"/>
      <c r="V701" s="46"/>
      <c r="W701" s="46"/>
      <c r="X701" s="46"/>
      <c r="Y701" s="46"/>
      <c r="Z701" s="46"/>
      <c r="AA701" s="46"/>
      <c r="AB701" s="46"/>
      <c r="AC701" s="46"/>
      <c r="AD701" s="46" t="s">
        <v>1037</v>
      </c>
      <c r="AE701" s="50">
        <f>IF(L701="W",1,0)</f>
        <v>0</v>
      </c>
      <c r="AF701" s="50">
        <f>IF(L701="T",1,0)</f>
        <v>0</v>
      </c>
      <c r="AG701" s="50">
        <f>IF(L701="L",1,0)</f>
        <v>1</v>
      </c>
      <c r="AH701" s="46" t="s">
        <v>1096</v>
      </c>
      <c r="AI701" s="46" t="s">
        <v>1260</v>
      </c>
      <c r="AJ701" s="46" t="s">
        <v>376</v>
      </c>
      <c r="AK701" s="46" t="s">
        <v>658</v>
      </c>
      <c r="AL701" s="46" t="s">
        <v>1017</v>
      </c>
      <c r="AM701" s="46" t="s">
        <v>1018</v>
      </c>
      <c r="AN701" s="46" t="s">
        <v>376</v>
      </c>
      <c r="AO701" s="46" t="s">
        <v>658</v>
      </c>
      <c r="AP701" s="46"/>
      <c r="AQ701" s="46">
        <v>2</v>
      </c>
      <c r="AR701" s="46"/>
      <c r="AS701" s="46"/>
      <c r="AT701" s="46"/>
      <c r="AU701" s="46" t="s">
        <v>376</v>
      </c>
      <c r="AV701" s="46"/>
      <c r="AW701" s="46" t="s">
        <v>30</v>
      </c>
      <c r="AX701" s="46"/>
      <c r="AY701" s="46"/>
      <c r="AZ701" s="46" t="s">
        <v>30</v>
      </c>
      <c r="BA701" s="54"/>
      <c r="BB701" s="51"/>
      <c r="BC701" s="46"/>
      <c r="BD701" s="46"/>
      <c r="BE701" s="46"/>
      <c r="BF701" s="46">
        <v>1</v>
      </c>
      <c r="BG701" s="46">
        <v>2</v>
      </c>
      <c r="BH701" s="46">
        <v>1</v>
      </c>
      <c r="BI701" s="46" t="s">
        <v>1259</v>
      </c>
      <c r="BJ701" s="46" t="s">
        <v>587</v>
      </c>
      <c r="BK701" s="46">
        <v>1968</v>
      </c>
      <c r="BL701" s="46" t="str">
        <f>BK701&amp;BI701</f>
        <v>1968Huddersfield Town</v>
      </c>
      <c r="BM701" s="52" t="str">
        <f>IF(AD701="Home",BI701,IF(AD701="Away",BJ701,Q701))</f>
        <v>Arsenal</v>
      </c>
      <c r="BN701" s="46"/>
      <c r="BO701" s="46"/>
      <c r="BP701" s="46"/>
      <c r="BQ701" s="46"/>
      <c r="BR701" s="46"/>
      <c r="BS701" s="46"/>
      <c r="BT701" s="46"/>
      <c r="BU701" s="46"/>
      <c r="BV701" s="46" t="s">
        <v>376</v>
      </c>
      <c r="BW701" s="46" t="s">
        <v>376</v>
      </c>
      <c r="BX701" s="46"/>
      <c r="BZ701" s="53"/>
      <c r="CA701" s="53"/>
      <c r="CB701" s="93" t="str">
        <f>IF(OR(C701="",A701="",B701=""),"",TEXT(C701,"0000")&amp;TEXT(A701,"00")&amp;TEXT(B701,"00"))</f>
        <v>19680117</v>
      </c>
    </row>
    <row r="702" spans="1:80" s="52" customFormat="1" ht="12.95" customHeight="1" x14ac:dyDescent="0.2">
      <c r="A702" s="46">
        <v>1</v>
      </c>
      <c r="B702" s="46">
        <v>17</v>
      </c>
      <c r="C702" s="46">
        <v>1968</v>
      </c>
      <c r="D702" s="46" t="s">
        <v>658</v>
      </c>
      <c r="E702" s="46" t="s">
        <v>561</v>
      </c>
      <c r="F702" s="54" t="s">
        <v>1327</v>
      </c>
      <c r="G702" s="46"/>
      <c r="H702" s="54" t="s">
        <v>1011</v>
      </c>
      <c r="I702" s="54">
        <v>1</v>
      </c>
      <c r="J702" s="55">
        <v>24854</v>
      </c>
      <c r="K702" s="46" t="s">
        <v>1191</v>
      </c>
      <c r="L702" s="46" t="s">
        <v>4</v>
      </c>
      <c r="M702" s="46" t="s">
        <v>794</v>
      </c>
      <c r="N702" s="49">
        <v>0</v>
      </c>
      <c r="O702" s="49">
        <v>1</v>
      </c>
      <c r="P702" s="54" t="s">
        <v>1211</v>
      </c>
      <c r="Q702" s="54" t="s">
        <v>979</v>
      </c>
      <c r="R702" s="54" t="s">
        <v>376</v>
      </c>
      <c r="S702" s="46"/>
      <c r="T702" s="46"/>
      <c r="U702" s="46"/>
      <c r="V702" s="46"/>
      <c r="W702" s="46"/>
      <c r="X702" s="46"/>
      <c r="Y702" s="46"/>
      <c r="Z702" s="46"/>
      <c r="AA702" s="46"/>
      <c r="AB702" s="46"/>
      <c r="AC702" s="46"/>
      <c r="AD702" s="46" t="s">
        <v>1033</v>
      </c>
      <c r="AE702" s="50">
        <f>IF(L702="W",1,0)</f>
        <v>0</v>
      </c>
      <c r="AF702" s="50">
        <f>IF(L702="T",1,0)</f>
        <v>0</v>
      </c>
      <c r="AG702" s="50">
        <f>IF(L702="L",1,0)</f>
        <v>1</v>
      </c>
      <c r="AH702" s="46" t="s">
        <v>979</v>
      </c>
      <c r="AI702" s="46" t="s">
        <v>1146</v>
      </c>
      <c r="AJ702" s="46" t="s">
        <v>376</v>
      </c>
      <c r="AK702" s="46" t="s">
        <v>658</v>
      </c>
      <c r="AL702" s="46" t="s">
        <v>1241</v>
      </c>
      <c r="AM702" s="46" t="s">
        <v>1260</v>
      </c>
      <c r="AN702" s="46" t="s">
        <v>376</v>
      </c>
      <c r="AO702" s="46" t="s">
        <v>658</v>
      </c>
      <c r="AP702" s="46"/>
      <c r="AQ702" s="46">
        <v>2</v>
      </c>
      <c r="AR702" s="46"/>
      <c r="AS702" s="46"/>
      <c r="AT702" s="46"/>
      <c r="AU702" s="46" t="s">
        <v>376</v>
      </c>
      <c r="AV702" s="46"/>
      <c r="AW702" s="46" t="s">
        <v>30</v>
      </c>
      <c r="AX702" s="46"/>
      <c r="AY702" s="46"/>
      <c r="AZ702" s="46" t="s">
        <v>30</v>
      </c>
      <c r="BA702" s="54"/>
      <c r="BB702" s="51"/>
      <c r="BC702" s="46"/>
      <c r="BD702" s="46"/>
      <c r="BE702" s="46"/>
      <c r="BF702" s="46">
        <v>1</v>
      </c>
      <c r="BG702" s="46">
        <v>2</v>
      </c>
      <c r="BH702" s="46">
        <v>1</v>
      </c>
      <c r="BI702" s="46" t="s">
        <v>1191</v>
      </c>
      <c r="BJ702" s="46" t="s">
        <v>794</v>
      </c>
      <c r="BK702" s="46">
        <v>1968</v>
      </c>
      <c r="BL702" s="46" t="str">
        <f>BK702&amp;BI702</f>
        <v>1968Derby County</v>
      </c>
      <c r="BM702" s="52" t="str">
        <f>IF(AD702="Home",BI702,IF(AD702="Away",BJ702,Q702))</f>
        <v>Derby County</v>
      </c>
      <c r="BN702" s="46"/>
      <c r="BO702" s="46"/>
      <c r="BP702" s="46"/>
      <c r="BQ702" s="46"/>
      <c r="BR702" s="46"/>
      <c r="BS702" s="46"/>
      <c r="BT702" s="46"/>
      <c r="BU702" s="46"/>
      <c r="BV702" s="46" t="s">
        <v>376</v>
      </c>
      <c r="BW702" s="46" t="s">
        <v>376</v>
      </c>
      <c r="BX702" s="46"/>
      <c r="BZ702" s="53"/>
      <c r="CA702" s="53"/>
      <c r="CB702" s="93" t="str">
        <f>IF(OR(C702="",A702="",B702=""),"",TEXT(C702,"0000")&amp;TEXT(A702,"00")&amp;TEXT(B702,"00"))</f>
        <v>19680117</v>
      </c>
    </row>
    <row r="703" spans="1:80" s="52" customFormat="1" ht="12.95" customHeight="1" x14ac:dyDescent="0.2">
      <c r="A703" s="46">
        <v>1</v>
      </c>
      <c r="B703" s="46">
        <v>17</v>
      </c>
      <c r="C703" s="46">
        <v>1968</v>
      </c>
      <c r="D703" s="46" t="s">
        <v>658</v>
      </c>
      <c r="E703" s="46" t="s">
        <v>561</v>
      </c>
      <c r="F703" s="54" t="s">
        <v>1327</v>
      </c>
      <c r="G703" s="46"/>
      <c r="H703" s="54" t="s">
        <v>1011</v>
      </c>
      <c r="I703" s="54">
        <v>1</v>
      </c>
      <c r="J703" s="55">
        <v>24854</v>
      </c>
      <c r="K703" s="46" t="s">
        <v>794</v>
      </c>
      <c r="L703" s="46" t="s">
        <v>3</v>
      </c>
      <c r="M703" s="46" t="s">
        <v>1191</v>
      </c>
      <c r="N703" s="49">
        <v>1</v>
      </c>
      <c r="O703" s="49">
        <v>0</v>
      </c>
      <c r="P703" s="54" t="s">
        <v>1211</v>
      </c>
      <c r="Q703" s="54" t="s">
        <v>979</v>
      </c>
      <c r="R703" s="54" t="s">
        <v>376</v>
      </c>
      <c r="S703" s="46"/>
      <c r="T703" s="46"/>
      <c r="U703" s="46"/>
      <c r="V703" s="46"/>
      <c r="W703" s="46"/>
      <c r="X703" s="46"/>
      <c r="Y703" s="46"/>
      <c r="Z703" s="46"/>
      <c r="AA703" s="46"/>
      <c r="AB703" s="46"/>
      <c r="AC703" s="46"/>
      <c r="AD703" s="46" t="s">
        <v>1037</v>
      </c>
      <c r="AE703" s="50">
        <f>IF(L703="W",1,0)</f>
        <v>1</v>
      </c>
      <c r="AF703" s="50">
        <f>IF(L703="T",1,0)</f>
        <v>0</v>
      </c>
      <c r="AG703" s="50">
        <f>IF(L703="L",1,0)</f>
        <v>0</v>
      </c>
      <c r="AH703" s="46" t="s">
        <v>1241</v>
      </c>
      <c r="AI703" s="46" t="s">
        <v>1260</v>
      </c>
      <c r="AJ703" s="46" t="s">
        <v>376</v>
      </c>
      <c r="AK703" s="46" t="s">
        <v>658</v>
      </c>
      <c r="AL703" s="46" t="s">
        <v>979</v>
      </c>
      <c r="AM703" s="46" t="s">
        <v>1146</v>
      </c>
      <c r="AN703" s="46" t="s">
        <v>376</v>
      </c>
      <c r="AO703" s="46" t="s">
        <v>658</v>
      </c>
      <c r="AP703" s="46"/>
      <c r="AQ703" s="46">
        <v>2</v>
      </c>
      <c r="AR703" s="46"/>
      <c r="AS703" s="46"/>
      <c r="AT703" s="46"/>
      <c r="AU703" s="46" t="s">
        <v>376</v>
      </c>
      <c r="AV703" s="46"/>
      <c r="AW703" s="46" t="s">
        <v>30</v>
      </c>
      <c r="AX703" s="46"/>
      <c r="AY703" s="46"/>
      <c r="AZ703" s="46" t="s">
        <v>30</v>
      </c>
      <c r="BA703" s="54"/>
      <c r="BB703" s="51"/>
      <c r="BC703" s="46"/>
      <c r="BD703" s="46"/>
      <c r="BE703" s="46"/>
      <c r="BF703" s="46">
        <v>1</v>
      </c>
      <c r="BG703" s="46">
        <v>1</v>
      </c>
      <c r="BH703" s="46">
        <v>2</v>
      </c>
      <c r="BI703" s="46" t="s">
        <v>794</v>
      </c>
      <c r="BJ703" s="46" t="s">
        <v>1191</v>
      </c>
      <c r="BK703" s="46">
        <v>1968</v>
      </c>
      <c r="BL703" s="46" t="str">
        <f>BK703&amp;BI703</f>
        <v>1968Leeds United</v>
      </c>
      <c r="BM703" s="52" t="str">
        <f>IF(AD703="Home",BI703,IF(AD703="Away",BJ703,Q703))</f>
        <v>Derby County</v>
      </c>
      <c r="BN703" s="46"/>
      <c r="BO703" s="46"/>
      <c r="BP703" s="46"/>
      <c r="BQ703" s="46"/>
      <c r="BR703" s="46"/>
      <c r="BS703" s="46"/>
      <c r="BT703" s="46"/>
      <c r="BU703" s="46"/>
      <c r="BV703" s="46" t="s">
        <v>376</v>
      </c>
      <c r="BW703" s="46" t="s">
        <v>376</v>
      </c>
      <c r="BX703" s="46"/>
      <c r="BZ703" s="53"/>
      <c r="CA703" s="53"/>
      <c r="CB703" s="93" t="str">
        <f>IF(OR(C703="",A703="",B703=""),"",TEXT(C703,"0000")&amp;TEXT(A703,"00")&amp;TEXT(B703,"00"))</f>
        <v>19680117</v>
      </c>
    </row>
    <row r="704" spans="1:80" s="52" customFormat="1" ht="12.95" customHeight="1" x14ac:dyDescent="0.2">
      <c r="A704" s="46">
        <v>2</v>
      </c>
      <c r="B704" s="46">
        <v>6</v>
      </c>
      <c r="C704" s="46">
        <v>1968</v>
      </c>
      <c r="D704" s="46" t="s">
        <v>658</v>
      </c>
      <c r="E704" s="46" t="s">
        <v>561</v>
      </c>
      <c r="F704" s="54" t="s">
        <v>1327</v>
      </c>
      <c r="G704" s="46"/>
      <c r="H704" s="54" t="s">
        <v>1011</v>
      </c>
      <c r="I704" s="54">
        <v>2</v>
      </c>
      <c r="J704" s="55">
        <v>24874</v>
      </c>
      <c r="K704" s="46" t="s">
        <v>1259</v>
      </c>
      <c r="L704" s="46" t="s">
        <v>4</v>
      </c>
      <c r="M704" s="46" t="s">
        <v>587</v>
      </c>
      <c r="N704" s="49">
        <v>1</v>
      </c>
      <c r="O704" s="49">
        <v>3</v>
      </c>
      <c r="P704" s="54" t="s">
        <v>1288</v>
      </c>
      <c r="Q704" s="54" t="s">
        <v>1096</v>
      </c>
      <c r="R704" s="54" t="s">
        <v>376</v>
      </c>
      <c r="S704" s="46"/>
      <c r="T704" s="46"/>
      <c r="U704" s="46"/>
      <c r="V704" s="46"/>
      <c r="W704" s="46"/>
      <c r="X704" s="46"/>
      <c r="Y704" s="46"/>
      <c r="Z704" s="46"/>
      <c r="AA704" s="46"/>
      <c r="AB704" s="46"/>
      <c r="AC704" s="46"/>
      <c r="AD704" s="46" t="s">
        <v>1033</v>
      </c>
      <c r="AE704" s="50">
        <f>IF(L704="W",1,0)</f>
        <v>0</v>
      </c>
      <c r="AF704" s="50">
        <f>IF(L704="T",1,0)</f>
        <v>0</v>
      </c>
      <c r="AG704" s="50">
        <f>IF(L704="L",1,0)</f>
        <v>1</v>
      </c>
      <c r="AH704" s="46" t="s">
        <v>1096</v>
      </c>
      <c r="AI704" s="46" t="s">
        <v>1260</v>
      </c>
      <c r="AJ704" s="46" t="s">
        <v>376</v>
      </c>
      <c r="AK704" s="46" t="s">
        <v>658</v>
      </c>
      <c r="AL704" s="46" t="s">
        <v>1017</v>
      </c>
      <c r="AM704" s="46" t="s">
        <v>1018</v>
      </c>
      <c r="AN704" s="46" t="s">
        <v>376</v>
      </c>
      <c r="AO704" s="46" t="s">
        <v>658</v>
      </c>
      <c r="AP704" s="46"/>
      <c r="AQ704" s="46">
        <v>2</v>
      </c>
      <c r="AR704" s="46"/>
      <c r="AS704" s="46"/>
      <c r="AT704" s="46"/>
      <c r="AU704" s="46" t="s">
        <v>376</v>
      </c>
      <c r="AV704" s="46"/>
      <c r="AW704" s="46" t="s">
        <v>30</v>
      </c>
      <c r="AX704" s="46"/>
      <c r="AY704" s="46"/>
      <c r="AZ704" s="46" t="s">
        <v>30</v>
      </c>
      <c r="BA704" s="54"/>
      <c r="BB704" s="51"/>
      <c r="BC704" s="46"/>
      <c r="BD704" s="46"/>
      <c r="BE704" s="46"/>
      <c r="BF704" s="46">
        <v>1</v>
      </c>
      <c r="BG704" s="46">
        <v>2</v>
      </c>
      <c r="BH704" s="46">
        <v>1</v>
      </c>
      <c r="BI704" s="46" t="s">
        <v>1259</v>
      </c>
      <c r="BJ704" s="46" t="s">
        <v>587</v>
      </c>
      <c r="BK704" s="46">
        <v>1968</v>
      </c>
      <c r="BL704" s="46" t="str">
        <f>BK704&amp;BI704</f>
        <v>1968Huddersfield Town</v>
      </c>
      <c r="BM704" s="52" t="str">
        <f>IF(AD704="Home",BI704,IF(AD704="Away",BJ704,Q704))</f>
        <v>Huddersfield Town</v>
      </c>
      <c r="BN704" s="46"/>
      <c r="BO704" s="46"/>
      <c r="BP704" s="46"/>
      <c r="BQ704" s="46"/>
      <c r="BR704" s="46"/>
      <c r="BS704" s="46"/>
      <c r="BT704" s="46"/>
      <c r="BU704" s="46"/>
      <c r="BV704" s="46" t="s">
        <v>376</v>
      </c>
      <c r="BW704" s="46" t="s">
        <v>376</v>
      </c>
      <c r="BX704" s="46"/>
      <c r="BZ704" s="53"/>
      <c r="CA704" s="53"/>
      <c r="CB704" s="93" t="str">
        <f>IF(OR(C704="",A704="",B704=""),"",TEXT(C704,"0000")&amp;TEXT(A704,"00")&amp;TEXT(B704,"00"))</f>
        <v>19680206</v>
      </c>
    </row>
    <row r="705" spans="1:80" s="52" customFormat="1" ht="12.95" customHeight="1" x14ac:dyDescent="0.2">
      <c r="A705" s="46">
        <v>2</v>
      </c>
      <c r="B705" s="46">
        <v>6</v>
      </c>
      <c r="C705" s="46">
        <v>1968</v>
      </c>
      <c r="D705" s="46" t="s">
        <v>658</v>
      </c>
      <c r="E705" s="46" t="s">
        <v>561</v>
      </c>
      <c r="F705" s="54" t="s">
        <v>1327</v>
      </c>
      <c r="G705" s="46"/>
      <c r="H705" s="54" t="s">
        <v>1011</v>
      </c>
      <c r="I705" s="54">
        <v>2</v>
      </c>
      <c r="J705" s="55">
        <v>24874</v>
      </c>
      <c r="K705" s="46" t="s">
        <v>587</v>
      </c>
      <c r="L705" s="46" t="s">
        <v>3</v>
      </c>
      <c r="M705" s="46" t="s">
        <v>1259</v>
      </c>
      <c r="N705" s="49">
        <v>3</v>
      </c>
      <c r="O705" s="49">
        <v>1</v>
      </c>
      <c r="P705" s="54" t="s">
        <v>1288</v>
      </c>
      <c r="Q705" s="54" t="s">
        <v>1096</v>
      </c>
      <c r="R705" s="54" t="s">
        <v>376</v>
      </c>
      <c r="S705" s="46"/>
      <c r="T705" s="46"/>
      <c r="U705" s="46"/>
      <c r="V705" s="46"/>
      <c r="W705" s="46"/>
      <c r="X705" s="46"/>
      <c r="Y705" s="46"/>
      <c r="Z705" s="46"/>
      <c r="AA705" s="46"/>
      <c r="AB705" s="46"/>
      <c r="AC705" s="46"/>
      <c r="AD705" s="46" t="s">
        <v>1037</v>
      </c>
      <c r="AE705" s="50">
        <f>IF(L705="W",1,0)</f>
        <v>1</v>
      </c>
      <c r="AF705" s="50">
        <f>IF(L705="T",1,0)</f>
        <v>0</v>
      </c>
      <c r="AG705" s="50">
        <f>IF(L705="L",1,0)</f>
        <v>0</v>
      </c>
      <c r="AH705" s="46" t="s">
        <v>1017</v>
      </c>
      <c r="AI705" s="46" t="s">
        <v>1018</v>
      </c>
      <c r="AJ705" s="46" t="s">
        <v>376</v>
      </c>
      <c r="AK705" s="46" t="s">
        <v>658</v>
      </c>
      <c r="AL705" s="46" t="s">
        <v>1096</v>
      </c>
      <c r="AM705" s="46" t="s">
        <v>1260</v>
      </c>
      <c r="AN705" s="46" t="s">
        <v>376</v>
      </c>
      <c r="AO705" s="46" t="s">
        <v>658</v>
      </c>
      <c r="AP705" s="46"/>
      <c r="AQ705" s="46">
        <v>2</v>
      </c>
      <c r="AR705" s="46"/>
      <c r="AS705" s="46"/>
      <c r="AT705" s="46"/>
      <c r="AU705" s="46" t="s">
        <v>376</v>
      </c>
      <c r="AV705" s="46"/>
      <c r="AW705" s="46" t="s">
        <v>30</v>
      </c>
      <c r="AX705" s="46"/>
      <c r="AY705" s="46"/>
      <c r="AZ705" s="46" t="s">
        <v>30</v>
      </c>
      <c r="BA705" s="54"/>
      <c r="BB705" s="51"/>
      <c r="BC705" s="46"/>
      <c r="BD705" s="46"/>
      <c r="BE705" s="46"/>
      <c r="BF705" s="46">
        <v>1</v>
      </c>
      <c r="BG705" s="46">
        <v>1</v>
      </c>
      <c r="BH705" s="46">
        <v>2</v>
      </c>
      <c r="BI705" s="46" t="s">
        <v>587</v>
      </c>
      <c r="BJ705" s="46" t="s">
        <v>1259</v>
      </c>
      <c r="BK705" s="46">
        <v>1968</v>
      </c>
      <c r="BL705" s="46" t="str">
        <f>BK705&amp;BI705</f>
        <v>1968Arsenal</v>
      </c>
      <c r="BM705" s="52" t="str">
        <f>IF(AD705="Home",BI705,IF(AD705="Away",BJ705,Q705))</f>
        <v>Huddersfield Town</v>
      </c>
      <c r="BN705" s="46"/>
      <c r="BO705" s="46"/>
      <c r="BP705" s="46"/>
      <c r="BQ705" s="46"/>
      <c r="BR705" s="46"/>
      <c r="BS705" s="46"/>
      <c r="BT705" s="46"/>
      <c r="BU705" s="46"/>
      <c r="BV705" s="46" t="s">
        <v>376</v>
      </c>
      <c r="BW705" s="46" t="s">
        <v>376</v>
      </c>
      <c r="BX705" s="46"/>
      <c r="BZ705" s="53"/>
      <c r="CA705" s="53"/>
      <c r="CB705" s="93" t="str">
        <f>IF(OR(C705="",A705="",B705=""),"",TEXT(C705,"0000")&amp;TEXT(A705,"00")&amp;TEXT(B705,"00"))</f>
        <v>19680206</v>
      </c>
    </row>
    <row r="706" spans="1:80" s="52" customFormat="1" ht="12.95" customHeight="1" x14ac:dyDescent="0.2">
      <c r="A706" s="46">
        <v>2</v>
      </c>
      <c r="B706" s="46">
        <v>7</v>
      </c>
      <c r="C706" s="46">
        <v>1968</v>
      </c>
      <c r="D706" s="46" t="s">
        <v>658</v>
      </c>
      <c r="E706" s="46" t="s">
        <v>561</v>
      </c>
      <c r="F706" s="54" t="s">
        <v>1327</v>
      </c>
      <c r="G706" s="46"/>
      <c r="H706" s="54" t="s">
        <v>1011</v>
      </c>
      <c r="I706" s="54">
        <v>2</v>
      </c>
      <c r="J706" s="55">
        <v>24875</v>
      </c>
      <c r="K706" s="46" t="s">
        <v>794</v>
      </c>
      <c r="L706" s="46" t="s">
        <v>3</v>
      </c>
      <c r="M706" s="46" t="s">
        <v>1191</v>
      </c>
      <c r="N706" s="49">
        <v>3</v>
      </c>
      <c r="O706" s="49">
        <v>2</v>
      </c>
      <c r="P706" s="54" t="s">
        <v>1240</v>
      </c>
      <c r="Q706" s="54" t="s">
        <v>1241</v>
      </c>
      <c r="R706" s="54" t="s">
        <v>376</v>
      </c>
      <c r="S706" s="46"/>
      <c r="T706" s="46"/>
      <c r="U706" s="46"/>
      <c r="V706" s="46"/>
      <c r="W706" s="46"/>
      <c r="X706" s="46"/>
      <c r="Y706" s="46"/>
      <c r="Z706" s="46"/>
      <c r="AA706" s="46"/>
      <c r="AB706" s="46"/>
      <c r="AC706" s="46"/>
      <c r="AD706" s="46" t="s">
        <v>1033</v>
      </c>
      <c r="AE706" s="50">
        <f>IF(L706="W",1,0)</f>
        <v>1</v>
      </c>
      <c r="AF706" s="50">
        <f>IF(L706="T",1,0)</f>
        <v>0</v>
      </c>
      <c r="AG706" s="50">
        <f>IF(L706="L",1,0)</f>
        <v>0</v>
      </c>
      <c r="AH706" s="46" t="s">
        <v>1241</v>
      </c>
      <c r="AI706" s="46" t="s">
        <v>1260</v>
      </c>
      <c r="AJ706" s="46" t="s">
        <v>376</v>
      </c>
      <c r="AK706" s="46" t="s">
        <v>658</v>
      </c>
      <c r="AL706" s="46" t="s">
        <v>979</v>
      </c>
      <c r="AM706" s="46" t="s">
        <v>1146</v>
      </c>
      <c r="AN706" s="46" t="s">
        <v>376</v>
      </c>
      <c r="AO706" s="46" t="s">
        <v>658</v>
      </c>
      <c r="AP706" s="46"/>
      <c r="AQ706" s="46">
        <v>2</v>
      </c>
      <c r="AR706" s="46"/>
      <c r="AS706" s="46"/>
      <c r="AT706" s="46"/>
      <c r="AU706" s="46" t="s">
        <v>376</v>
      </c>
      <c r="AV706" s="46"/>
      <c r="AW706" s="46" t="s">
        <v>30</v>
      </c>
      <c r="AX706" s="46"/>
      <c r="AY706" s="46"/>
      <c r="AZ706" s="46" t="s">
        <v>30</v>
      </c>
      <c r="BA706" s="54"/>
      <c r="BB706" s="51"/>
      <c r="BC706" s="46"/>
      <c r="BD706" s="46"/>
      <c r="BE706" s="46"/>
      <c r="BF706" s="46">
        <v>1</v>
      </c>
      <c r="BG706" s="46">
        <v>1</v>
      </c>
      <c r="BH706" s="46">
        <v>2</v>
      </c>
      <c r="BI706" s="46" t="s">
        <v>794</v>
      </c>
      <c r="BJ706" s="46" t="s">
        <v>1191</v>
      </c>
      <c r="BK706" s="46">
        <v>1968</v>
      </c>
      <c r="BL706" s="46" t="str">
        <f>BK706&amp;BI706</f>
        <v>1968Leeds United</v>
      </c>
      <c r="BM706" s="52" t="str">
        <f>IF(AD706="Home",BI706,IF(AD706="Away",BJ706,Q706))</f>
        <v>Leeds United</v>
      </c>
      <c r="BN706" s="46"/>
      <c r="BO706" s="46"/>
      <c r="BP706" s="46"/>
      <c r="BQ706" s="46"/>
      <c r="BR706" s="46"/>
      <c r="BS706" s="46"/>
      <c r="BT706" s="46"/>
      <c r="BU706" s="46"/>
      <c r="BV706" s="46" t="s">
        <v>376</v>
      </c>
      <c r="BW706" s="46" t="s">
        <v>376</v>
      </c>
      <c r="BX706" s="46"/>
      <c r="BZ706" s="53"/>
      <c r="CA706" s="53"/>
      <c r="CB706" s="93" t="str">
        <f>IF(OR(C706="",A706="",B706=""),"",TEXT(C706,"0000")&amp;TEXT(A706,"00")&amp;TEXT(B706,"00"))</f>
        <v>19680207</v>
      </c>
    </row>
    <row r="707" spans="1:80" s="52" customFormat="1" ht="12.95" customHeight="1" x14ac:dyDescent="0.2">
      <c r="A707" s="46">
        <v>2</v>
      </c>
      <c r="B707" s="46">
        <v>7</v>
      </c>
      <c r="C707" s="46">
        <v>1968</v>
      </c>
      <c r="D707" s="46" t="s">
        <v>658</v>
      </c>
      <c r="E707" s="46" t="s">
        <v>561</v>
      </c>
      <c r="F707" s="54" t="s">
        <v>1327</v>
      </c>
      <c r="G707" s="46"/>
      <c r="H707" s="54" t="s">
        <v>1011</v>
      </c>
      <c r="I707" s="54">
        <v>2</v>
      </c>
      <c r="J707" s="55">
        <v>24875</v>
      </c>
      <c r="K707" s="46" t="s">
        <v>1191</v>
      </c>
      <c r="L707" s="46" t="s">
        <v>4</v>
      </c>
      <c r="M707" s="46" t="s">
        <v>794</v>
      </c>
      <c r="N707" s="49">
        <v>2</v>
      </c>
      <c r="O707" s="49">
        <v>3</v>
      </c>
      <c r="P707" s="54" t="s">
        <v>1240</v>
      </c>
      <c r="Q707" s="54" t="s">
        <v>1241</v>
      </c>
      <c r="R707" s="54" t="s">
        <v>376</v>
      </c>
      <c r="S707" s="46"/>
      <c r="T707" s="46"/>
      <c r="U707" s="46"/>
      <c r="V707" s="46"/>
      <c r="W707" s="46"/>
      <c r="X707" s="46"/>
      <c r="Y707" s="46"/>
      <c r="Z707" s="46"/>
      <c r="AA707" s="46"/>
      <c r="AB707" s="46"/>
      <c r="AC707" s="46"/>
      <c r="AD707" s="46" t="s">
        <v>1037</v>
      </c>
      <c r="AE707" s="50">
        <f>IF(L707="W",1,0)</f>
        <v>0</v>
      </c>
      <c r="AF707" s="50">
        <f>IF(L707="T",1,0)</f>
        <v>0</v>
      </c>
      <c r="AG707" s="50">
        <f>IF(L707="L",1,0)</f>
        <v>1</v>
      </c>
      <c r="AH707" s="46" t="s">
        <v>979</v>
      </c>
      <c r="AI707" s="46" t="s">
        <v>1146</v>
      </c>
      <c r="AJ707" s="46" t="s">
        <v>376</v>
      </c>
      <c r="AK707" s="46" t="s">
        <v>658</v>
      </c>
      <c r="AL707" s="46" t="s">
        <v>1241</v>
      </c>
      <c r="AM707" s="46" t="s">
        <v>1260</v>
      </c>
      <c r="AN707" s="46" t="s">
        <v>376</v>
      </c>
      <c r="AO707" s="46" t="s">
        <v>658</v>
      </c>
      <c r="AP707" s="46"/>
      <c r="AQ707" s="46">
        <v>2</v>
      </c>
      <c r="AR707" s="46"/>
      <c r="AS707" s="46"/>
      <c r="AT707" s="46"/>
      <c r="AU707" s="46" t="s">
        <v>376</v>
      </c>
      <c r="AV707" s="46"/>
      <c r="AW707" s="46" t="s">
        <v>30</v>
      </c>
      <c r="AX707" s="46"/>
      <c r="AY707" s="46"/>
      <c r="AZ707" s="46" t="s">
        <v>30</v>
      </c>
      <c r="BA707" s="54"/>
      <c r="BB707" s="51"/>
      <c r="BC707" s="46"/>
      <c r="BD707" s="46"/>
      <c r="BE707" s="46"/>
      <c r="BF707" s="46">
        <v>1</v>
      </c>
      <c r="BG707" s="46">
        <v>2</v>
      </c>
      <c r="BH707" s="46">
        <v>1</v>
      </c>
      <c r="BI707" s="46" t="s">
        <v>1191</v>
      </c>
      <c r="BJ707" s="46" t="s">
        <v>794</v>
      </c>
      <c r="BK707" s="46">
        <v>1968</v>
      </c>
      <c r="BL707" s="46" t="str">
        <f>BK707&amp;BI707</f>
        <v>1968Derby County</v>
      </c>
      <c r="BM707" s="52" t="str">
        <f>IF(AD707="Home",BI707,IF(AD707="Away",BJ707,Q707))</f>
        <v>Leeds United</v>
      </c>
      <c r="BN707" s="46"/>
      <c r="BO707" s="46"/>
      <c r="BP707" s="46"/>
      <c r="BQ707" s="46"/>
      <c r="BR707" s="46"/>
      <c r="BS707" s="46"/>
      <c r="BT707" s="46"/>
      <c r="BU707" s="46"/>
      <c r="BV707" s="46" t="s">
        <v>376</v>
      </c>
      <c r="BW707" s="46" t="s">
        <v>376</v>
      </c>
      <c r="BX707" s="46"/>
      <c r="BZ707" s="53"/>
      <c r="CA707" s="53"/>
      <c r="CB707" s="93" t="str">
        <f>IF(OR(C707="",A707="",B707=""),"",TEXT(C707,"0000")&amp;TEXT(A707,"00")&amp;TEXT(B707,"00"))</f>
        <v>19680207</v>
      </c>
    </row>
    <row r="708" spans="1:80" s="52" customFormat="1" ht="12.95" customHeight="1" x14ac:dyDescent="0.2">
      <c r="A708" s="46">
        <v>3</v>
      </c>
      <c r="B708" s="46">
        <v>2</v>
      </c>
      <c r="C708" s="46">
        <v>1968</v>
      </c>
      <c r="D708" s="46" t="s">
        <v>658</v>
      </c>
      <c r="E708" s="46" t="s">
        <v>561</v>
      </c>
      <c r="F708" s="54" t="s">
        <v>1327</v>
      </c>
      <c r="G708" s="46"/>
      <c r="H708" s="54" t="s">
        <v>40</v>
      </c>
      <c r="I708" s="54"/>
      <c r="J708" s="55">
        <v>24899</v>
      </c>
      <c r="K708" s="46" t="s">
        <v>794</v>
      </c>
      <c r="L708" s="46" t="s">
        <v>3</v>
      </c>
      <c r="M708" s="46" t="s">
        <v>587</v>
      </c>
      <c r="N708" s="49">
        <v>1</v>
      </c>
      <c r="O708" s="49">
        <v>0</v>
      </c>
      <c r="P708" s="54" t="s">
        <v>1268</v>
      </c>
      <c r="Q708" s="54" t="s">
        <v>1017</v>
      </c>
      <c r="R708" s="54" t="s">
        <v>376</v>
      </c>
      <c r="S708" s="46"/>
      <c r="T708" s="46"/>
      <c r="U708" s="46"/>
      <c r="V708" s="46"/>
      <c r="W708" s="46"/>
      <c r="X708" s="46"/>
      <c r="Y708" s="46"/>
      <c r="Z708" s="46"/>
      <c r="AA708" s="46"/>
      <c r="AB708" s="46"/>
      <c r="AC708" s="46"/>
      <c r="AD708" s="46"/>
      <c r="AE708" s="50">
        <f>IF(L708="W",1,0)</f>
        <v>1</v>
      </c>
      <c r="AF708" s="50">
        <f>IF(L708="T",1,0)</f>
        <v>0</v>
      </c>
      <c r="AG708" s="50">
        <f>IF(L708="L",1,0)</f>
        <v>0</v>
      </c>
      <c r="AH708" s="46" t="s">
        <v>1241</v>
      </c>
      <c r="AI708" s="46" t="s">
        <v>1260</v>
      </c>
      <c r="AJ708" s="46" t="s">
        <v>376</v>
      </c>
      <c r="AK708" s="46" t="s">
        <v>658</v>
      </c>
      <c r="AL708" s="46" t="s">
        <v>1017</v>
      </c>
      <c r="AM708" s="46" t="s">
        <v>1018</v>
      </c>
      <c r="AN708" s="46" t="s">
        <v>376</v>
      </c>
      <c r="AO708" s="46" t="s">
        <v>658</v>
      </c>
      <c r="AP708" s="46"/>
      <c r="AQ708" s="46">
        <v>1</v>
      </c>
      <c r="AR708" s="46"/>
      <c r="AS708" s="46"/>
      <c r="AT708" s="46"/>
      <c r="AU708" s="46" t="s">
        <v>376</v>
      </c>
      <c r="AV708" s="46"/>
      <c r="AW708" s="46" t="s">
        <v>30</v>
      </c>
      <c r="AX708" s="46"/>
      <c r="AY708" s="46"/>
      <c r="AZ708" s="46" t="s">
        <v>30</v>
      </c>
      <c r="BA708" s="54"/>
      <c r="BB708" s="51" t="s">
        <v>30</v>
      </c>
      <c r="BC708" s="46" t="s">
        <v>30</v>
      </c>
      <c r="BD708" s="46"/>
      <c r="BE708" s="46"/>
      <c r="BF708" s="46">
        <v>1</v>
      </c>
      <c r="BG708" s="46">
        <v>1</v>
      </c>
      <c r="BH708" s="46">
        <v>1</v>
      </c>
      <c r="BI708" s="46" t="s">
        <v>794</v>
      </c>
      <c r="BJ708" s="46" t="s">
        <v>587</v>
      </c>
      <c r="BK708" s="46">
        <v>1968</v>
      </c>
      <c r="BL708" s="46" t="str">
        <f>BK708&amp;BI708</f>
        <v>1968Leeds United</v>
      </c>
      <c r="BM708" s="52" t="str">
        <f>IF(AD708="Home",BI708,IF(AD708="Away",BJ708,Q708))</f>
        <v>London</v>
      </c>
      <c r="BN708" s="46"/>
      <c r="BO708" s="46"/>
      <c r="BP708" s="46"/>
      <c r="BQ708" s="46"/>
      <c r="BR708" s="46"/>
      <c r="BS708" s="46"/>
      <c r="BT708" s="46"/>
      <c r="BU708" s="46"/>
      <c r="BV708" s="46" t="s">
        <v>376</v>
      </c>
      <c r="BW708" s="46" t="s">
        <v>376</v>
      </c>
      <c r="BX708" s="46"/>
      <c r="BZ708" s="53"/>
      <c r="CA708" s="53"/>
      <c r="CB708" s="93" t="str">
        <f>IF(OR(C708="",A708="",B708=""),"",TEXT(C708,"0000")&amp;TEXT(A708,"00")&amp;TEXT(B708,"00"))</f>
        <v>19680302</v>
      </c>
    </row>
    <row r="709" spans="1:80" s="52" customFormat="1" ht="12.95" customHeight="1" x14ac:dyDescent="0.2">
      <c r="A709" s="46">
        <v>3</v>
      </c>
      <c r="B709" s="46">
        <v>2</v>
      </c>
      <c r="C709" s="46">
        <v>1968</v>
      </c>
      <c r="D709" s="46" t="s">
        <v>658</v>
      </c>
      <c r="E709" s="46" t="s">
        <v>561</v>
      </c>
      <c r="F709" s="54" t="s">
        <v>1327</v>
      </c>
      <c r="G709" s="46"/>
      <c r="H709" s="54" t="s">
        <v>40</v>
      </c>
      <c r="I709" s="54"/>
      <c r="J709" s="55">
        <v>24899</v>
      </c>
      <c r="K709" s="46" t="s">
        <v>587</v>
      </c>
      <c r="L709" s="46" t="s">
        <v>4</v>
      </c>
      <c r="M709" s="46" t="s">
        <v>794</v>
      </c>
      <c r="N709" s="49">
        <v>0</v>
      </c>
      <c r="O709" s="49">
        <v>1</v>
      </c>
      <c r="P709" s="54" t="s">
        <v>1268</v>
      </c>
      <c r="Q709" s="54" t="s">
        <v>1017</v>
      </c>
      <c r="R709" s="54" t="s">
        <v>376</v>
      </c>
      <c r="S709" s="46"/>
      <c r="T709" s="46"/>
      <c r="U709" s="46"/>
      <c r="V709" s="46"/>
      <c r="W709" s="46"/>
      <c r="X709" s="46"/>
      <c r="Y709" s="46"/>
      <c r="Z709" s="46"/>
      <c r="AA709" s="46"/>
      <c r="AB709" s="46"/>
      <c r="AC709" s="46"/>
      <c r="AD709" s="46"/>
      <c r="AE709" s="50">
        <f>IF(L709="W",1,0)</f>
        <v>0</v>
      </c>
      <c r="AF709" s="50">
        <f>IF(L709="T",1,0)</f>
        <v>0</v>
      </c>
      <c r="AG709" s="50">
        <f>IF(L709="L",1,0)</f>
        <v>1</v>
      </c>
      <c r="AH709" s="46" t="s">
        <v>1017</v>
      </c>
      <c r="AI709" s="46" t="s">
        <v>1018</v>
      </c>
      <c r="AJ709" s="46" t="s">
        <v>376</v>
      </c>
      <c r="AK709" s="46" t="s">
        <v>658</v>
      </c>
      <c r="AL709" s="46" t="s">
        <v>1241</v>
      </c>
      <c r="AM709" s="46" t="s">
        <v>1260</v>
      </c>
      <c r="AN709" s="46" t="s">
        <v>376</v>
      </c>
      <c r="AO709" s="46" t="s">
        <v>658</v>
      </c>
      <c r="AP709" s="46"/>
      <c r="AQ709" s="46">
        <v>1</v>
      </c>
      <c r="AR709" s="46"/>
      <c r="AS709" s="46"/>
      <c r="AT709" s="46"/>
      <c r="AU709" s="46" t="s">
        <v>376</v>
      </c>
      <c r="AV709" s="46"/>
      <c r="AW709" s="46" t="s">
        <v>30</v>
      </c>
      <c r="AX709" s="46"/>
      <c r="AY709" s="46"/>
      <c r="AZ709" s="46" t="s">
        <v>30</v>
      </c>
      <c r="BA709" s="54"/>
      <c r="BB709" s="51"/>
      <c r="BC709" s="46" t="s">
        <v>30</v>
      </c>
      <c r="BD709" s="46"/>
      <c r="BE709" s="46"/>
      <c r="BF709" s="46">
        <v>1</v>
      </c>
      <c r="BG709" s="46">
        <v>1</v>
      </c>
      <c r="BH709" s="46">
        <v>1</v>
      </c>
      <c r="BI709" s="46" t="s">
        <v>587</v>
      </c>
      <c r="BJ709" s="46" t="s">
        <v>794</v>
      </c>
      <c r="BK709" s="46">
        <v>1968</v>
      </c>
      <c r="BL709" s="46" t="str">
        <f>BK709&amp;BI709</f>
        <v>1968Arsenal</v>
      </c>
      <c r="BM709" s="52" t="str">
        <f>IF(AD709="Home",BI709,IF(AD709="Away",BJ709,Q709))</f>
        <v>London</v>
      </c>
      <c r="BN709" s="46"/>
      <c r="BO709" s="46"/>
      <c r="BP709" s="46"/>
      <c r="BQ709" s="46"/>
      <c r="BR709" s="46"/>
      <c r="BS709" s="46"/>
      <c r="BT709" s="46"/>
      <c r="BU709" s="46"/>
      <c r="BV709" s="46" t="s">
        <v>376</v>
      </c>
      <c r="BW709" s="46" t="s">
        <v>376</v>
      </c>
      <c r="BX709" s="46"/>
      <c r="BZ709" s="53"/>
      <c r="CA709" s="53"/>
      <c r="CB709" s="93" t="str">
        <f>IF(OR(C709="",A709="",B709=""),"",TEXT(C709,"0000")&amp;TEXT(A709,"00")&amp;TEXT(B709,"00"))</f>
        <v>19680302</v>
      </c>
    </row>
    <row r="710" spans="1:80" s="52" customFormat="1" ht="12.95" customHeight="1" x14ac:dyDescent="0.2">
      <c r="A710" s="46">
        <v>4</v>
      </c>
      <c r="B710" s="46">
        <v>27</v>
      </c>
      <c r="C710" s="46">
        <v>1968</v>
      </c>
      <c r="D710" s="46" t="s">
        <v>658</v>
      </c>
      <c r="E710" s="46" t="s">
        <v>561</v>
      </c>
      <c r="F710" s="47" t="s">
        <v>1010</v>
      </c>
      <c r="G710" s="46"/>
      <c r="H710" s="47" t="s">
        <v>1011</v>
      </c>
      <c r="I710" s="47"/>
      <c r="J710" s="48">
        <v>24955</v>
      </c>
      <c r="K710" s="46" t="s">
        <v>804</v>
      </c>
      <c r="L710" s="46" t="s">
        <v>3</v>
      </c>
      <c r="M710" s="46" t="s">
        <v>794</v>
      </c>
      <c r="N710" s="49">
        <v>1</v>
      </c>
      <c r="O710" s="49">
        <v>0</v>
      </c>
      <c r="P710" s="47" t="s">
        <v>1246</v>
      </c>
      <c r="Q710" s="47" t="s">
        <v>1101</v>
      </c>
      <c r="R710" s="47" t="s">
        <v>376</v>
      </c>
      <c r="S710" s="46"/>
      <c r="T710" s="46"/>
      <c r="U710" s="46"/>
      <c r="V710" s="46"/>
      <c r="W710" s="46"/>
      <c r="X710" s="46"/>
      <c r="Y710" s="46"/>
      <c r="Z710" s="46"/>
      <c r="AA710" s="46"/>
      <c r="AB710" s="46"/>
      <c r="AC710" s="46"/>
      <c r="AD710" s="46"/>
      <c r="AE710" s="50">
        <f>IF(L710="W",1,0)</f>
        <v>1</v>
      </c>
      <c r="AF710" s="50">
        <f>IF(L710="T",1,0)</f>
        <v>0</v>
      </c>
      <c r="AG710" s="50">
        <f>IF(L710="L",1,0)</f>
        <v>0</v>
      </c>
      <c r="AH710" s="46" t="s">
        <v>588</v>
      </c>
      <c r="AI710" s="46" t="s">
        <v>1175</v>
      </c>
      <c r="AJ710" s="46" t="s">
        <v>376</v>
      </c>
      <c r="AK710" s="46" t="s">
        <v>658</v>
      </c>
      <c r="AL710" s="46" t="s">
        <v>1241</v>
      </c>
      <c r="AM710" s="46" t="s">
        <v>1260</v>
      </c>
      <c r="AN710" s="46" t="s">
        <v>376</v>
      </c>
      <c r="AO710" s="46" t="s">
        <v>658</v>
      </c>
      <c r="AP710" s="46"/>
      <c r="AQ710" s="46">
        <v>2</v>
      </c>
      <c r="AR710" s="46"/>
      <c r="AS710" s="46"/>
      <c r="AT710" s="46"/>
      <c r="AU710" s="46" t="s">
        <v>376</v>
      </c>
      <c r="AV710" s="46"/>
      <c r="AW710" s="46" t="s">
        <v>30</v>
      </c>
      <c r="AX710" s="46"/>
      <c r="AY710" s="46" t="s">
        <v>30</v>
      </c>
      <c r="AZ710" s="46"/>
      <c r="BA710" s="47"/>
      <c r="BB710" s="51"/>
      <c r="BC710" s="46"/>
      <c r="BD710" s="46"/>
      <c r="BE710" s="46"/>
      <c r="BF710" s="46">
        <v>1</v>
      </c>
      <c r="BG710" s="46">
        <v>1</v>
      </c>
      <c r="BH710" s="46">
        <v>1</v>
      </c>
      <c r="BI710" s="46" t="s">
        <v>804</v>
      </c>
      <c r="BJ710" s="46" t="s">
        <v>794</v>
      </c>
      <c r="BK710" s="46">
        <v>1968</v>
      </c>
      <c r="BL710" s="46" t="str">
        <f>BK710&amp;BI710</f>
        <v>1968Everton</v>
      </c>
      <c r="BM710" s="52" t="str">
        <f>IF(AD710="Home",BI710,IF(AD710="Away",BJ710,Q710))</f>
        <v>Manchester</v>
      </c>
      <c r="BN710" s="46"/>
      <c r="BO710" s="46"/>
      <c r="BP710" s="46"/>
      <c r="BQ710" s="46"/>
      <c r="BR710" s="46"/>
      <c r="BS710" s="46"/>
      <c r="BT710" s="46"/>
      <c r="BU710" s="46"/>
      <c r="BV710" s="46" t="s">
        <v>376</v>
      </c>
      <c r="BW710" s="46" t="s">
        <v>376</v>
      </c>
      <c r="BX710" s="46"/>
      <c r="BZ710" s="53"/>
      <c r="CA710" s="53"/>
      <c r="CB710" s="93" t="str">
        <f>IF(OR(C710="",A710="",B710=""),"",TEXT(C710,"0000")&amp;TEXT(A710,"00")&amp;TEXT(B710,"00"))</f>
        <v>19680427</v>
      </c>
    </row>
    <row r="711" spans="1:80" s="52" customFormat="1" ht="12.95" customHeight="1" x14ac:dyDescent="0.2">
      <c r="A711" s="46">
        <v>4</v>
      </c>
      <c r="B711" s="46">
        <v>27</v>
      </c>
      <c r="C711" s="46">
        <v>1968</v>
      </c>
      <c r="D711" s="46" t="s">
        <v>658</v>
      </c>
      <c r="E711" s="46" t="s">
        <v>561</v>
      </c>
      <c r="F711" s="47" t="s">
        <v>1010</v>
      </c>
      <c r="G711" s="46"/>
      <c r="H711" s="47" t="s">
        <v>1011</v>
      </c>
      <c r="I711" s="47"/>
      <c r="J711" s="48">
        <v>24955</v>
      </c>
      <c r="K711" s="46" t="s">
        <v>794</v>
      </c>
      <c r="L711" s="46" t="s">
        <v>4</v>
      </c>
      <c r="M711" s="46" t="s">
        <v>804</v>
      </c>
      <c r="N711" s="49">
        <v>0</v>
      </c>
      <c r="O711" s="49">
        <v>1</v>
      </c>
      <c r="P711" s="47" t="s">
        <v>1246</v>
      </c>
      <c r="Q711" s="47" t="s">
        <v>1101</v>
      </c>
      <c r="R711" s="47" t="s">
        <v>376</v>
      </c>
      <c r="S711" s="46"/>
      <c r="T711" s="46"/>
      <c r="U711" s="46"/>
      <c r="V711" s="46"/>
      <c r="W711" s="46"/>
      <c r="X711" s="46"/>
      <c r="Y711" s="46"/>
      <c r="Z711" s="46"/>
      <c r="AA711" s="46"/>
      <c r="AB711" s="46"/>
      <c r="AC711" s="46"/>
      <c r="AD711" s="46"/>
      <c r="AE711" s="50">
        <f>IF(L711="W",1,0)</f>
        <v>0</v>
      </c>
      <c r="AF711" s="50">
        <f>IF(L711="T",1,0)</f>
        <v>0</v>
      </c>
      <c r="AG711" s="50">
        <f>IF(L711="L",1,0)</f>
        <v>1</v>
      </c>
      <c r="AH711" s="46" t="s">
        <v>1241</v>
      </c>
      <c r="AI711" s="46" t="s">
        <v>1260</v>
      </c>
      <c r="AJ711" s="46" t="s">
        <v>376</v>
      </c>
      <c r="AK711" s="46" t="s">
        <v>658</v>
      </c>
      <c r="AL711" s="46" t="s">
        <v>588</v>
      </c>
      <c r="AM711" s="46" t="s">
        <v>1175</v>
      </c>
      <c r="AN711" s="46" t="s">
        <v>376</v>
      </c>
      <c r="AO711" s="46" t="s">
        <v>658</v>
      </c>
      <c r="AP711" s="46"/>
      <c r="AQ711" s="46">
        <v>2</v>
      </c>
      <c r="AR711" s="46"/>
      <c r="AS711" s="46"/>
      <c r="AT711" s="46"/>
      <c r="AU711" s="46" t="s">
        <v>376</v>
      </c>
      <c r="AV711" s="46"/>
      <c r="AW711" s="46" t="s">
        <v>30</v>
      </c>
      <c r="AX711" s="46"/>
      <c r="AY711" s="46" t="s">
        <v>30</v>
      </c>
      <c r="AZ711" s="46"/>
      <c r="BA711" s="47"/>
      <c r="BB711" s="51"/>
      <c r="BC711" s="46"/>
      <c r="BD711" s="46"/>
      <c r="BE711" s="46"/>
      <c r="BF711" s="46">
        <v>1</v>
      </c>
      <c r="BG711" s="46">
        <v>1</v>
      </c>
      <c r="BH711" s="46">
        <v>1</v>
      </c>
      <c r="BI711" s="46" t="s">
        <v>794</v>
      </c>
      <c r="BJ711" s="46" t="s">
        <v>804</v>
      </c>
      <c r="BK711" s="46">
        <v>1968</v>
      </c>
      <c r="BL711" s="46" t="str">
        <f>BK711&amp;BI711</f>
        <v>1968Leeds United</v>
      </c>
      <c r="BM711" s="52" t="str">
        <f>IF(AD711="Home",BI711,IF(AD711="Away",BJ711,Q711))</f>
        <v>Manchester</v>
      </c>
      <c r="BN711" s="46"/>
      <c r="BO711" s="46"/>
      <c r="BP711" s="46"/>
      <c r="BQ711" s="46"/>
      <c r="BR711" s="46"/>
      <c r="BS711" s="46"/>
      <c r="BT711" s="46"/>
      <c r="BU711" s="46"/>
      <c r="BV711" s="46" t="s">
        <v>376</v>
      </c>
      <c r="BW711" s="46" t="s">
        <v>376</v>
      </c>
      <c r="BX711" s="46"/>
      <c r="BZ711" s="53"/>
      <c r="CA711" s="53"/>
      <c r="CB711" s="93" t="str">
        <f>IF(OR(C711="",A711="",B711=""),"",TEXT(C711,"0000")&amp;TEXT(A711,"00")&amp;TEXT(B711,"00"))</f>
        <v>19680427</v>
      </c>
    </row>
    <row r="712" spans="1:80" s="52" customFormat="1" ht="12.95" customHeight="1" x14ac:dyDescent="0.2">
      <c r="A712" s="46">
        <v>4</v>
      </c>
      <c r="B712" s="46">
        <v>27</v>
      </c>
      <c r="C712" s="46">
        <v>1968</v>
      </c>
      <c r="D712" s="46" t="s">
        <v>658</v>
      </c>
      <c r="E712" s="46" t="s">
        <v>561</v>
      </c>
      <c r="F712" s="47" t="s">
        <v>1010</v>
      </c>
      <c r="G712" s="46"/>
      <c r="H712" s="47" t="s">
        <v>1011</v>
      </c>
      <c r="I712" s="47"/>
      <c r="J712" s="48">
        <v>24955</v>
      </c>
      <c r="K712" s="46" t="s">
        <v>1124</v>
      </c>
      <c r="L712" s="46" t="s">
        <v>3</v>
      </c>
      <c r="M712" s="46" t="s">
        <v>1125</v>
      </c>
      <c r="N712" s="49">
        <v>2</v>
      </c>
      <c r="O712" s="49">
        <v>0</v>
      </c>
      <c r="P712" s="47" t="s">
        <v>1219</v>
      </c>
      <c r="Q712" s="47" t="s">
        <v>1111</v>
      </c>
      <c r="R712" s="47" t="s">
        <v>376</v>
      </c>
      <c r="S712" s="46"/>
      <c r="T712" s="46"/>
      <c r="U712" s="46"/>
      <c r="V712" s="46"/>
      <c r="W712" s="46"/>
      <c r="X712" s="46"/>
      <c r="Y712" s="46"/>
      <c r="Z712" s="46"/>
      <c r="AA712" s="46"/>
      <c r="AB712" s="46"/>
      <c r="AC712" s="46"/>
      <c r="AD712" s="46"/>
      <c r="AE712" s="50">
        <f>IF(L712="W",1,0)</f>
        <v>1</v>
      </c>
      <c r="AF712" s="50">
        <f>IF(L712="T",1,0)</f>
        <v>0</v>
      </c>
      <c r="AG712" s="50">
        <f>IF(L712="L",1,0)</f>
        <v>0</v>
      </c>
      <c r="AH712" s="46" t="s">
        <v>1111</v>
      </c>
      <c r="AI712" s="46" t="s">
        <v>1126</v>
      </c>
      <c r="AJ712" s="46" t="s">
        <v>376</v>
      </c>
      <c r="AK712" s="46" t="s">
        <v>658</v>
      </c>
      <c r="AL712" s="46" t="s">
        <v>1111</v>
      </c>
      <c r="AM712" s="46" t="s">
        <v>1126</v>
      </c>
      <c r="AN712" s="46" t="s">
        <v>376</v>
      </c>
      <c r="AO712" s="46" t="s">
        <v>658</v>
      </c>
      <c r="AP712" s="46"/>
      <c r="AQ712" s="46">
        <v>2</v>
      </c>
      <c r="AR712" s="46"/>
      <c r="AS712" s="46"/>
      <c r="AT712" s="46"/>
      <c r="AU712" s="46" t="s">
        <v>376</v>
      </c>
      <c r="AV712" s="46"/>
      <c r="AW712" s="46" t="s">
        <v>30</v>
      </c>
      <c r="AX712" s="46"/>
      <c r="AY712" s="46" t="s">
        <v>30</v>
      </c>
      <c r="AZ712" s="46"/>
      <c r="BA712" s="47"/>
      <c r="BB712" s="51"/>
      <c r="BC712" s="46"/>
      <c r="BD712" s="46"/>
      <c r="BE712" s="46"/>
      <c r="BF712" s="46">
        <v>1</v>
      </c>
      <c r="BG712" s="46">
        <v>1</v>
      </c>
      <c r="BH712" s="46">
        <v>2</v>
      </c>
      <c r="BI712" s="46" t="s">
        <v>1124</v>
      </c>
      <c r="BJ712" s="46" t="s">
        <v>1125</v>
      </c>
      <c r="BK712" s="46">
        <v>1968</v>
      </c>
      <c r="BL712" s="46" t="str">
        <f>BK712&amp;BI712</f>
        <v>1968West Bromwich Albion</v>
      </c>
      <c r="BM712" s="52" t="str">
        <f>IF(AD712="Home",BI712,IF(AD712="Away",BJ712,Q712))</f>
        <v>Birmingham</v>
      </c>
      <c r="BN712" s="46"/>
      <c r="BO712" s="46"/>
      <c r="BP712" s="46"/>
      <c r="BQ712" s="46"/>
      <c r="BR712" s="46"/>
      <c r="BS712" s="46"/>
      <c r="BT712" s="46"/>
      <c r="BU712" s="46"/>
      <c r="BV712" s="46" t="s">
        <v>376</v>
      </c>
      <c r="BW712" s="46" t="s">
        <v>376</v>
      </c>
      <c r="BX712" s="46"/>
      <c r="BZ712" s="53"/>
      <c r="CA712" s="53"/>
      <c r="CB712" s="93" t="str">
        <f>IF(OR(C712="",A712="",B712=""),"",TEXT(C712,"0000")&amp;TEXT(A712,"00")&amp;TEXT(B712,"00"))</f>
        <v>19680427</v>
      </c>
    </row>
    <row r="713" spans="1:80" s="52" customFormat="1" ht="12.95" customHeight="1" x14ac:dyDescent="0.2">
      <c r="A713" s="46">
        <v>4</v>
      </c>
      <c r="B713" s="46">
        <v>27</v>
      </c>
      <c r="C713" s="46">
        <v>1968</v>
      </c>
      <c r="D713" s="46" t="s">
        <v>658</v>
      </c>
      <c r="E713" s="46" t="s">
        <v>561</v>
      </c>
      <c r="F713" s="47" t="s">
        <v>1010</v>
      </c>
      <c r="G713" s="46"/>
      <c r="H713" s="47" t="s">
        <v>1011</v>
      </c>
      <c r="I713" s="47"/>
      <c r="J713" s="48">
        <v>24955</v>
      </c>
      <c r="K713" s="46" t="s">
        <v>1125</v>
      </c>
      <c r="L713" s="46" t="s">
        <v>4</v>
      </c>
      <c r="M713" s="46" t="s">
        <v>1124</v>
      </c>
      <c r="N713" s="49">
        <v>0</v>
      </c>
      <c r="O713" s="49">
        <v>2</v>
      </c>
      <c r="P713" s="47" t="s">
        <v>1219</v>
      </c>
      <c r="Q713" s="47" t="s">
        <v>1111</v>
      </c>
      <c r="R713" s="47" t="s">
        <v>376</v>
      </c>
      <c r="S713" s="46"/>
      <c r="T713" s="46"/>
      <c r="U713" s="46"/>
      <c r="V713" s="46"/>
      <c r="W713" s="46"/>
      <c r="X713" s="46"/>
      <c r="Y713" s="46"/>
      <c r="Z713" s="46"/>
      <c r="AA713" s="46"/>
      <c r="AB713" s="46"/>
      <c r="AC713" s="46"/>
      <c r="AD713" s="46"/>
      <c r="AE713" s="50">
        <f>IF(L713="W",1,0)</f>
        <v>0</v>
      </c>
      <c r="AF713" s="50">
        <f>IF(L713="T",1,0)</f>
        <v>0</v>
      </c>
      <c r="AG713" s="50">
        <f>IF(L713="L",1,0)</f>
        <v>1</v>
      </c>
      <c r="AH713" s="46" t="s">
        <v>1111</v>
      </c>
      <c r="AI713" s="46" t="s">
        <v>1126</v>
      </c>
      <c r="AJ713" s="46" t="s">
        <v>376</v>
      </c>
      <c r="AK713" s="46" t="s">
        <v>658</v>
      </c>
      <c r="AL713" s="46" t="s">
        <v>1111</v>
      </c>
      <c r="AM713" s="46" t="s">
        <v>1126</v>
      </c>
      <c r="AN713" s="46" t="s">
        <v>376</v>
      </c>
      <c r="AO713" s="46" t="s">
        <v>658</v>
      </c>
      <c r="AP713" s="46"/>
      <c r="AQ713" s="46">
        <v>2</v>
      </c>
      <c r="AR713" s="46"/>
      <c r="AS713" s="46"/>
      <c r="AT713" s="46"/>
      <c r="AU713" s="46" t="s">
        <v>376</v>
      </c>
      <c r="AV713" s="46"/>
      <c r="AW713" s="46" t="s">
        <v>30</v>
      </c>
      <c r="AX713" s="46"/>
      <c r="AY713" s="46" t="s">
        <v>30</v>
      </c>
      <c r="AZ713" s="46"/>
      <c r="BA713" s="47"/>
      <c r="BB713" s="51"/>
      <c r="BC713" s="46"/>
      <c r="BD713" s="46"/>
      <c r="BE713" s="46"/>
      <c r="BF713" s="46">
        <v>1</v>
      </c>
      <c r="BG713" s="46">
        <v>2</v>
      </c>
      <c r="BH713" s="46">
        <v>1</v>
      </c>
      <c r="BI713" s="46" t="s">
        <v>1125</v>
      </c>
      <c r="BJ713" s="46" t="s">
        <v>1124</v>
      </c>
      <c r="BK713" s="46">
        <v>1968</v>
      </c>
      <c r="BL713" s="46" t="str">
        <f>BK713&amp;BI713</f>
        <v>1968Birmingham City</v>
      </c>
      <c r="BM713" s="52" t="str">
        <f>IF(AD713="Home",BI713,IF(AD713="Away",BJ713,Q713))</f>
        <v>Birmingham</v>
      </c>
      <c r="BN713" s="46"/>
      <c r="BO713" s="46"/>
      <c r="BP713" s="46"/>
      <c r="BQ713" s="46"/>
      <c r="BR713" s="46"/>
      <c r="BS713" s="46"/>
      <c r="BT713" s="46"/>
      <c r="BU713" s="46"/>
      <c r="BV713" s="46" t="s">
        <v>376</v>
      </c>
      <c r="BW713" s="46" t="s">
        <v>376</v>
      </c>
      <c r="BX713" s="46"/>
      <c r="BZ713" s="53"/>
      <c r="CA713" s="53"/>
      <c r="CB713" s="93" t="str">
        <f>IF(OR(C713="",A713="",B713=""),"",TEXT(C713,"0000")&amp;TEXT(A713,"00")&amp;TEXT(B713,"00"))</f>
        <v>19680427</v>
      </c>
    </row>
    <row r="714" spans="1:80" s="52" customFormat="1" ht="12.95" customHeight="1" x14ac:dyDescent="0.2">
      <c r="A714" s="46">
        <v>5</v>
      </c>
      <c r="B714" s="46">
        <v>18</v>
      </c>
      <c r="C714" s="46">
        <v>1968</v>
      </c>
      <c r="D714" s="46" t="s">
        <v>658</v>
      </c>
      <c r="E714" s="46" t="s">
        <v>561</v>
      </c>
      <c r="F714" s="47" t="s">
        <v>1010</v>
      </c>
      <c r="G714" s="46"/>
      <c r="H714" s="47" t="s">
        <v>1025</v>
      </c>
      <c r="I714" s="47"/>
      <c r="J714" s="48">
        <v>24976</v>
      </c>
      <c r="K714" s="46" t="s">
        <v>1124</v>
      </c>
      <c r="L714" s="46" t="s">
        <v>3</v>
      </c>
      <c r="M714" s="46" t="s">
        <v>804</v>
      </c>
      <c r="N714" s="49">
        <v>1</v>
      </c>
      <c r="O714" s="49">
        <v>0</v>
      </c>
      <c r="P714" s="47" t="s">
        <v>1268</v>
      </c>
      <c r="Q714" s="47" t="s">
        <v>1017</v>
      </c>
      <c r="R714" s="47" t="s">
        <v>376</v>
      </c>
      <c r="S714" s="46"/>
      <c r="T714" s="46"/>
      <c r="U714" s="46"/>
      <c r="V714" s="46"/>
      <c r="W714" s="46"/>
      <c r="X714" s="46"/>
      <c r="Y714" s="46"/>
      <c r="Z714" s="46"/>
      <c r="AA714" s="46"/>
      <c r="AB714" s="46"/>
      <c r="AC714" s="46"/>
      <c r="AD714" s="46"/>
      <c r="AE714" s="50">
        <f>IF(L714="W",1,0)</f>
        <v>1</v>
      </c>
      <c r="AF714" s="50">
        <f>IF(L714="T",1,0)</f>
        <v>0</v>
      </c>
      <c r="AG714" s="50">
        <f>IF(L714="L",1,0)</f>
        <v>0</v>
      </c>
      <c r="AH714" s="46" t="s">
        <v>1111</v>
      </c>
      <c r="AI714" s="46" t="s">
        <v>1126</v>
      </c>
      <c r="AJ714" s="46" t="s">
        <v>376</v>
      </c>
      <c r="AK714" s="46" t="s">
        <v>658</v>
      </c>
      <c r="AL714" s="46" t="s">
        <v>588</v>
      </c>
      <c r="AM714" s="46" t="s">
        <v>1175</v>
      </c>
      <c r="AN714" s="46" t="s">
        <v>376</v>
      </c>
      <c r="AO714" s="46" t="s">
        <v>658</v>
      </c>
      <c r="AP714" s="46"/>
      <c r="AQ714" s="46">
        <v>1</v>
      </c>
      <c r="AR714" s="46"/>
      <c r="AS714" s="46"/>
      <c r="AT714" s="46"/>
      <c r="AU714" s="46" t="s">
        <v>376</v>
      </c>
      <c r="AV714" s="46"/>
      <c r="AW714" s="46" t="s">
        <v>30</v>
      </c>
      <c r="AX714" s="46"/>
      <c r="AY714" s="46" t="s">
        <v>30</v>
      </c>
      <c r="AZ714" s="46"/>
      <c r="BA714" s="47"/>
      <c r="BB714" s="51" t="s">
        <v>30</v>
      </c>
      <c r="BC714" s="46" t="s">
        <v>30</v>
      </c>
      <c r="BD714" s="46"/>
      <c r="BE714" s="46"/>
      <c r="BF714" s="46">
        <v>1</v>
      </c>
      <c r="BG714" s="46">
        <v>1</v>
      </c>
      <c r="BH714" s="46">
        <v>1</v>
      </c>
      <c r="BI714" s="46" t="s">
        <v>1124</v>
      </c>
      <c r="BJ714" s="46" t="s">
        <v>804</v>
      </c>
      <c r="BK714" s="46">
        <v>1968</v>
      </c>
      <c r="BL714" s="46" t="str">
        <f>BK714&amp;BI714</f>
        <v>1968West Bromwich Albion</v>
      </c>
      <c r="BM714" s="52" t="str">
        <f>IF(AD714="Home",BI714,IF(AD714="Away",BJ714,Q714))</f>
        <v>London</v>
      </c>
      <c r="BN714" s="46"/>
      <c r="BO714" s="46"/>
      <c r="BP714" s="46"/>
      <c r="BQ714" s="46"/>
      <c r="BR714" s="46"/>
      <c r="BS714" s="46"/>
      <c r="BT714" s="46"/>
      <c r="BU714" s="46"/>
      <c r="BV714" s="46" t="s">
        <v>376</v>
      </c>
      <c r="BW714" s="46" t="s">
        <v>376</v>
      </c>
      <c r="BX714" s="46"/>
      <c r="BZ714" s="53"/>
      <c r="CA714" s="53"/>
      <c r="CB714" s="93" t="str">
        <f>IF(OR(C714="",A714="",B714=""),"",TEXT(C714,"0000")&amp;TEXT(A714,"00")&amp;TEXT(B714,"00"))</f>
        <v>19680518</v>
      </c>
    </row>
    <row r="715" spans="1:80" s="52" customFormat="1" ht="12.95" customHeight="1" x14ac:dyDescent="0.2">
      <c r="A715" s="46">
        <v>5</v>
      </c>
      <c r="B715" s="46">
        <v>18</v>
      </c>
      <c r="C715" s="46">
        <v>1968</v>
      </c>
      <c r="D715" s="46" t="s">
        <v>658</v>
      </c>
      <c r="E715" s="46" t="s">
        <v>561</v>
      </c>
      <c r="F715" s="47" t="s">
        <v>1010</v>
      </c>
      <c r="G715" s="46"/>
      <c r="H715" s="47" t="s">
        <v>1025</v>
      </c>
      <c r="I715" s="47"/>
      <c r="J715" s="48">
        <v>24976</v>
      </c>
      <c r="K715" s="46" t="s">
        <v>804</v>
      </c>
      <c r="L715" s="46" t="s">
        <v>4</v>
      </c>
      <c r="M715" s="46" t="s">
        <v>1124</v>
      </c>
      <c r="N715" s="49">
        <v>0</v>
      </c>
      <c r="O715" s="49">
        <v>1</v>
      </c>
      <c r="P715" s="47" t="s">
        <v>1268</v>
      </c>
      <c r="Q715" s="47" t="s">
        <v>1017</v>
      </c>
      <c r="R715" s="47" t="s">
        <v>376</v>
      </c>
      <c r="S715" s="46"/>
      <c r="T715" s="46"/>
      <c r="U715" s="46"/>
      <c r="V715" s="46"/>
      <c r="W715" s="46"/>
      <c r="X715" s="46"/>
      <c r="Y715" s="46"/>
      <c r="Z715" s="46"/>
      <c r="AA715" s="46"/>
      <c r="AB715" s="46"/>
      <c r="AC715" s="46"/>
      <c r="AD715" s="46"/>
      <c r="AE715" s="50">
        <f>IF(L715="W",1,0)</f>
        <v>0</v>
      </c>
      <c r="AF715" s="50">
        <f>IF(L715="T",1,0)</f>
        <v>0</v>
      </c>
      <c r="AG715" s="50">
        <f>IF(L715="L",1,0)</f>
        <v>1</v>
      </c>
      <c r="AH715" s="46" t="s">
        <v>588</v>
      </c>
      <c r="AI715" s="46" t="s">
        <v>1175</v>
      </c>
      <c r="AJ715" s="46" t="s">
        <v>376</v>
      </c>
      <c r="AK715" s="46" t="s">
        <v>658</v>
      </c>
      <c r="AL715" s="46" t="s">
        <v>1111</v>
      </c>
      <c r="AM715" s="46" t="s">
        <v>1126</v>
      </c>
      <c r="AN715" s="46" t="s">
        <v>376</v>
      </c>
      <c r="AO715" s="46" t="s">
        <v>658</v>
      </c>
      <c r="AP715" s="46"/>
      <c r="AQ715" s="46">
        <v>1</v>
      </c>
      <c r="AR715" s="46"/>
      <c r="AS715" s="46"/>
      <c r="AT715" s="46"/>
      <c r="AU715" s="46" t="s">
        <v>376</v>
      </c>
      <c r="AV715" s="46"/>
      <c r="AW715" s="46" t="s">
        <v>30</v>
      </c>
      <c r="AX715" s="46"/>
      <c r="AY715" s="46" t="s">
        <v>30</v>
      </c>
      <c r="AZ715" s="46"/>
      <c r="BA715" s="47"/>
      <c r="BB715" s="51"/>
      <c r="BC715" s="46" t="s">
        <v>30</v>
      </c>
      <c r="BD715" s="46"/>
      <c r="BE715" s="46"/>
      <c r="BF715" s="46">
        <v>1</v>
      </c>
      <c r="BG715" s="46">
        <v>1</v>
      </c>
      <c r="BH715" s="46">
        <v>1</v>
      </c>
      <c r="BI715" s="46" t="s">
        <v>804</v>
      </c>
      <c r="BJ715" s="46" t="s">
        <v>1124</v>
      </c>
      <c r="BK715" s="46">
        <v>1968</v>
      </c>
      <c r="BL715" s="46" t="str">
        <f>BK715&amp;BI715</f>
        <v>1968Everton</v>
      </c>
      <c r="BM715" s="52" t="str">
        <f>IF(AD715="Home",BI715,IF(AD715="Away",BJ715,Q715))</f>
        <v>London</v>
      </c>
      <c r="BN715" s="46"/>
      <c r="BO715" s="46"/>
      <c r="BP715" s="46"/>
      <c r="BQ715" s="46"/>
      <c r="BR715" s="46"/>
      <c r="BS715" s="46"/>
      <c r="BT715" s="46"/>
      <c r="BU715" s="46"/>
      <c r="BV715" s="46" t="s">
        <v>376</v>
      </c>
      <c r="BW715" s="46" t="s">
        <v>376</v>
      </c>
      <c r="BX715" s="46"/>
      <c r="BZ715" s="53"/>
      <c r="CA715" s="53"/>
      <c r="CB715" s="93" t="str">
        <f>IF(OR(C715="",A715="",B715=""),"",TEXT(C715,"0000")&amp;TEXT(A715,"00")&amp;TEXT(B715,"00"))</f>
        <v>19680518</v>
      </c>
    </row>
    <row r="716" spans="1:80" s="52" customFormat="1" ht="12.95" customHeight="1" x14ac:dyDescent="0.2">
      <c r="A716" s="46">
        <v>11</v>
      </c>
      <c r="B716" s="46">
        <v>20</v>
      </c>
      <c r="C716" s="46">
        <v>1968</v>
      </c>
      <c r="D716" s="46" t="s">
        <v>658</v>
      </c>
      <c r="E716" s="46" t="s">
        <v>560</v>
      </c>
      <c r="F716" s="54" t="s">
        <v>1327</v>
      </c>
      <c r="G716" s="46"/>
      <c r="H716" s="54" t="s">
        <v>1011</v>
      </c>
      <c r="I716" s="54">
        <v>1</v>
      </c>
      <c r="J716" s="55">
        <v>25162</v>
      </c>
      <c r="K716" s="46" t="s">
        <v>587</v>
      </c>
      <c r="L716" s="46" t="s">
        <v>3</v>
      </c>
      <c r="M716" s="46" t="s">
        <v>813</v>
      </c>
      <c r="N716" s="49">
        <v>1</v>
      </c>
      <c r="O716" s="49">
        <v>0</v>
      </c>
      <c r="P716" s="54" t="s">
        <v>1281</v>
      </c>
      <c r="Q716" s="54" t="s">
        <v>1017</v>
      </c>
      <c r="R716" s="54" t="s">
        <v>376</v>
      </c>
      <c r="S716" s="46"/>
      <c r="T716" s="46"/>
      <c r="U716" s="46"/>
      <c r="V716" s="46"/>
      <c r="W716" s="46"/>
      <c r="X716" s="46"/>
      <c r="Y716" s="46"/>
      <c r="Z716" s="46"/>
      <c r="AA716" s="46"/>
      <c r="AB716" s="46"/>
      <c r="AC716" s="46"/>
      <c r="AD716" s="46" t="s">
        <v>1033</v>
      </c>
      <c r="AE716" s="50">
        <f>IF(L716="W",1,0)</f>
        <v>1</v>
      </c>
      <c r="AF716" s="50">
        <f>IF(L716="T",1,0)</f>
        <v>0</v>
      </c>
      <c r="AG716" s="50">
        <f>IF(L716="L",1,0)</f>
        <v>0</v>
      </c>
      <c r="AH716" s="46" t="s">
        <v>1017</v>
      </c>
      <c r="AI716" s="46" t="s">
        <v>1018</v>
      </c>
      <c r="AJ716" s="46" t="s">
        <v>376</v>
      </c>
      <c r="AK716" s="46" t="s">
        <v>658</v>
      </c>
      <c r="AL716" s="46" t="s">
        <v>1017</v>
      </c>
      <c r="AM716" s="46" t="s">
        <v>1018</v>
      </c>
      <c r="AN716" s="46" t="s">
        <v>376</v>
      </c>
      <c r="AO716" s="46" t="s">
        <v>658</v>
      </c>
      <c r="AP716" s="46"/>
      <c r="AQ716" s="46">
        <v>2</v>
      </c>
      <c r="AR716" s="46"/>
      <c r="AS716" s="46"/>
      <c r="AT716" s="46" t="s">
        <v>1351</v>
      </c>
      <c r="AU716" s="46" t="s">
        <v>376</v>
      </c>
      <c r="AV716" s="46"/>
      <c r="AW716" s="46" t="s">
        <v>30</v>
      </c>
      <c r="AX716" s="46"/>
      <c r="AY716" s="46"/>
      <c r="AZ716" s="46" t="s">
        <v>30</v>
      </c>
      <c r="BA716" s="54"/>
      <c r="BB716" s="51"/>
      <c r="BC716" s="46"/>
      <c r="BD716" s="46"/>
      <c r="BE716" s="46"/>
      <c r="BF716" s="46">
        <v>1</v>
      </c>
      <c r="BG716" s="46">
        <v>1</v>
      </c>
      <c r="BH716" s="46">
        <v>1</v>
      </c>
      <c r="BI716" s="46" t="s">
        <v>587</v>
      </c>
      <c r="BJ716" s="46" t="s">
        <v>813</v>
      </c>
      <c r="BK716" s="46">
        <v>1969</v>
      </c>
      <c r="BL716" s="46" t="str">
        <f>BK716&amp;BI716</f>
        <v>1969Arsenal</v>
      </c>
      <c r="BM716" s="52" t="str">
        <f>IF(AD716="Home",BI716,IF(AD716="Away",BJ716,Q716))</f>
        <v>Arsenal</v>
      </c>
      <c r="BN716" s="46"/>
      <c r="BO716" s="46"/>
      <c r="BP716" s="46"/>
      <c r="BQ716" s="46"/>
      <c r="BR716" s="46"/>
      <c r="BS716" s="46"/>
      <c r="BT716" s="46"/>
      <c r="BU716" s="46"/>
      <c r="BV716" s="46" t="s">
        <v>376</v>
      </c>
      <c r="BW716" s="46" t="s">
        <v>376</v>
      </c>
      <c r="BX716" s="46"/>
      <c r="BZ716" s="53"/>
      <c r="CA716" s="53"/>
      <c r="CB716" s="93" t="str">
        <f>IF(OR(C716="",A716="",B716=""),"",TEXT(C716,"0000")&amp;TEXT(A716,"00")&amp;TEXT(B716,"00"))</f>
        <v>19681120</v>
      </c>
    </row>
    <row r="717" spans="1:80" s="52" customFormat="1" ht="12.95" customHeight="1" x14ac:dyDescent="0.2">
      <c r="A717" s="46">
        <v>11</v>
      </c>
      <c r="B717" s="46">
        <v>20</v>
      </c>
      <c r="C717" s="46">
        <v>1968</v>
      </c>
      <c r="D717" s="46" t="s">
        <v>658</v>
      </c>
      <c r="E717" s="46" t="s">
        <v>560</v>
      </c>
      <c r="F717" s="54" t="s">
        <v>1327</v>
      </c>
      <c r="G717" s="46"/>
      <c r="H717" s="54" t="s">
        <v>1011</v>
      </c>
      <c r="I717" s="54">
        <v>1</v>
      </c>
      <c r="J717" s="55">
        <v>25162</v>
      </c>
      <c r="K717" s="46" t="s">
        <v>813</v>
      </c>
      <c r="L717" s="46" t="s">
        <v>4</v>
      </c>
      <c r="M717" s="46" t="s">
        <v>587</v>
      </c>
      <c r="N717" s="49">
        <v>0</v>
      </c>
      <c r="O717" s="49">
        <v>1</v>
      </c>
      <c r="P717" s="54" t="s">
        <v>1281</v>
      </c>
      <c r="Q717" s="54" t="s">
        <v>1017</v>
      </c>
      <c r="R717" s="54" t="s">
        <v>376</v>
      </c>
      <c r="S717" s="46"/>
      <c r="T717" s="46"/>
      <c r="U717" s="46"/>
      <c r="V717" s="46"/>
      <c r="W717" s="46"/>
      <c r="X717" s="46"/>
      <c r="Y717" s="46"/>
      <c r="Z717" s="46"/>
      <c r="AA717" s="46"/>
      <c r="AB717" s="46"/>
      <c r="AC717" s="46"/>
      <c r="AD717" s="46" t="s">
        <v>1037</v>
      </c>
      <c r="AE717" s="50">
        <f>IF(L717="W",1,0)</f>
        <v>0</v>
      </c>
      <c r="AF717" s="50">
        <f>IF(L717="T",1,0)</f>
        <v>0</v>
      </c>
      <c r="AG717" s="50">
        <f>IF(L717="L",1,0)</f>
        <v>1</v>
      </c>
      <c r="AH717" s="46" t="s">
        <v>1017</v>
      </c>
      <c r="AI717" s="46" t="s">
        <v>1018</v>
      </c>
      <c r="AJ717" s="46" t="s">
        <v>376</v>
      </c>
      <c r="AK717" s="46" t="s">
        <v>658</v>
      </c>
      <c r="AL717" s="46" t="s">
        <v>1017</v>
      </c>
      <c r="AM717" s="46" t="s">
        <v>1018</v>
      </c>
      <c r="AN717" s="46" t="s">
        <v>376</v>
      </c>
      <c r="AO717" s="46" t="s">
        <v>658</v>
      </c>
      <c r="AP717" s="46"/>
      <c r="AQ717" s="46">
        <v>2</v>
      </c>
      <c r="AR717" s="46"/>
      <c r="AS717" s="46"/>
      <c r="AT717" s="46" t="s">
        <v>1351</v>
      </c>
      <c r="AU717" s="46" t="s">
        <v>376</v>
      </c>
      <c r="AV717" s="46"/>
      <c r="AW717" s="46" t="s">
        <v>30</v>
      </c>
      <c r="AX717" s="46"/>
      <c r="AY717" s="46"/>
      <c r="AZ717" s="46" t="s">
        <v>30</v>
      </c>
      <c r="BA717" s="54"/>
      <c r="BB717" s="51"/>
      <c r="BC717" s="46"/>
      <c r="BD717" s="46"/>
      <c r="BE717" s="46"/>
      <c r="BF717" s="46">
        <v>1</v>
      </c>
      <c r="BG717" s="46">
        <v>1</v>
      </c>
      <c r="BH717" s="46">
        <v>1</v>
      </c>
      <c r="BI717" s="46" t="s">
        <v>813</v>
      </c>
      <c r="BJ717" s="46" t="s">
        <v>587</v>
      </c>
      <c r="BK717" s="46">
        <v>1969</v>
      </c>
      <c r="BL717" s="46" t="str">
        <f>BK717&amp;BI717</f>
        <v>1969Tottenham Hotspur</v>
      </c>
      <c r="BM717" s="52" t="str">
        <f>IF(AD717="Home",BI717,IF(AD717="Away",BJ717,Q717))</f>
        <v>Arsenal</v>
      </c>
      <c r="BN717" s="46"/>
      <c r="BO717" s="46"/>
      <c r="BP717" s="46"/>
      <c r="BQ717" s="46"/>
      <c r="BR717" s="46"/>
      <c r="BS717" s="46"/>
      <c r="BT717" s="46"/>
      <c r="BU717" s="46"/>
      <c r="BV717" s="46" t="s">
        <v>376</v>
      </c>
      <c r="BW717" s="46" t="s">
        <v>376</v>
      </c>
      <c r="BX717" s="46"/>
      <c r="BZ717" s="53"/>
      <c r="CA717" s="53"/>
      <c r="CB717" s="93" t="str">
        <f>IF(OR(C717="",A717="",B717=""),"",TEXT(C717,"0000")&amp;TEXT(A717,"00")&amp;TEXT(B717,"00"))</f>
        <v>19681120</v>
      </c>
    </row>
    <row r="718" spans="1:80" s="52" customFormat="1" ht="12.95" customHeight="1" x14ac:dyDescent="0.2">
      <c r="A718" s="46">
        <v>11</v>
      </c>
      <c r="B718" s="46">
        <v>20</v>
      </c>
      <c r="C718" s="46">
        <v>1968</v>
      </c>
      <c r="D718" s="46" t="s">
        <v>658</v>
      </c>
      <c r="E718" s="46" t="s">
        <v>560</v>
      </c>
      <c r="F718" s="54" t="s">
        <v>1327</v>
      </c>
      <c r="G718" s="46"/>
      <c r="H718" s="54" t="s">
        <v>1011</v>
      </c>
      <c r="I718" s="54">
        <v>1</v>
      </c>
      <c r="J718" s="55">
        <v>25162</v>
      </c>
      <c r="K718" s="46" t="s">
        <v>1255</v>
      </c>
      <c r="L718" s="46" t="s">
        <v>4</v>
      </c>
      <c r="M718" s="46" t="s">
        <v>1243</v>
      </c>
      <c r="N718" s="49">
        <v>1</v>
      </c>
      <c r="O718" s="49">
        <v>2</v>
      </c>
      <c r="P718" s="54" t="s">
        <v>1266</v>
      </c>
      <c r="Q718" s="54" t="s">
        <v>1255</v>
      </c>
      <c r="R718" s="54" t="s">
        <v>376</v>
      </c>
      <c r="S718" s="46"/>
      <c r="T718" s="46"/>
      <c r="U718" s="46"/>
      <c r="V718" s="46"/>
      <c r="W718" s="46"/>
      <c r="X718" s="46"/>
      <c r="Y718" s="46"/>
      <c r="Z718" s="46"/>
      <c r="AA718" s="46"/>
      <c r="AB718" s="46"/>
      <c r="AC718" s="46"/>
      <c r="AD718" s="46" t="s">
        <v>1033</v>
      </c>
      <c r="AE718" s="50">
        <f>IF(L718="W",1,0)</f>
        <v>0</v>
      </c>
      <c r="AF718" s="50">
        <f>IF(L718="T",1,0)</f>
        <v>0</v>
      </c>
      <c r="AG718" s="50">
        <f>IF(L718="L",1,0)</f>
        <v>1</v>
      </c>
      <c r="AH718" s="46" t="s">
        <v>1255</v>
      </c>
      <c r="AI718" s="46" t="s">
        <v>1086</v>
      </c>
      <c r="AJ718" s="46" t="s">
        <v>376</v>
      </c>
      <c r="AK718" s="46" t="s">
        <v>658</v>
      </c>
      <c r="AL718" s="46" t="s">
        <v>1244</v>
      </c>
      <c r="AM718" s="46" t="s">
        <v>1245</v>
      </c>
      <c r="AN718" s="46" t="s">
        <v>376</v>
      </c>
      <c r="AO718" s="46" t="s">
        <v>658</v>
      </c>
      <c r="AP718" s="46"/>
      <c r="AQ718" s="46">
        <v>2</v>
      </c>
      <c r="AR718" s="46"/>
      <c r="AS718" s="46"/>
      <c r="AT718" s="46"/>
      <c r="AU718" s="46" t="s">
        <v>376</v>
      </c>
      <c r="AV718" s="46"/>
      <c r="AW718" s="46" t="s">
        <v>30</v>
      </c>
      <c r="AX718" s="46"/>
      <c r="AY718" s="46"/>
      <c r="AZ718" s="46" t="s">
        <v>30</v>
      </c>
      <c r="BA718" s="54"/>
      <c r="BB718" s="51"/>
      <c r="BC718" s="46"/>
      <c r="BD718" s="46"/>
      <c r="BE718" s="46"/>
      <c r="BF718" s="46">
        <v>1</v>
      </c>
      <c r="BG718" s="46">
        <v>1</v>
      </c>
      <c r="BH718" s="46">
        <v>3</v>
      </c>
      <c r="BI718" s="46" t="s">
        <v>1255</v>
      </c>
      <c r="BJ718" s="46" t="s">
        <v>1243</v>
      </c>
      <c r="BK718" s="46">
        <v>1969</v>
      </c>
      <c r="BL718" s="46" t="str">
        <f>BK718&amp;BI718</f>
        <v>1969Burnley</v>
      </c>
      <c r="BM718" s="52" t="str">
        <f>IF(AD718="Home",BI718,IF(AD718="Away",BJ718,Q718))</f>
        <v>Burnley</v>
      </c>
      <c r="BN718" s="46"/>
      <c r="BO718" s="46"/>
      <c r="BP718" s="46"/>
      <c r="BQ718" s="46"/>
      <c r="BR718" s="46"/>
      <c r="BS718" s="46"/>
      <c r="BT718" s="46"/>
      <c r="BU718" s="46"/>
      <c r="BV718" s="46" t="s">
        <v>376</v>
      </c>
      <c r="BW718" s="46" t="s">
        <v>376</v>
      </c>
      <c r="BX718" s="46"/>
      <c r="BZ718" s="53"/>
      <c r="CA718" s="53"/>
      <c r="CB718" s="93" t="str">
        <f>IF(OR(C718="",A718="",B718=""),"",TEXT(C718,"0000")&amp;TEXT(A718,"00")&amp;TEXT(B718,"00"))</f>
        <v>19681120</v>
      </c>
    </row>
    <row r="719" spans="1:80" s="52" customFormat="1" ht="12.95" customHeight="1" x14ac:dyDescent="0.2">
      <c r="A719" s="46">
        <v>11</v>
      </c>
      <c r="B719" s="46">
        <v>20</v>
      </c>
      <c r="C719" s="46">
        <v>1968</v>
      </c>
      <c r="D719" s="46" t="s">
        <v>658</v>
      </c>
      <c r="E719" s="46" t="s">
        <v>560</v>
      </c>
      <c r="F719" s="54" t="s">
        <v>1327</v>
      </c>
      <c r="G719" s="46"/>
      <c r="H719" s="54" t="s">
        <v>1011</v>
      </c>
      <c r="I719" s="54">
        <v>1</v>
      </c>
      <c r="J719" s="55">
        <v>25162</v>
      </c>
      <c r="K719" s="46" t="s">
        <v>1243</v>
      </c>
      <c r="L719" s="46" t="s">
        <v>3</v>
      </c>
      <c r="M719" s="46" t="s">
        <v>1255</v>
      </c>
      <c r="N719" s="49">
        <v>2</v>
      </c>
      <c r="O719" s="49">
        <v>1</v>
      </c>
      <c r="P719" s="54" t="s">
        <v>1266</v>
      </c>
      <c r="Q719" s="54" t="s">
        <v>1255</v>
      </c>
      <c r="R719" s="54" t="s">
        <v>376</v>
      </c>
      <c r="S719" s="46"/>
      <c r="T719" s="46"/>
      <c r="U719" s="46"/>
      <c r="V719" s="46"/>
      <c r="W719" s="46"/>
      <c r="X719" s="46"/>
      <c r="Y719" s="46"/>
      <c r="Z719" s="46"/>
      <c r="AA719" s="46"/>
      <c r="AB719" s="46"/>
      <c r="AC719" s="46"/>
      <c r="AD719" s="46" t="s">
        <v>1037</v>
      </c>
      <c r="AE719" s="50">
        <f>IF(L719="W",1,0)</f>
        <v>1</v>
      </c>
      <c r="AF719" s="50">
        <f>IF(L719="T",1,0)</f>
        <v>0</v>
      </c>
      <c r="AG719" s="50">
        <f>IF(L719="L",1,0)</f>
        <v>0</v>
      </c>
      <c r="AH719" s="46" t="s">
        <v>1244</v>
      </c>
      <c r="AI719" s="46" t="s">
        <v>1245</v>
      </c>
      <c r="AJ719" s="46" t="s">
        <v>376</v>
      </c>
      <c r="AK719" s="46" t="s">
        <v>658</v>
      </c>
      <c r="AL719" s="46" t="s">
        <v>1255</v>
      </c>
      <c r="AM719" s="46" t="s">
        <v>1086</v>
      </c>
      <c r="AN719" s="46" t="s">
        <v>376</v>
      </c>
      <c r="AO719" s="46" t="s">
        <v>658</v>
      </c>
      <c r="AP719" s="46"/>
      <c r="AQ719" s="46">
        <v>2</v>
      </c>
      <c r="AR719" s="46"/>
      <c r="AS719" s="46"/>
      <c r="AT719" s="46"/>
      <c r="AU719" s="46" t="s">
        <v>376</v>
      </c>
      <c r="AV719" s="46"/>
      <c r="AW719" s="46" t="s">
        <v>30</v>
      </c>
      <c r="AX719" s="46"/>
      <c r="AY719" s="46"/>
      <c r="AZ719" s="46" t="s">
        <v>30</v>
      </c>
      <c r="BA719" s="54"/>
      <c r="BB719" s="51"/>
      <c r="BC719" s="46"/>
      <c r="BD719" s="46"/>
      <c r="BE719" s="46"/>
      <c r="BF719" s="46">
        <v>1</v>
      </c>
      <c r="BG719" s="46">
        <v>3</v>
      </c>
      <c r="BH719" s="46">
        <v>1</v>
      </c>
      <c r="BI719" s="46" t="s">
        <v>1243</v>
      </c>
      <c r="BJ719" s="46" t="s">
        <v>1255</v>
      </c>
      <c r="BK719" s="46">
        <v>1969</v>
      </c>
      <c r="BL719" s="46" t="str">
        <f>BK719&amp;BI719</f>
        <v>1969Swindon Town</v>
      </c>
      <c r="BM719" s="52" t="str">
        <f>IF(AD719="Home",BI719,IF(AD719="Away",BJ719,Q719))</f>
        <v>Burnley</v>
      </c>
      <c r="BN719" s="46"/>
      <c r="BO719" s="46"/>
      <c r="BP719" s="46"/>
      <c r="BQ719" s="46"/>
      <c r="BR719" s="46"/>
      <c r="BS719" s="46"/>
      <c r="BT719" s="46"/>
      <c r="BU719" s="46"/>
      <c r="BV719" s="46" t="s">
        <v>376</v>
      </c>
      <c r="BW719" s="46" t="s">
        <v>376</v>
      </c>
      <c r="BX719" s="46"/>
      <c r="BZ719" s="53"/>
      <c r="CA719" s="53"/>
      <c r="CB719" s="93" t="str">
        <f>IF(OR(C719="",A719="",B719=""),"",TEXT(C719,"0000")&amp;TEXT(A719,"00")&amp;TEXT(B719,"00"))</f>
        <v>19681120</v>
      </c>
    </row>
    <row r="720" spans="1:80" s="52" customFormat="1" ht="12.95" customHeight="1" x14ac:dyDescent="0.2">
      <c r="A720" s="46">
        <v>12</v>
      </c>
      <c r="B720" s="46">
        <v>4</v>
      </c>
      <c r="C720" s="46">
        <v>1968</v>
      </c>
      <c r="D720" s="46" t="s">
        <v>658</v>
      </c>
      <c r="E720" s="46" t="s">
        <v>560</v>
      </c>
      <c r="F720" s="54" t="s">
        <v>1327</v>
      </c>
      <c r="G720" s="46"/>
      <c r="H720" s="54" t="s">
        <v>1011</v>
      </c>
      <c r="I720" s="54">
        <v>2</v>
      </c>
      <c r="J720" s="55">
        <v>25176</v>
      </c>
      <c r="K720" s="46" t="s">
        <v>1243</v>
      </c>
      <c r="L720" s="46" t="s">
        <v>4</v>
      </c>
      <c r="M720" s="46" t="s">
        <v>1255</v>
      </c>
      <c r="N720" s="49">
        <v>1</v>
      </c>
      <c r="O720" s="49">
        <v>2</v>
      </c>
      <c r="P720" s="54" t="s">
        <v>1352</v>
      </c>
      <c r="Q720" s="54" t="s">
        <v>1244</v>
      </c>
      <c r="R720" s="54" t="s">
        <v>376</v>
      </c>
      <c r="S720" s="46" t="s">
        <v>1023</v>
      </c>
      <c r="T720" s="46"/>
      <c r="U720" s="46"/>
      <c r="V720" s="46"/>
      <c r="W720" s="46"/>
      <c r="X720" s="46"/>
      <c r="Y720" s="46"/>
      <c r="Z720" s="46"/>
      <c r="AA720" s="46"/>
      <c r="AB720" s="46"/>
      <c r="AC720" s="46"/>
      <c r="AD720" s="46" t="s">
        <v>1033</v>
      </c>
      <c r="AE720" s="50">
        <f>IF(L720="W",1,0)</f>
        <v>0</v>
      </c>
      <c r="AF720" s="50">
        <f>IF(L720="T",1,0)</f>
        <v>0</v>
      </c>
      <c r="AG720" s="50">
        <f>IF(L720="L",1,0)</f>
        <v>1</v>
      </c>
      <c r="AH720" s="46" t="s">
        <v>1244</v>
      </c>
      <c r="AI720" s="46" t="s">
        <v>1245</v>
      </c>
      <c r="AJ720" s="46" t="s">
        <v>376</v>
      </c>
      <c r="AK720" s="46" t="s">
        <v>658</v>
      </c>
      <c r="AL720" s="46" t="s">
        <v>1255</v>
      </c>
      <c r="AM720" s="46" t="s">
        <v>1086</v>
      </c>
      <c r="AN720" s="46" t="s">
        <v>376</v>
      </c>
      <c r="AO720" s="46" t="s">
        <v>658</v>
      </c>
      <c r="AP720" s="46"/>
      <c r="AQ720" s="46">
        <v>2</v>
      </c>
      <c r="AR720" s="46"/>
      <c r="AS720" s="46"/>
      <c r="AT720" s="46"/>
      <c r="AU720" s="46" t="s">
        <v>376</v>
      </c>
      <c r="AV720" s="46"/>
      <c r="AW720" s="46" t="s">
        <v>30</v>
      </c>
      <c r="AX720" s="46"/>
      <c r="AY720" s="46"/>
      <c r="AZ720" s="46" t="s">
        <v>30</v>
      </c>
      <c r="BA720" s="54"/>
      <c r="BB720" s="51"/>
      <c r="BC720" s="46"/>
      <c r="BD720" s="46"/>
      <c r="BE720" s="46"/>
      <c r="BF720" s="46">
        <v>1</v>
      </c>
      <c r="BG720" s="46">
        <v>3</v>
      </c>
      <c r="BH720" s="46">
        <v>1</v>
      </c>
      <c r="BI720" s="46" t="s">
        <v>1243</v>
      </c>
      <c r="BJ720" s="46" t="s">
        <v>1255</v>
      </c>
      <c r="BK720" s="46">
        <v>1969</v>
      </c>
      <c r="BL720" s="46" t="str">
        <f>BK720&amp;BI720</f>
        <v>1969Swindon Town</v>
      </c>
      <c r="BM720" s="52" t="str">
        <f>IF(AD720="Home",BI720,IF(AD720="Away",BJ720,Q720))</f>
        <v>Swindon Town</v>
      </c>
      <c r="BN720" s="46"/>
      <c r="BO720" s="46"/>
      <c r="BP720" s="46"/>
      <c r="BQ720" s="46"/>
      <c r="BR720" s="46"/>
      <c r="BS720" s="46"/>
      <c r="BT720" s="46"/>
      <c r="BU720" s="46"/>
      <c r="BV720" s="46" t="s">
        <v>376</v>
      </c>
      <c r="BW720" s="46" t="s">
        <v>376</v>
      </c>
      <c r="BX720" s="46"/>
      <c r="BY720" s="50"/>
      <c r="BZ720" s="53"/>
      <c r="CA720" s="53"/>
      <c r="CB720" s="93" t="str">
        <f>IF(OR(C720="",A720="",B720=""),"",TEXT(C720,"0000")&amp;TEXT(A720,"00")&amp;TEXT(B720,"00"))</f>
        <v>19681204</v>
      </c>
    </row>
    <row r="721" spans="1:80" s="52" customFormat="1" ht="12.95" customHeight="1" x14ac:dyDescent="0.2">
      <c r="A721" s="46">
        <v>12</v>
      </c>
      <c r="B721" s="46">
        <v>4</v>
      </c>
      <c r="C721" s="46">
        <v>1968</v>
      </c>
      <c r="D721" s="46" t="s">
        <v>658</v>
      </c>
      <c r="E721" s="46" t="s">
        <v>560</v>
      </c>
      <c r="F721" s="54" t="s">
        <v>1327</v>
      </c>
      <c r="G721" s="46"/>
      <c r="H721" s="54" t="s">
        <v>1011</v>
      </c>
      <c r="I721" s="54">
        <v>2</v>
      </c>
      <c r="J721" s="55">
        <v>25176</v>
      </c>
      <c r="K721" s="46" t="s">
        <v>1255</v>
      </c>
      <c r="L721" s="46" t="s">
        <v>3</v>
      </c>
      <c r="M721" s="46" t="s">
        <v>1243</v>
      </c>
      <c r="N721" s="49">
        <v>2</v>
      </c>
      <c r="O721" s="49">
        <v>1</v>
      </c>
      <c r="P721" s="54" t="s">
        <v>1352</v>
      </c>
      <c r="Q721" s="54" t="s">
        <v>1244</v>
      </c>
      <c r="R721" s="54" t="s">
        <v>376</v>
      </c>
      <c r="S721" s="46" t="s">
        <v>1023</v>
      </c>
      <c r="T721" s="46"/>
      <c r="U721" s="46"/>
      <c r="V721" s="46"/>
      <c r="W721" s="46"/>
      <c r="X721" s="46"/>
      <c r="Y721" s="46"/>
      <c r="Z721" s="46"/>
      <c r="AA721" s="46"/>
      <c r="AB721" s="46"/>
      <c r="AC721" s="46"/>
      <c r="AD721" s="46" t="s">
        <v>1037</v>
      </c>
      <c r="AE721" s="50">
        <f>IF(L721="W",1,0)</f>
        <v>1</v>
      </c>
      <c r="AF721" s="50">
        <f>IF(L721="T",1,0)</f>
        <v>0</v>
      </c>
      <c r="AG721" s="50">
        <f>IF(L721="L",1,0)</f>
        <v>0</v>
      </c>
      <c r="AH721" s="46" t="s">
        <v>1255</v>
      </c>
      <c r="AI721" s="46" t="s">
        <v>1086</v>
      </c>
      <c r="AJ721" s="46" t="s">
        <v>376</v>
      </c>
      <c r="AK721" s="46" t="s">
        <v>658</v>
      </c>
      <c r="AL721" s="46" t="s">
        <v>1244</v>
      </c>
      <c r="AM721" s="46" t="s">
        <v>1245</v>
      </c>
      <c r="AN721" s="46" t="s">
        <v>376</v>
      </c>
      <c r="AO721" s="46" t="s">
        <v>658</v>
      </c>
      <c r="AP721" s="46"/>
      <c r="AQ721" s="46">
        <v>2</v>
      </c>
      <c r="AR721" s="46"/>
      <c r="AS721" s="46"/>
      <c r="AT721" s="46"/>
      <c r="AU721" s="46" t="s">
        <v>376</v>
      </c>
      <c r="AV721" s="46"/>
      <c r="AW721" s="46" t="s">
        <v>30</v>
      </c>
      <c r="AX721" s="46"/>
      <c r="AY721" s="46"/>
      <c r="AZ721" s="46" t="s">
        <v>30</v>
      </c>
      <c r="BA721" s="54"/>
      <c r="BB721" s="51"/>
      <c r="BC721" s="46"/>
      <c r="BD721" s="46"/>
      <c r="BE721" s="46"/>
      <c r="BF721" s="46">
        <v>1</v>
      </c>
      <c r="BG721" s="46">
        <v>1</v>
      </c>
      <c r="BH721" s="46">
        <v>3</v>
      </c>
      <c r="BI721" s="46" t="s">
        <v>1255</v>
      </c>
      <c r="BJ721" s="46" t="s">
        <v>1243</v>
      </c>
      <c r="BK721" s="46">
        <v>1969</v>
      </c>
      <c r="BL721" s="46" t="str">
        <f>BK721&amp;BI721</f>
        <v>1969Burnley</v>
      </c>
      <c r="BM721" s="52" t="str">
        <f>IF(AD721="Home",BI721,IF(AD721="Away",BJ721,Q721))</f>
        <v>Swindon Town</v>
      </c>
      <c r="BN721" s="46"/>
      <c r="BO721" s="46"/>
      <c r="BP721" s="46"/>
      <c r="BQ721" s="46"/>
      <c r="BR721" s="46"/>
      <c r="BS721" s="46"/>
      <c r="BT721" s="46"/>
      <c r="BU721" s="46"/>
      <c r="BV721" s="46" t="s">
        <v>376</v>
      </c>
      <c r="BW721" s="46" t="s">
        <v>376</v>
      </c>
      <c r="BX721" s="46"/>
      <c r="BY721" s="50"/>
      <c r="BZ721" s="53"/>
      <c r="CA721" s="53"/>
      <c r="CB721" s="93" t="str">
        <f>IF(OR(C721="",A721="",B721=""),"",TEXT(C721,"0000")&amp;TEXT(A721,"00")&amp;TEXT(B721,"00"))</f>
        <v>19681204</v>
      </c>
    </row>
    <row r="722" spans="1:80" s="52" customFormat="1" ht="12.95" customHeight="1" x14ac:dyDescent="0.2">
      <c r="A722" s="46">
        <v>12</v>
      </c>
      <c r="B722" s="46">
        <v>4</v>
      </c>
      <c r="C722" s="46">
        <v>1968</v>
      </c>
      <c r="D722" s="46" t="s">
        <v>658</v>
      </c>
      <c r="E722" s="46" t="s">
        <v>560</v>
      </c>
      <c r="F722" s="54" t="s">
        <v>1327</v>
      </c>
      <c r="G722" s="46"/>
      <c r="H722" s="54" t="s">
        <v>1011</v>
      </c>
      <c r="I722" s="54">
        <v>2</v>
      </c>
      <c r="J722" s="55">
        <v>25176</v>
      </c>
      <c r="K722" s="46" t="s">
        <v>813</v>
      </c>
      <c r="L722" s="46" t="s">
        <v>1014</v>
      </c>
      <c r="M722" s="46" t="s">
        <v>587</v>
      </c>
      <c r="N722" s="49">
        <v>1</v>
      </c>
      <c r="O722" s="49">
        <v>1</v>
      </c>
      <c r="P722" s="54" t="s">
        <v>1222</v>
      </c>
      <c r="Q722" s="54" t="s">
        <v>1017</v>
      </c>
      <c r="R722" s="54" t="s">
        <v>376</v>
      </c>
      <c r="S722" s="46"/>
      <c r="T722" s="46"/>
      <c r="U722" s="46"/>
      <c r="V722" s="46"/>
      <c r="W722" s="46"/>
      <c r="X722" s="46"/>
      <c r="Y722" s="46"/>
      <c r="Z722" s="46"/>
      <c r="AA722" s="46"/>
      <c r="AB722" s="46"/>
      <c r="AC722" s="46"/>
      <c r="AD722" s="46" t="s">
        <v>1033</v>
      </c>
      <c r="AE722" s="50">
        <f>IF(L722="W",1,0)</f>
        <v>0</v>
      </c>
      <c r="AF722" s="50">
        <f>IF(L722="T",1,0)</f>
        <v>1</v>
      </c>
      <c r="AG722" s="50">
        <f>IF(L722="L",1,0)</f>
        <v>0</v>
      </c>
      <c r="AH722" s="46" t="s">
        <v>1017</v>
      </c>
      <c r="AI722" s="46" t="s">
        <v>1018</v>
      </c>
      <c r="AJ722" s="46" t="s">
        <v>376</v>
      </c>
      <c r="AK722" s="46" t="s">
        <v>658</v>
      </c>
      <c r="AL722" s="46" t="s">
        <v>1017</v>
      </c>
      <c r="AM722" s="46" t="s">
        <v>1018</v>
      </c>
      <c r="AN722" s="46" t="s">
        <v>376</v>
      </c>
      <c r="AO722" s="46" t="s">
        <v>658</v>
      </c>
      <c r="AP722" s="46"/>
      <c r="AQ722" s="46">
        <v>2</v>
      </c>
      <c r="AR722" s="46"/>
      <c r="AS722" s="46"/>
      <c r="AT722" s="46" t="s">
        <v>1351</v>
      </c>
      <c r="AU722" s="46" t="s">
        <v>376</v>
      </c>
      <c r="AV722" s="46"/>
      <c r="AW722" s="46" t="s">
        <v>30</v>
      </c>
      <c r="AX722" s="46"/>
      <c r="AY722" s="46"/>
      <c r="AZ722" s="46" t="s">
        <v>30</v>
      </c>
      <c r="BA722" s="54"/>
      <c r="BB722" s="51"/>
      <c r="BC722" s="46"/>
      <c r="BD722" s="46"/>
      <c r="BE722" s="46"/>
      <c r="BF722" s="46">
        <v>1</v>
      </c>
      <c r="BG722" s="46">
        <v>1</v>
      </c>
      <c r="BH722" s="46">
        <v>1</v>
      </c>
      <c r="BI722" s="46" t="s">
        <v>813</v>
      </c>
      <c r="BJ722" s="46" t="s">
        <v>587</v>
      </c>
      <c r="BK722" s="46">
        <v>1969</v>
      </c>
      <c r="BL722" s="46" t="str">
        <f>BK722&amp;BI722</f>
        <v>1969Tottenham Hotspur</v>
      </c>
      <c r="BM722" s="52" t="str">
        <f>IF(AD722="Home",BI722,IF(AD722="Away",BJ722,Q722))</f>
        <v>Tottenham Hotspur</v>
      </c>
      <c r="BN722" s="46"/>
      <c r="BO722" s="46"/>
      <c r="BP722" s="46"/>
      <c r="BQ722" s="46"/>
      <c r="BR722" s="46"/>
      <c r="BS722" s="46"/>
      <c r="BT722" s="46"/>
      <c r="BU722" s="46"/>
      <c r="BV722" s="46" t="s">
        <v>376</v>
      </c>
      <c r="BW722" s="46" t="s">
        <v>376</v>
      </c>
      <c r="BX722" s="46"/>
      <c r="BZ722" s="53"/>
      <c r="CA722" s="53"/>
      <c r="CB722" s="93" t="str">
        <f>IF(OR(C722="",A722="",B722=""),"",TEXT(C722,"0000")&amp;TEXT(A722,"00")&amp;TEXT(B722,"00"))</f>
        <v>19681204</v>
      </c>
    </row>
    <row r="723" spans="1:80" s="52" customFormat="1" ht="12.95" customHeight="1" x14ac:dyDescent="0.2">
      <c r="A723" s="46">
        <v>12</v>
      </c>
      <c r="B723" s="46">
        <v>4</v>
      </c>
      <c r="C723" s="46">
        <v>1968</v>
      </c>
      <c r="D723" s="46" t="s">
        <v>658</v>
      </c>
      <c r="E723" s="46" t="s">
        <v>560</v>
      </c>
      <c r="F723" s="54" t="s">
        <v>1327</v>
      </c>
      <c r="G723" s="46"/>
      <c r="H723" s="54" t="s">
        <v>1011</v>
      </c>
      <c r="I723" s="54">
        <v>2</v>
      </c>
      <c r="J723" s="55">
        <v>25176</v>
      </c>
      <c r="K723" s="46" t="s">
        <v>587</v>
      </c>
      <c r="L723" s="46" t="s">
        <v>1014</v>
      </c>
      <c r="M723" s="46" t="s">
        <v>813</v>
      </c>
      <c r="N723" s="49">
        <v>1</v>
      </c>
      <c r="O723" s="49">
        <v>1</v>
      </c>
      <c r="P723" s="54" t="s">
        <v>1222</v>
      </c>
      <c r="Q723" s="54" t="s">
        <v>1017</v>
      </c>
      <c r="R723" s="54" t="s">
        <v>376</v>
      </c>
      <c r="S723" s="46"/>
      <c r="T723" s="46"/>
      <c r="U723" s="46"/>
      <c r="V723" s="46"/>
      <c r="W723" s="46"/>
      <c r="X723" s="46"/>
      <c r="Y723" s="46"/>
      <c r="Z723" s="46"/>
      <c r="AA723" s="46"/>
      <c r="AB723" s="46"/>
      <c r="AC723" s="46"/>
      <c r="AD723" s="46" t="s">
        <v>1037</v>
      </c>
      <c r="AE723" s="50">
        <f>IF(L723="W",1,0)</f>
        <v>0</v>
      </c>
      <c r="AF723" s="50">
        <f>IF(L723="T",1,0)</f>
        <v>1</v>
      </c>
      <c r="AG723" s="50">
        <f>IF(L723="L",1,0)</f>
        <v>0</v>
      </c>
      <c r="AH723" s="46" t="s">
        <v>1017</v>
      </c>
      <c r="AI723" s="46" t="s">
        <v>1018</v>
      </c>
      <c r="AJ723" s="46" t="s">
        <v>376</v>
      </c>
      <c r="AK723" s="46" t="s">
        <v>658</v>
      </c>
      <c r="AL723" s="46" t="s">
        <v>1017</v>
      </c>
      <c r="AM723" s="46" t="s">
        <v>1018</v>
      </c>
      <c r="AN723" s="46" t="s">
        <v>376</v>
      </c>
      <c r="AO723" s="46" t="s">
        <v>658</v>
      </c>
      <c r="AP723" s="46"/>
      <c r="AQ723" s="46">
        <v>2</v>
      </c>
      <c r="AR723" s="46"/>
      <c r="AS723" s="46"/>
      <c r="AT723" s="46" t="s">
        <v>1351</v>
      </c>
      <c r="AU723" s="46" t="s">
        <v>376</v>
      </c>
      <c r="AV723" s="46"/>
      <c r="AW723" s="46" t="s">
        <v>30</v>
      </c>
      <c r="AX723" s="46"/>
      <c r="AY723" s="46"/>
      <c r="AZ723" s="46" t="s">
        <v>30</v>
      </c>
      <c r="BA723" s="54"/>
      <c r="BB723" s="51"/>
      <c r="BC723" s="46"/>
      <c r="BD723" s="46"/>
      <c r="BE723" s="46"/>
      <c r="BF723" s="46">
        <v>1</v>
      </c>
      <c r="BG723" s="46">
        <v>1</v>
      </c>
      <c r="BH723" s="46">
        <v>1</v>
      </c>
      <c r="BI723" s="46" t="s">
        <v>587</v>
      </c>
      <c r="BJ723" s="46" t="s">
        <v>813</v>
      </c>
      <c r="BK723" s="46">
        <v>1969</v>
      </c>
      <c r="BL723" s="46" t="str">
        <f>BK723&amp;BI723</f>
        <v>1969Arsenal</v>
      </c>
      <c r="BM723" s="52" t="str">
        <f>IF(AD723="Home",BI723,IF(AD723="Away",BJ723,Q723))</f>
        <v>Tottenham Hotspur</v>
      </c>
      <c r="BN723" s="46"/>
      <c r="BO723" s="46"/>
      <c r="BP723" s="46"/>
      <c r="BQ723" s="46"/>
      <c r="BR723" s="46"/>
      <c r="BS723" s="46"/>
      <c r="BT723" s="46"/>
      <c r="BU723" s="46"/>
      <c r="BV723" s="46" t="s">
        <v>376</v>
      </c>
      <c r="BW723" s="46" t="s">
        <v>376</v>
      </c>
      <c r="BX723" s="46"/>
      <c r="BZ723" s="53"/>
      <c r="CA723" s="53"/>
      <c r="CB723" s="93" t="str">
        <f>IF(OR(C723="",A723="",B723=""),"",TEXT(C723,"0000")&amp;TEXT(A723,"00")&amp;TEXT(B723,"00"))</f>
        <v>19681204</v>
      </c>
    </row>
    <row r="724" spans="1:80" s="52" customFormat="1" ht="12.95" customHeight="1" x14ac:dyDescent="0.2">
      <c r="A724" s="46">
        <v>3</v>
      </c>
      <c r="B724" s="46">
        <v>11</v>
      </c>
      <c r="C724" s="46">
        <v>1969</v>
      </c>
      <c r="D724" s="46" t="s">
        <v>658</v>
      </c>
      <c r="E724" s="46" t="s">
        <v>560</v>
      </c>
      <c r="F724" s="54" t="s">
        <v>1327</v>
      </c>
      <c r="G724" s="46"/>
      <c r="H724" s="54" t="s">
        <v>1011</v>
      </c>
      <c r="I724" s="54" t="s">
        <v>1023</v>
      </c>
      <c r="J724" s="55">
        <v>25273</v>
      </c>
      <c r="K724" s="46" t="s">
        <v>1255</v>
      </c>
      <c r="L724" s="46" t="s">
        <v>4</v>
      </c>
      <c r="M724" s="46" t="s">
        <v>1243</v>
      </c>
      <c r="N724" s="49">
        <v>2</v>
      </c>
      <c r="O724" s="49">
        <v>3</v>
      </c>
      <c r="P724" s="54" t="s">
        <v>1266</v>
      </c>
      <c r="Q724" s="54" t="s">
        <v>1255</v>
      </c>
      <c r="R724" s="54" t="s">
        <v>376</v>
      </c>
      <c r="S724" s="46"/>
      <c r="T724" s="46"/>
      <c r="U724" s="46"/>
      <c r="V724" s="46"/>
      <c r="W724" s="46"/>
      <c r="X724" s="46"/>
      <c r="Y724" s="46"/>
      <c r="Z724" s="46"/>
      <c r="AA724" s="46"/>
      <c r="AB724" s="46"/>
      <c r="AC724" s="46"/>
      <c r="AD724" s="46" t="s">
        <v>1033</v>
      </c>
      <c r="AE724" s="50">
        <f>IF(L724="W",1,0)</f>
        <v>0</v>
      </c>
      <c r="AF724" s="50">
        <f>IF(L724="T",1,0)</f>
        <v>0</v>
      </c>
      <c r="AG724" s="50">
        <f>IF(L724="L",1,0)</f>
        <v>1</v>
      </c>
      <c r="AH724" s="46" t="s">
        <v>1255</v>
      </c>
      <c r="AI724" s="46" t="s">
        <v>1086</v>
      </c>
      <c r="AJ724" s="46" t="s">
        <v>376</v>
      </c>
      <c r="AK724" s="46" t="s">
        <v>658</v>
      </c>
      <c r="AL724" s="46" t="s">
        <v>1244</v>
      </c>
      <c r="AM724" s="46" t="s">
        <v>1245</v>
      </c>
      <c r="AN724" s="46" t="s">
        <v>376</v>
      </c>
      <c r="AO724" s="46" t="s">
        <v>658</v>
      </c>
      <c r="AP724" s="46"/>
      <c r="AQ724" s="46">
        <v>2</v>
      </c>
      <c r="AR724" s="46"/>
      <c r="AS724" s="46"/>
      <c r="AT724" s="46"/>
      <c r="AU724" s="46" t="s">
        <v>376</v>
      </c>
      <c r="AV724" s="46"/>
      <c r="AW724" s="46" t="s">
        <v>30</v>
      </c>
      <c r="AX724" s="46"/>
      <c r="AY724" s="46"/>
      <c r="AZ724" s="46" t="s">
        <v>30</v>
      </c>
      <c r="BA724" s="54"/>
      <c r="BB724" s="51"/>
      <c r="BC724" s="46"/>
      <c r="BD724" s="46"/>
      <c r="BE724" s="46"/>
      <c r="BF724" s="46">
        <v>1</v>
      </c>
      <c r="BG724" s="46">
        <v>1</v>
      </c>
      <c r="BH724" s="46">
        <v>3</v>
      </c>
      <c r="BI724" s="46" t="s">
        <v>1255</v>
      </c>
      <c r="BJ724" s="46" t="s">
        <v>1243</v>
      </c>
      <c r="BK724" s="46">
        <v>1969</v>
      </c>
      <c r="BL724" s="46" t="str">
        <f>BK724&amp;BI724</f>
        <v>1969Burnley</v>
      </c>
      <c r="BM724" s="52" t="str">
        <f>IF(AD724="Home",BI724,IF(AD724="Away",BJ724,Q724))</f>
        <v>Burnley</v>
      </c>
      <c r="BN724" s="46"/>
      <c r="BO724" s="46"/>
      <c r="BP724" s="46"/>
      <c r="BQ724" s="46"/>
      <c r="BR724" s="46"/>
      <c r="BS724" s="46"/>
      <c r="BT724" s="46"/>
      <c r="BU724" s="46"/>
      <c r="BV724" s="46" t="s">
        <v>376</v>
      </c>
      <c r="BW724" s="46" t="s">
        <v>376</v>
      </c>
      <c r="BX724" s="46"/>
      <c r="BZ724" s="53"/>
      <c r="CA724" s="53"/>
      <c r="CB724" s="93" t="str">
        <f>IF(OR(C724="",A724="",B724=""),"",TEXT(C724,"0000")&amp;TEXT(A724,"00")&amp;TEXT(B724,"00"))</f>
        <v>19690311</v>
      </c>
    </row>
    <row r="725" spans="1:80" s="52" customFormat="1" ht="12.95" customHeight="1" x14ac:dyDescent="0.2">
      <c r="A725" s="46">
        <v>3</v>
      </c>
      <c r="B725" s="46">
        <v>11</v>
      </c>
      <c r="C725" s="46">
        <v>1969</v>
      </c>
      <c r="D725" s="46" t="s">
        <v>658</v>
      </c>
      <c r="E725" s="46" t="s">
        <v>560</v>
      </c>
      <c r="F725" s="54" t="s">
        <v>1327</v>
      </c>
      <c r="G725" s="46"/>
      <c r="H725" s="54" t="s">
        <v>1011</v>
      </c>
      <c r="I725" s="54" t="s">
        <v>1023</v>
      </c>
      <c r="J725" s="55">
        <v>25273</v>
      </c>
      <c r="K725" s="46" t="s">
        <v>1243</v>
      </c>
      <c r="L725" s="46" t="s">
        <v>3</v>
      </c>
      <c r="M725" s="46" t="s">
        <v>1255</v>
      </c>
      <c r="N725" s="49">
        <v>3</v>
      </c>
      <c r="O725" s="49">
        <v>2</v>
      </c>
      <c r="P725" s="54" t="s">
        <v>1266</v>
      </c>
      <c r="Q725" s="54" t="s">
        <v>1255</v>
      </c>
      <c r="R725" s="54" t="s">
        <v>376</v>
      </c>
      <c r="S725" s="46"/>
      <c r="T725" s="46"/>
      <c r="U725" s="46"/>
      <c r="V725" s="46"/>
      <c r="W725" s="46"/>
      <c r="X725" s="46"/>
      <c r="Y725" s="46"/>
      <c r="Z725" s="46"/>
      <c r="AA725" s="46"/>
      <c r="AB725" s="46"/>
      <c r="AC725" s="46"/>
      <c r="AD725" s="46" t="s">
        <v>1037</v>
      </c>
      <c r="AE725" s="50">
        <f>IF(L725="W",1,0)</f>
        <v>1</v>
      </c>
      <c r="AF725" s="50">
        <f>IF(L725="T",1,0)</f>
        <v>0</v>
      </c>
      <c r="AG725" s="50">
        <f>IF(L725="L",1,0)</f>
        <v>0</v>
      </c>
      <c r="AH725" s="46" t="s">
        <v>1244</v>
      </c>
      <c r="AI725" s="46" t="s">
        <v>1245</v>
      </c>
      <c r="AJ725" s="46" t="s">
        <v>376</v>
      </c>
      <c r="AK725" s="46" t="s">
        <v>658</v>
      </c>
      <c r="AL725" s="46" t="s">
        <v>1255</v>
      </c>
      <c r="AM725" s="46" t="s">
        <v>1086</v>
      </c>
      <c r="AN725" s="46" t="s">
        <v>376</v>
      </c>
      <c r="AO725" s="46" t="s">
        <v>658</v>
      </c>
      <c r="AP725" s="46"/>
      <c r="AQ725" s="46">
        <v>2</v>
      </c>
      <c r="AR725" s="46"/>
      <c r="AS725" s="46"/>
      <c r="AT725" s="46"/>
      <c r="AU725" s="46" t="s">
        <v>376</v>
      </c>
      <c r="AV725" s="46"/>
      <c r="AW725" s="46" t="s">
        <v>30</v>
      </c>
      <c r="AX725" s="46"/>
      <c r="AY725" s="46"/>
      <c r="AZ725" s="46" t="s">
        <v>30</v>
      </c>
      <c r="BA725" s="54"/>
      <c r="BB725" s="51"/>
      <c r="BC725" s="46"/>
      <c r="BD725" s="46"/>
      <c r="BE725" s="46"/>
      <c r="BF725" s="46">
        <v>1</v>
      </c>
      <c r="BG725" s="46">
        <v>3</v>
      </c>
      <c r="BH725" s="46">
        <v>1</v>
      </c>
      <c r="BI725" s="46" t="s">
        <v>1243</v>
      </c>
      <c r="BJ725" s="46" t="s">
        <v>1255</v>
      </c>
      <c r="BK725" s="46">
        <v>1969</v>
      </c>
      <c r="BL725" s="46" t="str">
        <f>BK725&amp;BI725</f>
        <v>1969Swindon Town</v>
      </c>
      <c r="BM725" s="52" t="str">
        <f>IF(AD725="Home",BI725,IF(AD725="Away",BJ725,Q725))</f>
        <v>Burnley</v>
      </c>
      <c r="BN725" s="46"/>
      <c r="BO725" s="46"/>
      <c r="BP725" s="46"/>
      <c r="BQ725" s="46"/>
      <c r="BR725" s="46"/>
      <c r="BS725" s="46"/>
      <c r="BT725" s="46"/>
      <c r="BU725" s="46"/>
      <c r="BV725" s="46" t="s">
        <v>376</v>
      </c>
      <c r="BW725" s="46" t="s">
        <v>376</v>
      </c>
      <c r="BX725" s="46"/>
      <c r="BZ725" s="53"/>
      <c r="CA725" s="53"/>
      <c r="CB725" s="93" t="str">
        <f>IF(OR(C725="",A725="",B725=""),"",TEXT(C725,"0000")&amp;TEXT(A725,"00")&amp;TEXT(B725,"00"))</f>
        <v>19690311</v>
      </c>
    </row>
    <row r="726" spans="1:80" s="52" customFormat="1" ht="12.95" customHeight="1" x14ac:dyDescent="0.2">
      <c r="A726" s="46">
        <v>3</v>
      </c>
      <c r="B726" s="46">
        <v>15</v>
      </c>
      <c r="C726" s="46">
        <v>1969</v>
      </c>
      <c r="D726" s="46" t="s">
        <v>658</v>
      </c>
      <c r="E726" s="46" t="s">
        <v>560</v>
      </c>
      <c r="F726" s="54" t="s">
        <v>1327</v>
      </c>
      <c r="G726" s="46"/>
      <c r="H726" s="54" t="s">
        <v>40</v>
      </c>
      <c r="I726" s="54"/>
      <c r="J726" s="55">
        <v>25277</v>
      </c>
      <c r="K726" s="46" t="s">
        <v>1243</v>
      </c>
      <c r="L726" s="46" t="s">
        <v>3</v>
      </c>
      <c r="M726" s="46" t="s">
        <v>587</v>
      </c>
      <c r="N726" s="49">
        <v>3</v>
      </c>
      <c r="O726" s="49">
        <v>1</v>
      </c>
      <c r="P726" s="54" t="s">
        <v>1268</v>
      </c>
      <c r="Q726" s="54" t="s">
        <v>1017</v>
      </c>
      <c r="R726" s="54" t="s">
        <v>376</v>
      </c>
      <c r="S726" s="46"/>
      <c r="T726" s="46"/>
      <c r="U726" s="46"/>
      <c r="V726" s="46"/>
      <c r="W726" s="46"/>
      <c r="X726" s="46"/>
      <c r="Y726" s="46"/>
      <c r="Z726" s="46"/>
      <c r="AA726" s="46"/>
      <c r="AB726" s="46"/>
      <c r="AC726" s="46"/>
      <c r="AD726" s="46"/>
      <c r="AE726" s="50">
        <f>IF(L726="W",1,0)</f>
        <v>1</v>
      </c>
      <c r="AF726" s="50">
        <f>IF(L726="T",1,0)</f>
        <v>0</v>
      </c>
      <c r="AG726" s="50">
        <f>IF(L726="L",1,0)</f>
        <v>0</v>
      </c>
      <c r="AH726" s="46" t="s">
        <v>1244</v>
      </c>
      <c r="AI726" s="46" t="s">
        <v>1245</v>
      </c>
      <c r="AJ726" s="46" t="s">
        <v>376</v>
      </c>
      <c r="AK726" s="46" t="s">
        <v>658</v>
      </c>
      <c r="AL726" s="46" t="s">
        <v>1017</v>
      </c>
      <c r="AM726" s="46" t="s">
        <v>1018</v>
      </c>
      <c r="AN726" s="46" t="s">
        <v>376</v>
      </c>
      <c r="AO726" s="46" t="s">
        <v>658</v>
      </c>
      <c r="AP726" s="46"/>
      <c r="AQ726" s="46">
        <v>1</v>
      </c>
      <c r="AR726" s="46"/>
      <c r="AS726" s="46"/>
      <c r="AT726" s="46"/>
      <c r="AU726" s="46" t="s">
        <v>376</v>
      </c>
      <c r="AV726" s="46"/>
      <c r="AW726" s="46" t="s">
        <v>30</v>
      </c>
      <c r="AX726" s="46"/>
      <c r="AY726" s="46"/>
      <c r="AZ726" s="46" t="s">
        <v>30</v>
      </c>
      <c r="BA726" s="54"/>
      <c r="BB726" s="51" t="s">
        <v>30</v>
      </c>
      <c r="BC726" s="46" t="s">
        <v>30</v>
      </c>
      <c r="BD726" s="46"/>
      <c r="BE726" s="46"/>
      <c r="BF726" s="46">
        <v>1</v>
      </c>
      <c r="BG726" s="46">
        <v>3</v>
      </c>
      <c r="BH726" s="46">
        <v>1</v>
      </c>
      <c r="BI726" s="46" t="s">
        <v>1243</v>
      </c>
      <c r="BJ726" s="46" t="s">
        <v>587</v>
      </c>
      <c r="BK726" s="46">
        <v>1969</v>
      </c>
      <c r="BL726" s="46" t="str">
        <f>BK726&amp;BI726</f>
        <v>1969Swindon Town</v>
      </c>
      <c r="BM726" s="52" t="str">
        <f>IF(AD726="Home",BI726,IF(AD726="Away",BJ726,Q726))</f>
        <v>London</v>
      </c>
      <c r="BN726" s="46"/>
      <c r="BO726" s="46"/>
      <c r="BP726" s="46"/>
      <c r="BQ726" s="46"/>
      <c r="BR726" s="46"/>
      <c r="BS726" s="46"/>
      <c r="BT726" s="46"/>
      <c r="BU726" s="46"/>
      <c r="BV726" s="46" t="s">
        <v>376</v>
      </c>
      <c r="BW726" s="46" t="s">
        <v>376</v>
      </c>
      <c r="BX726" s="46"/>
      <c r="BZ726" s="53"/>
      <c r="CA726" s="53"/>
      <c r="CB726" s="93" t="str">
        <f>IF(OR(C726="",A726="",B726=""),"",TEXT(C726,"0000")&amp;TEXT(A726,"00")&amp;TEXT(B726,"00"))</f>
        <v>19690315</v>
      </c>
    </row>
    <row r="727" spans="1:80" s="52" customFormat="1" ht="12.95" customHeight="1" x14ac:dyDescent="0.2">
      <c r="A727" s="46">
        <v>3</v>
      </c>
      <c r="B727" s="46">
        <v>15</v>
      </c>
      <c r="C727" s="46">
        <v>1969</v>
      </c>
      <c r="D727" s="46" t="s">
        <v>658</v>
      </c>
      <c r="E727" s="46" t="s">
        <v>560</v>
      </c>
      <c r="F727" s="54" t="s">
        <v>1327</v>
      </c>
      <c r="G727" s="46"/>
      <c r="H727" s="54" t="s">
        <v>40</v>
      </c>
      <c r="I727" s="54"/>
      <c r="J727" s="55">
        <v>25277</v>
      </c>
      <c r="K727" s="46" t="s">
        <v>587</v>
      </c>
      <c r="L727" s="46" t="s">
        <v>4</v>
      </c>
      <c r="M727" s="46" t="s">
        <v>1243</v>
      </c>
      <c r="N727" s="49">
        <v>1</v>
      </c>
      <c r="O727" s="49">
        <v>3</v>
      </c>
      <c r="P727" s="54" t="s">
        <v>1268</v>
      </c>
      <c r="Q727" s="54" t="s">
        <v>1017</v>
      </c>
      <c r="R727" s="54" t="s">
        <v>376</v>
      </c>
      <c r="S727" s="46"/>
      <c r="T727" s="46"/>
      <c r="U727" s="46"/>
      <c r="V727" s="46"/>
      <c r="W727" s="46"/>
      <c r="X727" s="46"/>
      <c r="Y727" s="46"/>
      <c r="Z727" s="46"/>
      <c r="AA727" s="46"/>
      <c r="AB727" s="46"/>
      <c r="AC727" s="46"/>
      <c r="AD727" s="46"/>
      <c r="AE727" s="50">
        <f>IF(L727="W",1,0)</f>
        <v>0</v>
      </c>
      <c r="AF727" s="50">
        <f>IF(L727="T",1,0)</f>
        <v>0</v>
      </c>
      <c r="AG727" s="50">
        <f>IF(L727="L",1,0)</f>
        <v>1</v>
      </c>
      <c r="AH727" s="46" t="s">
        <v>1017</v>
      </c>
      <c r="AI727" s="46" t="s">
        <v>1018</v>
      </c>
      <c r="AJ727" s="46" t="s">
        <v>376</v>
      </c>
      <c r="AK727" s="46" t="s">
        <v>658</v>
      </c>
      <c r="AL727" s="46" t="s">
        <v>1244</v>
      </c>
      <c r="AM727" s="46" t="s">
        <v>1245</v>
      </c>
      <c r="AN727" s="46" t="s">
        <v>376</v>
      </c>
      <c r="AO727" s="46" t="s">
        <v>658</v>
      </c>
      <c r="AP727" s="46"/>
      <c r="AQ727" s="46">
        <v>1</v>
      </c>
      <c r="AR727" s="46"/>
      <c r="AS727" s="46"/>
      <c r="AT727" s="46"/>
      <c r="AU727" s="46" t="s">
        <v>376</v>
      </c>
      <c r="AV727" s="46"/>
      <c r="AW727" s="46" t="s">
        <v>30</v>
      </c>
      <c r="AX727" s="46"/>
      <c r="AY727" s="46"/>
      <c r="AZ727" s="46" t="s">
        <v>30</v>
      </c>
      <c r="BA727" s="54"/>
      <c r="BB727" s="51"/>
      <c r="BC727" s="46" t="s">
        <v>30</v>
      </c>
      <c r="BD727" s="46"/>
      <c r="BE727" s="46"/>
      <c r="BF727" s="46">
        <v>1</v>
      </c>
      <c r="BG727" s="46">
        <v>1</v>
      </c>
      <c r="BH727" s="46">
        <v>3</v>
      </c>
      <c r="BI727" s="46" t="s">
        <v>587</v>
      </c>
      <c r="BJ727" s="46" t="s">
        <v>1243</v>
      </c>
      <c r="BK727" s="46">
        <v>1969</v>
      </c>
      <c r="BL727" s="46" t="str">
        <f>BK727&amp;BI727</f>
        <v>1969Arsenal</v>
      </c>
      <c r="BM727" s="52" t="str">
        <f>IF(AD727="Home",BI727,IF(AD727="Away",BJ727,Q727))</f>
        <v>London</v>
      </c>
      <c r="BN727" s="46"/>
      <c r="BO727" s="46"/>
      <c r="BP727" s="46"/>
      <c r="BQ727" s="46"/>
      <c r="BR727" s="46"/>
      <c r="BS727" s="46"/>
      <c r="BT727" s="46"/>
      <c r="BU727" s="46"/>
      <c r="BV727" s="46" t="s">
        <v>376</v>
      </c>
      <c r="BW727" s="46" t="s">
        <v>376</v>
      </c>
      <c r="BX727" s="46"/>
      <c r="BZ727" s="53"/>
      <c r="CA727" s="53"/>
      <c r="CB727" s="93" t="str">
        <f>IF(OR(C727="",A727="",B727=""),"",TEXT(C727,"0000")&amp;TEXT(A727,"00")&amp;TEXT(B727,"00"))</f>
        <v>19690315</v>
      </c>
    </row>
    <row r="728" spans="1:80" s="52" customFormat="1" ht="12.95" customHeight="1" x14ac:dyDescent="0.2">
      <c r="A728" s="46">
        <v>3</v>
      </c>
      <c r="B728" s="46">
        <v>22</v>
      </c>
      <c r="C728" s="46">
        <v>1969</v>
      </c>
      <c r="D728" s="46" t="s">
        <v>658</v>
      </c>
      <c r="E728" s="46" t="s">
        <v>560</v>
      </c>
      <c r="F728" s="47" t="s">
        <v>1010</v>
      </c>
      <c r="G728" s="46"/>
      <c r="H728" s="47" t="s">
        <v>1011</v>
      </c>
      <c r="I728" s="47"/>
      <c r="J728" s="48">
        <v>25284</v>
      </c>
      <c r="K728" s="46" t="s">
        <v>823</v>
      </c>
      <c r="L728" s="46" t="s">
        <v>3</v>
      </c>
      <c r="M728" s="46" t="s">
        <v>804</v>
      </c>
      <c r="N728" s="49">
        <v>1</v>
      </c>
      <c r="O728" s="49">
        <v>0</v>
      </c>
      <c r="P728" s="47" t="s">
        <v>1219</v>
      </c>
      <c r="Q728" s="47" t="s">
        <v>1111</v>
      </c>
      <c r="R728" s="47" t="s">
        <v>376</v>
      </c>
      <c r="S728" s="46"/>
      <c r="T728" s="46"/>
      <c r="U728" s="46"/>
      <c r="V728" s="46"/>
      <c r="W728" s="46"/>
      <c r="X728" s="46"/>
      <c r="Y728" s="46"/>
      <c r="Z728" s="46"/>
      <c r="AA728" s="46"/>
      <c r="AB728" s="46"/>
      <c r="AC728" s="46"/>
      <c r="AD728" s="46"/>
      <c r="AE728" s="50">
        <f>IF(L728="W",1,0)</f>
        <v>1</v>
      </c>
      <c r="AF728" s="50">
        <f>IF(L728="T",1,0)</f>
        <v>0</v>
      </c>
      <c r="AG728" s="50">
        <f>IF(L728="L",1,0)</f>
        <v>0</v>
      </c>
      <c r="AH728" s="46" t="s">
        <v>1101</v>
      </c>
      <c r="AI728" s="46" t="s">
        <v>1159</v>
      </c>
      <c r="AJ728" s="46" t="s">
        <v>376</v>
      </c>
      <c r="AK728" s="46" t="s">
        <v>658</v>
      </c>
      <c r="AL728" s="46" t="s">
        <v>588</v>
      </c>
      <c r="AM728" s="46" t="s">
        <v>1175</v>
      </c>
      <c r="AN728" s="46" t="s">
        <v>376</v>
      </c>
      <c r="AO728" s="46" t="s">
        <v>658</v>
      </c>
      <c r="AP728" s="46"/>
      <c r="AQ728" s="46">
        <v>2</v>
      </c>
      <c r="AR728" s="46"/>
      <c r="AS728" s="46"/>
      <c r="AT728" s="46"/>
      <c r="AU728" s="46" t="s">
        <v>376</v>
      </c>
      <c r="AV728" s="46"/>
      <c r="AW728" s="46" t="s">
        <v>30</v>
      </c>
      <c r="AX728" s="46"/>
      <c r="AY728" s="46" t="s">
        <v>30</v>
      </c>
      <c r="AZ728" s="46"/>
      <c r="BA728" s="47"/>
      <c r="BB728" s="51"/>
      <c r="BC728" s="46"/>
      <c r="BD728" s="46"/>
      <c r="BE728" s="46"/>
      <c r="BF728" s="46">
        <v>1</v>
      </c>
      <c r="BG728" s="46">
        <v>1</v>
      </c>
      <c r="BH728" s="46">
        <v>1</v>
      </c>
      <c r="BI728" s="46" t="s">
        <v>823</v>
      </c>
      <c r="BJ728" s="46" t="s">
        <v>804</v>
      </c>
      <c r="BK728" s="46">
        <v>1969</v>
      </c>
      <c r="BL728" s="46" t="str">
        <f>BK728&amp;BI728</f>
        <v>1969Manchester City</v>
      </c>
      <c r="BM728" s="52" t="str">
        <f>IF(AD728="Home",BI728,IF(AD728="Away",BJ728,Q728))</f>
        <v>Birmingham</v>
      </c>
      <c r="BN728" s="46"/>
      <c r="BO728" s="46"/>
      <c r="BP728" s="46"/>
      <c r="BQ728" s="46"/>
      <c r="BR728" s="46"/>
      <c r="BS728" s="46"/>
      <c r="BT728" s="46"/>
      <c r="BU728" s="46"/>
      <c r="BV728" s="46" t="s">
        <v>376</v>
      </c>
      <c r="BW728" s="46" t="s">
        <v>376</v>
      </c>
      <c r="BX728" s="46"/>
      <c r="BZ728" s="53"/>
      <c r="CA728" s="53"/>
      <c r="CB728" s="93" t="str">
        <f>IF(OR(C728="",A728="",B728=""),"",TEXT(C728,"0000")&amp;TEXT(A728,"00")&amp;TEXT(B728,"00"))</f>
        <v>19690322</v>
      </c>
    </row>
    <row r="729" spans="1:80" s="52" customFormat="1" ht="12.95" customHeight="1" x14ac:dyDescent="0.2">
      <c r="A729" s="46">
        <v>3</v>
      </c>
      <c r="B729" s="46">
        <v>22</v>
      </c>
      <c r="C729" s="46">
        <v>1969</v>
      </c>
      <c r="D729" s="46" t="s">
        <v>658</v>
      </c>
      <c r="E729" s="46" t="s">
        <v>560</v>
      </c>
      <c r="F729" s="47" t="s">
        <v>1010</v>
      </c>
      <c r="G729" s="46"/>
      <c r="H729" s="47" t="s">
        <v>1011</v>
      </c>
      <c r="I729" s="47"/>
      <c r="J729" s="48">
        <v>25284</v>
      </c>
      <c r="K729" s="46" t="s">
        <v>804</v>
      </c>
      <c r="L729" s="46" t="s">
        <v>4</v>
      </c>
      <c r="M729" s="46" t="s">
        <v>823</v>
      </c>
      <c r="N729" s="49">
        <v>0</v>
      </c>
      <c r="O729" s="49">
        <v>1</v>
      </c>
      <c r="P729" s="47" t="s">
        <v>1219</v>
      </c>
      <c r="Q729" s="47" t="s">
        <v>1111</v>
      </c>
      <c r="R729" s="47" t="s">
        <v>376</v>
      </c>
      <c r="S729" s="46"/>
      <c r="T729" s="46"/>
      <c r="U729" s="46"/>
      <c r="V729" s="46"/>
      <c r="W729" s="46"/>
      <c r="X729" s="46"/>
      <c r="Y729" s="46"/>
      <c r="Z729" s="46"/>
      <c r="AA729" s="46"/>
      <c r="AB729" s="46"/>
      <c r="AC729" s="46"/>
      <c r="AD729" s="46"/>
      <c r="AE729" s="50">
        <f>IF(L729="W",1,0)</f>
        <v>0</v>
      </c>
      <c r="AF729" s="50">
        <f>IF(L729="T",1,0)</f>
        <v>0</v>
      </c>
      <c r="AG729" s="50">
        <f>IF(L729="L",1,0)</f>
        <v>1</v>
      </c>
      <c r="AH729" s="46" t="s">
        <v>588</v>
      </c>
      <c r="AI729" s="46" t="s">
        <v>1175</v>
      </c>
      <c r="AJ729" s="46" t="s">
        <v>376</v>
      </c>
      <c r="AK729" s="46" t="s">
        <v>658</v>
      </c>
      <c r="AL729" s="46" t="s">
        <v>1101</v>
      </c>
      <c r="AM729" s="46" t="s">
        <v>1159</v>
      </c>
      <c r="AN729" s="46" t="s">
        <v>376</v>
      </c>
      <c r="AO729" s="46" t="s">
        <v>658</v>
      </c>
      <c r="AP729" s="46"/>
      <c r="AQ729" s="46">
        <v>2</v>
      </c>
      <c r="AR729" s="46"/>
      <c r="AS729" s="46"/>
      <c r="AT729" s="46"/>
      <c r="AU729" s="46" t="s">
        <v>376</v>
      </c>
      <c r="AV729" s="46"/>
      <c r="AW729" s="46" t="s">
        <v>30</v>
      </c>
      <c r="AX729" s="46"/>
      <c r="AY729" s="46" t="s">
        <v>30</v>
      </c>
      <c r="AZ729" s="46"/>
      <c r="BA729" s="47"/>
      <c r="BB729" s="51"/>
      <c r="BC729" s="46"/>
      <c r="BD729" s="46"/>
      <c r="BE729" s="46"/>
      <c r="BF729" s="46">
        <v>1</v>
      </c>
      <c r="BG729" s="46">
        <v>1</v>
      </c>
      <c r="BH729" s="46">
        <v>1</v>
      </c>
      <c r="BI729" s="46" t="s">
        <v>804</v>
      </c>
      <c r="BJ729" s="46" t="s">
        <v>823</v>
      </c>
      <c r="BK729" s="46">
        <v>1969</v>
      </c>
      <c r="BL729" s="46" t="str">
        <f>BK729&amp;BI729</f>
        <v>1969Everton</v>
      </c>
      <c r="BM729" s="52" t="str">
        <f>IF(AD729="Home",BI729,IF(AD729="Away",BJ729,Q729))</f>
        <v>Birmingham</v>
      </c>
      <c r="BN729" s="46"/>
      <c r="BO729" s="46"/>
      <c r="BP729" s="46"/>
      <c r="BQ729" s="46"/>
      <c r="BR729" s="46"/>
      <c r="BS729" s="46"/>
      <c r="BT729" s="46"/>
      <c r="BU729" s="46"/>
      <c r="BV729" s="46" t="s">
        <v>376</v>
      </c>
      <c r="BW729" s="46" t="s">
        <v>376</v>
      </c>
      <c r="BX729" s="46"/>
      <c r="BZ729" s="53"/>
      <c r="CA729" s="53"/>
      <c r="CB729" s="93" t="str">
        <f>IF(OR(C729="",A729="",B729=""),"",TEXT(C729,"0000")&amp;TEXT(A729,"00")&amp;TEXT(B729,"00"))</f>
        <v>19690322</v>
      </c>
    </row>
    <row r="730" spans="1:80" s="52" customFormat="1" ht="12.95" customHeight="1" x14ac:dyDescent="0.2">
      <c r="A730" s="46">
        <v>3</v>
      </c>
      <c r="B730" s="46">
        <v>29</v>
      </c>
      <c r="C730" s="46">
        <v>1969</v>
      </c>
      <c r="D730" s="46" t="s">
        <v>658</v>
      </c>
      <c r="E730" s="46" t="s">
        <v>560</v>
      </c>
      <c r="F730" s="47" t="s">
        <v>1010</v>
      </c>
      <c r="G730" s="46"/>
      <c r="H730" s="47" t="s">
        <v>1011</v>
      </c>
      <c r="I730" s="47"/>
      <c r="J730" s="48">
        <v>25291</v>
      </c>
      <c r="K730" s="46" t="s">
        <v>1291</v>
      </c>
      <c r="L730" s="46" t="s">
        <v>3</v>
      </c>
      <c r="M730" s="46" t="s">
        <v>1124</v>
      </c>
      <c r="N730" s="49">
        <v>1</v>
      </c>
      <c r="O730" s="49">
        <v>0</v>
      </c>
      <c r="P730" s="47" t="s">
        <v>1252</v>
      </c>
      <c r="Q730" s="47" t="s">
        <v>1097</v>
      </c>
      <c r="R730" s="47" t="s">
        <v>376</v>
      </c>
      <c r="S730" s="46"/>
      <c r="T730" s="46"/>
      <c r="U730" s="46"/>
      <c r="V730" s="46"/>
      <c r="W730" s="46"/>
      <c r="X730" s="46"/>
      <c r="Y730" s="46"/>
      <c r="Z730" s="46"/>
      <c r="AA730" s="46"/>
      <c r="AB730" s="46"/>
      <c r="AC730" s="46"/>
      <c r="AD730" s="46"/>
      <c r="AE730" s="50">
        <f>IF(L730="W",1,0)</f>
        <v>1</v>
      </c>
      <c r="AF730" s="50">
        <f>IF(L730="T",1,0)</f>
        <v>0</v>
      </c>
      <c r="AG730" s="50">
        <f>IF(L730="L",1,0)</f>
        <v>0</v>
      </c>
      <c r="AH730" s="46" t="s">
        <v>1278</v>
      </c>
      <c r="AI730" s="46" t="s">
        <v>1292</v>
      </c>
      <c r="AJ730" s="46" t="s">
        <v>376</v>
      </c>
      <c r="AK730" s="46" t="s">
        <v>658</v>
      </c>
      <c r="AL730" s="46" t="s">
        <v>1111</v>
      </c>
      <c r="AM730" s="46" t="s">
        <v>1126</v>
      </c>
      <c r="AN730" s="46" t="s">
        <v>376</v>
      </c>
      <c r="AO730" s="46" t="s">
        <v>658</v>
      </c>
      <c r="AP730" s="46"/>
      <c r="AQ730" s="46">
        <v>2</v>
      </c>
      <c r="AR730" s="46"/>
      <c r="AS730" s="46"/>
      <c r="AT730" s="46"/>
      <c r="AU730" s="46" t="s">
        <v>376</v>
      </c>
      <c r="AV730" s="46"/>
      <c r="AW730" s="46" t="s">
        <v>30</v>
      </c>
      <c r="AX730" s="46"/>
      <c r="AY730" s="46" t="s">
        <v>30</v>
      </c>
      <c r="AZ730" s="46"/>
      <c r="BA730" s="47"/>
      <c r="BB730" s="51"/>
      <c r="BC730" s="46"/>
      <c r="BD730" s="46"/>
      <c r="BE730" s="46"/>
      <c r="BF730" s="46">
        <v>1</v>
      </c>
      <c r="BG730" s="46">
        <v>1</v>
      </c>
      <c r="BH730" s="46">
        <v>1</v>
      </c>
      <c r="BI730" s="46" t="s">
        <v>1291</v>
      </c>
      <c r="BJ730" s="46" t="s">
        <v>1124</v>
      </c>
      <c r="BK730" s="46">
        <v>1969</v>
      </c>
      <c r="BL730" s="46" t="str">
        <f>BK730&amp;BI730</f>
        <v>1969Leicester City</v>
      </c>
      <c r="BM730" s="52" t="str">
        <f>IF(AD730="Home",BI730,IF(AD730="Away",BJ730,Q730))</f>
        <v>Sheffield</v>
      </c>
      <c r="BN730" s="46"/>
      <c r="BO730" s="46"/>
      <c r="BP730" s="46"/>
      <c r="BQ730" s="46"/>
      <c r="BR730" s="46"/>
      <c r="BS730" s="46"/>
      <c r="BT730" s="46"/>
      <c r="BU730" s="46"/>
      <c r="BV730" s="46" t="s">
        <v>376</v>
      </c>
      <c r="BW730" s="46" t="s">
        <v>376</v>
      </c>
      <c r="BX730" s="46"/>
      <c r="BY730" s="50"/>
      <c r="BZ730" s="53"/>
      <c r="CA730" s="53"/>
      <c r="CB730" s="93" t="str">
        <f>IF(OR(C730="",A730="",B730=""),"",TEXT(C730,"0000")&amp;TEXT(A730,"00")&amp;TEXT(B730,"00"))</f>
        <v>19690329</v>
      </c>
    </row>
    <row r="731" spans="1:80" s="52" customFormat="1" ht="12.95" customHeight="1" x14ac:dyDescent="0.2">
      <c r="A731" s="46">
        <v>3</v>
      </c>
      <c r="B731" s="46">
        <v>29</v>
      </c>
      <c r="C731" s="46">
        <v>1969</v>
      </c>
      <c r="D731" s="46" t="s">
        <v>658</v>
      </c>
      <c r="E731" s="46" t="s">
        <v>560</v>
      </c>
      <c r="F731" s="47" t="s">
        <v>1010</v>
      </c>
      <c r="G731" s="46"/>
      <c r="H731" s="47" t="s">
        <v>1011</v>
      </c>
      <c r="I731" s="47"/>
      <c r="J731" s="48">
        <v>25291</v>
      </c>
      <c r="K731" s="46" t="s">
        <v>1124</v>
      </c>
      <c r="L731" s="46" t="s">
        <v>4</v>
      </c>
      <c r="M731" s="46" t="s">
        <v>1291</v>
      </c>
      <c r="N731" s="49">
        <v>0</v>
      </c>
      <c r="O731" s="49">
        <v>1</v>
      </c>
      <c r="P731" s="47" t="s">
        <v>1252</v>
      </c>
      <c r="Q731" s="47" t="s">
        <v>1097</v>
      </c>
      <c r="R731" s="47" t="s">
        <v>376</v>
      </c>
      <c r="S731" s="46"/>
      <c r="T731" s="46"/>
      <c r="U731" s="46"/>
      <c r="V731" s="46"/>
      <c r="W731" s="46"/>
      <c r="X731" s="46"/>
      <c r="Y731" s="46"/>
      <c r="Z731" s="46"/>
      <c r="AA731" s="46"/>
      <c r="AB731" s="46"/>
      <c r="AC731" s="46"/>
      <c r="AD731" s="46"/>
      <c r="AE731" s="50">
        <f>IF(L731="W",1,0)</f>
        <v>0</v>
      </c>
      <c r="AF731" s="50">
        <f>IF(L731="T",1,0)</f>
        <v>0</v>
      </c>
      <c r="AG731" s="50">
        <f>IF(L731="L",1,0)</f>
        <v>1</v>
      </c>
      <c r="AH731" s="46" t="s">
        <v>1111</v>
      </c>
      <c r="AI731" s="46" t="s">
        <v>1126</v>
      </c>
      <c r="AJ731" s="46" t="s">
        <v>376</v>
      </c>
      <c r="AK731" s="46" t="s">
        <v>658</v>
      </c>
      <c r="AL731" s="46" t="s">
        <v>1278</v>
      </c>
      <c r="AM731" s="46" t="s">
        <v>1292</v>
      </c>
      <c r="AN731" s="46" t="s">
        <v>376</v>
      </c>
      <c r="AO731" s="46" t="s">
        <v>658</v>
      </c>
      <c r="AP731" s="46"/>
      <c r="AQ731" s="46">
        <v>2</v>
      </c>
      <c r="AR731" s="46"/>
      <c r="AS731" s="46"/>
      <c r="AT731" s="46"/>
      <c r="AU731" s="46" t="s">
        <v>376</v>
      </c>
      <c r="AV731" s="46"/>
      <c r="AW731" s="46" t="s">
        <v>30</v>
      </c>
      <c r="AX731" s="46"/>
      <c r="AY731" s="46" t="s">
        <v>30</v>
      </c>
      <c r="AZ731" s="46"/>
      <c r="BA731" s="47"/>
      <c r="BB731" s="51"/>
      <c r="BC731" s="46"/>
      <c r="BD731" s="46"/>
      <c r="BE731" s="46"/>
      <c r="BF731" s="46">
        <v>1</v>
      </c>
      <c r="BG731" s="46">
        <v>1</v>
      </c>
      <c r="BH731" s="46">
        <v>1</v>
      </c>
      <c r="BI731" s="46" t="s">
        <v>1124</v>
      </c>
      <c r="BJ731" s="46" t="s">
        <v>1291</v>
      </c>
      <c r="BK731" s="46">
        <v>1969</v>
      </c>
      <c r="BL731" s="46" t="str">
        <f>BK731&amp;BI731</f>
        <v>1969West Bromwich Albion</v>
      </c>
      <c r="BM731" s="52" t="str">
        <f>IF(AD731="Home",BI731,IF(AD731="Away",BJ731,Q731))</f>
        <v>Sheffield</v>
      </c>
      <c r="BN731" s="46"/>
      <c r="BO731" s="46"/>
      <c r="BP731" s="46"/>
      <c r="BQ731" s="46"/>
      <c r="BR731" s="46"/>
      <c r="BS731" s="46"/>
      <c r="BT731" s="46"/>
      <c r="BU731" s="46"/>
      <c r="BV731" s="46" t="s">
        <v>376</v>
      </c>
      <c r="BW731" s="46" t="s">
        <v>376</v>
      </c>
      <c r="BX731" s="46"/>
      <c r="BY731" s="50"/>
      <c r="BZ731" s="53"/>
      <c r="CA731" s="53"/>
      <c r="CB731" s="93" t="str">
        <f>IF(OR(C731="",A731="",B731=""),"",TEXT(C731,"0000")&amp;TEXT(A731,"00")&amp;TEXT(B731,"00"))</f>
        <v>19690329</v>
      </c>
    </row>
    <row r="732" spans="1:80" s="52" customFormat="1" ht="12.95" customHeight="1" x14ac:dyDescent="0.2">
      <c r="A732" s="46">
        <v>4</v>
      </c>
      <c r="B732" s="46">
        <v>26</v>
      </c>
      <c r="C732" s="46">
        <v>1969</v>
      </c>
      <c r="D732" s="46" t="s">
        <v>658</v>
      </c>
      <c r="E732" s="46" t="s">
        <v>560</v>
      </c>
      <c r="F732" s="47" t="s">
        <v>1010</v>
      </c>
      <c r="G732" s="46"/>
      <c r="H732" s="47" t="s">
        <v>1025</v>
      </c>
      <c r="I732" s="47"/>
      <c r="J732" s="48">
        <v>25319</v>
      </c>
      <c r="K732" s="46" t="s">
        <v>823</v>
      </c>
      <c r="L732" s="46" t="s">
        <v>3</v>
      </c>
      <c r="M732" s="46" t="s">
        <v>1291</v>
      </c>
      <c r="N732" s="49">
        <v>1</v>
      </c>
      <c r="O732" s="49">
        <v>0</v>
      </c>
      <c r="P732" s="47" t="s">
        <v>1268</v>
      </c>
      <c r="Q732" s="47" t="s">
        <v>1017</v>
      </c>
      <c r="R732" s="47" t="s">
        <v>376</v>
      </c>
      <c r="S732" s="46"/>
      <c r="T732" s="46"/>
      <c r="U732" s="46"/>
      <c r="V732" s="46"/>
      <c r="W732" s="46"/>
      <c r="X732" s="46"/>
      <c r="Y732" s="46"/>
      <c r="Z732" s="46"/>
      <c r="AA732" s="46"/>
      <c r="AB732" s="46"/>
      <c r="AC732" s="46"/>
      <c r="AD732" s="46"/>
      <c r="AE732" s="50">
        <f>IF(L732="W",1,0)</f>
        <v>1</v>
      </c>
      <c r="AF732" s="50">
        <f>IF(L732="T",1,0)</f>
        <v>0</v>
      </c>
      <c r="AG732" s="50">
        <f>IF(L732="L",1,0)</f>
        <v>0</v>
      </c>
      <c r="AH732" s="46" t="s">
        <v>1101</v>
      </c>
      <c r="AI732" s="46" t="s">
        <v>1159</v>
      </c>
      <c r="AJ732" s="46" t="s">
        <v>376</v>
      </c>
      <c r="AK732" s="46" t="s">
        <v>658</v>
      </c>
      <c r="AL732" s="46" t="s">
        <v>1278</v>
      </c>
      <c r="AM732" s="46" t="s">
        <v>1292</v>
      </c>
      <c r="AN732" s="46" t="s">
        <v>376</v>
      </c>
      <c r="AO732" s="46" t="s">
        <v>658</v>
      </c>
      <c r="AP732" s="46"/>
      <c r="AQ732" s="46">
        <v>1</v>
      </c>
      <c r="AR732" s="46"/>
      <c r="AS732" s="46"/>
      <c r="AT732" s="46"/>
      <c r="AU732" s="46" t="s">
        <v>376</v>
      </c>
      <c r="AV732" s="46"/>
      <c r="AW732" s="46" t="s">
        <v>30</v>
      </c>
      <c r="AX732" s="46"/>
      <c r="AY732" s="46" t="s">
        <v>30</v>
      </c>
      <c r="AZ732" s="46"/>
      <c r="BA732" s="47"/>
      <c r="BB732" s="51" t="s">
        <v>30</v>
      </c>
      <c r="BC732" s="46" t="s">
        <v>30</v>
      </c>
      <c r="BD732" s="46"/>
      <c r="BE732" s="46"/>
      <c r="BF732" s="46">
        <v>1</v>
      </c>
      <c r="BG732" s="46">
        <v>1</v>
      </c>
      <c r="BH732" s="46">
        <v>1</v>
      </c>
      <c r="BI732" s="46" t="s">
        <v>823</v>
      </c>
      <c r="BJ732" s="46" t="s">
        <v>1291</v>
      </c>
      <c r="BK732" s="46">
        <v>1969</v>
      </c>
      <c r="BL732" s="46" t="str">
        <f>BK732&amp;BI732</f>
        <v>1969Manchester City</v>
      </c>
      <c r="BM732" s="52" t="str">
        <f>IF(AD732="Home",BI732,IF(AD732="Away",BJ732,Q732))</f>
        <v>London</v>
      </c>
      <c r="BN732" s="46"/>
      <c r="BO732" s="46"/>
      <c r="BP732" s="46"/>
      <c r="BQ732" s="46"/>
      <c r="BR732" s="46"/>
      <c r="BS732" s="46"/>
      <c r="BT732" s="46"/>
      <c r="BU732" s="46"/>
      <c r="BV732" s="46" t="s">
        <v>376</v>
      </c>
      <c r="BW732" s="46" t="s">
        <v>376</v>
      </c>
      <c r="BX732" s="46"/>
      <c r="BZ732" s="53"/>
      <c r="CA732" s="53"/>
      <c r="CB732" s="93" t="str">
        <f>IF(OR(C732="",A732="",B732=""),"",TEXT(C732,"0000")&amp;TEXT(A732,"00")&amp;TEXT(B732,"00"))</f>
        <v>19690426</v>
      </c>
    </row>
    <row r="733" spans="1:80" s="52" customFormat="1" ht="12.95" customHeight="1" x14ac:dyDescent="0.2">
      <c r="A733" s="46">
        <v>4</v>
      </c>
      <c r="B733" s="46">
        <v>26</v>
      </c>
      <c r="C733" s="46">
        <v>1969</v>
      </c>
      <c r="D733" s="46" t="s">
        <v>658</v>
      </c>
      <c r="E733" s="46" t="s">
        <v>560</v>
      </c>
      <c r="F733" s="47" t="s">
        <v>1010</v>
      </c>
      <c r="G733" s="46"/>
      <c r="H733" s="47" t="s">
        <v>1025</v>
      </c>
      <c r="I733" s="47"/>
      <c r="J733" s="48">
        <v>25319</v>
      </c>
      <c r="K733" s="46" t="s">
        <v>1291</v>
      </c>
      <c r="L733" s="46" t="s">
        <v>4</v>
      </c>
      <c r="M733" s="46" t="s">
        <v>823</v>
      </c>
      <c r="N733" s="49">
        <v>0</v>
      </c>
      <c r="O733" s="49">
        <v>1</v>
      </c>
      <c r="P733" s="47" t="s">
        <v>1268</v>
      </c>
      <c r="Q733" s="47" t="s">
        <v>1017</v>
      </c>
      <c r="R733" s="47" t="s">
        <v>376</v>
      </c>
      <c r="S733" s="46"/>
      <c r="T733" s="46"/>
      <c r="U733" s="46"/>
      <c r="V733" s="46"/>
      <c r="W733" s="46"/>
      <c r="X733" s="46"/>
      <c r="Y733" s="46"/>
      <c r="Z733" s="46"/>
      <c r="AA733" s="46"/>
      <c r="AB733" s="46"/>
      <c r="AC733" s="46"/>
      <c r="AD733" s="46"/>
      <c r="AE733" s="50">
        <f>IF(L733="W",1,0)</f>
        <v>0</v>
      </c>
      <c r="AF733" s="50">
        <f>IF(L733="T",1,0)</f>
        <v>0</v>
      </c>
      <c r="AG733" s="50">
        <f>IF(L733="L",1,0)</f>
        <v>1</v>
      </c>
      <c r="AH733" s="46" t="s">
        <v>1278</v>
      </c>
      <c r="AI733" s="46" t="s">
        <v>1292</v>
      </c>
      <c r="AJ733" s="46" t="s">
        <v>376</v>
      </c>
      <c r="AK733" s="46" t="s">
        <v>658</v>
      </c>
      <c r="AL733" s="46" t="s">
        <v>1101</v>
      </c>
      <c r="AM733" s="46" t="s">
        <v>1159</v>
      </c>
      <c r="AN733" s="46" t="s">
        <v>376</v>
      </c>
      <c r="AO733" s="46" t="s">
        <v>658</v>
      </c>
      <c r="AP733" s="46"/>
      <c r="AQ733" s="46">
        <v>1</v>
      </c>
      <c r="AR733" s="46"/>
      <c r="AS733" s="46"/>
      <c r="AT733" s="46"/>
      <c r="AU733" s="46" t="s">
        <v>376</v>
      </c>
      <c r="AV733" s="46"/>
      <c r="AW733" s="46" t="s">
        <v>30</v>
      </c>
      <c r="AX733" s="46"/>
      <c r="AY733" s="46" t="s">
        <v>30</v>
      </c>
      <c r="AZ733" s="46"/>
      <c r="BA733" s="47"/>
      <c r="BB733" s="51"/>
      <c r="BC733" s="46" t="s">
        <v>30</v>
      </c>
      <c r="BD733" s="46"/>
      <c r="BE733" s="46"/>
      <c r="BF733" s="46">
        <v>1</v>
      </c>
      <c r="BG733" s="46">
        <v>1</v>
      </c>
      <c r="BH733" s="46">
        <v>1</v>
      </c>
      <c r="BI733" s="46" t="s">
        <v>1291</v>
      </c>
      <c r="BJ733" s="46" t="s">
        <v>823</v>
      </c>
      <c r="BK733" s="46">
        <v>1969</v>
      </c>
      <c r="BL733" s="46" t="str">
        <f>BK733&amp;BI733</f>
        <v>1969Leicester City</v>
      </c>
      <c r="BM733" s="52" t="str">
        <f>IF(AD733="Home",BI733,IF(AD733="Away",BJ733,Q733))</f>
        <v>London</v>
      </c>
      <c r="BN733" s="46"/>
      <c r="BO733" s="46"/>
      <c r="BP733" s="46"/>
      <c r="BQ733" s="46"/>
      <c r="BR733" s="46"/>
      <c r="BS733" s="46"/>
      <c r="BT733" s="46"/>
      <c r="BU733" s="46"/>
      <c r="BV733" s="46" t="s">
        <v>376</v>
      </c>
      <c r="BW733" s="46" t="s">
        <v>376</v>
      </c>
      <c r="BX733" s="46"/>
      <c r="BZ733" s="53"/>
      <c r="CA733" s="53"/>
      <c r="CB733" s="93" t="str">
        <f>IF(OR(C733="",A733="",B733=""),"",TEXT(C733,"0000")&amp;TEXT(A733,"00")&amp;TEXT(B733,"00"))</f>
        <v>19690426</v>
      </c>
    </row>
    <row r="734" spans="1:80" s="52" customFormat="1" ht="12.95" customHeight="1" x14ac:dyDescent="0.2">
      <c r="A734" s="46">
        <v>11</v>
      </c>
      <c r="B734" s="46">
        <v>19</v>
      </c>
      <c r="C734" s="46">
        <v>1969</v>
      </c>
      <c r="D734" s="46" t="s">
        <v>658</v>
      </c>
      <c r="E734" s="46" t="s">
        <v>559</v>
      </c>
      <c r="F734" s="54" t="s">
        <v>1327</v>
      </c>
      <c r="G734" s="46"/>
      <c r="H734" s="54" t="s">
        <v>1011</v>
      </c>
      <c r="I734" s="54">
        <v>1</v>
      </c>
      <c r="J734" s="55">
        <v>25526</v>
      </c>
      <c r="K734" s="46" t="s">
        <v>1353</v>
      </c>
      <c r="L734" s="46" t="s">
        <v>3</v>
      </c>
      <c r="M734" s="46" t="s">
        <v>1124</v>
      </c>
      <c r="N734" s="49">
        <v>1</v>
      </c>
      <c r="O734" s="49">
        <v>0</v>
      </c>
      <c r="P734" s="54" t="s">
        <v>1354</v>
      </c>
      <c r="Q734" s="54" t="s">
        <v>1355</v>
      </c>
      <c r="R734" s="54" t="s">
        <v>376</v>
      </c>
      <c r="S734" s="46"/>
      <c r="T734" s="46"/>
      <c r="U734" s="46"/>
      <c r="V734" s="46"/>
      <c r="W734" s="46"/>
      <c r="X734" s="46"/>
      <c r="Y734" s="46"/>
      <c r="Z734" s="46"/>
      <c r="AA734" s="46"/>
      <c r="AB734" s="46"/>
      <c r="AC734" s="46"/>
      <c r="AD734" s="46" t="s">
        <v>1033</v>
      </c>
      <c r="AE734" s="50">
        <f>IF(L734="W",1,0)</f>
        <v>1</v>
      </c>
      <c r="AF734" s="50">
        <f>IF(L734="T",1,0)</f>
        <v>0</v>
      </c>
      <c r="AG734" s="50">
        <f>IF(L734="L",1,0)</f>
        <v>0</v>
      </c>
      <c r="AH734" s="46" t="s">
        <v>1355</v>
      </c>
      <c r="AI734" s="46" t="s">
        <v>1356</v>
      </c>
      <c r="AJ734" s="46" t="s">
        <v>376</v>
      </c>
      <c r="AK734" s="46" t="s">
        <v>658</v>
      </c>
      <c r="AL734" s="46" t="s">
        <v>1111</v>
      </c>
      <c r="AM734" s="46" t="s">
        <v>1126</v>
      </c>
      <c r="AN734" s="46" t="s">
        <v>376</v>
      </c>
      <c r="AO734" s="46" t="s">
        <v>658</v>
      </c>
      <c r="AP734" s="46"/>
      <c r="AQ734" s="46">
        <v>2</v>
      </c>
      <c r="AR734" s="46"/>
      <c r="AS734" s="46"/>
      <c r="AT734" s="46"/>
      <c r="AU734" s="46" t="s">
        <v>376</v>
      </c>
      <c r="AV734" s="46"/>
      <c r="AW734" s="46" t="s">
        <v>30</v>
      </c>
      <c r="AX734" s="46"/>
      <c r="AY734" s="46"/>
      <c r="AZ734" s="46" t="s">
        <v>30</v>
      </c>
      <c r="BA734" s="54"/>
      <c r="BB734" s="51"/>
      <c r="BC734" s="46"/>
      <c r="BD734" s="46"/>
      <c r="BE734" s="46"/>
      <c r="BF734" s="46">
        <v>1</v>
      </c>
      <c r="BG734" s="46">
        <v>2</v>
      </c>
      <c r="BH734" s="46">
        <v>1</v>
      </c>
      <c r="BI734" s="46" t="s">
        <v>1353</v>
      </c>
      <c r="BJ734" s="46" t="s">
        <v>1124</v>
      </c>
      <c r="BK734" s="46">
        <v>1970</v>
      </c>
      <c r="BL734" s="46" t="str">
        <f>BK734&amp;BI734</f>
        <v>1970Carlisle United</v>
      </c>
      <c r="BM734" s="52" t="str">
        <f>IF(AD734="Home",BI734,IF(AD734="Away",BJ734,Q734))</f>
        <v>Carlisle United</v>
      </c>
      <c r="BN734" s="46"/>
      <c r="BO734" s="46"/>
      <c r="BP734" s="46"/>
      <c r="BQ734" s="46"/>
      <c r="BR734" s="46"/>
      <c r="BS734" s="46"/>
      <c r="BT734" s="46"/>
      <c r="BU734" s="46"/>
      <c r="BV734" s="46" t="s">
        <v>376</v>
      </c>
      <c r="BW734" s="46" t="s">
        <v>376</v>
      </c>
      <c r="BX734" s="46"/>
      <c r="BZ734" s="53"/>
      <c r="CA734" s="53"/>
      <c r="CB734" s="93" t="str">
        <f>IF(OR(C734="",A734="",B734=""),"",TEXT(C734,"0000")&amp;TEXT(A734,"00")&amp;TEXT(B734,"00"))</f>
        <v>19691119</v>
      </c>
    </row>
    <row r="735" spans="1:80" s="52" customFormat="1" ht="12.95" customHeight="1" x14ac:dyDescent="0.2">
      <c r="A735" s="46">
        <v>11</v>
      </c>
      <c r="B735" s="46">
        <v>19</v>
      </c>
      <c r="C735" s="46">
        <v>1969</v>
      </c>
      <c r="D735" s="46" t="s">
        <v>658</v>
      </c>
      <c r="E735" s="46" t="s">
        <v>559</v>
      </c>
      <c r="F735" s="54" t="s">
        <v>1327</v>
      </c>
      <c r="G735" s="46"/>
      <c r="H735" s="54" t="s">
        <v>1011</v>
      </c>
      <c r="I735" s="54">
        <v>1</v>
      </c>
      <c r="J735" s="55">
        <v>25526</v>
      </c>
      <c r="K735" s="46" t="s">
        <v>1124</v>
      </c>
      <c r="L735" s="46" t="s">
        <v>4</v>
      </c>
      <c r="M735" s="46" t="s">
        <v>1353</v>
      </c>
      <c r="N735" s="49">
        <v>0</v>
      </c>
      <c r="O735" s="49">
        <v>1</v>
      </c>
      <c r="P735" s="54" t="s">
        <v>1354</v>
      </c>
      <c r="Q735" s="54" t="s">
        <v>1355</v>
      </c>
      <c r="R735" s="54" t="s">
        <v>376</v>
      </c>
      <c r="S735" s="46"/>
      <c r="T735" s="46"/>
      <c r="U735" s="46"/>
      <c r="V735" s="46"/>
      <c r="W735" s="46"/>
      <c r="X735" s="46"/>
      <c r="Y735" s="46"/>
      <c r="Z735" s="46"/>
      <c r="AA735" s="46"/>
      <c r="AB735" s="46"/>
      <c r="AC735" s="46"/>
      <c r="AD735" s="46" t="s">
        <v>1037</v>
      </c>
      <c r="AE735" s="50">
        <f>IF(L735="W",1,0)</f>
        <v>0</v>
      </c>
      <c r="AF735" s="50">
        <f>IF(L735="T",1,0)</f>
        <v>0</v>
      </c>
      <c r="AG735" s="50">
        <f>IF(L735="L",1,0)</f>
        <v>1</v>
      </c>
      <c r="AH735" s="46" t="s">
        <v>1111</v>
      </c>
      <c r="AI735" s="46" t="s">
        <v>1126</v>
      </c>
      <c r="AJ735" s="46" t="s">
        <v>376</v>
      </c>
      <c r="AK735" s="46" t="s">
        <v>658</v>
      </c>
      <c r="AL735" s="46" t="s">
        <v>1355</v>
      </c>
      <c r="AM735" s="46" t="s">
        <v>1356</v>
      </c>
      <c r="AN735" s="46" t="s">
        <v>376</v>
      </c>
      <c r="AO735" s="46" t="s">
        <v>658</v>
      </c>
      <c r="AP735" s="46"/>
      <c r="AQ735" s="46">
        <v>2</v>
      </c>
      <c r="AR735" s="46"/>
      <c r="AS735" s="46"/>
      <c r="AT735" s="46"/>
      <c r="AU735" s="46" t="s">
        <v>376</v>
      </c>
      <c r="AV735" s="46"/>
      <c r="AW735" s="46" t="s">
        <v>30</v>
      </c>
      <c r="AX735" s="46"/>
      <c r="AY735" s="46"/>
      <c r="AZ735" s="46" t="s">
        <v>30</v>
      </c>
      <c r="BA735" s="54"/>
      <c r="BB735" s="51"/>
      <c r="BC735" s="46"/>
      <c r="BD735" s="46"/>
      <c r="BE735" s="46"/>
      <c r="BF735" s="46">
        <v>1</v>
      </c>
      <c r="BG735" s="46">
        <v>1</v>
      </c>
      <c r="BH735" s="46">
        <v>2</v>
      </c>
      <c r="BI735" s="46" t="s">
        <v>1124</v>
      </c>
      <c r="BJ735" s="46" t="s">
        <v>1353</v>
      </c>
      <c r="BK735" s="46">
        <v>1970</v>
      </c>
      <c r="BL735" s="46" t="str">
        <f>BK735&amp;BI735</f>
        <v>1970West Bromwich Albion</v>
      </c>
      <c r="BM735" s="52" t="str">
        <f>IF(AD735="Home",BI735,IF(AD735="Away",BJ735,Q735))</f>
        <v>Carlisle United</v>
      </c>
      <c r="BN735" s="46"/>
      <c r="BO735" s="46"/>
      <c r="BP735" s="46"/>
      <c r="BQ735" s="46"/>
      <c r="BR735" s="46"/>
      <c r="BS735" s="46"/>
      <c r="BT735" s="46"/>
      <c r="BU735" s="46"/>
      <c r="BV735" s="46" t="s">
        <v>376</v>
      </c>
      <c r="BW735" s="46" t="s">
        <v>376</v>
      </c>
      <c r="BX735" s="46"/>
      <c r="BZ735" s="53"/>
      <c r="CA735" s="53"/>
      <c r="CB735" s="93" t="str">
        <f>IF(OR(C735="",A735="",B735=""),"",TEXT(C735,"0000")&amp;TEXT(A735,"00")&amp;TEXT(B735,"00"))</f>
        <v>19691119</v>
      </c>
    </row>
    <row r="736" spans="1:80" s="52" customFormat="1" ht="12.95" customHeight="1" x14ac:dyDescent="0.2">
      <c r="A736" s="46">
        <v>12</v>
      </c>
      <c r="B736" s="46">
        <v>3</v>
      </c>
      <c r="C736" s="46">
        <v>1969</v>
      </c>
      <c r="D736" s="46" t="s">
        <v>658</v>
      </c>
      <c r="E736" s="46" t="s">
        <v>559</v>
      </c>
      <c r="F736" s="54" t="s">
        <v>1327</v>
      </c>
      <c r="G736" s="46"/>
      <c r="H736" s="54" t="s">
        <v>1011</v>
      </c>
      <c r="I736" s="54">
        <v>1</v>
      </c>
      <c r="J736" s="55">
        <v>25540</v>
      </c>
      <c r="K736" s="46" t="s">
        <v>823</v>
      </c>
      <c r="L736" s="46" t="s">
        <v>3</v>
      </c>
      <c r="M736" s="46" t="s">
        <v>821</v>
      </c>
      <c r="N736" s="49">
        <v>2</v>
      </c>
      <c r="O736" s="49">
        <v>1</v>
      </c>
      <c r="P736" s="54" t="s">
        <v>1226</v>
      </c>
      <c r="Q736" s="54" t="s">
        <v>1101</v>
      </c>
      <c r="R736" s="54" t="s">
        <v>376</v>
      </c>
      <c r="S736" s="46"/>
      <c r="T736" s="46"/>
      <c r="U736" s="46"/>
      <c r="V736" s="46"/>
      <c r="W736" s="46"/>
      <c r="X736" s="46"/>
      <c r="Y736" s="46"/>
      <c r="Z736" s="46"/>
      <c r="AA736" s="46"/>
      <c r="AB736" s="46"/>
      <c r="AC736" s="46"/>
      <c r="AD736" s="46" t="s">
        <v>1033</v>
      </c>
      <c r="AE736" s="50">
        <f>IF(L736="W",1,0)</f>
        <v>1</v>
      </c>
      <c r="AF736" s="50">
        <f>IF(L736="T",1,0)</f>
        <v>0</v>
      </c>
      <c r="AG736" s="50">
        <f>IF(L736="L",1,0)</f>
        <v>0</v>
      </c>
      <c r="AH736" s="46" t="s">
        <v>1101</v>
      </c>
      <c r="AI736" s="46" t="s">
        <v>1159</v>
      </c>
      <c r="AJ736" s="46" t="s">
        <v>376</v>
      </c>
      <c r="AK736" s="46" t="s">
        <v>658</v>
      </c>
      <c r="AL736" s="46" t="s">
        <v>1101</v>
      </c>
      <c r="AM736" s="46" t="s">
        <v>1159</v>
      </c>
      <c r="AN736" s="46" t="s">
        <v>376</v>
      </c>
      <c r="AO736" s="46" t="s">
        <v>658</v>
      </c>
      <c r="AP736" s="46"/>
      <c r="AQ736" s="46">
        <v>2</v>
      </c>
      <c r="AR736" s="46"/>
      <c r="AS736" s="46"/>
      <c r="AT736" s="46" t="s">
        <v>1272</v>
      </c>
      <c r="AU736" s="46" t="s">
        <v>376</v>
      </c>
      <c r="AV736" s="46"/>
      <c r="AW736" s="46" t="s">
        <v>30</v>
      </c>
      <c r="AX736" s="46"/>
      <c r="AY736" s="46"/>
      <c r="AZ736" s="46" t="s">
        <v>30</v>
      </c>
      <c r="BA736" s="54"/>
      <c r="BB736" s="51"/>
      <c r="BC736" s="46"/>
      <c r="BD736" s="46"/>
      <c r="BE736" s="46"/>
      <c r="BF736" s="46">
        <v>1</v>
      </c>
      <c r="BG736" s="46">
        <v>1</v>
      </c>
      <c r="BH736" s="46">
        <v>1</v>
      </c>
      <c r="BI736" s="46" t="s">
        <v>823</v>
      </c>
      <c r="BJ736" s="46" t="s">
        <v>821</v>
      </c>
      <c r="BK736" s="46">
        <v>1970</v>
      </c>
      <c r="BL736" s="46" t="str">
        <f>BK736&amp;BI736</f>
        <v>1970Manchester City</v>
      </c>
      <c r="BM736" s="52" t="str">
        <f>IF(AD736="Home",BI736,IF(AD736="Away",BJ736,Q736))</f>
        <v>Manchester City</v>
      </c>
      <c r="BN736" s="46"/>
      <c r="BO736" s="46"/>
      <c r="BP736" s="46"/>
      <c r="BQ736" s="46"/>
      <c r="BR736" s="46"/>
      <c r="BS736" s="46"/>
      <c r="BT736" s="46"/>
      <c r="BU736" s="46"/>
      <c r="BV736" s="46" t="s">
        <v>376</v>
      </c>
      <c r="BW736" s="46" t="s">
        <v>376</v>
      </c>
      <c r="BX736" s="46"/>
      <c r="BZ736" s="53"/>
      <c r="CA736" s="53"/>
      <c r="CB736" s="93" t="str">
        <f>IF(OR(C736="",A736="",B736=""),"",TEXT(C736,"0000")&amp;TEXT(A736,"00")&amp;TEXT(B736,"00"))</f>
        <v>19691203</v>
      </c>
    </row>
    <row r="737" spans="1:80" s="52" customFormat="1" ht="12.95" customHeight="1" x14ac:dyDescent="0.2">
      <c r="A737" s="46">
        <v>12</v>
      </c>
      <c r="B737" s="46">
        <v>3</v>
      </c>
      <c r="C737" s="46">
        <v>1969</v>
      </c>
      <c r="D737" s="46" t="s">
        <v>658</v>
      </c>
      <c r="E737" s="46" t="s">
        <v>559</v>
      </c>
      <c r="F737" s="54" t="s">
        <v>1327</v>
      </c>
      <c r="G737" s="46"/>
      <c r="H737" s="54" t="s">
        <v>1011</v>
      </c>
      <c r="I737" s="54">
        <v>1</v>
      </c>
      <c r="J737" s="55">
        <v>25540</v>
      </c>
      <c r="K737" s="46" t="s">
        <v>821</v>
      </c>
      <c r="L737" s="46" t="s">
        <v>4</v>
      </c>
      <c r="M737" s="46" t="s">
        <v>823</v>
      </c>
      <c r="N737" s="49">
        <v>1</v>
      </c>
      <c r="O737" s="49">
        <v>2</v>
      </c>
      <c r="P737" s="54" t="s">
        <v>1226</v>
      </c>
      <c r="Q737" s="54" t="s">
        <v>1101</v>
      </c>
      <c r="R737" s="54" t="s">
        <v>376</v>
      </c>
      <c r="S737" s="46"/>
      <c r="T737" s="46"/>
      <c r="U737" s="46"/>
      <c r="V737" s="46"/>
      <c r="W737" s="46"/>
      <c r="X737" s="46"/>
      <c r="Y737" s="46"/>
      <c r="Z737" s="46"/>
      <c r="AA737" s="46"/>
      <c r="AB737" s="46"/>
      <c r="AC737" s="46"/>
      <c r="AD737" s="46" t="s">
        <v>1037</v>
      </c>
      <c r="AE737" s="50">
        <f>IF(L737="W",1,0)</f>
        <v>0</v>
      </c>
      <c r="AF737" s="50">
        <f>IF(L737="T",1,0)</f>
        <v>0</v>
      </c>
      <c r="AG737" s="50">
        <f>IF(L737="L",1,0)</f>
        <v>1</v>
      </c>
      <c r="AH737" s="46" t="s">
        <v>1101</v>
      </c>
      <c r="AI737" s="46" t="s">
        <v>1159</v>
      </c>
      <c r="AJ737" s="46" t="s">
        <v>376</v>
      </c>
      <c r="AK737" s="46" t="s">
        <v>658</v>
      </c>
      <c r="AL737" s="46" t="s">
        <v>1101</v>
      </c>
      <c r="AM737" s="46" t="s">
        <v>1159</v>
      </c>
      <c r="AN737" s="46" t="s">
        <v>376</v>
      </c>
      <c r="AO737" s="46" t="s">
        <v>658</v>
      </c>
      <c r="AP737" s="46"/>
      <c r="AQ737" s="46">
        <v>2</v>
      </c>
      <c r="AR737" s="46"/>
      <c r="AS737" s="46"/>
      <c r="AT737" s="46" t="s">
        <v>1272</v>
      </c>
      <c r="AU737" s="46" t="s">
        <v>376</v>
      </c>
      <c r="AV737" s="46"/>
      <c r="AW737" s="46" t="s">
        <v>30</v>
      </c>
      <c r="AX737" s="46"/>
      <c r="AY737" s="46"/>
      <c r="AZ737" s="46" t="s">
        <v>30</v>
      </c>
      <c r="BA737" s="54"/>
      <c r="BB737" s="51"/>
      <c r="BC737" s="46"/>
      <c r="BD737" s="46"/>
      <c r="BE737" s="46"/>
      <c r="BF737" s="46">
        <v>1</v>
      </c>
      <c r="BG737" s="46">
        <v>1</v>
      </c>
      <c r="BH737" s="46">
        <v>1</v>
      </c>
      <c r="BI737" s="46" t="s">
        <v>821</v>
      </c>
      <c r="BJ737" s="46" t="s">
        <v>823</v>
      </c>
      <c r="BK737" s="46">
        <v>1970</v>
      </c>
      <c r="BL737" s="46" t="str">
        <f>BK737&amp;BI737</f>
        <v>1970Manchester United</v>
      </c>
      <c r="BM737" s="52" t="str">
        <f>IF(AD737="Home",BI737,IF(AD737="Away",BJ737,Q737))</f>
        <v>Manchester City</v>
      </c>
      <c r="BN737" s="46"/>
      <c r="BO737" s="46"/>
      <c r="BP737" s="46"/>
      <c r="BQ737" s="46"/>
      <c r="BR737" s="46"/>
      <c r="BS737" s="46"/>
      <c r="BT737" s="46"/>
      <c r="BU737" s="46"/>
      <c r="BV737" s="46" t="s">
        <v>376</v>
      </c>
      <c r="BW737" s="46" t="s">
        <v>376</v>
      </c>
      <c r="BX737" s="46"/>
      <c r="BZ737" s="53"/>
      <c r="CA737" s="53"/>
      <c r="CB737" s="93" t="str">
        <f>IF(OR(C737="",A737="",B737=""),"",TEXT(C737,"0000")&amp;TEXT(A737,"00")&amp;TEXT(B737,"00"))</f>
        <v>19691203</v>
      </c>
    </row>
    <row r="738" spans="1:80" s="52" customFormat="1" ht="12.95" customHeight="1" x14ac:dyDescent="0.2">
      <c r="A738" s="46">
        <v>12</v>
      </c>
      <c r="B738" s="46">
        <v>3</v>
      </c>
      <c r="C738" s="46">
        <v>1969</v>
      </c>
      <c r="D738" s="46" t="s">
        <v>658</v>
      </c>
      <c r="E738" s="46" t="s">
        <v>559</v>
      </c>
      <c r="F738" s="54" t="s">
        <v>1327</v>
      </c>
      <c r="G738" s="46"/>
      <c r="H738" s="54" t="s">
        <v>1011</v>
      </c>
      <c r="I738" s="54">
        <v>2</v>
      </c>
      <c r="J738" s="55">
        <v>25540</v>
      </c>
      <c r="K738" s="46" t="s">
        <v>1124</v>
      </c>
      <c r="L738" s="46" t="s">
        <v>3</v>
      </c>
      <c r="M738" s="46" t="s">
        <v>1353</v>
      </c>
      <c r="N738" s="49">
        <v>4</v>
      </c>
      <c r="O738" s="49">
        <v>1</v>
      </c>
      <c r="P738" s="54" t="s">
        <v>1221</v>
      </c>
      <c r="Q738" s="54" t="s">
        <v>1111</v>
      </c>
      <c r="R738" s="54" t="s">
        <v>376</v>
      </c>
      <c r="S738" s="46"/>
      <c r="T738" s="46"/>
      <c r="U738" s="46"/>
      <c r="V738" s="46"/>
      <c r="W738" s="46"/>
      <c r="X738" s="46"/>
      <c r="Y738" s="46"/>
      <c r="Z738" s="46"/>
      <c r="AA738" s="46"/>
      <c r="AB738" s="46"/>
      <c r="AC738" s="46"/>
      <c r="AD738" s="46" t="s">
        <v>1033</v>
      </c>
      <c r="AE738" s="50">
        <f>IF(L738="W",1,0)</f>
        <v>1</v>
      </c>
      <c r="AF738" s="50">
        <f>IF(L738="T",1,0)</f>
        <v>0</v>
      </c>
      <c r="AG738" s="50">
        <f>IF(L738="L",1,0)</f>
        <v>0</v>
      </c>
      <c r="AH738" s="46" t="s">
        <v>1111</v>
      </c>
      <c r="AI738" s="46" t="s">
        <v>1126</v>
      </c>
      <c r="AJ738" s="46" t="s">
        <v>376</v>
      </c>
      <c r="AK738" s="46" t="s">
        <v>658</v>
      </c>
      <c r="AL738" s="46" t="s">
        <v>1355</v>
      </c>
      <c r="AM738" s="46" t="s">
        <v>1356</v>
      </c>
      <c r="AN738" s="46" t="s">
        <v>376</v>
      </c>
      <c r="AO738" s="46" t="s">
        <v>658</v>
      </c>
      <c r="AP738" s="46"/>
      <c r="AQ738" s="46">
        <v>2</v>
      </c>
      <c r="AR738" s="46"/>
      <c r="AS738" s="46"/>
      <c r="AT738" s="46"/>
      <c r="AU738" s="46" t="s">
        <v>376</v>
      </c>
      <c r="AV738" s="46"/>
      <c r="AW738" s="46" t="s">
        <v>30</v>
      </c>
      <c r="AX738" s="46"/>
      <c r="AY738" s="46"/>
      <c r="AZ738" s="46" t="s">
        <v>30</v>
      </c>
      <c r="BA738" s="54"/>
      <c r="BB738" s="51"/>
      <c r="BC738" s="46"/>
      <c r="BD738" s="46"/>
      <c r="BE738" s="46"/>
      <c r="BF738" s="46">
        <v>1</v>
      </c>
      <c r="BG738" s="46">
        <v>1</v>
      </c>
      <c r="BH738" s="46">
        <v>2</v>
      </c>
      <c r="BI738" s="46" t="s">
        <v>1124</v>
      </c>
      <c r="BJ738" s="46" t="s">
        <v>1353</v>
      </c>
      <c r="BK738" s="46">
        <v>1970</v>
      </c>
      <c r="BL738" s="46" t="str">
        <f>BK738&amp;BI738</f>
        <v>1970West Bromwich Albion</v>
      </c>
      <c r="BM738" s="52" t="str">
        <f>IF(AD738="Home",BI738,IF(AD738="Away",BJ738,Q738))</f>
        <v>West Bromwich Albion</v>
      </c>
      <c r="BN738" s="46"/>
      <c r="BO738" s="46"/>
      <c r="BP738" s="46"/>
      <c r="BQ738" s="46"/>
      <c r="BR738" s="46"/>
      <c r="BS738" s="46"/>
      <c r="BT738" s="46"/>
      <c r="BU738" s="46"/>
      <c r="BV738" s="46" t="s">
        <v>376</v>
      </c>
      <c r="BW738" s="46" t="s">
        <v>376</v>
      </c>
      <c r="BX738" s="46"/>
      <c r="BZ738" s="53"/>
      <c r="CA738" s="53"/>
      <c r="CB738" s="93" t="str">
        <f>IF(OR(C738="",A738="",B738=""),"",TEXT(C738,"0000")&amp;TEXT(A738,"00")&amp;TEXT(B738,"00"))</f>
        <v>19691203</v>
      </c>
    </row>
    <row r="739" spans="1:80" s="52" customFormat="1" ht="12.95" customHeight="1" x14ac:dyDescent="0.2">
      <c r="A739" s="46">
        <v>12</v>
      </c>
      <c r="B739" s="46">
        <v>3</v>
      </c>
      <c r="C739" s="46">
        <v>1969</v>
      </c>
      <c r="D739" s="46" t="s">
        <v>658</v>
      </c>
      <c r="E739" s="46" t="s">
        <v>559</v>
      </c>
      <c r="F739" s="54" t="s">
        <v>1327</v>
      </c>
      <c r="G739" s="46"/>
      <c r="H739" s="54" t="s">
        <v>1011</v>
      </c>
      <c r="I739" s="54">
        <v>2</v>
      </c>
      <c r="J739" s="55">
        <v>25540</v>
      </c>
      <c r="K739" s="46" t="s">
        <v>1353</v>
      </c>
      <c r="L739" s="46" t="s">
        <v>4</v>
      </c>
      <c r="M739" s="46" t="s">
        <v>1124</v>
      </c>
      <c r="N739" s="49">
        <v>1</v>
      </c>
      <c r="O739" s="49">
        <v>4</v>
      </c>
      <c r="P739" s="54" t="s">
        <v>1221</v>
      </c>
      <c r="Q739" s="54" t="s">
        <v>1111</v>
      </c>
      <c r="R739" s="54" t="s">
        <v>376</v>
      </c>
      <c r="S739" s="46"/>
      <c r="T739" s="46"/>
      <c r="U739" s="46"/>
      <c r="V739" s="46"/>
      <c r="W739" s="46"/>
      <c r="X739" s="46"/>
      <c r="Y739" s="46"/>
      <c r="Z739" s="46"/>
      <c r="AA739" s="46"/>
      <c r="AB739" s="46"/>
      <c r="AC739" s="46"/>
      <c r="AD739" s="46" t="s">
        <v>1037</v>
      </c>
      <c r="AE739" s="50">
        <f>IF(L739="W",1,0)</f>
        <v>0</v>
      </c>
      <c r="AF739" s="50">
        <f>IF(L739="T",1,0)</f>
        <v>0</v>
      </c>
      <c r="AG739" s="50">
        <f>IF(L739="L",1,0)</f>
        <v>1</v>
      </c>
      <c r="AH739" s="46" t="s">
        <v>1355</v>
      </c>
      <c r="AI739" s="46" t="s">
        <v>1356</v>
      </c>
      <c r="AJ739" s="46" t="s">
        <v>376</v>
      </c>
      <c r="AK739" s="46" t="s">
        <v>658</v>
      </c>
      <c r="AL739" s="46" t="s">
        <v>1111</v>
      </c>
      <c r="AM739" s="46" t="s">
        <v>1126</v>
      </c>
      <c r="AN739" s="46" t="s">
        <v>376</v>
      </c>
      <c r="AO739" s="46" t="s">
        <v>658</v>
      </c>
      <c r="AP739" s="46"/>
      <c r="AQ739" s="46">
        <v>2</v>
      </c>
      <c r="AR739" s="46"/>
      <c r="AS739" s="46"/>
      <c r="AT739" s="46"/>
      <c r="AU739" s="46" t="s">
        <v>376</v>
      </c>
      <c r="AV739" s="46"/>
      <c r="AW739" s="46" t="s">
        <v>30</v>
      </c>
      <c r="AX739" s="46"/>
      <c r="AY739" s="46"/>
      <c r="AZ739" s="46" t="s">
        <v>30</v>
      </c>
      <c r="BA739" s="54"/>
      <c r="BB739" s="51"/>
      <c r="BC739" s="46"/>
      <c r="BD739" s="46"/>
      <c r="BE739" s="46"/>
      <c r="BF739" s="46">
        <v>1</v>
      </c>
      <c r="BG739" s="46">
        <v>2</v>
      </c>
      <c r="BH739" s="46">
        <v>1</v>
      </c>
      <c r="BI739" s="46" t="s">
        <v>1353</v>
      </c>
      <c r="BJ739" s="46" t="s">
        <v>1124</v>
      </c>
      <c r="BK739" s="46">
        <v>1970</v>
      </c>
      <c r="BL739" s="46" t="str">
        <f>BK739&amp;BI739</f>
        <v>1970Carlisle United</v>
      </c>
      <c r="BM739" s="52" t="str">
        <f>IF(AD739="Home",BI739,IF(AD739="Away",BJ739,Q739))</f>
        <v>West Bromwich Albion</v>
      </c>
      <c r="BN739" s="46"/>
      <c r="BO739" s="46"/>
      <c r="BP739" s="46"/>
      <c r="BQ739" s="46"/>
      <c r="BR739" s="46"/>
      <c r="BS739" s="46"/>
      <c r="BT739" s="46"/>
      <c r="BU739" s="46"/>
      <c r="BV739" s="46" t="s">
        <v>376</v>
      </c>
      <c r="BW739" s="46" t="s">
        <v>376</v>
      </c>
      <c r="BX739" s="46"/>
      <c r="BZ739" s="53"/>
      <c r="CA739" s="53"/>
      <c r="CB739" s="93" t="str">
        <f>IF(OR(C739="",A739="",B739=""),"",TEXT(C739,"0000")&amp;TEXT(A739,"00")&amp;TEXT(B739,"00"))</f>
        <v>19691203</v>
      </c>
    </row>
    <row r="740" spans="1:80" s="52" customFormat="1" ht="12.95" customHeight="1" x14ac:dyDescent="0.2">
      <c r="A740" s="46">
        <v>12</v>
      </c>
      <c r="B740" s="46">
        <v>17</v>
      </c>
      <c r="C740" s="46">
        <v>1969</v>
      </c>
      <c r="D740" s="46" t="s">
        <v>658</v>
      </c>
      <c r="E740" s="46" t="s">
        <v>559</v>
      </c>
      <c r="F740" s="54" t="s">
        <v>1327</v>
      </c>
      <c r="G740" s="46"/>
      <c r="H740" s="54" t="s">
        <v>1011</v>
      </c>
      <c r="I740" s="54">
        <v>2</v>
      </c>
      <c r="J740" s="55">
        <v>25554</v>
      </c>
      <c r="K740" s="46" t="s">
        <v>821</v>
      </c>
      <c r="L740" s="46" t="s">
        <v>1014</v>
      </c>
      <c r="M740" s="46" t="s">
        <v>823</v>
      </c>
      <c r="N740" s="49">
        <v>2</v>
      </c>
      <c r="O740" s="49">
        <v>2</v>
      </c>
      <c r="P740" s="54" t="s">
        <v>1246</v>
      </c>
      <c r="Q740" s="54" t="s">
        <v>1101</v>
      </c>
      <c r="R740" s="54" t="s">
        <v>376</v>
      </c>
      <c r="S740" s="46"/>
      <c r="T740" s="46"/>
      <c r="U740" s="46"/>
      <c r="V740" s="46"/>
      <c r="W740" s="46"/>
      <c r="X740" s="46"/>
      <c r="Y740" s="46"/>
      <c r="Z740" s="46"/>
      <c r="AA740" s="46"/>
      <c r="AB740" s="46"/>
      <c r="AC740" s="46"/>
      <c r="AD740" s="46" t="s">
        <v>1033</v>
      </c>
      <c r="AE740" s="50">
        <f>IF(L740="W",1,0)</f>
        <v>0</v>
      </c>
      <c r="AF740" s="50">
        <f>IF(L740="T",1,0)</f>
        <v>1</v>
      </c>
      <c r="AG740" s="50">
        <f>IF(L740="L",1,0)</f>
        <v>0</v>
      </c>
      <c r="AH740" s="46" t="s">
        <v>1101</v>
      </c>
      <c r="AI740" s="46" t="s">
        <v>1159</v>
      </c>
      <c r="AJ740" s="46" t="s">
        <v>376</v>
      </c>
      <c r="AK740" s="46" t="s">
        <v>658</v>
      </c>
      <c r="AL740" s="46" t="s">
        <v>1101</v>
      </c>
      <c r="AM740" s="46" t="s">
        <v>1159</v>
      </c>
      <c r="AN740" s="46" t="s">
        <v>376</v>
      </c>
      <c r="AO740" s="46" t="s">
        <v>658</v>
      </c>
      <c r="AP740" s="46"/>
      <c r="AQ740" s="46">
        <v>2</v>
      </c>
      <c r="AR740" s="46"/>
      <c r="AS740" s="46"/>
      <c r="AT740" s="46" t="s">
        <v>1272</v>
      </c>
      <c r="AU740" s="46" t="s">
        <v>376</v>
      </c>
      <c r="AV740" s="46"/>
      <c r="AW740" s="46" t="s">
        <v>30</v>
      </c>
      <c r="AX740" s="46"/>
      <c r="AY740" s="46"/>
      <c r="AZ740" s="46" t="s">
        <v>30</v>
      </c>
      <c r="BA740" s="54"/>
      <c r="BB740" s="51"/>
      <c r="BC740" s="46"/>
      <c r="BD740" s="46"/>
      <c r="BE740" s="46"/>
      <c r="BF740" s="46">
        <v>1</v>
      </c>
      <c r="BG740" s="46">
        <v>1</v>
      </c>
      <c r="BH740" s="46">
        <v>1</v>
      </c>
      <c r="BI740" s="46" t="s">
        <v>821</v>
      </c>
      <c r="BJ740" s="46" t="s">
        <v>823</v>
      </c>
      <c r="BK740" s="46">
        <v>1970</v>
      </c>
      <c r="BL740" s="46" t="str">
        <f>BK740&amp;BI740</f>
        <v>1970Manchester United</v>
      </c>
      <c r="BM740" s="52" t="str">
        <f>IF(AD740="Home",BI740,IF(AD740="Away",BJ740,Q740))</f>
        <v>Manchester United</v>
      </c>
      <c r="BN740" s="46"/>
      <c r="BO740" s="46"/>
      <c r="BP740" s="46"/>
      <c r="BQ740" s="46"/>
      <c r="BR740" s="46"/>
      <c r="BS740" s="46"/>
      <c r="BT740" s="46"/>
      <c r="BU740" s="46"/>
      <c r="BV740" s="46" t="s">
        <v>376</v>
      </c>
      <c r="BW740" s="46" t="s">
        <v>376</v>
      </c>
      <c r="BX740" s="46"/>
      <c r="BZ740" s="53"/>
      <c r="CA740" s="53"/>
      <c r="CB740" s="93" t="str">
        <f>IF(OR(C740="",A740="",B740=""),"",TEXT(C740,"0000")&amp;TEXT(A740,"00")&amp;TEXT(B740,"00"))</f>
        <v>19691217</v>
      </c>
    </row>
    <row r="741" spans="1:80" s="52" customFormat="1" ht="12.95" customHeight="1" x14ac:dyDescent="0.2">
      <c r="A741" s="46">
        <v>12</v>
      </c>
      <c r="B741" s="46">
        <v>17</v>
      </c>
      <c r="C741" s="46">
        <v>1969</v>
      </c>
      <c r="D741" s="46" t="s">
        <v>658</v>
      </c>
      <c r="E741" s="46" t="s">
        <v>559</v>
      </c>
      <c r="F741" s="54" t="s">
        <v>1327</v>
      </c>
      <c r="G741" s="46"/>
      <c r="H741" s="54" t="s">
        <v>1011</v>
      </c>
      <c r="I741" s="54">
        <v>2</v>
      </c>
      <c r="J741" s="55">
        <v>25554</v>
      </c>
      <c r="K741" s="46" t="s">
        <v>823</v>
      </c>
      <c r="L741" s="46" t="s">
        <v>1014</v>
      </c>
      <c r="M741" s="46" t="s">
        <v>821</v>
      </c>
      <c r="N741" s="49">
        <v>2</v>
      </c>
      <c r="O741" s="49">
        <v>2</v>
      </c>
      <c r="P741" s="54" t="s">
        <v>1246</v>
      </c>
      <c r="Q741" s="54" t="s">
        <v>1101</v>
      </c>
      <c r="R741" s="54" t="s">
        <v>376</v>
      </c>
      <c r="S741" s="46"/>
      <c r="T741" s="46"/>
      <c r="U741" s="46"/>
      <c r="V741" s="46"/>
      <c r="W741" s="46"/>
      <c r="X741" s="46"/>
      <c r="Y741" s="46"/>
      <c r="Z741" s="46"/>
      <c r="AA741" s="46"/>
      <c r="AB741" s="46"/>
      <c r="AC741" s="46"/>
      <c r="AD741" s="46" t="s">
        <v>1037</v>
      </c>
      <c r="AE741" s="50">
        <f>IF(L741="W",1,0)</f>
        <v>0</v>
      </c>
      <c r="AF741" s="50">
        <f>IF(L741="T",1,0)</f>
        <v>1</v>
      </c>
      <c r="AG741" s="50">
        <f>IF(L741="L",1,0)</f>
        <v>0</v>
      </c>
      <c r="AH741" s="46" t="s">
        <v>1101</v>
      </c>
      <c r="AI741" s="46" t="s">
        <v>1159</v>
      </c>
      <c r="AJ741" s="46" t="s">
        <v>376</v>
      </c>
      <c r="AK741" s="46" t="s">
        <v>658</v>
      </c>
      <c r="AL741" s="46" t="s">
        <v>1101</v>
      </c>
      <c r="AM741" s="46" t="s">
        <v>1159</v>
      </c>
      <c r="AN741" s="46" t="s">
        <v>376</v>
      </c>
      <c r="AO741" s="46" t="s">
        <v>658</v>
      </c>
      <c r="AP741" s="46"/>
      <c r="AQ741" s="46">
        <v>2</v>
      </c>
      <c r="AR741" s="46"/>
      <c r="AS741" s="46"/>
      <c r="AT741" s="46" t="s">
        <v>1272</v>
      </c>
      <c r="AU741" s="46" t="s">
        <v>376</v>
      </c>
      <c r="AV741" s="46"/>
      <c r="AW741" s="46" t="s">
        <v>30</v>
      </c>
      <c r="AX741" s="46"/>
      <c r="AY741" s="46"/>
      <c r="AZ741" s="46" t="s">
        <v>30</v>
      </c>
      <c r="BA741" s="54"/>
      <c r="BB741" s="51"/>
      <c r="BC741" s="46"/>
      <c r="BD741" s="46"/>
      <c r="BE741" s="46"/>
      <c r="BF741" s="46">
        <v>1</v>
      </c>
      <c r="BG741" s="46">
        <v>1</v>
      </c>
      <c r="BH741" s="46">
        <v>1</v>
      </c>
      <c r="BI741" s="46" t="s">
        <v>823</v>
      </c>
      <c r="BJ741" s="46" t="s">
        <v>821</v>
      </c>
      <c r="BK741" s="46">
        <v>1970</v>
      </c>
      <c r="BL741" s="46" t="str">
        <f>BK741&amp;BI741</f>
        <v>1970Manchester City</v>
      </c>
      <c r="BM741" s="52" t="str">
        <f>IF(AD741="Home",BI741,IF(AD741="Away",BJ741,Q741))</f>
        <v>Manchester United</v>
      </c>
      <c r="BN741" s="46"/>
      <c r="BO741" s="46"/>
      <c r="BP741" s="46"/>
      <c r="BQ741" s="46"/>
      <c r="BR741" s="46"/>
      <c r="BS741" s="46"/>
      <c r="BT741" s="46"/>
      <c r="BU741" s="46"/>
      <c r="BV741" s="46" t="s">
        <v>376</v>
      </c>
      <c r="BW741" s="46" t="s">
        <v>376</v>
      </c>
      <c r="BX741" s="46"/>
      <c r="BZ741" s="53"/>
      <c r="CA741" s="53"/>
      <c r="CB741" s="93" t="str">
        <f>IF(OR(C741="",A741="",B741=""),"",TEXT(C741,"0000")&amp;TEXT(A741,"00")&amp;TEXT(B741,"00"))</f>
        <v>19691217</v>
      </c>
    </row>
    <row r="742" spans="1:80" s="52" customFormat="1" ht="12.95" customHeight="1" x14ac:dyDescent="0.2">
      <c r="A742" s="46">
        <v>3</v>
      </c>
      <c r="B742" s="46">
        <v>7</v>
      </c>
      <c r="C742" s="46">
        <v>1970</v>
      </c>
      <c r="D742" s="46" t="s">
        <v>658</v>
      </c>
      <c r="E742" s="46" t="s">
        <v>559</v>
      </c>
      <c r="F742" s="54" t="s">
        <v>1327</v>
      </c>
      <c r="G742" s="46"/>
      <c r="H742" s="54" t="s">
        <v>40</v>
      </c>
      <c r="I742" s="54"/>
      <c r="J742" s="55">
        <v>25634</v>
      </c>
      <c r="K742" s="46" t="s">
        <v>823</v>
      </c>
      <c r="L742" s="46" t="s">
        <v>3</v>
      </c>
      <c r="M742" s="46" t="s">
        <v>1124</v>
      </c>
      <c r="N742" s="49">
        <v>2</v>
      </c>
      <c r="O742" s="49">
        <v>1</v>
      </c>
      <c r="P742" s="54" t="s">
        <v>1268</v>
      </c>
      <c r="Q742" s="54" t="s">
        <v>1017</v>
      </c>
      <c r="R742" s="54" t="s">
        <v>376</v>
      </c>
      <c r="S742" s="46"/>
      <c r="T742" s="46"/>
      <c r="U742" s="46"/>
      <c r="V742" s="46"/>
      <c r="W742" s="46"/>
      <c r="X742" s="46"/>
      <c r="Y742" s="46"/>
      <c r="Z742" s="46"/>
      <c r="AA742" s="46"/>
      <c r="AB742" s="46"/>
      <c r="AC742" s="46"/>
      <c r="AD742" s="46"/>
      <c r="AE742" s="50">
        <f>IF(L742="W",1,0)</f>
        <v>1</v>
      </c>
      <c r="AF742" s="50">
        <f>IF(L742="T",1,0)</f>
        <v>0</v>
      </c>
      <c r="AG742" s="50">
        <f>IF(L742="L",1,0)</f>
        <v>0</v>
      </c>
      <c r="AH742" s="46" t="s">
        <v>1101</v>
      </c>
      <c r="AI742" s="46" t="s">
        <v>1159</v>
      </c>
      <c r="AJ742" s="46" t="s">
        <v>376</v>
      </c>
      <c r="AK742" s="46" t="s">
        <v>658</v>
      </c>
      <c r="AL742" s="46" t="s">
        <v>1111</v>
      </c>
      <c r="AM742" s="46" t="s">
        <v>1126</v>
      </c>
      <c r="AN742" s="46" t="s">
        <v>376</v>
      </c>
      <c r="AO742" s="46" t="s">
        <v>658</v>
      </c>
      <c r="AP742" s="46"/>
      <c r="AQ742" s="46">
        <v>1</v>
      </c>
      <c r="AR742" s="46"/>
      <c r="AS742" s="46"/>
      <c r="AT742" s="46"/>
      <c r="AU742" s="46" t="s">
        <v>376</v>
      </c>
      <c r="AV742" s="46"/>
      <c r="AW742" s="46" t="s">
        <v>30</v>
      </c>
      <c r="AX742" s="46"/>
      <c r="AY742" s="46"/>
      <c r="AZ742" s="46" t="s">
        <v>30</v>
      </c>
      <c r="BA742" s="54"/>
      <c r="BB742" s="51" t="s">
        <v>30</v>
      </c>
      <c r="BC742" s="46" t="s">
        <v>30</v>
      </c>
      <c r="BD742" s="46"/>
      <c r="BE742" s="46"/>
      <c r="BF742" s="46">
        <v>1</v>
      </c>
      <c r="BG742" s="46">
        <v>1</v>
      </c>
      <c r="BH742" s="46">
        <v>1</v>
      </c>
      <c r="BI742" s="46" t="s">
        <v>823</v>
      </c>
      <c r="BJ742" s="46" t="s">
        <v>1124</v>
      </c>
      <c r="BK742" s="46">
        <v>1970</v>
      </c>
      <c r="BL742" s="46" t="str">
        <f>BK742&amp;BI742</f>
        <v>1970Manchester City</v>
      </c>
      <c r="BM742" s="52" t="str">
        <f>IF(AD742="Home",BI742,IF(AD742="Away",BJ742,Q742))</f>
        <v>London</v>
      </c>
      <c r="BN742" s="46"/>
      <c r="BO742" s="46"/>
      <c r="BP742" s="46"/>
      <c r="BQ742" s="46"/>
      <c r="BR742" s="46"/>
      <c r="BS742" s="46"/>
      <c r="BT742" s="46"/>
      <c r="BU742" s="46"/>
      <c r="BV742" s="46" t="s">
        <v>376</v>
      </c>
      <c r="BW742" s="46" t="s">
        <v>376</v>
      </c>
      <c r="BX742" s="46"/>
      <c r="BZ742" s="53"/>
      <c r="CA742" s="53"/>
      <c r="CB742" s="93" t="str">
        <f>IF(OR(C742="",A742="",B742=""),"",TEXT(C742,"0000")&amp;TEXT(A742,"00")&amp;TEXT(B742,"00"))</f>
        <v>19700307</v>
      </c>
    </row>
    <row r="743" spans="1:80" s="52" customFormat="1" ht="12.95" customHeight="1" x14ac:dyDescent="0.2">
      <c r="A743" s="46">
        <v>3</v>
      </c>
      <c r="B743" s="46">
        <v>7</v>
      </c>
      <c r="C743" s="46">
        <v>1970</v>
      </c>
      <c r="D743" s="46" t="s">
        <v>658</v>
      </c>
      <c r="E743" s="46" t="s">
        <v>559</v>
      </c>
      <c r="F743" s="54" t="s">
        <v>1327</v>
      </c>
      <c r="G743" s="46"/>
      <c r="H743" s="54" t="s">
        <v>40</v>
      </c>
      <c r="I743" s="54"/>
      <c r="J743" s="55">
        <v>25634</v>
      </c>
      <c r="K743" s="46" t="s">
        <v>1124</v>
      </c>
      <c r="L743" s="46" t="s">
        <v>4</v>
      </c>
      <c r="M743" s="46" t="s">
        <v>823</v>
      </c>
      <c r="N743" s="49">
        <v>1</v>
      </c>
      <c r="O743" s="49">
        <v>2</v>
      </c>
      <c r="P743" s="54" t="s">
        <v>1268</v>
      </c>
      <c r="Q743" s="54" t="s">
        <v>1017</v>
      </c>
      <c r="R743" s="54" t="s">
        <v>376</v>
      </c>
      <c r="S743" s="46"/>
      <c r="T743" s="46"/>
      <c r="U743" s="46"/>
      <c r="V743" s="46"/>
      <c r="W743" s="46"/>
      <c r="X743" s="46"/>
      <c r="Y743" s="46"/>
      <c r="Z743" s="46"/>
      <c r="AA743" s="46"/>
      <c r="AB743" s="46"/>
      <c r="AC743" s="46"/>
      <c r="AD743" s="46"/>
      <c r="AE743" s="50">
        <f>IF(L743="W",1,0)</f>
        <v>0</v>
      </c>
      <c r="AF743" s="50">
        <f>IF(L743="T",1,0)</f>
        <v>0</v>
      </c>
      <c r="AG743" s="50">
        <f>IF(L743="L",1,0)</f>
        <v>1</v>
      </c>
      <c r="AH743" s="46" t="s">
        <v>1111</v>
      </c>
      <c r="AI743" s="46" t="s">
        <v>1126</v>
      </c>
      <c r="AJ743" s="46" t="s">
        <v>376</v>
      </c>
      <c r="AK743" s="46" t="s">
        <v>658</v>
      </c>
      <c r="AL743" s="46" t="s">
        <v>1101</v>
      </c>
      <c r="AM743" s="46" t="s">
        <v>1159</v>
      </c>
      <c r="AN743" s="46" t="s">
        <v>376</v>
      </c>
      <c r="AO743" s="46" t="s">
        <v>658</v>
      </c>
      <c r="AP743" s="46"/>
      <c r="AQ743" s="46">
        <v>1</v>
      </c>
      <c r="AR743" s="46"/>
      <c r="AS743" s="46"/>
      <c r="AT743" s="46"/>
      <c r="AU743" s="46" t="s">
        <v>376</v>
      </c>
      <c r="AV743" s="46"/>
      <c r="AW743" s="46" t="s">
        <v>30</v>
      </c>
      <c r="AX743" s="46"/>
      <c r="AY743" s="46"/>
      <c r="AZ743" s="46" t="s">
        <v>30</v>
      </c>
      <c r="BA743" s="54"/>
      <c r="BB743" s="51"/>
      <c r="BC743" s="46" t="s">
        <v>30</v>
      </c>
      <c r="BD743" s="46"/>
      <c r="BE743" s="46"/>
      <c r="BF743" s="46">
        <v>1</v>
      </c>
      <c r="BG743" s="46">
        <v>1</v>
      </c>
      <c r="BH743" s="46">
        <v>1</v>
      </c>
      <c r="BI743" s="46" t="s">
        <v>1124</v>
      </c>
      <c r="BJ743" s="46" t="s">
        <v>823</v>
      </c>
      <c r="BK743" s="46">
        <v>1970</v>
      </c>
      <c r="BL743" s="46" t="str">
        <f>BK743&amp;BI743</f>
        <v>1970West Bromwich Albion</v>
      </c>
      <c r="BM743" s="52" t="str">
        <f>IF(AD743="Home",BI743,IF(AD743="Away",BJ743,Q743))</f>
        <v>London</v>
      </c>
      <c r="BN743" s="46"/>
      <c r="BO743" s="46"/>
      <c r="BP743" s="46"/>
      <c r="BQ743" s="46"/>
      <c r="BR743" s="46"/>
      <c r="BS743" s="46"/>
      <c r="BT743" s="46"/>
      <c r="BU743" s="46"/>
      <c r="BV743" s="46" t="s">
        <v>376</v>
      </c>
      <c r="BW743" s="46" t="s">
        <v>376</v>
      </c>
      <c r="BX743" s="46"/>
      <c r="BZ743" s="53"/>
      <c r="CA743" s="53"/>
      <c r="CB743" s="93" t="str">
        <f>IF(OR(C743="",A743="",B743=""),"",TEXT(C743,"0000")&amp;TEXT(A743,"00")&amp;TEXT(B743,"00"))</f>
        <v>19700307</v>
      </c>
    </row>
    <row r="744" spans="1:80" s="52" customFormat="1" ht="12.95" customHeight="1" x14ac:dyDescent="0.2">
      <c r="A744" s="46">
        <v>3</v>
      </c>
      <c r="B744" s="46">
        <v>14</v>
      </c>
      <c r="C744" s="46">
        <v>1970</v>
      </c>
      <c r="D744" s="46" t="s">
        <v>658</v>
      </c>
      <c r="E744" s="46" t="s">
        <v>559</v>
      </c>
      <c r="F744" s="47" t="s">
        <v>1010</v>
      </c>
      <c r="G744" s="46"/>
      <c r="H744" s="47" t="s">
        <v>1011</v>
      </c>
      <c r="I744" s="47"/>
      <c r="J744" s="48">
        <v>25641</v>
      </c>
      <c r="K744" s="46" t="s">
        <v>821</v>
      </c>
      <c r="L744" s="46" t="s">
        <v>1014</v>
      </c>
      <c r="M744" s="46" t="s">
        <v>794</v>
      </c>
      <c r="N744" s="49">
        <v>0</v>
      </c>
      <c r="O744" s="49">
        <v>0</v>
      </c>
      <c r="P744" s="47" t="s">
        <v>1252</v>
      </c>
      <c r="Q744" s="47" t="s">
        <v>1097</v>
      </c>
      <c r="R744" s="47" t="s">
        <v>376</v>
      </c>
      <c r="S744" s="46"/>
      <c r="T744" s="46"/>
      <c r="U744" s="46"/>
      <c r="V744" s="46"/>
      <c r="W744" s="46"/>
      <c r="X744" s="46"/>
      <c r="Y744" s="46"/>
      <c r="Z744" s="46"/>
      <c r="AA744" s="46"/>
      <c r="AB744" s="46"/>
      <c r="AC744" s="46"/>
      <c r="AD744" s="46"/>
      <c r="AE744" s="50">
        <f>IF(L744="W",1,0)</f>
        <v>0</v>
      </c>
      <c r="AF744" s="50">
        <f>IF(L744="T",1,0)</f>
        <v>1</v>
      </c>
      <c r="AG744" s="50">
        <f>IF(L744="L",1,0)</f>
        <v>0</v>
      </c>
      <c r="AH744" s="46" t="s">
        <v>1101</v>
      </c>
      <c r="AI744" s="46" t="s">
        <v>1159</v>
      </c>
      <c r="AJ744" s="46" t="s">
        <v>376</v>
      </c>
      <c r="AK744" s="46" t="s">
        <v>658</v>
      </c>
      <c r="AL744" s="46" t="s">
        <v>1241</v>
      </c>
      <c r="AM744" s="46" t="s">
        <v>1260</v>
      </c>
      <c r="AN744" s="46" t="s">
        <v>376</v>
      </c>
      <c r="AO744" s="46" t="s">
        <v>658</v>
      </c>
      <c r="AP744" s="46"/>
      <c r="AQ744" s="46">
        <v>2</v>
      </c>
      <c r="AR744" s="46"/>
      <c r="AS744" s="46"/>
      <c r="AT744" s="46"/>
      <c r="AU744" s="46" t="s">
        <v>376</v>
      </c>
      <c r="AV744" s="46"/>
      <c r="AW744" s="46" t="s">
        <v>30</v>
      </c>
      <c r="AX744" s="46"/>
      <c r="AY744" s="46" t="s">
        <v>30</v>
      </c>
      <c r="AZ744" s="46"/>
      <c r="BA744" s="47"/>
      <c r="BB744" s="51"/>
      <c r="BC744" s="46"/>
      <c r="BD744" s="46"/>
      <c r="BE744" s="46"/>
      <c r="BF744" s="46">
        <v>1</v>
      </c>
      <c r="BG744" s="46">
        <v>1</v>
      </c>
      <c r="BH744" s="46">
        <v>1</v>
      </c>
      <c r="BI744" s="46" t="s">
        <v>821</v>
      </c>
      <c r="BJ744" s="46" t="s">
        <v>794</v>
      </c>
      <c r="BK744" s="46">
        <v>1970</v>
      </c>
      <c r="BL744" s="46" t="str">
        <f>BK744&amp;BI744</f>
        <v>1970Manchester United</v>
      </c>
      <c r="BM744" s="52" t="str">
        <f>IF(AD744="Home",BI744,IF(AD744="Away",BJ744,Q744))</f>
        <v>Sheffield</v>
      </c>
      <c r="BN744" s="46"/>
      <c r="BO744" s="46"/>
      <c r="BP744" s="46"/>
      <c r="BQ744" s="46"/>
      <c r="BR744" s="46"/>
      <c r="BS744" s="46"/>
      <c r="BT744" s="46"/>
      <c r="BU744" s="46"/>
      <c r="BV744" s="46" t="s">
        <v>376</v>
      </c>
      <c r="BW744" s="46" t="s">
        <v>376</v>
      </c>
      <c r="BX744" s="46"/>
      <c r="BY744" s="50"/>
      <c r="BZ744" s="53"/>
      <c r="CA744" s="53"/>
      <c r="CB744" s="93" t="str">
        <f>IF(OR(C744="",A744="",B744=""),"",TEXT(C744,"0000")&amp;TEXT(A744,"00")&amp;TEXT(B744,"00"))</f>
        <v>19700314</v>
      </c>
    </row>
    <row r="745" spans="1:80" s="52" customFormat="1" ht="12.95" customHeight="1" x14ac:dyDescent="0.2">
      <c r="A745" s="46">
        <v>3</v>
      </c>
      <c r="B745" s="46">
        <v>14</v>
      </c>
      <c r="C745" s="46">
        <v>1970</v>
      </c>
      <c r="D745" s="46" t="s">
        <v>658</v>
      </c>
      <c r="E745" s="46" t="s">
        <v>559</v>
      </c>
      <c r="F745" s="47" t="s">
        <v>1010</v>
      </c>
      <c r="G745" s="46"/>
      <c r="H745" s="47" t="s">
        <v>1011</v>
      </c>
      <c r="I745" s="47"/>
      <c r="J745" s="48">
        <v>25641</v>
      </c>
      <c r="K745" s="46" t="s">
        <v>794</v>
      </c>
      <c r="L745" s="46" t="s">
        <v>1014</v>
      </c>
      <c r="M745" s="46" t="s">
        <v>821</v>
      </c>
      <c r="N745" s="49">
        <v>0</v>
      </c>
      <c r="O745" s="49">
        <v>0</v>
      </c>
      <c r="P745" s="47" t="s">
        <v>1252</v>
      </c>
      <c r="Q745" s="47" t="s">
        <v>1097</v>
      </c>
      <c r="R745" s="47" t="s">
        <v>376</v>
      </c>
      <c r="S745" s="46"/>
      <c r="T745" s="46"/>
      <c r="U745" s="46"/>
      <c r="V745" s="46"/>
      <c r="W745" s="46"/>
      <c r="X745" s="46"/>
      <c r="Y745" s="46"/>
      <c r="Z745" s="46"/>
      <c r="AA745" s="46"/>
      <c r="AB745" s="46"/>
      <c r="AC745" s="46"/>
      <c r="AD745" s="46"/>
      <c r="AE745" s="50">
        <f>IF(L745="W",1,0)</f>
        <v>0</v>
      </c>
      <c r="AF745" s="50">
        <f>IF(L745="T",1,0)</f>
        <v>1</v>
      </c>
      <c r="AG745" s="50">
        <f>IF(L745="L",1,0)</f>
        <v>0</v>
      </c>
      <c r="AH745" s="46" t="s">
        <v>1241</v>
      </c>
      <c r="AI745" s="46" t="s">
        <v>1260</v>
      </c>
      <c r="AJ745" s="46" t="s">
        <v>376</v>
      </c>
      <c r="AK745" s="46" t="s">
        <v>658</v>
      </c>
      <c r="AL745" s="46" t="s">
        <v>1101</v>
      </c>
      <c r="AM745" s="46" t="s">
        <v>1159</v>
      </c>
      <c r="AN745" s="46" t="s">
        <v>376</v>
      </c>
      <c r="AO745" s="46" t="s">
        <v>658</v>
      </c>
      <c r="AP745" s="46"/>
      <c r="AQ745" s="46">
        <v>2</v>
      </c>
      <c r="AR745" s="46"/>
      <c r="AS745" s="46"/>
      <c r="AT745" s="46"/>
      <c r="AU745" s="46" t="s">
        <v>376</v>
      </c>
      <c r="AV745" s="46"/>
      <c r="AW745" s="46" t="s">
        <v>30</v>
      </c>
      <c r="AX745" s="46"/>
      <c r="AY745" s="46" t="s">
        <v>30</v>
      </c>
      <c r="AZ745" s="46"/>
      <c r="BA745" s="47"/>
      <c r="BB745" s="51"/>
      <c r="BC745" s="46"/>
      <c r="BD745" s="46"/>
      <c r="BE745" s="46"/>
      <c r="BF745" s="46">
        <v>1</v>
      </c>
      <c r="BG745" s="46">
        <v>1</v>
      </c>
      <c r="BH745" s="46">
        <v>1</v>
      </c>
      <c r="BI745" s="46" t="s">
        <v>794</v>
      </c>
      <c r="BJ745" s="46" t="s">
        <v>821</v>
      </c>
      <c r="BK745" s="46">
        <v>1970</v>
      </c>
      <c r="BL745" s="46" t="str">
        <f>BK745&amp;BI745</f>
        <v>1970Leeds United</v>
      </c>
      <c r="BM745" s="52" t="str">
        <f>IF(AD745="Home",BI745,IF(AD745="Away",BJ745,Q745))</f>
        <v>Sheffield</v>
      </c>
      <c r="BN745" s="46"/>
      <c r="BO745" s="46"/>
      <c r="BP745" s="46"/>
      <c r="BQ745" s="46"/>
      <c r="BR745" s="46"/>
      <c r="BS745" s="46"/>
      <c r="BT745" s="46"/>
      <c r="BU745" s="46"/>
      <c r="BV745" s="46" t="s">
        <v>376</v>
      </c>
      <c r="BW745" s="46" t="s">
        <v>376</v>
      </c>
      <c r="BX745" s="46"/>
      <c r="BY745" s="50"/>
      <c r="BZ745" s="53"/>
      <c r="CA745" s="53"/>
      <c r="CB745" s="93" t="str">
        <f>IF(OR(C745="",A745="",B745=""),"",TEXT(C745,"0000")&amp;TEXT(A745,"00")&amp;TEXT(B745,"00"))</f>
        <v>19700314</v>
      </c>
    </row>
    <row r="746" spans="1:80" s="52" customFormat="1" ht="12.95" customHeight="1" x14ac:dyDescent="0.2">
      <c r="A746" s="46">
        <v>3</v>
      </c>
      <c r="B746" s="46">
        <v>14</v>
      </c>
      <c r="C746" s="46">
        <v>1970</v>
      </c>
      <c r="D746" s="46" t="s">
        <v>658</v>
      </c>
      <c r="E746" s="46" t="s">
        <v>559</v>
      </c>
      <c r="F746" s="47" t="s">
        <v>1010</v>
      </c>
      <c r="G746" s="46"/>
      <c r="H746" s="47" t="s">
        <v>1011</v>
      </c>
      <c r="I746" s="47"/>
      <c r="J746" s="48">
        <v>25641</v>
      </c>
      <c r="K746" s="46" t="s">
        <v>816</v>
      </c>
      <c r="L746" s="46" t="s">
        <v>3</v>
      </c>
      <c r="M746" s="46" t="s">
        <v>1357</v>
      </c>
      <c r="N746" s="49">
        <v>5</v>
      </c>
      <c r="O746" s="49">
        <v>1</v>
      </c>
      <c r="P746" s="47" t="s">
        <v>1222</v>
      </c>
      <c r="Q746" s="47" t="s">
        <v>1017</v>
      </c>
      <c r="R746" s="47" t="s">
        <v>376</v>
      </c>
      <c r="S746" s="46"/>
      <c r="T746" s="46"/>
      <c r="U746" s="46"/>
      <c r="V746" s="46"/>
      <c r="W746" s="46"/>
      <c r="X746" s="46"/>
      <c r="Y746" s="46"/>
      <c r="Z746" s="46"/>
      <c r="AA746" s="46"/>
      <c r="AB746" s="46"/>
      <c r="AC746" s="46"/>
      <c r="AD746" s="46"/>
      <c r="AE746" s="50">
        <f>IF(L746="W",1,0)</f>
        <v>1</v>
      </c>
      <c r="AF746" s="50">
        <f>IF(L746="T",1,0)</f>
        <v>0</v>
      </c>
      <c r="AG746" s="50">
        <f>IF(L746="L",1,0)</f>
        <v>0</v>
      </c>
      <c r="AH746" s="46" t="s">
        <v>1017</v>
      </c>
      <c r="AI746" s="46" t="s">
        <v>1018</v>
      </c>
      <c r="AJ746" s="46" t="s">
        <v>376</v>
      </c>
      <c r="AK746" s="46" t="s">
        <v>658</v>
      </c>
      <c r="AL746" s="46" t="s">
        <v>1017</v>
      </c>
      <c r="AM746" s="46" t="s">
        <v>1018</v>
      </c>
      <c r="AN746" s="46" t="s">
        <v>376</v>
      </c>
      <c r="AO746" s="46" t="s">
        <v>658</v>
      </c>
      <c r="AP746" s="46"/>
      <c r="AQ746" s="46">
        <v>2</v>
      </c>
      <c r="AR746" s="46"/>
      <c r="AS746" s="46"/>
      <c r="AT746" s="46"/>
      <c r="AU746" s="46" t="s">
        <v>376</v>
      </c>
      <c r="AV746" s="46"/>
      <c r="AW746" s="46" t="s">
        <v>30</v>
      </c>
      <c r="AX746" s="46"/>
      <c r="AY746" s="46" t="s">
        <v>30</v>
      </c>
      <c r="AZ746" s="46"/>
      <c r="BA746" s="47"/>
      <c r="BB746" s="51"/>
      <c r="BC746" s="46"/>
      <c r="BD746" s="46"/>
      <c r="BE746" s="46"/>
      <c r="BF746" s="46">
        <v>1</v>
      </c>
      <c r="BG746" s="46">
        <v>1</v>
      </c>
      <c r="BH746" s="46">
        <v>2</v>
      </c>
      <c r="BI746" s="46" t="s">
        <v>816</v>
      </c>
      <c r="BJ746" s="46" t="s">
        <v>1357</v>
      </c>
      <c r="BK746" s="46">
        <v>1970</v>
      </c>
      <c r="BL746" s="46" t="str">
        <f>BK746&amp;BI746</f>
        <v>1970Chelsea</v>
      </c>
      <c r="BM746" s="52" t="str">
        <f>IF(AD746="Home",BI746,IF(AD746="Away",BJ746,Q746))</f>
        <v>London</v>
      </c>
      <c r="BN746" s="46"/>
      <c r="BO746" s="46"/>
      <c r="BP746" s="46"/>
      <c r="BQ746" s="46"/>
      <c r="BR746" s="46"/>
      <c r="BS746" s="46"/>
      <c r="BT746" s="46"/>
      <c r="BU746" s="46"/>
      <c r="BV746" s="46" t="s">
        <v>376</v>
      </c>
      <c r="BW746" s="46" t="s">
        <v>376</v>
      </c>
      <c r="BX746" s="46"/>
      <c r="BZ746" s="53"/>
      <c r="CA746" s="53"/>
      <c r="CB746" s="93" t="str">
        <f>IF(OR(C746="",A746="",B746=""),"",TEXT(C746,"0000")&amp;TEXT(A746,"00")&amp;TEXT(B746,"00"))</f>
        <v>19700314</v>
      </c>
    </row>
    <row r="747" spans="1:80" s="52" customFormat="1" ht="12.95" customHeight="1" x14ac:dyDescent="0.2">
      <c r="A747" s="46">
        <v>3</v>
      </c>
      <c r="B747" s="46">
        <v>14</v>
      </c>
      <c r="C747" s="46">
        <v>1970</v>
      </c>
      <c r="D747" s="46" t="s">
        <v>658</v>
      </c>
      <c r="E747" s="46" t="s">
        <v>559</v>
      </c>
      <c r="F747" s="47" t="s">
        <v>1010</v>
      </c>
      <c r="G747" s="46"/>
      <c r="H747" s="47" t="s">
        <v>1011</v>
      </c>
      <c r="I747" s="47"/>
      <c r="J747" s="48">
        <v>25641</v>
      </c>
      <c r="K747" s="46" t="s">
        <v>1357</v>
      </c>
      <c r="L747" s="46" t="s">
        <v>4</v>
      </c>
      <c r="M747" s="46" t="s">
        <v>816</v>
      </c>
      <c r="N747" s="49">
        <v>1</v>
      </c>
      <c r="O747" s="49">
        <v>5</v>
      </c>
      <c r="P747" s="47" t="s">
        <v>1222</v>
      </c>
      <c r="Q747" s="47" t="s">
        <v>1017</v>
      </c>
      <c r="R747" s="47" t="s">
        <v>376</v>
      </c>
      <c r="S747" s="46"/>
      <c r="T747" s="46"/>
      <c r="U747" s="46"/>
      <c r="V747" s="46"/>
      <c r="W747" s="46"/>
      <c r="X747" s="46"/>
      <c r="Y747" s="46"/>
      <c r="Z747" s="46"/>
      <c r="AA747" s="46"/>
      <c r="AB747" s="46"/>
      <c r="AC747" s="46"/>
      <c r="AD747" s="46"/>
      <c r="AE747" s="50">
        <f>IF(L747="W",1,0)</f>
        <v>0</v>
      </c>
      <c r="AF747" s="50">
        <f>IF(L747="T",1,0)</f>
        <v>0</v>
      </c>
      <c r="AG747" s="50">
        <f>IF(L747="L",1,0)</f>
        <v>1</v>
      </c>
      <c r="AH747" s="46" t="s">
        <v>1017</v>
      </c>
      <c r="AI747" s="46" t="s">
        <v>1018</v>
      </c>
      <c r="AJ747" s="46" t="s">
        <v>376</v>
      </c>
      <c r="AK747" s="46" t="s">
        <v>658</v>
      </c>
      <c r="AL747" s="46" t="s">
        <v>1017</v>
      </c>
      <c r="AM747" s="46" t="s">
        <v>1018</v>
      </c>
      <c r="AN747" s="46" t="s">
        <v>376</v>
      </c>
      <c r="AO747" s="46" t="s">
        <v>658</v>
      </c>
      <c r="AP747" s="46"/>
      <c r="AQ747" s="46">
        <v>2</v>
      </c>
      <c r="AR747" s="46"/>
      <c r="AS747" s="46"/>
      <c r="AT747" s="46"/>
      <c r="AU747" s="46" t="s">
        <v>376</v>
      </c>
      <c r="AV747" s="46"/>
      <c r="AW747" s="46" t="s">
        <v>30</v>
      </c>
      <c r="AX747" s="46"/>
      <c r="AY747" s="46" t="s">
        <v>30</v>
      </c>
      <c r="AZ747" s="46"/>
      <c r="BA747" s="47"/>
      <c r="BB747" s="51"/>
      <c r="BC747" s="46"/>
      <c r="BD747" s="46"/>
      <c r="BE747" s="46"/>
      <c r="BF747" s="46">
        <v>1</v>
      </c>
      <c r="BG747" s="46">
        <v>2</v>
      </c>
      <c r="BH747" s="46">
        <v>1</v>
      </c>
      <c r="BI747" s="46" t="s">
        <v>1357</v>
      </c>
      <c r="BJ747" s="46" t="s">
        <v>816</v>
      </c>
      <c r="BK747" s="46">
        <v>1970</v>
      </c>
      <c r="BL747" s="46" t="str">
        <f>BK747&amp;BI747</f>
        <v>1970Watford</v>
      </c>
      <c r="BM747" s="52" t="str">
        <f>IF(AD747="Home",BI747,IF(AD747="Away",BJ747,Q747))</f>
        <v>London</v>
      </c>
      <c r="BN747" s="46"/>
      <c r="BO747" s="46"/>
      <c r="BP747" s="46"/>
      <c r="BQ747" s="46"/>
      <c r="BR747" s="46"/>
      <c r="BS747" s="46"/>
      <c r="BT747" s="46"/>
      <c r="BU747" s="46"/>
      <c r="BV747" s="46" t="s">
        <v>376</v>
      </c>
      <c r="BW747" s="46" t="s">
        <v>376</v>
      </c>
      <c r="BX747" s="46"/>
      <c r="BZ747" s="53"/>
      <c r="CA747" s="53"/>
      <c r="CB747" s="93" t="str">
        <f>IF(OR(C747="",A747="",B747=""),"",TEXT(C747,"0000")&amp;TEXT(A747,"00")&amp;TEXT(B747,"00"))</f>
        <v>19700314</v>
      </c>
    </row>
    <row r="748" spans="1:80" s="52" customFormat="1" ht="12.95" customHeight="1" x14ac:dyDescent="0.2">
      <c r="A748" s="46">
        <v>3</v>
      </c>
      <c r="B748" s="46">
        <v>23</v>
      </c>
      <c r="C748" s="46">
        <v>1970</v>
      </c>
      <c r="D748" s="46" t="s">
        <v>658</v>
      </c>
      <c r="E748" s="46" t="s">
        <v>559</v>
      </c>
      <c r="F748" s="47" t="s">
        <v>1010</v>
      </c>
      <c r="G748" s="46"/>
      <c r="H748" s="47" t="s">
        <v>1011</v>
      </c>
      <c r="I748" s="47" t="s">
        <v>1023</v>
      </c>
      <c r="J748" s="48">
        <v>25650</v>
      </c>
      <c r="K748" s="46" t="s">
        <v>821</v>
      </c>
      <c r="L748" s="46" t="s">
        <v>1014</v>
      </c>
      <c r="M748" s="46" t="s">
        <v>794</v>
      </c>
      <c r="N748" s="49">
        <v>0</v>
      </c>
      <c r="O748" s="49">
        <v>0</v>
      </c>
      <c r="P748" s="47" t="s">
        <v>1219</v>
      </c>
      <c r="Q748" s="47" t="s">
        <v>1111</v>
      </c>
      <c r="R748" s="47" t="s">
        <v>376</v>
      </c>
      <c r="S748" s="46"/>
      <c r="T748" s="46"/>
      <c r="U748" s="46"/>
      <c r="V748" s="46"/>
      <c r="W748" s="46"/>
      <c r="X748" s="46"/>
      <c r="Y748" s="46"/>
      <c r="Z748" s="46"/>
      <c r="AA748" s="46"/>
      <c r="AB748" s="46"/>
      <c r="AC748" s="46"/>
      <c r="AD748" s="46"/>
      <c r="AE748" s="50">
        <f>IF(L748="W",1,0)</f>
        <v>0</v>
      </c>
      <c r="AF748" s="50">
        <f>IF(L748="T",1,0)</f>
        <v>1</v>
      </c>
      <c r="AG748" s="50">
        <f>IF(L748="L",1,0)</f>
        <v>0</v>
      </c>
      <c r="AH748" s="46" t="s">
        <v>1101</v>
      </c>
      <c r="AI748" s="46" t="s">
        <v>1159</v>
      </c>
      <c r="AJ748" s="46" t="s">
        <v>376</v>
      </c>
      <c r="AK748" s="46" t="s">
        <v>658</v>
      </c>
      <c r="AL748" s="46" t="s">
        <v>1241</v>
      </c>
      <c r="AM748" s="46" t="s">
        <v>1260</v>
      </c>
      <c r="AN748" s="46" t="s">
        <v>376</v>
      </c>
      <c r="AO748" s="46" t="s">
        <v>658</v>
      </c>
      <c r="AP748" s="46"/>
      <c r="AQ748" s="46">
        <v>2</v>
      </c>
      <c r="AR748" s="46"/>
      <c r="AS748" s="46"/>
      <c r="AT748" s="46"/>
      <c r="AU748" s="46" t="s">
        <v>376</v>
      </c>
      <c r="AV748" s="46"/>
      <c r="AW748" s="46" t="s">
        <v>30</v>
      </c>
      <c r="AX748" s="46"/>
      <c r="AY748" s="46" t="s">
        <v>30</v>
      </c>
      <c r="AZ748" s="46"/>
      <c r="BA748" s="47"/>
      <c r="BB748" s="51"/>
      <c r="BC748" s="46"/>
      <c r="BD748" s="46"/>
      <c r="BE748" s="46"/>
      <c r="BF748" s="46">
        <v>1</v>
      </c>
      <c r="BG748" s="46">
        <v>1</v>
      </c>
      <c r="BH748" s="46">
        <v>1</v>
      </c>
      <c r="BI748" s="46" t="s">
        <v>821</v>
      </c>
      <c r="BJ748" s="46" t="s">
        <v>794</v>
      </c>
      <c r="BK748" s="46">
        <v>1970</v>
      </c>
      <c r="BL748" s="46" t="str">
        <f>BK748&amp;BI748</f>
        <v>1970Manchester United</v>
      </c>
      <c r="BM748" s="52" t="str">
        <f>IF(AD748="Home",BI748,IF(AD748="Away",BJ748,Q748))</f>
        <v>Birmingham</v>
      </c>
      <c r="BN748" s="46"/>
      <c r="BO748" s="46"/>
      <c r="BP748" s="46"/>
      <c r="BQ748" s="46"/>
      <c r="BR748" s="46"/>
      <c r="BS748" s="46"/>
      <c r="BT748" s="46"/>
      <c r="BU748" s="46"/>
      <c r="BV748" s="46" t="s">
        <v>376</v>
      </c>
      <c r="BW748" s="46" t="s">
        <v>376</v>
      </c>
      <c r="BX748" s="46"/>
      <c r="BZ748" s="53"/>
      <c r="CA748" s="53"/>
      <c r="CB748" s="93" t="str">
        <f>IF(OR(C748="",A748="",B748=""),"",TEXT(C748,"0000")&amp;TEXT(A748,"00")&amp;TEXT(B748,"00"))</f>
        <v>19700323</v>
      </c>
    </row>
    <row r="749" spans="1:80" s="52" customFormat="1" ht="12.95" customHeight="1" x14ac:dyDescent="0.2">
      <c r="A749" s="46">
        <v>3</v>
      </c>
      <c r="B749" s="46">
        <v>23</v>
      </c>
      <c r="C749" s="46">
        <v>1970</v>
      </c>
      <c r="D749" s="46" t="s">
        <v>658</v>
      </c>
      <c r="E749" s="46" t="s">
        <v>559</v>
      </c>
      <c r="F749" s="47" t="s">
        <v>1010</v>
      </c>
      <c r="G749" s="46"/>
      <c r="H749" s="47" t="s">
        <v>1011</v>
      </c>
      <c r="I749" s="47" t="s">
        <v>1023</v>
      </c>
      <c r="J749" s="48">
        <v>25650</v>
      </c>
      <c r="K749" s="46" t="s">
        <v>794</v>
      </c>
      <c r="L749" s="46" t="s">
        <v>1014</v>
      </c>
      <c r="M749" s="46" t="s">
        <v>821</v>
      </c>
      <c r="N749" s="49">
        <v>0</v>
      </c>
      <c r="O749" s="49">
        <v>0</v>
      </c>
      <c r="P749" s="47" t="s">
        <v>1219</v>
      </c>
      <c r="Q749" s="47" t="s">
        <v>1111</v>
      </c>
      <c r="R749" s="47" t="s">
        <v>376</v>
      </c>
      <c r="S749" s="46"/>
      <c r="T749" s="46"/>
      <c r="U749" s="46"/>
      <c r="V749" s="46"/>
      <c r="W749" s="46"/>
      <c r="X749" s="46"/>
      <c r="Y749" s="46"/>
      <c r="Z749" s="46"/>
      <c r="AA749" s="46"/>
      <c r="AB749" s="46"/>
      <c r="AC749" s="46"/>
      <c r="AD749" s="46"/>
      <c r="AE749" s="50">
        <f>IF(L749="W",1,0)</f>
        <v>0</v>
      </c>
      <c r="AF749" s="50">
        <f>IF(L749="T",1,0)</f>
        <v>1</v>
      </c>
      <c r="AG749" s="50">
        <f>IF(L749="L",1,0)</f>
        <v>0</v>
      </c>
      <c r="AH749" s="46" t="s">
        <v>1241</v>
      </c>
      <c r="AI749" s="46" t="s">
        <v>1260</v>
      </c>
      <c r="AJ749" s="46" t="s">
        <v>376</v>
      </c>
      <c r="AK749" s="46" t="s">
        <v>658</v>
      </c>
      <c r="AL749" s="46" t="s">
        <v>1101</v>
      </c>
      <c r="AM749" s="46" t="s">
        <v>1159</v>
      </c>
      <c r="AN749" s="46" t="s">
        <v>376</v>
      </c>
      <c r="AO749" s="46" t="s">
        <v>658</v>
      </c>
      <c r="AP749" s="46"/>
      <c r="AQ749" s="46">
        <v>2</v>
      </c>
      <c r="AR749" s="46"/>
      <c r="AS749" s="46"/>
      <c r="AT749" s="46"/>
      <c r="AU749" s="46" t="s">
        <v>376</v>
      </c>
      <c r="AV749" s="46"/>
      <c r="AW749" s="46" t="s">
        <v>30</v>
      </c>
      <c r="AX749" s="46"/>
      <c r="AY749" s="46" t="s">
        <v>30</v>
      </c>
      <c r="AZ749" s="46"/>
      <c r="BA749" s="47"/>
      <c r="BB749" s="51"/>
      <c r="BC749" s="46"/>
      <c r="BD749" s="46"/>
      <c r="BE749" s="46"/>
      <c r="BF749" s="46">
        <v>1</v>
      </c>
      <c r="BG749" s="46">
        <v>1</v>
      </c>
      <c r="BH749" s="46">
        <v>1</v>
      </c>
      <c r="BI749" s="46" t="s">
        <v>794</v>
      </c>
      <c r="BJ749" s="46" t="s">
        <v>821</v>
      </c>
      <c r="BK749" s="46">
        <v>1970</v>
      </c>
      <c r="BL749" s="46" t="str">
        <f>BK749&amp;BI749</f>
        <v>1970Leeds United</v>
      </c>
      <c r="BM749" s="52" t="str">
        <f>IF(AD749="Home",BI749,IF(AD749="Away",BJ749,Q749))</f>
        <v>Birmingham</v>
      </c>
      <c r="BN749" s="46"/>
      <c r="BO749" s="46"/>
      <c r="BP749" s="46"/>
      <c r="BQ749" s="46"/>
      <c r="BR749" s="46"/>
      <c r="BS749" s="46"/>
      <c r="BT749" s="46"/>
      <c r="BU749" s="46"/>
      <c r="BV749" s="46" t="s">
        <v>376</v>
      </c>
      <c r="BW749" s="46" t="s">
        <v>376</v>
      </c>
      <c r="BX749" s="46"/>
      <c r="BZ749" s="53"/>
      <c r="CA749" s="53"/>
      <c r="CB749" s="93" t="str">
        <f>IF(OR(C749="",A749="",B749=""),"",TEXT(C749,"0000")&amp;TEXT(A749,"00")&amp;TEXT(B749,"00"))</f>
        <v>19700323</v>
      </c>
    </row>
    <row r="750" spans="1:80" s="52" customFormat="1" ht="12.95" customHeight="1" x14ac:dyDescent="0.2">
      <c r="A750" s="46">
        <v>3</v>
      </c>
      <c r="B750" s="46">
        <v>26</v>
      </c>
      <c r="C750" s="46">
        <v>1970</v>
      </c>
      <c r="D750" s="46" t="s">
        <v>658</v>
      </c>
      <c r="E750" s="46" t="s">
        <v>559</v>
      </c>
      <c r="F750" s="47" t="s">
        <v>1010</v>
      </c>
      <c r="G750" s="46"/>
      <c r="H750" s="47" t="s">
        <v>1011</v>
      </c>
      <c r="I750" s="47" t="s">
        <v>1170</v>
      </c>
      <c r="J750" s="48">
        <v>25653</v>
      </c>
      <c r="K750" s="46" t="s">
        <v>794</v>
      </c>
      <c r="L750" s="46" t="s">
        <v>3</v>
      </c>
      <c r="M750" s="46" t="s">
        <v>821</v>
      </c>
      <c r="N750" s="49">
        <v>1</v>
      </c>
      <c r="O750" s="49">
        <v>0</v>
      </c>
      <c r="P750" s="47" t="s">
        <v>1209</v>
      </c>
      <c r="Q750" s="47" t="s">
        <v>1101</v>
      </c>
      <c r="R750" s="47" t="s">
        <v>376</v>
      </c>
      <c r="S750" s="46"/>
      <c r="T750" s="46"/>
      <c r="U750" s="46"/>
      <c r="V750" s="46"/>
      <c r="W750" s="46"/>
      <c r="X750" s="46"/>
      <c r="Y750" s="46"/>
      <c r="Z750" s="46"/>
      <c r="AA750" s="46"/>
      <c r="AB750" s="46"/>
      <c r="AC750" s="46"/>
      <c r="AD750" s="46"/>
      <c r="AE750" s="50">
        <f>IF(L750="W",1,0)</f>
        <v>1</v>
      </c>
      <c r="AF750" s="50">
        <f>IF(L750="T",1,0)</f>
        <v>0</v>
      </c>
      <c r="AG750" s="50">
        <f>IF(L750="L",1,0)</f>
        <v>0</v>
      </c>
      <c r="AH750" s="46" t="s">
        <v>1241</v>
      </c>
      <c r="AI750" s="46" t="s">
        <v>1260</v>
      </c>
      <c r="AJ750" s="46" t="s">
        <v>376</v>
      </c>
      <c r="AK750" s="46" t="s">
        <v>658</v>
      </c>
      <c r="AL750" s="46" t="s">
        <v>1101</v>
      </c>
      <c r="AM750" s="46" t="s">
        <v>1159</v>
      </c>
      <c r="AN750" s="46" t="s">
        <v>376</v>
      </c>
      <c r="AO750" s="46" t="s">
        <v>658</v>
      </c>
      <c r="AP750" s="46"/>
      <c r="AQ750" s="46">
        <v>2</v>
      </c>
      <c r="AR750" s="46"/>
      <c r="AS750" s="46"/>
      <c r="AT750" s="46"/>
      <c r="AU750" s="46" t="s">
        <v>376</v>
      </c>
      <c r="AV750" s="46"/>
      <c r="AW750" s="46" t="s">
        <v>30</v>
      </c>
      <c r="AX750" s="46"/>
      <c r="AY750" s="46" t="s">
        <v>30</v>
      </c>
      <c r="AZ750" s="46"/>
      <c r="BA750" s="47"/>
      <c r="BB750" s="51"/>
      <c r="BC750" s="46"/>
      <c r="BD750" s="46"/>
      <c r="BE750" s="46"/>
      <c r="BF750" s="46">
        <v>1</v>
      </c>
      <c r="BG750" s="46">
        <v>1</v>
      </c>
      <c r="BH750" s="46">
        <v>1</v>
      </c>
      <c r="BI750" s="46" t="s">
        <v>794</v>
      </c>
      <c r="BJ750" s="46" t="s">
        <v>821</v>
      </c>
      <c r="BK750" s="46">
        <v>1970</v>
      </c>
      <c r="BL750" s="46" t="str">
        <f>BK750&amp;BI750</f>
        <v>1970Leeds United</v>
      </c>
      <c r="BM750" s="52" t="str">
        <f>IF(AD750="Home",BI750,IF(AD750="Away",BJ750,Q750))</f>
        <v>Manchester</v>
      </c>
      <c r="BN750" s="46"/>
      <c r="BO750" s="46"/>
      <c r="BP750" s="46"/>
      <c r="BQ750" s="46"/>
      <c r="BR750" s="46"/>
      <c r="BS750" s="46"/>
      <c r="BT750" s="46"/>
      <c r="BU750" s="46"/>
      <c r="BV750" s="46" t="s">
        <v>376</v>
      </c>
      <c r="BW750" s="46" t="s">
        <v>376</v>
      </c>
      <c r="BX750" s="46"/>
      <c r="BZ750" s="53"/>
      <c r="CA750" s="53"/>
      <c r="CB750" s="93" t="str">
        <f>IF(OR(C750="",A750="",B750=""),"",TEXT(C750,"0000")&amp;TEXT(A750,"00")&amp;TEXT(B750,"00"))</f>
        <v>19700326</v>
      </c>
    </row>
    <row r="751" spans="1:80" s="52" customFormat="1" ht="12.95" customHeight="1" x14ac:dyDescent="0.2">
      <c r="A751" s="46">
        <v>3</v>
      </c>
      <c r="B751" s="46">
        <v>26</v>
      </c>
      <c r="C751" s="46">
        <v>1970</v>
      </c>
      <c r="D751" s="46" t="s">
        <v>658</v>
      </c>
      <c r="E751" s="46" t="s">
        <v>559</v>
      </c>
      <c r="F751" s="47" t="s">
        <v>1010</v>
      </c>
      <c r="G751" s="46"/>
      <c r="H751" s="47" t="s">
        <v>1011</v>
      </c>
      <c r="I751" s="47" t="s">
        <v>1170</v>
      </c>
      <c r="J751" s="48">
        <v>25653</v>
      </c>
      <c r="K751" s="46" t="s">
        <v>821</v>
      </c>
      <c r="L751" s="46" t="s">
        <v>4</v>
      </c>
      <c r="M751" s="46" t="s">
        <v>794</v>
      </c>
      <c r="N751" s="49">
        <v>0</v>
      </c>
      <c r="O751" s="49">
        <v>1</v>
      </c>
      <c r="P751" s="47" t="s">
        <v>1209</v>
      </c>
      <c r="Q751" s="47" t="s">
        <v>1101</v>
      </c>
      <c r="R751" s="47" t="s">
        <v>376</v>
      </c>
      <c r="S751" s="46"/>
      <c r="T751" s="46"/>
      <c r="U751" s="46"/>
      <c r="V751" s="46"/>
      <c r="W751" s="46"/>
      <c r="X751" s="46"/>
      <c r="Y751" s="46"/>
      <c r="Z751" s="46"/>
      <c r="AA751" s="46"/>
      <c r="AB751" s="46"/>
      <c r="AC751" s="46"/>
      <c r="AD751" s="46"/>
      <c r="AE751" s="50">
        <f>IF(L751="W",1,0)</f>
        <v>0</v>
      </c>
      <c r="AF751" s="50">
        <f>IF(L751="T",1,0)</f>
        <v>0</v>
      </c>
      <c r="AG751" s="50">
        <f>IF(L751="L",1,0)</f>
        <v>1</v>
      </c>
      <c r="AH751" s="46" t="s">
        <v>1101</v>
      </c>
      <c r="AI751" s="46" t="s">
        <v>1159</v>
      </c>
      <c r="AJ751" s="46" t="s">
        <v>376</v>
      </c>
      <c r="AK751" s="46" t="s">
        <v>658</v>
      </c>
      <c r="AL751" s="46" t="s">
        <v>1241</v>
      </c>
      <c r="AM751" s="46" t="s">
        <v>1260</v>
      </c>
      <c r="AN751" s="46" t="s">
        <v>376</v>
      </c>
      <c r="AO751" s="46" t="s">
        <v>658</v>
      </c>
      <c r="AP751" s="46"/>
      <c r="AQ751" s="46">
        <v>2</v>
      </c>
      <c r="AR751" s="46"/>
      <c r="AS751" s="46"/>
      <c r="AT751" s="46"/>
      <c r="AU751" s="46" t="s">
        <v>376</v>
      </c>
      <c r="AV751" s="46"/>
      <c r="AW751" s="46" t="s">
        <v>30</v>
      </c>
      <c r="AX751" s="46"/>
      <c r="AY751" s="46" t="s">
        <v>30</v>
      </c>
      <c r="AZ751" s="46"/>
      <c r="BA751" s="47"/>
      <c r="BB751" s="51"/>
      <c r="BC751" s="46"/>
      <c r="BD751" s="46"/>
      <c r="BE751" s="46"/>
      <c r="BF751" s="46">
        <v>1</v>
      </c>
      <c r="BG751" s="46">
        <v>1</v>
      </c>
      <c r="BH751" s="46">
        <v>1</v>
      </c>
      <c r="BI751" s="46" t="s">
        <v>821</v>
      </c>
      <c r="BJ751" s="46" t="s">
        <v>794</v>
      </c>
      <c r="BK751" s="46">
        <v>1970</v>
      </c>
      <c r="BL751" s="46" t="str">
        <f>BK751&amp;BI751</f>
        <v>1970Manchester United</v>
      </c>
      <c r="BM751" s="52" t="str">
        <f>IF(AD751="Home",BI751,IF(AD751="Away",BJ751,Q751))</f>
        <v>Manchester</v>
      </c>
      <c r="BN751" s="46"/>
      <c r="BO751" s="46"/>
      <c r="BP751" s="46"/>
      <c r="BQ751" s="46"/>
      <c r="BR751" s="46"/>
      <c r="BS751" s="46"/>
      <c r="BT751" s="46"/>
      <c r="BU751" s="46"/>
      <c r="BV751" s="46" t="s">
        <v>376</v>
      </c>
      <c r="BW751" s="46" t="s">
        <v>376</v>
      </c>
      <c r="BX751" s="46"/>
      <c r="BZ751" s="53"/>
      <c r="CA751" s="53"/>
      <c r="CB751" s="93" t="str">
        <f>IF(OR(C751="",A751="",B751=""),"",TEXT(C751,"0000")&amp;TEXT(A751,"00")&amp;TEXT(B751,"00"))</f>
        <v>19700326</v>
      </c>
    </row>
    <row r="752" spans="1:80" s="52" customFormat="1" ht="12.95" customHeight="1" x14ac:dyDescent="0.2">
      <c r="A752" s="46">
        <v>4</v>
      </c>
      <c r="B752" s="46">
        <v>11</v>
      </c>
      <c r="C752" s="46">
        <v>1970</v>
      </c>
      <c r="D752" s="46" t="s">
        <v>658</v>
      </c>
      <c r="E752" s="46" t="s">
        <v>559</v>
      </c>
      <c r="F752" s="47" t="s">
        <v>1010</v>
      </c>
      <c r="G752" s="46"/>
      <c r="H752" s="47" t="s">
        <v>1025</v>
      </c>
      <c r="I752" s="47"/>
      <c r="J752" s="48">
        <v>25669</v>
      </c>
      <c r="K752" s="46" t="s">
        <v>794</v>
      </c>
      <c r="L752" s="46" t="s">
        <v>1014</v>
      </c>
      <c r="M752" s="46" t="s">
        <v>816</v>
      </c>
      <c r="N752" s="49">
        <v>2</v>
      </c>
      <c r="O752" s="49">
        <v>2</v>
      </c>
      <c r="P752" s="47" t="s">
        <v>1268</v>
      </c>
      <c r="Q752" s="47" t="s">
        <v>1017</v>
      </c>
      <c r="R752" s="47" t="s">
        <v>376</v>
      </c>
      <c r="S752" s="46"/>
      <c r="T752" s="46"/>
      <c r="U752" s="46"/>
      <c r="V752" s="46"/>
      <c r="W752" s="46"/>
      <c r="X752" s="46"/>
      <c r="Y752" s="46"/>
      <c r="Z752" s="46"/>
      <c r="AA752" s="46"/>
      <c r="AB752" s="46"/>
      <c r="AC752" s="46"/>
      <c r="AD752" s="46"/>
      <c r="AE752" s="50">
        <f>IF(L752="W",1,0)</f>
        <v>0</v>
      </c>
      <c r="AF752" s="50">
        <f>IF(L752="T",1,0)</f>
        <v>1</v>
      </c>
      <c r="AG752" s="50">
        <f>IF(L752="L",1,0)</f>
        <v>0</v>
      </c>
      <c r="AH752" s="46" t="s">
        <v>1241</v>
      </c>
      <c r="AI752" s="46" t="s">
        <v>1260</v>
      </c>
      <c r="AJ752" s="46" t="s">
        <v>376</v>
      </c>
      <c r="AK752" s="46" t="s">
        <v>658</v>
      </c>
      <c r="AL752" s="46" t="s">
        <v>1017</v>
      </c>
      <c r="AM752" s="46" t="s">
        <v>1018</v>
      </c>
      <c r="AN752" s="46" t="s">
        <v>376</v>
      </c>
      <c r="AO752" s="46" t="s">
        <v>658</v>
      </c>
      <c r="AP752" s="46"/>
      <c r="AQ752" s="46">
        <v>1</v>
      </c>
      <c r="AR752" s="46"/>
      <c r="AS752" s="46"/>
      <c r="AT752" s="46"/>
      <c r="AU752" s="46" t="s">
        <v>376</v>
      </c>
      <c r="AV752" s="46"/>
      <c r="AW752" s="46" t="s">
        <v>30</v>
      </c>
      <c r="AX752" s="46"/>
      <c r="AY752" s="46" t="s">
        <v>30</v>
      </c>
      <c r="AZ752" s="46"/>
      <c r="BA752" s="47"/>
      <c r="BB752" s="51"/>
      <c r="BC752" s="46" t="s">
        <v>30</v>
      </c>
      <c r="BD752" s="46"/>
      <c r="BE752" s="46"/>
      <c r="BF752" s="46">
        <v>1</v>
      </c>
      <c r="BG752" s="46">
        <v>1</v>
      </c>
      <c r="BH752" s="46">
        <v>1</v>
      </c>
      <c r="BI752" s="46" t="s">
        <v>794</v>
      </c>
      <c r="BJ752" s="46" t="s">
        <v>816</v>
      </c>
      <c r="BK752" s="46">
        <v>1970</v>
      </c>
      <c r="BL752" s="46" t="str">
        <f>BK752&amp;BI752</f>
        <v>1970Leeds United</v>
      </c>
      <c r="BM752" s="52" t="str">
        <f>IF(AD752="Home",BI752,IF(AD752="Away",BJ752,Q752))</f>
        <v>London</v>
      </c>
      <c r="BN752" s="46"/>
      <c r="BO752" s="46"/>
      <c r="BP752" s="46"/>
      <c r="BQ752" s="46"/>
      <c r="BR752" s="46"/>
      <c r="BS752" s="46"/>
      <c r="BT752" s="46"/>
      <c r="BU752" s="46"/>
      <c r="BV752" s="46" t="s">
        <v>376</v>
      </c>
      <c r="BW752" s="46" t="s">
        <v>376</v>
      </c>
      <c r="BX752" s="46"/>
      <c r="BZ752" s="53"/>
      <c r="CA752" s="53"/>
      <c r="CB752" s="93" t="str">
        <f>IF(OR(C752="",A752="",B752=""),"",TEXT(C752,"0000")&amp;TEXT(A752,"00")&amp;TEXT(B752,"00"))</f>
        <v>19700411</v>
      </c>
    </row>
    <row r="753" spans="1:80" s="52" customFormat="1" ht="12.95" customHeight="1" x14ac:dyDescent="0.2">
      <c r="A753" s="46">
        <v>4</v>
      </c>
      <c r="B753" s="46">
        <v>11</v>
      </c>
      <c r="C753" s="46">
        <v>1970</v>
      </c>
      <c r="D753" s="46" t="s">
        <v>658</v>
      </c>
      <c r="E753" s="46" t="s">
        <v>559</v>
      </c>
      <c r="F753" s="47" t="s">
        <v>1010</v>
      </c>
      <c r="G753" s="46"/>
      <c r="H753" s="47" t="s">
        <v>1025</v>
      </c>
      <c r="I753" s="47"/>
      <c r="J753" s="48">
        <v>25669</v>
      </c>
      <c r="K753" s="46" t="s">
        <v>816</v>
      </c>
      <c r="L753" s="46" t="s">
        <v>1014</v>
      </c>
      <c r="M753" s="46" t="s">
        <v>794</v>
      </c>
      <c r="N753" s="49">
        <v>2</v>
      </c>
      <c r="O753" s="49">
        <v>2</v>
      </c>
      <c r="P753" s="47" t="s">
        <v>1268</v>
      </c>
      <c r="Q753" s="47" t="s">
        <v>1017</v>
      </c>
      <c r="R753" s="47" t="s">
        <v>376</v>
      </c>
      <c r="S753" s="46"/>
      <c r="T753" s="46"/>
      <c r="U753" s="46"/>
      <c r="V753" s="46"/>
      <c r="W753" s="46"/>
      <c r="X753" s="46"/>
      <c r="Y753" s="46"/>
      <c r="Z753" s="46"/>
      <c r="AA753" s="46"/>
      <c r="AB753" s="46"/>
      <c r="AC753" s="46"/>
      <c r="AD753" s="46"/>
      <c r="AE753" s="50">
        <f>IF(L753="W",1,0)</f>
        <v>0</v>
      </c>
      <c r="AF753" s="50">
        <f>IF(L753="T",1,0)</f>
        <v>1</v>
      </c>
      <c r="AG753" s="50">
        <f>IF(L753="L",1,0)</f>
        <v>0</v>
      </c>
      <c r="AH753" s="46" t="s">
        <v>1017</v>
      </c>
      <c r="AI753" s="46" t="s">
        <v>1018</v>
      </c>
      <c r="AJ753" s="46" t="s">
        <v>376</v>
      </c>
      <c r="AK753" s="46" t="s">
        <v>658</v>
      </c>
      <c r="AL753" s="46" t="s">
        <v>1241</v>
      </c>
      <c r="AM753" s="46" t="s">
        <v>1260</v>
      </c>
      <c r="AN753" s="46" t="s">
        <v>376</v>
      </c>
      <c r="AO753" s="46" t="s">
        <v>658</v>
      </c>
      <c r="AP753" s="46"/>
      <c r="AQ753" s="46">
        <v>1</v>
      </c>
      <c r="AR753" s="46"/>
      <c r="AS753" s="46"/>
      <c r="AT753" s="46"/>
      <c r="AU753" s="46" t="s">
        <v>376</v>
      </c>
      <c r="AV753" s="46"/>
      <c r="AW753" s="46" t="s">
        <v>30</v>
      </c>
      <c r="AX753" s="46"/>
      <c r="AY753" s="46" t="s">
        <v>30</v>
      </c>
      <c r="AZ753" s="46"/>
      <c r="BA753" s="47"/>
      <c r="BB753" s="51"/>
      <c r="BC753" s="46" t="s">
        <v>30</v>
      </c>
      <c r="BD753" s="46"/>
      <c r="BE753" s="46"/>
      <c r="BF753" s="46">
        <v>1</v>
      </c>
      <c r="BG753" s="46">
        <v>1</v>
      </c>
      <c r="BH753" s="46">
        <v>1</v>
      </c>
      <c r="BI753" s="46" t="s">
        <v>816</v>
      </c>
      <c r="BJ753" s="46" t="s">
        <v>794</v>
      </c>
      <c r="BK753" s="46">
        <v>1970</v>
      </c>
      <c r="BL753" s="46" t="str">
        <f>BK753&amp;BI753</f>
        <v>1970Chelsea</v>
      </c>
      <c r="BM753" s="52" t="str">
        <f>IF(AD753="Home",BI753,IF(AD753="Away",BJ753,Q753))</f>
        <v>London</v>
      </c>
      <c r="BN753" s="46"/>
      <c r="BO753" s="46"/>
      <c r="BP753" s="46"/>
      <c r="BQ753" s="46"/>
      <c r="BR753" s="46"/>
      <c r="BS753" s="46"/>
      <c r="BT753" s="46"/>
      <c r="BU753" s="46"/>
      <c r="BV753" s="46" t="s">
        <v>376</v>
      </c>
      <c r="BW753" s="46" t="s">
        <v>376</v>
      </c>
      <c r="BX753" s="46"/>
      <c r="BZ753" s="53"/>
      <c r="CA753" s="53"/>
      <c r="CB753" s="93" t="str">
        <f>IF(OR(C753="",A753="",B753=""),"",TEXT(C753,"0000")&amp;TEXT(A753,"00")&amp;TEXT(B753,"00"))</f>
        <v>19700411</v>
      </c>
    </row>
    <row r="754" spans="1:80" s="52" customFormat="1" ht="12.95" customHeight="1" x14ac:dyDescent="0.2">
      <c r="A754" s="46">
        <v>4</v>
      </c>
      <c r="B754" s="46">
        <v>29</v>
      </c>
      <c r="C754" s="46">
        <v>1970</v>
      </c>
      <c r="D754" s="46" t="s">
        <v>658</v>
      </c>
      <c r="E754" s="46" t="s">
        <v>559</v>
      </c>
      <c r="F754" s="47" t="s">
        <v>1010</v>
      </c>
      <c r="G754" s="46"/>
      <c r="H754" s="47" t="s">
        <v>1025</v>
      </c>
      <c r="I754" s="47" t="s">
        <v>1023</v>
      </c>
      <c r="J754" s="48">
        <v>25687</v>
      </c>
      <c r="K754" s="46" t="s">
        <v>816</v>
      </c>
      <c r="L754" s="46" t="s">
        <v>3</v>
      </c>
      <c r="M754" s="46" t="s">
        <v>794</v>
      </c>
      <c r="N754" s="49">
        <v>2</v>
      </c>
      <c r="O754" s="49">
        <v>1</v>
      </c>
      <c r="P754" s="47" t="s">
        <v>1246</v>
      </c>
      <c r="Q754" s="47" t="s">
        <v>1101</v>
      </c>
      <c r="R754" s="47" t="s">
        <v>376</v>
      </c>
      <c r="S754" s="46"/>
      <c r="T754" s="46"/>
      <c r="U754" s="46"/>
      <c r="V754" s="46"/>
      <c r="W754" s="46"/>
      <c r="X754" s="46"/>
      <c r="Y754" s="46"/>
      <c r="Z754" s="46"/>
      <c r="AA754" s="46"/>
      <c r="AB754" s="46"/>
      <c r="AC754" s="46"/>
      <c r="AD754" s="46"/>
      <c r="AE754" s="50">
        <f>IF(L754="W",1,0)</f>
        <v>1</v>
      </c>
      <c r="AF754" s="50">
        <f>IF(L754="T",1,0)</f>
        <v>0</v>
      </c>
      <c r="AG754" s="50">
        <f>IF(L754="L",1,0)</f>
        <v>0</v>
      </c>
      <c r="AH754" s="46" t="s">
        <v>1017</v>
      </c>
      <c r="AI754" s="46" t="s">
        <v>1018</v>
      </c>
      <c r="AJ754" s="46" t="s">
        <v>376</v>
      </c>
      <c r="AK754" s="46" t="s">
        <v>658</v>
      </c>
      <c r="AL754" s="46" t="s">
        <v>1241</v>
      </c>
      <c r="AM754" s="46" t="s">
        <v>1260</v>
      </c>
      <c r="AN754" s="46" t="s">
        <v>376</v>
      </c>
      <c r="AO754" s="46" t="s">
        <v>658</v>
      </c>
      <c r="AP754" s="46"/>
      <c r="AQ754" s="46">
        <v>1</v>
      </c>
      <c r="AR754" s="46"/>
      <c r="AS754" s="46"/>
      <c r="AT754" s="46"/>
      <c r="AU754" s="46" t="s">
        <v>376</v>
      </c>
      <c r="AV754" s="46"/>
      <c r="AW754" s="46" t="s">
        <v>30</v>
      </c>
      <c r="AX754" s="46"/>
      <c r="AY754" s="46" t="s">
        <v>30</v>
      </c>
      <c r="AZ754" s="46"/>
      <c r="BA754" s="47"/>
      <c r="BB754" s="51" t="s">
        <v>30</v>
      </c>
      <c r="BC754" s="46" t="s">
        <v>30</v>
      </c>
      <c r="BD754" s="46"/>
      <c r="BE754" s="46"/>
      <c r="BF754" s="46">
        <v>1</v>
      </c>
      <c r="BG754" s="46">
        <v>1</v>
      </c>
      <c r="BH754" s="46">
        <v>1</v>
      </c>
      <c r="BI754" s="46" t="s">
        <v>816</v>
      </c>
      <c r="BJ754" s="46" t="s">
        <v>794</v>
      </c>
      <c r="BK754" s="46">
        <v>1970</v>
      </c>
      <c r="BL754" s="46" t="str">
        <f>BK754&amp;BI754</f>
        <v>1970Chelsea</v>
      </c>
      <c r="BM754" s="52" t="str">
        <f>IF(AD754="Home",BI754,IF(AD754="Away",BJ754,Q754))</f>
        <v>Manchester</v>
      </c>
      <c r="BN754" s="46"/>
      <c r="BO754" s="46"/>
      <c r="BP754" s="46"/>
      <c r="BQ754" s="46"/>
      <c r="BR754" s="46"/>
      <c r="BS754" s="46"/>
      <c r="BT754" s="46"/>
      <c r="BU754" s="46"/>
      <c r="BV754" s="46" t="s">
        <v>376</v>
      </c>
      <c r="BW754" s="46" t="s">
        <v>376</v>
      </c>
      <c r="BX754" s="46"/>
      <c r="BZ754" s="53"/>
      <c r="CA754" s="53"/>
      <c r="CB754" s="93" t="str">
        <f>IF(OR(C754="",A754="",B754=""),"",TEXT(C754,"0000")&amp;TEXT(A754,"00")&amp;TEXT(B754,"00"))</f>
        <v>19700429</v>
      </c>
    </row>
    <row r="755" spans="1:80" s="52" customFormat="1" ht="12.95" customHeight="1" x14ac:dyDescent="0.2">
      <c r="A755" s="46">
        <v>4</v>
      </c>
      <c r="B755" s="46">
        <v>29</v>
      </c>
      <c r="C755" s="46">
        <v>1970</v>
      </c>
      <c r="D755" s="46" t="s">
        <v>658</v>
      </c>
      <c r="E755" s="46" t="s">
        <v>559</v>
      </c>
      <c r="F755" s="47" t="s">
        <v>1010</v>
      </c>
      <c r="G755" s="46"/>
      <c r="H755" s="47" t="s">
        <v>1025</v>
      </c>
      <c r="I755" s="47" t="s">
        <v>1023</v>
      </c>
      <c r="J755" s="48">
        <v>25687</v>
      </c>
      <c r="K755" s="46" t="s">
        <v>794</v>
      </c>
      <c r="L755" s="46" t="s">
        <v>4</v>
      </c>
      <c r="M755" s="46" t="s">
        <v>816</v>
      </c>
      <c r="N755" s="49">
        <v>1</v>
      </c>
      <c r="O755" s="49">
        <v>2</v>
      </c>
      <c r="P755" s="47" t="s">
        <v>1246</v>
      </c>
      <c r="Q755" s="47" t="s">
        <v>1101</v>
      </c>
      <c r="R755" s="47" t="s">
        <v>376</v>
      </c>
      <c r="S755" s="46"/>
      <c r="T755" s="46"/>
      <c r="U755" s="46"/>
      <c r="V755" s="46"/>
      <c r="W755" s="46"/>
      <c r="X755" s="46"/>
      <c r="Y755" s="46"/>
      <c r="Z755" s="46"/>
      <c r="AA755" s="46"/>
      <c r="AB755" s="46"/>
      <c r="AC755" s="46"/>
      <c r="AD755" s="46"/>
      <c r="AE755" s="50">
        <f>IF(L755="W",1,0)</f>
        <v>0</v>
      </c>
      <c r="AF755" s="50">
        <f>IF(L755="T",1,0)</f>
        <v>0</v>
      </c>
      <c r="AG755" s="50">
        <f>IF(L755="L",1,0)</f>
        <v>1</v>
      </c>
      <c r="AH755" s="46" t="s">
        <v>1241</v>
      </c>
      <c r="AI755" s="46" t="s">
        <v>1260</v>
      </c>
      <c r="AJ755" s="46" t="s">
        <v>376</v>
      </c>
      <c r="AK755" s="46" t="s">
        <v>658</v>
      </c>
      <c r="AL755" s="46" t="s">
        <v>1017</v>
      </c>
      <c r="AM755" s="46" t="s">
        <v>1018</v>
      </c>
      <c r="AN755" s="46" t="s">
        <v>376</v>
      </c>
      <c r="AO755" s="46" t="s">
        <v>658</v>
      </c>
      <c r="AP755" s="46"/>
      <c r="AQ755" s="46">
        <v>1</v>
      </c>
      <c r="AR755" s="46"/>
      <c r="AS755" s="46"/>
      <c r="AT755" s="46"/>
      <c r="AU755" s="46" t="s">
        <v>376</v>
      </c>
      <c r="AV755" s="46"/>
      <c r="AW755" s="46" t="s">
        <v>30</v>
      </c>
      <c r="AX755" s="46"/>
      <c r="AY755" s="46" t="s">
        <v>30</v>
      </c>
      <c r="AZ755" s="46"/>
      <c r="BA755" s="47"/>
      <c r="BB755" s="51"/>
      <c r="BC755" s="46" t="s">
        <v>30</v>
      </c>
      <c r="BD755" s="46"/>
      <c r="BE755" s="46"/>
      <c r="BF755" s="46">
        <v>1</v>
      </c>
      <c r="BG755" s="46">
        <v>1</v>
      </c>
      <c r="BH755" s="46">
        <v>1</v>
      </c>
      <c r="BI755" s="46" t="s">
        <v>794</v>
      </c>
      <c r="BJ755" s="46" t="s">
        <v>816</v>
      </c>
      <c r="BK755" s="46">
        <v>1970</v>
      </c>
      <c r="BL755" s="46" t="str">
        <f>BK755&amp;BI755</f>
        <v>1970Leeds United</v>
      </c>
      <c r="BM755" s="52" t="str">
        <f>IF(AD755="Home",BI755,IF(AD755="Away",BJ755,Q755))</f>
        <v>Manchester</v>
      </c>
      <c r="BN755" s="46"/>
      <c r="BO755" s="46"/>
      <c r="BP755" s="46"/>
      <c r="BQ755" s="46"/>
      <c r="BR755" s="46"/>
      <c r="BS755" s="46"/>
      <c r="BT755" s="46"/>
      <c r="BU755" s="46"/>
      <c r="BV755" s="46" t="s">
        <v>376</v>
      </c>
      <c r="BW755" s="46" t="s">
        <v>376</v>
      </c>
      <c r="BX755" s="46"/>
      <c r="BZ755" s="53"/>
      <c r="CA755" s="53"/>
      <c r="CB755" s="93" t="str">
        <f>IF(OR(C755="",A755="",B755=""),"",TEXT(C755,"0000")&amp;TEXT(A755,"00")&amp;TEXT(B755,"00"))</f>
        <v>19700429</v>
      </c>
    </row>
    <row r="756" spans="1:80" s="52" customFormat="1" ht="12.95" customHeight="1" x14ac:dyDescent="0.2">
      <c r="A756" s="46">
        <v>12</v>
      </c>
      <c r="B756" s="46">
        <v>16</v>
      </c>
      <c r="C756" s="46">
        <v>1970</v>
      </c>
      <c r="D756" s="46" t="s">
        <v>658</v>
      </c>
      <c r="E756" s="46" t="s">
        <v>558</v>
      </c>
      <c r="F756" s="54" t="s">
        <v>1327</v>
      </c>
      <c r="G756" s="46"/>
      <c r="H756" s="54" t="s">
        <v>1011</v>
      </c>
      <c r="I756" s="54">
        <v>1</v>
      </c>
      <c r="J756" s="55">
        <v>25918</v>
      </c>
      <c r="K756" s="46" t="s">
        <v>1236</v>
      </c>
      <c r="L756" s="46" t="s">
        <v>1014</v>
      </c>
      <c r="M756" s="46" t="s">
        <v>813</v>
      </c>
      <c r="N756" s="49">
        <v>1</v>
      </c>
      <c r="O756" s="49">
        <v>1</v>
      </c>
      <c r="P756" s="54" t="s">
        <v>1358</v>
      </c>
      <c r="Q756" s="54" t="s">
        <v>1237</v>
      </c>
      <c r="R756" s="54" t="s">
        <v>376</v>
      </c>
      <c r="S756" s="46"/>
      <c r="T756" s="46"/>
      <c r="U756" s="46"/>
      <c r="V756" s="46"/>
      <c r="W756" s="46"/>
      <c r="X756" s="46"/>
      <c r="Y756" s="46"/>
      <c r="Z756" s="46"/>
      <c r="AA756" s="46"/>
      <c r="AB756" s="46"/>
      <c r="AC756" s="46"/>
      <c r="AD756" s="46" t="s">
        <v>1033</v>
      </c>
      <c r="AE756" s="50">
        <f>IF(L756="W",1,0)</f>
        <v>0</v>
      </c>
      <c r="AF756" s="50">
        <f>IF(L756="T",1,0)</f>
        <v>1</v>
      </c>
      <c r="AG756" s="50">
        <f>IF(L756="L",1,0)</f>
        <v>0</v>
      </c>
      <c r="AH756" s="46" t="s">
        <v>1237</v>
      </c>
      <c r="AI756" s="46" t="s">
        <v>1237</v>
      </c>
      <c r="AJ756" s="46" t="s">
        <v>376</v>
      </c>
      <c r="AK756" s="46" t="s">
        <v>658</v>
      </c>
      <c r="AL756" s="46" t="s">
        <v>1017</v>
      </c>
      <c r="AM756" s="46" t="s">
        <v>1018</v>
      </c>
      <c r="AN756" s="46" t="s">
        <v>376</v>
      </c>
      <c r="AO756" s="46" t="s">
        <v>658</v>
      </c>
      <c r="AP756" s="46"/>
      <c r="AQ756" s="46">
        <v>2</v>
      </c>
      <c r="AR756" s="46"/>
      <c r="AS756" s="46"/>
      <c r="AT756" s="46"/>
      <c r="AU756" s="46" t="s">
        <v>376</v>
      </c>
      <c r="AV756" s="46"/>
      <c r="AW756" s="46" t="s">
        <v>30</v>
      </c>
      <c r="AX756" s="46"/>
      <c r="AY756" s="46"/>
      <c r="AZ756" s="46" t="s">
        <v>30</v>
      </c>
      <c r="BA756" s="54"/>
      <c r="BB756" s="51"/>
      <c r="BC756" s="46"/>
      <c r="BD756" s="46"/>
      <c r="BE756" s="46"/>
      <c r="BF756" s="46">
        <v>1</v>
      </c>
      <c r="BG756" s="46">
        <v>2</v>
      </c>
      <c r="BH756" s="46">
        <v>1</v>
      </c>
      <c r="BI756" s="46" t="s">
        <v>1236</v>
      </c>
      <c r="BJ756" s="46" t="s">
        <v>813</v>
      </c>
      <c r="BK756" s="46">
        <v>1971</v>
      </c>
      <c r="BL756" s="46" t="str">
        <f>BK756&amp;BI756</f>
        <v>1971Bristol City</v>
      </c>
      <c r="BM756" s="52" t="str">
        <f>IF(AD756="Home",BI756,IF(AD756="Away",BJ756,Q756))</f>
        <v>Bristol City</v>
      </c>
      <c r="BN756" s="46"/>
      <c r="BO756" s="46"/>
      <c r="BP756" s="46"/>
      <c r="BQ756" s="46"/>
      <c r="BR756" s="46"/>
      <c r="BS756" s="46"/>
      <c r="BT756" s="46"/>
      <c r="BU756" s="46"/>
      <c r="BV756" s="46" t="s">
        <v>376</v>
      </c>
      <c r="BW756" s="46" t="s">
        <v>376</v>
      </c>
      <c r="BX756" s="46"/>
      <c r="BZ756" s="53"/>
      <c r="CA756" s="53"/>
      <c r="CB756" s="93" t="str">
        <f>IF(OR(C756="",A756="",B756=""),"",TEXT(C756,"0000")&amp;TEXT(A756,"00")&amp;TEXT(B756,"00"))</f>
        <v>19701216</v>
      </c>
    </row>
    <row r="757" spans="1:80" s="52" customFormat="1" ht="12.95" customHeight="1" x14ac:dyDescent="0.2">
      <c r="A757" s="46">
        <v>12</v>
      </c>
      <c r="B757" s="46">
        <v>16</v>
      </c>
      <c r="C757" s="46">
        <v>1970</v>
      </c>
      <c r="D757" s="46" t="s">
        <v>658</v>
      </c>
      <c r="E757" s="46" t="s">
        <v>558</v>
      </c>
      <c r="F757" s="54" t="s">
        <v>1327</v>
      </c>
      <c r="G757" s="46"/>
      <c r="H757" s="54" t="s">
        <v>1011</v>
      </c>
      <c r="I757" s="54">
        <v>1</v>
      </c>
      <c r="J757" s="55">
        <v>25918</v>
      </c>
      <c r="K757" s="46" t="s">
        <v>813</v>
      </c>
      <c r="L757" s="46" t="s">
        <v>1014</v>
      </c>
      <c r="M757" s="46" t="s">
        <v>1236</v>
      </c>
      <c r="N757" s="49">
        <v>1</v>
      </c>
      <c r="O757" s="49">
        <v>1</v>
      </c>
      <c r="P757" s="54" t="s">
        <v>1358</v>
      </c>
      <c r="Q757" s="54" t="s">
        <v>1237</v>
      </c>
      <c r="R757" s="54" t="s">
        <v>376</v>
      </c>
      <c r="S757" s="46"/>
      <c r="T757" s="46"/>
      <c r="U757" s="46"/>
      <c r="V757" s="46"/>
      <c r="W757" s="46"/>
      <c r="X757" s="46"/>
      <c r="Y757" s="46"/>
      <c r="Z757" s="46"/>
      <c r="AA757" s="46"/>
      <c r="AB757" s="46"/>
      <c r="AC757" s="46"/>
      <c r="AD757" s="46" t="s">
        <v>1037</v>
      </c>
      <c r="AE757" s="50">
        <f>IF(L757="W",1,0)</f>
        <v>0</v>
      </c>
      <c r="AF757" s="50">
        <f>IF(L757="T",1,0)</f>
        <v>1</v>
      </c>
      <c r="AG757" s="50">
        <f>IF(L757="L",1,0)</f>
        <v>0</v>
      </c>
      <c r="AH757" s="46" t="s">
        <v>1017</v>
      </c>
      <c r="AI757" s="46" t="s">
        <v>1018</v>
      </c>
      <c r="AJ757" s="46" t="s">
        <v>376</v>
      </c>
      <c r="AK757" s="46" t="s">
        <v>658</v>
      </c>
      <c r="AL757" s="46" t="s">
        <v>1237</v>
      </c>
      <c r="AM757" s="46" t="s">
        <v>1237</v>
      </c>
      <c r="AN757" s="46" t="s">
        <v>376</v>
      </c>
      <c r="AO757" s="46" t="s">
        <v>658</v>
      </c>
      <c r="AP757" s="46"/>
      <c r="AQ757" s="46">
        <v>2</v>
      </c>
      <c r="AR757" s="46"/>
      <c r="AS757" s="46"/>
      <c r="AT757" s="46"/>
      <c r="AU757" s="46" t="s">
        <v>376</v>
      </c>
      <c r="AV757" s="46"/>
      <c r="AW757" s="46" t="s">
        <v>30</v>
      </c>
      <c r="AX757" s="46"/>
      <c r="AY757" s="46"/>
      <c r="AZ757" s="46" t="s">
        <v>30</v>
      </c>
      <c r="BA757" s="54"/>
      <c r="BB757" s="51"/>
      <c r="BC757" s="46"/>
      <c r="BD757" s="46"/>
      <c r="BE757" s="46"/>
      <c r="BF757" s="46">
        <v>1</v>
      </c>
      <c r="BG757" s="46">
        <v>1</v>
      </c>
      <c r="BH757" s="46">
        <v>2</v>
      </c>
      <c r="BI757" s="46" t="s">
        <v>813</v>
      </c>
      <c r="BJ757" s="46" t="s">
        <v>1236</v>
      </c>
      <c r="BK757" s="46">
        <v>1971</v>
      </c>
      <c r="BL757" s="46" t="str">
        <f>BK757&amp;BI757</f>
        <v>1971Tottenham Hotspur</v>
      </c>
      <c r="BM757" s="52" t="str">
        <f>IF(AD757="Home",BI757,IF(AD757="Away",BJ757,Q757))</f>
        <v>Bristol City</v>
      </c>
      <c r="BN757" s="46"/>
      <c r="BO757" s="46"/>
      <c r="BP757" s="46"/>
      <c r="BQ757" s="46"/>
      <c r="BR757" s="46"/>
      <c r="BS757" s="46"/>
      <c r="BT757" s="46"/>
      <c r="BU757" s="46"/>
      <c r="BV757" s="46" t="s">
        <v>376</v>
      </c>
      <c r="BW757" s="46" t="s">
        <v>376</v>
      </c>
      <c r="BX757" s="46"/>
      <c r="BZ757" s="53"/>
      <c r="CA757" s="53"/>
      <c r="CB757" s="93" t="str">
        <f>IF(OR(C757="",A757="",B757=""),"",TEXT(C757,"0000")&amp;TEXT(A757,"00")&amp;TEXT(B757,"00"))</f>
        <v>19701216</v>
      </c>
    </row>
    <row r="758" spans="1:80" s="52" customFormat="1" ht="12.95" customHeight="1" x14ac:dyDescent="0.2">
      <c r="A758" s="46">
        <v>12</v>
      </c>
      <c r="B758" s="46">
        <v>16</v>
      </c>
      <c r="C758" s="46">
        <v>1970</v>
      </c>
      <c r="D758" s="46" t="s">
        <v>658</v>
      </c>
      <c r="E758" s="46" t="s">
        <v>558</v>
      </c>
      <c r="F758" s="54" t="s">
        <v>1327</v>
      </c>
      <c r="G758" s="46"/>
      <c r="H758" s="54" t="s">
        <v>1011</v>
      </c>
      <c r="I758" s="54">
        <v>1</v>
      </c>
      <c r="J758" s="55">
        <v>25918</v>
      </c>
      <c r="K758" s="46" t="s">
        <v>821</v>
      </c>
      <c r="L758" s="46" t="s">
        <v>1014</v>
      </c>
      <c r="M758" s="46" t="s">
        <v>806</v>
      </c>
      <c r="N758" s="49">
        <v>1</v>
      </c>
      <c r="O758" s="49">
        <v>1</v>
      </c>
      <c r="P758" s="54" t="s">
        <v>1246</v>
      </c>
      <c r="Q758" s="54" t="s">
        <v>1101</v>
      </c>
      <c r="R758" s="54" t="s">
        <v>376</v>
      </c>
      <c r="S758" s="46"/>
      <c r="T758" s="46"/>
      <c r="U758" s="46"/>
      <c r="V758" s="46"/>
      <c r="W758" s="46"/>
      <c r="X758" s="46"/>
      <c r="Y758" s="46"/>
      <c r="Z758" s="46"/>
      <c r="AA758" s="46"/>
      <c r="AB758" s="46"/>
      <c r="AC758" s="46"/>
      <c r="AD758" s="46" t="s">
        <v>1033</v>
      </c>
      <c r="AE758" s="50">
        <f>IF(L758="W",1,0)</f>
        <v>0</v>
      </c>
      <c r="AF758" s="50">
        <f>IF(L758="T",1,0)</f>
        <v>1</v>
      </c>
      <c r="AG758" s="50">
        <f>IF(L758="L",1,0)</f>
        <v>0</v>
      </c>
      <c r="AH758" s="46" t="s">
        <v>1101</v>
      </c>
      <c r="AI758" s="46" t="s">
        <v>1159</v>
      </c>
      <c r="AJ758" s="46" t="s">
        <v>376</v>
      </c>
      <c r="AK758" s="46" t="s">
        <v>658</v>
      </c>
      <c r="AL758" s="46" t="s">
        <v>1111</v>
      </c>
      <c r="AM758" s="46" t="s">
        <v>1126</v>
      </c>
      <c r="AN758" s="46" t="s">
        <v>376</v>
      </c>
      <c r="AO758" s="46" t="s">
        <v>658</v>
      </c>
      <c r="AP758" s="46"/>
      <c r="AQ758" s="46">
        <v>2</v>
      </c>
      <c r="AR758" s="46"/>
      <c r="AS758" s="46"/>
      <c r="AT758" s="46"/>
      <c r="AU758" s="46" t="s">
        <v>376</v>
      </c>
      <c r="AV758" s="46"/>
      <c r="AW758" s="46" t="s">
        <v>30</v>
      </c>
      <c r="AX758" s="46"/>
      <c r="AY758" s="46"/>
      <c r="AZ758" s="46" t="s">
        <v>30</v>
      </c>
      <c r="BA758" s="54"/>
      <c r="BB758" s="51"/>
      <c r="BC758" s="46"/>
      <c r="BD758" s="46"/>
      <c r="BE758" s="46"/>
      <c r="BF758" s="46">
        <v>1</v>
      </c>
      <c r="BG758" s="46">
        <v>1</v>
      </c>
      <c r="BH758" s="46">
        <v>3</v>
      </c>
      <c r="BI758" s="46" t="s">
        <v>821</v>
      </c>
      <c r="BJ758" s="46" t="s">
        <v>806</v>
      </c>
      <c r="BK758" s="46">
        <v>1971</v>
      </c>
      <c r="BL758" s="46" t="str">
        <f>BK758&amp;BI758</f>
        <v>1971Manchester United</v>
      </c>
      <c r="BM758" s="52" t="str">
        <f>IF(AD758="Home",BI758,IF(AD758="Away",BJ758,Q758))</f>
        <v>Manchester United</v>
      </c>
      <c r="BN758" s="46"/>
      <c r="BO758" s="46"/>
      <c r="BP758" s="46"/>
      <c r="BQ758" s="46"/>
      <c r="BR758" s="46"/>
      <c r="BS758" s="46"/>
      <c r="BT758" s="46"/>
      <c r="BU758" s="46"/>
      <c r="BV758" s="46" t="s">
        <v>376</v>
      </c>
      <c r="BW758" s="46" t="s">
        <v>376</v>
      </c>
      <c r="BX758" s="46"/>
      <c r="BZ758" s="53"/>
      <c r="CA758" s="53"/>
      <c r="CB758" s="93" t="str">
        <f>IF(OR(C758="",A758="",B758=""),"",TEXT(C758,"0000")&amp;TEXT(A758,"00")&amp;TEXT(B758,"00"))</f>
        <v>19701216</v>
      </c>
    </row>
    <row r="759" spans="1:80" s="52" customFormat="1" ht="12.95" customHeight="1" x14ac:dyDescent="0.2">
      <c r="A759" s="46">
        <v>12</v>
      </c>
      <c r="B759" s="46">
        <v>16</v>
      </c>
      <c r="C759" s="46">
        <v>1970</v>
      </c>
      <c r="D759" s="46" t="s">
        <v>658</v>
      </c>
      <c r="E759" s="46" t="s">
        <v>558</v>
      </c>
      <c r="F759" s="54" t="s">
        <v>1327</v>
      </c>
      <c r="G759" s="46"/>
      <c r="H759" s="54" t="s">
        <v>1011</v>
      </c>
      <c r="I759" s="54">
        <v>1</v>
      </c>
      <c r="J759" s="55">
        <v>25918</v>
      </c>
      <c r="K759" s="46" t="s">
        <v>806</v>
      </c>
      <c r="L759" s="46" t="s">
        <v>1014</v>
      </c>
      <c r="M759" s="46" t="s">
        <v>821</v>
      </c>
      <c r="N759" s="49">
        <v>1</v>
      </c>
      <c r="O759" s="49">
        <v>1</v>
      </c>
      <c r="P759" s="54" t="s">
        <v>1246</v>
      </c>
      <c r="Q759" s="54" t="s">
        <v>1101</v>
      </c>
      <c r="R759" s="54" t="s">
        <v>376</v>
      </c>
      <c r="S759" s="46"/>
      <c r="T759" s="46"/>
      <c r="U759" s="46"/>
      <c r="V759" s="46"/>
      <c r="W759" s="46"/>
      <c r="X759" s="46"/>
      <c r="Y759" s="46"/>
      <c r="Z759" s="46"/>
      <c r="AA759" s="46"/>
      <c r="AB759" s="46"/>
      <c r="AC759" s="46"/>
      <c r="AD759" s="46" t="s">
        <v>1037</v>
      </c>
      <c r="AE759" s="50">
        <f>IF(L759="W",1,0)</f>
        <v>0</v>
      </c>
      <c r="AF759" s="50">
        <f>IF(L759="T",1,0)</f>
        <v>1</v>
      </c>
      <c r="AG759" s="50">
        <f>IF(L759="L",1,0)</f>
        <v>0</v>
      </c>
      <c r="AH759" s="46" t="s">
        <v>1111</v>
      </c>
      <c r="AI759" s="46" t="s">
        <v>1126</v>
      </c>
      <c r="AJ759" s="46" t="s">
        <v>376</v>
      </c>
      <c r="AK759" s="46" t="s">
        <v>658</v>
      </c>
      <c r="AL759" s="46" t="s">
        <v>1101</v>
      </c>
      <c r="AM759" s="46" t="s">
        <v>1159</v>
      </c>
      <c r="AN759" s="46" t="s">
        <v>376</v>
      </c>
      <c r="AO759" s="46" t="s">
        <v>658</v>
      </c>
      <c r="AP759" s="46"/>
      <c r="AQ759" s="46">
        <v>2</v>
      </c>
      <c r="AR759" s="46"/>
      <c r="AS759" s="46"/>
      <c r="AT759" s="46"/>
      <c r="AU759" s="46" t="s">
        <v>376</v>
      </c>
      <c r="AV759" s="46"/>
      <c r="AW759" s="46" t="s">
        <v>30</v>
      </c>
      <c r="AX759" s="46"/>
      <c r="AY759" s="46"/>
      <c r="AZ759" s="46" t="s">
        <v>30</v>
      </c>
      <c r="BA759" s="54"/>
      <c r="BB759" s="51"/>
      <c r="BC759" s="46"/>
      <c r="BD759" s="46"/>
      <c r="BE759" s="46"/>
      <c r="BF759" s="46">
        <v>1</v>
      </c>
      <c r="BG759" s="46">
        <v>3</v>
      </c>
      <c r="BH759" s="46">
        <v>1</v>
      </c>
      <c r="BI759" s="46" t="s">
        <v>806</v>
      </c>
      <c r="BJ759" s="46" t="s">
        <v>821</v>
      </c>
      <c r="BK759" s="46">
        <v>1971</v>
      </c>
      <c r="BL759" s="46" t="str">
        <f>BK759&amp;BI759</f>
        <v>1971Aston Villa</v>
      </c>
      <c r="BM759" s="52" t="str">
        <f>IF(AD759="Home",BI759,IF(AD759="Away",BJ759,Q759))</f>
        <v>Manchester United</v>
      </c>
      <c r="BN759" s="46"/>
      <c r="BO759" s="46"/>
      <c r="BP759" s="46"/>
      <c r="BQ759" s="46"/>
      <c r="BR759" s="46"/>
      <c r="BS759" s="46"/>
      <c r="BT759" s="46"/>
      <c r="BU759" s="46"/>
      <c r="BV759" s="46" t="s">
        <v>376</v>
      </c>
      <c r="BW759" s="46" t="s">
        <v>376</v>
      </c>
      <c r="BX759" s="46"/>
      <c r="BZ759" s="53"/>
      <c r="CA759" s="53"/>
      <c r="CB759" s="93" t="str">
        <f>IF(OR(C759="",A759="",B759=""),"",TEXT(C759,"0000")&amp;TEXT(A759,"00")&amp;TEXT(B759,"00"))</f>
        <v>19701216</v>
      </c>
    </row>
    <row r="760" spans="1:80" s="52" customFormat="1" ht="12.95" customHeight="1" x14ac:dyDescent="0.2">
      <c r="A760" s="46">
        <v>12</v>
      </c>
      <c r="B760" s="46">
        <v>23</v>
      </c>
      <c r="C760" s="46">
        <v>1970</v>
      </c>
      <c r="D760" s="46" t="s">
        <v>658</v>
      </c>
      <c r="E760" s="46" t="s">
        <v>558</v>
      </c>
      <c r="F760" s="54" t="s">
        <v>1327</v>
      </c>
      <c r="G760" s="46"/>
      <c r="H760" s="54" t="s">
        <v>1011</v>
      </c>
      <c r="I760" s="54">
        <v>2</v>
      </c>
      <c r="J760" s="55">
        <v>25925</v>
      </c>
      <c r="K760" s="46" t="s">
        <v>806</v>
      </c>
      <c r="L760" s="46" t="s">
        <v>3</v>
      </c>
      <c r="M760" s="46" t="s">
        <v>821</v>
      </c>
      <c r="N760" s="49">
        <v>2</v>
      </c>
      <c r="O760" s="49">
        <v>1</v>
      </c>
      <c r="P760" s="54" t="s">
        <v>1219</v>
      </c>
      <c r="Q760" s="54" t="s">
        <v>1111</v>
      </c>
      <c r="R760" s="54" t="s">
        <v>376</v>
      </c>
      <c r="S760" s="46"/>
      <c r="T760" s="46"/>
      <c r="U760" s="46"/>
      <c r="V760" s="46"/>
      <c r="W760" s="46"/>
      <c r="X760" s="46"/>
      <c r="Y760" s="46"/>
      <c r="Z760" s="46"/>
      <c r="AA760" s="46"/>
      <c r="AB760" s="46"/>
      <c r="AC760" s="46"/>
      <c r="AD760" s="46" t="s">
        <v>1033</v>
      </c>
      <c r="AE760" s="50">
        <f>IF(L760="W",1,0)</f>
        <v>1</v>
      </c>
      <c r="AF760" s="50">
        <f>IF(L760="T",1,0)</f>
        <v>0</v>
      </c>
      <c r="AG760" s="50">
        <f>IF(L760="L",1,0)</f>
        <v>0</v>
      </c>
      <c r="AH760" s="46" t="s">
        <v>1111</v>
      </c>
      <c r="AI760" s="46" t="s">
        <v>1126</v>
      </c>
      <c r="AJ760" s="46" t="s">
        <v>376</v>
      </c>
      <c r="AK760" s="46" t="s">
        <v>658</v>
      </c>
      <c r="AL760" s="46" t="s">
        <v>1101</v>
      </c>
      <c r="AM760" s="46" t="s">
        <v>1159</v>
      </c>
      <c r="AN760" s="46" t="s">
        <v>376</v>
      </c>
      <c r="AO760" s="46" t="s">
        <v>658</v>
      </c>
      <c r="AP760" s="46"/>
      <c r="AQ760" s="46">
        <v>2</v>
      </c>
      <c r="AR760" s="46"/>
      <c r="AS760" s="46"/>
      <c r="AT760" s="46"/>
      <c r="AU760" s="46" t="s">
        <v>376</v>
      </c>
      <c r="AV760" s="46"/>
      <c r="AW760" s="46" t="s">
        <v>30</v>
      </c>
      <c r="AX760" s="46"/>
      <c r="AY760" s="46"/>
      <c r="AZ760" s="46" t="s">
        <v>30</v>
      </c>
      <c r="BA760" s="54"/>
      <c r="BB760" s="51"/>
      <c r="BC760" s="46"/>
      <c r="BD760" s="46"/>
      <c r="BE760" s="46"/>
      <c r="BF760" s="46">
        <v>1</v>
      </c>
      <c r="BG760" s="46">
        <v>3</v>
      </c>
      <c r="BH760" s="46">
        <v>1</v>
      </c>
      <c r="BI760" s="46" t="s">
        <v>806</v>
      </c>
      <c r="BJ760" s="46" t="s">
        <v>821</v>
      </c>
      <c r="BK760" s="46">
        <v>1971</v>
      </c>
      <c r="BL760" s="46" t="str">
        <f>BK760&amp;BI760</f>
        <v>1971Aston Villa</v>
      </c>
      <c r="BM760" s="52" t="str">
        <f>IF(AD760="Home",BI760,IF(AD760="Away",BJ760,Q760))</f>
        <v>Aston Villa</v>
      </c>
      <c r="BN760" s="46"/>
      <c r="BO760" s="46"/>
      <c r="BP760" s="46"/>
      <c r="BQ760" s="46"/>
      <c r="BR760" s="46"/>
      <c r="BS760" s="46"/>
      <c r="BT760" s="46"/>
      <c r="BU760" s="46"/>
      <c r="BV760" s="46" t="s">
        <v>376</v>
      </c>
      <c r="BW760" s="46" t="s">
        <v>376</v>
      </c>
      <c r="BX760" s="46"/>
      <c r="BZ760" s="53"/>
      <c r="CA760" s="53"/>
      <c r="CB760" s="93" t="str">
        <f>IF(OR(C760="",A760="",B760=""),"",TEXT(C760,"0000")&amp;TEXT(A760,"00")&amp;TEXT(B760,"00"))</f>
        <v>19701223</v>
      </c>
    </row>
    <row r="761" spans="1:80" s="52" customFormat="1" ht="12.95" customHeight="1" x14ac:dyDescent="0.2">
      <c r="A761" s="46">
        <v>12</v>
      </c>
      <c r="B761" s="46">
        <v>23</v>
      </c>
      <c r="C761" s="46">
        <v>1970</v>
      </c>
      <c r="D761" s="46" t="s">
        <v>658</v>
      </c>
      <c r="E761" s="46" t="s">
        <v>558</v>
      </c>
      <c r="F761" s="54" t="s">
        <v>1327</v>
      </c>
      <c r="G761" s="46"/>
      <c r="H761" s="54" t="s">
        <v>1011</v>
      </c>
      <c r="I761" s="54">
        <v>2</v>
      </c>
      <c r="J761" s="55">
        <v>25925</v>
      </c>
      <c r="K761" s="46" t="s">
        <v>821</v>
      </c>
      <c r="L761" s="46" t="s">
        <v>4</v>
      </c>
      <c r="M761" s="46" t="s">
        <v>806</v>
      </c>
      <c r="N761" s="49">
        <v>1</v>
      </c>
      <c r="O761" s="49">
        <v>2</v>
      </c>
      <c r="P761" s="54" t="s">
        <v>1219</v>
      </c>
      <c r="Q761" s="54" t="s">
        <v>1111</v>
      </c>
      <c r="R761" s="54" t="s">
        <v>376</v>
      </c>
      <c r="S761" s="46"/>
      <c r="T761" s="46"/>
      <c r="U761" s="46"/>
      <c r="V761" s="46"/>
      <c r="W761" s="46"/>
      <c r="X761" s="46"/>
      <c r="Y761" s="46"/>
      <c r="Z761" s="46"/>
      <c r="AA761" s="46"/>
      <c r="AB761" s="46"/>
      <c r="AC761" s="46"/>
      <c r="AD761" s="46" t="s">
        <v>1037</v>
      </c>
      <c r="AE761" s="50">
        <f>IF(L761="W",1,0)</f>
        <v>0</v>
      </c>
      <c r="AF761" s="50">
        <f>IF(L761="T",1,0)</f>
        <v>0</v>
      </c>
      <c r="AG761" s="50">
        <f>IF(L761="L",1,0)</f>
        <v>1</v>
      </c>
      <c r="AH761" s="46" t="s">
        <v>1101</v>
      </c>
      <c r="AI761" s="46" t="s">
        <v>1159</v>
      </c>
      <c r="AJ761" s="46" t="s">
        <v>376</v>
      </c>
      <c r="AK761" s="46" t="s">
        <v>658</v>
      </c>
      <c r="AL761" s="46" t="s">
        <v>1111</v>
      </c>
      <c r="AM761" s="46" t="s">
        <v>1126</v>
      </c>
      <c r="AN761" s="46" t="s">
        <v>376</v>
      </c>
      <c r="AO761" s="46" t="s">
        <v>658</v>
      </c>
      <c r="AP761" s="46"/>
      <c r="AQ761" s="46">
        <v>2</v>
      </c>
      <c r="AR761" s="46"/>
      <c r="AS761" s="46"/>
      <c r="AT761" s="46"/>
      <c r="AU761" s="46" t="s">
        <v>376</v>
      </c>
      <c r="AV761" s="46"/>
      <c r="AW761" s="46" t="s">
        <v>30</v>
      </c>
      <c r="AX761" s="46"/>
      <c r="AY761" s="46"/>
      <c r="AZ761" s="46" t="s">
        <v>30</v>
      </c>
      <c r="BA761" s="54"/>
      <c r="BB761" s="51"/>
      <c r="BC761" s="46"/>
      <c r="BD761" s="46"/>
      <c r="BE761" s="46"/>
      <c r="BF761" s="46">
        <v>1</v>
      </c>
      <c r="BG761" s="46">
        <v>1</v>
      </c>
      <c r="BH761" s="46">
        <v>3</v>
      </c>
      <c r="BI761" s="46" t="s">
        <v>821</v>
      </c>
      <c r="BJ761" s="46" t="s">
        <v>806</v>
      </c>
      <c r="BK761" s="46">
        <v>1971</v>
      </c>
      <c r="BL761" s="46" t="str">
        <f>BK761&amp;BI761</f>
        <v>1971Manchester United</v>
      </c>
      <c r="BM761" s="52" t="str">
        <f>IF(AD761="Home",BI761,IF(AD761="Away",BJ761,Q761))</f>
        <v>Aston Villa</v>
      </c>
      <c r="BN761" s="46"/>
      <c r="BO761" s="46"/>
      <c r="BP761" s="46"/>
      <c r="BQ761" s="46"/>
      <c r="BR761" s="46"/>
      <c r="BS761" s="46"/>
      <c r="BT761" s="46"/>
      <c r="BU761" s="46"/>
      <c r="BV761" s="46" t="s">
        <v>376</v>
      </c>
      <c r="BW761" s="46" t="s">
        <v>376</v>
      </c>
      <c r="BX761" s="46"/>
      <c r="BZ761" s="53"/>
      <c r="CA761" s="53"/>
      <c r="CB761" s="93" t="str">
        <f>IF(OR(C761="",A761="",B761=""),"",TEXT(C761,"0000")&amp;TEXT(A761,"00")&amp;TEXT(B761,"00"))</f>
        <v>19701223</v>
      </c>
    </row>
    <row r="762" spans="1:80" s="52" customFormat="1" ht="12.95" customHeight="1" x14ac:dyDescent="0.2">
      <c r="A762" s="46">
        <v>12</v>
      </c>
      <c r="B762" s="46">
        <v>23</v>
      </c>
      <c r="C762" s="46">
        <v>1970</v>
      </c>
      <c r="D762" s="46" t="s">
        <v>658</v>
      </c>
      <c r="E762" s="46" t="s">
        <v>558</v>
      </c>
      <c r="F762" s="54" t="s">
        <v>1327</v>
      </c>
      <c r="G762" s="46"/>
      <c r="H762" s="54" t="s">
        <v>1011</v>
      </c>
      <c r="I762" s="54">
        <v>2</v>
      </c>
      <c r="J762" s="55">
        <v>25925</v>
      </c>
      <c r="K762" s="46" t="s">
        <v>813</v>
      </c>
      <c r="L762" s="46" t="s">
        <v>3</v>
      </c>
      <c r="M762" s="46" t="s">
        <v>1236</v>
      </c>
      <c r="N762" s="49">
        <v>2</v>
      </c>
      <c r="O762" s="49">
        <v>0</v>
      </c>
      <c r="P762" s="54" t="s">
        <v>1222</v>
      </c>
      <c r="Q762" s="54" t="s">
        <v>1017</v>
      </c>
      <c r="R762" s="54" t="s">
        <v>376</v>
      </c>
      <c r="S762" s="46"/>
      <c r="T762" s="46"/>
      <c r="U762" s="46"/>
      <c r="V762" s="46"/>
      <c r="W762" s="46"/>
      <c r="X762" s="46"/>
      <c r="Y762" s="46"/>
      <c r="Z762" s="46"/>
      <c r="AA762" s="46"/>
      <c r="AB762" s="46"/>
      <c r="AC762" s="46"/>
      <c r="AD762" s="46" t="s">
        <v>1033</v>
      </c>
      <c r="AE762" s="50">
        <f>IF(L762="W",1,0)</f>
        <v>1</v>
      </c>
      <c r="AF762" s="50">
        <f>IF(L762="T",1,0)</f>
        <v>0</v>
      </c>
      <c r="AG762" s="50">
        <f>IF(L762="L",1,0)</f>
        <v>0</v>
      </c>
      <c r="AH762" s="46" t="s">
        <v>1017</v>
      </c>
      <c r="AI762" s="46" t="s">
        <v>1018</v>
      </c>
      <c r="AJ762" s="46" t="s">
        <v>376</v>
      </c>
      <c r="AK762" s="46" t="s">
        <v>658</v>
      </c>
      <c r="AL762" s="46" t="s">
        <v>1237</v>
      </c>
      <c r="AM762" s="46" t="s">
        <v>1237</v>
      </c>
      <c r="AN762" s="46" t="s">
        <v>376</v>
      </c>
      <c r="AO762" s="46" t="s">
        <v>658</v>
      </c>
      <c r="AP762" s="46"/>
      <c r="AQ762" s="46">
        <v>2</v>
      </c>
      <c r="AR762" s="46"/>
      <c r="AS762" s="46"/>
      <c r="AT762" s="46"/>
      <c r="AU762" s="46" t="s">
        <v>376</v>
      </c>
      <c r="AV762" s="46"/>
      <c r="AW762" s="46" t="s">
        <v>30</v>
      </c>
      <c r="AX762" s="46"/>
      <c r="AY762" s="46"/>
      <c r="AZ762" s="46" t="s">
        <v>30</v>
      </c>
      <c r="BA762" s="54"/>
      <c r="BB762" s="51"/>
      <c r="BC762" s="46"/>
      <c r="BD762" s="46"/>
      <c r="BE762" s="46"/>
      <c r="BF762" s="46">
        <v>1</v>
      </c>
      <c r="BG762" s="46">
        <v>1</v>
      </c>
      <c r="BH762" s="46">
        <v>2</v>
      </c>
      <c r="BI762" s="46" t="s">
        <v>813</v>
      </c>
      <c r="BJ762" s="46" t="s">
        <v>1236</v>
      </c>
      <c r="BK762" s="46">
        <v>1971</v>
      </c>
      <c r="BL762" s="46" t="str">
        <f>BK762&amp;BI762</f>
        <v>1971Tottenham Hotspur</v>
      </c>
      <c r="BM762" s="52" t="str">
        <f>IF(AD762="Home",BI762,IF(AD762="Away",BJ762,Q762))</f>
        <v>Tottenham Hotspur</v>
      </c>
      <c r="BN762" s="46"/>
      <c r="BO762" s="46"/>
      <c r="BP762" s="46"/>
      <c r="BQ762" s="46"/>
      <c r="BR762" s="46"/>
      <c r="BS762" s="46"/>
      <c r="BT762" s="46"/>
      <c r="BU762" s="46"/>
      <c r="BV762" s="46" t="s">
        <v>376</v>
      </c>
      <c r="BW762" s="46" t="s">
        <v>376</v>
      </c>
      <c r="BX762" s="46"/>
      <c r="BZ762" s="53"/>
      <c r="CA762" s="53"/>
      <c r="CB762" s="93" t="str">
        <f>IF(OR(C762="",A762="",B762=""),"",TEXT(C762,"0000")&amp;TEXT(A762,"00")&amp;TEXT(B762,"00"))</f>
        <v>19701223</v>
      </c>
    </row>
    <row r="763" spans="1:80" s="52" customFormat="1" ht="12.95" customHeight="1" x14ac:dyDescent="0.2">
      <c r="A763" s="46">
        <v>12</v>
      </c>
      <c r="B763" s="46">
        <v>23</v>
      </c>
      <c r="C763" s="46">
        <v>1970</v>
      </c>
      <c r="D763" s="46" t="s">
        <v>658</v>
      </c>
      <c r="E763" s="46" t="s">
        <v>558</v>
      </c>
      <c r="F763" s="54" t="s">
        <v>1327</v>
      </c>
      <c r="G763" s="46"/>
      <c r="H763" s="54" t="s">
        <v>1011</v>
      </c>
      <c r="I763" s="54">
        <v>2</v>
      </c>
      <c r="J763" s="55">
        <v>25925</v>
      </c>
      <c r="K763" s="46" t="s">
        <v>1236</v>
      </c>
      <c r="L763" s="46" t="s">
        <v>4</v>
      </c>
      <c r="M763" s="46" t="s">
        <v>813</v>
      </c>
      <c r="N763" s="49">
        <v>0</v>
      </c>
      <c r="O763" s="49">
        <v>2</v>
      </c>
      <c r="P763" s="54" t="s">
        <v>1222</v>
      </c>
      <c r="Q763" s="54" t="s">
        <v>1017</v>
      </c>
      <c r="R763" s="54" t="s">
        <v>376</v>
      </c>
      <c r="S763" s="46"/>
      <c r="T763" s="46"/>
      <c r="U763" s="46"/>
      <c r="V763" s="46"/>
      <c r="W763" s="46"/>
      <c r="X763" s="46"/>
      <c r="Y763" s="46"/>
      <c r="Z763" s="46"/>
      <c r="AA763" s="46"/>
      <c r="AB763" s="46"/>
      <c r="AC763" s="46"/>
      <c r="AD763" s="46" t="s">
        <v>1037</v>
      </c>
      <c r="AE763" s="50">
        <f>IF(L763="W",1,0)</f>
        <v>0</v>
      </c>
      <c r="AF763" s="50">
        <f>IF(L763="T",1,0)</f>
        <v>0</v>
      </c>
      <c r="AG763" s="50">
        <f>IF(L763="L",1,0)</f>
        <v>1</v>
      </c>
      <c r="AH763" s="46" t="s">
        <v>1237</v>
      </c>
      <c r="AI763" s="46" t="s">
        <v>1237</v>
      </c>
      <c r="AJ763" s="46" t="s">
        <v>376</v>
      </c>
      <c r="AK763" s="46" t="s">
        <v>658</v>
      </c>
      <c r="AL763" s="46" t="s">
        <v>1017</v>
      </c>
      <c r="AM763" s="46" t="s">
        <v>1018</v>
      </c>
      <c r="AN763" s="46" t="s">
        <v>376</v>
      </c>
      <c r="AO763" s="46" t="s">
        <v>658</v>
      </c>
      <c r="AP763" s="46"/>
      <c r="AQ763" s="46">
        <v>2</v>
      </c>
      <c r="AR763" s="46"/>
      <c r="AS763" s="46"/>
      <c r="AT763" s="46"/>
      <c r="AU763" s="46" t="s">
        <v>376</v>
      </c>
      <c r="AV763" s="46"/>
      <c r="AW763" s="46" t="s">
        <v>30</v>
      </c>
      <c r="AX763" s="46"/>
      <c r="AY763" s="46"/>
      <c r="AZ763" s="46" t="s">
        <v>30</v>
      </c>
      <c r="BA763" s="54"/>
      <c r="BB763" s="51"/>
      <c r="BC763" s="46"/>
      <c r="BD763" s="46"/>
      <c r="BE763" s="46"/>
      <c r="BF763" s="46">
        <v>1</v>
      </c>
      <c r="BG763" s="46">
        <v>2</v>
      </c>
      <c r="BH763" s="46">
        <v>1</v>
      </c>
      <c r="BI763" s="46" t="s">
        <v>1236</v>
      </c>
      <c r="BJ763" s="46" t="s">
        <v>813</v>
      </c>
      <c r="BK763" s="46">
        <v>1971</v>
      </c>
      <c r="BL763" s="46" t="str">
        <f>BK763&amp;BI763</f>
        <v>1971Bristol City</v>
      </c>
      <c r="BM763" s="52" t="str">
        <f>IF(AD763="Home",BI763,IF(AD763="Away",BJ763,Q763))</f>
        <v>Tottenham Hotspur</v>
      </c>
      <c r="BN763" s="46"/>
      <c r="BO763" s="46"/>
      <c r="BP763" s="46"/>
      <c r="BQ763" s="46"/>
      <c r="BR763" s="46"/>
      <c r="BS763" s="46"/>
      <c r="BT763" s="46"/>
      <c r="BU763" s="46"/>
      <c r="BV763" s="46" t="s">
        <v>376</v>
      </c>
      <c r="BW763" s="46" t="s">
        <v>376</v>
      </c>
      <c r="BX763" s="46"/>
      <c r="BZ763" s="53"/>
      <c r="CA763" s="53"/>
      <c r="CB763" s="93" t="str">
        <f>IF(OR(C763="",A763="",B763=""),"",TEXT(C763,"0000")&amp;TEXT(A763,"00")&amp;TEXT(B763,"00"))</f>
        <v>19701223</v>
      </c>
    </row>
    <row r="764" spans="1:80" s="52" customFormat="1" ht="12.95" customHeight="1" x14ac:dyDescent="0.2">
      <c r="A764" s="46">
        <v>2</v>
      </c>
      <c r="B764" s="46">
        <v>27</v>
      </c>
      <c r="C764" s="46">
        <v>1971</v>
      </c>
      <c r="D764" s="46" t="s">
        <v>658</v>
      </c>
      <c r="E764" s="46" t="s">
        <v>558</v>
      </c>
      <c r="F764" s="54" t="s">
        <v>1327</v>
      </c>
      <c r="G764" s="46"/>
      <c r="H764" s="54" t="s">
        <v>40</v>
      </c>
      <c r="I764" s="54"/>
      <c r="J764" s="55">
        <v>25991</v>
      </c>
      <c r="K764" s="46" t="s">
        <v>813</v>
      </c>
      <c r="L764" s="46" t="s">
        <v>3</v>
      </c>
      <c r="M764" s="46" t="s">
        <v>806</v>
      </c>
      <c r="N764" s="49">
        <v>2</v>
      </c>
      <c r="O764" s="49">
        <v>0</v>
      </c>
      <c r="P764" s="54" t="s">
        <v>1268</v>
      </c>
      <c r="Q764" s="54" t="s">
        <v>1017</v>
      </c>
      <c r="R764" s="54" t="s">
        <v>376</v>
      </c>
      <c r="S764" s="46"/>
      <c r="T764" s="46"/>
      <c r="U764" s="46"/>
      <c r="V764" s="46"/>
      <c r="W764" s="46"/>
      <c r="X764" s="46"/>
      <c r="Y764" s="46"/>
      <c r="Z764" s="46"/>
      <c r="AA764" s="46"/>
      <c r="AB764" s="46"/>
      <c r="AC764" s="46"/>
      <c r="AD764" s="46"/>
      <c r="AE764" s="50">
        <f>IF(L764="W",1,0)</f>
        <v>1</v>
      </c>
      <c r="AF764" s="50">
        <f>IF(L764="T",1,0)</f>
        <v>0</v>
      </c>
      <c r="AG764" s="50">
        <f>IF(L764="L",1,0)</f>
        <v>0</v>
      </c>
      <c r="AH764" s="46" t="s">
        <v>1017</v>
      </c>
      <c r="AI764" s="46" t="s">
        <v>1018</v>
      </c>
      <c r="AJ764" s="46" t="s">
        <v>376</v>
      </c>
      <c r="AK764" s="46" t="s">
        <v>658</v>
      </c>
      <c r="AL764" s="46" t="s">
        <v>1111</v>
      </c>
      <c r="AM764" s="46" t="s">
        <v>1126</v>
      </c>
      <c r="AN764" s="46" t="s">
        <v>376</v>
      </c>
      <c r="AO764" s="46" t="s">
        <v>658</v>
      </c>
      <c r="AP764" s="46"/>
      <c r="AQ764" s="46">
        <v>1</v>
      </c>
      <c r="AR764" s="46"/>
      <c r="AS764" s="46"/>
      <c r="AT764" s="46"/>
      <c r="AU764" s="46" t="s">
        <v>376</v>
      </c>
      <c r="AV764" s="46"/>
      <c r="AW764" s="46" t="s">
        <v>30</v>
      </c>
      <c r="AX764" s="46"/>
      <c r="AY764" s="46"/>
      <c r="AZ764" s="46" t="s">
        <v>30</v>
      </c>
      <c r="BA764" s="54"/>
      <c r="BB764" s="51" t="s">
        <v>30</v>
      </c>
      <c r="BC764" s="46" t="s">
        <v>30</v>
      </c>
      <c r="BD764" s="46"/>
      <c r="BE764" s="46"/>
      <c r="BF764" s="46">
        <v>1</v>
      </c>
      <c r="BG764" s="46">
        <v>1</v>
      </c>
      <c r="BH764" s="46">
        <v>3</v>
      </c>
      <c r="BI764" s="46" t="s">
        <v>813</v>
      </c>
      <c r="BJ764" s="46" t="s">
        <v>806</v>
      </c>
      <c r="BK764" s="46">
        <v>1971</v>
      </c>
      <c r="BL764" s="46" t="str">
        <f>BK764&amp;BI764</f>
        <v>1971Tottenham Hotspur</v>
      </c>
      <c r="BM764" s="52" t="str">
        <f>IF(AD764="Home",BI764,IF(AD764="Away",BJ764,Q764))</f>
        <v>London</v>
      </c>
      <c r="BN764" s="46"/>
      <c r="BO764" s="46"/>
      <c r="BP764" s="46"/>
      <c r="BQ764" s="46"/>
      <c r="BR764" s="46"/>
      <c r="BS764" s="46"/>
      <c r="BT764" s="46"/>
      <c r="BU764" s="46"/>
      <c r="BV764" s="46" t="s">
        <v>376</v>
      </c>
      <c r="BW764" s="46" t="s">
        <v>376</v>
      </c>
      <c r="BX764" s="46"/>
      <c r="BZ764" s="53"/>
      <c r="CA764" s="53"/>
      <c r="CB764" s="93" t="str">
        <f>IF(OR(C764="",A764="",B764=""),"",TEXT(C764,"0000")&amp;TEXT(A764,"00")&amp;TEXT(B764,"00"))</f>
        <v>19710227</v>
      </c>
    </row>
    <row r="765" spans="1:80" s="52" customFormat="1" ht="12.95" customHeight="1" x14ac:dyDescent="0.2">
      <c r="A765" s="46">
        <v>2</v>
      </c>
      <c r="B765" s="46">
        <v>27</v>
      </c>
      <c r="C765" s="46">
        <v>1971</v>
      </c>
      <c r="D765" s="46" t="s">
        <v>658</v>
      </c>
      <c r="E765" s="46" t="s">
        <v>558</v>
      </c>
      <c r="F765" s="54" t="s">
        <v>1327</v>
      </c>
      <c r="G765" s="46"/>
      <c r="H765" s="54" t="s">
        <v>40</v>
      </c>
      <c r="I765" s="54"/>
      <c r="J765" s="55">
        <v>25991</v>
      </c>
      <c r="K765" s="46" t="s">
        <v>806</v>
      </c>
      <c r="L765" s="46" t="s">
        <v>4</v>
      </c>
      <c r="M765" s="46" t="s">
        <v>813</v>
      </c>
      <c r="N765" s="49">
        <v>0</v>
      </c>
      <c r="O765" s="49">
        <v>2</v>
      </c>
      <c r="P765" s="54" t="s">
        <v>1268</v>
      </c>
      <c r="Q765" s="54" t="s">
        <v>1017</v>
      </c>
      <c r="R765" s="54" t="s">
        <v>376</v>
      </c>
      <c r="S765" s="46"/>
      <c r="T765" s="46"/>
      <c r="U765" s="46"/>
      <c r="V765" s="46"/>
      <c r="W765" s="46"/>
      <c r="X765" s="46"/>
      <c r="Y765" s="46"/>
      <c r="Z765" s="46"/>
      <c r="AA765" s="46"/>
      <c r="AB765" s="46"/>
      <c r="AC765" s="46"/>
      <c r="AD765" s="46"/>
      <c r="AE765" s="50">
        <f>IF(L765="W",1,0)</f>
        <v>0</v>
      </c>
      <c r="AF765" s="50">
        <f>IF(L765="T",1,0)</f>
        <v>0</v>
      </c>
      <c r="AG765" s="50">
        <f>IF(L765="L",1,0)</f>
        <v>1</v>
      </c>
      <c r="AH765" s="46" t="s">
        <v>1111</v>
      </c>
      <c r="AI765" s="46" t="s">
        <v>1126</v>
      </c>
      <c r="AJ765" s="46" t="s">
        <v>376</v>
      </c>
      <c r="AK765" s="46" t="s">
        <v>658</v>
      </c>
      <c r="AL765" s="46" t="s">
        <v>1017</v>
      </c>
      <c r="AM765" s="46" t="s">
        <v>1018</v>
      </c>
      <c r="AN765" s="46" t="s">
        <v>376</v>
      </c>
      <c r="AO765" s="46" t="s">
        <v>658</v>
      </c>
      <c r="AP765" s="46"/>
      <c r="AQ765" s="46">
        <v>1</v>
      </c>
      <c r="AR765" s="46"/>
      <c r="AS765" s="46"/>
      <c r="AT765" s="46"/>
      <c r="AU765" s="46" t="s">
        <v>376</v>
      </c>
      <c r="AV765" s="46"/>
      <c r="AW765" s="46" t="s">
        <v>30</v>
      </c>
      <c r="AX765" s="46"/>
      <c r="AY765" s="46"/>
      <c r="AZ765" s="46" t="s">
        <v>30</v>
      </c>
      <c r="BA765" s="54"/>
      <c r="BB765" s="51"/>
      <c r="BC765" s="46" t="s">
        <v>30</v>
      </c>
      <c r="BD765" s="46"/>
      <c r="BE765" s="46"/>
      <c r="BF765" s="46">
        <v>1</v>
      </c>
      <c r="BG765" s="46">
        <v>3</v>
      </c>
      <c r="BH765" s="46">
        <v>1</v>
      </c>
      <c r="BI765" s="46" t="s">
        <v>806</v>
      </c>
      <c r="BJ765" s="46" t="s">
        <v>813</v>
      </c>
      <c r="BK765" s="46">
        <v>1971</v>
      </c>
      <c r="BL765" s="46" t="str">
        <f>BK765&amp;BI765</f>
        <v>1971Aston Villa</v>
      </c>
      <c r="BM765" s="52" t="str">
        <f>IF(AD765="Home",BI765,IF(AD765="Away",BJ765,Q765))</f>
        <v>London</v>
      </c>
      <c r="BN765" s="46"/>
      <c r="BO765" s="46"/>
      <c r="BP765" s="46"/>
      <c r="BQ765" s="46"/>
      <c r="BR765" s="46"/>
      <c r="BS765" s="46"/>
      <c r="BT765" s="46"/>
      <c r="BU765" s="46"/>
      <c r="BV765" s="46" t="s">
        <v>376</v>
      </c>
      <c r="BW765" s="46" t="s">
        <v>376</v>
      </c>
      <c r="BX765" s="46"/>
      <c r="BZ765" s="53"/>
      <c r="CA765" s="53"/>
      <c r="CB765" s="93" t="str">
        <f>IF(OR(C765="",A765="",B765=""),"",TEXT(C765,"0000")&amp;TEXT(A765,"00")&amp;TEXT(B765,"00"))</f>
        <v>19710227</v>
      </c>
    </row>
    <row r="766" spans="1:80" s="52" customFormat="1" ht="12.95" customHeight="1" x14ac:dyDescent="0.2">
      <c r="A766" s="46">
        <v>3</v>
      </c>
      <c r="B766" s="46">
        <v>27</v>
      </c>
      <c r="C766" s="46">
        <v>1971</v>
      </c>
      <c r="D766" s="46" t="s">
        <v>658</v>
      </c>
      <c r="E766" s="46" t="s">
        <v>558</v>
      </c>
      <c r="F766" s="47" t="s">
        <v>1010</v>
      </c>
      <c r="G766" s="46"/>
      <c r="H766" s="47" t="s">
        <v>1011</v>
      </c>
      <c r="I766" s="47"/>
      <c r="J766" s="48">
        <v>26019</v>
      </c>
      <c r="K766" s="46" t="s">
        <v>1205</v>
      </c>
      <c r="L766" s="46" t="s">
        <v>1014</v>
      </c>
      <c r="M766" s="46" t="s">
        <v>587</v>
      </c>
      <c r="N766" s="49">
        <v>2</v>
      </c>
      <c r="O766" s="49">
        <v>2</v>
      </c>
      <c r="P766" s="47" t="s">
        <v>1252</v>
      </c>
      <c r="Q766" s="47" t="s">
        <v>1097</v>
      </c>
      <c r="R766" s="47" t="s">
        <v>376</v>
      </c>
      <c r="S766" s="46"/>
      <c r="T766" s="46"/>
      <c r="U766" s="46"/>
      <c r="V766" s="46"/>
      <c r="W766" s="46"/>
      <c r="X766" s="46"/>
      <c r="Y766" s="46"/>
      <c r="Z766" s="46"/>
      <c r="AA766" s="46"/>
      <c r="AB766" s="46"/>
      <c r="AC766" s="46"/>
      <c r="AD766" s="46"/>
      <c r="AE766" s="50">
        <f>IF(L766="W",1,0)</f>
        <v>0</v>
      </c>
      <c r="AF766" s="50">
        <f>IF(L766="T",1,0)</f>
        <v>1</v>
      </c>
      <c r="AG766" s="50">
        <f>IF(L766="L",1,0)</f>
        <v>0</v>
      </c>
      <c r="AH766" s="46" t="s">
        <v>1145</v>
      </c>
      <c r="AI766" s="46" t="s">
        <v>1206</v>
      </c>
      <c r="AJ766" s="46" t="s">
        <v>376</v>
      </c>
      <c r="AK766" s="46" t="s">
        <v>658</v>
      </c>
      <c r="AL766" s="46" t="s">
        <v>1017</v>
      </c>
      <c r="AM766" s="46" t="s">
        <v>1018</v>
      </c>
      <c r="AN766" s="46" t="s">
        <v>376</v>
      </c>
      <c r="AO766" s="46" t="s">
        <v>658</v>
      </c>
      <c r="AP766" s="46"/>
      <c r="AQ766" s="46">
        <v>2</v>
      </c>
      <c r="AR766" s="46"/>
      <c r="AS766" s="46"/>
      <c r="AT766" s="46"/>
      <c r="AU766" s="46" t="s">
        <v>376</v>
      </c>
      <c r="AV766" s="46"/>
      <c r="AW766" s="46" t="s">
        <v>30</v>
      </c>
      <c r="AX766" s="46"/>
      <c r="AY766" s="46" t="s">
        <v>30</v>
      </c>
      <c r="AZ766" s="46"/>
      <c r="BA766" s="47"/>
      <c r="BB766" s="51"/>
      <c r="BC766" s="46"/>
      <c r="BD766" s="46"/>
      <c r="BE766" s="46"/>
      <c r="BF766" s="46">
        <v>1</v>
      </c>
      <c r="BG766" s="46">
        <v>1</v>
      </c>
      <c r="BH766" s="46">
        <v>1</v>
      </c>
      <c r="BI766" s="46" t="s">
        <v>1205</v>
      </c>
      <c r="BJ766" s="46" t="s">
        <v>587</v>
      </c>
      <c r="BK766" s="46">
        <v>1971</v>
      </c>
      <c r="BL766" s="46" t="str">
        <f>BK766&amp;BI766</f>
        <v>1971Stoke City</v>
      </c>
      <c r="BM766" s="52" t="str">
        <f>IF(AD766="Home",BI766,IF(AD766="Away",BJ766,Q766))</f>
        <v>Sheffield</v>
      </c>
      <c r="BN766" s="46"/>
      <c r="BO766" s="46"/>
      <c r="BP766" s="46"/>
      <c r="BQ766" s="46"/>
      <c r="BR766" s="46"/>
      <c r="BS766" s="46"/>
      <c r="BT766" s="46"/>
      <c r="BU766" s="46"/>
      <c r="BV766" s="46" t="s">
        <v>376</v>
      </c>
      <c r="BW766" s="46" t="s">
        <v>376</v>
      </c>
      <c r="BX766" s="46"/>
      <c r="BY766" s="50"/>
      <c r="BZ766" s="53"/>
      <c r="CA766" s="53"/>
      <c r="CB766" s="93" t="str">
        <f>IF(OR(C766="",A766="",B766=""),"",TEXT(C766,"0000")&amp;TEXT(A766,"00")&amp;TEXT(B766,"00"))</f>
        <v>19710327</v>
      </c>
    </row>
    <row r="767" spans="1:80" s="52" customFormat="1" ht="12.95" customHeight="1" x14ac:dyDescent="0.2">
      <c r="A767" s="46">
        <v>3</v>
      </c>
      <c r="B767" s="46">
        <v>27</v>
      </c>
      <c r="C767" s="46">
        <v>1971</v>
      </c>
      <c r="D767" s="46" t="s">
        <v>658</v>
      </c>
      <c r="E767" s="46" t="s">
        <v>558</v>
      </c>
      <c r="F767" s="47" t="s">
        <v>1010</v>
      </c>
      <c r="G767" s="46"/>
      <c r="H767" s="47" t="s">
        <v>1011</v>
      </c>
      <c r="I767" s="47"/>
      <c r="J767" s="48">
        <v>26019</v>
      </c>
      <c r="K767" s="46" t="s">
        <v>587</v>
      </c>
      <c r="L767" s="46" t="s">
        <v>1014</v>
      </c>
      <c r="M767" s="46" t="s">
        <v>1205</v>
      </c>
      <c r="N767" s="49">
        <v>2</v>
      </c>
      <c r="O767" s="49">
        <v>2</v>
      </c>
      <c r="P767" s="47" t="s">
        <v>1252</v>
      </c>
      <c r="Q767" s="47" t="s">
        <v>1097</v>
      </c>
      <c r="R767" s="47" t="s">
        <v>376</v>
      </c>
      <c r="S767" s="46"/>
      <c r="T767" s="46"/>
      <c r="U767" s="46"/>
      <c r="V767" s="46"/>
      <c r="W767" s="46"/>
      <c r="X767" s="46"/>
      <c r="Y767" s="46"/>
      <c r="Z767" s="46"/>
      <c r="AA767" s="46"/>
      <c r="AB767" s="46"/>
      <c r="AC767" s="46"/>
      <c r="AD767" s="46"/>
      <c r="AE767" s="50">
        <f>IF(L767="W",1,0)</f>
        <v>0</v>
      </c>
      <c r="AF767" s="50">
        <f>IF(L767="T",1,0)</f>
        <v>1</v>
      </c>
      <c r="AG767" s="50">
        <f>IF(L767="L",1,0)</f>
        <v>0</v>
      </c>
      <c r="AH767" s="46" t="s">
        <v>1017</v>
      </c>
      <c r="AI767" s="46" t="s">
        <v>1018</v>
      </c>
      <c r="AJ767" s="46" t="s">
        <v>376</v>
      </c>
      <c r="AK767" s="46" t="s">
        <v>658</v>
      </c>
      <c r="AL767" s="46" t="s">
        <v>1145</v>
      </c>
      <c r="AM767" s="46" t="s">
        <v>1206</v>
      </c>
      <c r="AN767" s="46" t="s">
        <v>376</v>
      </c>
      <c r="AO767" s="46" t="s">
        <v>658</v>
      </c>
      <c r="AP767" s="46"/>
      <c r="AQ767" s="46">
        <v>2</v>
      </c>
      <c r="AR767" s="46"/>
      <c r="AS767" s="46"/>
      <c r="AT767" s="46"/>
      <c r="AU767" s="46" t="s">
        <v>376</v>
      </c>
      <c r="AV767" s="46"/>
      <c r="AW767" s="46" t="s">
        <v>30</v>
      </c>
      <c r="AX767" s="46"/>
      <c r="AY767" s="46" t="s">
        <v>30</v>
      </c>
      <c r="AZ767" s="46"/>
      <c r="BA767" s="47"/>
      <c r="BB767" s="51"/>
      <c r="BC767" s="46"/>
      <c r="BD767" s="46"/>
      <c r="BE767" s="46"/>
      <c r="BF767" s="46">
        <v>1</v>
      </c>
      <c r="BG767" s="46">
        <v>1</v>
      </c>
      <c r="BH767" s="46">
        <v>1</v>
      </c>
      <c r="BI767" s="46" t="s">
        <v>587</v>
      </c>
      <c r="BJ767" s="46" t="s">
        <v>1205</v>
      </c>
      <c r="BK767" s="46">
        <v>1971</v>
      </c>
      <c r="BL767" s="46" t="str">
        <f>BK767&amp;BI767</f>
        <v>1971Arsenal</v>
      </c>
      <c r="BM767" s="52" t="str">
        <f>IF(AD767="Home",BI767,IF(AD767="Away",BJ767,Q767))</f>
        <v>Sheffield</v>
      </c>
      <c r="BN767" s="46"/>
      <c r="BO767" s="46"/>
      <c r="BP767" s="46"/>
      <c r="BQ767" s="46"/>
      <c r="BR767" s="46"/>
      <c r="BS767" s="46"/>
      <c r="BT767" s="46"/>
      <c r="BU767" s="46"/>
      <c r="BV767" s="46" t="s">
        <v>376</v>
      </c>
      <c r="BW767" s="46" t="s">
        <v>376</v>
      </c>
      <c r="BX767" s="46"/>
      <c r="BY767" s="50"/>
      <c r="BZ767" s="53"/>
      <c r="CA767" s="53"/>
      <c r="CB767" s="93" t="str">
        <f>IF(OR(C767="",A767="",B767=""),"",TEXT(C767,"0000")&amp;TEXT(A767,"00")&amp;TEXT(B767,"00"))</f>
        <v>19710327</v>
      </c>
    </row>
    <row r="768" spans="1:80" s="52" customFormat="1" ht="12.95" customHeight="1" x14ac:dyDescent="0.2">
      <c r="A768" s="46">
        <v>3</v>
      </c>
      <c r="B768" s="46">
        <v>27</v>
      </c>
      <c r="C768" s="46">
        <v>1971</v>
      </c>
      <c r="D768" s="46" t="s">
        <v>658</v>
      </c>
      <c r="E768" s="46" t="s">
        <v>558</v>
      </c>
      <c r="F768" s="47" t="s">
        <v>1010</v>
      </c>
      <c r="G768" s="46"/>
      <c r="H768" s="47" t="s">
        <v>1011</v>
      </c>
      <c r="I768" s="47"/>
      <c r="J768" s="48">
        <v>26019</v>
      </c>
      <c r="K768" s="46" t="s">
        <v>588</v>
      </c>
      <c r="L768" s="46" t="s">
        <v>3</v>
      </c>
      <c r="M768" s="46" t="s">
        <v>804</v>
      </c>
      <c r="N768" s="49">
        <v>2</v>
      </c>
      <c r="O768" s="49">
        <v>1</v>
      </c>
      <c r="P768" s="47" t="s">
        <v>1246</v>
      </c>
      <c r="Q768" s="47" t="s">
        <v>1101</v>
      </c>
      <c r="R768" s="47" t="s">
        <v>376</v>
      </c>
      <c r="S768" s="46"/>
      <c r="T768" s="46"/>
      <c r="U768" s="46"/>
      <c r="V768" s="46"/>
      <c r="W768" s="46"/>
      <c r="X768" s="46"/>
      <c r="Y768" s="46"/>
      <c r="Z768" s="46"/>
      <c r="AA768" s="46"/>
      <c r="AB768" s="46"/>
      <c r="AC768" s="46"/>
      <c r="AD768" s="46"/>
      <c r="AE768" s="50">
        <f>IF(L768="W",1,0)</f>
        <v>1</v>
      </c>
      <c r="AF768" s="50">
        <f>IF(L768="T",1,0)</f>
        <v>0</v>
      </c>
      <c r="AG768" s="50">
        <f>IF(L768="L",1,0)</f>
        <v>0</v>
      </c>
      <c r="AH768" s="46" t="s">
        <v>588</v>
      </c>
      <c r="AI768" s="46" t="s">
        <v>1175</v>
      </c>
      <c r="AJ768" s="46" t="s">
        <v>376</v>
      </c>
      <c r="AK768" s="46" t="s">
        <v>658</v>
      </c>
      <c r="AL768" s="46" t="s">
        <v>588</v>
      </c>
      <c r="AM768" s="46" t="s">
        <v>1175</v>
      </c>
      <c r="AN768" s="46" t="s">
        <v>376</v>
      </c>
      <c r="AO768" s="46" t="s">
        <v>658</v>
      </c>
      <c r="AP768" s="46"/>
      <c r="AQ768" s="46">
        <v>2</v>
      </c>
      <c r="AR768" s="46"/>
      <c r="AS768" s="46"/>
      <c r="AT768" s="46" t="s">
        <v>1229</v>
      </c>
      <c r="AU768" s="46" t="s">
        <v>376</v>
      </c>
      <c r="AV768" s="46"/>
      <c r="AW768" s="46" t="s">
        <v>30</v>
      </c>
      <c r="AX768" s="46"/>
      <c r="AY768" s="46" t="s">
        <v>30</v>
      </c>
      <c r="AZ768" s="46"/>
      <c r="BA768" s="47"/>
      <c r="BB768" s="51"/>
      <c r="BC768" s="46"/>
      <c r="BD768" s="46"/>
      <c r="BE768" s="46"/>
      <c r="BF768" s="46">
        <v>1</v>
      </c>
      <c r="BG768" s="46">
        <v>1</v>
      </c>
      <c r="BH768" s="46">
        <v>1</v>
      </c>
      <c r="BI768" s="46" t="s">
        <v>588</v>
      </c>
      <c r="BJ768" s="46" t="s">
        <v>804</v>
      </c>
      <c r="BK768" s="46">
        <v>1971</v>
      </c>
      <c r="BL768" s="46" t="str">
        <f>BK768&amp;BI768</f>
        <v>1971Liverpool</v>
      </c>
      <c r="BM768" s="52" t="str">
        <f>IF(AD768="Home",BI768,IF(AD768="Away",BJ768,Q768))</f>
        <v>Manchester</v>
      </c>
      <c r="BN768" s="46"/>
      <c r="BO768" s="46"/>
      <c r="BP768" s="46"/>
      <c r="BQ768" s="46"/>
      <c r="BR768" s="46"/>
      <c r="BS768" s="46"/>
      <c r="BT768" s="46"/>
      <c r="BU768" s="46"/>
      <c r="BV768" s="46" t="s">
        <v>376</v>
      </c>
      <c r="BW768" s="46" t="s">
        <v>376</v>
      </c>
      <c r="BX768" s="46"/>
      <c r="BZ768" s="53"/>
      <c r="CA768" s="53"/>
      <c r="CB768" s="93" t="str">
        <f>IF(OR(C768="",A768="",B768=""),"",TEXT(C768,"0000")&amp;TEXT(A768,"00")&amp;TEXT(B768,"00"))</f>
        <v>19710327</v>
      </c>
    </row>
    <row r="769" spans="1:80" s="52" customFormat="1" ht="12.95" customHeight="1" x14ac:dyDescent="0.2">
      <c r="A769" s="46">
        <v>3</v>
      </c>
      <c r="B769" s="46">
        <v>27</v>
      </c>
      <c r="C769" s="46">
        <v>1971</v>
      </c>
      <c r="D769" s="46" t="s">
        <v>658</v>
      </c>
      <c r="E769" s="46" t="s">
        <v>558</v>
      </c>
      <c r="F769" s="47" t="s">
        <v>1010</v>
      </c>
      <c r="G769" s="46"/>
      <c r="H769" s="47" t="s">
        <v>1011</v>
      </c>
      <c r="I769" s="47"/>
      <c r="J769" s="48">
        <v>26019</v>
      </c>
      <c r="K769" s="46" t="s">
        <v>804</v>
      </c>
      <c r="L769" s="46" t="s">
        <v>4</v>
      </c>
      <c r="M769" s="46" t="s">
        <v>588</v>
      </c>
      <c r="N769" s="49">
        <v>1</v>
      </c>
      <c r="O769" s="49">
        <v>2</v>
      </c>
      <c r="P769" s="47" t="s">
        <v>1246</v>
      </c>
      <c r="Q769" s="47" t="s">
        <v>1101</v>
      </c>
      <c r="R769" s="47" t="s">
        <v>376</v>
      </c>
      <c r="S769" s="46"/>
      <c r="T769" s="46"/>
      <c r="U769" s="46"/>
      <c r="V769" s="46"/>
      <c r="W769" s="46"/>
      <c r="X769" s="46"/>
      <c r="Y769" s="46"/>
      <c r="Z769" s="46"/>
      <c r="AA769" s="46"/>
      <c r="AB769" s="46"/>
      <c r="AC769" s="46"/>
      <c r="AD769" s="46"/>
      <c r="AE769" s="50">
        <f>IF(L769="W",1,0)</f>
        <v>0</v>
      </c>
      <c r="AF769" s="50">
        <f>IF(L769="T",1,0)</f>
        <v>0</v>
      </c>
      <c r="AG769" s="50">
        <f>IF(L769="L",1,0)</f>
        <v>1</v>
      </c>
      <c r="AH769" s="46" t="s">
        <v>588</v>
      </c>
      <c r="AI769" s="46" t="s">
        <v>1175</v>
      </c>
      <c r="AJ769" s="46" t="s">
        <v>376</v>
      </c>
      <c r="AK769" s="46" t="s">
        <v>658</v>
      </c>
      <c r="AL769" s="46" t="s">
        <v>588</v>
      </c>
      <c r="AM769" s="46" t="s">
        <v>1175</v>
      </c>
      <c r="AN769" s="46" t="s">
        <v>376</v>
      </c>
      <c r="AO769" s="46" t="s">
        <v>658</v>
      </c>
      <c r="AP769" s="46"/>
      <c r="AQ769" s="46">
        <v>2</v>
      </c>
      <c r="AR769" s="46"/>
      <c r="AS769" s="46"/>
      <c r="AT769" s="46" t="s">
        <v>1229</v>
      </c>
      <c r="AU769" s="46" t="s">
        <v>376</v>
      </c>
      <c r="AV769" s="46"/>
      <c r="AW769" s="46" t="s">
        <v>30</v>
      </c>
      <c r="AX769" s="46"/>
      <c r="AY769" s="46" t="s">
        <v>30</v>
      </c>
      <c r="AZ769" s="46"/>
      <c r="BA769" s="47"/>
      <c r="BB769" s="51"/>
      <c r="BC769" s="46"/>
      <c r="BD769" s="46"/>
      <c r="BE769" s="46"/>
      <c r="BF769" s="46">
        <v>1</v>
      </c>
      <c r="BG769" s="46">
        <v>1</v>
      </c>
      <c r="BH769" s="46">
        <v>1</v>
      </c>
      <c r="BI769" s="46" t="s">
        <v>804</v>
      </c>
      <c r="BJ769" s="46" t="s">
        <v>588</v>
      </c>
      <c r="BK769" s="46">
        <v>1971</v>
      </c>
      <c r="BL769" s="46" t="str">
        <f>BK769&amp;BI769</f>
        <v>1971Everton</v>
      </c>
      <c r="BM769" s="52" t="str">
        <f>IF(AD769="Home",BI769,IF(AD769="Away",BJ769,Q769))</f>
        <v>Manchester</v>
      </c>
      <c r="BN769" s="46"/>
      <c r="BO769" s="46"/>
      <c r="BP769" s="46"/>
      <c r="BQ769" s="46"/>
      <c r="BR769" s="46"/>
      <c r="BS769" s="46"/>
      <c r="BT769" s="46"/>
      <c r="BU769" s="46"/>
      <c r="BV769" s="46" t="s">
        <v>376</v>
      </c>
      <c r="BW769" s="46" t="s">
        <v>376</v>
      </c>
      <c r="BX769" s="46"/>
      <c r="BZ769" s="53"/>
      <c r="CA769" s="53"/>
      <c r="CB769" s="93" t="str">
        <f>IF(OR(C769="",A769="",B769=""),"",TEXT(C769,"0000")&amp;TEXT(A769,"00")&amp;TEXT(B769,"00"))</f>
        <v>19710327</v>
      </c>
    </row>
    <row r="770" spans="1:80" s="52" customFormat="1" ht="12.95" customHeight="1" x14ac:dyDescent="0.2">
      <c r="A770" s="46">
        <v>3</v>
      </c>
      <c r="B770" s="46">
        <v>31</v>
      </c>
      <c r="C770" s="46">
        <v>1971</v>
      </c>
      <c r="D770" s="46" t="s">
        <v>658</v>
      </c>
      <c r="E770" s="46" t="s">
        <v>558</v>
      </c>
      <c r="F770" s="47" t="s">
        <v>1010</v>
      </c>
      <c r="G770" s="46"/>
      <c r="H770" s="47" t="s">
        <v>1011</v>
      </c>
      <c r="I770" s="47" t="s">
        <v>1023</v>
      </c>
      <c r="J770" s="48">
        <v>26023</v>
      </c>
      <c r="K770" s="46" t="s">
        <v>587</v>
      </c>
      <c r="L770" s="46" t="s">
        <v>3</v>
      </c>
      <c r="M770" s="46" t="s">
        <v>1205</v>
      </c>
      <c r="N770" s="49">
        <v>2</v>
      </c>
      <c r="O770" s="49">
        <v>0</v>
      </c>
      <c r="P770" s="47" t="s">
        <v>1219</v>
      </c>
      <c r="Q770" s="47" t="s">
        <v>1111</v>
      </c>
      <c r="R770" s="47" t="s">
        <v>376</v>
      </c>
      <c r="S770" s="46"/>
      <c r="T770" s="46"/>
      <c r="U770" s="46"/>
      <c r="V770" s="46"/>
      <c r="W770" s="46"/>
      <c r="X770" s="46"/>
      <c r="Y770" s="46"/>
      <c r="Z770" s="46"/>
      <c r="AA770" s="46"/>
      <c r="AB770" s="46"/>
      <c r="AC770" s="46"/>
      <c r="AD770" s="46"/>
      <c r="AE770" s="50">
        <f>IF(L770="W",1,0)</f>
        <v>1</v>
      </c>
      <c r="AF770" s="50">
        <f>IF(L770="T",1,0)</f>
        <v>0</v>
      </c>
      <c r="AG770" s="50">
        <f>IF(L770="L",1,0)</f>
        <v>0</v>
      </c>
      <c r="AH770" s="46" t="s">
        <v>1017</v>
      </c>
      <c r="AI770" s="46" t="s">
        <v>1018</v>
      </c>
      <c r="AJ770" s="46" t="s">
        <v>376</v>
      </c>
      <c r="AK770" s="46" t="s">
        <v>658</v>
      </c>
      <c r="AL770" s="46" t="s">
        <v>1145</v>
      </c>
      <c r="AM770" s="46" t="s">
        <v>1206</v>
      </c>
      <c r="AN770" s="46" t="s">
        <v>376</v>
      </c>
      <c r="AO770" s="46" t="s">
        <v>658</v>
      </c>
      <c r="AP770" s="46"/>
      <c r="AQ770" s="46">
        <v>2</v>
      </c>
      <c r="AR770" s="46"/>
      <c r="AS770" s="46"/>
      <c r="AT770" s="46"/>
      <c r="AU770" s="46" t="s">
        <v>376</v>
      </c>
      <c r="AV770" s="46"/>
      <c r="AW770" s="46" t="s">
        <v>30</v>
      </c>
      <c r="AX770" s="46"/>
      <c r="AY770" s="46" t="s">
        <v>30</v>
      </c>
      <c r="AZ770" s="46"/>
      <c r="BA770" s="47"/>
      <c r="BB770" s="51"/>
      <c r="BC770" s="46"/>
      <c r="BD770" s="46"/>
      <c r="BE770" s="46"/>
      <c r="BF770" s="46">
        <v>1</v>
      </c>
      <c r="BG770" s="46">
        <v>1</v>
      </c>
      <c r="BH770" s="46">
        <v>1</v>
      </c>
      <c r="BI770" s="46" t="s">
        <v>587</v>
      </c>
      <c r="BJ770" s="46" t="s">
        <v>1205</v>
      </c>
      <c r="BK770" s="46">
        <v>1971</v>
      </c>
      <c r="BL770" s="46" t="str">
        <f>BK770&amp;BI770</f>
        <v>1971Arsenal</v>
      </c>
      <c r="BM770" s="52" t="str">
        <f>IF(AD770="Home",BI770,IF(AD770="Away",BJ770,Q770))</f>
        <v>Birmingham</v>
      </c>
      <c r="BN770" s="46"/>
      <c r="BO770" s="46"/>
      <c r="BP770" s="46"/>
      <c r="BQ770" s="46"/>
      <c r="BR770" s="46"/>
      <c r="BS770" s="46"/>
      <c r="BT770" s="46"/>
      <c r="BU770" s="46"/>
      <c r="BV770" s="46" t="s">
        <v>376</v>
      </c>
      <c r="BW770" s="46" t="s">
        <v>376</v>
      </c>
      <c r="BX770" s="46"/>
      <c r="BZ770" s="53"/>
      <c r="CA770" s="53"/>
      <c r="CB770" s="93" t="str">
        <f>IF(OR(C770="",A770="",B770=""),"",TEXT(C770,"0000")&amp;TEXT(A770,"00")&amp;TEXT(B770,"00"))</f>
        <v>19710331</v>
      </c>
    </row>
    <row r="771" spans="1:80" s="52" customFormat="1" ht="12.95" customHeight="1" x14ac:dyDescent="0.2">
      <c r="A771" s="46">
        <v>3</v>
      </c>
      <c r="B771" s="46">
        <v>31</v>
      </c>
      <c r="C771" s="46">
        <v>1971</v>
      </c>
      <c r="D771" s="46" t="s">
        <v>658</v>
      </c>
      <c r="E771" s="46" t="s">
        <v>558</v>
      </c>
      <c r="F771" s="47" t="s">
        <v>1010</v>
      </c>
      <c r="G771" s="46"/>
      <c r="H771" s="47" t="s">
        <v>1011</v>
      </c>
      <c r="I771" s="47" t="s">
        <v>1023</v>
      </c>
      <c r="J771" s="48">
        <v>26023</v>
      </c>
      <c r="K771" s="46" t="s">
        <v>1205</v>
      </c>
      <c r="L771" s="46" t="s">
        <v>4</v>
      </c>
      <c r="M771" s="46" t="s">
        <v>587</v>
      </c>
      <c r="N771" s="49">
        <v>0</v>
      </c>
      <c r="O771" s="49">
        <v>2</v>
      </c>
      <c r="P771" s="47" t="s">
        <v>1219</v>
      </c>
      <c r="Q771" s="47" t="s">
        <v>1111</v>
      </c>
      <c r="R771" s="47" t="s">
        <v>376</v>
      </c>
      <c r="S771" s="46"/>
      <c r="T771" s="46"/>
      <c r="U771" s="46"/>
      <c r="V771" s="46"/>
      <c r="W771" s="46"/>
      <c r="X771" s="46"/>
      <c r="Y771" s="46"/>
      <c r="Z771" s="46"/>
      <c r="AA771" s="46"/>
      <c r="AB771" s="46"/>
      <c r="AC771" s="46"/>
      <c r="AD771" s="46"/>
      <c r="AE771" s="50">
        <f>IF(L771="W",1,0)</f>
        <v>0</v>
      </c>
      <c r="AF771" s="50">
        <f>IF(L771="T",1,0)</f>
        <v>0</v>
      </c>
      <c r="AG771" s="50">
        <f>IF(L771="L",1,0)</f>
        <v>1</v>
      </c>
      <c r="AH771" s="46" t="s">
        <v>1145</v>
      </c>
      <c r="AI771" s="46" t="s">
        <v>1206</v>
      </c>
      <c r="AJ771" s="46" t="s">
        <v>376</v>
      </c>
      <c r="AK771" s="46" t="s">
        <v>658</v>
      </c>
      <c r="AL771" s="46" t="s">
        <v>1017</v>
      </c>
      <c r="AM771" s="46" t="s">
        <v>1018</v>
      </c>
      <c r="AN771" s="46" t="s">
        <v>376</v>
      </c>
      <c r="AO771" s="46" t="s">
        <v>658</v>
      </c>
      <c r="AP771" s="46"/>
      <c r="AQ771" s="46">
        <v>2</v>
      </c>
      <c r="AR771" s="46"/>
      <c r="AS771" s="46"/>
      <c r="AT771" s="46"/>
      <c r="AU771" s="46" t="s">
        <v>376</v>
      </c>
      <c r="AV771" s="46"/>
      <c r="AW771" s="46" t="s">
        <v>30</v>
      </c>
      <c r="AX771" s="46"/>
      <c r="AY771" s="46" t="s">
        <v>30</v>
      </c>
      <c r="AZ771" s="46"/>
      <c r="BA771" s="47"/>
      <c r="BB771" s="51"/>
      <c r="BC771" s="46"/>
      <c r="BD771" s="46"/>
      <c r="BE771" s="46"/>
      <c r="BF771" s="46">
        <v>1</v>
      </c>
      <c r="BG771" s="46">
        <v>1</v>
      </c>
      <c r="BH771" s="46">
        <v>1</v>
      </c>
      <c r="BI771" s="46" t="s">
        <v>1205</v>
      </c>
      <c r="BJ771" s="46" t="s">
        <v>587</v>
      </c>
      <c r="BK771" s="46">
        <v>1971</v>
      </c>
      <c r="BL771" s="46" t="str">
        <f>BK771&amp;BI771</f>
        <v>1971Stoke City</v>
      </c>
      <c r="BM771" s="52" t="str">
        <f>IF(AD771="Home",BI771,IF(AD771="Away",BJ771,Q771))</f>
        <v>Birmingham</v>
      </c>
      <c r="BN771" s="46"/>
      <c r="BO771" s="46"/>
      <c r="BP771" s="46"/>
      <c r="BQ771" s="46"/>
      <c r="BR771" s="46"/>
      <c r="BS771" s="46"/>
      <c r="BT771" s="46"/>
      <c r="BU771" s="46"/>
      <c r="BV771" s="46" t="s">
        <v>376</v>
      </c>
      <c r="BW771" s="46" t="s">
        <v>376</v>
      </c>
      <c r="BX771" s="46"/>
      <c r="BZ771" s="53"/>
      <c r="CA771" s="53"/>
      <c r="CB771" s="93" t="str">
        <f>IF(OR(C771="",A771="",B771=""),"",TEXT(C771,"0000")&amp;TEXT(A771,"00")&amp;TEXT(B771,"00"))</f>
        <v>19710331</v>
      </c>
    </row>
    <row r="772" spans="1:80" s="52" customFormat="1" ht="12.95" customHeight="1" x14ac:dyDescent="0.2">
      <c r="A772" s="46">
        <v>5</v>
      </c>
      <c r="B772" s="46">
        <v>8</v>
      </c>
      <c r="C772" s="46">
        <v>1971</v>
      </c>
      <c r="D772" s="46" t="s">
        <v>658</v>
      </c>
      <c r="E772" s="46" t="s">
        <v>558</v>
      </c>
      <c r="F772" s="47" t="s">
        <v>1010</v>
      </c>
      <c r="G772" s="46"/>
      <c r="H772" s="47" t="s">
        <v>1025</v>
      </c>
      <c r="I772" s="47"/>
      <c r="J772" s="48">
        <v>26061</v>
      </c>
      <c r="K772" s="46" t="s">
        <v>587</v>
      </c>
      <c r="L772" s="46" t="s">
        <v>3</v>
      </c>
      <c r="M772" s="46" t="s">
        <v>588</v>
      </c>
      <c r="N772" s="49">
        <v>2</v>
      </c>
      <c r="O772" s="49">
        <v>1</v>
      </c>
      <c r="P772" s="47" t="s">
        <v>1268</v>
      </c>
      <c r="Q772" s="47" t="s">
        <v>1017</v>
      </c>
      <c r="R772" s="47" t="s">
        <v>376</v>
      </c>
      <c r="S772" s="46"/>
      <c r="T772" s="46"/>
      <c r="U772" s="46"/>
      <c r="V772" s="46"/>
      <c r="W772" s="46"/>
      <c r="X772" s="46"/>
      <c r="Y772" s="46"/>
      <c r="Z772" s="46"/>
      <c r="AA772" s="46"/>
      <c r="AB772" s="46"/>
      <c r="AC772" s="46"/>
      <c r="AD772" s="46"/>
      <c r="AE772" s="50">
        <f>IF(L772="W",1,0)</f>
        <v>1</v>
      </c>
      <c r="AF772" s="50">
        <f>IF(L772="T",1,0)</f>
        <v>0</v>
      </c>
      <c r="AG772" s="50">
        <f>IF(L772="L",1,0)</f>
        <v>0</v>
      </c>
      <c r="AH772" s="46" t="s">
        <v>1017</v>
      </c>
      <c r="AI772" s="46" t="s">
        <v>1018</v>
      </c>
      <c r="AJ772" s="46" t="s">
        <v>376</v>
      </c>
      <c r="AK772" s="46" t="s">
        <v>658</v>
      </c>
      <c r="AL772" s="46" t="s">
        <v>588</v>
      </c>
      <c r="AM772" s="46" t="s">
        <v>1175</v>
      </c>
      <c r="AN772" s="46" t="s">
        <v>376</v>
      </c>
      <c r="AO772" s="46" t="s">
        <v>658</v>
      </c>
      <c r="AP772" s="46"/>
      <c r="AQ772" s="46">
        <v>1</v>
      </c>
      <c r="AR772" s="46"/>
      <c r="AS772" s="46"/>
      <c r="AT772" s="46"/>
      <c r="AU772" s="46" t="s">
        <v>376</v>
      </c>
      <c r="AV772" s="46"/>
      <c r="AW772" s="46" t="s">
        <v>30</v>
      </c>
      <c r="AX772" s="46"/>
      <c r="AY772" s="46" t="s">
        <v>30</v>
      </c>
      <c r="AZ772" s="46"/>
      <c r="BA772" s="47"/>
      <c r="BB772" s="51" t="s">
        <v>30</v>
      </c>
      <c r="BC772" s="46" t="s">
        <v>30</v>
      </c>
      <c r="BD772" s="46"/>
      <c r="BE772" s="46"/>
      <c r="BF772" s="46">
        <v>1</v>
      </c>
      <c r="BG772" s="46">
        <v>1</v>
      </c>
      <c r="BH772" s="46">
        <v>1</v>
      </c>
      <c r="BI772" s="46" t="s">
        <v>587</v>
      </c>
      <c r="BJ772" s="46" t="s">
        <v>588</v>
      </c>
      <c r="BK772" s="46">
        <v>1971</v>
      </c>
      <c r="BL772" s="46" t="str">
        <f>BK772&amp;BI772</f>
        <v>1971Arsenal</v>
      </c>
      <c r="BM772" s="52" t="str">
        <f>IF(AD772="Home",BI772,IF(AD772="Away",BJ772,Q772))</f>
        <v>London</v>
      </c>
      <c r="BN772" s="46"/>
      <c r="BO772" s="46"/>
      <c r="BP772" s="46"/>
      <c r="BQ772" s="46"/>
      <c r="BR772" s="46"/>
      <c r="BS772" s="46"/>
      <c r="BT772" s="46"/>
      <c r="BU772" s="46"/>
      <c r="BV772" s="46" t="s">
        <v>376</v>
      </c>
      <c r="BW772" s="46" t="s">
        <v>376</v>
      </c>
      <c r="BX772" s="46"/>
      <c r="BZ772" s="53"/>
      <c r="CA772" s="53"/>
      <c r="CB772" s="93" t="str">
        <f>IF(OR(C772="",A772="",B772=""),"",TEXT(C772,"0000")&amp;TEXT(A772,"00")&amp;TEXT(B772,"00"))</f>
        <v>19710508</v>
      </c>
    </row>
    <row r="773" spans="1:80" s="52" customFormat="1" ht="12.95" customHeight="1" x14ac:dyDescent="0.2">
      <c r="A773" s="46">
        <v>5</v>
      </c>
      <c r="B773" s="46">
        <v>8</v>
      </c>
      <c r="C773" s="46">
        <v>1971</v>
      </c>
      <c r="D773" s="46" t="s">
        <v>658</v>
      </c>
      <c r="E773" s="46" t="s">
        <v>558</v>
      </c>
      <c r="F773" s="47" t="s">
        <v>1010</v>
      </c>
      <c r="G773" s="46"/>
      <c r="H773" s="47" t="s">
        <v>1025</v>
      </c>
      <c r="I773" s="47"/>
      <c r="J773" s="48">
        <v>26061</v>
      </c>
      <c r="K773" s="46" t="s">
        <v>588</v>
      </c>
      <c r="L773" s="46" t="s">
        <v>4</v>
      </c>
      <c r="M773" s="46" t="s">
        <v>587</v>
      </c>
      <c r="N773" s="49">
        <v>1</v>
      </c>
      <c r="O773" s="49">
        <v>2</v>
      </c>
      <c r="P773" s="47" t="s">
        <v>1268</v>
      </c>
      <c r="Q773" s="47" t="s">
        <v>1017</v>
      </c>
      <c r="R773" s="47" t="s">
        <v>376</v>
      </c>
      <c r="S773" s="46"/>
      <c r="T773" s="46"/>
      <c r="U773" s="46"/>
      <c r="V773" s="46"/>
      <c r="W773" s="46"/>
      <c r="X773" s="46"/>
      <c r="Y773" s="46"/>
      <c r="Z773" s="46"/>
      <c r="AA773" s="46"/>
      <c r="AB773" s="46"/>
      <c r="AC773" s="46"/>
      <c r="AD773" s="46"/>
      <c r="AE773" s="50">
        <f>IF(L773="W",1,0)</f>
        <v>0</v>
      </c>
      <c r="AF773" s="50">
        <f>IF(L773="T",1,0)</f>
        <v>0</v>
      </c>
      <c r="AG773" s="50">
        <f>IF(L773="L",1,0)</f>
        <v>1</v>
      </c>
      <c r="AH773" s="46" t="s">
        <v>588</v>
      </c>
      <c r="AI773" s="46" t="s">
        <v>1175</v>
      </c>
      <c r="AJ773" s="46" t="s">
        <v>376</v>
      </c>
      <c r="AK773" s="46" t="s">
        <v>658</v>
      </c>
      <c r="AL773" s="46" t="s">
        <v>1017</v>
      </c>
      <c r="AM773" s="46" t="s">
        <v>1018</v>
      </c>
      <c r="AN773" s="46" t="s">
        <v>376</v>
      </c>
      <c r="AO773" s="46" t="s">
        <v>658</v>
      </c>
      <c r="AP773" s="46"/>
      <c r="AQ773" s="46">
        <v>1</v>
      </c>
      <c r="AR773" s="46"/>
      <c r="AS773" s="46"/>
      <c r="AT773" s="46"/>
      <c r="AU773" s="46" t="s">
        <v>376</v>
      </c>
      <c r="AV773" s="46"/>
      <c r="AW773" s="46" t="s">
        <v>30</v>
      </c>
      <c r="AX773" s="46"/>
      <c r="AY773" s="46" t="s">
        <v>30</v>
      </c>
      <c r="AZ773" s="46"/>
      <c r="BA773" s="47"/>
      <c r="BB773" s="51"/>
      <c r="BC773" s="46" t="s">
        <v>30</v>
      </c>
      <c r="BD773" s="46"/>
      <c r="BE773" s="46"/>
      <c r="BF773" s="46">
        <v>1</v>
      </c>
      <c r="BG773" s="46">
        <v>1</v>
      </c>
      <c r="BH773" s="46">
        <v>1</v>
      </c>
      <c r="BI773" s="46" t="s">
        <v>588</v>
      </c>
      <c r="BJ773" s="46" t="s">
        <v>587</v>
      </c>
      <c r="BK773" s="46">
        <v>1971</v>
      </c>
      <c r="BL773" s="46" t="str">
        <f>BK773&amp;BI773</f>
        <v>1971Liverpool</v>
      </c>
      <c r="BM773" s="52" t="str">
        <f>IF(AD773="Home",BI773,IF(AD773="Away",BJ773,Q773))</f>
        <v>London</v>
      </c>
      <c r="BN773" s="46"/>
      <c r="BO773" s="46"/>
      <c r="BP773" s="46"/>
      <c r="BQ773" s="46"/>
      <c r="BR773" s="46"/>
      <c r="BS773" s="46"/>
      <c r="BT773" s="46"/>
      <c r="BU773" s="46"/>
      <c r="BV773" s="46" t="s">
        <v>376</v>
      </c>
      <c r="BW773" s="46" t="s">
        <v>376</v>
      </c>
      <c r="BX773" s="46"/>
      <c r="BZ773" s="53"/>
      <c r="CA773" s="53"/>
      <c r="CB773" s="93" t="str">
        <f>IF(OR(C773="",A773="",B773=""),"",TEXT(C773,"0000")&amp;TEXT(A773,"00")&amp;TEXT(B773,"00"))</f>
        <v>19710508</v>
      </c>
    </row>
    <row r="774" spans="1:80" s="52" customFormat="1" ht="12.95" customHeight="1" x14ac:dyDescent="0.2">
      <c r="A774" s="46">
        <v>12</v>
      </c>
      <c r="B774" s="46">
        <v>8</v>
      </c>
      <c r="C774" s="46">
        <v>1971</v>
      </c>
      <c r="D774" s="46" t="s">
        <v>658</v>
      </c>
      <c r="E774" s="46" t="s">
        <v>557</v>
      </c>
      <c r="F774" s="54" t="s">
        <v>1327</v>
      </c>
      <c r="G774" s="46"/>
      <c r="H774" s="54" t="s">
        <v>1011</v>
      </c>
      <c r="I774" s="54">
        <v>1</v>
      </c>
      <c r="J774" s="55">
        <v>26275</v>
      </c>
      <c r="K774" s="46" t="s">
        <v>1205</v>
      </c>
      <c r="L774" s="46" t="s">
        <v>4</v>
      </c>
      <c r="M774" s="46" t="s">
        <v>803</v>
      </c>
      <c r="N774" s="49">
        <v>1</v>
      </c>
      <c r="O774" s="49">
        <v>2</v>
      </c>
      <c r="P774" s="54" t="s">
        <v>1144</v>
      </c>
      <c r="Q774" s="54" t="s">
        <v>1145</v>
      </c>
      <c r="R774" s="54" t="s">
        <v>376</v>
      </c>
      <c r="S774" s="46"/>
      <c r="T774" s="46"/>
      <c r="U774" s="46"/>
      <c r="V774" s="46"/>
      <c r="W774" s="46"/>
      <c r="X774" s="46"/>
      <c r="Y774" s="46"/>
      <c r="Z774" s="46"/>
      <c r="AA774" s="46"/>
      <c r="AB774" s="46"/>
      <c r="AC774" s="46"/>
      <c r="AD774" s="46" t="s">
        <v>1033</v>
      </c>
      <c r="AE774" s="50">
        <f>IF(L774="W",1,0)</f>
        <v>0</v>
      </c>
      <c r="AF774" s="50">
        <f>IF(L774="T",1,0)</f>
        <v>0</v>
      </c>
      <c r="AG774" s="50">
        <f>IF(L774="L",1,0)</f>
        <v>1</v>
      </c>
      <c r="AH774" s="46" t="s">
        <v>1145</v>
      </c>
      <c r="AI774" s="46" t="s">
        <v>1206</v>
      </c>
      <c r="AJ774" s="46" t="s">
        <v>376</v>
      </c>
      <c r="AK774" s="46" t="s">
        <v>658</v>
      </c>
      <c r="AL774" s="46" t="s">
        <v>1017</v>
      </c>
      <c r="AM774" s="46" t="s">
        <v>1018</v>
      </c>
      <c r="AN774" s="46" t="s">
        <v>376</v>
      </c>
      <c r="AO774" s="46" t="s">
        <v>658</v>
      </c>
      <c r="AP774" s="46"/>
      <c r="AQ774" s="46">
        <v>2</v>
      </c>
      <c r="AR774" s="46"/>
      <c r="AS774" s="46"/>
      <c r="AT774" s="46"/>
      <c r="AU774" s="46" t="s">
        <v>376</v>
      </c>
      <c r="AV774" s="46"/>
      <c r="AW774" s="46" t="s">
        <v>30</v>
      </c>
      <c r="AX774" s="46"/>
      <c r="AY774" s="46"/>
      <c r="AZ774" s="46" t="s">
        <v>30</v>
      </c>
      <c r="BA774" s="54"/>
      <c r="BB774" s="51"/>
      <c r="BC774" s="46"/>
      <c r="BD774" s="46"/>
      <c r="BE774" s="46"/>
      <c r="BF774" s="46">
        <v>1</v>
      </c>
      <c r="BG774" s="46">
        <v>1</v>
      </c>
      <c r="BH774" s="46">
        <v>1</v>
      </c>
      <c r="BI774" s="46" t="s">
        <v>1205</v>
      </c>
      <c r="BJ774" s="46" t="s">
        <v>803</v>
      </c>
      <c r="BK774" s="46">
        <v>1972</v>
      </c>
      <c r="BL774" s="46" t="str">
        <f>BK774&amp;BI774</f>
        <v>1972Stoke City</v>
      </c>
      <c r="BM774" s="52" t="str">
        <f>IF(AD774="Home",BI774,IF(AD774="Away",BJ774,Q774))</f>
        <v>Stoke City</v>
      </c>
      <c r="BN774" s="46"/>
      <c r="BO774" s="46"/>
      <c r="BP774" s="46"/>
      <c r="BQ774" s="46"/>
      <c r="BR774" s="46"/>
      <c r="BS774" s="46"/>
      <c r="BT774" s="46"/>
      <c r="BU774" s="46"/>
      <c r="BV774" s="46" t="s">
        <v>376</v>
      </c>
      <c r="BW774" s="46" t="s">
        <v>376</v>
      </c>
      <c r="BX774" s="46"/>
      <c r="BY774" s="50"/>
      <c r="BZ774" s="53"/>
      <c r="CA774" s="53"/>
      <c r="CB774" s="93" t="str">
        <f>IF(OR(C774="",A774="",B774=""),"",TEXT(C774,"0000")&amp;TEXT(A774,"00")&amp;TEXT(B774,"00"))</f>
        <v>19711208</v>
      </c>
    </row>
    <row r="775" spans="1:80" s="52" customFormat="1" ht="12.95" customHeight="1" x14ac:dyDescent="0.2">
      <c r="A775" s="46">
        <v>12</v>
      </c>
      <c r="B775" s="46">
        <v>8</v>
      </c>
      <c r="C775" s="46">
        <v>1971</v>
      </c>
      <c r="D775" s="46" t="s">
        <v>658</v>
      </c>
      <c r="E775" s="46" t="s">
        <v>557</v>
      </c>
      <c r="F775" s="54" t="s">
        <v>1327</v>
      </c>
      <c r="G775" s="46"/>
      <c r="H775" s="54" t="s">
        <v>1011</v>
      </c>
      <c r="I775" s="54">
        <v>1</v>
      </c>
      <c r="J775" s="55">
        <v>26275</v>
      </c>
      <c r="K775" s="46" t="s">
        <v>803</v>
      </c>
      <c r="L775" s="46" t="s">
        <v>3</v>
      </c>
      <c r="M775" s="46" t="s">
        <v>1205</v>
      </c>
      <c r="N775" s="49">
        <v>2</v>
      </c>
      <c r="O775" s="49">
        <v>1</v>
      </c>
      <c r="P775" s="54" t="s">
        <v>1144</v>
      </c>
      <c r="Q775" s="54" t="s">
        <v>1145</v>
      </c>
      <c r="R775" s="54" t="s">
        <v>376</v>
      </c>
      <c r="S775" s="46"/>
      <c r="T775" s="46"/>
      <c r="U775" s="46"/>
      <c r="V775" s="46"/>
      <c r="W775" s="46"/>
      <c r="X775" s="46"/>
      <c r="Y775" s="46"/>
      <c r="Z775" s="46"/>
      <c r="AA775" s="46"/>
      <c r="AB775" s="46"/>
      <c r="AC775" s="46"/>
      <c r="AD775" s="46" t="s">
        <v>1037</v>
      </c>
      <c r="AE775" s="50">
        <f>IF(L775="W",1,0)</f>
        <v>1</v>
      </c>
      <c r="AF775" s="50">
        <f>IF(L775="T",1,0)</f>
        <v>0</v>
      </c>
      <c r="AG775" s="50">
        <f>IF(L775="L",1,0)</f>
        <v>0</v>
      </c>
      <c r="AH775" s="46" t="s">
        <v>1017</v>
      </c>
      <c r="AI775" s="46" t="s">
        <v>1018</v>
      </c>
      <c r="AJ775" s="46" t="s">
        <v>376</v>
      </c>
      <c r="AK775" s="46" t="s">
        <v>658</v>
      </c>
      <c r="AL775" s="46" t="s">
        <v>1145</v>
      </c>
      <c r="AM775" s="46" t="s">
        <v>1206</v>
      </c>
      <c r="AN775" s="46" t="s">
        <v>376</v>
      </c>
      <c r="AO775" s="46" t="s">
        <v>658</v>
      </c>
      <c r="AP775" s="46"/>
      <c r="AQ775" s="46">
        <v>2</v>
      </c>
      <c r="AR775" s="46"/>
      <c r="AS775" s="46"/>
      <c r="AT775" s="46"/>
      <c r="AU775" s="46" t="s">
        <v>376</v>
      </c>
      <c r="AV775" s="46"/>
      <c r="AW775" s="46" t="s">
        <v>30</v>
      </c>
      <c r="AX775" s="46"/>
      <c r="AY775" s="46"/>
      <c r="AZ775" s="46" t="s">
        <v>30</v>
      </c>
      <c r="BA775" s="54"/>
      <c r="BB775" s="51"/>
      <c r="BC775" s="46"/>
      <c r="BD775" s="46"/>
      <c r="BE775" s="46"/>
      <c r="BF775" s="46">
        <v>1</v>
      </c>
      <c r="BG775" s="46">
        <v>1</v>
      </c>
      <c r="BH775" s="46">
        <v>1</v>
      </c>
      <c r="BI775" s="46" t="s">
        <v>803</v>
      </c>
      <c r="BJ775" s="46" t="s">
        <v>1205</v>
      </c>
      <c r="BK775" s="46">
        <v>1972</v>
      </c>
      <c r="BL775" s="46" t="str">
        <f>BK775&amp;BI775</f>
        <v>1972West Ham United</v>
      </c>
      <c r="BM775" s="52" t="str">
        <f>IF(AD775="Home",BI775,IF(AD775="Away",BJ775,Q775))</f>
        <v>Stoke City</v>
      </c>
      <c r="BN775" s="46"/>
      <c r="BO775" s="46"/>
      <c r="BP775" s="46"/>
      <c r="BQ775" s="46"/>
      <c r="BR775" s="46"/>
      <c r="BS775" s="46"/>
      <c r="BT775" s="46"/>
      <c r="BU775" s="46"/>
      <c r="BV775" s="46" t="s">
        <v>376</v>
      </c>
      <c r="BW775" s="46" t="s">
        <v>376</v>
      </c>
      <c r="BX775" s="46"/>
      <c r="BY775" s="50"/>
      <c r="BZ775" s="53"/>
      <c r="CA775" s="53"/>
      <c r="CB775" s="93" t="str">
        <f>IF(OR(C775="",A775="",B775=""),"",TEXT(C775,"0000")&amp;TEXT(A775,"00")&amp;TEXT(B775,"00"))</f>
        <v>19711208</v>
      </c>
    </row>
    <row r="776" spans="1:80" s="52" customFormat="1" ht="12.95" customHeight="1" x14ac:dyDescent="0.2">
      <c r="A776" s="46">
        <v>12</v>
      </c>
      <c r="B776" s="46">
        <v>15</v>
      </c>
      <c r="C776" s="46">
        <v>1971</v>
      </c>
      <c r="D776" s="46" t="s">
        <v>658</v>
      </c>
      <c r="E776" s="46" t="s">
        <v>557</v>
      </c>
      <c r="F776" s="54" t="s">
        <v>1327</v>
      </c>
      <c r="G776" s="46"/>
      <c r="H776" s="54" t="s">
        <v>1011</v>
      </c>
      <c r="I776" s="54">
        <v>2</v>
      </c>
      <c r="J776" s="55">
        <v>26282</v>
      </c>
      <c r="K776" s="46" t="s">
        <v>803</v>
      </c>
      <c r="L776" s="46" t="s">
        <v>4</v>
      </c>
      <c r="M776" s="46" t="s">
        <v>1205</v>
      </c>
      <c r="N776" s="49">
        <v>0</v>
      </c>
      <c r="O776" s="49">
        <v>1</v>
      </c>
      <c r="P776" s="54" t="s">
        <v>1341</v>
      </c>
      <c r="Q776" s="54" t="s">
        <v>1017</v>
      </c>
      <c r="R776" s="54" t="s">
        <v>376</v>
      </c>
      <c r="S776" s="46" t="s">
        <v>1023</v>
      </c>
      <c r="T776" s="46"/>
      <c r="U776" s="46"/>
      <c r="V776" s="46"/>
      <c r="W776" s="46"/>
      <c r="X776" s="46"/>
      <c r="Y776" s="46"/>
      <c r="Z776" s="46"/>
      <c r="AA776" s="46"/>
      <c r="AB776" s="46"/>
      <c r="AC776" s="46"/>
      <c r="AD776" s="46" t="s">
        <v>1033</v>
      </c>
      <c r="AE776" s="50">
        <f>IF(L776="W",1,0)</f>
        <v>0</v>
      </c>
      <c r="AF776" s="50">
        <f>IF(L776="T",1,0)</f>
        <v>0</v>
      </c>
      <c r="AG776" s="50">
        <f>IF(L776="L",1,0)</f>
        <v>1</v>
      </c>
      <c r="AH776" s="46" t="s">
        <v>1017</v>
      </c>
      <c r="AI776" s="46" t="s">
        <v>1018</v>
      </c>
      <c r="AJ776" s="46" t="s">
        <v>376</v>
      </c>
      <c r="AK776" s="46" t="s">
        <v>658</v>
      </c>
      <c r="AL776" s="46" t="s">
        <v>1145</v>
      </c>
      <c r="AM776" s="46" t="s">
        <v>1206</v>
      </c>
      <c r="AN776" s="46" t="s">
        <v>376</v>
      </c>
      <c r="AO776" s="46" t="s">
        <v>658</v>
      </c>
      <c r="AP776" s="46"/>
      <c r="AQ776" s="46">
        <v>2</v>
      </c>
      <c r="AR776" s="46"/>
      <c r="AS776" s="46"/>
      <c r="AT776" s="46"/>
      <c r="AU776" s="46" t="s">
        <v>376</v>
      </c>
      <c r="AV776" s="46"/>
      <c r="AW776" s="46" t="s">
        <v>30</v>
      </c>
      <c r="AX776" s="46"/>
      <c r="AY776" s="46"/>
      <c r="AZ776" s="46" t="s">
        <v>30</v>
      </c>
      <c r="BA776" s="54"/>
      <c r="BB776" s="51"/>
      <c r="BC776" s="46"/>
      <c r="BD776" s="46"/>
      <c r="BE776" s="46"/>
      <c r="BF776" s="46">
        <v>1</v>
      </c>
      <c r="BG776" s="46">
        <v>1</v>
      </c>
      <c r="BH776" s="46">
        <v>1</v>
      </c>
      <c r="BI776" s="46" t="s">
        <v>803</v>
      </c>
      <c r="BJ776" s="46" t="s">
        <v>1205</v>
      </c>
      <c r="BK776" s="46">
        <v>1972</v>
      </c>
      <c r="BL776" s="46" t="str">
        <f>BK776&amp;BI776</f>
        <v>1972West Ham United</v>
      </c>
      <c r="BM776" s="52" t="str">
        <f>IF(AD776="Home",BI776,IF(AD776="Away",BJ776,Q776))</f>
        <v>West Ham United</v>
      </c>
      <c r="BN776" s="46"/>
      <c r="BO776" s="46"/>
      <c r="BP776" s="46"/>
      <c r="BQ776" s="46"/>
      <c r="BR776" s="46"/>
      <c r="BS776" s="46"/>
      <c r="BT776" s="46"/>
      <c r="BU776" s="46"/>
      <c r="BV776" s="46" t="s">
        <v>376</v>
      </c>
      <c r="BW776" s="46" t="s">
        <v>376</v>
      </c>
      <c r="BX776" s="46"/>
      <c r="BZ776" s="53"/>
      <c r="CA776" s="53"/>
      <c r="CB776" s="93" t="str">
        <f>IF(OR(C776="",A776="",B776=""),"",TEXT(C776,"0000")&amp;TEXT(A776,"00")&amp;TEXT(B776,"00"))</f>
        <v>19711215</v>
      </c>
    </row>
    <row r="777" spans="1:80" s="52" customFormat="1" ht="12.95" customHeight="1" x14ac:dyDescent="0.2">
      <c r="A777" s="46">
        <v>12</v>
      </c>
      <c r="B777" s="46">
        <v>15</v>
      </c>
      <c r="C777" s="46">
        <v>1971</v>
      </c>
      <c r="D777" s="46" t="s">
        <v>658</v>
      </c>
      <c r="E777" s="46" t="s">
        <v>557</v>
      </c>
      <c r="F777" s="54" t="s">
        <v>1327</v>
      </c>
      <c r="G777" s="46"/>
      <c r="H777" s="54" t="s">
        <v>1011</v>
      </c>
      <c r="I777" s="54">
        <v>2</v>
      </c>
      <c r="J777" s="55">
        <v>26282</v>
      </c>
      <c r="K777" s="46" t="s">
        <v>1205</v>
      </c>
      <c r="L777" s="46" t="s">
        <v>3</v>
      </c>
      <c r="M777" s="46" t="s">
        <v>803</v>
      </c>
      <c r="N777" s="49">
        <v>1</v>
      </c>
      <c r="O777" s="49">
        <v>0</v>
      </c>
      <c r="P777" s="54" t="s">
        <v>1341</v>
      </c>
      <c r="Q777" s="54" t="s">
        <v>1017</v>
      </c>
      <c r="R777" s="54" t="s">
        <v>376</v>
      </c>
      <c r="S777" s="46" t="s">
        <v>1023</v>
      </c>
      <c r="T777" s="46"/>
      <c r="U777" s="46"/>
      <c r="V777" s="46"/>
      <c r="W777" s="46"/>
      <c r="X777" s="46"/>
      <c r="Y777" s="46"/>
      <c r="Z777" s="46"/>
      <c r="AA777" s="46"/>
      <c r="AB777" s="46"/>
      <c r="AC777" s="46"/>
      <c r="AD777" s="46" t="s">
        <v>1037</v>
      </c>
      <c r="AE777" s="50">
        <f>IF(L777="W",1,0)</f>
        <v>1</v>
      </c>
      <c r="AF777" s="50">
        <f>IF(L777="T",1,0)</f>
        <v>0</v>
      </c>
      <c r="AG777" s="50">
        <f>IF(L777="L",1,0)</f>
        <v>0</v>
      </c>
      <c r="AH777" s="46" t="s">
        <v>1145</v>
      </c>
      <c r="AI777" s="46" t="s">
        <v>1206</v>
      </c>
      <c r="AJ777" s="46" t="s">
        <v>376</v>
      </c>
      <c r="AK777" s="46" t="s">
        <v>658</v>
      </c>
      <c r="AL777" s="46" t="s">
        <v>1017</v>
      </c>
      <c r="AM777" s="46" t="s">
        <v>1018</v>
      </c>
      <c r="AN777" s="46" t="s">
        <v>376</v>
      </c>
      <c r="AO777" s="46" t="s">
        <v>658</v>
      </c>
      <c r="AP777" s="46"/>
      <c r="AQ777" s="46">
        <v>2</v>
      </c>
      <c r="AR777" s="46"/>
      <c r="AS777" s="46"/>
      <c r="AT777" s="46"/>
      <c r="AU777" s="46" t="s">
        <v>376</v>
      </c>
      <c r="AV777" s="46"/>
      <c r="AW777" s="46" t="s">
        <v>30</v>
      </c>
      <c r="AX777" s="46"/>
      <c r="AY777" s="46"/>
      <c r="AZ777" s="46" t="s">
        <v>30</v>
      </c>
      <c r="BA777" s="54"/>
      <c r="BB777" s="51"/>
      <c r="BC777" s="46"/>
      <c r="BD777" s="46"/>
      <c r="BE777" s="46"/>
      <c r="BF777" s="46">
        <v>1</v>
      </c>
      <c r="BG777" s="46">
        <v>1</v>
      </c>
      <c r="BH777" s="46">
        <v>1</v>
      </c>
      <c r="BI777" s="46" t="s">
        <v>1205</v>
      </c>
      <c r="BJ777" s="46" t="s">
        <v>803</v>
      </c>
      <c r="BK777" s="46">
        <v>1972</v>
      </c>
      <c r="BL777" s="46" t="str">
        <f>BK777&amp;BI777</f>
        <v>1972Stoke City</v>
      </c>
      <c r="BM777" s="52" t="str">
        <f>IF(AD777="Home",BI777,IF(AD777="Away",BJ777,Q777))</f>
        <v>West Ham United</v>
      </c>
      <c r="BN777" s="46"/>
      <c r="BO777" s="46"/>
      <c r="BP777" s="46"/>
      <c r="BQ777" s="46"/>
      <c r="BR777" s="46"/>
      <c r="BS777" s="46"/>
      <c r="BT777" s="46"/>
      <c r="BU777" s="46"/>
      <c r="BV777" s="46" t="s">
        <v>376</v>
      </c>
      <c r="BW777" s="46" t="s">
        <v>376</v>
      </c>
      <c r="BX777" s="46"/>
      <c r="BZ777" s="53"/>
      <c r="CA777" s="53"/>
      <c r="CB777" s="93" t="str">
        <f>IF(OR(C777="",A777="",B777=""),"",TEXT(C777,"0000")&amp;TEXT(A777,"00")&amp;TEXT(B777,"00"))</f>
        <v>19711215</v>
      </c>
    </row>
    <row r="778" spans="1:80" s="52" customFormat="1" ht="12.95" customHeight="1" x14ac:dyDescent="0.2">
      <c r="A778" s="46">
        <v>12</v>
      </c>
      <c r="B778" s="46">
        <v>22</v>
      </c>
      <c r="C778" s="46">
        <v>1971</v>
      </c>
      <c r="D778" s="46" t="s">
        <v>658</v>
      </c>
      <c r="E778" s="46" t="s">
        <v>557</v>
      </c>
      <c r="F778" s="54" t="s">
        <v>1327</v>
      </c>
      <c r="G778" s="46"/>
      <c r="H778" s="54" t="s">
        <v>1011</v>
      </c>
      <c r="I778" s="54">
        <v>1</v>
      </c>
      <c r="J778" s="55">
        <v>26289</v>
      </c>
      <c r="K778" s="46" t="s">
        <v>816</v>
      </c>
      <c r="L778" s="46" t="s">
        <v>3</v>
      </c>
      <c r="M778" s="46" t="s">
        <v>813</v>
      </c>
      <c r="N778" s="49">
        <v>3</v>
      </c>
      <c r="O778" s="49">
        <v>2</v>
      </c>
      <c r="P778" s="54" t="s">
        <v>1234</v>
      </c>
      <c r="Q778" s="54" t="s">
        <v>1017</v>
      </c>
      <c r="R778" s="54" t="s">
        <v>376</v>
      </c>
      <c r="S778" s="46"/>
      <c r="T778" s="46"/>
      <c r="U778" s="46"/>
      <c r="V778" s="46"/>
      <c r="W778" s="46"/>
      <c r="X778" s="46"/>
      <c r="Y778" s="46"/>
      <c r="Z778" s="46"/>
      <c r="AA778" s="46"/>
      <c r="AB778" s="46"/>
      <c r="AC778" s="46"/>
      <c r="AD778" s="46" t="s">
        <v>1033</v>
      </c>
      <c r="AE778" s="50">
        <f>IF(L778="W",1,0)</f>
        <v>1</v>
      </c>
      <c r="AF778" s="50">
        <f>IF(L778="T",1,0)</f>
        <v>0</v>
      </c>
      <c r="AG778" s="50">
        <f>IF(L778="L",1,0)</f>
        <v>0</v>
      </c>
      <c r="AH778" s="46" t="s">
        <v>1017</v>
      </c>
      <c r="AI778" s="46" t="s">
        <v>1018</v>
      </c>
      <c r="AJ778" s="46" t="s">
        <v>376</v>
      </c>
      <c r="AK778" s="46" t="s">
        <v>658</v>
      </c>
      <c r="AL778" s="46" t="s">
        <v>1017</v>
      </c>
      <c r="AM778" s="46" t="s">
        <v>1018</v>
      </c>
      <c r="AN778" s="46" t="s">
        <v>376</v>
      </c>
      <c r="AO778" s="46" t="s">
        <v>658</v>
      </c>
      <c r="AP778" s="46"/>
      <c r="AQ778" s="46">
        <v>2</v>
      </c>
      <c r="AR778" s="46"/>
      <c r="AS778" s="46"/>
      <c r="AT778" s="46"/>
      <c r="AU778" s="46" t="s">
        <v>376</v>
      </c>
      <c r="AV778" s="46"/>
      <c r="AW778" s="46" t="s">
        <v>30</v>
      </c>
      <c r="AX778" s="46"/>
      <c r="AY778" s="46"/>
      <c r="AZ778" s="46" t="s">
        <v>30</v>
      </c>
      <c r="BA778" s="54"/>
      <c r="BB778" s="51"/>
      <c r="BC778" s="46"/>
      <c r="BD778" s="46"/>
      <c r="BE778" s="46"/>
      <c r="BF778" s="46">
        <v>1</v>
      </c>
      <c r="BG778" s="46">
        <v>1</v>
      </c>
      <c r="BH778" s="46">
        <v>1</v>
      </c>
      <c r="BI778" s="46" t="s">
        <v>816</v>
      </c>
      <c r="BJ778" s="46" t="s">
        <v>813</v>
      </c>
      <c r="BK778" s="46">
        <v>1972</v>
      </c>
      <c r="BL778" s="46" t="str">
        <f>BK778&amp;BI778</f>
        <v>1972Chelsea</v>
      </c>
      <c r="BM778" s="52" t="str">
        <f>IF(AD778="Home",BI778,IF(AD778="Away",BJ778,Q778))</f>
        <v>Chelsea</v>
      </c>
      <c r="BN778" s="46"/>
      <c r="BO778" s="46"/>
      <c r="BP778" s="46"/>
      <c r="BQ778" s="46"/>
      <c r="BR778" s="46"/>
      <c r="BS778" s="46"/>
      <c r="BT778" s="46"/>
      <c r="BU778" s="46"/>
      <c r="BV778" s="46" t="s">
        <v>376</v>
      </c>
      <c r="BW778" s="46" t="s">
        <v>376</v>
      </c>
      <c r="BX778" s="46"/>
      <c r="BZ778" s="53"/>
      <c r="CA778" s="53"/>
      <c r="CB778" s="93" t="str">
        <f>IF(OR(C778="",A778="",B778=""),"",TEXT(C778,"0000")&amp;TEXT(A778,"00")&amp;TEXT(B778,"00"))</f>
        <v>19711222</v>
      </c>
    </row>
    <row r="779" spans="1:80" s="52" customFormat="1" ht="12.95" customHeight="1" x14ac:dyDescent="0.2">
      <c r="A779" s="46">
        <v>12</v>
      </c>
      <c r="B779" s="46">
        <v>22</v>
      </c>
      <c r="C779" s="46">
        <v>1971</v>
      </c>
      <c r="D779" s="46" t="s">
        <v>658</v>
      </c>
      <c r="E779" s="46" t="s">
        <v>557</v>
      </c>
      <c r="F779" s="54" t="s">
        <v>1327</v>
      </c>
      <c r="G779" s="46"/>
      <c r="H779" s="54" t="s">
        <v>1011</v>
      </c>
      <c r="I779" s="54">
        <v>1</v>
      </c>
      <c r="J779" s="55">
        <v>26289</v>
      </c>
      <c r="K779" s="46" t="s">
        <v>813</v>
      </c>
      <c r="L779" s="46" t="s">
        <v>4</v>
      </c>
      <c r="M779" s="46" t="s">
        <v>816</v>
      </c>
      <c r="N779" s="49">
        <v>2</v>
      </c>
      <c r="O779" s="49">
        <v>3</v>
      </c>
      <c r="P779" s="54" t="s">
        <v>1234</v>
      </c>
      <c r="Q779" s="54" t="s">
        <v>1017</v>
      </c>
      <c r="R779" s="54" t="s">
        <v>376</v>
      </c>
      <c r="S779" s="46"/>
      <c r="T779" s="46"/>
      <c r="U779" s="46"/>
      <c r="V779" s="46"/>
      <c r="W779" s="46"/>
      <c r="X779" s="46"/>
      <c r="Y779" s="46"/>
      <c r="Z779" s="46"/>
      <c r="AA779" s="46"/>
      <c r="AB779" s="46"/>
      <c r="AC779" s="46"/>
      <c r="AD779" s="46" t="s">
        <v>1037</v>
      </c>
      <c r="AE779" s="50">
        <f>IF(L779="W",1,0)</f>
        <v>0</v>
      </c>
      <c r="AF779" s="50">
        <f>IF(L779="T",1,0)</f>
        <v>0</v>
      </c>
      <c r="AG779" s="50">
        <f>IF(L779="L",1,0)</f>
        <v>1</v>
      </c>
      <c r="AH779" s="46" t="s">
        <v>1017</v>
      </c>
      <c r="AI779" s="46" t="s">
        <v>1018</v>
      </c>
      <c r="AJ779" s="46" t="s">
        <v>376</v>
      </c>
      <c r="AK779" s="46" t="s">
        <v>658</v>
      </c>
      <c r="AL779" s="46" t="s">
        <v>1017</v>
      </c>
      <c r="AM779" s="46" t="s">
        <v>1018</v>
      </c>
      <c r="AN779" s="46" t="s">
        <v>376</v>
      </c>
      <c r="AO779" s="46" t="s">
        <v>658</v>
      </c>
      <c r="AP779" s="46"/>
      <c r="AQ779" s="46">
        <v>2</v>
      </c>
      <c r="AR779" s="46"/>
      <c r="AS779" s="46"/>
      <c r="AT779" s="46"/>
      <c r="AU779" s="46" t="s">
        <v>376</v>
      </c>
      <c r="AV779" s="46"/>
      <c r="AW779" s="46" t="s">
        <v>30</v>
      </c>
      <c r="AX779" s="46"/>
      <c r="AY779" s="46"/>
      <c r="AZ779" s="46" t="s">
        <v>30</v>
      </c>
      <c r="BA779" s="54"/>
      <c r="BB779" s="51"/>
      <c r="BC779" s="46"/>
      <c r="BD779" s="46"/>
      <c r="BE779" s="46"/>
      <c r="BF779" s="46">
        <v>1</v>
      </c>
      <c r="BG779" s="46">
        <v>1</v>
      </c>
      <c r="BH779" s="46">
        <v>1</v>
      </c>
      <c r="BI779" s="46" t="s">
        <v>813</v>
      </c>
      <c r="BJ779" s="46" t="s">
        <v>816</v>
      </c>
      <c r="BK779" s="46">
        <v>1972</v>
      </c>
      <c r="BL779" s="46" t="str">
        <f>BK779&amp;BI779</f>
        <v>1972Tottenham Hotspur</v>
      </c>
      <c r="BM779" s="52" t="str">
        <f>IF(AD779="Home",BI779,IF(AD779="Away",BJ779,Q779))</f>
        <v>Chelsea</v>
      </c>
      <c r="BN779" s="46"/>
      <c r="BO779" s="46"/>
      <c r="BP779" s="46"/>
      <c r="BQ779" s="46"/>
      <c r="BR779" s="46"/>
      <c r="BS779" s="46"/>
      <c r="BT779" s="46"/>
      <c r="BU779" s="46"/>
      <c r="BV779" s="46" t="s">
        <v>376</v>
      </c>
      <c r="BW779" s="46" t="s">
        <v>376</v>
      </c>
      <c r="BX779" s="46"/>
      <c r="BZ779" s="53"/>
      <c r="CA779" s="53"/>
      <c r="CB779" s="93" t="str">
        <f>IF(OR(C779="",A779="",B779=""),"",TEXT(C779,"0000")&amp;TEXT(A779,"00")&amp;TEXT(B779,"00"))</f>
        <v>19711222</v>
      </c>
    </row>
    <row r="780" spans="1:80" s="52" customFormat="1" ht="12.95" customHeight="1" x14ac:dyDescent="0.2">
      <c r="A780" s="46">
        <v>1</v>
      </c>
      <c r="B780" s="46">
        <v>5</v>
      </c>
      <c r="C780" s="46">
        <v>1972</v>
      </c>
      <c r="D780" s="46" t="s">
        <v>658</v>
      </c>
      <c r="E780" s="46" t="s">
        <v>557</v>
      </c>
      <c r="F780" s="54" t="s">
        <v>1327</v>
      </c>
      <c r="G780" s="46"/>
      <c r="H780" s="54" t="s">
        <v>1011</v>
      </c>
      <c r="I780" s="54" t="s">
        <v>1023</v>
      </c>
      <c r="J780" s="55">
        <v>26303</v>
      </c>
      <c r="K780" s="46" t="s">
        <v>1205</v>
      </c>
      <c r="L780" s="46" t="s">
        <v>1014</v>
      </c>
      <c r="M780" s="46" t="s">
        <v>803</v>
      </c>
      <c r="N780" s="49">
        <v>0</v>
      </c>
      <c r="O780" s="49">
        <v>0</v>
      </c>
      <c r="P780" s="54" t="s">
        <v>1144</v>
      </c>
      <c r="Q780" s="54" t="s">
        <v>1145</v>
      </c>
      <c r="R780" s="54" t="s">
        <v>376</v>
      </c>
      <c r="S780" s="46" t="s">
        <v>1023</v>
      </c>
      <c r="T780" s="46"/>
      <c r="U780" s="46"/>
      <c r="V780" s="46"/>
      <c r="W780" s="46"/>
      <c r="X780" s="46"/>
      <c r="Y780" s="46"/>
      <c r="Z780" s="46"/>
      <c r="AA780" s="46"/>
      <c r="AB780" s="46"/>
      <c r="AC780" s="46"/>
      <c r="AD780" s="46" t="s">
        <v>1033</v>
      </c>
      <c r="AE780" s="50">
        <f>IF(L780="W",1,0)</f>
        <v>0</v>
      </c>
      <c r="AF780" s="50">
        <f>IF(L780="T",1,0)</f>
        <v>1</v>
      </c>
      <c r="AG780" s="50">
        <f>IF(L780="L",1,0)</f>
        <v>0</v>
      </c>
      <c r="AH780" s="46" t="s">
        <v>1145</v>
      </c>
      <c r="AI780" s="46" t="s">
        <v>1206</v>
      </c>
      <c r="AJ780" s="46" t="s">
        <v>376</v>
      </c>
      <c r="AK780" s="46" t="s">
        <v>658</v>
      </c>
      <c r="AL780" s="46" t="s">
        <v>1017</v>
      </c>
      <c r="AM780" s="46" t="s">
        <v>1018</v>
      </c>
      <c r="AN780" s="46" t="s">
        <v>376</v>
      </c>
      <c r="AO780" s="46" t="s">
        <v>658</v>
      </c>
      <c r="AP780" s="46"/>
      <c r="AQ780" s="46">
        <v>2</v>
      </c>
      <c r="AR780" s="46"/>
      <c r="AS780" s="46"/>
      <c r="AT780" s="46"/>
      <c r="AU780" s="46" t="s">
        <v>376</v>
      </c>
      <c r="AV780" s="46"/>
      <c r="AW780" s="46" t="s">
        <v>30</v>
      </c>
      <c r="AX780" s="46"/>
      <c r="AY780" s="46"/>
      <c r="AZ780" s="46" t="s">
        <v>30</v>
      </c>
      <c r="BA780" s="54"/>
      <c r="BB780" s="51"/>
      <c r="BC780" s="46"/>
      <c r="BD780" s="46"/>
      <c r="BE780" s="46"/>
      <c r="BF780" s="46">
        <v>1</v>
      </c>
      <c r="BG780" s="46">
        <v>1</v>
      </c>
      <c r="BH780" s="46">
        <v>1</v>
      </c>
      <c r="BI780" s="46" t="s">
        <v>1205</v>
      </c>
      <c r="BJ780" s="46" t="s">
        <v>803</v>
      </c>
      <c r="BK780" s="46">
        <v>1972</v>
      </c>
      <c r="BL780" s="46" t="str">
        <f>BK780&amp;BI780</f>
        <v>1972Stoke City</v>
      </c>
      <c r="BM780" s="52" t="str">
        <f>IF(AD780="Home",BI780,IF(AD780="Away",BJ780,Q780))</f>
        <v>Stoke City</v>
      </c>
      <c r="BN780" s="46"/>
      <c r="BO780" s="46"/>
      <c r="BP780" s="46"/>
      <c r="BQ780" s="46"/>
      <c r="BR780" s="46"/>
      <c r="BS780" s="46"/>
      <c r="BT780" s="46"/>
      <c r="BU780" s="46"/>
      <c r="BV780" s="46" t="s">
        <v>376</v>
      </c>
      <c r="BW780" s="46" t="s">
        <v>376</v>
      </c>
      <c r="BX780" s="46"/>
      <c r="BY780" s="50"/>
      <c r="BZ780" s="53"/>
      <c r="CA780" s="53"/>
      <c r="CB780" s="93" t="str">
        <f>IF(OR(C780="",A780="",B780=""),"",TEXT(C780,"0000")&amp;TEXT(A780,"00")&amp;TEXT(B780,"00"))</f>
        <v>19720105</v>
      </c>
    </row>
    <row r="781" spans="1:80" s="52" customFormat="1" ht="12.95" customHeight="1" x14ac:dyDescent="0.2">
      <c r="A781" s="46">
        <v>1</v>
      </c>
      <c r="B781" s="46">
        <v>5</v>
      </c>
      <c r="C781" s="46">
        <v>1972</v>
      </c>
      <c r="D781" s="46" t="s">
        <v>658</v>
      </c>
      <c r="E781" s="46" t="s">
        <v>557</v>
      </c>
      <c r="F781" s="54" t="s">
        <v>1327</v>
      </c>
      <c r="G781" s="46"/>
      <c r="H781" s="54" t="s">
        <v>1011</v>
      </c>
      <c r="I781" s="54" t="s">
        <v>1023</v>
      </c>
      <c r="J781" s="55">
        <v>26303</v>
      </c>
      <c r="K781" s="46" t="s">
        <v>803</v>
      </c>
      <c r="L781" s="46" t="s">
        <v>1014</v>
      </c>
      <c r="M781" s="46" t="s">
        <v>1205</v>
      </c>
      <c r="N781" s="49">
        <v>0</v>
      </c>
      <c r="O781" s="49">
        <v>0</v>
      </c>
      <c r="P781" s="54" t="s">
        <v>1144</v>
      </c>
      <c r="Q781" s="54" t="s">
        <v>1145</v>
      </c>
      <c r="R781" s="54" t="s">
        <v>376</v>
      </c>
      <c r="S781" s="46" t="s">
        <v>1023</v>
      </c>
      <c r="T781" s="46"/>
      <c r="U781" s="46"/>
      <c r="V781" s="46"/>
      <c r="W781" s="46"/>
      <c r="X781" s="46"/>
      <c r="Y781" s="46"/>
      <c r="Z781" s="46"/>
      <c r="AA781" s="46"/>
      <c r="AB781" s="46"/>
      <c r="AC781" s="46"/>
      <c r="AD781" s="46" t="s">
        <v>1037</v>
      </c>
      <c r="AE781" s="50">
        <f>IF(L781="W",1,0)</f>
        <v>0</v>
      </c>
      <c r="AF781" s="50">
        <f>IF(L781="T",1,0)</f>
        <v>1</v>
      </c>
      <c r="AG781" s="50">
        <f>IF(L781="L",1,0)</f>
        <v>0</v>
      </c>
      <c r="AH781" s="46" t="s">
        <v>1017</v>
      </c>
      <c r="AI781" s="46" t="s">
        <v>1018</v>
      </c>
      <c r="AJ781" s="46" t="s">
        <v>376</v>
      </c>
      <c r="AK781" s="46" t="s">
        <v>658</v>
      </c>
      <c r="AL781" s="46" t="s">
        <v>1145</v>
      </c>
      <c r="AM781" s="46" t="s">
        <v>1206</v>
      </c>
      <c r="AN781" s="46" t="s">
        <v>376</v>
      </c>
      <c r="AO781" s="46" t="s">
        <v>658</v>
      </c>
      <c r="AP781" s="46"/>
      <c r="AQ781" s="46">
        <v>2</v>
      </c>
      <c r="AR781" s="46"/>
      <c r="AS781" s="46"/>
      <c r="AT781" s="46"/>
      <c r="AU781" s="46" t="s">
        <v>376</v>
      </c>
      <c r="AV781" s="46"/>
      <c r="AW781" s="46" t="s">
        <v>30</v>
      </c>
      <c r="AX781" s="46"/>
      <c r="AY781" s="46"/>
      <c r="AZ781" s="46" t="s">
        <v>30</v>
      </c>
      <c r="BA781" s="54"/>
      <c r="BB781" s="51"/>
      <c r="BC781" s="46"/>
      <c r="BD781" s="46"/>
      <c r="BE781" s="46"/>
      <c r="BF781" s="46">
        <v>1</v>
      </c>
      <c r="BG781" s="46">
        <v>1</v>
      </c>
      <c r="BH781" s="46">
        <v>1</v>
      </c>
      <c r="BI781" s="46" t="s">
        <v>803</v>
      </c>
      <c r="BJ781" s="46" t="s">
        <v>1205</v>
      </c>
      <c r="BK781" s="46">
        <v>1972</v>
      </c>
      <c r="BL781" s="46" t="str">
        <f>BK781&amp;BI781</f>
        <v>1972West Ham United</v>
      </c>
      <c r="BM781" s="52" t="str">
        <f>IF(AD781="Home",BI781,IF(AD781="Away",BJ781,Q781))</f>
        <v>Stoke City</v>
      </c>
      <c r="BN781" s="46"/>
      <c r="BO781" s="46"/>
      <c r="BP781" s="46"/>
      <c r="BQ781" s="46"/>
      <c r="BR781" s="46"/>
      <c r="BS781" s="46"/>
      <c r="BT781" s="46"/>
      <c r="BU781" s="46"/>
      <c r="BV781" s="46" t="s">
        <v>376</v>
      </c>
      <c r="BW781" s="46" t="s">
        <v>376</v>
      </c>
      <c r="BX781" s="46"/>
      <c r="BY781" s="50"/>
      <c r="BZ781" s="53"/>
      <c r="CA781" s="53"/>
      <c r="CB781" s="93" t="str">
        <f>IF(OR(C781="",A781="",B781=""),"",TEXT(C781,"0000")&amp;TEXT(A781,"00")&amp;TEXT(B781,"00"))</f>
        <v>19720105</v>
      </c>
    </row>
    <row r="782" spans="1:80" s="52" customFormat="1" ht="12.95" customHeight="1" x14ac:dyDescent="0.2">
      <c r="A782" s="46">
        <v>1</v>
      </c>
      <c r="B782" s="46">
        <v>5</v>
      </c>
      <c r="C782" s="46">
        <v>1972</v>
      </c>
      <c r="D782" s="46" t="s">
        <v>658</v>
      </c>
      <c r="E782" s="46" t="s">
        <v>557</v>
      </c>
      <c r="F782" s="54" t="s">
        <v>1327</v>
      </c>
      <c r="G782" s="46"/>
      <c r="H782" s="54" t="s">
        <v>1011</v>
      </c>
      <c r="I782" s="54">
        <v>2</v>
      </c>
      <c r="J782" s="55">
        <v>26303</v>
      </c>
      <c r="K782" s="46" t="s">
        <v>813</v>
      </c>
      <c r="L782" s="46" t="s">
        <v>1014</v>
      </c>
      <c r="M782" s="46" t="s">
        <v>816</v>
      </c>
      <c r="N782" s="49">
        <v>2</v>
      </c>
      <c r="O782" s="49">
        <v>2</v>
      </c>
      <c r="P782" s="54" t="s">
        <v>1222</v>
      </c>
      <c r="Q782" s="54" t="s">
        <v>1017</v>
      </c>
      <c r="R782" s="54" t="s">
        <v>376</v>
      </c>
      <c r="S782" s="46"/>
      <c r="T782" s="46"/>
      <c r="U782" s="46"/>
      <c r="V782" s="46"/>
      <c r="W782" s="46"/>
      <c r="X782" s="46"/>
      <c r="Y782" s="46"/>
      <c r="Z782" s="46"/>
      <c r="AA782" s="46"/>
      <c r="AB782" s="46"/>
      <c r="AC782" s="46"/>
      <c r="AD782" s="46" t="s">
        <v>1033</v>
      </c>
      <c r="AE782" s="50">
        <f>IF(L782="W",1,0)</f>
        <v>0</v>
      </c>
      <c r="AF782" s="50">
        <f>IF(L782="T",1,0)</f>
        <v>1</v>
      </c>
      <c r="AG782" s="50">
        <f>IF(L782="L",1,0)</f>
        <v>0</v>
      </c>
      <c r="AH782" s="46" t="s">
        <v>1017</v>
      </c>
      <c r="AI782" s="46" t="s">
        <v>1018</v>
      </c>
      <c r="AJ782" s="46" t="s">
        <v>376</v>
      </c>
      <c r="AK782" s="46" t="s">
        <v>658</v>
      </c>
      <c r="AL782" s="46" t="s">
        <v>1017</v>
      </c>
      <c r="AM782" s="46" t="s">
        <v>1018</v>
      </c>
      <c r="AN782" s="46" t="s">
        <v>376</v>
      </c>
      <c r="AO782" s="46" t="s">
        <v>658</v>
      </c>
      <c r="AP782" s="46"/>
      <c r="AQ782" s="46">
        <v>2</v>
      </c>
      <c r="AR782" s="46"/>
      <c r="AS782" s="46"/>
      <c r="AT782" s="46"/>
      <c r="AU782" s="46" t="s">
        <v>376</v>
      </c>
      <c r="AV782" s="46"/>
      <c r="AW782" s="46" t="s">
        <v>30</v>
      </c>
      <c r="AX782" s="46"/>
      <c r="AY782" s="46"/>
      <c r="AZ782" s="46" t="s">
        <v>30</v>
      </c>
      <c r="BA782" s="54"/>
      <c r="BB782" s="51"/>
      <c r="BC782" s="46"/>
      <c r="BD782" s="46"/>
      <c r="BE782" s="46"/>
      <c r="BF782" s="46">
        <v>1</v>
      </c>
      <c r="BG782" s="46">
        <v>1</v>
      </c>
      <c r="BH782" s="46">
        <v>1</v>
      </c>
      <c r="BI782" s="46" t="s">
        <v>813</v>
      </c>
      <c r="BJ782" s="46" t="s">
        <v>816</v>
      </c>
      <c r="BK782" s="46">
        <v>1972</v>
      </c>
      <c r="BL782" s="46" t="str">
        <f>BK782&amp;BI782</f>
        <v>1972Tottenham Hotspur</v>
      </c>
      <c r="BM782" s="52" t="str">
        <f>IF(AD782="Home",BI782,IF(AD782="Away",BJ782,Q782))</f>
        <v>Tottenham Hotspur</v>
      </c>
      <c r="BN782" s="46"/>
      <c r="BO782" s="46"/>
      <c r="BP782" s="46"/>
      <c r="BQ782" s="46"/>
      <c r="BR782" s="46"/>
      <c r="BS782" s="46"/>
      <c r="BT782" s="46"/>
      <c r="BU782" s="46"/>
      <c r="BV782" s="46" t="s">
        <v>376</v>
      </c>
      <c r="BW782" s="46" t="s">
        <v>376</v>
      </c>
      <c r="BX782" s="46"/>
      <c r="BZ782" s="53"/>
      <c r="CA782" s="53"/>
      <c r="CB782" s="93" t="str">
        <f>IF(OR(C782="",A782="",B782=""),"",TEXT(C782,"0000")&amp;TEXT(A782,"00")&amp;TEXT(B782,"00"))</f>
        <v>19720105</v>
      </c>
    </row>
    <row r="783" spans="1:80" s="52" customFormat="1" ht="12.95" customHeight="1" x14ac:dyDescent="0.2">
      <c r="A783" s="46">
        <v>1</v>
      </c>
      <c r="B783" s="46">
        <v>5</v>
      </c>
      <c r="C783" s="46">
        <v>1972</v>
      </c>
      <c r="D783" s="46" t="s">
        <v>658</v>
      </c>
      <c r="E783" s="46" t="s">
        <v>557</v>
      </c>
      <c r="F783" s="54" t="s">
        <v>1327</v>
      </c>
      <c r="G783" s="46"/>
      <c r="H783" s="54" t="s">
        <v>1011</v>
      </c>
      <c r="I783" s="54">
        <v>2</v>
      </c>
      <c r="J783" s="55">
        <v>26303</v>
      </c>
      <c r="K783" s="46" t="s">
        <v>816</v>
      </c>
      <c r="L783" s="46" t="s">
        <v>1014</v>
      </c>
      <c r="M783" s="46" t="s">
        <v>813</v>
      </c>
      <c r="N783" s="49">
        <v>2</v>
      </c>
      <c r="O783" s="49">
        <v>2</v>
      </c>
      <c r="P783" s="54" t="s">
        <v>1222</v>
      </c>
      <c r="Q783" s="54" t="s">
        <v>1017</v>
      </c>
      <c r="R783" s="54" t="s">
        <v>376</v>
      </c>
      <c r="S783" s="46"/>
      <c r="T783" s="46"/>
      <c r="U783" s="46"/>
      <c r="V783" s="46"/>
      <c r="W783" s="46"/>
      <c r="X783" s="46"/>
      <c r="Y783" s="46"/>
      <c r="Z783" s="46"/>
      <c r="AA783" s="46"/>
      <c r="AB783" s="46"/>
      <c r="AC783" s="46"/>
      <c r="AD783" s="46" t="s">
        <v>1037</v>
      </c>
      <c r="AE783" s="50">
        <f>IF(L783="W",1,0)</f>
        <v>0</v>
      </c>
      <c r="AF783" s="50">
        <f>IF(L783="T",1,0)</f>
        <v>1</v>
      </c>
      <c r="AG783" s="50">
        <f>IF(L783="L",1,0)</f>
        <v>0</v>
      </c>
      <c r="AH783" s="46" t="s">
        <v>1017</v>
      </c>
      <c r="AI783" s="46" t="s">
        <v>1018</v>
      </c>
      <c r="AJ783" s="46" t="s">
        <v>376</v>
      </c>
      <c r="AK783" s="46" t="s">
        <v>658</v>
      </c>
      <c r="AL783" s="46" t="s">
        <v>1017</v>
      </c>
      <c r="AM783" s="46" t="s">
        <v>1018</v>
      </c>
      <c r="AN783" s="46" t="s">
        <v>376</v>
      </c>
      <c r="AO783" s="46" t="s">
        <v>658</v>
      </c>
      <c r="AP783" s="46"/>
      <c r="AQ783" s="46">
        <v>2</v>
      </c>
      <c r="AR783" s="46"/>
      <c r="AS783" s="46"/>
      <c r="AT783" s="46"/>
      <c r="AU783" s="46" t="s">
        <v>376</v>
      </c>
      <c r="AV783" s="46"/>
      <c r="AW783" s="46" t="s">
        <v>30</v>
      </c>
      <c r="AX783" s="46"/>
      <c r="AY783" s="46"/>
      <c r="AZ783" s="46" t="s">
        <v>30</v>
      </c>
      <c r="BA783" s="54"/>
      <c r="BB783" s="51"/>
      <c r="BC783" s="46"/>
      <c r="BD783" s="46"/>
      <c r="BE783" s="46"/>
      <c r="BF783" s="46">
        <v>1</v>
      </c>
      <c r="BG783" s="46">
        <v>1</v>
      </c>
      <c r="BH783" s="46">
        <v>1</v>
      </c>
      <c r="BI783" s="46" t="s">
        <v>816</v>
      </c>
      <c r="BJ783" s="46" t="s">
        <v>813</v>
      </c>
      <c r="BK783" s="46">
        <v>1972</v>
      </c>
      <c r="BL783" s="46" t="str">
        <f>BK783&amp;BI783</f>
        <v>1972Chelsea</v>
      </c>
      <c r="BM783" s="52" t="str">
        <f>IF(AD783="Home",BI783,IF(AD783="Away",BJ783,Q783))</f>
        <v>Tottenham Hotspur</v>
      </c>
      <c r="BN783" s="46"/>
      <c r="BO783" s="46"/>
      <c r="BP783" s="46"/>
      <c r="BQ783" s="46"/>
      <c r="BR783" s="46"/>
      <c r="BS783" s="46"/>
      <c r="BT783" s="46"/>
      <c r="BU783" s="46"/>
      <c r="BV783" s="46" t="s">
        <v>376</v>
      </c>
      <c r="BW783" s="46" t="s">
        <v>376</v>
      </c>
      <c r="BX783" s="46"/>
      <c r="BZ783" s="53"/>
      <c r="CA783" s="53"/>
      <c r="CB783" s="93" t="str">
        <f>IF(OR(C783="",A783="",B783=""),"",TEXT(C783,"0000")&amp;TEXT(A783,"00")&amp;TEXT(B783,"00"))</f>
        <v>19720105</v>
      </c>
    </row>
    <row r="784" spans="1:80" s="52" customFormat="1" ht="12.95" customHeight="1" x14ac:dyDescent="0.2">
      <c r="A784" s="46">
        <v>1</v>
      </c>
      <c r="B784" s="46">
        <v>26</v>
      </c>
      <c r="C784" s="46">
        <v>1972</v>
      </c>
      <c r="D784" s="46" t="s">
        <v>658</v>
      </c>
      <c r="E784" s="46" t="s">
        <v>557</v>
      </c>
      <c r="F784" s="54" t="s">
        <v>1327</v>
      </c>
      <c r="G784" s="46"/>
      <c r="H784" s="54" t="s">
        <v>1011</v>
      </c>
      <c r="I784" s="54" t="s">
        <v>1170</v>
      </c>
      <c r="J784" s="55">
        <v>26324</v>
      </c>
      <c r="K784" s="46" t="s">
        <v>1205</v>
      </c>
      <c r="L784" s="46" t="s">
        <v>3</v>
      </c>
      <c r="M784" s="46" t="s">
        <v>803</v>
      </c>
      <c r="N784" s="49">
        <v>3</v>
      </c>
      <c r="O784" s="49">
        <v>2</v>
      </c>
      <c r="P784" s="54" t="s">
        <v>1144</v>
      </c>
      <c r="Q784" s="54" t="s">
        <v>1145</v>
      </c>
      <c r="R784" s="54" t="s">
        <v>376</v>
      </c>
      <c r="S784" s="46"/>
      <c r="T784" s="46"/>
      <c r="U784" s="46"/>
      <c r="V784" s="46"/>
      <c r="W784" s="46"/>
      <c r="X784" s="46"/>
      <c r="Y784" s="46"/>
      <c r="Z784" s="46"/>
      <c r="AA784" s="46"/>
      <c r="AB784" s="46"/>
      <c r="AC784" s="46"/>
      <c r="AD784" s="46" t="s">
        <v>1033</v>
      </c>
      <c r="AE784" s="50">
        <f>IF(L784="W",1,0)</f>
        <v>1</v>
      </c>
      <c r="AF784" s="50">
        <f>IF(L784="T",1,0)</f>
        <v>0</v>
      </c>
      <c r="AG784" s="50">
        <f>IF(L784="L",1,0)</f>
        <v>0</v>
      </c>
      <c r="AH784" s="46" t="s">
        <v>1145</v>
      </c>
      <c r="AI784" s="46" t="s">
        <v>1206</v>
      </c>
      <c r="AJ784" s="46" t="s">
        <v>376</v>
      </c>
      <c r="AK784" s="46" t="s">
        <v>658</v>
      </c>
      <c r="AL784" s="46" t="s">
        <v>1017</v>
      </c>
      <c r="AM784" s="46" t="s">
        <v>1018</v>
      </c>
      <c r="AN784" s="46" t="s">
        <v>376</v>
      </c>
      <c r="AO784" s="46" t="s">
        <v>658</v>
      </c>
      <c r="AP784" s="46"/>
      <c r="AQ784" s="46">
        <v>2</v>
      </c>
      <c r="AR784" s="46"/>
      <c r="AS784" s="46"/>
      <c r="AT784" s="46"/>
      <c r="AU784" s="46" t="s">
        <v>376</v>
      </c>
      <c r="AV784" s="46"/>
      <c r="AW784" s="46" t="s">
        <v>30</v>
      </c>
      <c r="AX784" s="46"/>
      <c r="AY784" s="46"/>
      <c r="AZ784" s="46" t="s">
        <v>30</v>
      </c>
      <c r="BA784" s="54"/>
      <c r="BB784" s="51"/>
      <c r="BC784" s="46"/>
      <c r="BD784" s="46"/>
      <c r="BE784" s="46"/>
      <c r="BF784" s="46">
        <v>1</v>
      </c>
      <c r="BG784" s="46">
        <v>1</v>
      </c>
      <c r="BH784" s="46">
        <v>1</v>
      </c>
      <c r="BI784" s="46" t="s">
        <v>1205</v>
      </c>
      <c r="BJ784" s="46" t="s">
        <v>803</v>
      </c>
      <c r="BK784" s="46">
        <v>1972</v>
      </c>
      <c r="BL784" s="46" t="str">
        <f>BK784&amp;BI784</f>
        <v>1972Stoke City</v>
      </c>
      <c r="BM784" s="52" t="str">
        <f>IF(AD784="Home",BI784,IF(AD784="Away",BJ784,Q784))</f>
        <v>Stoke City</v>
      </c>
      <c r="BN784" s="46"/>
      <c r="BO784" s="46"/>
      <c r="BP784" s="46"/>
      <c r="BQ784" s="46"/>
      <c r="BR784" s="46"/>
      <c r="BS784" s="46"/>
      <c r="BT784" s="46"/>
      <c r="BU784" s="46"/>
      <c r="BV784" s="46" t="s">
        <v>376</v>
      </c>
      <c r="BW784" s="46" t="s">
        <v>376</v>
      </c>
      <c r="BX784" s="46"/>
      <c r="BY784" s="50"/>
      <c r="BZ784" s="53"/>
      <c r="CA784" s="53"/>
      <c r="CB784" s="93" t="str">
        <f>IF(OR(C784="",A784="",B784=""),"",TEXT(C784,"0000")&amp;TEXT(A784,"00")&amp;TEXT(B784,"00"))</f>
        <v>19720126</v>
      </c>
    </row>
    <row r="785" spans="1:80" s="52" customFormat="1" ht="12.95" customHeight="1" x14ac:dyDescent="0.2">
      <c r="A785" s="46">
        <v>1</v>
      </c>
      <c r="B785" s="46">
        <v>26</v>
      </c>
      <c r="C785" s="46">
        <v>1972</v>
      </c>
      <c r="D785" s="46" t="s">
        <v>658</v>
      </c>
      <c r="E785" s="46" t="s">
        <v>557</v>
      </c>
      <c r="F785" s="54" t="s">
        <v>1327</v>
      </c>
      <c r="G785" s="46"/>
      <c r="H785" s="54" t="s">
        <v>1011</v>
      </c>
      <c r="I785" s="54" t="s">
        <v>1170</v>
      </c>
      <c r="J785" s="55">
        <v>26324</v>
      </c>
      <c r="K785" s="46" t="s">
        <v>803</v>
      </c>
      <c r="L785" s="46" t="s">
        <v>4</v>
      </c>
      <c r="M785" s="46" t="s">
        <v>1205</v>
      </c>
      <c r="N785" s="49">
        <v>2</v>
      </c>
      <c r="O785" s="49">
        <v>3</v>
      </c>
      <c r="P785" s="54" t="s">
        <v>1144</v>
      </c>
      <c r="Q785" s="54" t="s">
        <v>1145</v>
      </c>
      <c r="R785" s="54" t="s">
        <v>376</v>
      </c>
      <c r="S785" s="46"/>
      <c r="T785" s="46"/>
      <c r="U785" s="46"/>
      <c r="V785" s="46"/>
      <c r="W785" s="46"/>
      <c r="X785" s="46"/>
      <c r="Y785" s="46"/>
      <c r="Z785" s="46"/>
      <c r="AA785" s="46"/>
      <c r="AB785" s="46"/>
      <c r="AC785" s="46"/>
      <c r="AD785" s="46" t="s">
        <v>1037</v>
      </c>
      <c r="AE785" s="50">
        <f>IF(L785="W",1,0)</f>
        <v>0</v>
      </c>
      <c r="AF785" s="50">
        <f>IF(L785="T",1,0)</f>
        <v>0</v>
      </c>
      <c r="AG785" s="50">
        <f>IF(L785="L",1,0)</f>
        <v>1</v>
      </c>
      <c r="AH785" s="46" t="s">
        <v>1017</v>
      </c>
      <c r="AI785" s="46" t="s">
        <v>1018</v>
      </c>
      <c r="AJ785" s="46" t="s">
        <v>376</v>
      </c>
      <c r="AK785" s="46" t="s">
        <v>658</v>
      </c>
      <c r="AL785" s="46" t="s">
        <v>1145</v>
      </c>
      <c r="AM785" s="46" t="s">
        <v>1206</v>
      </c>
      <c r="AN785" s="46" t="s">
        <v>376</v>
      </c>
      <c r="AO785" s="46" t="s">
        <v>658</v>
      </c>
      <c r="AP785" s="46"/>
      <c r="AQ785" s="46">
        <v>2</v>
      </c>
      <c r="AR785" s="46"/>
      <c r="AS785" s="46"/>
      <c r="AT785" s="46"/>
      <c r="AU785" s="46" t="s">
        <v>376</v>
      </c>
      <c r="AV785" s="46"/>
      <c r="AW785" s="46" t="s">
        <v>30</v>
      </c>
      <c r="AX785" s="46"/>
      <c r="AY785" s="46"/>
      <c r="AZ785" s="46" t="s">
        <v>30</v>
      </c>
      <c r="BA785" s="54"/>
      <c r="BB785" s="51"/>
      <c r="BC785" s="46"/>
      <c r="BD785" s="46"/>
      <c r="BE785" s="46"/>
      <c r="BF785" s="46">
        <v>1</v>
      </c>
      <c r="BG785" s="46">
        <v>1</v>
      </c>
      <c r="BH785" s="46">
        <v>1</v>
      </c>
      <c r="BI785" s="46" t="s">
        <v>803</v>
      </c>
      <c r="BJ785" s="46" t="s">
        <v>1205</v>
      </c>
      <c r="BK785" s="46">
        <v>1972</v>
      </c>
      <c r="BL785" s="46" t="str">
        <f>BK785&amp;BI785</f>
        <v>1972West Ham United</v>
      </c>
      <c r="BM785" s="52" t="str">
        <f>IF(AD785="Home",BI785,IF(AD785="Away",BJ785,Q785))</f>
        <v>Stoke City</v>
      </c>
      <c r="BN785" s="46"/>
      <c r="BO785" s="46"/>
      <c r="BP785" s="46"/>
      <c r="BQ785" s="46"/>
      <c r="BR785" s="46"/>
      <c r="BS785" s="46"/>
      <c r="BT785" s="46"/>
      <c r="BU785" s="46"/>
      <c r="BV785" s="46" t="s">
        <v>376</v>
      </c>
      <c r="BW785" s="46" t="s">
        <v>376</v>
      </c>
      <c r="BX785" s="46"/>
      <c r="BY785" s="50"/>
      <c r="BZ785" s="53"/>
      <c r="CA785" s="53"/>
      <c r="CB785" s="93" t="str">
        <f>IF(OR(C785="",A785="",B785=""),"",TEXT(C785,"0000")&amp;TEXT(A785,"00")&amp;TEXT(B785,"00"))</f>
        <v>19720126</v>
      </c>
    </row>
    <row r="786" spans="1:80" s="52" customFormat="1" ht="12.95" customHeight="1" x14ac:dyDescent="0.2">
      <c r="A786" s="46">
        <v>3</v>
      </c>
      <c r="B786" s="46">
        <v>4</v>
      </c>
      <c r="C786" s="46">
        <v>1972</v>
      </c>
      <c r="D786" s="46" t="s">
        <v>658</v>
      </c>
      <c r="E786" s="46" t="s">
        <v>557</v>
      </c>
      <c r="F786" s="54" t="s">
        <v>1327</v>
      </c>
      <c r="G786" s="46"/>
      <c r="H786" s="54" t="s">
        <v>40</v>
      </c>
      <c r="I786" s="54"/>
      <c r="J786" s="55">
        <v>26362</v>
      </c>
      <c r="K786" s="46" t="s">
        <v>1205</v>
      </c>
      <c r="L786" s="46" t="s">
        <v>3</v>
      </c>
      <c r="M786" s="46" t="s">
        <v>816</v>
      </c>
      <c r="N786" s="49">
        <v>2</v>
      </c>
      <c r="O786" s="49">
        <v>1</v>
      </c>
      <c r="P786" s="54" t="s">
        <v>1268</v>
      </c>
      <c r="Q786" s="54" t="s">
        <v>1017</v>
      </c>
      <c r="R786" s="54" t="s">
        <v>376</v>
      </c>
      <c r="S786" s="46"/>
      <c r="T786" s="46"/>
      <c r="U786" s="46"/>
      <c r="V786" s="46"/>
      <c r="W786" s="46"/>
      <c r="X786" s="46"/>
      <c r="Y786" s="46"/>
      <c r="Z786" s="46"/>
      <c r="AA786" s="46"/>
      <c r="AB786" s="46"/>
      <c r="AC786" s="46"/>
      <c r="AD786" s="46"/>
      <c r="AE786" s="50">
        <f>IF(L786="W",1,0)</f>
        <v>1</v>
      </c>
      <c r="AF786" s="50">
        <f>IF(L786="T",1,0)</f>
        <v>0</v>
      </c>
      <c r="AG786" s="50">
        <f>IF(L786="L",1,0)</f>
        <v>0</v>
      </c>
      <c r="AH786" s="46" t="s">
        <v>1145</v>
      </c>
      <c r="AI786" s="46" t="s">
        <v>1206</v>
      </c>
      <c r="AJ786" s="46" t="s">
        <v>376</v>
      </c>
      <c r="AK786" s="46" t="s">
        <v>658</v>
      </c>
      <c r="AL786" s="46" t="s">
        <v>1017</v>
      </c>
      <c r="AM786" s="46" t="s">
        <v>1018</v>
      </c>
      <c r="AN786" s="46" t="s">
        <v>376</v>
      </c>
      <c r="AO786" s="46" t="s">
        <v>658</v>
      </c>
      <c r="AP786" s="46"/>
      <c r="AQ786" s="46">
        <v>1</v>
      </c>
      <c r="AR786" s="46"/>
      <c r="AS786" s="46"/>
      <c r="AT786" s="46"/>
      <c r="AU786" s="46" t="s">
        <v>376</v>
      </c>
      <c r="AV786" s="46"/>
      <c r="AW786" s="46" t="s">
        <v>30</v>
      </c>
      <c r="AX786" s="46"/>
      <c r="AY786" s="46"/>
      <c r="AZ786" s="46" t="s">
        <v>30</v>
      </c>
      <c r="BA786" s="54"/>
      <c r="BB786" s="51" t="s">
        <v>30</v>
      </c>
      <c r="BC786" s="46" t="s">
        <v>30</v>
      </c>
      <c r="BD786" s="46"/>
      <c r="BE786" s="46"/>
      <c r="BF786" s="46">
        <v>1</v>
      </c>
      <c r="BG786" s="46">
        <v>1</v>
      </c>
      <c r="BH786" s="46">
        <v>1</v>
      </c>
      <c r="BI786" s="46" t="s">
        <v>1205</v>
      </c>
      <c r="BJ786" s="46" t="s">
        <v>816</v>
      </c>
      <c r="BK786" s="46">
        <v>1972</v>
      </c>
      <c r="BL786" s="46" t="str">
        <f>BK786&amp;BI786</f>
        <v>1972Stoke City</v>
      </c>
      <c r="BM786" s="52" t="str">
        <f>IF(AD786="Home",BI786,IF(AD786="Away",BJ786,Q786))</f>
        <v>London</v>
      </c>
      <c r="BN786" s="46"/>
      <c r="BO786" s="46"/>
      <c r="BP786" s="46"/>
      <c r="BQ786" s="46"/>
      <c r="BR786" s="46"/>
      <c r="BS786" s="46"/>
      <c r="BT786" s="46"/>
      <c r="BU786" s="46"/>
      <c r="BV786" s="46" t="s">
        <v>376</v>
      </c>
      <c r="BW786" s="46" t="s">
        <v>376</v>
      </c>
      <c r="BX786" s="46"/>
      <c r="BZ786" s="53"/>
      <c r="CA786" s="53"/>
      <c r="CB786" s="93" t="str">
        <f>IF(OR(C786="",A786="",B786=""),"",TEXT(C786,"0000")&amp;TEXT(A786,"00")&amp;TEXT(B786,"00"))</f>
        <v>19720304</v>
      </c>
    </row>
    <row r="787" spans="1:80" s="52" customFormat="1" ht="12.95" customHeight="1" x14ac:dyDescent="0.2">
      <c r="A787" s="46">
        <v>3</v>
      </c>
      <c r="B787" s="46">
        <v>4</v>
      </c>
      <c r="C787" s="46">
        <v>1972</v>
      </c>
      <c r="D787" s="46" t="s">
        <v>658</v>
      </c>
      <c r="E787" s="46" t="s">
        <v>557</v>
      </c>
      <c r="F787" s="54" t="s">
        <v>1327</v>
      </c>
      <c r="G787" s="46"/>
      <c r="H787" s="54" t="s">
        <v>40</v>
      </c>
      <c r="I787" s="54"/>
      <c r="J787" s="55">
        <v>26362</v>
      </c>
      <c r="K787" s="46" t="s">
        <v>816</v>
      </c>
      <c r="L787" s="46" t="s">
        <v>4</v>
      </c>
      <c r="M787" s="46" t="s">
        <v>1205</v>
      </c>
      <c r="N787" s="49">
        <v>1</v>
      </c>
      <c r="O787" s="49">
        <v>2</v>
      </c>
      <c r="P787" s="54" t="s">
        <v>1268</v>
      </c>
      <c r="Q787" s="54" t="s">
        <v>1017</v>
      </c>
      <c r="R787" s="54" t="s">
        <v>376</v>
      </c>
      <c r="S787" s="46"/>
      <c r="T787" s="46"/>
      <c r="U787" s="46"/>
      <c r="V787" s="46"/>
      <c r="W787" s="46"/>
      <c r="X787" s="46"/>
      <c r="Y787" s="46"/>
      <c r="Z787" s="46"/>
      <c r="AA787" s="46"/>
      <c r="AB787" s="46"/>
      <c r="AC787" s="46"/>
      <c r="AD787" s="46"/>
      <c r="AE787" s="50">
        <f>IF(L787="W",1,0)</f>
        <v>0</v>
      </c>
      <c r="AF787" s="50">
        <f>IF(L787="T",1,0)</f>
        <v>0</v>
      </c>
      <c r="AG787" s="50">
        <f>IF(L787="L",1,0)</f>
        <v>1</v>
      </c>
      <c r="AH787" s="46" t="s">
        <v>1017</v>
      </c>
      <c r="AI787" s="46" t="s">
        <v>1018</v>
      </c>
      <c r="AJ787" s="46" t="s">
        <v>376</v>
      </c>
      <c r="AK787" s="46" t="s">
        <v>658</v>
      </c>
      <c r="AL787" s="46" t="s">
        <v>1145</v>
      </c>
      <c r="AM787" s="46" t="s">
        <v>1206</v>
      </c>
      <c r="AN787" s="46" t="s">
        <v>376</v>
      </c>
      <c r="AO787" s="46" t="s">
        <v>658</v>
      </c>
      <c r="AP787" s="46"/>
      <c r="AQ787" s="46">
        <v>1</v>
      </c>
      <c r="AR787" s="46"/>
      <c r="AS787" s="46"/>
      <c r="AT787" s="46"/>
      <c r="AU787" s="46" t="s">
        <v>376</v>
      </c>
      <c r="AV787" s="46"/>
      <c r="AW787" s="46" t="s">
        <v>30</v>
      </c>
      <c r="AX787" s="46"/>
      <c r="AY787" s="46"/>
      <c r="AZ787" s="46" t="s">
        <v>30</v>
      </c>
      <c r="BA787" s="54"/>
      <c r="BB787" s="51"/>
      <c r="BC787" s="46" t="s">
        <v>30</v>
      </c>
      <c r="BD787" s="46"/>
      <c r="BE787" s="46"/>
      <c r="BF787" s="46">
        <v>1</v>
      </c>
      <c r="BG787" s="46">
        <v>1</v>
      </c>
      <c r="BH787" s="46">
        <v>1</v>
      </c>
      <c r="BI787" s="46" t="s">
        <v>816</v>
      </c>
      <c r="BJ787" s="46" t="s">
        <v>1205</v>
      </c>
      <c r="BK787" s="46">
        <v>1972</v>
      </c>
      <c r="BL787" s="46" t="str">
        <f>BK787&amp;BI787</f>
        <v>1972Chelsea</v>
      </c>
      <c r="BM787" s="52" t="str">
        <f>IF(AD787="Home",BI787,IF(AD787="Away",BJ787,Q787))</f>
        <v>London</v>
      </c>
      <c r="BN787" s="46"/>
      <c r="BO787" s="46"/>
      <c r="BP787" s="46"/>
      <c r="BQ787" s="46"/>
      <c r="BR787" s="46"/>
      <c r="BS787" s="46"/>
      <c r="BT787" s="46"/>
      <c r="BU787" s="46"/>
      <c r="BV787" s="46" t="s">
        <v>376</v>
      </c>
      <c r="BW787" s="46" t="s">
        <v>376</v>
      </c>
      <c r="BX787" s="46"/>
      <c r="BZ787" s="53"/>
      <c r="CA787" s="53"/>
      <c r="CB787" s="93" t="str">
        <f>IF(OR(C787="",A787="",B787=""),"",TEXT(C787,"0000")&amp;TEXT(A787,"00")&amp;TEXT(B787,"00"))</f>
        <v>19720304</v>
      </c>
    </row>
    <row r="788" spans="1:80" s="52" customFormat="1" ht="12.95" customHeight="1" x14ac:dyDescent="0.2">
      <c r="A788" s="46">
        <v>4</v>
      </c>
      <c r="B788" s="46">
        <v>15</v>
      </c>
      <c r="C788" s="46">
        <v>1972</v>
      </c>
      <c r="D788" s="46" t="s">
        <v>658</v>
      </c>
      <c r="E788" s="46" t="s">
        <v>557</v>
      </c>
      <c r="F788" s="47" t="s">
        <v>1010</v>
      </c>
      <c r="G788" s="46"/>
      <c r="H788" s="47" t="s">
        <v>1011</v>
      </c>
      <c r="I788" s="47"/>
      <c r="J788" s="48">
        <v>26404</v>
      </c>
      <c r="K788" s="46" t="s">
        <v>794</v>
      </c>
      <c r="L788" s="46" t="s">
        <v>3</v>
      </c>
      <c r="M788" s="46" t="s">
        <v>1125</v>
      </c>
      <c r="N788" s="49">
        <v>3</v>
      </c>
      <c r="O788" s="49">
        <v>0</v>
      </c>
      <c r="P788" s="47" t="s">
        <v>1252</v>
      </c>
      <c r="Q788" s="47" t="s">
        <v>1097</v>
      </c>
      <c r="R788" s="47" t="s">
        <v>376</v>
      </c>
      <c r="S788" s="46"/>
      <c r="T788" s="46"/>
      <c r="U788" s="46"/>
      <c r="V788" s="46"/>
      <c r="W788" s="46"/>
      <c r="X788" s="46"/>
      <c r="Y788" s="46"/>
      <c r="Z788" s="46"/>
      <c r="AA788" s="46"/>
      <c r="AB788" s="46"/>
      <c r="AC788" s="46"/>
      <c r="AD788" s="46"/>
      <c r="AE788" s="50">
        <f>IF(L788="W",1,0)</f>
        <v>1</v>
      </c>
      <c r="AF788" s="50">
        <f>IF(L788="T",1,0)</f>
        <v>0</v>
      </c>
      <c r="AG788" s="50">
        <f>IF(L788="L",1,0)</f>
        <v>0</v>
      </c>
      <c r="AH788" s="46" t="s">
        <v>1241</v>
      </c>
      <c r="AI788" s="46" t="s">
        <v>1260</v>
      </c>
      <c r="AJ788" s="46" t="s">
        <v>376</v>
      </c>
      <c r="AK788" s="46" t="s">
        <v>658</v>
      </c>
      <c r="AL788" s="46" t="s">
        <v>1111</v>
      </c>
      <c r="AM788" s="46" t="s">
        <v>1126</v>
      </c>
      <c r="AN788" s="46" t="s">
        <v>376</v>
      </c>
      <c r="AO788" s="46" t="s">
        <v>658</v>
      </c>
      <c r="AP788" s="46"/>
      <c r="AQ788" s="46">
        <v>2</v>
      </c>
      <c r="AR788" s="46"/>
      <c r="AS788" s="46"/>
      <c r="AT788" s="46"/>
      <c r="AU788" s="46" t="s">
        <v>376</v>
      </c>
      <c r="AV788" s="46"/>
      <c r="AW788" s="46" t="s">
        <v>30</v>
      </c>
      <c r="AX788" s="46"/>
      <c r="AY788" s="46" t="s">
        <v>30</v>
      </c>
      <c r="AZ788" s="46"/>
      <c r="BA788" s="47"/>
      <c r="BB788" s="51"/>
      <c r="BC788" s="46"/>
      <c r="BD788" s="46"/>
      <c r="BE788" s="46"/>
      <c r="BF788" s="46">
        <v>1</v>
      </c>
      <c r="BG788" s="46">
        <v>1</v>
      </c>
      <c r="BH788" s="46">
        <v>2</v>
      </c>
      <c r="BI788" s="46" t="s">
        <v>794</v>
      </c>
      <c r="BJ788" s="46" t="s">
        <v>1125</v>
      </c>
      <c r="BK788" s="46">
        <v>1972</v>
      </c>
      <c r="BL788" s="46" t="str">
        <f>BK788&amp;BI788</f>
        <v>1972Leeds United</v>
      </c>
      <c r="BM788" s="52" t="str">
        <f>IF(AD788="Home",BI788,IF(AD788="Away",BJ788,Q788))</f>
        <v>Sheffield</v>
      </c>
      <c r="BN788" s="46"/>
      <c r="BO788" s="46"/>
      <c r="BP788" s="46"/>
      <c r="BQ788" s="46"/>
      <c r="BR788" s="46"/>
      <c r="BS788" s="46"/>
      <c r="BT788" s="46"/>
      <c r="BU788" s="46"/>
      <c r="BV788" s="46" t="s">
        <v>376</v>
      </c>
      <c r="BW788" s="46" t="s">
        <v>376</v>
      </c>
      <c r="BX788" s="46"/>
      <c r="BY788" s="50"/>
      <c r="BZ788" s="53"/>
      <c r="CA788" s="53"/>
      <c r="CB788" s="93" t="str">
        <f>IF(OR(C788="",A788="",B788=""),"",TEXT(C788,"0000")&amp;TEXT(A788,"00")&amp;TEXT(B788,"00"))</f>
        <v>19720415</v>
      </c>
    </row>
    <row r="789" spans="1:80" s="52" customFormat="1" ht="12.95" customHeight="1" x14ac:dyDescent="0.2">
      <c r="A789" s="46">
        <v>4</v>
      </c>
      <c r="B789" s="46">
        <v>15</v>
      </c>
      <c r="C789" s="46">
        <v>1972</v>
      </c>
      <c r="D789" s="46" t="s">
        <v>658</v>
      </c>
      <c r="E789" s="46" t="s">
        <v>557</v>
      </c>
      <c r="F789" s="47" t="s">
        <v>1010</v>
      </c>
      <c r="G789" s="46"/>
      <c r="H789" s="47" t="s">
        <v>1011</v>
      </c>
      <c r="I789" s="47"/>
      <c r="J789" s="48">
        <v>26404</v>
      </c>
      <c r="K789" s="46" t="s">
        <v>1125</v>
      </c>
      <c r="L789" s="46" t="s">
        <v>4</v>
      </c>
      <c r="M789" s="46" t="s">
        <v>794</v>
      </c>
      <c r="N789" s="49">
        <v>0</v>
      </c>
      <c r="O789" s="49">
        <v>3</v>
      </c>
      <c r="P789" s="47" t="s">
        <v>1252</v>
      </c>
      <c r="Q789" s="47" t="s">
        <v>1097</v>
      </c>
      <c r="R789" s="47" t="s">
        <v>376</v>
      </c>
      <c r="S789" s="46"/>
      <c r="T789" s="46"/>
      <c r="U789" s="46"/>
      <c r="V789" s="46"/>
      <c r="W789" s="46"/>
      <c r="X789" s="46"/>
      <c r="Y789" s="46"/>
      <c r="Z789" s="46"/>
      <c r="AA789" s="46"/>
      <c r="AB789" s="46"/>
      <c r="AC789" s="46"/>
      <c r="AD789" s="46"/>
      <c r="AE789" s="50">
        <f>IF(L789="W",1,0)</f>
        <v>0</v>
      </c>
      <c r="AF789" s="50">
        <f>IF(L789="T",1,0)</f>
        <v>0</v>
      </c>
      <c r="AG789" s="50">
        <f>IF(L789="L",1,0)</f>
        <v>1</v>
      </c>
      <c r="AH789" s="46" t="s">
        <v>1111</v>
      </c>
      <c r="AI789" s="46" t="s">
        <v>1126</v>
      </c>
      <c r="AJ789" s="46" t="s">
        <v>376</v>
      </c>
      <c r="AK789" s="46" t="s">
        <v>658</v>
      </c>
      <c r="AL789" s="46" t="s">
        <v>1241</v>
      </c>
      <c r="AM789" s="46" t="s">
        <v>1260</v>
      </c>
      <c r="AN789" s="46" t="s">
        <v>376</v>
      </c>
      <c r="AO789" s="46" t="s">
        <v>658</v>
      </c>
      <c r="AP789" s="46"/>
      <c r="AQ789" s="46">
        <v>2</v>
      </c>
      <c r="AR789" s="46"/>
      <c r="AS789" s="46"/>
      <c r="AT789" s="46"/>
      <c r="AU789" s="46" t="s">
        <v>376</v>
      </c>
      <c r="AV789" s="46"/>
      <c r="AW789" s="46" t="s">
        <v>30</v>
      </c>
      <c r="AX789" s="46"/>
      <c r="AY789" s="46" t="s">
        <v>30</v>
      </c>
      <c r="AZ789" s="46"/>
      <c r="BA789" s="47"/>
      <c r="BB789" s="51"/>
      <c r="BC789" s="46"/>
      <c r="BD789" s="46"/>
      <c r="BE789" s="46"/>
      <c r="BF789" s="46">
        <v>1</v>
      </c>
      <c r="BG789" s="46">
        <v>2</v>
      </c>
      <c r="BH789" s="46">
        <v>1</v>
      </c>
      <c r="BI789" s="46" t="s">
        <v>1125</v>
      </c>
      <c r="BJ789" s="46" t="s">
        <v>794</v>
      </c>
      <c r="BK789" s="46">
        <v>1972</v>
      </c>
      <c r="BL789" s="46" t="str">
        <f>BK789&amp;BI789</f>
        <v>1972Birmingham City</v>
      </c>
      <c r="BM789" s="52" t="str">
        <f>IF(AD789="Home",BI789,IF(AD789="Away",BJ789,Q789))</f>
        <v>Sheffield</v>
      </c>
      <c r="BN789" s="46"/>
      <c r="BO789" s="46"/>
      <c r="BP789" s="46"/>
      <c r="BQ789" s="46"/>
      <c r="BR789" s="46"/>
      <c r="BS789" s="46"/>
      <c r="BT789" s="46"/>
      <c r="BU789" s="46"/>
      <c r="BV789" s="46" t="s">
        <v>376</v>
      </c>
      <c r="BW789" s="46" t="s">
        <v>376</v>
      </c>
      <c r="BX789" s="46"/>
      <c r="BY789" s="50"/>
      <c r="BZ789" s="53"/>
      <c r="CA789" s="53"/>
      <c r="CB789" s="93" t="str">
        <f>IF(OR(C789="",A789="",B789=""),"",TEXT(C789,"0000")&amp;TEXT(A789,"00")&amp;TEXT(B789,"00"))</f>
        <v>19720415</v>
      </c>
    </row>
    <row r="790" spans="1:80" s="52" customFormat="1" ht="12.95" customHeight="1" x14ac:dyDescent="0.2">
      <c r="A790" s="46">
        <v>4</v>
      </c>
      <c r="B790" s="46">
        <v>15</v>
      </c>
      <c r="C790" s="46">
        <v>1972</v>
      </c>
      <c r="D790" s="46" t="s">
        <v>658</v>
      </c>
      <c r="E790" s="46" t="s">
        <v>557</v>
      </c>
      <c r="F790" s="47" t="s">
        <v>1010</v>
      </c>
      <c r="G790" s="46"/>
      <c r="H790" s="47" t="s">
        <v>1011</v>
      </c>
      <c r="I790" s="47"/>
      <c r="J790" s="48">
        <v>26404</v>
      </c>
      <c r="K790" s="46" t="s">
        <v>1205</v>
      </c>
      <c r="L790" s="46" t="s">
        <v>1014</v>
      </c>
      <c r="M790" s="46" t="s">
        <v>587</v>
      </c>
      <c r="N790" s="49">
        <v>1</v>
      </c>
      <c r="O790" s="49">
        <v>1</v>
      </c>
      <c r="P790" s="47" t="s">
        <v>1219</v>
      </c>
      <c r="Q790" s="47" t="s">
        <v>1111</v>
      </c>
      <c r="R790" s="47" t="s">
        <v>376</v>
      </c>
      <c r="S790" s="46"/>
      <c r="T790" s="46"/>
      <c r="U790" s="46"/>
      <c r="V790" s="46"/>
      <c r="W790" s="46"/>
      <c r="X790" s="46"/>
      <c r="Y790" s="46"/>
      <c r="Z790" s="46"/>
      <c r="AA790" s="46"/>
      <c r="AB790" s="46"/>
      <c r="AC790" s="46"/>
      <c r="AD790" s="46"/>
      <c r="AE790" s="50">
        <f>IF(L790="W",1,0)</f>
        <v>0</v>
      </c>
      <c r="AF790" s="50">
        <f>IF(L790="T",1,0)</f>
        <v>1</v>
      </c>
      <c r="AG790" s="50">
        <f>IF(L790="L",1,0)</f>
        <v>0</v>
      </c>
      <c r="AH790" s="46" t="s">
        <v>1145</v>
      </c>
      <c r="AI790" s="46" t="s">
        <v>1206</v>
      </c>
      <c r="AJ790" s="46" t="s">
        <v>376</v>
      </c>
      <c r="AK790" s="46" t="s">
        <v>658</v>
      </c>
      <c r="AL790" s="46" t="s">
        <v>1017</v>
      </c>
      <c r="AM790" s="46" t="s">
        <v>1018</v>
      </c>
      <c r="AN790" s="46" t="s">
        <v>376</v>
      </c>
      <c r="AO790" s="46" t="s">
        <v>658</v>
      </c>
      <c r="AP790" s="46"/>
      <c r="AQ790" s="46">
        <v>2</v>
      </c>
      <c r="AR790" s="46"/>
      <c r="AS790" s="46"/>
      <c r="AT790" s="46"/>
      <c r="AU790" s="46" t="s">
        <v>376</v>
      </c>
      <c r="AV790" s="46"/>
      <c r="AW790" s="46" t="s">
        <v>30</v>
      </c>
      <c r="AX790" s="46"/>
      <c r="AY790" s="46" t="s">
        <v>30</v>
      </c>
      <c r="AZ790" s="46"/>
      <c r="BA790" s="47"/>
      <c r="BB790" s="51"/>
      <c r="BC790" s="46"/>
      <c r="BD790" s="46"/>
      <c r="BE790" s="46"/>
      <c r="BF790" s="46">
        <v>1</v>
      </c>
      <c r="BG790" s="46">
        <v>1</v>
      </c>
      <c r="BH790" s="46">
        <v>1</v>
      </c>
      <c r="BI790" s="46" t="s">
        <v>1205</v>
      </c>
      <c r="BJ790" s="46" t="s">
        <v>587</v>
      </c>
      <c r="BK790" s="46">
        <v>1972</v>
      </c>
      <c r="BL790" s="46" t="str">
        <f>BK790&amp;BI790</f>
        <v>1972Stoke City</v>
      </c>
      <c r="BM790" s="52" t="str">
        <f>IF(AD790="Home",BI790,IF(AD790="Away",BJ790,Q790))</f>
        <v>Birmingham</v>
      </c>
      <c r="BN790" s="46"/>
      <c r="BO790" s="46"/>
      <c r="BP790" s="46"/>
      <c r="BQ790" s="46"/>
      <c r="BR790" s="46"/>
      <c r="BS790" s="46"/>
      <c r="BT790" s="46"/>
      <c r="BU790" s="46"/>
      <c r="BV790" s="46" t="s">
        <v>376</v>
      </c>
      <c r="BW790" s="46" t="s">
        <v>376</v>
      </c>
      <c r="BX790" s="46"/>
      <c r="BZ790" s="53"/>
      <c r="CA790" s="53"/>
      <c r="CB790" s="93" t="str">
        <f>IF(OR(C790="",A790="",B790=""),"",TEXT(C790,"0000")&amp;TEXT(A790,"00")&amp;TEXT(B790,"00"))</f>
        <v>19720415</v>
      </c>
    </row>
    <row r="791" spans="1:80" s="52" customFormat="1" ht="12.95" customHeight="1" x14ac:dyDescent="0.2">
      <c r="A791" s="46">
        <v>4</v>
      </c>
      <c r="B791" s="46">
        <v>15</v>
      </c>
      <c r="C791" s="46">
        <v>1972</v>
      </c>
      <c r="D791" s="46" t="s">
        <v>658</v>
      </c>
      <c r="E791" s="46" t="s">
        <v>557</v>
      </c>
      <c r="F791" s="47" t="s">
        <v>1010</v>
      </c>
      <c r="G791" s="46"/>
      <c r="H791" s="47" t="s">
        <v>1011</v>
      </c>
      <c r="I791" s="47"/>
      <c r="J791" s="48">
        <v>26404</v>
      </c>
      <c r="K791" s="46" t="s">
        <v>587</v>
      </c>
      <c r="L791" s="46" t="s">
        <v>1014</v>
      </c>
      <c r="M791" s="46" t="s">
        <v>1205</v>
      </c>
      <c r="N791" s="49">
        <v>1</v>
      </c>
      <c r="O791" s="49">
        <v>1</v>
      </c>
      <c r="P791" s="47" t="s">
        <v>1219</v>
      </c>
      <c r="Q791" s="47" t="s">
        <v>1111</v>
      </c>
      <c r="R791" s="47" t="s">
        <v>376</v>
      </c>
      <c r="S791" s="46"/>
      <c r="T791" s="46"/>
      <c r="U791" s="46"/>
      <c r="V791" s="46"/>
      <c r="W791" s="46"/>
      <c r="X791" s="46"/>
      <c r="Y791" s="46"/>
      <c r="Z791" s="46"/>
      <c r="AA791" s="46"/>
      <c r="AB791" s="46"/>
      <c r="AC791" s="46"/>
      <c r="AD791" s="46"/>
      <c r="AE791" s="50">
        <f>IF(L791="W",1,0)</f>
        <v>0</v>
      </c>
      <c r="AF791" s="50">
        <f>IF(L791="T",1,0)</f>
        <v>1</v>
      </c>
      <c r="AG791" s="50">
        <f>IF(L791="L",1,0)</f>
        <v>0</v>
      </c>
      <c r="AH791" s="46" t="s">
        <v>1017</v>
      </c>
      <c r="AI791" s="46" t="s">
        <v>1018</v>
      </c>
      <c r="AJ791" s="46" t="s">
        <v>376</v>
      </c>
      <c r="AK791" s="46" t="s">
        <v>658</v>
      </c>
      <c r="AL791" s="46" t="s">
        <v>1145</v>
      </c>
      <c r="AM791" s="46" t="s">
        <v>1206</v>
      </c>
      <c r="AN791" s="46" t="s">
        <v>376</v>
      </c>
      <c r="AO791" s="46" t="s">
        <v>658</v>
      </c>
      <c r="AP791" s="46"/>
      <c r="AQ791" s="46">
        <v>2</v>
      </c>
      <c r="AR791" s="46"/>
      <c r="AS791" s="46"/>
      <c r="AT791" s="46"/>
      <c r="AU791" s="46" t="s">
        <v>376</v>
      </c>
      <c r="AV791" s="46"/>
      <c r="AW791" s="46" t="s">
        <v>30</v>
      </c>
      <c r="AX791" s="46"/>
      <c r="AY791" s="46" t="s">
        <v>30</v>
      </c>
      <c r="AZ791" s="46"/>
      <c r="BA791" s="47"/>
      <c r="BB791" s="51"/>
      <c r="BC791" s="46"/>
      <c r="BD791" s="46"/>
      <c r="BE791" s="46"/>
      <c r="BF791" s="46">
        <v>1</v>
      </c>
      <c r="BG791" s="46">
        <v>1</v>
      </c>
      <c r="BH791" s="46">
        <v>1</v>
      </c>
      <c r="BI791" s="46" t="s">
        <v>587</v>
      </c>
      <c r="BJ791" s="46" t="s">
        <v>1205</v>
      </c>
      <c r="BK791" s="46">
        <v>1972</v>
      </c>
      <c r="BL791" s="46" t="str">
        <f>BK791&amp;BI791</f>
        <v>1972Arsenal</v>
      </c>
      <c r="BM791" s="52" t="str">
        <f>IF(AD791="Home",BI791,IF(AD791="Away",BJ791,Q791))</f>
        <v>Birmingham</v>
      </c>
      <c r="BN791" s="46"/>
      <c r="BO791" s="46"/>
      <c r="BP791" s="46"/>
      <c r="BQ791" s="46"/>
      <c r="BR791" s="46"/>
      <c r="BS791" s="46"/>
      <c r="BT791" s="46"/>
      <c r="BU791" s="46"/>
      <c r="BV791" s="46" t="s">
        <v>376</v>
      </c>
      <c r="BW791" s="46" t="s">
        <v>376</v>
      </c>
      <c r="BX791" s="46"/>
      <c r="BZ791" s="53"/>
      <c r="CA791" s="53"/>
      <c r="CB791" s="93" t="str">
        <f>IF(OR(C791="",A791="",B791=""),"",TEXT(C791,"0000")&amp;TEXT(A791,"00")&amp;TEXT(B791,"00"))</f>
        <v>19720415</v>
      </c>
    </row>
    <row r="792" spans="1:80" s="52" customFormat="1" ht="12.95" customHeight="1" x14ac:dyDescent="0.2">
      <c r="A792" s="46">
        <v>4</v>
      </c>
      <c r="B792" s="46">
        <v>19</v>
      </c>
      <c r="C792" s="46">
        <v>1972</v>
      </c>
      <c r="D792" s="46" t="s">
        <v>658</v>
      </c>
      <c r="E792" s="46" t="s">
        <v>557</v>
      </c>
      <c r="F792" s="47" t="s">
        <v>1010</v>
      </c>
      <c r="G792" s="46"/>
      <c r="H792" s="47" t="s">
        <v>1011</v>
      </c>
      <c r="I792" s="47" t="s">
        <v>1023</v>
      </c>
      <c r="J792" s="48">
        <v>26408</v>
      </c>
      <c r="K792" s="46" t="s">
        <v>587</v>
      </c>
      <c r="L792" s="46" t="s">
        <v>3</v>
      </c>
      <c r="M792" s="46" t="s">
        <v>1205</v>
      </c>
      <c r="N792" s="49">
        <v>2</v>
      </c>
      <c r="O792" s="49">
        <v>1</v>
      </c>
      <c r="P792" s="47" t="s">
        <v>1184</v>
      </c>
      <c r="Q792" s="47" t="s">
        <v>588</v>
      </c>
      <c r="R792" s="47" t="s">
        <v>376</v>
      </c>
      <c r="S792" s="46"/>
      <c r="T792" s="46"/>
      <c r="U792" s="46"/>
      <c r="V792" s="46"/>
      <c r="W792" s="46"/>
      <c r="X792" s="46"/>
      <c r="Y792" s="46"/>
      <c r="Z792" s="46"/>
      <c r="AA792" s="46"/>
      <c r="AB792" s="46"/>
      <c r="AC792" s="46"/>
      <c r="AD792" s="46"/>
      <c r="AE792" s="50">
        <f>IF(L792="W",1,0)</f>
        <v>1</v>
      </c>
      <c r="AF792" s="50">
        <f>IF(L792="T",1,0)</f>
        <v>0</v>
      </c>
      <c r="AG792" s="50">
        <f>IF(L792="L",1,0)</f>
        <v>0</v>
      </c>
      <c r="AH792" s="46" t="s">
        <v>1017</v>
      </c>
      <c r="AI792" s="46" t="s">
        <v>1018</v>
      </c>
      <c r="AJ792" s="46" t="s">
        <v>376</v>
      </c>
      <c r="AK792" s="46" t="s">
        <v>658</v>
      </c>
      <c r="AL792" s="46" t="s">
        <v>1145</v>
      </c>
      <c r="AM792" s="46" t="s">
        <v>1206</v>
      </c>
      <c r="AN792" s="46" t="s">
        <v>376</v>
      </c>
      <c r="AO792" s="46" t="s">
        <v>658</v>
      </c>
      <c r="AP792" s="46"/>
      <c r="AQ792" s="46">
        <v>2</v>
      </c>
      <c r="AR792" s="46"/>
      <c r="AS792" s="46"/>
      <c r="AT792" s="46"/>
      <c r="AU792" s="46" t="s">
        <v>376</v>
      </c>
      <c r="AV792" s="46"/>
      <c r="AW792" s="46" t="s">
        <v>30</v>
      </c>
      <c r="AX792" s="46"/>
      <c r="AY792" s="46" t="s">
        <v>30</v>
      </c>
      <c r="AZ792" s="46"/>
      <c r="BA792" s="47"/>
      <c r="BB792" s="51"/>
      <c r="BC792" s="46"/>
      <c r="BD792" s="46"/>
      <c r="BE792" s="46"/>
      <c r="BF792" s="46">
        <v>1</v>
      </c>
      <c r="BG792" s="46">
        <v>1</v>
      </c>
      <c r="BH792" s="46">
        <v>1</v>
      </c>
      <c r="BI792" s="46" t="s">
        <v>587</v>
      </c>
      <c r="BJ792" s="46" t="s">
        <v>1205</v>
      </c>
      <c r="BK792" s="46">
        <v>1972</v>
      </c>
      <c r="BL792" s="46" t="str">
        <f>BK792&amp;BI792</f>
        <v>1972Arsenal</v>
      </c>
      <c r="BM792" s="52" t="str">
        <f>IF(AD792="Home",BI792,IF(AD792="Away",BJ792,Q792))</f>
        <v>Liverpool</v>
      </c>
      <c r="BN792" s="46"/>
      <c r="BO792" s="46"/>
      <c r="BP792" s="46"/>
      <c r="BQ792" s="46"/>
      <c r="BR792" s="46"/>
      <c r="BS792" s="46"/>
      <c r="BT792" s="46"/>
      <c r="BU792" s="46"/>
      <c r="BV792" s="46" t="s">
        <v>376</v>
      </c>
      <c r="BW792" s="46" t="s">
        <v>376</v>
      </c>
      <c r="BX792" s="46"/>
      <c r="BZ792" s="53"/>
      <c r="CA792" s="53"/>
      <c r="CB792" s="93" t="str">
        <f>IF(OR(C792="",A792="",B792=""),"",TEXT(C792,"0000")&amp;TEXT(A792,"00")&amp;TEXT(B792,"00"))</f>
        <v>19720419</v>
      </c>
    </row>
    <row r="793" spans="1:80" s="52" customFormat="1" ht="12.95" customHeight="1" x14ac:dyDescent="0.2">
      <c r="A793" s="46">
        <v>4</v>
      </c>
      <c r="B793" s="46">
        <v>19</v>
      </c>
      <c r="C793" s="46">
        <v>1972</v>
      </c>
      <c r="D793" s="46" t="s">
        <v>658</v>
      </c>
      <c r="E793" s="46" t="s">
        <v>557</v>
      </c>
      <c r="F793" s="47" t="s">
        <v>1010</v>
      </c>
      <c r="G793" s="46"/>
      <c r="H793" s="47" t="s">
        <v>1011</v>
      </c>
      <c r="I793" s="47" t="s">
        <v>1023</v>
      </c>
      <c r="J793" s="48">
        <v>26408</v>
      </c>
      <c r="K793" s="46" t="s">
        <v>1205</v>
      </c>
      <c r="L793" s="46" t="s">
        <v>4</v>
      </c>
      <c r="M793" s="46" t="s">
        <v>587</v>
      </c>
      <c r="N793" s="49">
        <v>1</v>
      </c>
      <c r="O793" s="49">
        <v>2</v>
      </c>
      <c r="P793" s="47" t="s">
        <v>1184</v>
      </c>
      <c r="Q793" s="47" t="s">
        <v>588</v>
      </c>
      <c r="R793" s="47" t="s">
        <v>376</v>
      </c>
      <c r="S793" s="46"/>
      <c r="T793" s="46"/>
      <c r="U793" s="46"/>
      <c r="V793" s="46"/>
      <c r="W793" s="46"/>
      <c r="X793" s="46"/>
      <c r="Y793" s="46"/>
      <c r="Z793" s="46"/>
      <c r="AA793" s="46"/>
      <c r="AB793" s="46"/>
      <c r="AC793" s="46"/>
      <c r="AD793" s="46"/>
      <c r="AE793" s="50">
        <f>IF(L793="W",1,0)</f>
        <v>0</v>
      </c>
      <c r="AF793" s="50">
        <f>IF(L793="T",1,0)</f>
        <v>0</v>
      </c>
      <c r="AG793" s="50">
        <f>IF(L793="L",1,0)</f>
        <v>1</v>
      </c>
      <c r="AH793" s="46" t="s">
        <v>1145</v>
      </c>
      <c r="AI793" s="46" t="s">
        <v>1206</v>
      </c>
      <c r="AJ793" s="46" t="s">
        <v>376</v>
      </c>
      <c r="AK793" s="46" t="s">
        <v>658</v>
      </c>
      <c r="AL793" s="46" t="s">
        <v>1017</v>
      </c>
      <c r="AM793" s="46" t="s">
        <v>1018</v>
      </c>
      <c r="AN793" s="46" t="s">
        <v>376</v>
      </c>
      <c r="AO793" s="46" t="s">
        <v>658</v>
      </c>
      <c r="AP793" s="46"/>
      <c r="AQ793" s="46">
        <v>2</v>
      </c>
      <c r="AR793" s="46"/>
      <c r="AS793" s="46"/>
      <c r="AT793" s="46"/>
      <c r="AU793" s="46" t="s">
        <v>376</v>
      </c>
      <c r="AV793" s="46"/>
      <c r="AW793" s="46" t="s">
        <v>30</v>
      </c>
      <c r="AX793" s="46"/>
      <c r="AY793" s="46" t="s">
        <v>30</v>
      </c>
      <c r="AZ793" s="46"/>
      <c r="BA793" s="47"/>
      <c r="BB793" s="51"/>
      <c r="BC793" s="46"/>
      <c r="BD793" s="46"/>
      <c r="BE793" s="46"/>
      <c r="BF793" s="46">
        <v>1</v>
      </c>
      <c r="BG793" s="46">
        <v>1</v>
      </c>
      <c r="BH793" s="46">
        <v>1</v>
      </c>
      <c r="BI793" s="46" t="s">
        <v>1205</v>
      </c>
      <c r="BJ793" s="46" t="s">
        <v>587</v>
      </c>
      <c r="BK793" s="46">
        <v>1972</v>
      </c>
      <c r="BL793" s="46" t="str">
        <f>BK793&amp;BI793</f>
        <v>1972Stoke City</v>
      </c>
      <c r="BM793" s="52" t="str">
        <f>IF(AD793="Home",BI793,IF(AD793="Away",BJ793,Q793))</f>
        <v>Liverpool</v>
      </c>
      <c r="BN793" s="46"/>
      <c r="BO793" s="46"/>
      <c r="BP793" s="46"/>
      <c r="BQ793" s="46"/>
      <c r="BR793" s="46"/>
      <c r="BS793" s="46"/>
      <c r="BT793" s="46"/>
      <c r="BU793" s="46"/>
      <c r="BV793" s="46" t="s">
        <v>376</v>
      </c>
      <c r="BW793" s="46" t="s">
        <v>376</v>
      </c>
      <c r="BX793" s="46"/>
      <c r="BZ793" s="53"/>
      <c r="CA793" s="53"/>
      <c r="CB793" s="93" t="str">
        <f>IF(OR(C793="",A793="",B793=""),"",TEXT(C793,"0000")&amp;TEXT(A793,"00")&amp;TEXT(B793,"00"))</f>
        <v>19720419</v>
      </c>
    </row>
    <row r="794" spans="1:80" s="52" customFormat="1" ht="12.95" customHeight="1" x14ac:dyDescent="0.2">
      <c r="A794" s="46">
        <v>5</v>
      </c>
      <c r="B794" s="46">
        <v>6</v>
      </c>
      <c r="C794" s="46">
        <v>1972</v>
      </c>
      <c r="D794" s="46" t="s">
        <v>658</v>
      </c>
      <c r="E794" s="46" t="s">
        <v>557</v>
      </c>
      <c r="F794" s="47" t="s">
        <v>1010</v>
      </c>
      <c r="G794" s="46"/>
      <c r="H794" s="47" t="s">
        <v>1025</v>
      </c>
      <c r="I794" s="47"/>
      <c r="J794" s="48">
        <v>26425</v>
      </c>
      <c r="K794" s="46" t="s">
        <v>794</v>
      </c>
      <c r="L794" s="46" t="s">
        <v>3</v>
      </c>
      <c r="M794" s="46" t="s">
        <v>587</v>
      </c>
      <c r="N794" s="49">
        <v>1</v>
      </c>
      <c r="O794" s="49">
        <v>0</v>
      </c>
      <c r="P794" s="47" t="s">
        <v>1268</v>
      </c>
      <c r="Q794" s="47" t="s">
        <v>1017</v>
      </c>
      <c r="R794" s="47" t="s">
        <v>376</v>
      </c>
      <c r="S794" s="46"/>
      <c r="T794" s="46"/>
      <c r="U794" s="46"/>
      <c r="V794" s="46"/>
      <c r="W794" s="46"/>
      <c r="X794" s="46"/>
      <c r="Y794" s="46"/>
      <c r="Z794" s="46"/>
      <c r="AA794" s="46"/>
      <c r="AB794" s="46"/>
      <c r="AC794" s="46"/>
      <c r="AD794" s="46"/>
      <c r="AE794" s="50">
        <f>IF(L794="W",1,0)</f>
        <v>1</v>
      </c>
      <c r="AF794" s="50">
        <f>IF(L794="T",1,0)</f>
        <v>0</v>
      </c>
      <c r="AG794" s="50">
        <f>IF(L794="L",1,0)</f>
        <v>0</v>
      </c>
      <c r="AH794" s="46" t="s">
        <v>1241</v>
      </c>
      <c r="AI794" s="46" t="s">
        <v>1260</v>
      </c>
      <c r="AJ794" s="46" t="s">
        <v>376</v>
      </c>
      <c r="AK794" s="46" t="s">
        <v>658</v>
      </c>
      <c r="AL794" s="46" t="s">
        <v>1017</v>
      </c>
      <c r="AM794" s="46" t="s">
        <v>1018</v>
      </c>
      <c r="AN794" s="46" t="s">
        <v>376</v>
      </c>
      <c r="AO794" s="46" t="s">
        <v>658</v>
      </c>
      <c r="AP794" s="46"/>
      <c r="AQ794" s="46">
        <v>1</v>
      </c>
      <c r="AR794" s="46"/>
      <c r="AS794" s="46"/>
      <c r="AT794" s="46"/>
      <c r="AU794" s="46" t="s">
        <v>376</v>
      </c>
      <c r="AV794" s="46"/>
      <c r="AW794" s="46" t="s">
        <v>30</v>
      </c>
      <c r="AX794" s="46"/>
      <c r="AY794" s="46" t="s">
        <v>30</v>
      </c>
      <c r="AZ794" s="46"/>
      <c r="BA794" s="47"/>
      <c r="BB794" s="51" t="s">
        <v>30</v>
      </c>
      <c r="BC794" s="46" t="s">
        <v>30</v>
      </c>
      <c r="BD794" s="46"/>
      <c r="BE794" s="46"/>
      <c r="BF794" s="46">
        <v>1</v>
      </c>
      <c r="BG794" s="46">
        <v>1</v>
      </c>
      <c r="BH794" s="46">
        <v>1</v>
      </c>
      <c r="BI794" s="46" t="s">
        <v>794</v>
      </c>
      <c r="BJ794" s="46" t="s">
        <v>587</v>
      </c>
      <c r="BK794" s="46">
        <v>1972</v>
      </c>
      <c r="BL794" s="46" t="str">
        <f>BK794&amp;BI794</f>
        <v>1972Leeds United</v>
      </c>
      <c r="BM794" s="52" t="str">
        <f>IF(AD794="Home",BI794,IF(AD794="Away",BJ794,Q794))</f>
        <v>London</v>
      </c>
      <c r="BN794" s="46"/>
      <c r="BO794" s="46"/>
      <c r="BP794" s="46"/>
      <c r="BQ794" s="46"/>
      <c r="BR794" s="46"/>
      <c r="BS794" s="46"/>
      <c r="BT794" s="46"/>
      <c r="BU794" s="46"/>
      <c r="BV794" s="46" t="s">
        <v>376</v>
      </c>
      <c r="BW794" s="46" t="s">
        <v>376</v>
      </c>
      <c r="BX794" s="46"/>
      <c r="BZ794" s="53"/>
      <c r="CA794" s="53"/>
      <c r="CB794" s="93" t="str">
        <f>IF(OR(C794="",A794="",B794=""),"",TEXT(C794,"0000")&amp;TEXT(A794,"00")&amp;TEXT(B794,"00"))</f>
        <v>19720506</v>
      </c>
    </row>
    <row r="795" spans="1:80" s="52" customFormat="1" ht="12.95" customHeight="1" x14ac:dyDescent="0.2">
      <c r="A795" s="46">
        <v>5</v>
      </c>
      <c r="B795" s="46">
        <v>6</v>
      </c>
      <c r="C795" s="46">
        <v>1972</v>
      </c>
      <c r="D795" s="46" t="s">
        <v>658</v>
      </c>
      <c r="E795" s="46" t="s">
        <v>557</v>
      </c>
      <c r="F795" s="47" t="s">
        <v>1010</v>
      </c>
      <c r="G795" s="46"/>
      <c r="H795" s="47" t="s">
        <v>1025</v>
      </c>
      <c r="I795" s="47"/>
      <c r="J795" s="48">
        <v>26425</v>
      </c>
      <c r="K795" s="46" t="s">
        <v>587</v>
      </c>
      <c r="L795" s="46" t="s">
        <v>4</v>
      </c>
      <c r="M795" s="46" t="s">
        <v>794</v>
      </c>
      <c r="N795" s="49">
        <v>0</v>
      </c>
      <c r="O795" s="49">
        <v>1</v>
      </c>
      <c r="P795" s="47" t="s">
        <v>1268</v>
      </c>
      <c r="Q795" s="47" t="s">
        <v>1017</v>
      </c>
      <c r="R795" s="47" t="s">
        <v>376</v>
      </c>
      <c r="S795" s="46"/>
      <c r="T795" s="46"/>
      <c r="U795" s="46"/>
      <c r="V795" s="46"/>
      <c r="W795" s="46"/>
      <c r="X795" s="46"/>
      <c r="Y795" s="46"/>
      <c r="Z795" s="46"/>
      <c r="AA795" s="46"/>
      <c r="AB795" s="46"/>
      <c r="AC795" s="46"/>
      <c r="AD795" s="46"/>
      <c r="AE795" s="50">
        <f>IF(L795="W",1,0)</f>
        <v>0</v>
      </c>
      <c r="AF795" s="50">
        <f>IF(L795="T",1,0)</f>
        <v>0</v>
      </c>
      <c r="AG795" s="50">
        <f>IF(L795="L",1,0)</f>
        <v>1</v>
      </c>
      <c r="AH795" s="46" t="s">
        <v>1017</v>
      </c>
      <c r="AI795" s="46" t="s">
        <v>1018</v>
      </c>
      <c r="AJ795" s="46" t="s">
        <v>376</v>
      </c>
      <c r="AK795" s="46" t="s">
        <v>658</v>
      </c>
      <c r="AL795" s="46" t="s">
        <v>1241</v>
      </c>
      <c r="AM795" s="46" t="s">
        <v>1260</v>
      </c>
      <c r="AN795" s="46" t="s">
        <v>376</v>
      </c>
      <c r="AO795" s="46" t="s">
        <v>658</v>
      </c>
      <c r="AP795" s="46"/>
      <c r="AQ795" s="46">
        <v>1</v>
      </c>
      <c r="AR795" s="46"/>
      <c r="AS795" s="46"/>
      <c r="AT795" s="46"/>
      <c r="AU795" s="46" t="s">
        <v>376</v>
      </c>
      <c r="AV795" s="46"/>
      <c r="AW795" s="46" t="s">
        <v>30</v>
      </c>
      <c r="AX795" s="46"/>
      <c r="AY795" s="46" t="s">
        <v>30</v>
      </c>
      <c r="AZ795" s="46"/>
      <c r="BA795" s="47"/>
      <c r="BB795" s="51"/>
      <c r="BC795" s="46" t="s">
        <v>30</v>
      </c>
      <c r="BD795" s="46"/>
      <c r="BE795" s="46"/>
      <c r="BF795" s="46">
        <v>1</v>
      </c>
      <c r="BG795" s="46">
        <v>1</v>
      </c>
      <c r="BH795" s="46">
        <v>1</v>
      </c>
      <c r="BI795" s="46" t="s">
        <v>587</v>
      </c>
      <c r="BJ795" s="46" t="s">
        <v>794</v>
      </c>
      <c r="BK795" s="46">
        <v>1972</v>
      </c>
      <c r="BL795" s="46" t="str">
        <f>BK795&amp;BI795</f>
        <v>1972Arsenal</v>
      </c>
      <c r="BM795" s="52" t="str">
        <f>IF(AD795="Home",BI795,IF(AD795="Away",BJ795,Q795))</f>
        <v>London</v>
      </c>
      <c r="BN795" s="46"/>
      <c r="BO795" s="46"/>
      <c r="BP795" s="46"/>
      <c r="BQ795" s="46"/>
      <c r="BR795" s="46"/>
      <c r="BS795" s="46"/>
      <c r="BT795" s="46"/>
      <c r="BU795" s="46"/>
      <c r="BV795" s="46" t="s">
        <v>376</v>
      </c>
      <c r="BW795" s="46" t="s">
        <v>376</v>
      </c>
      <c r="BX795" s="46"/>
      <c r="BZ795" s="53"/>
      <c r="CA795" s="53"/>
      <c r="CB795" s="93" t="str">
        <f>IF(OR(C795="",A795="",B795=""),"",TEXT(C795,"0000")&amp;TEXT(A795,"00")&amp;TEXT(B795,"00"))</f>
        <v>19720506</v>
      </c>
    </row>
    <row r="796" spans="1:80" s="52" customFormat="1" ht="12.95" customHeight="1" x14ac:dyDescent="0.2">
      <c r="A796" s="46">
        <v>12</v>
      </c>
      <c r="B796" s="46">
        <v>13</v>
      </c>
      <c r="C796" s="46">
        <v>1972</v>
      </c>
      <c r="D796" s="46" t="s">
        <v>658</v>
      </c>
      <c r="E796" s="46" t="s">
        <v>556</v>
      </c>
      <c r="F796" s="54" t="s">
        <v>1327</v>
      </c>
      <c r="G796" s="46"/>
      <c r="H796" s="54" t="s">
        <v>1011</v>
      </c>
      <c r="I796" s="54">
        <v>1</v>
      </c>
      <c r="J796" s="55">
        <v>26646</v>
      </c>
      <c r="K796" s="46" t="s">
        <v>816</v>
      </c>
      <c r="L796" s="46" t="s">
        <v>4</v>
      </c>
      <c r="M796" s="46" t="s">
        <v>1321</v>
      </c>
      <c r="N796" s="49">
        <v>0</v>
      </c>
      <c r="O796" s="49">
        <v>2</v>
      </c>
      <c r="P796" s="54" t="s">
        <v>1234</v>
      </c>
      <c r="Q796" s="54" t="s">
        <v>1017</v>
      </c>
      <c r="R796" s="54" t="s">
        <v>376</v>
      </c>
      <c r="S796" s="46"/>
      <c r="T796" s="46"/>
      <c r="U796" s="46"/>
      <c r="V796" s="46"/>
      <c r="W796" s="46"/>
      <c r="X796" s="46"/>
      <c r="Y796" s="46"/>
      <c r="Z796" s="46"/>
      <c r="AA796" s="46"/>
      <c r="AB796" s="46"/>
      <c r="AC796" s="46"/>
      <c r="AD796" s="46" t="s">
        <v>1033</v>
      </c>
      <c r="AE796" s="50">
        <f>IF(L796="W",1,0)</f>
        <v>0</v>
      </c>
      <c r="AF796" s="50">
        <f>IF(L796="T",1,0)</f>
        <v>0</v>
      </c>
      <c r="AG796" s="50">
        <f>IF(L796="L",1,0)</f>
        <v>1</v>
      </c>
      <c r="AH796" s="46" t="s">
        <v>1017</v>
      </c>
      <c r="AI796" s="46" t="s">
        <v>1018</v>
      </c>
      <c r="AJ796" s="46" t="s">
        <v>376</v>
      </c>
      <c r="AK796" s="46" t="s">
        <v>658</v>
      </c>
      <c r="AL796" s="46" t="s">
        <v>1323</v>
      </c>
      <c r="AM796" s="46" t="s">
        <v>1324</v>
      </c>
      <c r="AN796" s="46" t="s">
        <v>376</v>
      </c>
      <c r="AO796" s="46" t="s">
        <v>658</v>
      </c>
      <c r="AP796" s="46"/>
      <c r="AQ796" s="46">
        <v>2</v>
      </c>
      <c r="AR796" s="46"/>
      <c r="AS796" s="46"/>
      <c r="AT796" s="46"/>
      <c r="AU796" s="46" t="s">
        <v>376</v>
      </c>
      <c r="AV796" s="46"/>
      <c r="AW796" s="46" t="s">
        <v>30</v>
      </c>
      <c r="AX796" s="46"/>
      <c r="AY796" s="46"/>
      <c r="AZ796" s="46" t="s">
        <v>30</v>
      </c>
      <c r="BA796" s="54"/>
      <c r="BB796" s="51"/>
      <c r="BC796" s="46"/>
      <c r="BD796" s="46"/>
      <c r="BE796" s="46"/>
      <c r="BF796" s="46">
        <v>1</v>
      </c>
      <c r="BG796" s="46">
        <v>1</v>
      </c>
      <c r="BH796" s="46">
        <v>1</v>
      </c>
      <c r="BI796" s="46" t="s">
        <v>816</v>
      </c>
      <c r="BJ796" s="46" t="s">
        <v>1321</v>
      </c>
      <c r="BK796" s="46">
        <v>1973</v>
      </c>
      <c r="BL796" s="46" t="str">
        <f>BK796&amp;BI796</f>
        <v>1973Chelsea</v>
      </c>
      <c r="BM796" s="52" t="str">
        <f>IF(AD796="Home",BI796,IF(AD796="Away",BJ796,Q796))</f>
        <v>Chelsea</v>
      </c>
      <c r="BN796" s="46"/>
      <c r="BO796" s="46"/>
      <c r="BP796" s="46"/>
      <c r="BQ796" s="46"/>
      <c r="BR796" s="46"/>
      <c r="BS796" s="46"/>
      <c r="BT796" s="46"/>
      <c r="BU796" s="46"/>
      <c r="BV796" s="46" t="s">
        <v>376</v>
      </c>
      <c r="BW796" s="46" t="s">
        <v>376</v>
      </c>
      <c r="BX796" s="46"/>
      <c r="BZ796" s="53"/>
      <c r="CA796" s="53"/>
      <c r="CB796" s="93" t="str">
        <f>IF(OR(C796="",A796="",B796=""),"",TEXT(C796,"0000")&amp;TEXT(A796,"00")&amp;TEXT(B796,"00"))</f>
        <v>19721213</v>
      </c>
    </row>
    <row r="797" spans="1:80" s="52" customFormat="1" ht="12.95" customHeight="1" x14ac:dyDescent="0.2">
      <c r="A797" s="46">
        <v>12</v>
      </c>
      <c r="B797" s="46">
        <v>13</v>
      </c>
      <c r="C797" s="46">
        <v>1972</v>
      </c>
      <c r="D797" s="46" t="s">
        <v>658</v>
      </c>
      <c r="E797" s="46" t="s">
        <v>556</v>
      </c>
      <c r="F797" s="54" t="s">
        <v>1327</v>
      </c>
      <c r="G797" s="46"/>
      <c r="H797" s="54" t="s">
        <v>1011</v>
      </c>
      <c r="I797" s="54">
        <v>1</v>
      </c>
      <c r="J797" s="55">
        <v>26646</v>
      </c>
      <c r="K797" s="46" t="s">
        <v>1321</v>
      </c>
      <c r="L797" s="46" t="s">
        <v>3</v>
      </c>
      <c r="M797" s="46" t="s">
        <v>816</v>
      </c>
      <c r="N797" s="49">
        <v>2</v>
      </c>
      <c r="O797" s="49">
        <v>0</v>
      </c>
      <c r="P797" s="54" t="s">
        <v>1234</v>
      </c>
      <c r="Q797" s="54" t="s">
        <v>1017</v>
      </c>
      <c r="R797" s="54" t="s">
        <v>376</v>
      </c>
      <c r="S797" s="46"/>
      <c r="T797" s="46"/>
      <c r="U797" s="46"/>
      <c r="V797" s="46"/>
      <c r="W797" s="46"/>
      <c r="X797" s="46"/>
      <c r="Y797" s="46"/>
      <c r="Z797" s="46"/>
      <c r="AA797" s="46"/>
      <c r="AB797" s="46"/>
      <c r="AC797" s="46"/>
      <c r="AD797" s="46" t="s">
        <v>1037</v>
      </c>
      <c r="AE797" s="50">
        <f>IF(L797="W",1,0)</f>
        <v>1</v>
      </c>
      <c r="AF797" s="50">
        <f>IF(L797="T",1,0)</f>
        <v>0</v>
      </c>
      <c r="AG797" s="50">
        <f>IF(L797="L",1,0)</f>
        <v>0</v>
      </c>
      <c r="AH797" s="46" t="s">
        <v>1323</v>
      </c>
      <c r="AI797" s="46" t="s">
        <v>1324</v>
      </c>
      <c r="AJ797" s="46" t="s">
        <v>376</v>
      </c>
      <c r="AK797" s="46" t="s">
        <v>658</v>
      </c>
      <c r="AL797" s="46" t="s">
        <v>1017</v>
      </c>
      <c r="AM797" s="46" t="s">
        <v>1018</v>
      </c>
      <c r="AN797" s="46" t="s">
        <v>376</v>
      </c>
      <c r="AO797" s="46" t="s">
        <v>658</v>
      </c>
      <c r="AP797" s="46"/>
      <c r="AQ797" s="46">
        <v>2</v>
      </c>
      <c r="AR797" s="46"/>
      <c r="AS797" s="46"/>
      <c r="AT797" s="46"/>
      <c r="AU797" s="46" t="s">
        <v>376</v>
      </c>
      <c r="AV797" s="46"/>
      <c r="AW797" s="46" t="s">
        <v>30</v>
      </c>
      <c r="AX797" s="46"/>
      <c r="AY797" s="46"/>
      <c r="AZ797" s="46" t="s">
        <v>30</v>
      </c>
      <c r="BA797" s="54"/>
      <c r="BB797" s="51"/>
      <c r="BC797" s="46"/>
      <c r="BD797" s="46"/>
      <c r="BE797" s="46"/>
      <c r="BF797" s="46">
        <v>1</v>
      </c>
      <c r="BG797" s="46">
        <v>1</v>
      </c>
      <c r="BH797" s="46">
        <v>1</v>
      </c>
      <c r="BI797" s="46" t="s">
        <v>1321</v>
      </c>
      <c r="BJ797" s="46" t="s">
        <v>816</v>
      </c>
      <c r="BK797" s="46">
        <v>1973</v>
      </c>
      <c r="BL797" s="46" t="str">
        <f>BK797&amp;BI797</f>
        <v>1973Norwich City</v>
      </c>
      <c r="BM797" s="52" t="str">
        <f>IF(AD797="Home",BI797,IF(AD797="Away",BJ797,Q797))</f>
        <v>Chelsea</v>
      </c>
      <c r="BN797" s="46"/>
      <c r="BO797" s="46"/>
      <c r="BP797" s="46"/>
      <c r="BQ797" s="46"/>
      <c r="BR797" s="46"/>
      <c r="BS797" s="46"/>
      <c r="BT797" s="46"/>
      <c r="BU797" s="46"/>
      <c r="BV797" s="46" t="s">
        <v>376</v>
      </c>
      <c r="BW797" s="46" t="s">
        <v>376</v>
      </c>
      <c r="BX797" s="46"/>
      <c r="BZ797" s="53"/>
      <c r="CA797" s="53"/>
      <c r="CB797" s="93" t="str">
        <f>IF(OR(C797="",A797="",B797=""),"",TEXT(C797,"0000")&amp;TEXT(A797,"00")&amp;TEXT(B797,"00"))</f>
        <v>19721213</v>
      </c>
    </row>
    <row r="798" spans="1:80" s="52" customFormat="1" ht="12.95" customHeight="1" x14ac:dyDescent="0.2">
      <c r="A798" s="46">
        <v>12</v>
      </c>
      <c r="B798" s="46">
        <v>20</v>
      </c>
      <c r="C798" s="46">
        <v>1972</v>
      </c>
      <c r="D798" s="46" t="s">
        <v>658</v>
      </c>
      <c r="E798" s="46" t="s">
        <v>556</v>
      </c>
      <c r="F798" s="54" t="s">
        <v>1327</v>
      </c>
      <c r="G798" s="46"/>
      <c r="H798" s="54" t="s">
        <v>1011</v>
      </c>
      <c r="I798" s="54">
        <v>1</v>
      </c>
      <c r="J798" s="55">
        <v>26653</v>
      </c>
      <c r="K798" s="46" t="s">
        <v>1151</v>
      </c>
      <c r="L798" s="46" t="s">
        <v>4</v>
      </c>
      <c r="M798" s="46" t="s">
        <v>813</v>
      </c>
      <c r="N798" s="49">
        <v>1</v>
      </c>
      <c r="O798" s="49">
        <v>2</v>
      </c>
      <c r="P798" s="54" t="s">
        <v>1152</v>
      </c>
      <c r="Q798" s="54" t="s">
        <v>1111</v>
      </c>
      <c r="R798" s="54" t="s">
        <v>376</v>
      </c>
      <c r="S798" s="46"/>
      <c r="T798" s="46"/>
      <c r="U798" s="46"/>
      <c r="V798" s="46"/>
      <c r="W798" s="46"/>
      <c r="X798" s="46"/>
      <c r="Y798" s="46"/>
      <c r="Z798" s="46"/>
      <c r="AA798" s="46"/>
      <c r="AB798" s="46"/>
      <c r="AC798" s="46"/>
      <c r="AD798" s="46" t="s">
        <v>1033</v>
      </c>
      <c r="AE798" s="50">
        <f>IF(L798="W",1,0)</f>
        <v>0</v>
      </c>
      <c r="AF798" s="50">
        <f>IF(L798="T",1,0)</f>
        <v>0</v>
      </c>
      <c r="AG798" s="50">
        <f>IF(L798="L",1,0)</f>
        <v>1</v>
      </c>
      <c r="AH798" s="46" t="s">
        <v>1111</v>
      </c>
      <c r="AI798" s="46" t="s">
        <v>1126</v>
      </c>
      <c r="AJ798" s="46" t="s">
        <v>376</v>
      </c>
      <c r="AK798" s="46" t="s">
        <v>658</v>
      </c>
      <c r="AL798" s="46" t="s">
        <v>1017</v>
      </c>
      <c r="AM798" s="46" t="s">
        <v>1018</v>
      </c>
      <c r="AN798" s="46" t="s">
        <v>376</v>
      </c>
      <c r="AO798" s="46" t="s">
        <v>658</v>
      </c>
      <c r="AP798" s="46"/>
      <c r="AQ798" s="46">
        <v>2</v>
      </c>
      <c r="AR798" s="46"/>
      <c r="AS798" s="46"/>
      <c r="AT798" s="46"/>
      <c r="AU798" s="46" t="s">
        <v>376</v>
      </c>
      <c r="AV798" s="46"/>
      <c r="AW798" s="46" t="s">
        <v>30</v>
      </c>
      <c r="AX798" s="46"/>
      <c r="AY798" s="46"/>
      <c r="AZ798" s="46" t="s">
        <v>30</v>
      </c>
      <c r="BA798" s="54"/>
      <c r="BB798" s="51"/>
      <c r="BC798" s="46"/>
      <c r="BD798" s="46"/>
      <c r="BE798" s="46"/>
      <c r="BF798" s="46">
        <v>1</v>
      </c>
      <c r="BG798" s="46">
        <v>1</v>
      </c>
      <c r="BH798" s="46">
        <v>1</v>
      </c>
      <c r="BI798" s="46" t="s">
        <v>1151</v>
      </c>
      <c r="BJ798" s="46" t="s">
        <v>813</v>
      </c>
      <c r="BK798" s="46">
        <v>1973</v>
      </c>
      <c r="BL798" s="46" t="str">
        <f>BK798&amp;BI798</f>
        <v>1973Wolverhampton Wanderers</v>
      </c>
      <c r="BM798" s="52" t="str">
        <f>IF(AD798="Home",BI798,IF(AD798="Away",BJ798,Q798))</f>
        <v>Wolverhampton Wanderers</v>
      </c>
      <c r="BN798" s="46"/>
      <c r="BO798" s="46"/>
      <c r="BP798" s="46"/>
      <c r="BQ798" s="46"/>
      <c r="BR798" s="46"/>
      <c r="BS798" s="46"/>
      <c r="BT798" s="46"/>
      <c r="BU798" s="46"/>
      <c r="BV798" s="46" t="s">
        <v>376</v>
      </c>
      <c r="BW798" s="46" t="s">
        <v>376</v>
      </c>
      <c r="BX798" s="46"/>
      <c r="BZ798" s="53"/>
      <c r="CA798" s="53"/>
      <c r="CB798" s="93" t="str">
        <f>IF(OR(C798="",A798="",B798=""),"",TEXT(C798,"0000")&amp;TEXT(A798,"00")&amp;TEXT(B798,"00"))</f>
        <v>19721220</v>
      </c>
    </row>
    <row r="799" spans="1:80" s="52" customFormat="1" ht="12.95" customHeight="1" x14ac:dyDescent="0.2">
      <c r="A799" s="46">
        <v>12</v>
      </c>
      <c r="B799" s="46">
        <v>20</v>
      </c>
      <c r="C799" s="46">
        <v>1972</v>
      </c>
      <c r="D799" s="46" t="s">
        <v>658</v>
      </c>
      <c r="E799" s="46" t="s">
        <v>556</v>
      </c>
      <c r="F799" s="54" t="s">
        <v>1327</v>
      </c>
      <c r="G799" s="46"/>
      <c r="H799" s="54" t="s">
        <v>1011</v>
      </c>
      <c r="I799" s="54">
        <v>1</v>
      </c>
      <c r="J799" s="55">
        <v>26653</v>
      </c>
      <c r="K799" s="46" t="s">
        <v>813</v>
      </c>
      <c r="L799" s="46" t="s">
        <v>3</v>
      </c>
      <c r="M799" s="46" t="s">
        <v>1151</v>
      </c>
      <c r="N799" s="49">
        <v>2</v>
      </c>
      <c r="O799" s="49">
        <v>1</v>
      </c>
      <c r="P799" s="54" t="s">
        <v>1152</v>
      </c>
      <c r="Q799" s="54" t="s">
        <v>1111</v>
      </c>
      <c r="R799" s="54" t="s">
        <v>376</v>
      </c>
      <c r="S799" s="46"/>
      <c r="T799" s="46"/>
      <c r="U799" s="46"/>
      <c r="V799" s="46"/>
      <c r="W799" s="46"/>
      <c r="X799" s="46"/>
      <c r="Y799" s="46"/>
      <c r="Z799" s="46"/>
      <c r="AA799" s="46"/>
      <c r="AB799" s="46"/>
      <c r="AC799" s="46"/>
      <c r="AD799" s="46" t="s">
        <v>1037</v>
      </c>
      <c r="AE799" s="50">
        <f>IF(L799="W",1,0)</f>
        <v>1</v>
      </c>
      <c r="AF799" s="50">
        <f>IF(L799="T",1,0)</f>
        <v>0</v>
      </c>
      <c r="AG799" s="50">
        <f>IF(L799="L",1,0)</f>
        <v>0</v>
      </c>
      <c r="AH799" s="46" t="s">
        <v>1017</v>
      </c>
      <c r="AI799" s="46" t="s">
        <v>1018</v>
      </c>
      <c r="AJ799" s="46" t="s">
        <v>376</v>
      </c>
      <c r="AK799" s="46" t="s">
        <v>658</v>
      </c>
      <c r="AL799" s="46" t="s">
        <v>1111</v>
      </c>
      <c r="AM799" s="46" t="s">
        <v>1126</v>
      </c>
      <c r="AN799" s="46" t="s">
        <v>376</v>
      </c>
      <c r="AO799" s="46" t="s">
        <v>658</v>
      </c>
      <c r="AP799" s="46"/>
      <c r="AQ799" s="46">
        <v>2</v>
      </c>
      <c r="AR799" s="46"/>
      <c r="AS799" s="46"/>
      <c r="AT799" s="46"/>
      <c r="AU799" s="46" t="s">
        <v>376</v>
      </c>
      <c r="AV799" s="46"/>
      <c r="AW799" s="46" t="s">
        <v>30</v>
      </c>
      <c r="AX799" s="46"/>
      <c r="AY799" s="46"/>
      <c r="AZ799" s="46" t="s">
        <v>30</v>
      </c>
      <c r="BA799" s="54"/>
      <c r="BB799" s="51"/>
      <c r="BC799" s="46"/>
      <c r="BD799" s="46"/>
      <c r="BE799" s="46"/>
      <c r="BF799" s="46">
        <v>1</v>
      </c>
      <c r="BG799" s="46">
        <v>1</v>
      </c>
      <c r="BH799" s="46">
        <v>1</v>
      </c>
      <c r="BI799" s="46" t="s">
        <v>813</v>
      </c>
      <c r="BJ799" s="46" t="s">
        <v>1151</v>
      </c>
      <c r="BK799" s="46">
        <v>1973</v>
      </c>
      <c r="BL799" s="46" t="str">
        <f>BK799&amp;BI799</f>
        <v>1973Tottenham Hotspur</v>
      </c>
      <c r="BM799" s="52" t="str">
        <f>IF(AD799="Home",BI799,IF(AD799="Away",BJ799,Q799))</f>
        <v>Wolverhampton Wanderers</v>
      </c>
      <c r="BN799" s="46"/>
      <c r="BO799" s="46"/>
      <c r="BP799" s="46"/>
      <c r="BQ799" s="46"/>
      <c r="BR799" s="46"/>
      <c r="BS799" s="46"/>
      <c r="BT799" s="46"/>
      <c r="BU799" s="46"/>
      <c r="BV799" s="46" t="s">
        <v>376</v>
      </c>
      <c r="BW799" s="46" t="s">
        <v>376</v>
      </c>
      <c r="BX799" s="46"/>
      <c r="BZ799" s="53"/>
      <c r="CA799" s="53"/>
      <c r="CB799" s="93" t="str">
        <f>IF(OR(C799="",A799="",B799=""),"",TEXT(C799,"0000")&amp;TEXT(A799,"00")&amp;TEXT(B799,"00"))</f>
        <v>19721220</v>
      </c>
    </row>
    <row r="800" spans="1:80" s="52" customFormat="1" ht="12.95" customHeight="1" x14ac:dyDescent="0.2">
      <c r="A800" s="46">
        <v>12</v>
      </c>
      <c r="B800" s="46">
        <v>30</v>
      </c>
      <c r="C800" s="46">
        <v>1972</v>
      </c>
      <c r="D800" s="46" t="s">
        <v>658</v>
      </c>
      <c r="E800" s="46" t="s">
        <v>556</v>
      </c>
      <c r="F800" s="54" t="s">
        <v>1327</v>
      </c>
      <c r="G800" s="46"/>
      <c r="H800" s="54" t="s">
        <v>1011</v>
      </c>
      <c r="I800" s="54">
        <v>2</v>
      </c>
      <c r="J800" s="55">
        <v>26663</v>
      </c>
      <c r="K800" s="46" t="s">
        <v>813</v>
      </c>
      <c r="L800" s="46" t="s">
        <v>1014</v>
      </c>
      <c r="M800" s="46" t="s">
        <v>1151</v>
      </c>
      <c r="N800" s="49">
        <v>2</v>
      </c>
      <c r="O800" s="49">
        <v>2</v>
      </c>
      <c r="P800" s="54" t="s">
        <v>1222</v>
      </c>
      <c r="Q800" s="54" t="s">
        <v>1017</v>
      </c>
      <c r="R800" s="54" t="s">
        <v>376</v>
      </c>
      <c r="S800" s="46"/>
      <c r="T800" s="46"/>
      <c r="U800" s="46"/>
      <c r="V800" s="46"/>
      <c r="W800" s="46"/>
      <c r="X800" s="46"/>
      <c r="Y800" s="46"/>
      <c r="Z800" s="46"/>
      <c r="AA800" s="46"/>
      <c r="AB800" s="46"/>
      <c r="AC800" s="46"/>
      <c r="AD800" s="46" t="s">
        <v>1033</v>
      </c>
      <c r="AE800" s="50">
        <f>IF(L800="W",1,0)</f>
        <v>0</v>
      </c>
      <c r="AF800" s="50">
        <f>IF(L800="T",1,0)</f>
        <v>1</v>
      </c>
      <c r="AG800" s="50">
        <f>IF(L800="L",1,0)</f>
        <v>0</v>
      </c>
      <c r="AH800" s="46" t="s">
        <v>1017</v>
      </c>
      <c r="AI800" s="46" t="s">
        <v>1018</v>
      </c>
      <c r="AJ800" s="46" t="s">
        <v>376</v>
      </c>
      <c r="AK800" s="46" t="s">
        <v>658</v>
      </c>
      <c r="AL800" s="46" t="s">
        <v>1111</v>
      </c>
      <c r="AM800" s="46" t="s">
        <v>1126</v>
      </c>
      <c r="AN800" s="46" t="s">
        <v>376</v>
      </c>
      <c r="AO800" s="46" t="s">
        <v>658</v>
      </c>
      <c r="AP800" s="46"/>
      <c r="AQ800" s="46">
        <v>2</v>
      </c>
      <c r="AR800" s="46"/>
      <c r="AS800" s="46"/>
      <c r="AT800" s="46"/>
      <c r="AU800" s="46" t="s">
        <v>376</v>
      </c>
      <c r="AV800" s="46"/>
      <c r="AW800" s="46" t="s">
        <v>30</v>
      </c>
      <c r="AX800" s="46"/>
      <c r="AY800" s="46"/>
      <c r="AZ800" s="46" t="s">
        <v>30</v>
      </c>
      <c r="BA800" s="54"/>
      <c r="BB800" s="51"/>
      <c r="BC800" s="46"/>
      <c r="BD800" s="46"/>
      <c r="BE800" s="46"/>
      <c r="BF800" s="46">
        <v>1</v>
      </c>
      <c r="BG800" s="46">
        <v>1</v>
      </c>
      <c r="BH800" s="46">
        <v>1</v>
      </c>
      <c r="BI800" s="46" t="s">
        <v>813</v>
      </c>
      <c r="BJ800" s="46" t="s">
        <v>1151</v>
      </c>
      <c r="BK800" s="46">
        <v>1973</v>
      </c>
      <c r="BL800" s="46" t="str">
        <f>BK800&amp;BI800</f>
        <v>1973Tottenham Hotspur</v>
      </c>
      <c r="BM800" s="52" t="str">
        <f>IF(AD800="Home",BI800,IF(AD800="Away",BJ800,Q800))</f>
        <v>Tottenham Hotspur</v>
      </c>
      <c r="BN800" s="46"/>
      <c r="BO800" s="46"/>
      <c r="BP800" s="46"/>
      <c r="BQ800" s="46"/>
      <c r="BR800" s="46"/>
      <c r="BS800" s="46"/>
      <c r="BT800" s="46"/>
      <c r="BU800" s="46"/>
      <c r="BV800" s="46" t="s">
        <v>376</v>
      </c>
      <c r="BW800" s="46" t="s">
        <v>376</v>
      </c>
      <c r="BX800" s="46"/>
      <c r="BZ800" s="53"/>
      <c r="CA800" s="53"/>
      <c r="CB800" s="93" t="str">
        <f>IF(OR(C800="",A800="",B800=""),"",TEXT(C800,"0000")&amp;TEXT(A800,"00")&amp;TEXT(B800,"00"))</f>
        <v>19721230</v>
      </c>
    </row>
    <row r="801" spans="1:80" s="52" customFormat="1" ht="12.95" customHeight="1" x14ac:dyDescent="0.2">
      <c r="A801" s="46">
        <v>12</v>
      </c>
      <c r="B801" s="46">
        <v>30</v>
      </c>
      <c r="C801" s="46">
        <v>1972</v>
      </c>
      <c r="D801" s="46" t="s">
        <v>658</v>
      </c>
      <c r="E801" s="46" t="s">
        <v>556</v>
      </c>
      <c r="F801" s="54" t="s">
        <v>1327</v>
      </c>
      <c r="G801" s="46"/>
      <c r="H801" s="54" t="s">
        <v>1011</v>
      </c>
      <c r="I801" s="54">
        <v>2</v>
      </c>
      <c r="J801" s="55">
        <v>26663</v>
      </c>
      <c r="K801" s="46" t="s">
        <v>1151</v>
      </c>
      <c r="L801" s="46" t="s">
        <v>1014</v>
      </c>
      <c r="M801" s="46" t="s">
        <v>813</v>
      </c>
      <c r="N801" s="49">
        <v>2</v>
      </c>
      <c r="O801" s="49">
        <v>2</v>
      </c>
      <c r="P801" s="54" t="s">
        <v>1222</v>
      </c>
      <c r="Q801" s="54" t="s">
        <v>1017</v>
      </c>
      <c r="R801" s="54" t="s">
        <v>376</v>
      </c>
      <c r="S801" s="46"/>
      <c r="T801" s="46"/>
      <c r="U801" s="46"/>
      <c r="V801" s="46"/>
      <c r="W801" s="46"/>
      <c r="X801" s="46"/>
      <c r="Y801" s="46"/>
      <c r="Z801" s="46"/>
      <c r="AA801" s="46"/>
      <c r="AB801" s="46"/>
      <c r="AC801" s="46"/>
      <c r="AD801" s="46" t="s">
        <v>1037</v>
      </c>
      <c r="AE801" s="50">
        <f>IF(L801="W",1,0)</f>
        <v>0</v>
      </c>
      <c r="AF801" s="50">
        <f>IF(L801="T",1,0)</f>
        <v>1</v>
      </c>
      <c r="AG801" s="50">
        <f>IF(L801="L",1,0)</f>
        <v>0</v>
      </c>
      <c r="AH801" s="46" t="s">
        <v>1111</v>
      </c>
      <c r="AI801" s="46" t="s">
        <v>1126</v>
      </c>
      <c r="AJ801" s="46" t="s">
        <v>376</v>
      </c>
      <c r="AK801" s="46" t="s">
        <v>658</v>
      </c>
      <c r="AL801" s="46" t="s">
        <v>1017</v>
      </c>
      <c r="AM801" s="46" t="s">
        <v>1018</v>
      </c>
      <c r="AN801" s="46" t="s">
        <v>376</v>
      </c>
      <c r="AO801" s="46" t="s">
        <v>658</v>
      </c>
      <c r="AP801" s="46"/>
      <c r="AQ801" s="46">
        <v>2</v>
      </c>
      <c r="AR801" s="46"/>
      <c r="AS801" s="46"/>
      <c r="AT801" s="46"/>
      <c r="AU801" s="46" t="s">
        <v>376</v>
      </c>
      <c r="AV801" s="46"/>
      <c r="AW801" s="46" t="s">
        <v>30</v>
      </c>
      <c r="AX801" s="46"/>
      <c r="AY801" s="46"/>
      <c r="AZ801" s="46" t="s">
        <v>30</v>
      </c>
      <c r="BA801" s="54"/>
      <c r="BB801" s="51"/>
      <c r="BC801" s="46"/>
      <c r="BD801" s="46"/>
      <c r="BE801" s="46"/>
      <c r="BF801" s="46">
        <v>1</v>
      </c>
      <c r="BG801" s="46">
        <v>1</v>
      </c>
      <c r="BH801" s="46">
        <v>1</v>
      </c>
      <c r="BI801" s="46" t="s">
        <v>1151</v>
      </c>
      <c r="BJ801" s="46" t="s">
        <v>813</v>
      </c>
      <c r="BK801" s="46">
        <v>1973</v>
      </c>
      <c r="BL801" s="46" t="str">
        <f>BK801&amp;BI801</f>
        <v>1973Wolverhampton Wanderers</v>
      </c>
      <c r="BM801" s="52" t="str">
        <f>IF(AD801="Home",BI801,IF(AD801="Away",BJ801,Q801))</f>
        <v>Tottenham Hotspur</v>
      </c>
      <c r="BN801" s="46"/>
      <c r="BO801" s="46"/>
      <c r="BP801" s="46"/>
      <c r="BQ801" s="46"/>
      <c r="BR801" s="46"/>
      <c r="BS801" s="46"/>
      <c r="BT801" s="46"/>
      <c r="BU801" s="46"/>
      <c r="BV801" s="46" t="s">
        <v>376</v>
      </c>
      <c r="BW801" s="46" t="s">
        <v>376</v>
      </c>
      <c r="BX801" s="46"/>
      <c r="BZ801" s="53"/>
      <c r="CA801" s="53"/>
      <c r="CB801" s="93" t="str">
        <f>IF(OR(C801="",A801="",B801=""),"",TEXT(C801,"0000")&amp;TEXT(A801,"00")&amp;TEXT(B801,"00"))</f>
        <v>19721230</v>
      </c>
    </row>
    <row r="802" spans="1:80" s="52" customFormat="1" ht="12.95" customHeight="1" x14ac:dyDescent="0.2">
      <c r="A802" s="46">
        <v>1</v>
      </c>
      <c r="B802" s="46">
        <v>3</v>
      </c>
      <c r="C802" s="46">
        <v>1973</v>
      </c>
      <c r="D802" s="46" t="s">
        <v>658</v>
      </c>
      <c r="E802" s="46" t="s">
        <v>556</v>
      </c>
      <c r="F802" s="54" t="s">
        <v>1327</v>
      </c>
      <c r="G802" s="46"/>
      <c r="H802" s="54" t="s">
        <v>1011</v>
      </c>
      <c r="I802" s="54">
        <v>2</v>
      </c>
      <c r="J802" s="55">
        <v>26667</v>
      </c>
      <c r="K802" s="46" t="s">
        <v>1321</v>
      </c>
      <c r="L802" s="46" t="s">
        <v>3</v>
      </c>
      <c r="M802" s="46" t="s">
        <v>816</v>
      </c>
      <c r="N802" s="49">
        <v>1</v>
      </c>
      <c r="O802" s="49">
        <v>0</v>
      </c>
      <c r="P802" s="54" t="s">
        <v>1337</v>
      </c>
      <c r="Q802" s="54" t="s">
        <v>1323</v>
      </c>
      <c r="R802" s="54" t="s">
        <v>376</v>
      </c>
      <c r="S802" s="46"/>
      <c r="T802" s="46"/>
      <c r="U802" s="46"/>
      <c r="V802" s="46"/>
      <c r="W802" s="46"/>
      <c r="X802" s="46"/>
      <c r="Y802" s="46"/>
      <c r="Z802" s="46"/>
      <c r="AA802" s="46"/>
      <c r="AB802" s="46"/>
      <c r="AC802" s="46"/>
      <c r="AD802" s="46" t="s">
        <v>1033</v>
      </c>
      <c r="AE802" s="50">
        <f>IF(L802="W",1,0)</f>
        <v>1</v>
      </c>
      <c r="AF802" s="50">
        <f>IF(L802="T",1,0)</f>
        <v>0</v>
      </c>
      <c r="AG802" s="50">
        <f>IF(L802="L",1,0)</f>
        <v>0</v>
      </c>
      <c r="AH802" s="46" t="s">
        <v>1323</v>
      </c>
      <c r="AI802" s="46" t="s">
        <v>1324</v>
      </c>
      <c r="AJ802" s="46" t="s">
        <v>376</v>
      </c>
      <c r="AK802" s="46" t="s">
        <v>658</v>
      </c>
      <c r="AL802" s="46" t="s">
        <v>1017</v>
      </c>
      <c r="AM802" s="46" t="s">
        <v>1018</v>
      </c>
      <c r="AN802" s="46" t="s">
        <v>376</v>
      </c>
      <c r="AO802" s="46" t="s">
        <v>658</v>
      </c>
      <c r="AP802" s="46"/>
      <c r="AQ802" s="46">
        <v>2</v>
      </c>
      <c r="AR802" s="46"/>
      <c r="AS802" s="46"/>
      <c r="AT802" s="46"/>
      <c r="AU802" s="46" t="s">
        <v>376</v>
      </c>
      <c r="AV802" s="46"/>
      <c r="AW802" s="46" t="s">
        <v>30</v>
      </c>
      <c r="AX802" s="46"/>
      <c r="AY802" s="46"/>
      <c r="AZ802" s="46" t="s">
        <v>30</v>
      </c>
      <c r="BA802" s="54"/>
      <c r="BB802" s="51"/>
      <c r="BC802" s="46"/>
      <c r="BD802" s="46"/>
      <c r="BE802" s="46"/>
      <c r="BF802" s="46">
        <v>1</v>
      </c>
      <c r="BG802" s="46">
        <v>1</v>
      </c>
      <c r="BH802" s="46">
        <v>1</v>
      </c>
      <c r="BI802" s="46" t="s">
        <v>1321</v>
      </c>
      <c r="BJ802" s="46" t="s">
        <v>816</v>
      </c>
      <c r="BK802" s="46">
        <v>1973</v>
      </c>
      <c r="BL802" s="46" t="str">
        <f>BK802&amp;BI802</f>
        <v>1973Norwich City</v>
      </c>
      <c r="BM802" s="52" t="str">
        <f>IF(AD802="Home",BI802,IF(AD802="Away",BJ802,Q802))</f>
        <v>Norwich City</v>
      </c>
      <c r="BN802" s="46"/>
      <c r="BO802" s="46"/>
      <c r="BP802" s="46"/>
      <c r="BQ802" s="46"/>
      <c r="BR802" s="46"/>
      <c r="BS802" s="46"/>
      <c r="BT802" s="46"/>
      <c r="BU802" s="46"/>
      <c r="BV802" s="46" t="s">
        <v>376</v>
      </c>
      <c r="BW802" s="46" t="s">
        <v>376</v>
      </c>
      <c r="BX802" s="46"/>
      <c r="BZ802" s="53"/>
      <c r="CA802" s="53"/>
      <c r="CB802" s="93" t="str">
        <f>IF(OR(C802="",A802="",B802=""),"",TEXT(C802,"0000")&amp;TEXT(A802,"00")&amp;TEXT(B802,"00"))</f>
        <v>19730103</v>
      </c>
    </row>
    <row r="803" spans="1:80" s="52" customFormat="1" ht="12.95" customHeight="1" x14ac:dyDescent="0.2">
      <c r="A803" s="46">
        <v>1</v>
      </c>
      <c r="B803" s="46">
        <v>3</v>
      </c>
      <c r="C803" s="46">
        <v>1973</v>
      </c>
      <c r="D803" s="46" t="s">
        <v>658</v>
      </c>
      <c r="E803" s="46" t="s">
        <v>556</v>
      </c>
      <c r="F803" s="54" t="s">
        <v>1327</v>
      </c>
      <c r="G803" s="46"/>
      <c r="H803" s="54" t="s">
        <v>1011</v>
      </c>
      <c r="I803" s="54">
        <v>2</v>
      </c>
      <c r="J803" s="55">
        <v>26667</v>
      </c>
      <c r="K803" s="46" t="s">
        <v>816</v>
      </c>
      <c r="L803" s="46" t="s">
        <v>4</v>
      </c>
      <c r="M803" s="46" t="s">
        <v>1321</v>
      </c>
      <c r="N803" s="49">
        <v>0</v>
      </c>
      <c r="O803" s="49">
        <v>1</v>
      </c>
      <c r="P803" s="54" t="s">
        <v>1337</v>
      </c>
      <c r="Q803" s="54" t="s">
        <v>1323</v>
      </c>
      <c r="R803" s="54" t="s">
        <v>376</v>
      </c>
      <c r="S803" s="46"/>
      <c r="T803" s="46"/>
      <c r="U803" s="46"/>
      <c r="V803" s="46"/>
      <c r="W803" s="46"/>
      <c r="X803" s="46"/>
      <c r="Y803" s="46"/>
      <c r="Z803" s="46"/>
      <c r="AA803" s="46"/>
      <c r="AB803" s="46"/>
      <c r="AC803" s="46"/>
      <c r="AD803" s="46" t="s">
        <v>1037</v>
      </c>
      <c r="AE803" s="50">
        <f>IF(L803="W",1,0)</f>
        <v>0</v>
      </c>
      <c r="AF803" s="50">
        <f>IF(L803="T",1,0)</f>
        <v>0</v>
      </c>
      <c r="AG803" s="50">
        <f>IF(L803="L",1,0)</f>
        <v>1</v>
      </c>
      <c r="AH803" s="46" t="s">
        <v>1017</v>
      </c>
      <c r="AI803" s="46" t="s">
        <v>1018</v>
      </c>
      <c r="AJ803" s="46" t="s">
        <v>376</v>
      </c>
      <c r="AK803" s="46" t="s">
        <v>658</v>
      </c>
      <c r="AL803" s="46" t="s">
        <v>1323</v>
      </c>
      <c r="AM803" s="46" t="s">
        <v>1324</v>
      </c>
      <c r="AN803" s="46" t="s">
        <v>376</v>
      </c>
      <c r="AO803" s="46" t="s">
        <v>658</v>
      </c>
      <c r="AP803" s="46"/>
      <c r="AQ803" s="46">
        <v>2</v>
      </c>
      <c r="AR803" s="46"/>
      <c r="AS803" s="46"/>
      <c r="AT803" s="46"/>
      <c r="AU803" s="46" t="s">
        <v>376</v>
      </c>
      <c r="AV803" s="46"/>
      <c r="AW803" s="46" t="s">
        <v>30</v>
      </c>
      <c r="AX803" s="46"/>
      <c r="AY803" s="46"/>
      <c r="AZ803" s="46" t="s">
        <v>30</v>
      </c>
      <c r="BA803" s="54"/>
      <c r="BB803" s="51"/>
      <c r="BC803" s="46"/>
      <c r="BD803" s="46"/>
      <c r="BE803" s="46"/>
      <c r="BF803" s="46">
        <v>1</v>
      </c>
      <c r="BG803" s="46">
        <v>1</v>
      </c>
      <c r="BH803" s="46">
        <v>1</v>
      </c>
      <c r="BI803" s="46" t="s">
        <v>816</v>
      </c>
      <c r="BJ803" s="46" t="s">
        <v>1321</v>
      </c>
      <c r="BK803" s="46">
        <v>1973</v>
      </c>
      <c r="BL803" s="46" t="str">
        <f>BK803&amp;BI803</f>
        <v>1973Chelsea</v>
      </c>
      <c r="BM803" s="52" t="str">
        <f>IF(AD803="Home",BI803,IF(AD803="Away",BJ803,Q803))</f>
        <v>Norwich City</v>
      </c>
      <c r="BN803" s="46"/>
      <c r="BO803" s="46"/>
      <c r="BP803" s="46"/>
      <c r="BQ803" s="46"/>
      <c r="BR803" s="46"/>
      <c r="BS803" s="46"/>
      <c r="BT803" s="46"/>
      <c r="BU803" s="46"/>
      <c r="BV803" s="46" t="s">
        <v>376</v>
      </c>
      <c r="BW803" s="46" t="s">
        <v>376</v>
      </c>
      <c r="BX803" s="46"/>
      <c r="BZ803" s="53"/>
      <c r="CA803" s="53"/>
      <c r="CB803" s="93" t="str">
        <f>IF(OR(C803="",A803="",B803=""),"",TEXT(C803,"0000")&amp;TEXT(A803,"00")&amp;TEXT(B803,"00"))</f>
        <v>19730103</v>
      </c>
    </row>
    <row r="804" spans="1:80" s="52" customFormat="1" ht="12.95" customHeight="1" x14ac:dyDescent="0.2">
      <c r="A804" s="46">
        <v>3</v>
      </c>
      <c r="B804" s="46">
        <v>3</v>
      </c>
      <c r="C804" s="46">
        <v>1973</v>
      </c>
      <c r="D804" s="46" t="s">
        <v>658</v>
      </c>
      <c r="E804" s="46" t="s">
        <v>556</v>
      </c>
      <c r="F804" s="54" t="s">
        <v>1327</v>
      </c>
      <c r="G804" s="46"/>
      <c r="H804" s="54" t="s">
        <v>40</v>
      </c>
      <c r="I804" s="54"/>
      <c r="J804" s="55">
        <v>26726</v>
      </c>
      <c r="K804" s="46" t="s">
        <v>813</v>
      </c>
      <c r="L804" s="46" t="s">
        <v>3</v>
      </c>
      <c r="M804" s="46" t="s">
        <v>1321</v>
      </c>
      <c r="N804" s="49">
        <v>1</v>
      </c>
      <c r="O804" s="49">
        <v>0</v>
      </c>
      <c r="P804" s="54" t="s">
        <v>1268</v>
      </c>
      <c r="Q804" s="54" t="s">
        <v>1017</v>
      </c>
      <c r="R804" s="54" t="s">
        <v>376</v>
      </c>
      <c r="S804" s="46"/>
      <c r="T804" s="46"/>
      <c r="U804" s="46"/>
      <c r="V804" s="46"/>
      <c r="W804" s="46"/>
      <c r="X804" s="46"/>
      <c r="Y804" s="46"/>
      <c r="Z804" s="46"/>
      <c r="AA804" s="46"/>
      <c r="AB804" s="46"/>
      <c r="AC804" s="46"/>
      <c r="AD804" s="46"/>
      <c r="AE804" s="50">
        <f>IF(L804="W",1,0)</f>
        <v>1</v>
      </c>
      <c r="AF804" s="50">
        <f>IF(L804="T",1,0)</f>
        <v>0</v>
      </c>
      <c r="AG804" s="50">
        <f>IF(L804="L",1,0)</f>
        <v>0</v>
      </c>
      <c r="AH804" s="46" t="s">
        <v>1017</v>
      </c>
      <c r="AI804" s="46" t="s">
        <v>1018</v>
      </c>
      <c r="AJ804" s="46" t="s">
        <v>376</v>
      </c>
      <c r="AK804" s="46" t="s">
        <v>658</v>
      </c>
      <c r="AL804" s="46" t="s">
        <v>1323</v>
      </c>
      <c r="AM804" s="46" t="s">
        <v>1324</v>
      </c>
      <c r="AN804" s="46" t="s">
        <v>376</v>
      </c>
      <c r="AO804" s="46" t="s">
        <v>658</v>
      </c>
      <c r="AP804" s="46"/>
      <c r="AQ804" s="46">
        <v>1</v>
      </c>
      <c r="AR804" s="46"/>
      <c r="AS804" s="46"/>
      <c r="AT804" s="46"/>
      <c r="AU804" s="46" t="s">
        <v>376</v>
      </c>
      <c r="AV804" s="46"/>
      <c r="AW804" s="46" t="s">
        <v>30</v>
      </c>
      <c r="AX804" s="46"/>
      <c r="AY804" s="46"/>
      <c r="AZ804" s="46" t="s">
        <v>30</v>
      </c>
      <c r="BA804" s="54"/>
      <c r="BB804" s="51" t="s">
        <v>30</v>
      </c>
      <c r="BC804" s="46" t="s">
        <v>30</v>
      </c>
      <c r="BD804" s="46"/>
      <c r="BE804" s="46"/>
      <c r="BF804" s="46">
        <v>1</v>
      </c>
      <c r="BG804" s="46">
        <v>1</v>
      </c>
      <c r="BH804" s="46">
        <v>1</v>
      </c>
      <c r="BI804" s="46" t="s">
        <v>813</v>
      </c>
      <c r="BJ804" s="46" t="s">
        <v>1321</v>
      </c>
      <c r="BK804" s="46">
        <v>1973</v>
      </c>
      <c r="BL804" s="46" t="str">
        <f>BK804&amp;BI804</f>
        <v>1973Tottenham Hotspur</v>
      </c>
      <c r="BM804" s="52" t="str">
        <f>IF(AD804="Home",BI804,IF(AD804="Away",BJ804,Q804))</f>
        <v>London</v>
      </c>
      <c r="BN804" s="46"/>
      <c r="BO804" s="46"/>
      <c r="BP804" s="46"/>
      <c r="BQ804" s="46"/>
      <c r="BR804" s="46"/>
      <c r="BS804" s="46"/>
      <c r="BT804" s="46"/>
      <c r="BU804" s="46"/>
      <c r="BV804" s="46" t="s">
        <v>376</v>
      </c>
      <c r="BW804" s="46" t="s">
        <v>376</v>
      </c>
      <c r="BX804" s="46"/>
      <c r="BZ804" s="53"/>
      <c r="CA804" s="53"/>
      <c r="CB804" s="93" t="str">
        <f>IF(OR(C804="",A804="",B804=""),"",TEXT(C804,"0000")&amp;TEXT(A804,"00")&amp;TEXT(B804,"00"))</f>
        <v>19730303</v>
      </c>
    </row>
    <row r="805" spans="1:80" s="52" customFormat="1" ht="12.95" customHeight="1" x14ac:dyDescent="0.2">
      <c r="A805" s="46">
        <v>3</v>
      </c>
      <c r="B805" s="46">
        <v>3</v>
      </c>
      <c r="C805" s="46">
        <v>1973</v>
      </c>
      <c r="D805" s="46" t="s">
        <v>658</v>
      </c>
      <c r="E805" s="46" t="s">
        <v>556</v>
      </c>
      <c r="F805" s="54" t="s">
        <v>1327</v>
      </c>
      <c r="G805" s="46"/>
      <c r="H805" s="54" t="s">
        <v>40</v>
      </c>
      <c r="I805" s="54"/>
      <c r="J805" s="55">
        <v>26726</v>
      </c>
      <c r="K805" s="46" t="s">
        <v>1321</v>
      </c>
      <c r="L805" s="46" t="s">
        <v>4</v>
      </c>
      <c r="M805" s="46" t="s">
        <v>813</v>
      </c>
      <c r="N805" s="49">
        <v>0</v>
      </c>
      <c r="O805" s="49">
        <v>1</v>
      </c>
      <c r="P805" s="54" t="s">
        <v>1268</v>
      </c>
      <c r="Q805" s="54" t="s">
        <v>1017</v>
      </c>
      <c r="R805" s="54" t="s">
        <v>376</v>
      </c>
      <c r="S805" s="46"/>
      <c r="T805" s="46"/>
      <c r="U805" s="46"/>
      <c r="V805" s="46"/>
      <c r="W805" s="46"/>
      <c r="X805" s="46"/>
      <c r="Y805" s="46"/>
      <c r="Z805" s="46"/>
      <c r="AA805" s="46"/>
      <c r="AB805" s="46"/>
      <c r="AC805" s="46"/>
      <c r="AD805" s="46"/>
      <c r="AE805" s="50">
        <f>IF(L805="W",1,0)</f>
        <v>0</v>
      </c>
      <c r="AF805" s="50">
        <f>IF(L805="T",1,0)</f>
        <v>0</v>
      </c>
      <c r="AG805" s="50">
        <f>IF(L805="L",1,0)</f>
        <v>1</v>
      </c>
      <c r="AH805" s="46" t="s">
        <v>1323</v>
      </c>
      <c r="AI805" s="46" t="s">
        <v>1324</v>
      </c>
      <c r="AJ805" s="46" t="s">
        <v>376</v>
      </c>
      <c r="AK805" s="46" t="s">
        <v>658</v>
      </c>
      <c r="AL805" s="46" t="s">
        <v>1017</v>
      </c>
      <c r="AM805" s="46" t="s">
        <v>1018</v>
      </c>
      <c r="AN805" s="46" t="s">
        <v>376</v>
      </c>
      <c r="AO805" s="46" t="s">
        <v>658</v>
      </c>
      <c r="AP805" s="46"/>
      <c r="AQ805" s="46">
        <v>1</v>
      </c>
      <c r="AR805" s="46"/>
      <c r="AS805" s="46"/>
      <c r="AT805" s="46"/>
      <c r="AU805" s="46" t="s">
        <v>376</v>
      </c>
      <c r="AV805" s="46"/>
      <c r="AW805" s="46" t="s">
        <v>30</v>
      </c>
      <c r="AX805" s="46"/>
      <c r="AY805" s="46"/>
      <c r="AZ805" s="46" t="s">
        <v>30</v>
      </c>
      <c r="BA805" s="54"/>
      <c r="BB805" s="51"/>
      <c r="BC805" s="46" t="s">
        <v>30</v>
      </c>
      <c r="BD805" s="46"/>
      <c r="BE805" s="46"/>
      <c r="BF805" s="46">
        <v>1</v>
      </c>
      <c r="BG805" s="46">
        <v>1</v>
      </c>
      <c r="BH805" s="46">
        <v>1</v>
      </c>
      <c r="BI805" s="46" t="s">
        <v>1321</v>
      </c>
      <c r="BJ805" s="46" t="s">
        <v>813</v>
      </c>
      <c r="BK805" s="46">
        <v>1973</v>
      </c>
      <c r="BL805" s="46" t="str">
        <f>BK805&amp;BI805</f>
        <v>1973Norwich City</v>
      </c>
      <c r="BM805" s="52" t="str">
        <f>IF(AD805="Home",BI805,IF(AD805="Away",BJ805,Q805))</f>
        <v>London</v>
      </c>
      <c r="BN805" s="46"/>
      <c r="BO805" s="46"/>
      <c r="BP805" s="46"/>
      <c r="BQ805" s="46"/>
      <c r="BR805" s="46"/>
      <c r="BS805" s="46"/>
      <c r="BT805" s="46"/>
      <c r="BU805" s="46"/>
      <c r="BV805" s="46" t="s">
        <v>376</v>
      </c>
      <c r="BW805" s="46" t="s">
        <v>376</v>
      </c>
      <c r="BX805" s="46"/>
      <c r="BZ805" s="53"/>
      <c r="CA805" s="53"/>
      <c r="CB805" s="93" t="str">
        <f>IF(OR(C805="",A805="",B805=""),"",TEXT(C805,"0000")&amp;TEXT(A805,"00")&amp;TEXT(B805,"00"))</f>
        <v>19730303</v>
      </c>
    </row>
    <row r="806" spans="1:80" s="52" customFormat="1" ht="12.95" customHeight="1" x14ac:dyDescent="0.2">
      <c r="A806" s="46">
        <v>4</v>
      </c>
      <c r="B806" s="46">
        <v>7</v>
      </c>
      <c r="C806" s="46">
        <v>1973</v>
      </c>
      <c r="D806" s="46" t="s">
        <v>658</v>
      </c>
      <c r="E806" s="46" t="s">
        <v>556</v>
      </c>
      <c r="F806" s="47" t="s">
        <v>1010</v>
      </c>
      <c r="G806" s="46"/>
      <c r="H806" s="47" t="s">
        <v>1011</v>
      </c>
      <c r="I806" s="47"/>
      <c r="J806" s="48">
        <v>26761</v>
      </c>
      <c r="K806" s="46" t="s">
        <v>793</v>
      </c>
      <c r="L806" s="46" t="s">
        <v>3</v>
      </c>
      <c r="M806" s="46" t="s">
        <v>587</v>
      </c>
      <c r="N806" s="49">
        <v>2</v>
      </c>
      <c r="O806" s="49">
        <v>1</v>
      </c>
      <c r="P806" s="47" t="s">
        <v>1252</v>
      </c>
      <c r="Q806" s="47" t="s">
        <v>1097</v>
      </c>
      <c r="R806" s="47" t="s">
        <v>376</v>
      </c>
      <c r="S806" s="46"/>
      <c r="T806" s="46"/>
      <c r="U806" s="46"/>
      <c r="V806" s="46"/>
      <c r="W806" s="46"/>
      <c r="X806" s="46"/>
      <c r="Y806" s="46"/>
      <c r="Z806" s="46"/>
      <c r="AA806" s="46"/>
      <c r="AB806" s="46"/>
      <c r="AC806" s="46"/>
      <c r="AD806" s="46"/>
      <c r="AE806" s="50">
        <f>IF(L806="W",1,0)</f>
        <v>1</v>
      </c>
      <c r="AF806" s="50">
        <f>IF(L806="T",1,0)</f>
        <v>0</v>
      </c>
      <c r="AG806" s="50">
        <f>IF(L806="L",1,0)</f>
        <v>0</v>
      </c>
      <c r="AH806" s="46" t="s">
        <v>793</v>
      </c>
      <c r="AI806" s="46" t="s">
        <v>1164</v>
      </c>
      <c r="AJ806" s="46" t="s">
        <v>376</v>
      </c>
      <c r="AK806" s="46" t="s">
        <v>658</v>
      </c>
      <c r="AL806" s="46" t="s">
        <v>1017</v>
      </c>
      <c r="AM806" s="46" t="s">
        <v>1018</v>
      </c>
      <c r="AN806" s="46" t="s">
        <v>376</v>
      </c>
      <c r="AO806" s="46" t="s">
        <v>658</v>
      </c>
      <c r="AP806" s="46"/>
      <c r="AQ806" s="46">
        <v>2</v>
      </c>
      <c r="AR806" s="46"/>
      <c r="AS806" s="46"/>
      <c r="AT806" s="46"/>
      <c r="AU806" s="46" t="s">
        <v>376</v>
      </c>
      <c r="AV806" s="46"/>
      <c r="AW806" s="46" t="s">
        <v>30</v>
      </c>
      <c r="AX806" s="46"/>
      <c r="AY806" s="46" t="s">
        <v>30</v>
      </c>
      <c r="AZ806" s="46"/>
      <c r="BA806" s="47"/>
      <c r="BB806" s="51"/>
      <c r="BC806" s="46"/>
      <c r="BD806" s="46"/>
      <c r="BE806" s="46"/>
      <c r="BF806" s="46">
        <v>1</v>
      </c>
      <c r="BG806" s="46">
        <v>2</v>
      </c>
      <c r="BH806" s="46">
        <v>1</v>
      </c>
      <c r="BI806" s="46" t="s">
        <v>793</v>
      </c>
      <c r="BJ806" s="46" t="s">
        <v>587</v>
      </c>
      <c r="BK806" s="46">
        <v>1973</v>
      </c>
      <c r="BL806" s="46" t="str">
        <f>BK806&amp;BI806</f>
        <v>1973Sunderland</v>
      </c>
      <c r="BM806" s="52" t="str">
        <f>IF(AD806="Home",BI806,IF(AD806="Away",BJ806,Q806))</f>
        <v>Sheffield</v>
      </c>
      <c r="BN806" s="46"/>
      <c r="BO806" s="46"/>
      <c r="BP806" s="46"/>
      <c r="BQ806" s="46"/>
      <c r="BR806" s="46"/>
      <c r="BS806" s="46"/>
      <c r="BT806" s="46"/>
      <c r="BU806" s="46"/>
      <c r="BV806" s="46" t="s">
        <v>376</v>
      </c>
      <c r="BW806" s="46" t="s">
        <v>376</v>
      </c>
      <c r="BX806" s="46"/>
      <c r="BY806" s="50"/>
      <c r="BZ806" s="53"/>
      <c r="CA806" s="53"/>
      <c r="CB806" s="93" t="str">
        <f>IF(OR(C806="",A806="",B806=""),"",TEXT(C806,"0000")&amp;TEXT(A806,"00")&amp;TEXT(B806,"00"))</f>
        <v>19730407</v>
      </c>
    </row>
    <row r="807" spans="1:80" s="52" customFormat="1" ht="12.95" customHeight="1" x14ac:dyDescent="0.2">
      <c r="A807" s="46">
        <v>4</v>
      </c>
      <c r="B807" s="46">
        <v>7</v>
      </c>
      <c r="C807" s="46">
        <v>1973</v>
      </c>
      <c r="D807" s="46" t="s">
        <v>658</v>
      </c>
      <c r="E807" s="46" t="s">
        <v>556</v>
      </c>
      <c r="F807" s="47" t="s">
        <v>1010</v>
      </c>
      <c r="G807" s="46"/>
      <c r="H807" s="47" t="s">
        <v>1011</v>
      </c>
      <c r="I807" s="47"/>
      <c r="J807" s="48">
        <v>26761</v>
      </c>
      <c r="K807" s="46" t="s">
        <v>587</v>
      </c>
      <c r="L807" s="46" t="s">
        <v>4</v>
      </c>
      <c r="M807" s="46" t="s">
        <v>793</v>
      </c>
      <c r="N807" s="49">
        <v>1</v>
      </c>
      <c r="O807" s="49">
        <v>2</v>
      </c>
      <c r="P807" s="47" t="s">
        <v>1252</v>
      </c>
      <c r="Q807" s="47" t="s">
        <v>1097</v>
      </c>
      <c r="R807" s="47" t="s">
        <v>376</v>
      </c>
      <c r="S807" s="46"/>
      <c r="T807" s="46"/>
      <c r="U807" s="46"/>
      <c r="V807" s="46"/>
      <c r="W807" s="46"/>
      <c r="X807" s="46"/>
      <c r="Y807" s="46"/>
      <c r="Z807" s="46"/>
      <c r="AA807" s="46"/>
      <c r="AB807" s="46"/>
      <c r="AC807" s="46"/>
      <c r="AD807" s="46"/>
      <c r="AE807" s="50">
        <f>IF(L807="W",1,0)</f>
        <v>0</v>
      </c>
      <c r="AF807" s="50">
        <f>IF(L807="T",1,0)</f>
        <v>0</v>
      </c>
      <c r="AG807" s="50">
        <f>IF(L807="L",1,0)</f>
        <v>1</v>
      </c>
      <c r="AH807" s="46" t="s">
        <v>1017</v>
      </c>
      <c r="AI807" s="46" t="s">
        <v>1018</v>
      </c>
      <c r="AJ807" s="46" t="s">
        <v>376</v>
      </c>
      <c r="AK807" s="46" t="s">
        <v>658</v>
      </c>
      <c r="AL807" s="46" t="s">
        <v>793</v>
      </c>
      <c r="AM807" s="46" t="s">
        <v>1164</v>
      </c>
      <c r="AN807" s="46" t="s">
        <v>376</v>
      </c>
      <c r="AO807" s="46" t="s">
        <v>658</v>
      </c>
      <c r="AP807" s="46"/>
      <c r="AQ807" s="46">
        <v>2</v>
      </c>
      <c r="AR807" s="46"/>
      <c r="AS807" s="46"/>
      <c r="AT807" s="46"/>
      <c r="AU807" s="46" t="s">
        <v>376</v>
      </c>
      <c r="AV807" s="46"/>
      <c r="AW807" s="46" t="s">
        <v>30</v>
      </c>
      <c r="AX807" s="46"/>
      <c r="AY807" s="46" t="s">
        <v>30</v>
      </c>
      <c r="AZ807" s="46"/>
      <c r="BA807" s="47"/>
      <c r="BB807" s="51"/>
      <c r="BC807" s="46"/>
      <c r="BD807" s="46"/>
      <c r="BE807" s="46"/>
      <c r="BF807" s="46">
        <v>1</v>
      </c>
      <c r="BG807" s="46">
        <v>1</v>
      </c>
      <c r="BH807" s="46">
        <v>2</v>
      </c>
      <c r="BI807" s="46" t="s">
        <v>587</v>
      </c>
      <c r="BJ807" s="46" t="s">
        <v>793</v>
      </c>
      <c r="BK807" s="46">
        <v>1973</v>
      </c>
      <c r="BL807" s="46" t="str">
        <f>BK807&amp;BI807</f>
        <v>1973Arsenal</v>
      </c>
      <c r="BM807" s="52" t="str">
        <f>IF(AD807="Home",BI807,IF(AD807="Away",BJ807,Q807))</f>
        <v>Sheffield</v>
      </c>
      <c r="BN807" s="46"/>
      <c r="BO807" s="46"/>
      <c r="BP807" s="46"/>
      <c r="BQ807" s="46"/>
      <c r="BR807" s="46"/>
      <c r="BS807" s="46"/>
      <c r="BT807" s="46"/>
      <c r="BU807" s="46"/>
      <c r="BV807" s="46" t="s">
        <v>376</v>
      </c>
      <c r="BW807" s="46" t="s">
        <v>376</v>
      </c>
      <c r="BX807" s="46"/>
      <c r="BY807" s="50"/>
      <c r="BZ807" s="53"/>
      <c r="CA807" s="53"/>
      <c r="CB807" s="93" t="str">
        <f>IF(OR(C807="",A807="",B807=""),"",TEXT(C807,"0000")&amp;TEXT(A807,"00")&amp;TEXT(B807,"00"))</f>
        <v>19730407</v>
      </c>
    </row>
    <row r="808" spans="1:80" s="52" customFormat="1" ht="12.95" customHeight="1" x14ac:dyDescent="0.2">
      <c r="A808" s="46">
        <v>4</v>
      </c>
      <c r="B808" s="46">
        <v>7</v>
      </c>
      <c r="C808" s="46">
        <v>1973</v>
      </c>
      <c r="D808" s="46" t="s">
        <v>658</v>
      </c>
      <c r="E808" s="46" t="s">
        <v>556</v>
      </c>
      <c r="F808" s="47" t="s">
        <v>1010</v>
      </c>
      <c r="G808" s="46"/>
      <c r="H808" s="47" t="s">
        <v>1011</v>
      </c>
      <c r="I808" s="47"/>
      <c r="J808" s="48">
        <v>26761</v>
      </c>
      <c r="K808" s="46" t="s">
        <v>794</v>
      </c>
      <c r="L808" s="46" t="s">
        <v>3</v>
      </c>
      <c r="M808" s="46" t="s">
        <v>1151</v>
      </c>
      <c r="N808" s="49">
        <v>1</v>
      </c>
      <c r="O808" s="49">
        <v>0</v>
      </c>
      <c r="P808" s="47" t="s">
        <v>1226</v>
      </c>
      <c r="Q808" s="47" t="s">
        <v>1101</v>
      </c>
      <c r="R808" s="47" t="s">
        <v>376</v>
      </c>
      <c r="S808" s="46"/>
      <c r="T808" s="46"/>
      <c r="U808" s="46"/>
      <c r="V808" s="46"/>
      <c r="W808" s="46"/>
      <c r="X808" s="46"/>
      <c r="Y808" s="46"/>
      <c r="Z808" s="46"/>
      <c r="AA808" s="46"/>
      <c r="AB808" s="46"/>
      <c r="AC808" s="46"/>
      <c r="AD808" s="46"/>
      <c r="AE808" s="50">
        <f>IF(L808="W",1,0)</f>
        <v>1</v>
      </c>
      <c r="AF808" s="50">
        <f>IF(L808="T",1,0)</f>
        <v>0</v>
      </c>
      <c r="AG808" s="50">
        <f>IF(L808="L",1,0)</f>
        <v>0</v>
      </c>
      <c r="AH808" s="46" t="s">
        <v>1241</v>
      </c>
      <c r="AI808" s="46" t="s">
        <v>1260</v>
      </c>
      <c r="AJ808" s="46" t="s">
        <v>376</v>
      </c>
      <c r="AK808" s="46" t="s">
        <v>658</v>
      </c>
      <c r="AL808" s="46" t="s">
        <v>1111</v>
      </c>
      <c r="AM808" s="46" t="s">
        <v>1126</v>
      </c>
      <c r="AN808" s="46" t="s">
        <v>376</v>
      </c>
      <c r="AO808" s="46" t="s">
        <v>658</v>
      </c>
      <c r="AP808" s="46"/>
      <c r="AQ808" s="46">
        <v>2</v>
      </c>
      <c r="AR808" s="46"/>
      <c r="AS808" s="46"/>
      <c r="AT808" s="46"/>
      <c r="AU808" s="46" t="s">
        <v>376</v>
      </c>
      <c r="AV808" s="46"/>
      <c r="AW808" s="46" t="s">
        <v>30</v>
      </c>
      <c r="AX808" s="46"/>
      <c r="AY808" s="46" t="s">
        <v>30</v>
      </c>
      <c r="AZ808" s="46"/>
      <c r="BA808" s="47"/>
      <c r="BB808" s="51"/>
      <c r="BC808" s="46"/>
      <c r="BD808" s="46"/>
      <c r="BE808" s="46"/>
      <c r="BF808" s="46">
        <v>1</v>
      </c>
      <c r="BG808" s="46">
        <v>1</v>
      </c>
      <c r="BH808" s="46">
        <v>1</v>
      </c>
      <c r="BI808" s="46" t="s">
        <v>794</v>
      </c>
      <c r="BJ808" s="46" t="s">
        <v>1151</v>
      </c>
      <c r="BK808" s="46">
        <v>1973</v>
      </c>
      <c r="BL808" s="46" t="str">
        <f>BK808&amp;BI808</f>
        <v>1973Leeds United</v>
      </c>
      <c r="BM808" s="52" t="str">
        <f>IF(AD808="Home",BI808,IF(AD808="Away",BJ808,Q808))</f>
        <v>Manchester</v>
      </c>
      <c r="BN808" s="46"/>
      <c r="BO808" s="46"/>
      <c r="BP808" s="46"/>
      <c r="BQ808" s="46"/>
      <c r="BR808" s="46"/>
      <c r="BS808" s="46"/>
      <c r="BT808" s="46"/>
      <c r="BU808" s="46"/>
      <c r="BV808" s="46" t="s">
        <v>376</v>
      </c>
      <c r="BW808" s="46" t="s">
        <v>376</v>
      </c>
      <c r="BX808" s="46"/>
      <c r="BZ808" s="53"/>
      <c r="CA808" s="53"/>
      <c r="CB808" s="93" t="str">
        <f>IF(OR(C808="",A808="",B808=""),"",TEXT(C808,"0000")&amp;TEXT(A808,"00")&amp;TEXT(B808,"00"))</f>
        <v>19730407</v>
      </c>
    </row>
    <row r="809" spans="1:80" s="52" customFormat="1" ht="12.95" customHeight="1" x14ac:dyDescent="0.2">
      <c r="A809" s="46">
        <v>4</v>
      </c>
      <c r="B809" s="46">
        <v>7</v>
      </c>
      <c r="C809" s="46">
        <v>1973</v>
      </c>
      <c r="D809" s="46" t="s">
        <v>658</v>
      </c>
      <c r="E809" s="46" t="s">
        <v>556</v>
      </c>
      <c r="F809" s="47" t="s">
        <v>1010</v>
      </c>
      <c r="G809" s="46"/>
      <c r="H809" s="47" t="s">
        <v>1011</v>
      </c>
      <c r="I809" s="47"/>
      <c r="J809" s="48">
        <v>26761</v>
      </c>
      <c r="K809" s="46" t="s">
        <v>1151</v>
      </c>
      <c r="L809" s="46" t="s">
        <v>4</v>
      </c>
      <c r="M809" s="46" t="s">
        <v>794</v>
      </c>
      <c r="N809" s="49">
        <v>0</v>
      </c>
      <c r="O809" s="49">
        <v>1</v>
      </c>
      <c r="P809" s="47" t="s">
        <v>1226</v>
      </c>
      <c r="Q809" s="47" t="s">
        <v>1101</v>
      </c>
      <c r="R809" s="47" t="s">
        <v>376</v>
      </c>
      <c r="S809" s="46"/>
      <c r="T809" s="46"/>
      <c r="U809" s="46"/>
      <c r="V809" s="46"/>
      <c r="W809" s="46"/>
      <c r="X809" s="46"/>
      <c r="Y809" s="46"/>
      <c r="Z809" s="46"/>
      <c r="AA809" s="46"/>
      <c r="AB809" s="46"/>
      <c r="AC809" s="46"/>
      <c r="AD809" s="46"/>
      <c r="AE809" s="50">
        <f>IF(L809="W",1,0)</f>
        <v>0</v>
      </c>
      <c r="AF809" s="50">
        <f>IF(L809="T",1,0)</f>
        <v>0</v>
      </c>
      <c r="AG809" s="50">
        <f>IF(L809="L",1,0)</f>
        <v>1</v>
      </c>
      <c r="AH809" s="46" t="s">
        <v>1111</v>
      </c>
      <c r="AI809" s="46" t="s">
        <v>1126</v>
      </c>
      <c r="AJ809" s="46" t="s">
        <v>376</v>
      </c>
      <c r="AK809" s="46" t="s">
        <v>658</v>
      </c>
      <c r="AL809" s="46" t="s">
        <v>1241</v>
      </c>
      <c r="AM809" s="46" t="s">
        <v>1260</v>
      </c>
      <c r="AN809" s="46" t="s">
        <v>376</v>
      </c>
      <c r="AO809" s="46" t="s">
        <v>658</v>
      </c>
      <c r="AP809" s="46"/>
      <c r="AQ809" s="46">
        <v>2</v>
      </c>
      <c r="AR809" s="46"/>
      <c r="AS809" s="46"/>
      <c r="AT809" s="46"/>
      <c r="AU809" s="46" t="s">
        <v>376</v>
      </c>
      <c r="AV809" s="46"/>
      <c r="AW809" s="46" t="s">
        <v>30</v>
      </c>
      <c r="AX809" s="46"/>
      <c r="AY809" s="46" t="s">
        <v>30</v>
      </c>
      <c r="AZ809" s="46"/>
      <c r="BA809" s="47"/>
      <c r="BB809" s="51"/>
      <c r="BC809" s="46"/>
      <c r="BD809" s="46"/>
      <c r="BE809" s="46"/>
      <c r="BF809" s="46">
        <v>1</v>
      </c>
      <c r="BG809" s="46">
        <v>1</v>
      </c>
      <c r="BH809" s="46">
        <v>1</v>
      </c>
      <c r="BI809" s="46" t="s">
        <v>1151</v>
      </c>
      <c r="BJ809" s="46" t="s">
        <v>794</v>
      </c>
      <c r="BK809" s="46">
        <v>1973</v>
      </c>
      <c r="BL809" s="46" t="str">
        <f>BK809&amp;BI809</f>
        <v>1973Wolverhampton Wanderers</v>
      </c>
      <c r="BM809" s="52" t="str">
        <f>IF(AD809="Home",BI809,IF(AD809="Away",BJ809,Q809))</f>
        <v>Manchester</v>
      </c>
      <c r="BN809" s="46"/>
      <c r="BO809" s="46"/>
      <c r="BP809" s="46"/>
      <c r="BQ809" s="46"/>
      <c r="BR809" s="46"/>
      <c r="BS809" s="46"/>
      <c r="BT809" s="46"/>
      <c r="BU809" s="46"/>
      <c r="BV809" s="46" t="s">
        <v>376</v>
      </c>
      <c r="BW809" s="46" t="s">
        <v>376</v>
      </c>
      <c r="BX809" s="46"/>
      <c r="BZ809" s="53"/>
      <c r="CA809" s="53"/>
      <c r="CB809" s="93" t="str">
        <f>IF(OR(C809="",A809="",B809=""),"",TEXT(C809,"0000")&amp;TEXT(A809,"00")&amp;TEXT(B809,"00"))</f>
        <v>19730407</v>
      </c>
    </row>
    <row r="810" spans="1:80" s="52" customFormat="1" ht="12.95" customHeight="1" x14ac:dyDescent="0.2">
      <c r="A810" s="46">
        <v>5</v>
      </c>
      <c r="B810" s="46">
        <v>5</v>
      </c>
      <c r="C810" s="46">
        <v>1973</v>
      </c>
      <c r="D810" s="46" t="s">
        <v>658</v>
      </c>
      <c r="E810" s="46" t="s">
        <v>556</v>
      </c>
      <c r="F810" s="47" t="s">
        <v>1010</v>
      </c>
      <c r="G810" s="46"/>
      <c r="H810" s="47" t="s">
        <v>1025</v>
      </c>
      <c r="I810" s="47"/>
      <c r="J810" s="48">
        <v>26789</v>
      </c>
      <c r="K810" s="46" t="s">
        <v>793</v>
      </c>
      <c r="L810" s="46" t="s">
        <v>3</v>
      </c>
      <c r="M810" s="46" t="s">
        <v>794</v>
      </c>
      <c r="N810" s="49">
        <v>1</v>
      </c>
      <c r="O810" s="49">
        <v>0</v>
      </c>
      <c r="P810" s="47" t="s">
        <v>1268</v>
      </c>
      <c r="Q810" s="47" t="s">
        <v>1017</v>
      </c>
      <c r="R810" s="47" t="s">
        <v>376</v>
      </c>
      <c r="S810" s="46"/>
      <c r="T810" s="46"/>
      <c r="U810" s="46"/>
      <c r="V810" s="46"/>
      <c r="W810" s="46"/>
      <c r="X810" s="46"/>
      <c r="Y810" s="46"/>
      <c r="Z810" s="46"/>
      <c r="AA810" s="46"/>
      <c r="AB810" s="46"/>
      <c r="AC810" s="46"/>
      <c r="AD810" s="46"/>
      <c r="AE810" s="50">
        <f>IF(L810="W",1,0)</f>
        <v>1</v>
      </c>
      <c r="AF810" s="50">
        <f>IF(L810="T",1,0)</f>
        <v>0</v>
      </c>
      <c r="AG810" s="50">
        <f>IF(L810="L",1,0)</f>
        <v>0</v>
      </c>
      <c r="AH810" s="46" t="s">
        <v>793</v>
      </c>
      <c r="AI810" s="46" t="s">
        <v>1164</v>
      </c>
      <c r="AJ810" s="46" t="s">
        <v>376</v>
      </c>
      <c r="AK810" s="46" t="s">
        <v>658</v>
      </c>
      <c r="AL810" s="46" t="s">
        <v>1241</v>
      </c>
      <c r="AM810" s="46" t="s">
        <v>1260</v>
      </c>
      <c r="AN810" s="46" t="s">
        <v>376</v>
      </c>
      <c r="AO810" s="46" t="s">
        <v>658</v>
      </c>
      <c r="AP810" s="46"/>
      <c r="AQ810" s="46">
        <v>1</v>
      </c>
      <c r="AR810" s="46"/>
      <c r="AS810" s="46"/>
      <c r="AT810" s="46"/>
      <c r="AU810" s="46" t="s">
        <v>376</v>
      </c>
      <c r="AV810" s="46"/>
      <c r="AW810" s="46" t="s">
        <v>30</v>
      </c>
      <c r="AX810" s="46"/>
      <c r="AY810" s="46" t="s">
        <v>30</v>
      </c>
      <c r="AZ810" s="46"/>
      <c r="BA810" s="47"/>
      <c r="BB810" s="51" t="s">
        <v>30</v>
      </c>
      <c r="BC810" s="46" t="s">
        <v>30</v>
      </c>
      <c r="BD810" s="46"/>
      <c r="BE810" s="46"/>
      <c r="BF810" s="46">
        <v>1</v>
      </c>
      <c r="BG810" s="46">
        <v>2</v>
      </c>
      <c r="BH810" s="46">
        <v>1</v>
      </c>
      <c r="BI810" s="46" t="s">
        <v>793</v>
      </c>
      <c r="BJ810" s="46" t="s">
        <v>794</v>
      </c>
      <c r="BK810" s="46">
        <v>1973</v>
      </c>
      <c r="BL810" s="46" t="str">
        <f>BK810&amp;BI810</f>
        <v>1973Sunderland</v>
      </c>
      <c r="BM810" s="52" t="str">
        <f>IF(AD810="Home",BI810,IF(AD810="Away",BJ810,Q810))</f>
        <v>London</v>
      </c>
      <c r="BN810" s="46"/>
      <c r="BO810" s="46"/>
      <c r="BP810" s="46"/>
      <c r="BQ810" s="46"/>
      <c r="BR810" s="46"/>
      <c r="BS810" s="46"/>
      <c r="BT810" s="46"/>
      <c r="BU810" s="46"/>
      <c r="BV810" s="46" t="s">
        <v>376</v>
      </c>
      <c r="BW810" s="46" t="s">
        <v>376</v>
      </c>
      <c r="BX810" s="46"/>
      <c r="BZ810" s="53"/>
      <c r="CA810" s="53"/>
      <c r="CB810" s="93" t="str">
        <f>IF(OR(C810="",A810="",B810=""),"",TEXT(C810,"0000")&amp;TEXT(A810,"00")&amp;TEXT(B810,"00"))</f>
        <v>19730505</v>
      </c>
    </row>
    <row r="811" spans="1:80" s="52" customFormat="1" ht="12.95" customHeight="1" x14ac:dyDescent="0.2">
      <c r="A811" s="46">
        <v>5</v>
      </c>
      <c r="B811" s="46">
        <v>5</v>
      </c>
      <c r="C811" s="46">
        <v>1973</v>
      </c>
      <c r="D811" s="46" t="s">
        <v>658</v>
      </c>
      <c r="E811" s="46" t="s">
        <v>556</v>
      </c>
      <c r="F811" s="47" t="s">
        <v>1010</v>
      </c>
      <c r="G811" s="46"/>
      <c r="H811" s="47" t="s">
        <v>1025</v>
      </c>
      <c r="I811" s="47"/>
      <c r="J811" s="48">
        <v>26789</v>
      </c>
      <c r="K811" s="46" t="s">
        <v>794</v>
      </c>
      <c r="L811" s="46" t="s">
        <v>4</v>
      </c>
      <c r="M811" s="46" t="s">
        <v>793</v>
      </c>
      <c r="N811" s="49">
        <v>0</v>
      </c>
      <c r="O811" s="49">
        <v>1</v>
      </c>
      <c r="P811" s="47" t="s">
        <v>1268</v>
      </c>
      <c r="Q811" s="47" t="s">
        <v>1017</v>
      </c>
      <c r="R811" s="47" t="s">
        <v>376</v>
      </c>
      <c r="S811" s="46"/>
      <c r="T811" s="46"/>
      <c r="U811" s="46"/>
      <c r="V811" s="46"/>
      <c r="W811" s="46"/>
      <c r="X811" s="46"/>
      <c r="Y811" s="46"/>
      <c r="Z811" s="46"/>
      <c r="AA811" s="46"/>
      <c r="AB811" s="46"/>
      <c r="AC811" s="46"/>
      <c r="AD811" s="46"/>
      <c r="AE811" s="50">
        <f>IF(L811="W",1,0)</f>
        <v>0</v>
      </c>
      <c r="AF811" s="50">
        <f>IF(L811="T",1,0)</f>
        <v>0</v>
      </c>
      <c r="AG811" s="50">
        <f>IF(L811="L",1,0)</f>
        <v>1</v>
      </c>
      <c r="AH811" s="46" t="s">
        <v>1241</v>
      </c>
      <c r="AI811" s="46" t="s">
        <v>1260</v>
      </c>
      <c r="AJ811" s="46" t="s">
        <v>376</v>
      </c>
      <c r="AK811" s="46" t="s">
        <v>658</v>
      </c>
      <c r="AL811" s="46" t="s">
        <v>793</v>
      </c>
      <c r="AM811" s="46" t="s">
        <v>1164</v>
      </c>
      <c r="AN811" s="46" t="s">
        <v>376</v>
      </c>
      <c r="AO811" s="46" t="s">
        <v>658</v>
      </c>
      <c r="AP811" s="46"/>
      <c r="AQ811" s="46">
        <v>1</v>
      </c>
      <c r="AR811" s="46"/>
      <c r="AS811" s="46"/>
      <c r="AT811" s="46"/>
      <c r="AU811" s="46" t="s">
        <v>376</v>
      </c>
      <c r="AV811" s="46"/>
      <c r="AW811" s="46" t="s">
        <v>30</v>
      </c>
      <c r="AX811" s="46"/>
      <c r="AY811" s="46" t="s">
        <v>30</v>
      </c>
      <c r="AZ811" s="46"/>
      <c r="BA811" s="47"/>
      <c r="BB811" s="51"/>
      <c r="BC811" s="46" t="s">
        <v>30</v>
      </c>
      <c r="BD811" s="46"/>
      <c r="BE811" s="46"/>
      <c r="BF811" s="46">
        <v>1</v>
      </c>
      <c r="BG811" s="46">
        <v>1</v>
      </c>
      <c r="BH811" s="46">
        <v>2</v>
      </c>
      <c r="BI811" s="46" t="s">
        <v>794</v>
      </c>
      <c r="BJ811" s="46" t="s">
        <v>793</v>
      </c>
      <c r="BK811" s="46">
        <v>1973</v>
      </c>
      <c r="BL811" s="46" t="str">
        <f>BK811&amp;BI811</f>
        <v>1973Leeds United</v>
      </c>
      <c r="BM811" s="52" t="str">
        <f>IF(AD811="Home",BI811,IF(AD811="Away",BJ811,Q811))</f>
        <v>London</v>
      </c>
      <c r="BN811" s="46"/>
      <c r="BO811" s="46"/>
      <c r="BP811" s="46"/>
      <c r="BQ811" s="46"/>
      <c r="BR811" s="46"/>
      <c r="BS811" s="46"/>
      <c r="BT811" s="46"/>
      <c r="BU811" s="46"/>
      <c r="BV811" s="46" t="s">
        <v>376</v>
      </c>
      <c r="BW811" s="46" t="s">
        <v>376</v>
      </c>
      <c r="BX811" s="46"/>
      <c r="BZ811" s="53"/>
      <c r="CA811" s="53"/>
      <c r="CB811" s="93" t="str">
        <f>IF(OR(C811="",A811="",B811=""),"",TEXT(C811,"0000")&amp;TEXT(A811,"00")&amp;TEXT(B811,"00"))</f>
        <v>19730505</v>
      </c>
    </row>
    <row r="812" spans="1:80" s="52" customFormat="1" ht="12.95" customHeight="1" x14ac:dyDescent="0.2">
      <c r="A812" s="46">
        <v>1</v>
      </c>
      <c r="B812" s="46">
        <v>23</v>
      </c>
      <c r="C812" s="46">
        <v>1974</v>
      </c>
      <c r="D812" s="46" t="s">
        <v>658</v>
      </c>
      <c r="E812" s="46" t="s">
        <v>555</v>
      </c>
      <c r="F812" s="54" t="s">
        <v>1327</v>
      </c>
      <c r="G812" s="46"/>
      <c r="H812" s="54" t="s">
        <v>1011</v>
      </c>
      <c r="I812" s="54">
        <v>1</v>
      </c>
      <c r="J812" s="55">
        <v>27052</v>
      </c>
      <c r="K812" s="46" t="s">
        <v>1321</v>
      </c>
      <c r="L812" s="46" t="s">
        <v>1014</v>
      </c>
      <c r="M812" s="46" t="s">
        <v>1151</v>
      </c>
      <c r="N812" s="49">
        <v>1</v>
      </c>
      <c r="O812" s="49">
        <v>1</v>
      </c>
      <c r="P812" s="54" t="s">
        <v>1337</v>
      </c>
      <c r="Q812" s="54" t="s">
        <v>1323</v>
      </c>
      <c r="R812" s="54" t="s">
        <v>376</v>
      </c>
      <c r="S812" s="46"/>
      <c r="T812" s="46"/>
      <c r="U812" s="46"/>
      <c r="V812" s="46"/>
      <c r="W812" s="46"/>
      <c r="X812" s="46"/>
      <c r="Y812" s="46"/>
      <c r="Z812" s="46"/>
      <c r="AA812" s="46"/>
      <c r="AB812" s="46"/>
      <c r="AC812" s="46"/>
      <c r="AD812" s="46" t="s">
        <v>1033</v>
      </c>
      <c r="AE812" s="50">
        <f>IF(L812="W",1,0)</f>
        <v>0</v>
      </c>
      <c r="AF812" s="50">
        <f>IF(L812="T",1,0)</f>
        <v>1</v>
      </c>
      <c r="AG812" s="50">
        <f>IF(L812="L",1,0)</f>
        <v>0</v>
      </c>
      <c r="AH812" s="46" t="s">
        <v>1323</v>
      </c>
      <c r="AI812" s="46" t="s">
        <v>1324</v>
      </c>
      <c r="AJ812" s="46" t="s">
        <v>376</v>
      </c>
      <c r="AK812" s="46" t="s">
        <v>658</v>
      </c>
      <c r="AL812" s="46" t="s">
        <v>1111</v>
      </c>
      <c r="AM812" s="46" t="s">
        <v>1126</v>
      </c>
      <c r="AN812" s="46" t="s">
        <v>376</v>
      </c>
      <c r="AO812" s="46" t="s">
        <v>658</v>
      </c>
      <c r="AP812" s="46"/>
      <c r="AQ812" s="46">
        <v>2</v>
      </c>
      <c r="AR812" s="46"/>
      <c r="AS812" s="46"/>
      <c r="AT812" s="46"/>
      <c r="AU812" s="46" t="s">
        <v>376</v>
      </c>
      <c r="AV812" s="46"/>
      <c r="AW812" s="46" t="s">
        <v>30</v>
      </c>
      <c r="AX812" s="46"/>
      <c r="AY812" s="46"/>
      <c r="AZ812" s="46" t="s">
        <v>30</v>
      </c>
      <c r="BA812" s="54"/>
      <c r="BB812" s="51"/>
      <c r="BC812" s="46"/>
      <c r="BD812" s="46"/>
      <c r="BE812" s="46"/>
      <c r="BF812" s="46">
        <v>1</v>
      </c>
      <c r="BG812" s="46">
        <v>1</v>
      </c>
      <c r="BH812" s="46">
        <v>1</v>
      </c>
      <c r="BI812" s="46" t="s">
        <v>1321</v>
      </c>
      <c r="BJ812" s="46" t="s">
        <v>1151</v>
      </c>
      <c r="BK812" s="46">
        <v>1974</v>
      </c>
      <c r="BL812" s="46" t="str">
        <f>BK812&amp;BI812</f>
        <v>1974Norwich City</v>
      </c>
      <c r="BM812" s="52" t="str">
        <f>IF(AD812="Home",BI812,IF(AD812="Away",BJ812,Q812))</f>
        <v>Norwich City</v>
      </c>
      <c r="BN812" s="46"/>
      <c r="BO812" s="46"/>
      <c r="BP812" s="46"/>
      <c r="BQ812" s="46"/>
      <c r="BR812" s="46"/>
      <c r="BS812" s="46"/>
      <c r="BT812" s="46"/>
      <c r="BU812" s="46"/>
      <c r="BV812" s="46" t="s">
        <v>376</v>
      </c>
      <c r="BW812" s="46" t="s">
        <v>376</v>
      </c>
      <c r="BX812" s="46"/>
      <c r="BZ812" s="53"/>
      <c r="CA812" s="53"/>
      <c r="CB812" s="93" t="str">
        <f>IF(OR(C812="",A812="",B812=""),"",TEXT(C812,"0000")&amp;TEXT(A812,"00")&amp;TEXT(B812,"00"))</f>
        <v>19740123</v>
      </c>
    </row>
    <row r="813" spans="1:80" s="52" customFormat="1" ht="12.95" customHeight="1" x14ac:dyDescent="0.2">
      <c r="A813" s="46">
        <v>1</v>
      </c>
      <c r="B813" s="46">
        <v>23</v>
      </c>
      <c r="C813" s="46">
        <v>1974</v>
      </c>
      <c r="D813" s="46" t="s">
        <v>658</v>
      </c>
      <c r="E813" s="46" t="s">
        <v>555</v>
      </c>
      <c r="F813" s="54" t="s">
        <v>1327</v>
      </c>
      <c r="G813" s="46"/>
      <c r="H813" s="54" t="s">
        <v>1011</v>
      </c>
      <c r="I813" s="54">
        <v>1</v>
      </c>
      <c r="J813" s="55">
        <v>27052</v>
      </c>
      <c r="K813" s="46" t="s">
        <v>1151</v>
      </c>
      <c r="L813" s="46" t="s">
        <v>1014</v>
      </c>
      <c r="M813" s="46" t="s">
        <v>1321</v>
      </c>
      <c r="N813" s="49">
        <v>1</v>
      </c>
      <c r="O813" s="49">
        <v>1</v>
      </c>
      <c r="P813" s="54" t="s">
        <v>1337</v>
      </c>
      <c r="Q813" s="54" t="s">
        <v>1323</v>
      </c>
      <c r="R813" s="54" t="s">
        <v>376</v>
      </c>
      <c r="S813" s="46"/>
      <c r="T813" s="46"/>
      <c r="U813" s="46"/>
      <c r="V813" s="46"/>
      <c r="W813" s="46"/>
      <c r="X813" s="46"/>
      <c r="Y813" s="46"/>
      <c r="Z813" s="46"/>
      <c r="AA813" s="46"/>
      <c r="AB813" s="46"/>
      <c r="AC813" s="46"/>
      <c r="AD813" s="46" t="s">
        <v>1037</v>
      </c>
      <c r="AE813" s="50">
        <f>IF(L813="W",1,0)</f>
        <v>0</v>
      </c>
      <c r="AF813" s="50">
        <f>IF(L813="T",1,0)</f>
        <v>1</v>
      </c>
      <c r="AG813" s="50">
        <f>IF(L813="L",1,0)</f>
        <v>0</v>
      </c>
      <c r="AH813" s="46" t="s">
        <v>1111</v>
      </c>
      <c r="AI813" s="46" t="s">
        <v>1126</v>
      </c>
      <c r="AJ813" s="46" t="s">
        <v>376</v>
      </c>
      <c r="AK813" s="46" t="s">
        <v>658</v>
      </c>
      <c r="AL813" s="46" t="s">
        <v>1323</v>
      </c>
      <c r="AM813" s="46" t="s">
        <v>1324</v>
      </c>
      <c r="AN813" s="46" t="s">
        <v>376</v>
      </c>
      <c r="AO813" s="46" t="s">
        <v>658</v>
      </c>
      <c r="AP813" s="46"/>
      <c r="AQ813" s="46">
        <v>2</v>
      </c>
      <c r="AR813" s="46"/>
      <c r="AS813" s="46"/>
      <c r="AT813" s="46"/>
      <c r="AU813" s="46" t="s">
        <v>376</v>
      </c>
      <c r="AV813" s="46"/>
      <c r="AW813" s="46" t="s">
        <v>30</v>
      </c>
      <c r="AX813" s="46"/>
      <c r="AY813" s="46"/>
      <c r="AZ813" s="46" t="s">
        <v>30</v>
      </c>
      <c r="BA813" s="54"/>
      <c r="BB813" s="51"/>
      <c r="BC813" s="46"/>
      <c r="BD813" s="46"/>
      <c r="BE813" s="46"/>
      <c r="BF813" s="46">
        <v>1</v>
      </c>
      <c r="BG813" s="46">
        <v>1</v>
      </c>
      <c r="BH813" s="46">
        <v>1</v>
      </c>
      <c r="BI813" s="46" t="s">
        <v>1151</v>
      </c>
      <c r="BJ813" s="46" t="s">
        <v>1321</v>
      </c>
      <c r="BK813" s="46">
        <v>1974</v>
      </c>
      <c r="BL813" s="46" t="str">
        <f>BK813&amp;BI813</f>
        <v>1974Wolverhampton Wanderers</v>
      </c>
      <c r="BM813" s="52" t="str">
        <f>IF(AD813="Home",BI813,IF(AD813="Away",BJ813,Q813))</f>
        <v>Norwich City</v>
      </c>
      <c r="BN813" s="46"/>
      <c r="BO813" s="46"/>
      <c r="BP813" s="46"/>
      <c r="BQ813" s="46"/>
      <c r="BR813" s="46"/>
      <c r="BS813" s="46"/>
      <c r="BT813" s="46"/>
      <c r="BU813" s="46"/>
      <c r="BV813" s="46" t="s">
        <v>376</v>
      </c>
      <c r="BW813" s="46" t="s">
        <v>376</v>
      </c>
      <c r="BX813" s="46"/>
      <c r="BZ813" s="53"/>
      <c r="CA813" s="53"/>
      <c r="CB813" s="93" t="str">
        <f>IF(OR(C813="",A813="",B813=""),"",TEXT(C813,"0000")&amp;TEXT(A813,"00")&amp;TEXT(B813,"00"))</f>
        <v>19740123</v>
      </c>
    </row>
    <row r="814" spans="1:80" s="52" customFormat="1" ht="12.95" customHeight="1" x14ac:dyDescent="0.2">
      <c r="A814" s="46">
        <v>1</v>
      </c>
      <c r="B814" s="46">
        <v>23</v>
      </c>
      <c r="C814" s="46">
        <v>1974</v>
      </c>
      <c r="D814" s="46" t="s">
        <v>658</v>
      </c>
      <c r="E814" s="46" t="s">
        <v>555</v>
      </c>
      <c r="F814" s="54" t="s">
        <v>1327</v>
      </c>
      <c r="G814" s="46"/>
      <c r="H814" s="54" t="s">
        <v>1011</v>
      </c>
      <c r="I814" s="54">
        <v>1</v>
      </c>
      <c r="J814" s="55">
        <v>27052</v>
      </c>
      <c r="K814" s="46" t="s">
        <v>1342</v>
      </c>
      <c r="L814" s="46" t="s">
        <v>1014</v>
      </c>
      <c r="M814" s="46" t="s">
        <v>823</v>
      </c>
      <c r="N814" s="49">
        <v>1</v>
      </c>
      <c r="O814" s="49">
        <v>1</v>
      </c>
      <c r="P814" s="54" t="s">
        <v>1343</v>
      </c>
      <c r="Q814" s="54" t="s">
        <v>1344</v>
      </c>
      <c r="R814" s="54" t="s">
        <v>376</v>
      </c>
      <c r="S814" s="46"/>
      <c r="T814" s="46"/>
      <c r="U814" s="46"/>
      <c r="V814" s="46"/>
      <c r="W814" s="46"/>
      <c r="X814" s="46"/>
      <c r="Y814" s="46"/>
      <c r="Z814" s="46"/>
      <c r="AA814" s="46"/>
      <c r="AB814" s="46"/>
      <c r="AC814" s="46"/>
      <c r="AD814" s="46" t="s">
        <v>1033</v>
      </c>
      <c r="AE814" s="50">
        <f>IF(L814="W",1,0)</f>
        <v>0</v>
      </c>
      <c r="AF814" s="50">
        <f>IF(L814="T",1,0)</f>
        <v>1</v>
      </c>
      <c r="AG814" s="50">
        <f>IF(L814="L",1,0)</f>
        <v>0</v>
      </c>
      <c r="AH814" s="46" t="s">
        <v>1344</v>
      </c>
      <c r="AI814" s="46" t="s">
        <v>1359</v>
      </c>
      <c r="AJ814" s="46" t="s">
        <v>376</v>
      </c>
      <c r="AK814" s="46" t="s">
        <v>658</v>
      </c>
      <c r="AL814" s="46" t="s">
        <v>1101</v>
      </c>
      <c r="AM814" s="46" t="s">
        <v>1159</v>
      </c>
      <c r="AN814" s="46" t="s">
        <v>376</v>
      </c>
      <c r="AO814" s="46" t="s">
        <v>658</v>
      </c>
      <c r="AP814" s="46"/>
      <c r="AQ814" s="46">
        <v>2</v>
      </c>
      <c r="AR814" s="46"/>
      <c r="AS814" s="46"/>
      <c r="AT814" s="46"/>
      <c r="AU814" s="46" t="s">
        <v>376</v>
      </c>
      <c r="AV814" s="46"/>
      <c r="AW814" s="46" t="s">
        <v>30</v>
      </c>
      <c r="AX814" s="46"/>
      <c r="AY814" s="46"/>
      <c r="AZ814" s="46" t="s">
        <v>30</v>
      </c>
      <c r="BA814" s="54"/>
      <c r="BB814" s="51"/>
      <c r="BC814" s="46"/>
      <c r="BD814" s="46"/>
      <c r="BE814" s="46"/>
      <c r="BF814" s="46">
        <v>1</v>
      </c>
      <c r="BG814" s="46">
        <v>3</v>
      </c>
      <c r="BH814" s="46">
        <v>1</v>
      </c>
      <c r="BI814" s="46" t="s">
        <v>1342</v>
      </c>
      <c r="BJ814" s="46" t="s">
        <v>823</v>
      </c>
      <c r="BK814" s="46">
        <v>1974</v>
      </c>
      <c r="BL814" s="46" t="str">
        <f>BK814&amp;BI814</f>
        <v>1974Plymouth Argyle</v>
      </c>
      <c r="BM814" s="52" t="str">
        <f>IF(AD814="Home",BI814,IF(AD814="Away",BJ814,Q814))</f>
        <v>Plymouth Argyle</v>
      </c>
      <c r="BN814" s="46"/>
      <c r="BO814" s="46"/>
      <c r="BP814" s="46"/>
      <c r="BQ814" s="46"/>
      <c r="BR814" s="46"/>
      <c r="BS814" s="46"/>
      <c r="BT814" s="46"/>
      <c r="BU814" s="46"/>
      <c r="BV814" s="46" t="s">
        <v>376</v>
      </c>
      <c r="BW814" s="46" t="s">
        <v>376</v>
      </c>
      <c r="BX814" s="46"/>
      <c r="BY814" s="35"/>
      <c r="BZ814" s="53"/>
      <c r="CA814" s="53"/>
      <c r="CB814" s="93" t="str">
        <f>IF(OR(C814="",A814="",B814=""),"",TEXT(C814,"0000")&amp;TEXT(A814,"00")&amp;TEXT(B814,"00"))</f>
        <v>19740123</v>
      </c>
    </row>
    <row r="815" spans="1:80" s="52" customFormat="1" ht="12.95" customHeight="1" x14ac:dyDescent="0.2">
      <c r="A815" s="46">
        <v>1</v>
      </c>
      <c r="B815" s="46">
        <v>23</v>
      </c>
      <c r="C815" s="46">
        <v>1974</v>
      </c>
      <c r="D815" s="46" t="s">
        <v>658</v>
      </c>
      <c r="E815" s="46" t="s">
        <v>555</v>
      </c>
      <c r="F815" s="54" t="s">
        <v>1327</v>
      </c>
      <c r="G815" s="46"/>
      <c r="H815" s="54" t="s">
        <v>1011</v>
      </c>
      <c r="I815" s="54">
        <v>1</v>
      </c>
      <c r="J815" s="55">
        <v>27052</v>
      </c>
      <c r="K815" s="46" t="s">
        <v>823</v>
      </c>
      <c r="L815" s="46" t="s">
        <v>1014</v>
      </c>
      <c r="M815" s="46" t="s">
        <v>1342</v>
      </c>
      <c r="N815" s="49">
        <v>1</v>
      </c>
      <c r="O815" s="49">
        <v>1</v>
      </c>
      <c r="P815" s="54" t="s">
        <v>1343</v>
      </c>
      <c r="Q815" s="54" t="s">
        <v>1344</v>
      </c>
      <c r="R815" s="54" t="s">
        <v>376</v>
      </c>
      <c r="S815" s="46"/>
      <c r="T815" s="46"/>
      <c r="U815" s="46"/>
      <c r="V815" s="46"/>
      <c r="W815" s="46"/>
      <c r="X815" s="46"/>
      <c r="Y815" s="46"/>
      <c r="Z815" s="46"/>
      <c r="AA815" s="46"/>
      <c r="AB815" s="46"/>
      <c r="AC815" s="46"/>
      <c r="AD815" s="46" t="s">
        <v>1037</v>
      </c>
      <c r="AE815" s="50">
        <f>IF(L815="W",1,0)</f>
        <v>0</v>
      </c>
      <c r="AF815" s="50">
        <f>IF(L815="T",1,0)</f>
        <v>1</v>
      </c>
      <c r="AG815" s="50">
        <f>IF(L815="L",1,0)</f>
        <v>0</v>
      </c>
      <c r="AH815" s="46" t="s">
        <v>1101</v>
      </c>
      <c r="AI815" s="46" t="s">
        <v>1159</v>
      </c>
      <c r="AJ815" s="46" t="s">
        <v>376</v>
      </c>
      <c r="AK815" s="46" t="s">
        <v>658</v>
      </c>
      <c r="AL815" s="46" t="s">
        <v>1344</v>
      </c>
      <c r="AM815" s="46" t="s">
        <v>1359</v>
      </c>
      <c r="AN815" s="46" t="s">
        <v>376</v>
      </c>
      <c r="AO815" s="46" t="s">
        <v>658</v>
      </c>
      <c r="AP815" s="46"/>
      <c r="AQ815" s="46">
        <v>2</v>
      </c>
      <c r="AR815" s="46"/>
      <c r="AS815" s="46"/>
      <c r="AT815" s="46"/>
      <c r="AU815" s="46" t="s">
        <v>376</v>
      </c>
      <c r="AV815" s="46"/>
      <c r="AW815" s="46" t="s">
        <v>30</v>
      </c>
      <c r="AX815" s="46"/>
      <c r="AY815" s="46"/>
      <c r="AZ815" s="46" t="s">
        <v>30</v>
      </c>
      <c r="BA815" s="54"/>
      <c r="BB815" s="51"/>
      <c r="BC815" s="46"/>
      <c r="BD815" s="46"/>
      <c r="BE815" s="46"/>
      <c r="BF815" s="46">
        <v>1</v>
      </c>
      <c r="BG815" s="46">
        <v>1</v>
      </c>
      <c r="BH815" s="46">
        <v>3</v>
      </c>
      <c r="BI815" s="46" t="s">
        <v>823</v>
      </c>
      <c r="BJ815" s="46" t="s">
        <v>1342</v>
      </c>
      <c r="BK815" s="46">
        <v>1974</v>
      </c>
      <c r="BL815" s="46" t="str">
        <f>BK815&amp;BI815</f>
        <v>1974Manchester City</v>
      </c>
      <c r="BM815" s="52" t="str">
        <f>IF(AD815="Home",BI815,IF(AD815="Away",BJ815,Q815))</f>
        <v>Plymouth Argyle</v>
      </c>
      <c r="BN815" s="46"/>
      <c r="BO815" s="46"/>
      <c r="BP815" s="46"/>
      <c r="BQ815" s="46"/>
      <c r="BR815" s="46"/>
      <c r="BS815" s="46"/>
      <c r="BT815" s="46"/>
      <c r="BU815" s="46"/>
      <c r="BV815" s="46" t="s">
        <v>376</v>
      </c>
      <c r="BW815" s="46" t="s">
        <v>376</v>
      </c>
      <c r="BX815" s="46"/>
      <c r="BY815" s="35"/>
      <c r="BZ815" s="53"/>
      <c r="CA815" s="53"/>
      <c r="CB815" s="93" t="str">
        <f>IF(OR(C815="",A815="",B815=""),"",TEXT(C815,"0000")&amp;TEXT(A815,"00")&amp;TEXT(B815,"00"))</f>
        <v>19740123</v>
      </c>
    </row>
    <row r="816" spans="1:80" s="52" customFormat="1" ht="12.95" customHeight="1" x14ac:dyDescent="0.2">
      <c r="A816" s="46">
        <v>1</v>
      </c>
      <c r="B816" s="46">
        <v>26</v>
      </c>
      <c r="C816" s="46">
        <v>1974</v>
      </c>
      <c r="D816" s="46" t="s">
        <v>658</v>
      </c>
      <c r="E816" s="46" t="s">
        <v>555</v>
      </c>
      <c r="F816" s="54" t="s">
        <v>1327</v>
      </c>
      <c r="G816" s="46"/>
      <c r="H816" s="54" t="s">
        <v>1011</v>
      </c>
      <c r="I816" s="54">
        <v>2</v>
      </c>
      <c r="J816" s="55">
        <v>27055</v>
      </c>
      <c r="K816" s="46" t="s">
        <v>1151</v>
      </c>
      <c r="L816" s="46" t="s">
        <v>3</v>
      </c>
      <c r="M816" s="46" t="s">
        <v>1321</v>
      </c>
      <c r="N816" s="49">
        <v>1</v>
      </c>
      <c r="O816" s="49">
        <v>0</v>
      </c>
      <c r="P816" s="54" t="s">
        <v>1152</v>
      </c>
      <c r="Q816" s="54" t="s">
        <v>1111</v>
      </c>
      <c r="R816" s="54" t="s">
        <v>376</v>
      </c>
      <c r="S816" s="46"/>
      <c r="T816" s="46"/>
      <c r="U816" s="46"/>
      <c r="V816" s="46"/>
      <c r="W816" s="46"/>
      <c r="X816" s="46"/>
      <c r="Y816" s="46"/>
      <c r="Z816" s="46"/>
      <c r="AA816" s="46"/>
      <c r="AB816" s="46"/>
      <c r="AC816" s="46"/>
      <c r="AD816" s="46" t="s">
        <v>1033</v>
      </c>
      <c r="AE816" s="50">
        <f>IF(L816="W",1,0)</f>
        <v>1</v>
      </c>
      <c r="AF816" s="50">
        <f>IF(L816="T",1,0)</f>
        <v>0</v>
      </c>
      <c r="AG816" s="50">
        <f>IF(L816="L",1,0)</f>
        <v>0</v>
      </c>
      <c r="AH816" s="46" t="s">
        <v>1111</v>
      </c>
      <c r="AI816" s="46" t="s">
        <v>1126</v>
      </c>
      <c r="AJ816" s="46" t="s">
        <v>376</v>
      </c>
      <c r="AK816" s="46" t="s">
        <v>658</v>
      </c>
      <c r="AL816" s="46" t="s">
        <v>1323</v>
      </c>
      <c r="AM816" s="46" t="s">
        <v>1324</v>
      </c>
      <c r="AN816" s="46" t="s">
        <v>376</v>
      </c>
      <c r="AO816" s="46" t="s">
        <v>658</v>
      </c>
      <c r="AP816" s="46"/>
      <c r="AQ816" s="46">
        <v>2</v>
      </c>
      <c r="AR816" s="46"/>
      <c r="AS816" s="46"/>
      <c r="AT816" s="46"/>
      <c r="AU816" s="46" t="s">
        <v>376</v>
      </c>
      <c r="AV816" s="46"/>
      <c r="AW816" s="46" t="s">
        <v>30</v>
      </c>
      <c r="AX816" s="46"/>
      <c r="AY816" s="46"/>
      <c r="AZ816" s="46" t="s">
        <v>30</v>
      </c>
      <c r="BA816" s="54"/>
      <c r="BB816" s="51"/>
      <c r="BC816" s="46"/>
      <c r="BD816" s="46"/>
      <c r="BE816" s="46"/>
      <c r="BF816" s="46">
        <v>1</v>
      </c>
      <c r="BG816" s="46">
        <v>1</v>
      </c>
      <c r="BH816" s="46">
        <v>1</v>
      </c>
      <c r="BI816" s="46" t="s">
        <v>1151</v>
      </c>
      <c r="BJ816" s="46" t="s">
        <v>1321</v>
      </c>
      <c r="BK816" s="46">
        <v>1974</v>
      </c>
      <c r="BL816" s="46" t="str">
        <f>BK816&amp;BI816</f>
        <v>1974Wolverhampton Wanderers</v>
      </c>
      <c r="BM816" s="52" t="str">
        <f>IF(AD816="Home",BI816,IF(AD816="Away",BJ816,Q816))</f>
        <v>Wolverhampton Wanderers</v>
      </c>
      <c r="BN816" s="46"/>
      <c r="BO816" s="46"/>
      <c r="BP816" s="46"/>
      <c r="BQ816" s="46"/>
      <c r="BR816" s="46"/>
      <c r="BS816" s="46"/>
      <c r="BT816" s="46"/>
      <c r="BU816" s="46"/>
      <c r="BV816" s="46" t="s">
        <v>376</v>
      </c>
      <c r="BW816" s="46" t="s">
        <v>376</v>
      </c>
      <c r="BX816" s="46"/>
      <c r="BZ816" s="53"/>
      <c r="CA816" s="53"/>
      <c r="CB816" s="93" t="str">
        <f>IF(OR(C816="",A816="",B816=""),"",TEXT(C816,"0000")&amp;TEXT(A816,"00")&amp;TEXT(B816,"00"))</f>
        <v>19740126</v>
      </c>
    </row>
    <row r="817" spans="1:80" s="52" customFormat="1" ht="12.95" customHeight="1" x14ac:dyDescent="0.2">
      <c r="A817" s="46">
        <v>1</v>
      </c>
      <c r="B817" s="46">
        <v>26</v>
      </c>
      <c r="C817" s="46">
        <v>1974</v>
      </c>
      <c r="D817" s="46" t="s">
        <v>658</v>
      </c>
      <c r="E817" s="46" t="s">
        <v>555</v>
      </c>
      <c r="F817" s="54" t="s">
        <v>1327</v>
      </c>
      <c r="G817" s="46"/>
      <c r="H817" s="54" t="s">
        <v>1011</v>
      </c>
      <c r="I817" s="54">
        <v>2</v>
      </c>
      <c r="J817" s="55">
        <v>27055</v>
      </c>
      <c r="K817" s="46" t="s">
        <v>1321</v>
      </c>
      <c r="L817" s="46" t="s">
        <v>4</v>
      </c>
      <c r="M817" s="46" t="s">
        <v>1151</v>
      </c>
      <c r="N817" s="49">
        <v>0</v>
      </c>
      <c r="O817" s="49">
        <v>1</v>
      </c>
      <c r="P817" s="54" t="s">
        <v>1152</v>
      </c>
      <c r="Q817" s="54" t="s">
        <v>1111</v>
      </c>
      <c r="R817" s="54" t="s">
        <v>376</v>
      </c>
      <c r="S817" s="46"/>
      <c r="T817" s="46"/>
      <c r="U817" s="46"/>
      <c r="V817" s="46"/>
      <c r="W817" s="46"/>
      <c r="X817" s="46"/>
      <c r="Y817" s="46"/>
      <c r="Z817" s="46"/>
      <c r="AA817" s="46"/>
      <c r="AB817" s="46"/>
      <c r="AC817" s="46"/>
      <c r="AD817" s="46" t="s">
        <v>1037</v>
      </c>
      <c r="AE817" s="50">
        <f>IF(L817="W",1,0)</f>
        <v>0</v>
      </c>
      <c r="AF817" s="50">
        <f>IF(L817="T",1,0)</f>
        <v>0</v>
      </c>
      <c r="AG817" s="50">
        <f>IF(L817="L",1,0)</f>
        <v>1</v>
      </c>
      <c r="AH817" s="46" t="s">
        <v>1323</v>
      </c>
      <c r="AI817" s="46" t="s">
        <v>1324</v>
      </c>
      <c r="AJ817" s="46" t="s">
        <v>376</v>
      </c>
      <c r="AK817" s="46" t="s">
        <v>658</v>
      </c>
      <c r="AL817" s="46" t="s">
        <v>1111</v>
      </c>
      <c r="AM817" s="46" t="s">
        <v>1126</v>
      </c>
      <c r="AN817" s="46" t="s">
        <v>376</v>
      </c>
      <c r="AO817" s="46" t="s">
        <v>658</v>
      </c>
      <c r="AP817" s="46"/>
      <c r="AQ817" s="46">
        <v>2</v>
      </c>
      <c r="AR817" s="46"/>
      <c r="AS817" s="46"/>
      <c r="AT817" s="46"/>
      <c r="AU817" s="46" t="s">
        <v>376</v>
      </c>
      <c r="AV817" s="46"/>
      <c r="AW817" s="46" t="s">
        <v>30</v>
      </c>
      <c r="AX817" s="46"/>
      <c r="AY817" s="46"/>
      <c r="AZ817" s="46" t="s">
        <v>30</v>
      </c>
      <c r="BA817" s="54"/>
      <c r="BB817" s="51"/>
      <c r="BC817" s="46"/>
      <c r="BD817" s="46"/>
      <c r="BE817" s="46"/>
      <c r="BF817" s="46">
        <v>1</v>
      </c>
      <c r="BG817" s="46">
        <v>1</v>
      </c>
      <c r="BH817" s="46">
        <v>1</v>
      </c>
      <c r="BI817" s="46" t="s">
        <v>1321</v>
      </c>
      <c r="BJ817" s="46" t="s">
        <v>1151</v>
      </c>
      <c r="BK817" s="46">
        <v>1974</v>
      </c>
      <c r="BL817" s="46" t="str">
        <f>BK817&amp;BI817</f>
        <v>1974Norwich City</v>
      </c>
      <c r="BM817" s="52" t="str">
        <f>IF(AD817="Home",BI817,IF(AD817="Away",BJ817,Q817))</f>
        <v>Wolverhampton Wanderers</v>
      </c>
      <c r="BN817" s="46"/>
      <c r="BO817" s="46"/>
      <c r="BP817" s="46"/>
      <c r="BQ817" s="46"/>
      <c r="BR817" s="46"/>
      <c r="BS817" s="46"/>
      <c r="BT817" s="46"/>
      <c r="BU817" s="46"/>
      <c r="BV817" s="46" t="s">
        <v>376</v>
      </c>
      <c r="BW817" s="46" t="s">
        <v>376</v>
      </c>
      <c r="BX817" s="46"/>
      <c r="BZ817" s="53"/>
      <c r="CA817" s="53"/>
      <c r="CB817" s="93" t="str">
        <f>IF(OR(C817="",A817="",B817=""),"",TEXT(C817,"0000")&amp;TEXT(A817,"00")&amp;TEXT(B817,"00"))</f>
        <v>19740126</v>
      </c>
    </row>
    <row r="818" spans="1:80" s="52" customFormat="1" ht="12.95" customHeight="1" x14ac:dyDescent="0.2">
      <c r="A818" s="46">
        <v>1</v>
      </c>
      <c r="B818" s="46">
        <v>30</v>
      </c>
      <c r="C818" s="46">
        <v>1974</v>
      </c>
      <c r="D818" s="46" t="s">
        <v>658</v>
      </c>
      <c r="E818" s="46" t="s">
        <v>555</v>
      </c>
      <c r="F818" s="54" t="s">
        <v>1327</v>
      </c>
      <c r="G818" s="46"/>
      <c r="H818" s="54" t="s">
        <v>1011</v>
      </c>
      <c r="I818" s="54">
        <v>2</v>
      </c>
      <c r="J818" s="55">
        <v>27059</v>
      </c>
      <c r="K818" s="46" t="s">
        <v>823</v>
      </c>
      <c r="L818" s="46" t="s">
        <v>3</v>
      </c>
      <c r="M818" s="46" t="s">
        <v>1342</v>
      </c>
      <c r="N818" s="49">
        <v>2</v>
      </c>
      <c r="O818" s="49">
        <v>0</v>
      </c>
      <c r="P818" s="54" t="s">
        <v>1226</v>
      </c>
      <c r="Q818" s="54" t="s">
        <v>1101</v>
      </c>
      <c r="R818" s="54" t="s">
        <v>376</v>
      </c>
      <c r="S818" s="46"/>
      <c r="T818" s="46"/>
      <c r="U818" s="46"/>
      <c r="V818" s="46"/>
      <c r="W818" s="46"/>
      <c r="X818" s="46"/>
      <c r="Y818" s="46"/>
      <c r="Z818" s="46"/>
      <c r="AA818" s="46"/>
      <c r="AB818" s="46"/>
      <c r="AC818" s="46"/>
      <c r="AD818" s="46" t="s">
        <v>1033</v>
      </c>
      <c r="AE818" s="50">
        <f>IF(L818="W",1,0)</f>
        <v>1</v>
      </c>
      <c r="AF818" s="50">
        <f>IF(L818="T",1,0)</f>
        <v>0</v>
      </c>
      <c r="AG818" s="50">
        <f>IF(L818="L",1,0)</f>
        <v>0</v>
      </c>
      <c r="AH818" s="46" t="s">
        <v>1101</v>
      </c>
      <c r="AI818" s="46" t="s">
        <v>1159</v>
      </c>
      <c r="AJ818" s="46" t="s">
        <v>376</v>
      </c>
      <c r="AK818" s="46" t="s">
        <v>658</v>
      </c>
      <c r="AL818" s="46" t="s">
        <v>1344</v>
      </c>
      <c r="AM818" s="46" t="s">
        <v>1359</v>
      </c>
      <c r="AN818" s="46" t="s">
        <v>376</v>
      </c>
      <c r="AO818" s="46" t="s">
        <v>658</v>
      </c>
      <c r="AP818" s="46"/>
      <c r="AQ818" s="46">
        <v>2</v>
      </c>
      <c r="AR818" s="46"/>
      <c r="AS818" s="46"/>
      <c r="AT818" s="46"/>
      <c r="AU818" s="46" t="s">
        <v>376</v>
      </c>
      <c r="AV818" s="46"/>
      <c r="AW818" s="46" t="s">
        <v>30</v>
      </c>
      <c r="AX818" s="46"/>
      <c r="AY818" s="46"/>
      <c r="AZ818" s="46" t="s">
        <v>30</v>
      </c>
      <c r="BA818" s="54"/>
      <c r="BB818" s="51"/>
      <c r="BC818" s="46"/>
      <c r="BD818" s="46"/>
      <c r="BE818" s="46"/>
      <c r="BF818" s="46">
        <v>1</v>
      </c>
      <c r="BG818" s="46">
        <v>1</v>
      </c>
      <c r="BH818" s="46">
        <v>3</v>
      </c>
      <c r="BI818" s="46" t="s">
        <v>823</v>
      </c>
      <c r="BJ818" s="46" t="s">
        <v>1342</v>
      </c>
      <c r="BK818" s="46">
        <v>1974</v>
      </c>
      <c r="BL818" s="46" t="str">
        <f>BK818&amp;BI818</f>
        <v>1974Manchester City</v>
      </c>
      <c r="BM818" s="52" t="str">
        <f>IF(AD818="Home",BI818,IF(AD818="Away",BJ818,Q818))</f>
        <v>Manchester City</v>
      </c>
      <c r="BN818" s="46"/>
      <c r="BO818" s="46"/>
      <c r="BP818" s="46"/>
      <c r="BQ818" s="46"/>
      <c r="BR818" s="46"/>
      <c r="BS818" s="46"/>
      <c r="BT818" s="46"/>
      <c r="BU818" s="46"/>
      <c r="BV818" s="46" t="s">
        <v>376</v>
      </c>
      <c r="BW818" s="46" t="s">
        <v>376</v>
      </c>
      <c r="BX818" s="46"/>
      <c r="BZ818" s="53"/>
      <c r="CA818" s="53"/>
      <c r="CB818" s="93" t="str">
        <f>IF(OR(C818="",A818="",B818=""),"",TEXT(C818,"0000")&amp;TEXT(A818,"00")&amp;TEXT(B818,"00"))</f>
        <v>19740130</v>
      </c>
    </row>
    <row r="819" spans="1:80" s="52" customFormat="1" ht="12.95" customHeight="1" x14ac:dyDescent="0.2">
      <c r="A819" s="46">
        <v>1</v>
      </c>
      <c r="B819" s="46">
        <v>30</v>
      </c>
      <c r="C819" s="46">
        <v>1974</v>
      </c>
      <c r="D819" s="46" t="s">
        <v>658</v>
      </c>
      <c r="E819" s="46" t="s">
        <v>555</v>
      </c>
      <c r="F819" s="54" t="s">
        <v>1327</v>
      </c>
      <c r="G819" s="46"/>
      <c r="H819" s="54" t="s">
        <v>1011</v>
      </c>
      <c r="I819" s="54">
        <v>2</v>
      </c>
      <c r="J819" s="55">
        <v>27059</v>
      </c>
      <c r="K819" s="46" t="s">
        <v>1342</v>
      </c>
      <c r="L819" s="46" t="s">
        <v>4</v>
      </c>
      <c r="M819" s="46" t="s">
        <v>823</v>
      </c>
      <c r="N819" s="49">
        <v>0</v>
      </c>
      <c r="O819" s="49">
        <v>2</v>
      </c>
      <c r="P819" s="54" t="s">
        <v>1226</v>
      </c>
      <c r="Q819" s="54" t="s">
        <v>1101</v>
      </c>
      <c r="R819" s="54" t="s">
        <v>376</v>
      </c>
      <c r="S819" s="46"/>
      <c r="T819" s="46"/>
      <c r="U819" s="46"/>
      <c r="V819" s="46"/>
      <c r="W819" s="46"/>
      <c r="X819" s="46"/>
      <c r="Y819" s="46"/>
      <c r="Z819" s="46"/>
      <c r="AA819" s="46"/>
      <c r="AB819" s="46"/>
      <c r="AC819" s="46"/>
      <c r="AD819" s="46" t="s">
        <v>1037</v>
      </c>
      <c r="AE819" s="50">
        <f>IF(L819="W",1,0)</f>
        <v>0</v>
      </c>
      <c r="AF819" s="50">
        <f>IF(L819="T",1,0)</f>
        <v>0</v>
      </c>
      <c r="AG819" s="50">
        <f>IF(L819="L",1,0)</f>
        <v>1</v>
      </c>
      <c r="AH819" s="46" t="s">
        <v>1344</v>
      </c>
      <c r="AI819" s="46" t="s">
        <v>1359</v>
      </c>
      <c r="AJ819" s="46" t="s">
        <v>376</v>
      </c>
      <c r="AK819" s="46" t="s">
        <v>658</v>
      </c>
      <c r="AL819" s="46" t="s">
        <v>1101</v>
      </c>
      <c r="AM819" s="46" t="s">
        <v>1159</v>
      </c>
      <c r="AN819" s="46" t="s">
        <v>376</v>
      </c>
      <c r="AO819" s="46" t="s">
        <v>658</v>
      </c>
      <c r="AP819" s="46"/>
      <c r="AQ819" s="46">
        <v>2</v>
      </c>
      <c r="AR819" s="46"/>
      <c r="AS819" s="46"/>
      <c r="AT819" s="46"/>
      <c r="AU819" s="46" t="s">
        <v>376</v>
      </c>
      <c r="AV819" s="46"/>
      <c r="AW819" s="46" t="s">
        <v>30</v>
      </c>
      <c r="AX819" s="46"/>
      <c r="AY819" s="46"/>
      <c r="AZ819" s="46" t="s">
        <v>30</v>
      </c>
      <c r="BA819" s="54"/>
      <c r="BB819" s="51"/>
      <c r="BC819" s="46"/>
      <c r="BD819" s="46"/>
      <c r="BE819" s="46"/>
      <c r="BF819" s="46">
        <v>1</v>
      </c>
      <c r="BG819" s="46">
        <v>3</v>
      </c>
      <c r="BH819" s="46">
        <v>1</v>
      </c>
      <c r="BI819" s="46" t="s">
        <v>1342</v>
      </c>
      <c r="BJ819" s="46" t="s">
        <v>823</v>
      </c>
      <c r="BK819" s="46">
        <v>1974</v>
      </c>
      <c r="BL819" s="46" t="str">
        <f>BK819&amp;BI819</f>
        <v>1974Plymouth Argyle</v>
      </c>
      <c r="BM819" s="52" t="str">
        <f>IF(AD819="Home",BI819,IF(AD819="Away",BJ819,Q819))</f>
        <v>Manchester City</v>
      </c>
      <c r="BN819" s="46"/>
      <c r="BO819" s="46"/>
      <c r="BP819" s="46"/>
      <c r="BQ819" s="46"/>
      <c r="BR819" s="46"/>
      <c r="BS819" s="46"/>
      <c r="BT819" s="46"/>
      <c r="BU819" s="46"/>
      <c r="BV819" s="46" t="s">
        <v>376</v>
      </c>
      <c r="BW819" s="46" t="s">
        <v>376</v>
      </c>
      <c r="BX819" s="46"/>
      <c r="BZ819" s="53"/>
      <c r="CA819" s="53"/>
      <c r="CB819" s="93" t="str">
        <f>IF(OR(C819="",A819="",B819=""),"",TEXT(C819,"0000")&amp;TEXT(A819,"00")&amp;TEXT(B819,"00"))</f>
        <v>19740130</v>
      </c>
    </row>
    <row r="820" spans="1:80" s="52" customFormat="1" ht="12.95" customHeight="1" x14ac:dyDescent="0.2">
      <c r="A820" s="46">
        <v>3</v>
      </c>
      <c r="B820" s="46">
        <v>2</v>
      </c>
      <c r="C820" s="46">
        <v>1974</v>
      </c>
      <c r="D820" s="46" t="s">
        <v>658</v>
      </c>
      <c r="E820" s="46" t="s">
        <v>555</v>
      </c>
      <c r="F820" s="54" t="s">
        <v>1327</v>
      </c>
      <c r="G820" s="46"/>
      <c r="H820" s="54" t="s">
        <v>40</v>
      </c>
      <c r="I820" s="54"/>
      <c r="J820" s="55">
        <v>27090</v>
      </c>
      <c r="K820" s="46" t="s">
        <v>1151</v>
      </c>
      <c r="L820" s="46" t="s">
        <v>3</v>
      </c>
      <c r="M820" s="46" t="s">
        <v>823</v>
      </c>
      <c r="N820" s="49">
        <v>2</v>
      </c>
      <c r="O820" s="49">
        <v>1</v>
      </c>
      <c r="P820" s="54" t="s">
        <v>1268</v>
      </c>
      <c r="Q820" s="54" t="s">
        <v>1017</v>
      </c>
      <c r="R820" s="54" t="s">
        <v>376</v>
      </c>
      <c r="S820" s="46" t="s">
        <v>1023</v>
      </c>
      <c r="T820" s="46"/>
      <c r="U820" s="46"/>
      <c r="V820" s="46"/>
      <c r="W820" s="46"/>
      <c r="X820" s="46"/>
      <c r="Y820" s="46"/>
      <c r="Z820" s="46"/>
      <c r="AA820" s="46"/>
      <c r="AB820" s="46"/>
      <c r="AC820" s="46"/>
      <c r="AD820" s="46"/>
      <c r="AE820" s="50">
        <f>IF(L820="W",1,0)</f>
        <v>1</v>
      </c>
      <c r="AF820" s="50">
        <f>IF(L820="T",1,0)</f>
        <v>0</v>
      </c>
      <c r="AG820" s="50">
        <f>IF(L820="L",1,0)</f>
        <v>0</v>
      </c>
      <c r="AH820" s="46" t="s">
        <v>1111</v>
      </c>
      <c r="AI820" s="46" t="s">
        <v>1126</v>
      </c>
      <c r="AJ820" s="46" t="s">
        <v>376</v>
      </c>
      <c r="AK820" s="46" t="s">
        <v>658</v>
      </c>
      <c r="AL820" s="46" t="s">
        <v>1101</v>
      </c>
      <c r="AM820" s="46" t="s">
        <v>1159</v>
      </c>
      <c r="AN820" s="46" t="s">
        <v>376</v>
      </c>
      <c r="AO820" s="46" t="s">
        <v>658</v>
      </c>
      <c r="AP820" s="46"/>
      <c r="AQ820" s="46">
        <v>1</v>
      </c>
      <c r="AR820" s="46"/>
      <c r="AS820" s="46"/>
      <c r="AT820" s="46"/>
      <c r="AU820" s="46" t="s">
        <v>376</v>
      </c>
      <c r="AV820" s="46"/>
      <c r="AW820" s="46" t="s">
        <v>30</v>
      </c>
      <c r="AX820" s="46"/>
      <c r="AY820" s="46"/>
      <c r="AZ820" s="46" t="s">
        <v>30</v>
      </c>
      <c r="BA820" s="54"/>
      <c r="BB820" s="51" t="s">
        <v>30</v>
      </c>
      <c r="BC820" s="46" t="s">
        <v>30</v>
      </c>
      <c r="BD820" s="46"/>
      <c r="BE820" s="46"/>
      <c r="BF820" s="46">
        <v>1</v>
      </c>
      <c r="BG820" s="46">
        <v>1</v>
      </c>
      <c r="BH820" s="46">
        <v>1</v>
      </c>
      <c r="BI820" s="46" t="s">
        <v>1151</v>
      </c>
      <c r="BJ820" s="46" t="s">
        <v>823</v>
      </c>
      <c r="BK820" s="46">
        <v>1974</v>
      </c>
      <c r="BL820" s="46" t="str">
        <f>BK820&amp;BI820</f>
        <v>1974Wolverhampton Wanderers</v>
      </c>
      <c r="BM820" s="52" t="str">
        <f>IF(AD820="Home",BI820,IF(AD820="Away",BJ820,Q820))</f>
        <v>London</v>
      </c>
      <c r="BN820" s="46"/>
      <c r="BO820" s="46"/>
      <c r="BP820" s="46"/>
      <c r="BQ820" s="46"/>
      <c r="BR820" s="46"/>
      <c r="BS820" s="46"/>
      <c r="BT820" s="46"/>
      <c r="BU820" s="46"/>
      <c r="BV820" s="46" t="s">
        <v>376</v>
      </c>
      <c r="BW820" s="46" t="s">
        <v>376</v>
      </c>
      <c r="BX820" s="46"/>
      <c r="BZ820" s="53"/>
      <c r="CA820" s="53"/>
      <c r="CB820" s="93" t="str">
        <f>IF(OR(C820="",A820="",B820=""),"",TEXT(C820,"0000")&amp;TEXT(A820,"00")&amp;TEXT(B820,"00"))</f>
        <v>19740302</v>
      </c>
    </row>
    <row r="821" spans="1:80" s="52" customFormat="1" ht="12.95" customHeight="1" x14ac:dyDescent="0.2">
      <c r="A821" s="46">
        <v>3</v>
      </c>
      <c r="B821" s="46">
        <v>2</v>
      </c>
      <c r="C821" s="46">
        <v>1974</v>
      </c>
      <c r="D821" s="46" t="s">
        <v>658</v>
      </c>
      <c r="E821" s="46" t="s">
        <v>555</v>
      </c>
      <c r="F821" s="54" t="s">
        <v>1327</v>
      </c>
      <c r="G821" s="46"/>
      <c r="H821" s="54" t="s">
        <v>40</v>
      </c>
      <c r="I821" s="54"/>
      <c r="J821" s="55">
        <v>27090</v>
      </c>
      <c r="K821" s="46" t="s">
        <v>823</v>
      </c>
      <c r="L821" s="46" t="s">
        <v>4</v>
      </c>
      <c r="M821" s="46" t="s">
        <v>1151</v>
      </c>
      <c r="N821" s="49">
        <v>1</v>
      </c>
      <c r="O821" s="49">
        <v>2</v>
      </c>
      <c r="P821" s="54" t="s">
        <v>1268</v>
      </c>
      <c r="Q821" s="54" t="s">
        <v>1017</v>
      </c>
      <c r="R821" s="54" t="s">
        <v>376</v>
      </c>
      <c r="S821" s="46"/>
      <c r="T821" s="46"/>
      <c r="U821" s="46"/>
      <c r="V821" s="46"/>
      <c r="W821" s="46"/>
      <c r="X821" s="46"/>
      <c r="Y821" s="46"/>
      <c r="Z821" s="46"/>
      <c r="AA821" s="46"/>
      <c r="AB821" s="46"/>
      <c r="AC821" s="46"/>
      <c r="AD821" s="46"/>
      <c r="AE821" s="50">
        <f>IF(L821="W",1,0)</f>
        <v>0</v>
      </c>
      <c r="AF821" s="50">
        <f>IF(L821="T",1,0)</f>
        <v>0</v>
      </c>
      <c r="AG821" s="50">
        <f>IF(L821="L",1,0)</f>
        <v>1</v>
      </c>
      <c r="AH821" s="46" t="s">
        <v>1101</v>
      </c>
      <c r="AI821" s="46" t="s">
        <v>1159</v>
      </c>
      <c r="AJ821" s="46" t="s">
        <v>376</v>
      </c>
      <c r="AK821" s="46" t="s">
        <v>658</v>
      </c>
      <c r="AL821" s="46" t="s">
        <v>1111</v>
      </c>
      <c r="AM821" s="46" t="s">
        <v>1126</v>
      </c>
      <c r="AN821" s="46" t="s">
        <v>376</v>
      </c>
      <c r="AO821" s="46" t="s">
        <v>658</v>
      </c>
      <c r="AP821" s="46"/>
      <c r="AQ821" s="46">
        <v>1</v>
      </c>
      <c r="AR821" s="46"/>
      <c r="AS821" s="46"/>
      <c r="AT821" s="46"/>
      <c r="AU821" s="46" t="s">
        <v>376</v>
      </c>
      <c r="AV821" s="46"/>
      <c r="AW821" s="46" t="s">
        <v>30</v>
      </c>
      <c r="AX821" s="46"/>
      <c r="AY821" s="46"/>
      <c r="AZ821" s="46" t="s">
        <v>30</v>
      </c>
      <c r="BA821" s="54"/>
      <c r="BB821" s="51"/>
      <c r="BC821" s="46" t="s">
        <v>30</v>
      </c>
      <c r="BD821" s="46"/>
      <c r="BE821" s="46"/>
      <c r="BF821" s="46">
        <v>1</v>
      </c>
      <c r="BG821" s="46">
        <v>1</v>
      </c>
      <c r="BH821" s="46">
        <v>1</v>
      </c>
      <c r="BI821" s="46" t="s">
        <v>823</v>
      </c>
      <c r="BJ821" s="46" t="s">
        <v>1151</v>
      </c>
      <c r="BK821" s="46">
        <v>1974</v>
      </c>
      <c r="BL821" s="46" t="str">
        <f>BK821&amp;BI821</f>
        <v>1974Manchester City</v>
      </c>
      <c r="BM821" s="52" t="str">
        <f>IF(AD821="Home",BI821,IF(AD821="Away",BJ821,Q821))</f>
        <v>London</v>
      </c>
      <c r="BN821" s="46"/>
      <c r="BO821" s="46"/>
      <c r="BP821" s="46"/>
      <c r="BQ821" s="46"/>
      <c r="BR821" s="46"/>
      <c r="BS821" s="46"/>
      <c r="BT821" s="46"/>
      <c r="BU821" s="46"/>
      <c r="BV821" s="46" t="s">
        <v>376</v>
      </c>
      <c r="BW821" s="46" t="s">
        <v>376</v>
      </c>
      <c r="BX821" s="46"/>
      <c r="BZ821" s="53"/>
      <c r="CA821" s="53"/>
      <c r="CB821" s="93" t="str">
        <f>IF(OR(C821="",A821="",B821=""),"",TEXT(C821,"0000")&amp;TEXT(A821,"00")&amp;TEXT(B821,"00"))</f>
        <v>19740302</v>
      </c>
    </row>
    <row r="822" spans="1:80" s="52" customFormat="1" ht="12.95" customHeight="1" x14ac:dyDescent="0.2">
      <c r="A822" s="46">
        <v>3</v>
      </c>
      <c r="B822" s="46">
        <v>30</v>
      </c>
      <c r="C822" s="46">
        <v>1974</v>
      </c>
      <c r="D822" s="46" t="s">
        <v>658</v>
      </c>
      <c r="E822" s="46" t="s">
        <v>555</v>
      </c>
      <c r="F822" s="47" t="s">
        <v>1010</v>
      </c>
      <c r="G822" s="46"/>
      <c r="H822" s="47" t="s">
        <v>1011</v>
      </c>
      <c r="I822" s="47"/>
      <c r="J822" s="48">
        <v>27118</v>
      </c>
      <c r="K822" s="46" t="s">
        <v>805</v>
      </c>
      <c r="L822" s="46" t="s">
        <v>3</v>
      </c>
      <c r="M822" s="46" t="s">
        <v>1255</v>
      </c>
      <c r="N822" s="49">
        <v>2</v>
      </c>
      <c r="O822" s="49">
        <v>0</v>
      </c>
      <c r="P822" s="47" t="s">
        <v>1252</v>
      </c>
      <c r="Q822" s="47" t="s">
        <v>1097</v>
      </c>
      <c r="R822" s="47" t="s">
        <v>376</v>
      </c>
      <c r="S822" s="46"/>
      <c r="T822" s="46"/>
      <c r="U822" s="46"/>
      <c r="V822" s="46"/>
      <c r="W822" s="46"/>
      <c r="X822" s="46"/>
      <c r="Y822" s="46"/>
      <c r="Z822" s="46"/>
      <c r="AA822" s="46"/>
      <c r="AB822" s="46"/>
      <c r="AC822" s="46"/>
      <c r="AD822" s="46"/>
      <c r="AE822" s="50">
        <f>IF(L822="W",1,0)</f>
        <v>1</v>
      </c>
      <c r="AF822" s="50">
        <f>IF(L822="T",1,0)</f>
        <v>0</v>
      </c>
      <c r="AG822" s="50">
        <f>IF(L822="L",1,0)</f>
        <v>0</v>
      </c>
      <c r="AH822" s="46" t="s">
        <v>1227</v>
      </c>
      <c r="AI822" s="46" t="s">
        <v>1164</v>
      </c>
      <c r="AJ822" s="46" t="s">
        <v>376</v>
      </c>
      <c r="AK822" s="46" t="s">
        <v>658</v>
      </c>
      <c r="AL822" s="46" t="s">
        <v>1255</v>
      </c>
      <c r="AM822" s="46" t="s">
        <v>1086</v>
      </c>
      <c r="AN822" s="46" t="s">
        <v>376</v>
      </c>
      <c r="AO822" s="46" t="s">
        <v>658</v>
      </c>
      <c r="AP822" s="46"/>
      <c r="AQ822" s="46">
        <v>2</v>
      </c>
      <c r="AR822" s="46"/>
      <c r="AS822" s="46"/>
      <c r="AT822" s="46"/>
      <c r="AU822" s="46" t="s">
        <v>376</v>
      </c>
      <c r="AV822" s="46"/>
      <c r="AW822" s="46" t="s">
        <v>30</v>
      </c>
      <c r="AX822" s="46"/>
      <c r="AY822" s="46" t="s">
        <v>30</v>
      </c>
      <c r="AZ822" s="46"/>
      <c r="BA822" s="47"/>
      <c r="BB822" s="51"/>
      <c r="BC822" s="46"/>
      <c r="BD822" s="46"/>
      <c r="BE822" s="46"/>
      <c r="BF822" s="46">
        <v>1</v>
      </c>
      <c r="BG822" s="46">
        <v>1</v>
      </c>
      <c r="BH822" s="46">
        <v>1</v>
      </c>
      <c r="BI822" s="46" t="s">
        <v>805</v>
      </c>
      <c r="BJ822" s="46" t="s">
        <v>1255</v>
      </c>
      <c r="BK822" s="46">
        <v>1974</v>
      </c>
      <c r="BL822" s="46" t="str">
        <f>BK822&amp;BI822</f>
        <v>1974Newcastle United</v>
      </c>
      <c r="BM822" s="52" t="str">
        <f>IF(AD822="Home",BI822,IF(AD822="Away",BJ822,Q822))</f>
        <v>Sheffield</v>
      </c>
      <c r="BN822" s="46"/>
      <c r="BO822" s="46"/>
      <c r="BP822" s="46"/>
      <c r="BQ822" s="46"/>
      <c r="BR822" s="46"/>
      <c r="BS822" s="46"/>
      <c r="BT822" s="46"/>
      <c r="BU822" s="46"/>
      <c r="BV822" s="46" t="s">
        <v>376</v>
      </c>
      <c r="BW822" s="46" t="s">
        <v>376</v>
      </c>
      <c r="BX822" s="46"/>
      <c r="BY822" s="50"/>
      <c r="BZ822" s="53"/>
      <c r="CA822" s="53"/>
      <c r="CB822" s="93" t="str">
        <f>IF(OR(C822="",A822="",B822=""),"",TEXT(C822,"0000")&amp;TEXT(A822,"00")&amp;TEXT(B822,"00"))</f>
        <v>19740330</v>
      </c>
    </row>
    <row r="823" spans="1:80" s="52" customFormat="1" ht="12.95" customHeight="1" x14ac:dyDescent="0.2">
      <c r="A823" s="46">
        <v>3</v>
      </c>
      <c r="B823" s="46">
        <v>30</v>
      </c>
      <c r="C823" s="46">
        <v>1974</v>
      </c>
      <c r="D823" s="46" t="s">
        <v>658</v>
      </c>
      <c r="E823" s="46" t="s">
        <v>555</v>
      </c>
      <c r="F823" s="47" t="s">
        <v>1010</v>
      </c>
      <c r="G823" s="46"/>
      <c r="H823" s="47" t="s">
        <v>1011</v>
      </c>
      <c r="I823" s="47"/>
      <c r="J823" s="48">
        <v>27118</v>
      </c>
      <c r="K823" s="46" t="s">
        <v>1255</v>
      </c>
      <c r="L823" s="46" t="s">
        <v>4</v>
      </c>
      <c r="M823" s="46" t="s">
        <v>805</v>
      </c>
      <c r="N823" s="49">
        <v>0</v>
      </c>
      <c r="O823" s="49">
        <v>2</v>
      </c>
      <c r="P823" s="47" t="s">
        <v>1252</v>
      </c>
      <c r="Q823" s="47" t="s">
        <v>1097</v>
      </c>
      <c r="R823" s="47" t="s">
        <v>376</v>
      </c>
      <c r="S823" s="46"/>
      <c r="T823" s="46"/>
      <c r="U823" s="46"/>
      <c r="V823" s="46"/>
      <c r="W823" s="46"/>
      <c r="X823" s="46"/>
      <c r="Y823" s="46"/>
      <c r="Z823" s="46"/>
      <c r="AA823" s="46"/>
      <c r="AB823" s="46"/>
      <c r="AC823" s="46"/>
      <c r="AD823" s="46"/>
      <c r="AE823" s="50">
        <f>IF(L823="W",1,0)</f>
        <v>0</v>
      </c>
      <c r="AF823" s="50">
        <f>IF(L823="T",1,0)</f>
        <v>0</v>
      </c>
      <c r="AG823" s="50">
        <f>IF(L823="L",1,0)</f>
        <v>1</v>
      </c>
      <c r="AH823" s="46" t="s">
        <v>1255</v>
      </c>
      <c r="AI823" s="46" t="s">
        <v>1086</v>
      </c>
      <c r="AJ823" s="46" t="s">
        <v>376</v>
      </c>
      <c r="AK823" s="46" t="s">
        <v>658</v>
      </c>
      <c r="AL823" s="46" t="s">
        <v>1227</v>
      </c>
      <c r="AM823" s="46" t="s">
        <v>1164</v>
      </c>
      <c r="AN823" s="46" t="s">
        <v>376</v>
      </c>
      <c r="AO823" s="46" t="s">
        <v>658</v>
      </c>
      <c r="AP823" s="46"/>
      <c r="AQ823" s="46">
        <v>2</v>
      </c>
      <c r="AR823" s="46"/>
      <c r="AS823" s="46"/>
      <c r="AT823" s="46"/>
      <c r="AU823" s="46" t="s">
        <v>376</v>
      </c>
      <c r="AV823" s="46"/>
      <c r="AW823" s="46" t="s">
        <v>30</v>
      </c>
      <c r="AX823" s="46"/>
      <c r="AY823" s="46" t="s">
        <v>30</v>
      </c>
      <c r="AZ823" s="46"/>
      <c r="BA823" s="47"/>
      <c r="BB823" s="51"/>
      <c r="BC823" s="46"/>
      <c r="BD823" s="46"/>
      <c r="BE823" s="46"/>
      <c r="BF823" s="46">
        <v>1</v>
      </c>
      <c r="BG823" s="46">
        <v>1</v>
      </c>
      <c r="BH823" s="46">
        <v>1</v>
      </c>
      <c r="BI823" s="46" t="s">
        <v>1255</v>
      </c>
      <c r="BJ823" s="46" t="s">
        <v>805</v>
      </c>
      <c r="BK823" s="46">
        <v>1974</v>
      </c>
      <c r="BL823" s="46" t="str">
        <f>BK823&amp;BI823</f>
        <v>1974Burnley</v>
      </c>
      <c r="BM823" s="52" t="str">
        <f>IF(AD823="Home",BI823,IF(AD823="Away",BJ823,Q823))</f>
        <v>Sheffield</v>
      </c>
      <c r="BN823" s="46"/>
      <c r="BO823" s="46"/>
      <c r="BP823" s="46"/>
      <c r="BQ823" s="46"/>
      <c r="BR823" s="46"/>
      <c r="BS823" s="46"/>
      <c r="BT823" s="46"/>
      <c r="BU823" s="46"/>
      <c r="BV823" s="46" t="s">
        <v>376</v>
      </c>
      <c r="BW823" s="46" t="s">
        <v>376</v>
      </c>
      <c r="BX823" s="46"/>
      <c r="BY823" s="50"/>
      <c r="BZ823" s="53"/>
      <c r="CA823" s="53"/>
      <c r="CB823" s="93" t="str">
        <f>IF(OR(C823="",A823="",B823=""),"",TEXT(C823,"0000")&amp;TEXT(A823,"00")&amp;TEXT(B823,"00"))</f>
        <v>19740330</v>
      </c>
    </row>
    <row r="824" spans="1:80" s="52" customFormat="1" ht="12.95" customHeight="1" x14ac:dyDescent="0.2">
      <c r="A824" s="46">
        <v>3</v>
      </c>
      <c r="B824" s="46">
        <v>30</v>
      </c>
      <c r="C824" s="46">
        <v>1974</v>
      </c>
      <c r="D824" s="46" t="s">
        <v>658</v>
      </c>
      <c r="E824" s="46" t="s">
        <v>555</v>
      </c>
      <c r="F824" s="47" t="s">
        <v>1010</v>
      </c>
      <c r="G824" s="46"/>
      <c r="H824" s="47" t="s">
        <v>1011</v>
      </c>
      <c r="I824" s="47"/>
      <c r="J824" s="48">
        <v>27118</v>
      </c>
      <c r="K824" s="46" t="s">
        <v>588</v>
      </c>
      <c r="L824" s="46" t="s">
        <v>1014</v>
      </c>
      <c r="M824" s="46" t="s">
        <v>1291</v>
      </c>
      <c r="N824" s="49">
        <v>0</v>
      </c>
      <c r="O824" s="49">
        <v>0</v>
      </c>
      <c r="P824" s="47" t="s">
        <v>1246</v>
      </c>
      <c r="Q824" s="47" t="s">
        <v>1101</v>
      </c>
      <c r="R824" s="47" t="s">
        <v>376</v>
      </c>
      <c r="S824" s="46"/>
      <c r="T824" s="46"/>
      <c r="U824" s="46"/>
      <c r="V824" s="46"/>
      <c r="W824" s="46"/>
      <c r="X824" s="46"/>
      <c r="Y824" s="46"/>
      <c r="Z824" s="46"/>
      <c r="AA824" s="46"/>
      <c r="AB824" s="46"/>
      <c r="AC824" s="46"/>
      <c r="AD824" s="46"/>
      <c r="AE824" s="50">
        <f>IF(L824="W",1,0)</f>
        <v>0</v>
      </c>
      <c r="AF824" s="50">
        <f>IF(L824="T",1,0)</f>
        <v>1</v>
      </c>
      <c r="AG824" s="50">
        <f>IF(L824="L",1,0)</f>
        <v>0</v>
      </c>
      <c r="AH824" s="46" t="s">
        <v>588</v>
      </c>
      <c r="AI824" s="46" t="s">
        <v>1175</v>
      </c>
      <c r="AJ824" s="46" t="s">
        <v>376</v>
      </c>
      <c r="AK824" s="46" t="s">
        <v>658</v>
      </c>
      <c r="AL824" s="46" t="s">
        <v>1278</v>
      </c>
      <c r="AM824" s="46" t="s">
        <v>1292</v>
      </c>
      <c r="AN824" s="46" t="s">
        <v>376</v>
      </c>
      <c r="AO824" s="46" t="s">
        <v>658</v>
      </c>
      <c r="AP824" s="46"/>
      <c r="AQ824" s="46">
        <v>2</v>
      </c>
      <c r="AR824" s="46"/>
      <c r="AS824" s="46"/>
      <c r="AT824" s="46"/>
      <c r="AU824" s="46" t="s">
        <v>376</v>
      </c>
      <c r="AV824" s="46"/>
      <c r="AW824" s="46" t="s">
        <v>30</v>
      </c>
      <c r="AX824" s="46"/>
      <c r="AY824" s="46" t="s">
        <v>30</v>
      </c>
      <c r="AZ824" s="46"/>
      <c r="BA824" s="47"/>
      <c r="BB824" s="51"/>
      <c r="BC824" s="46"/>
      <c r="BD824" s="46"/>
      <c r="BE824" s="46"/>
      <c r="BF824" s="46">
        <v>1</v>
      </c>
      <c r="BG824" s="46">
        <v>1</v>
      </c>
      <c r="BH824" s="46">
        <v>1</v>
      </c>
      <c r="BI824" s="46" t="s">
        <v>588</v>
      </c>
      <c r="BJ824" s="46" t="s">
        <v>1291</v>
      </c>
      <c r="BK824" s="46">
        <v>1974</v>
      </c>
      <c r="BL824" s="46" t="str">
        <f>BK824&amp;BI824</f>
        <v>1974Liverpool</v>
      </c>
      <c r="BM824" s="52" t="str">
        <f>IF(AD824="Home",BI824,IF(AD824="Away",BJ824,Q824))</f>
        <v>Manchester</v>
      </c>
      <c r="BN824" s="46"/>
      <c r="BO824" s="46"/>
      <c r="BP824" s="46"/>
      <c r="BQ824" s="46"/>
      <c r="BR824" s="46"/>
      <c r="BS824" s="46"/>
      <c r="BT824" s="46"/>
      <c r="BU824" s="46"/>
      <c r="BV824" s="46" t="s">
        <v>376</v>
      </c>
      <c r="BW824" s="46" t="s">
        <v>376</v>
      </c>
      <c r="BX824" s="46"/>
      <c r="BZ824" s="53"/>
      <c r="CA824" s="53"/>
      <c r="CB824" s="93" t="str">
        <f>IF(OR(C824="",A824="",B824=""),"",TEXT(C824,"0000")&amp;TEXT(A824,"00")&amp;TEXT(B824,"00"))</f>
        <v>19740330</v>
      </c>
    </row>
    <row r="825" spans="1:80" s="52" customFormat="1" ht="12.95" customHeight="1" x14ac:dyDescent="0.2">
      <c r="A825" s="46">
        <v>3</v>
      </c>
      <c r="B825" s="46">
        <v>30</v>
      </c>
      <c r="C825" s="46">
        <v>1974</v>
      </c>
      <c r="D825" s="46" t="s">
        <v>658</v>
      </c>
      <c r="E825" s="46" t="s">
        <v>555</v>
      </c>
      <c r="F825" s="47" t="s">
        <v>1010</v>
      </c>
      <c r="G825" s="46"/>
      <c r="H825" s="47" t="s">
        <v>1011</v>
      </c>
      <c r="I825" s="47"/>
      <c r="J825" s="48">
        <v>27118</v>
      </c>
      <c r="K825" s="46" t="s">
        <v>1291</v>
      </c>
      <c r="L825" s="46" t="s">
        <v>1014</v>
      </c>
      <c r="M825" s="46" t="s">
        <v>588</v>
      </c>
      <c r="N825" s="49">
        <v>0</v>
      </c>
      <c r="O825" s="49">
        <v>0</v>
      </c>
      <c r="P825" s="47" t="s">
        <v>1246</v>
      </c>
      <c r="Q825" s="47" t="s">
        <v>1101</v>
      </c>
      <c r="R825" s="47" t="s">
        <v>376</v>
      </c>
      <c r="S825" s="46"/>
      <c r="T825" s="46"/>
      <c r="U825" s="46"/>
      <c r="V825" s="46"/>
      <c r="W825" s="46"/>
      <c r="X825" s="46"/>
      <c r="Y825" s="46"/>
      <c r="Z825" s="46"/>
      <c r="AA825" s="46"/>
      <c r="AB825" s="46"/>
      <c r="AC825" s="46"/>
      <c r="AD825" s="46"/>
      <c r="AE825" s="50">
        <f>IF(L825="W",1,0)</f>
        <v>0</v>
      </c>
      <c r="AF825" s="50">
        <f>IF(L825="T",1,0)</f>
        <v>1</v>
      </c>
      <c r="AG825" s="50">
        <f>IF(L825="L",1,0)</f>
        <v>0</v>
      </c>
      <c r="AH825" s="46" t="s">
        <v>1278</v>
      </c>
      <c r="AI825" s="46" t="s">
        <v>1292</v>
      </c>
      <c r="AJ825" s="46" t="s">
        <v>376</v>
      </c>
      <c r="AK825" s="46" t="s">
        <v>658</v>
      </c>
      <c r="AL825" s="46" t="s">
        <v>588</v>
      </c>
      <c r="AM825" s="46" t="s">
        <v>1175</v>
      </c>
      <c r="AN825" s="46" t="s">
        <v>376</v>
      </c>
      <c r="AO825" s="46" t="s">
        <v>658</v>
      </c>
      <c r="AP825" s="46"/>
      <c r="AQ825" s="46">
        <v>2</v>
      </c>
      <c r="AR825" s="46"/>
      <c r="AS825" s="46"/>
      <c r="AT825" s="46"/>
      <c r="AU825" s="46" t="s">
        <v>376</v>
      </c>
      <c r="AV825" s="46"/>
      <c r="AW825" s="46" t="s">
        <v>30</v>
      </c>
      <c r="AX825" s="46"/>
      <c r="AY825" s="46" t="s">
        <v>30</v>
      </c>
      <c r="AZ825" s="46"/>
      <c r="BA825" s="47"/>
      <c r="BB825" s="51"/>
      <c r="BC825" s="46"/>
      <c r="BD825" s="46"/>
      <c r="BE825" s="46"/>
      <c r="BF825" s="46">
        <v>1</v>
      </c>
      <c r="BG825" s="46">
        <v>1</v>
      </c>
      <c r="BH825" s="46">
        <v>1</v>
      </c>
      <c r="BI825" s="46" t="s">
        <v>1291</v>
      </c>
      <c r="BJ825" s="46" t="s">
        <v>588</v>
      </c>
      <c r="BK825" s="46">
        <v>1974</v>
      </c>
      <c r="BL825" s="46" t="str">
        <f>BK825&amp;BI825</f>
        <v>1974Leicester City</v>
      </c>
      <c r="BM825" s="52" t="str">
        <f>IF(AD825="Home",BI825,IF(AD825="Away",BJ825,Q825))</f>
        <v>Manchester</v>
      </c>
      <c r="BN825" s="46"/>
      <c r="BO825" s="46"/>
      <c r="BP825" s="46"/>
      <c r="BQ825" s="46"/>
      <c r="BR825" s="46"/>
      <c r="BS825" s="46"/>
      <c r="BT825" s="46"/>
      <c r="BU825" s="46"/>
      <c r="BV825" s="46" t="s">
        <v>376</v>
      </c>
      <c r="BW825" s="46" t="s">
        <v>376</v>
      </c>
      <c r="BX825" s="46"/>
      <c r="BZ825" s="53"/>
      <c r="CA825" s="53"/>
      <c r="CB825" s="93" t="str">
        <f>IF(OR(C825="",A825="",B825=""),"",TEXT(C825,"0000")&amp;TEXT(A825,"00")&amp;TEXT(B825,"00"))</f>
        <v>19740330</v>
      </c>
    </row>
    <row r="826" spans="1:80" s="52" customFormat="1" ht="12.95" customHeight="1" x14ac:dyDescent="0.2">
      <c r="A826" s="46">
        <v>4</v>
      </c>
      <c r="B826" s="46">
        <v>3</v>
      </c>
      <c r="C826" s="46">
        <v>1974</v>
      </c>
      <c r="D826" s="46" t="s">
        <v>658</v>
      </c>
      <c r="E826" s="46" t="s">
        <v>555</v>
      </c>
      <c r="F826" s="47" t="s">
        <v>1010</v>
      </c>
      <c r="G826" s="46"/>
      <c r="H826" s="47" t="s">
        <v>1011</v>
      </c>
      <c r="I826" s="47" t="s">
        <v>1023</v>
      </c>
      <c r="J826" s="48">
        <v>27122</v>
      </c>
      <c r="K826" s="46" t="s">
        <v>588</v>
      </c>
      <c r="L826" s="46" t="s">
        <v>3</v>
      </c>
      <c r="M826" s="46" t="s">
        <v>1291</v>
      </c>
      <c r="N826" s="49">
        <v>3</v>
      </c>
      <c r="O826" s="49">
        <v>1</v>
      </c>
      <c r="P826" s="47" t="s">
        <v>1219</v>
      </c>
      <c r="Q826" s="47" t="s">
        <v>1111</v>
      </c>
      <c r="R826" s="47" t="s">
        <v>376</v>
      </c>
      <c r="S826" s="46"/>
      <c r="T826" s="46"/>
      <c r="U826" s="46"/>
      <c r="V826" s="46"/>
      <c r="W826" s="46"/>
      <c r="X826" s="46"/>
      <c r="Y826" s="46"/>
      <c r="Z826" s="46"/>
      <c r="AA826" s="46"/>
      <c r="AB826" s="46"/>
      <c r="AC826" s="46"/>
      <c r="AD826" s="46"/>
      <c r="AE826" s="50">
        <f>IF(L826="W",1,0)</f>
        <v>1</v>
      </c>
      <c r="AF826" s="50">
        <f>IF(L826="T",1,0)</f>
        <v>0</v>
      </c>
      <c r="AG826" s="50">
        <f>IF(L826="L",1,0)</f>
        <v>0</v>
      </c>
      <c r="AH826" s="46" t="s">
        <v>588</v>
      </c>
      <c r="AI826" s="46" t="s">
        <v>1175</v>
      </c>
      <c r="AJ826" s="46" t="s">
        <v>376</v>
      </c>
      <c r="AK826" s="46" t="s">
        <v>658</v>
      </c>
      <c r="AL826" s="46" t="s">
        <v>1278</v>
      </c>
      <c r="AM826" s="46" t="s">
        <v>1292</v>
      </c>
      <c r="AN826" s="46" t="s">
        <v>376</v>
      </c>
      <c r="AO826" s="46" t="s">
        <v>658</v>
      </c>
      <c r="AP826" s="46"/>
      <c r="AQ826" s="46">
        <v>2</v>
      </c>
      <c r="AR826" s="46"/>
      <c r="AS826" s="46"/>
      <c r="AT826" s="46"/>
      <c r="AU826" s="46" t="s">
        <v>376</v>
      </c>
      <c r="AV826" s="46"/>
      <c r="AW826" s="46" t="s">
        <v>30</v>
      </c>
      <c r="AX826" s="46"/>
      <c r="AY826" s="46" t="s">
        <v>30</v>
      </c>
      <c r="AZ826" s="46"/>
      <c r="BA826" s="47"/>
      <c r="BB826" s="51"/>
      <c r="BC826" s="46"/>
      <c r="BD826" s="46"/>
      <c r="BE826" s="46"/>
      <c r="BF826" s="46">
        <v>1</v>
      </c>
      <c r="BG826" s="46">
        <v>1</v>
      </c>
      <c r="BH826" s="46">
        <v>1</v>
      </c>
      <c r="BI826" s="46" t="s">
        <v>588</v>
      </c>
      <c r="BJ826" s="46" t="s">
        <v>1291</v>
      </c>
      <c r="BK826" s="46">
        <v>1974</v>
      </c>
      <c r="BL826" s="46" t="str">
        <f>BK826&amp;BI826</f>
        <v>1974Liverpool</v>
      </c>
      <c r="BM826" s="52" t="str">
        <f>IF(AD826="Home",BI826,IF(AD826="Away",BJ826,Q826))</f>
        <v>Birmingham</v>
      </c>
      <c r="BN826" s="46"/>
      <c r="BO826" s="46"/>
      <c r="BP826" s="46"/>
      <c r="BQ826" s="46"/>
      <c r="BR826" s="46"/>
      <c r="BS826" s="46"/>
      <c r="BT826" s="46"/>
      <c r="BU826" s="46"/>
      <c r="BV826" s="46" t="s">
        <v>376</v>
      </c>
      <c r="BW826" s="46" t="s">
        <v>376</v>
      </c>
      <c r="BX826" s="46"/>
      <c r="BZ826" s="53"/>
      <c r="CA826" s="53"/>
      <c r="CB826" s="93" t="str">
        <f>IF(OR(C826="",A826="",B826=""),"",TEXT(C826,"0000")&amp;TEXT(A826,"00")&amp;TEXT(B826,"00"))</f>
        <v>19740403</v>
      </c>
    </row>
    <row r="827" spans="1:80" s="52" customFormat="1" ht="12.95" customHeight="1" x14ac:dyDescent="0.2">
      <c r="A827" s="46">
        <v>4</v>
      </c>
      <c r="B827" s="46">
        <v>3</v>
      </c>
      <c r="C827" s="46">
        <v>1974</v>
      </c>
      <c r="D827" s="46" t="s">
        <v>658</v>
      </c>
      <c r="E827" s="46" t="s">
        <v>555</v>
      </c>
      <c r="F827" s="47" t="s">
        <v>1010</v>
      </c>
      <c r="G827" s="46"/>
      <c r="H827" s="47" t="s">
        <v>1011</v>
      </c>
      <c r="I827" s="47" t="s">
        <v>1023</v>
      </c>
      <c r="J827" s="48">
        <v>27122</v>
      </c>
      <c r="K827" s="46" t="s">
        <v>1291</v>
      </c>
      <c r="L827" s="46" t="s">
        <v>4</v>
      </c>
      <c r="M827" s="46" t="s">
        <v>588</v>
      </c>
      <c r="N827" s="49">
        <v>1</v>
      </c>
      <c r="O827" s="49">
        <v>3</v>
      </c>
      <c r="P827" s="47" t="s">
        <v>1219</v>
      </c>
      <c r="Q827" s="47" t="s">
        <v>1111</v>
      </c>
      <c r="R827" s="47" t="s">
        <v>376</v>
      </c>
      <c r="S827" s="46"/>
      <c r="T827" s="46"/>
      <c r="U827" s="46"/>
      <c r="V827" s="46"/>
      <c r="W827" s="46"/>
      <c r="X827" s="46"/>
      <c r="Y827" s="46"/>
      <c r="Z827" s="46"/>
      <c r="AA827" s="46"/>
      <c r="AB827" s="46"/>
      <c r="AC827" s="46"/>
      <c r="AD827" s="46"/>
      <c r="AE827" s="50">
        <f>IF(L827="W",1,0)</f>
        <v>0</v>
      </c>
      <c r="AF827" s="50">
        <f>IF(L827="T",1,0)</f>
        <v>0</v>
      </c>
      <c r="AG827" s="50">
        <f>IF(L827="L",1,0)</f>
        <v>1</v>
      </c>
      <c r="AH827" s="46" t="s">
        <v>1278</v>
      </c>
      <c r="AI827" s="46" t="s">
        <v>1292</v>
      </c>
      <c r="AJ827" s="46" t="s">
        <v>376</v>
      </c>
      <c r="AK827" s="46" t="s">
        <v>658</v>
      </c>
      <c r="AL827" s="46" t="s">
        <v>588</v>
      </c>
      <c r="AM827" s="46" t="s">
        <v>1175</v>
      </c>
      <c r="AN827" s="46" t="s">
        <v>376</v>
      </c>
      <c r="AO827" s="46" t="s">
        <v>658</v>
      </c>
      <c r="AP827" s="46"/>
      <c r="AQ827" s="46">
        <v>2</v>
      </c>
      <c r="AR827" s="46"/>
      <c r="AS827" s="46"/>
      <c r="AT827" s="46"/>
      <c r="AU827" s="46" t="s">
        <v>376</v>
      </c>
      <c r="AV827" s="46"/>
      <c r="AW827" s="46" t="s">
        <v>30</v>
      </c>
      <c r="AX827" s="46"/>
      <c r="AY827" s="46" t="s">
        <v>30</v>
      </c>
      <c r="AZ827" s="46"/>
      <c r="BA827" s="47"/>
      <c r="BB827" s="51"/>
      <c r="BC827" s="46"/>
      <c r="BD827" s="46"/>
      <c r="BE827" s="46"/>
      <c r="BF827" s="46">
        <v>1</v>
      </c>
      <c r="BG827" s="46">
        <v>1</v>
      </c>
      <c r="BH827" s="46">
        <v>1</v>
      </c>
      <c r="BI827" s="46" t="s">
        <v>1291</v>
      </c>
      <c r="BJ827" s="46" t="s">
        <v>588</v>
      </c>
      <c r="BK827" s="46">
        <v>1974</v>
      </c>
      <c r="BL827" s="46" t="str">
        <f>BK827&amp;BI827</f>
        <v>1974Leicester City</v>
      </c>
      <c r="BM827" s="52" t="str">
        <f>IF(AD827="Home",BI827,IF(AD827="Away",BJ827,Q827))</f>
        <v>Birmingham</v>
      </c>
      <c r="BN827" s="46"/>
      <c r="BO827" s="46"/>
      <c r="BP827" s="46"/>
      <c r="BQ827" s="46"/>
      <c r="BR827" s="46"/>
      <c r="BS827" s="46"/>
      <c r="BT827" s="46"/>
      <c r="BU827" s="46"/>
      <c r="BV827" s="46" t="s">
        <v>376</v>
      </c>
      <c r="BW827" s="46" t="s">
        <v>376</v>
      </c>
      <c r="BX827" s="46"/>
      <c r="BZ827" s="53"/>
      <c r="CA827" s="53"/>
      <c r="CB827" s="93" t="str">
        <f>IF(OR(C827="",A827="",B827=""),"",TEXT(C827,"0000")&amp;TEXT(A827,"00")&amp;TEXT(B827,"00"))</f>
        <v>19740403</v>
      </c>
    </row>
    <row r="828" spans="1:80" s="52" customFormat="1" ht="12.95" customHeight="1" x14ac:dyDescent="0.2">
      <c r="A828" s="46">
        <v>5</v>
      </c>
      <c r="B828" s="46">
        <v>4</v>
      </c>
      <c r="C828" s="46">
        <v>1974</v>
      </c>
      <c r="D828" s="46" t="s">
        <v>658</v>
      </c>
      <c r="E828" s="46" t="s">
        <v>555</v>
      </c>
      <c r="F828" s="47" t="s">
        <v>1010</v>
      </c>
      <c r="G828" s="46"/>
      <c r="H828" s="47" t="s">
        <v>1025</v>
      </c>
      <c r="I828" s="47"/>
      <c r="J828" s="48">
        <v>27153</v>
      </c>
      <c r="K828" s="46" t="s">
        <v>588</v>
      </c>
      <c r="L828" s="46" t="s">
        <v>3</v>
      </c>
      <c r="M828" s="46" t="s">
        <v>805</v>
      </c>
      <c r="N828" s="49">
        <v>3</v>
      </c>
      <c r="O828" s="49">
        <v>0</v>
      </c>
      <c r="P828" s="47" t="s">
        <v>1268</v>
      </c>
      <c r="Q828" s="47" t="s">
        <v>1017</v>
      </c>
      <c r="R828" s="47" t="s">
        <v>376</v>
      </c>
      <c r="S828" s="46"/>
      <c r="T828" s="46"/>
      <c r="U828" s="46"/>
      <c r="V828" s="46"/>
      <c r="W828" s="46"/>
      <c r="X828" s="46"/>
      <c r="Y828" s="46"/>
      <c r="Z828" s="46"/>
      <c r="AA828" s="46"/>
      <c r="AB828" s="46"/>
      <c r="AC828" s="46"/>
      <c r="AD828" s="46"/>
      <c r="AE828" s="50">
        <f>IF(L828="W",1,0)</f>
        <v>1</v>
      </c>
      <c r="AF828" s="50">
        <f>IF(L828="T",1,0)</f>
        <v>0</v>
      </c>
      <c r="AG828" s="50">
        <f>IF(L828="L",1,0)</f>
        <v>0</v>
      </c>
      <c r="AH828" s="46" t="s">
        <v>588</v>
      </c>
      <c r="AI828" s="46" t="s">
        <v>1175</v>
      </c>
      <c r="AJ828" s="46" t="s">
        <v>376</v>
      </c>
      <c r="AK828" s="46" t="s">
        <v>658</v>
      </c>
      <c r="AL828" s="46" t="s">
        <v>1227</v>
      </c>
      <c r="AM828" s="46" t="s">
        <v>1164</v>
      </c>
      <c r="AN828" s="46" t="s">
        <v>376</v>
      </c>
      <c r="AO828" s="46" t="s">
        <v>658</v>
      </c>
      <c r="AP828" s="46"/>
      <c r="AQ828" s="46">
        <v>1</v>
      </c>
      <c r="AR828" s="46"/>
      <c r="AS828" s="46"/>
      <c r="AT828" s="46"/>
      <c r="AU828" s="46" t="s">
        <v>376</v>
      </c>
      <c r="AV828" s="46"/>
      <c r="AW828" s="46" t="s">
        <v>30</v>
      </c>
      <c r="AX828" s="46"/>
      <c r="AY828" s="46" t="s">
        <v>30</v>
      </c>
      <c r="AZ828" s="46"/>
      <c r="BA828" s="47"/>
      <c r="BB828" s="51" t="s">
        <v>30</v>
      </c>
      <c r="BC828" s="46" t="s">
        <v>30</v>
      </c>
      <c r="BD828" s="46"/>
      <c r="BE828" s="46"/>
      <c r="BF828" s="46">
        <v>1</v>
      </c>
      <c r="BG828" s="46">
        <v>1</v>
      </c>
      <c r="BH828" s="46">
        <v>1</v>
      </c>
      <c r="BI828" s="46" t="s">
        <v>588</v>
      </c>
      <c r="BJ828" s="46" t="s">
        <v>805</v>
      </c>
      <c r="BK828" s="46">
        <v>1974</v>
      </c>
      <c r="BL828" s="46" t="str">
        <f>BK828&amp;BI828</f>
        <v>1974Liverpool</v>
      </c>
      <c r="BM828" s="52" t="str">
        <f>IF(AD828="Home",BI828,IF(AD828="Away",BJ828,Q828))</f>
        <v>London</v>
      </c>
      <c r="BN828" s="46"/>
      <c r="BO828" s="46"/>
      <c r="BP828" s="46"/>
      <c r="BQ828" s="46"/>
      <c r="BR828" s="46"/>
      <c r="BS828" s="46"/>
      <c r="BT828" s="46"/>
      <c r="BU828" s="46"/>
      <c r="BV828" s="46" t="s">
        <v>376</v>
      </c>
      <c r="BW828" s="46" t="s">
        <v>376</v>
      </c>
      <c r="BX828" s="46"/>
      <c r="BZ828" s="53"/>
      <c r="CA828" s="53"/>
      <c r="CB828" s="93" t="str">
        <f>IF(OR(C828="",A828="",B828=""),"",TEXT(C828,"0000")&amp;TEXT(A828,"00")&amp;TEXT(B828,"00"))</f>
        <v>19740504</v>
      </c>
    </row>
    <row r="829" spans="1:80" s="52" customFormat="1" ht="12.95" customHeight="1" x14ac:dyDescent="0.2">
      <c r="A829" s="46">
        <v>5</v>
      </c>
      <c r="B829" s="46">
        <v>4</v>
      </c>
      <c r="C829" s="46">
        <v>1974</v>
      </c>
      <c r="D829" s="46" t="s">
        <v>658</v>
      </c>
      <c r="E829" s="46" t="s">
        <v>555</v>
      </c>
      <c r="F829" s="47" t="s">
        <v>1010</v>
      </c>
      <c r="G829" s="46"/>
      <c r="H829" s="47" t="s">
        <v>1025</v>
      </c>
      <c r="I829" s="47"/>
      <c r="J829" s="48">
        <v>27153</v>
      </c>
      <c r="K829" s="46" t="s">
        <v>805</v>
      </c>
      <c r="L829" s="46" t="s">
        <v>4</v>
      </c>
      <c r="M829" s="46" t="s">
        <v>588</v>
      </c>
      <c r="N829" s="49">
        <v>0</v>
      </c>
      <c r="O829" s="49">
        <v>3</v>
      </c>
      <c r="P829" s="47" t="s">
        <v>1268</v>
      </c>
      <c r="Q829" s="47" t="s">
        <v>1017</v>
      </c>
      <c r="R829" s="47" t="s">
        <v>376</v>
      </c>
      <c r="S829" s="46"/>
      <c r="T829" s="46"/>
      <c r="U829" s="46"/>
      <c r="V829" s="46"/>
      <c r="W829" s="46"/>
      <c r="X829" s="46"/>
      <c r="Y829" s="46"/>
      <c r="Z829" s="46"/>
      <c r="AA829" s="46"/>
      <c r="AB829" s="46"/>
      <c r="AC829" s="46"/>
      <c r="AD829" s="46"/>
      <c r="AE829" s="50">
        <f>IF(L829="W",1,0)</f>
        <v>0</v>
      </c>
      <c r="AF829" s="50">
        <f>IF(L829="T",1,0)</f>
        <v>0</v>
      </c>
      <c r="AG829" s="50">
        <f>IF(L829="L",1,0)</f>
        <v>1</v>
      </c>
      <c r="AH829" s="46" t="s">
        <v>1227</v>
      </c>
      <c r="AI829" s="46" t="s">
        <v>1164</v>
      </c>
      <c r="AJ829" s="46" t="s">
        <v>376</v>
      </c>
      <c r="AK829" s="46" t="s">
        <v>658</v>
      </c>
      <c r="AL829" s="46" t="s">
        <v>588</v>
      </c>
      <c r="AM829" s="46" t="s">
        <v>1175</v>
      </c>
      <c r="AN829" s="46" t="s">
        <v>376</v>
      </c>
      <c r="AO829" s="46" t="s">
        <v>658</v>
      </c>
      <c r="AP829" s="46"/>
      <c r="AQ829" s="46">
        <v>1</v>
      </c>
      <c r="AR829" s="46"/>
      <c r="AS829" s="46"/>
      <c r="AT829" s="46"/>
      <c r="AU829" s="46" t="s">
        <v>376</v>
      </c>
      <c r="AV829" s="46"/>
      <c r="AW829" s="46" t="s">
        <v>30</v>
      </c>
      <c r="AX829" s="46"/>
      <c r="AY829" s="46" t="s">
        <v>30</v>
      </c>
      <c r="AZ829" s="46"/>
      <c r="BA829" s="47"/>
      <c r="BB829" s="51"/>
      <c r="BC829" s="46" t="s">
        <v>30</v>
      </c>
      <c r="BD829" s="46"/>
      <c r="BE829" s="46"/>
      <c r="BF829" s="46">
        <v>1</v>
      </c>
      <c r="BG829" s="46">
        <v>1</v>
      </c>
      <c r="BH829" s="46">
        <v>1</v>
      </c>
      <c r="BI829" s="46" t="s">
        <v>805</v>
      </c>
      <c r="BJ829" s="46" t="s">
        <v>588</v>
      </c>
      <c r="BK829" s="46">
        <v>1974</v>
      </c>
      <c r="BL829" s="46" t="str">
        <f>BK829&amp;BI829</f>
        <v>1974Newcastle United</v>
      </c>
      <c r="BM829" s="52" t="str">
        <f>IF(AD829="Home",BI829,IF(AD829="Away",BJ829,Q829))</f>
        <v>London</v>
      </c>
      <c r="BN829" s="46"/>
      <c r="BO829" s="46"/>
      <c r="BP829" s="46"/>
      <c r="BQ829" s="46"/>
      <c r="BR829" s="46"/>
      <c r="BS829" s="46"/>
      <c r="BT829" s="46"/>
      <c r="BU829" s="46"/>
      <c r="BV829" s="46" t="s">
        <v>376</v>
      </c>
      <c r="BW829" s="46" t="s">
        <v>376</v>
      </c>
      <c r="BX829" s="46"/>
      <c r="BZ829" s="53"/>
      <c r="CA829" s="53"/>
      <c r="CB829" s="93" t="str">
        <f>IF(OR(C829="",A829="",B829=""),"",TEXT(C829,"0000")&amp;TEXT(A829,"00")&amp;TEXT(B829,"00"))</f>
        <v>19740504</v>
      </c>
    </row>
    <row r="830" spans="1:80" s="52" customFormat="1" ht="12.95" customHeight="1" x14ac:dyDescent="0.2">
      <c r="A830" s="46">
        <v>1</v>
      </c>
      <c r="B830" s="46">
        <v>15</v>
      </c>
      <c r="C830" s="46">
        <v>1975</v>
      </c>
      <c r="D830" s="46" t="s">
        <v>658</v>
      </c>
      <c r="E830" s="46" t="s">
        <v>553</v>
      </c>
      <c r="F830" s="54" t="s">
        <v>1327</v>
      </c>
      <c r="G830" s="46"/>
      <c r="H830" s="54" t="s">
        <v>1011</v>
      </c>
      <c r="I830" s="54">
        <v>1</v>
      </c>
      <c r="J830" s="55">
        <v>27409</v>
      </c>
      <c r="K830" s="46" t="s">
        <v>821</v>
      </c>
      <c r="L830" s="46" t="s">
        <v>1014</v>
      </c>
      <c r="M830" s="46" t="s">
        <v>1321</v>
      </c>
      <c r="N830" s="49">
        <v>2</v>
      </c>
      <c r="O830" s="49">
        <v>2</v>
      </c>
      <c r="P830" s="54" t="s">
        <v>1246</v>
      </c>
      <c r="Q830" s="54" t="s">
        <v>1101</v>
      </c>
      <c r="R830" s="54" t="s">
        <v>376</v>
      </c>
      <c r="S830" s="46"/>
      <c r="T830" s="46"/>
      <c r="U830" s="46"/>
      <c r="V830" s="46"/>
      <c r="W830" s="46"/>
      <c r="X830" s="46"/>
      <c r="Y830" s="46"/>
      <c r="Z830" s="46"/>
      <c r="AA830" s="46"/>
      <c r="AB830" s="46"/>
      <c r="AC830" s="46"/>
      <c r="AD830" s="46" t="s">
        <v>1033</v>
      </c>
      <c r="AE830" s="50">
        <f>IF(L830="W",1,0)</f>
        <v>0</v>
      </c>
      <c r="AF830" s="50">
        <f>IF(L830="T",1,0)</f>
        <v>1</v>
      </c>
      <c r="AG830" s="50">
        <f>IF(L830="L",1,0)</f>
        <v>0</v>
      </c>
      <c r="AH830" s="46" t="s">
        <v>1101</v>
      </c>
      <c r="AI830" s="46" t="s">
        <v>1159</v>
      </c>
      <c r="AJ830" s="46" t="s">
        <v>376</v>
      </c>
      <c r="AK830" s="46" t="s">
        <v>658</v>
      </c>
      <c r="AL830" s="46" t="s">
        <v>1323</v>
      </c>
      <c r="AM830" s="46" t="s">
        <v>1324</v>
      </c>
      <c r="AN830" s="46" t="s">
        <v>376</v>
      </c>
      <c r="AO830" s="46" t="s">
        <v>658</v>
      </c>
      <c r="AP830" s="46"/>
      <c r="AQ830" s="46">
        <v>2</v>
      </c>
      <c r="AR830" s="46"/>
      <c r="AS830" s="46"/>
      <c r="AT830" s="46"/>
      <c r="AU830" s="46" t="s">
        <v>376</v>
      </c>
      <c r="AV830" s="46"/>
      <c r="AW830" s="46" t="s">
        <v>30</v>
      </c>
      <c r="AX830" s="46"/>
      <c r="AY830" s="46"/>
      <c r="AZ830" s="46" t="s">
        <v>30</v>
      </c>
      <c r="BA830" s="54"/>
      <c r="BB830" s="51"/>
      <c r="BC830" s="46"/>
      <c r="BD830" s="46"/>
      <c r="BE830" s="46"/>
      <c r="BF830" s="46">
        <v>1</v>
      </c>
      <c r="BG830" s="46">
        <v>2</v>
      </c>
      <c r="BH830" s="46">
        <v>2</v>
      </c>
      <c r="BI830" s="46" t="s">
        <v>821</v>
      </c>
      <c r="BJ830" s="46" t="s">
        <v>1321</v>
      </c>
      <c r="BK830" s="46">
        <v>1975</v>
      </c>
      <c r="BL830" s="46" t="str">
        <f>BK830&amp;BI830</f>
        <v>1975Manchester United</v>
      </c>
      <c r="BM830" s="52" t="str">
        <f>IF(AD830="Home",BI830,IF(AD830="Away",BJ830,Q830))</f>
        <v>Manchester United</v>
      </c>
      <c r="BN830" s="46"/>
      <c r="BO830" s="46"/>
      <c r="BP830" s="46"/>
      <c r="BQ830" s="46"/>
      <c r="BR830" s="46"/>
      <c r="BS830" s="46"/>
      <c r="BT830" s="46"/>
      <c r="BU830" s="46"/>
      <c r="BV830" s="46" t="s">
        <v>376</v>
      </c>
      <c r="BW830" s="46" t="s">
        <v>376</v>
      </c>
      <c r="BX830" s="46"/>
      <c r="BZ830" s="53"/>
      <c r="CA830" s="53"/>
      <c r="CB830" s="93" t="str">
        <f>IF(OR(C830="",A830="",B830=""),"",TEXT(C830,"0000")&amp;TEXT(A830,"00")&amp;TEXT(B830,"00"))</f>
        <v>19750115</v>
      </c>
    </row>
    <row r="831" spans="1:80" s="52" customFormat="1" ht="12.95" customHeight="1" x14ac:dyDescent="0.2">
      <c r="A831" s="46">
        <v>1</v>
      </c>
      <c r="B831" s="46">
        <v>15</v>
      </c>
      <c r="C831" s="46">
        <v>1975</v>
      </c>
      <c r="D831" s="46" t="s">
        <v>658</v>
      </c>
      <c r="E831" s="46" t="s">
        <v>553</v>
      </c>
      <c r="F831" s="54" t="s">
        <v>1327</v>
      </c>
      <c r="G831" s="46"/>
      <c r="H831" s="54" t="s">
        <v>1011</v>
      </c>
      <c r="I831" s="54">
        <v>1</v>
      </c>
      <c r="J831" s="55">
        <v>27409</v>
      </c>
      <c r="K831" s="46" t="s">
        <v>1321</v>
      </c>
      <c r="L831" s="46" t="s">
        <v>1014</v>
      </c>
      <c r="M831" s="46" t="s">
        <v>821</v>
      </c>
      <c r="N831" s="49">
        <v>2</v>
      </c>
      <c r="O831" s="49">
        <v>2</v>
      </c>
      <c r="P831" s="54" t="s">
        <v>1246</v>
      </c>
      <c r="Q831" s="54" t="s">
        <v>1101</v>
      </c>
      <c r="R831" s="54" t="s">
        <v>376</v>
      </c>
      <c r="S831" s="46"/>
      <c r="T831" s="46"/>
      <c r="U831" s="46"/>
      <c r="V831" s="46"/>
      <c r="W831" s="46"/>
      <c r="X831" s="46"/>
      <c r="Y831" s="46"/>
      <c r="Z831" s="46"/>
      <c r="AA831" s="46"/>
      <c r="AB831" s="46"/>
      <c r="AC831" s="46"/>
      <c r="AD831" s="46" t="s">
        <v>1037</v>
      </c>
      <c r="AE831" s="50">
        <f>IF(L831="W",1,0)</f>
        <v>0</v>
      </c>
      <c r="AF831" s="50">
        <f>IF(L831="T",1,0)</f>
        <v>1</v>
      </c>
      <c r="AG831" s="50">
        <f>IF(L831="L",1,0)</f>
        <v>0</v>
      </c>
      <c r="AH831" s="46" t="s">
        <v>1323</v>
      </c>
      <c r="AI831" s="46" t="s">
        <v>1324</v>
      </c>
      <c r="AJ831" s="46" t="s">
        <v>376</v>
      </c>
      <c r="AK831" s="46" t="s">
        <v>658</v>
      </c>
      <c r="AL831" s="46" t="s">
        <v>1101</v>
      </c>
      <c r="AM831" s="46" t="s">
        <v>1159</v>
      </c>
      <c r="AN831" s="46" t="s">
        <v>376</v>
      </c>
      <c r="AO831" s="46" t="s">
        <v>658</v>
      </c>
      <c r="AP831" s="46"/>
      <c r="AQ831" s="46">
        <v>2</v>
      </c>
      <c r="AR831" s="46"/>
      <c r="AS831" s="46"/>
      <c r="AT831" s="46"/>
      <c r="AU831" s="46" t="s">
        <v>376</v>
      </c>
      <c r="AV831" s="46"/>
      <c r="AW831" s="46" t="s">
        <v>30</v>
      </c>
      <c r="AX831" s="46"/>
      <c r="AY831" s="46"/>
      <c r="AZ831" s="46" t="s">
        <v>30</v>
      </c>
      <c r="BA831" s="54"/>
      <c r="BB831" s="51"/>
      <c r="BC831" s="46"/>
      <c r="BD831" s="46"/>
      <c r="BE831" s="46"/>
      <c r="BF831" s="46">
        <v>1</v>
      </c>
      <c r="BG831" s="46">
        <v>2</v>
      </c>
      <c r="BH831" s="46">
        <v>2</v>
      </c>
      <c r="BI831" s="46" t="s">
        <v>1321</v>
      </c>
      <c r="BJ831" s="46" t="s">
        <v>821</v>
      </c>
      <c r="BK831" s="46">
        <v>1975</v>
      </c>
      <c r="BL831" s="46" t="str">
        <f>BK831&amp;BI831</f>
        <v>1975Norwich City</v>
      </c>
      <c r="BM831" s="52" t="str">
        <f>IF(AD831="Home",BI831,IF(AD831="Away",BJ831,Q831))</f>
        <v>Manchester United</v>
      </c>
      <c r="BN831" s="46"/>
      <c r="BO831" s="46"/>
      <c r="BP831" s="46"/>
      <c r="BQ831" s="46"/>
      <c r="BR831" s="46"/>
      <c r="BS831" s="46"/>
      <c r="BT831" s="46"/>
      <c r="BU831" s="46"/>
      <c r="BV831" s="46" t="s">
        <v>376</v>
      </c>
      <c r="BW831" s="46" t="s">
        <v>376</v>
      </c>
      <c r="BX831" s="46"/>
      <c r="BZ831" s="53"/>
      <c r="CA831" s="53"/>
      <c r="CB831" s="93" t="str">
        <f>IF(OR(C831="",A831="",B831=""),"",TEXT(C831,"0000")&amp;TEXT(A831,"00")&amp;TEXT(B831,"00"))</f>
        <v>19750115</v>
      </c>
    </row>
    <row r="832" spans="1:80" s="52" customFormat="1" ht="12.95" customHeight="1" x14ac:dyDescent="0.2">
      <c r="A832" s="46">
        <v>1</v>
      </c>
      <c r="B832" s="46">
        <v>15</v>
      </c>
      <c r="C832" s="46">
        <v>1975</v>
      </c>
      <c r="D832" s="46" t="s">
        <v>658</v>
      </c>
      <c r="E832" s="46" t="s">
        <v>553</v>
      </c>
      <c r="F832" s="54" t="s">
        <v>1327</v>
      </c>
      <c r="G832" s="46"/>
      <c r="H832" s="54" t="s">
        <v>1011</v>
      </c>
      <c r="I832" s="54">
        <v>1</v>
      </c>
      <c r="J832" s="55">
        <v>27409</v>
      </c>
      <c r="K832" s="46" t="s">
        <v>1360</v>
      </c>
      <c r="L832" s="46" t="s">
        <v>1014</v>
      </c>
      <c r="M832" s="46" t="s">
        <v>806</v>
      </c>
      <c r="N832" s="49">
        <v>2</v>
      </c>
      <c r="O832" s="49">
        <v>2</v>
      </c>
      <c r="P832" s="54" t="s">
        <v>1361</v>
      </c>
      <c r="Q832" s="54" t="s">
        <v>1362</v>
      </c>
      <c r="R832" s="54" t="s">
        <v>376</v>
      </c>
      <c r="S832" s="46"/>
      <c r="T832" s="46"/>
      <c r="U832" s="46"/>
      <c r="V832" s="46"/>
      <c r="W832" s="46"/>
      <c r="X832" s="46"/>
      <c r="Y832" s="46"/>
      <c r="Z832" s="46"/>
      <c r="AA832" s="46"/>
      <c r="AB832" s="46"/>
      <c r="AC832" s="46"/>
      <c r="AD832" s="46" t="s">
        <v>1033</v>
      </c>
      <c r="AE832" s="50">
        <f>IF(L832="W",1,0)</f>
        <v>0</v>
      </c>
      <c r="AF832" s="50">
        <f>IF(L832="T",1,0)</f>
        <v>1</v>
      </c>
      <c r="AG832" s="50">
        <f>IF(L832="L",1,0)</f>
        <v>0</v>
      </c>
      <c r="AH832" s="46" t="s">
        <v>1362</v>
      </c>
      <c r="AI832" s="46" t="s">
        <v>1142</v>
      </c>
      <c r="AJ832" s="46" t="s">
        <v>376</v>
      </c>
      <c r="AK832" s="46" t="s">
        <v>658</v>
      </c>
      <c r="AL832" s="46" t="s">
        <v>1111</v>
      </c>
      <c r="AM832" s="46" t="s">
        <v>1126</v>
      </c>
      <c r="AN832" s="46" t="s">
        <v>376</v>
      </c>
      <c r="AO832" s="46" t="s">
        <v>658</v>
      </c>
      <c r="AP832" s="46"/>
      <c r="AQ832" s="46">
        <v>2</v>
      </c>
      <c r="AR832" s="46"/>
      <c r="AS832" s="46"/>
      <c r="AT832" s="46"/>
      <c r="AU832" s="46" t="s">
        <v>376</v>
      </c>
      <c r="AV832" s="46"/>
      <c r="AW832" s="46" t="s">
        <v>30</v>
      </c>
      <c r="AX832" s="46"/>
      <c r="AY832" s="46"/>
      <c r="AZ832" s="46" t="s">
        <v>30</v>
      </c>
      <c r="BA832" s="54"/>
      <c r="BB832" s="51"/>
      <c r="BC832" s="46"/>
      <c r="BD832" s="46"/>
      <c r="BE832" s="46"/>
      <c r="BF832" s="46">
        <v>1</v>
      </c>
      <c r="BG832" s="46">
        <v>4</v>
      </c>
      <c r="BH832" s="46">
        <v>2</v>
      </c>
      <c r="BI832" s="46" t="s">
        <v>1360</v>
      </c>
      <c r="BJ832" s="46" t="s">
        <v>806</v>
      </c>
      <c r="BK832" s="46">
        <v>1975</v>
      </c>
      <c r="BL832" s="46" t="str">
        <f>BK832&amp;BI832</f>
        <v>1975Chester City</v>
      </c>
      <c r="BM832" s="52" t="str">
        <f>IF(AD832="Home",BI832,IF(AD832="Away",BJ832,Q832))</f>
        <v>Chester City</v>
      </c>
      <c r="BN832" s="46"/>
      <c r="BO832" s="46"/>
      <c r="BP832" s="46"/>
      <c r="BQ832" s="46"/>
      <c r="BR832" s="46"/>
      <c r="BS832" s="46"/>
      <c r="BT832" s="46"/>
      <c r="BU832" s="46"/>
      <c r="BV832" s="46" t="s">
        <v>376</v>
      </c>
      <c r="BW832" s="46" t="s">
        <v>376</v>
      </c>
      <c r="BX832" s="46"/>
      <c r="BZ832" s="53"/>
      <c r="CA832" s="53"/>
      <c r="CB832" s="93" t="str">
        <f>IF(OR(C832="",A832="",B832=""),"",TEXT(C832,"0000")&amp;TEXT(A832,"00")&amp;TEXT(B832,"00"))</f>
        <v>19750115</v>
      </c>
    </row>
    <row r="833" spans="1:80" s="52" customFormat="1" ht="12.95" customHeight="1" x14ac:dyDescent="0.2">
      <c r="A833" s="46">
        <v>1</v>
      </c>
      <c r="B833" s="46">
        <v>15</v>
      </c>
      <c r="C833" s="46">
        <v>1975</v>
      </c>
      <c r="D833" s="46" t="s">
        <v>658</v>
      </c>
      <c r="E833" s="46" t="s">
        <v>553</v>
      </c>
      <c r="F833" s="54" t="s">
        <v>1327</v>
      </c>
      <c r="G833" s="46"/>
      <c r="H833" s="54" t="s">
        <v>1011</v>
      </c>
      <c r="I833" s="54">
        <v>1</v>
      </c>
      <c r="J833" s="55">
        <v>27409</v>
      </c>
      <c r="K833" s="46" t="s">
        <v>806</v>
      </c>
      <c r="L833" s="46" t="s">
        <v>1014</v>
      </c>
      <c r="M833" s="46" t="s">
        <v>1360</v>
      </c>
      <c r="N833" s="49">
        <v>2</v>
      </c>
      <c r="O833" s="49">
        <v>2</v>
      </c>
      <c r="P833" s="54" t="s">
        <v>1361</v>
      </c>
      <c r="Q833" s="54" t="s">
        <v>1362</v>
      </c>
      <c r="R833" s="54" t="s">
        <v>376</v>
      </c>
      <c r="S833" s="46"/>
      <c r="T833" s="46"/>
      <c r="U833" s="46"/>
      <c r="V833" s="46"/>
      <c r="W833" s="46"/>
      <c r="X833" s="46"/>
      <c r="Y833" s="46"/>
      <c r="Z833" s="46"/>
      <c r="AA833" s="46"/>
      <c r="AB833" s="46"/>
      <c r="AC833" s="46"/>
      <c r="AD833" s="46" t="s">
        <v>1037</v>
      </c>
      <c r="AE833" s="50">
        <f>IF(L833="W",1,0)</f>
        <v>0</v>
      </c>
      <c r="AF833" s="50">
        <f>IF(L833="T",1,0)</f>
        <v>1</v>
      </c>
      <c r="AG833" s="50">
        <f>IF(L833="L",1,0)</f>
        <v>0</v>
      </c>
      <c r="AH833" s="46" t="s">
        <v>1111</v>
      </c>
      <c r="AI833" s="46" t="s">
        <v>1126</v>
      </c>
      <c r="AJ833" s="46" t="s">
        <v>376</v>
      </c>
      <c r="AK833" s="46" t="s">
        <v>658</v>
      </c>
      <c r="AL833" s="46" t="s">
        <v>1362</v>
      </c>
      <c r="AM833" s="46" t="s">
        <v>1142</v>
      </c>
      <c r="AN833" s="46" t="s">
        <v>376</v>
      </c>
      <c r="AO833" s="46" t="s">
        <v>658</v>
      </c>
      <c r="AP833" s="46"/>
      <c r="AQ833" s="46">
        <v>2</v>
      </c>
      <c r="AR833" s="46"/>
      <c r="AS833" s="46"/>
      <c r="AT833" s="46"/>
      <c r="AU833" s="46" t="s">
        <v>376</v>
      </c>
      <c r="AV833" s="46"/>
      <c r="AW833" s="46" t="s">
        <v>30</v>
      </c>
      <c r="AX833" s="46"/>
      <c r="AY833" s="46"/>
      <c r="AZ833" s="46" t="s">
        <v>30</v>
      </c>
      <c r="BA833" s="54"/>
      <c r="BB833" s="51"/>
      <c r="BC833" s="46"/>
      <c r="BD833" s="46"/>
      <c r="BE833" s="46"/>
      <c r="BF833" s="46">
        <v>1</v>
      </c>
      <c r="BG833" s="46">
        <v>2</v>
      </c>
      <c r="BH833" s="46">
        <v>4</v>
      </c>
      <c r="BI833" s="46" t="s">
        <v>806</v>
      </c>
      <c r="BJ833" s="46" t="s">
        <v>1360</v>
      </c>
      <c r="BK833" s="46">
        <v>1975</v>
      </c>
      <c r="BL833" s="46" t="str">
        <f>BK833&amp;BI833</f>
        <v>1975Aston Villa</v>
      </c>
      <c r="BM833" s="52" t="str">
        <f>IF(AD833="Home",BI833,IF(AD833="Away",BJ833,Q833))</f>
        <v>Chester City</v>
      </c>
      <c r="BN833" s="46"/>
      <c r="BO833" s="46"/>
      <c r="BP833" s="46"/>
      <c r="BQ833" s="46"/>
      <c r="BR833" s="46"/>
      <c r="BS833" s="46"/>
      <c r="BT833" s="46"/>
      <c r="BU833" s="46"/>
      <c r="BV833" s="46" t="s">
        <v>376</v>
      </c>
      <c r="BW833" s="46" t="s">
        <v>376</v>
      </c>
      <c r="BX833" s="46"/>
      <c r="BZ833" s="53"/>
      <c r="CA833" s="53"/>
      <c r="CB833" s="93" t="str">
        <f>IF(OR(C833="",A833="",B833=""),"",TEXT(C833,"0000")&amp;TEXT(A833,"00")&amp;TEXT(B833,"00"))</f>
        <v>19750115</v>
      </c>
    </row>
    <row r="834" spans="1:80" s="52" customFormat="1" ht="12.95" customHeight="1" x14ac:dyDescent="0.2">
      <c r="A834" s="46">
        <v>1</v>
      </c>
      <c r="B834" s="46">
        <v>22</v>
      </c>
      <c r="C834" s="46">
        <v>1975</v>
      </c>
      <c r="D834" s="46" t="s">
        <v>658</v>
      </c>
      <c r="E834" s="46" t="s">
        <v>553</v>
      </c>
      <c r="F834" s="54" t="s">
        <v>1327</v>
      </c>
      <c r="G834" s="46"/>
      <c r="H834" s="54" t="s">
        <v>1011</v>
      </c>
      <c r="I834" s="54">
        <v>2</v>
      </c>
      <c r="J834" s="55">
        <v>27416</v>
      </c>
      <c r="K834" s="46" t="s">
        <v>1321</v>
      </c>
      <c r="L834" s="46" t="s">
        <v>3</v>
      </c>
      <c r="M834" s="46" t="s">
        <v>821</v>
      </c>
      <c r="N834" s="49">
        <v>1</v>
      </c>
      <c r="O834" s="49">
        <v>0</v>
      </c>
      <c r="P834" s="54" t="s">
        <v>1337</v>
      </c>
      <c r="Q834" s="54" t="s">
        <v>1323</v>
      </c>
      <c r="R834" s="54" t="s">
        <v>376</v>
      </c>
      <c r="S834" s="46"/>
      <c r="T834" s="46"/>
      <c r="U834" s="46"/>
      <c r="V834" s="46"/>
      <c r="W834" s="46"/>
      <c r="X834" s="46"/>
      <c r="Y834" s="46"/>
      <c r="Z834" s="46"/>
      <c r="AA834" s="46"/>
      <c r="AB834" s="46"/>
      <c r="AC834" s="46"/>
      <c r="AD834" s="46" t="s">
        <v>1033</v>
      </c>
      <c r="AE834" s="50">
        <f>IF(L834="W",1,0)</f>
        <v>1</v>
      </c>
      <c r="AF834" s="50">
        <f>IF(L834="T",1,0)</f>
        <v>0</v>
      </c>
      <c r="AG834" s="50">
        <f>IF(L834="L",1,0)</f>
        <v>0</v>
      </c>
      <c r="AH834" s="46" t="s">
        <v>1323</v>
      </c>
      <c r="AI834" s="46" t="s">
        <v>1324</v>
      </c>
      <c r="AJ834" s="46" t="s">
        <v>376</v>
      </c>
      <c r="AK834" s="46" t="s">
        <v>658</v>
      </c>
      <c r="AL834" s="46" t="s">
        <v>1101</v>
      </c>
      <c r="AM834" s="46" t="s">
        <v>1159</v>
      </c>
      <c r="AN834" s="46" t="s">
        <v>376</v>
      </c>
      <c r="AO834" s="46" t="s">
        <v>658</v>
      </c>
      <c r="AP834" s="46"/>
      <c r="AQ834" s="46">
        <v>2</v>
      </c>
      <c r="AR834" s="46"/>
      <c r="AS834" s="46"/>
      <c r="AT834" s="46"/>
      <c r="AU834" s="46" t="s">
        <v>376</v>
      </c>
      <c r="AV834" s="46"/>
      <c r="AW834" s="46" t="s">
        <v>30</v>
      </c>
      <c r="AX834" s="46"/>
      <c r="AY834" s="46"/>
      <c r="AZ834" s="46" t="s">
        <v>30</v>
      </c>
      <c r="BA834" s="54"/>
      <c r="BB834" s="51"/>
      <c r="BC834" s="46"/>
      <c r="BD834" s="46"/>
      <c r="BE834" s="46"/>
      <c r="BF834" s="46">
        <v>1</v>
      </c>
      <c r="BG834" s="46">
        <v>2</v>
      </c>
      <c r="BH834" s="46">
        <v>2</v>
      </c>
      <c r="BI834" s="46" t="s">
        <v>1321</v>
      </c>
      <c r="BJ834" s="46" t="s">
        <v>821</v>
      </c>
      <c r="BK834" s="46">
        <v>1975</v>
      </c>
      <c r="BL834" s="46" t="str">
        <f>BK834&amp;BI834</f>
        <v>1975Norwich City</v>
      </c>
      <c r="BM834" s="52" t="str">
        <f>IF(AD834="Home",BI834,IF(AD834="Away",BJ834,Q834))</f>
        <v>Norwich City</v>
      </c>
      <c r="BN834" s="46"/>
      <c r="BO834" s="46"/>
      <c r="BP834" s="46"/>
      <c r="BQ834" s="46"/>
      <c r="BR834" s="46"/>
      <c r="BS834" s="46"/>
      <c r="BT834" s="46"/>
      <c r="BU834" s="46"/>
      <c r="BV834" s="46" t="s">
        <v>376</v>
      </c>
      <c r="BW834" s="46" t="s">
        <v>376</v>
      </c>
      <c r="BX834" s="46"/>
      <c r="BZ834" s="53"/>
      <c r="CA834" s="53"/>
      <c r="CB834" s="93" t="str">
        <f>IF(OR(C834="",A834="",B834=""),"",TEXT(C834,"0000")&amp;TEXT(A834,"00")&amp;TEXT(B834,"00"))</f>
        <v>19750122</v>
      </c>
    </row>
    <row r="835" spans="1:80" s="52" customFormat="1" ht="12.95" customHeight="1" x14ac:dyDescent="0.2">
      <c r="A835" s="46">
        <v>1</v>
      </c>
      <c r="B835" s="46">
        <v>22</v>
      </c>
      <c r="C835" s="46">
        <v>1975</v>
      </c>
      <c r="D835" s="46" t="s">
        <v>658</v>
      </c>
      <c r="E835" s="46" t="s">
        <v>553</v>
      </c>
      <c r="F835" s="54" t="s">
        <v>1327</v>
      </c>
      <c r="G835" s="46"/>
      <c r="H835" s="54" t="s">
        <v>1011</v>
      </c>
      <c r="I835" s="54">
        <v>2</v>
      </c>
      <c r="J835" s="55">
        <v>27416</v>
      </c>
      <c r="K835" s="46" t="s">
        <v>821</v>
      </c>
      <c r="L835" s="46" t="s">
        <v>4</v>
      </c>
      <c r="M835" s="46" t="s">
        <v>1321</v>
      </c>
      <c r="N835" s="49">
        <v>0</v>
      </c>
      <c r="O835" s="49">
        <v>1</v>
      </c>
      <c r="P835" s="54" t="s">
        <v>1337</v>
      </c>
      <c r="Q835" s="54" t="s">
        <v>1323</v>
      </c>
      <c r="R835" s="54" t="s">
        <v>376</v>
      </c>
      <c r="S835" s="46"/>
      <c r="T835" s="46"/>
      <c r="U835" s="46"/>
      <c r="V835" s="46"/>
      <c r="W835" s="46"/>
      <c r="X835" s="46"/>
      <c r="Y835" s="46"/>
      <c r="Z835" s="46"/>
      <c r="AA835" s="46"/>
      <c r="AB835" s="46"/>
      <c r="AC835" s="46"/>
      <c r="AD835" s="46" t="s">
        <v>1037</v>
      </c>
      <c r="AE835" s="50">
        <f>IF(L835="W",1,0)</f>
        <v>0</v>
      </c>
      <c r="AF835" s="50">
        <f>IF(L835="T",1,0)</f>
        <v>0</v>
      </c>
      <c r="AG835" s="50">
        <f>IF(L835="L",1,0)</f>
        <v>1</v>
      </c>
      <c r="AH835" s="46" t="s">
        <v>1101</v>
      </c>
      <c r="AI835" s="46" t="s">
        <v>1159</v>
      </c>
      <c r="AJ835" s="46" t="s">
        <v>376</v>
      </c>
      <c r="AK835" s="46" t="s">
        <v>658</v>
      </c>
      <c r="AL835" s="46" t="s">
        <v>1323</v>
      </c>
      <c r="AM835" s="46" t="s">
        <v>1324</v>
      </c>
      <c r="AN835" s="46" t="s">
        <v>376</v>
      </c>
      <c r="AO835" s="46" t="s">
        <v>658</v>
      </c>
      <c r="AP835" s="46"/>
      <c r="AQ835" s="46">
        <v>2</v>
      </c>
      <c r="AR835" s="46"/>
      <c r="AS835" s="46"/>
      <c r="AT835" s="46"/>
      <c r="AU835" s="46" t="s">
        <v>376</v>
      </c>
      <c r="AV835" s="46"/>
      <c r="AW835" s="46" t="s">
        <v>30</v>
      </c>
      <c r="AX835" s="46"/>
      <c r="AY835" s="46"/>
      <c r="AZ835" s="46" t="s">
        <v>30</v>
      </c>
      <c r="BA835" s="54"/>
      <c r="BB835" s="51"/>
      <c r="BC835" s="46"/>
      <c r="BD835" s="46"/>
      <c r="BE835" s="46"/>
      <c r="BF835" s="46">
        <v>1</v>
      </c>
      <c r="BG835" s="46">
        <v>2</v>
      </c>
      <c r="BH835" s="46">
        <v>2</v>
      </c>
      <c r="BI835" s="46" t="s">
        <v>821</v>
      </c>
      <c r="BJ835" s="46" t="s">
        <v>1321</v>
      </c>
      <c r="BK835" s="46">
        <v>1975</v>
      </c>
      <c r="BL835" s="46" t="str">
        <f>BK835&amp;BI835</f>
        <v>1975Manchester United</v>
      </c>
      <c r="BM835" s="52" t="str">
        <f>IF(AD835="Home",BI835,IF(AD835="Away",BJ835,Q835))</f>
        <v>Norwich City</v>
      </c>
      <c r="BN835" s="46"/>
      <c r="BO835" s="46"/>
      <c r="BP835" s="46"/>
      <c r="BQ835" s="46"/>
      <c r="BR835" s="46"/>
      <c r="BS835" s="46"/>
      <c r="BT835" s="46"/>
      <c r="BU835" s="46"/>
      <c r="BV835" s="46" t="s">
        <v>376</v>
      </c>
      <c r="BW835" s="46" t="s">
        <v>376</v>
      </c>
      <c r="BX835" s="46"/>
      <c r="BZ835" s="53"/>
      <c r="CA835" s="53"/>
      <c r="CB835" s="93" t="str">
        <f>IF(OR(C835="",A835="",B835=""),"",TEXT(C835,"0000")&amp;TEXT(A835,"00")&amp;TEXT(B835,"00"))</f>
        <v>19750122</v>
      </c>
    </row>
    <row r="836" spans="1:80" s="52" customFormat="1" ht="12.95" customHeight="1" x14ac:dyDescent="0.2">
      <c r="A836" s="46">
        <v>1</v>
      </c>
      <c r="B836" s="46">
        <v>22</v>
      </c>
      <c r="C836" s="46">
        <v>1975</v>
      </c>
      <c r="D836" s="46" t="s">
        <v>658</v>
      </c>
      <c r="E836" s="46" t="s">
        <v>553</v>
      </c>
      <c r="F836" s="54" t="s">
        <v>1327</v>
      </c>
      <c r="G836" s="46"/>
      <c r="H836" s="54" t="s">
        <v>1011</v>
      </c>
      <c r="I836" s="54">
        <v>2</v>
      </c>
      <c r="J836" s="55">
        <v>27416</v>
      </c>
      <c r="K836" s="46" t="s">
        <v>806</v>
      </c>
      <c r="L836" s="46" t="s">
        <v>3</v>
      </c>
      <c r="M836" s="46" t="s">
        <v>1360</v>
      </c>
      <c r="N836" s="49">
        <v>3</v>
      </c>
      <c r="O836" s="49">
        <v>2</v>
      </c>
      <c r="P836" s="54" t="s">
        <v>1219</v>
      </c>
      <c r="Q836" s="54" t="s">
        <v>1111</v>
      </c>
      <c r="R836" s="54" t="s">
        <v>376</v>
      </c>
      <c r="S836" s="46"/>
      <c r="T836" s="46"/>
      <c r="U836" s="46"/>
      <c r="V836" s="46"/>
      <c r="W836" s="46"/>
      <c r="X836" s="46"/>
      <c r="Y836" s="46"/>
      <c r="Z836" s="46"/>
      <c r="AA836" s="46"/>
      <c r="AB836" s="46"/>
      <c r="AC836" s="46"/>
      <c r="AD836" s="46" t="s">
        <v>1033</v>
      </c>
      <c r="AE836" s="50">
        <f>IF(L836="W",1,0)</f>
        <v>1</v>
      </c>
      <c r="AF836" s="50">
        <f>IF(L836="T",1,0)</f>
        <v>0</v>
      </c>
      <c r="AG836" s="50">
        <f>IF(L836="L",1,0)</f>
        <v>0</v>
      </c>
      <c r="AH836" s="46" t="s">
        <v>1111</v>
      </c>
      <c r="AI836" s="46" t="s">
        <v>1126</v>
      </c>
      <c r="AJ836" s="46" t="s">
        <v>376</v>
      </c>
      <c r="AK836" s="46" t="s">
        <v>658</v>
      </c>
      <c r="AL836" s="46" t="s">
        <v>1362</v>
      </c>
      <c r="AM836" s="46" t="s">
        <v>1142</v>
      </c>
      <c r="AN836" s="46" t="s">
        <v>376</v>
      </c>
      <c r="AO836" s="46" t="s">
        <v>658</v>
      </c>
      <c r="AP836" s="46"/>
      <c r="AQ836" s="46">
        <v>2</v>
      </c>
      <c r="AR836" s="46"/>
      <c r="AS836" s="46"/>
      <c r="AT836" s="46"/>
      <c r="AU836" s="46" t="s">
        <v>376</v>
      </c>
      <c r="AV836" s="46"/>
      <c r="AW836" s="46" t="s">
        <v>30</v>
      </c>
      <c r="AX836" s="46"/>
      <c r="AY836" s="46"/>
      <c r="AZ836" s="46" t="s">
        <v>30</v>
      </c>
      <c r="BA836" s="54"/>
      <c r="BB836" s="51"/>
      <c r="BC836" s="46"/>
      <c r="BD836" s="46"/>
      <c r="BE836" s="46"/>
      <c r="BF836" s="46">
        <v>1</v>
      </c>
      <c r="BG836" s="46">
        <v>2</v>
      </c>
      <c r="BH836" s="46">
        <v>4</v>
      </c>
      <c r="BI836" s="46" t="s">
        <v>806</v>
      </c>
      <c r="BJ836" s="46" t="s">
        <v>1360</v>
      </c>
      <c r="BK836" s="46">
        <v>1975</v>
      </c>
      <c r="BL836" s="46" t="str">
        <f>BK836&amp;BI836</f>
        <v>1975Aston Villa</v>
      </c>
      <c r="BM836" s="52" t="str">
        <f>IF(AD836="Home",BI836,IF(AD836="Away",BJ836,Q836))</f>
        <v>Aston Villa</v>
      </c>
      <c r="BN836" s="46"/>
      <c r="BO836" s="46"/>
      <c r="BP836" s="46"/>
      <c r="BQ836" s="46"/>
      <c r="BR836" s="46"/>
      <c r="BS836" s="46"/>
      <c r="BT836" s="46"/>
      <c r="BU836" s="46"/>
      <c r="BV836" s="46" t="s">
        <v>376</v>
      </c>
      <c r="BW836" s="46" t="s">
        <v>376</v>
      </c>
      <c r="BX836" s="46"/>
      <c r="BZ836" s="53"/>
      <c r="CA836" s="53"/>
      <c r="CB836" s="93" t="str">
        <f>IF(OR(C836="",A836="",B836=""),"",TEXT(C836,"0000")&amp;TEXT(A836,"00")&amp;TEXT(B836,"00"))</f>
        <v>19750122</v>
      </c>
    </row>
    <row r="837" spans="1:80" s="52" customFormat="1" ht="12.95" customHeight="1" x14ac:dyDescent="0.2">
      <c r="A837" s="46">
        <v>1</v>
      </c>
      <c r="B837" s="46">
        <v>22</v>
      </c>
      <c r="C837" s="46">
        <v>1975</v>
      </c>
      <c r="D837" s="46" t="s">
        <v>658</v>
      </c>
      <c r="E837" s="46" t="s">
        <v>553</v>
      </c>
      <c r="F837" s="54" t="s">
        <v>1327</v>
      </c>
      <c r="G837" s="46"/>
      <c r="H837" s="54" t="s">
        <v>1011</v>
      </c>
      <c r="I837" s="54">
        <v>2</v>
      </c>
      <c r="J837" s="55">
        <v>27416</v>
      </c>
      <c r="K837" s="46" t="s">
        <v>1360</v>
      </c>
      <c r="L837" s="46" t="s">
        <v>4</v>
      </c>
      <c r="M837" s="46" t="s">
        <v>806</v>
      </c>
      <c r="N837" s="49">
        <v>2</v>
      </c>
      <c r="O837" s="49">
        <v>3</v>
      </c>
      <c r="P837" s="54" t="s">
        <v>1219</v>
      </c>
      <c r="Q837" s="54" t="s">
        <v>1111</v>
      </c>
      <c r="R837" s="54" t="s">
        <v>376</v>
      </c>
      <c r="S837" s="46"/>
      <c r="T837" s="46"/>
      <c r="U837" s="46"/>
      <c r="V837" s="46"/>
      <c r="W837" s="46"/>
      <c r="X837" s="46"/>
      <c r="Y837" s="46"/>
      <c r="Z837" s="46"/>
      <c r="AA837" s="46"/>
      <c r="AB837" s="46"/>
      <c r="AC837" s="46"/>
      <c r="AD837" s="46" t="s">
        <v>1037</v>
      </c>
      <c r="AE837" s="50">
        <f>IF(L837="W",1,0)</f>
        <v>0</v>
      </c>
      <c r="AF837" s="50">
        <f>IF(L837="T",1,0)</f>
        <v>0</v>
      </c>
      <c r="AG837" s="50">
        <f>IF(L837="L",1,0)</f>
        <v>1</v>
      </c>
      <c r="AH837" s="46" t="s">
        <v>1362</v>
      </c>
      <c r="AI837" s="46" t="s">
        <v>1142</v>
      </c>
      <c r="AJ837" s="46" t="s">
        <v>376</v>
      </c>
      <c r="AK837" s="46" t="s">
        <v>658</v>
      </c>
      <c r="AL837" s="46" t="s">
        <v>1111</v>
      </c>
      <c r="AM837" s="46" t="s">
        <v>1126</v>
      </c>
      <c r="AN837" s="46" t="s">
        <v>376</v>
      </c>
      <c r="AO837" s="46" t="s">
        <v>658</v>
      </c>
      <c r="AP837" s="46"/>
      <c r="AQ837" s="46">
        <v>2</v>
      </c>
      <c r="AR837" s="46"/>
      <c r="AS837" s="46"/>
      <c r="AT837" s="46"/>
      <c r="AU837" s="46" t="s">
        <v>376</v>
      </c>
      <c r="AV837" s="46"/>
      <c r="AW837" s="46" t="s">
        <v>30</v>
      </c>
      <c r="AX837" s="46"/>
      <c r="AY837" s="46"/>
      <c r="AZ837" s="46" t="s">
        <v>30</v>
      </c>
      <c r="BA837" s="54"/>
      <c r="BB837" s="51"/>
      <c r="BC837" s="46"/>
      <c r="BD837" s="46"/>
      <c r="BE837" s="46"/>
      <c r="BF837" s="46">
        <v>1</v>
      </c>
      <c r="BG837" s="46">
        <v>4</v>
      </c>
      <c r="BH837" s="46">
        <v>2</v>
      </c>
      <c r="BI837" s="46" t="s">
        <v>1360</v>
      </c>
      <c r="BJ837" s="46" t="s">
        <v>806</v>
      </c>
      <c r="BK837" s="46">
        <v>1975</v>
      </c>
      <c r="BL837" s="46" t="str">
        <f>BK837&amp;BI837</f>
        <v>1975Chester City</v>
      </c>
      <c r="BM837" s="52" t="str">
        <f>IF(AD837="Home",BI837,IF(AD837="Away",BJ837,Q837))</f>
        <v>Aston Villa</v>
      </c>
      <c r="BN837" s="46"/>
      <c r="BO837" s="46"/>
      <c r="BP837" s="46"/>
      <c r="BQ837" s="46"/>
      <c r="BR837" s="46"/>
      <c r="BS837" s="46"/>
      <c r="BT837" s="46"/>
      <c r="BU837" s="46"/>
      <c r="BV837" s="46" t="s">
        <v>376</v>
      </c>
      <c r="BW837" s="46" t="s">
        <v>376</v>
      </c>
      <c r="BX837" s="46"/>
      <c r="BZ837" s="53"/>
      <c r="CA837" s="53"/>
      <c r="CB837" s="93" t="str">
        <f>IF(OR(C837="",A837="",B837=""),"",TEXT(C837,"0000")&amp;TEXT(A837,"00")&amp;TEXT(B837,"00"))</f>
        <v>19750122</v>
      </c>
    </row>
    <row r="838" spans="1:80" s="52" customFormat="1" ht="12.95" customHeight="1" x14ac:dyDescent="0.2">
      <c r="A838" s="46">
        <v>3</v>
      </c>
      <c r="B838" s="46">
        <v>1</v>
      </c>
      <c r="C838" s="46">
        <v>1975</v>
      </c>
      <c r="D838" s="46" t="s">
        <v>658</v>
      </c>
      <c r="E838" s="46" t="s">
        <v>553</v>
      </c>
      <c r="F838" s="54" t="s">
        <v>1327</v>
      </c>
      <c r="G838" s="46"/>
      <c r="H838" s="54" t="s">
        <v>40</v>
      </c>
      <c r="I838" s="54"/>
      <c r="J838" s="55">
        <v>27454</v>
      </c>
      <c r="K838" s="46" t="s">
        <v>806</v>
      </c>
      <c r="L838" s="46" t="s">
        <v>3</v>
      </c>
      <c r="M838" s="46" t="s">
        <v>1321</v>
      </c>
      <c r="N838" s="49">
        <v>1</v>
      </c>
      <c r="O838" s="49">
        <v>0</v>
      </c>
      <c r="P838" s="54" t="s">
        <v>1268</v>
      </c>
      <c r="Q838" s="54" t="s">
        <v>1017</v>
      </c>
      <c r="R838" s="54" t="s">
        <v>376</v>
      </c>
      <c r="S838" s="46"/>
      <c r="T838" s="46"/>
      <c r="U838" s="46"/>
      <c r="V838" s="46"/>
      <c r="W838" s="46"/>
      <c r="X838" s="46"/>
      <c r="Y838" s="46"/>
      <c r="Z838" s="46"/>
      <c r="AA838" s="46"/>
      <c r="AB838" s="46"/>
      <c r="AC838" s="46"/>
      <c r="AD838" s="46"/>
      <c r="AE838" s="50">
        <f>IF(L838="W",1,0)</f>
        <v>1</v>
      </c>
      <c r="AF838" s="50">
        <f>IF(L838="T",1,0)</f>
        <v>0</v>
      </c>
      <c r="AG838" s="50">
        <f>IF(L838="L",1,0)</f>
        <v>0</v>
      </c>
      <c r="AH838" s="46" t="s">
        <v>1111</v>
      </c>
      <c r="AI838" s="46" t="s">
        <v>1126</v>
      </c>
      <c r="AJ838" s="46" t="s">
        <v>376</v>
      </c>
      <c r="AK838" s="46" t="s">
        <v>658</v>
      </c>
      <c r="AL838" s="46" t="s">
        <v>1323</v>
      </c>
      <c r="AM838" s="46" t="s">
        <v>1324</v>
      </c>
      <c r="AN838" s="46" t="s">
        <v>376</v>
      </c>
      <c r="AO838" s="46" t="s">
        <v>658</v>
      </c>
      <c r="AP838" s="46"/>
      <c r="AQ838" s="46">
        <v>1</v>
      </c>
      <c r="AR838" s="46"/>
      <c r="AS838" s="46"/>
      <c r="AT838" s="46"/>
      <c r="AU838" s="46" t="s">
        <v>376</v>
      </c>
      <c r="AV838" s="46"/>
      <c r="AW838" s="46" t="s">
        <v>30</v>
      </c>
      <c r="AX838" s="46"/>
      <c r="AY838" s="46"/>
      <c r="AZ838" s="46" t="s">
        <v>30</v>
      </c>
      <c r="BA838" s="54"/>
      <c r="BB838" s="51" t="s">
        <v>30</v>
      </c>
      <c r="BC838" s="46" t="s">
        <v>30</v>
      </c>
      <c r="BD838" s="46"/>
      <c r="BE838" s="46"/>
      <c r="BF838" s="46">
        <v>1</v>
      </c>
      <c r="BG838" s="46">
        <v>2</v>
      </c>
      <c r="BH838" s="46">
        <v>2</v>
      </c>
      <c r="BI838" s="46" t="s">
        <v>806</v>
      </c>
      <c r="BJ838" s="46" t="s">
        <v>1321</v>
      </c>
      <c r="BK838" s="46">
        <v>1975</v>
      </c>
      <c r="BL838" s="46" t="str">
        <f>BK838&amp;BI838</f>
        <v>1975Aston Villa</v>
      </c>
      <c r="BM838" s="52" t="str">
        <f>IF(AD838="Home",BI838,IF(AD838="Away",BJ838,Q838))</f>
        <v>London</v>
      </c>
      <c r="BN838" s="46"/>
      <c r="BO838" s="46"/>
      <c r="BP838" s="46"/>
      <c r="BQ838" s="46"/>
      <c r="BR838" s="46"/>
      <c r="BS838" s="46"/>
      <c r="BT838" s="46"/>
      <c r="BU838" s="46"/>
      <c r="BV838" s="46" t="s">
        <v>376</v>
      </c>
      <c r="BW838" s="46" t="s">
        <v>376</v>
      </c>
      <c r="BX838" s="46"/>
      <c r="BZ838" s="53"/>
      <c r="CA838" s="53"/>
      <c r="CB838" s="93" t="str">
        <f>IF(OR(C838="",A838="",B838=""),"",TEXT(C838,"0000")&amp;TEXT(A838,"00")&amp;TEXT(B838,"00"))</f>
        <v>19750301</v>
      </c>
    </row>
    <row r="839" spans="1:80" s="52" customFormat="1" ht="12.95" customHeight="1" x14ac:dyDescent="0.2">
      <c r="A839" s="46">
        <v>3</v>
      </c>
      <c r="B839" s="46">
        <v>1</v>
      </c>
      <c r="C839" s="46">
        <v>1975</v>
      </c>
      <c r="D839" s="46" t="s">
        <v>658</v>
      </c>
      <c r="E839" s="46" t="s">
        <v>553</v>
      </c>
      <c r="F839" s="54" t="s">
        <v>1327</v>
      </c>
      <c r="G839" s="46"/>
      <c r="H839" s="54" t="s">
        <v>40</v>
      </c>
      <c r="I839" s="54"/>
      <c r="J839" s="55">
        <v>27454</v>
      </c>
      <c r="K839" s="46" t="s">
        <v>1321</v>
      </c>
      <c r="L839" s="46" t="s">
        <v>4</v>
      </c>
      <c r="M839" s="46" t="s">
        <v>806</v>
      </c>
      <c r="N839" s="49">
        <v>0</v>
      </c>
      <c r="O839" s="49">
        <v>1</v>
      </c>
      <c r="P839" s="54" t="s">
        <v>1268</v>
      </c>
      <c r="Q839" s="54" t="s">
        <v>1017</v>
      </c>
      <c r="R839" s="54" t="s">
        <v>376</v>
      </c>
      <c r="S839" s="46"/>
      <c r="T839" s="46"/>
      <c r="U839" s="46"/>
      <c r="V839" s="46"/>
      <c r="W839" s="46"/>
      <c r="X839" s="46"/>
      <c r="Y839" s="46"/>
      <c r="Z839" s="46"/>
      <c r="AA839" s="46"/>
      <c r="AB839" s="46"/>
      <c r="AC839" s="46"/>
      <c r="AD839" s="46"/>
      <c r="AE839" s="50">
        <f>IF(L839="W",1,0)</f>
        <v>0</v>
      </c>
      <c r="AF839" s="50">
        <f>IF(L839="T",1,0)</f>
        <v>0</v>
      </c>
      <c r="AG839" s="50">
        <f>IF(L839="L",1,0)</f>
        <v>1</v>
      </c>
      <c r="AH839" s="46" t="s">
        <v>1323</v>
      </c>
      <c r="AI839" s="46" t="s">
        <v>1324</v>
      </c>
      <c r="AJ839" s="46" t="s">
        <v>376</v>
      </c>
      <c r="AK839" s="46" t="s">
        <v>658</v>
      </c>
      <c r="AL839" s="46" t="s">
        <v>1111</v>
      </c>
      <c r="AM839" s="46" t="s">
        <v>1126</v>
      </c>
      <c r="AN839" s="46" t="s">
        <v>376</v>
      </c>
      <c r="AO839" s="46" t="s">
        <v>658</v>
      </c>
      <c r="AP839" s="46"/>
      <c r="AQ839" s="46">
        <v>1</v>
      </c>
      <c r="AR839" s="46"/>
      <c r="AS839" s="46"/>
      <c r="AT839" s="46"/>
      <c r="AU839" s="46" t="s">
        <v>376</v>
      </c>
      <c r="AV839" s="46"/>
      <c r="AW839" s="46" t="s">
        <v>30</v>
      </c>
      <c r="AX839" s="46"/>
      <c r="AY839" s="46"/>
      <c r="AZ839" s="46" t="s">
        <v>30</v>
      </c>
      <c r="BA839" s="54"/>
      <c r="BB839" s="51"/>
      <c r="BC839" s="46" t="s">
        <v>30</v>
      </c>
      <c r="BD839" s="46"/>
      <c r="BE839" s="46"/>
      <c r="BF839" s="46">
        <v>1</v>
      </c>
      <c r="BG839" s="46">
        <v>2</v>
      </c>
      <c r="BH839" s="46">
        <v>2</v>
      </c>
      <c r="BI839" s="46" t="s">
        <v>1321</v>
      </c>
      <c r="BJ839" s="46" t="s">
        <v>806</v>
      </c>
      <c r="BK839" s="46">
        <v>1975</v>
      </c>
      <c r="BL839" s="46" t="str">
        <f>BK839&amp;BI839</f>
        <v>1975Norwich City</v>
      </c>
      <c r="BM839" s="52" t="str">
        <f>IF(AD839="Home",BI839,IF(AD839="Away",BJ839,Q839))</f>
        <v>London</v>
      </c>
      <c r="BN839" s="46"/>
      <c r="BO839" s="46"/>
      <c r="BP839" s="46"/>
      <c r="BQ839" s="46"/>
      <c r="BR839" s="46"/>
      <c r="BS839" s="46"/>
      <c r="BT839" s="46"/>
      <c r="BU839" s="46"/>
      <c r="BV839" s="46" t="s">
        <v>376</v>
      </c>
      <c r="BW839" s="46" t="s">
        <v>376</v>
      </c>
      <c r="BX839" s="46"/>
      <c r="BZ839" s="53"/>
      <c r="CA839" s="53"/>
      <c r="CB839" s="93" t="str">
        <f>IF(OR(C839="",A839="",B839=""),"",TEXT(C839,"0000")&amp;TEXT(A839,"00")&amp;TEXT(B839,"00"))</f>
        <v>19750301</v>
      </c>
    </row>
    <row r="840" spans="1:80" s="52" customFormat="1" ht="12.95" customHeight="1" x14ac:dyDescent="0.2">
      <c r="A840" s="46">
        <v>4</v>
      </c>
      <c r="B840" s="46">
        <v>5</v>
      </c>
      <c r="C840" s="46">
        <v>1975</v>
      </c>
      <c r="D840" s="46" t="s">
        <v>658</v>
      </c>
      <c r="E840" s="46" t="s">
        <v>553</v>
      </c>
      <c r="F840" s="47" t="s">
        <v>1010</v>
      </c>
      <c r="G840" s="46"/>
      <c r="H840" s="47" t="s">
        <v>1011</v>
      </c>
      <c r="I840" s="47"/>
      <c r="J840" s="48">
        <v>27489</v>
      </c>
      <c r="K840" s="46" t="s">
        <v>589</v>
      </c>
      <c r="L840" s="46" t="s">
        <v>1014</v>
      </c>
      <c r="M840" s="46" t="s">
        <v>1125</v>
      </c>
      <c r="N840" s="49">
        <v>1</v>
      </c>
      <c r="O840" s="49">
        <v>1</v>
      </c>
      <c r="P840" s="47" t="s">
        <v>1252</v>
      </c>
      <c r="Q840" s="47" t="s">
        <v>1097</v>
      </c>
      <c r="R840" s="47" t="s">
        <v>376</v>
      </c>
      <c r="S840" s="46"/>
      <c r="T840" s="46"/>
      <c r="U840" s="46"/>
      <c r="V840" s="46"/>
      <c r="W840" s="46"/>
      <c r="X840" s="46"/>
      <c r="Y840" s="46"/>
      <c r="Z840" s="46"/>
      <c r="AA840" s="46"/>
      <c r="AB840" s="46"/>
      <c r="AC840" s="46"/>
      <c r="AD840" s="46"/>
      <c r="AE840" s="50">
        <f>IF(L840="W",1,0)</f>
        <v>0</v>
      </c>
      <c r="AF840" s="50">
        <f>IF(L840="T",1,0)</f>
        <v>1</v>
      </c>
      <c r="AG840" s="50">
        <f>IF(L840="L",1,0)</f>
        <v>0</v>
      </c>
      <c r="AH840" s="46" t="s">
        <v>1017</v>
      </c>
      <c r="AI840" s="46" t="s">
        <v>1018</v>
      </c>
      <c r="AJ840" s="46" t="s">
        <v>376</v>
      </c>
      <c r="AK840" s="46" t="s">
        <v>658</v>
      </c>
      <c r="AL840" s="46" t="s">
        <v>1111</v>
      </c>
      <c r="AM840" s="46" t="s">
        <v>1126</v>
      </c>
      <c r="AN840" s="46" t="s">
        <v>376</v>
      </c>
      <c r="AO840" s="46" t="s">
        <v>658</v>
      </c>
      <c r="AP840" s="46"/>
      <c r="AQ840" s="46">
        <v>2</v>
      </c>
      <c r="AR840" s="46"/>
      <c r="AS840" s="46"/>
      <c r="AT840" s="46"/>
      <c r="AU840" s="46" t="s">
        <v>376</v>
      </c>
      <c r="AV840" s="46"/>
      <c r="AW840" s="46" t="s">
        <v>30</v>
      </c>
      <c r="AX840" s="46"/>
      <c r="AY840" s="46" t="s">
        <v>30</v>
      </c>
      <c r="AZ840" s="46"/>
      <c r="BA840" s="47"/>
      <c r="BB840" s="51"/>
      <c r="BC840" s="46"/>
      <c r="BD840" s="46"/>
      <c r="BE840" s="46"/>
      <c r="BF840" s="46">
        <v>1</v>
      </c>
      <c r="BG840" s="46">
        <v>2</v>
      </c>
      <c r="BH840" s="46">
        <v>1</v>
      </c>
      <c r="BI840" s="46" t="s">
        <v>589</v>
      </c>
      <c r="BJ840" s="46" t="s">
        <v>1125</v>
      </c>
      <c r="BK840" s="46">
        <v>1975</v>
      </c>
      <c r="BL840" s="46" t="str">
        <f>BK840&amp;BI840</f>
        <v>1975Fulham</v>
      </c>
      <c r="BM840" s="52" t="str">
        <f>IF(AD840="Home",BI840,IF(AD840="Away",BJ840,Q840))</f>
        <v>Sheffield</v>
      </c>
      <c r="BN840" s="46"/>
      <c r="BO840" s="46"/>
      <c r="BP840" s="46"/>
      <c r="BQ840" s="46"/>
      <c r="BR840" s="46"/>
      <c r="BS840" s="46"/>
      <c r="BT840" s="46"/>
      <c r="BU840" s="46"/>
      <c r="BV840" s="46" t="s">
        <v>376</v>
      </c>
      <c r="BW840" s="46" t="s">
        <v>376</v>
      </c>
      <c r="BX840" s="46"/>
      <c r="BY840" s="50"/>
      <c r="BZ840" s="53"/>
      <c r="CA840" s="53"/>
      <c r="CB840" s="93" t="str">
        <f>IF(OR(C840="",A840="",B840=""),"",TEXT(C840,"0000")&amp;TEXT(A840,"00")&amp;TEXT(B840,"00"))</f>
        <v>19750405</v>
      </c>
    </row>
    <row r="841" spans="1:80" s="52" customFormat="1" ht="12.95" customHeight="1" x14ac:dyDescent="0.2">
      <c r="A841" s="46">
        <v>4</v>
      </c>
      <c r="B841" s="46">
        <v>5</v>
      </c>
      <c r="C841" s="46">
        <v>1975</v>
      </c>
      <c r="D841" s="46" t="s">
        <v>658</v>
      </c>
      <c r="E841" s="46" t="s">
        <v>553</v>
      </c>
      <c r="F841" s="47" t="s">
        <v>1010</v>
      </c>
      <c r="G841" s="46"/>
      <c r="H841" s="47" t="s">
        <v>1011</v>
      </c>
      <c r="I841" s="47"/>
      <c r="J841" s="48">
        <v>27489</v>
      </c>
      <c r="K841" s="46" t="s">
        <v>1125</v>
      </c>
      <c r="L841" s="46" t="s">
        <v>1014</v>
      </c>
      <c r="M841" s="46" t="s">
        <v>589</v>
      </c>
      <c r="N841" s="49">
        <v>1</v>
      </c>
      <c r="O841" s="49">
        <v>1</v>
      </c>
      <c r="P841" s="47" t="s">
        <v>1252</v>
      </c>
      <c r="Q841" s="47" t="s">
        <v>1097</v>
      </c>
      <c r="R841" s="47" t="s">
        <v>376</v>
      </c>
      <c r="S841" s="46"/>
      <c r="T841" s="46"/>
      <c r="U841" s="46"/>
      <c r="V841" s="46"/>
      <c r="W841" s="46"/>
      <c r="X841" s="46"/>
      <c r="Y841" s="46"/>
      <c r="Z841" s="46"/>
      <c r="AA841" s="46"/>
      <c r="AB841" s="46"/>
      <c r="AC841" s="46"/>
      <c r="AD841" s="46"/>
      <c r="AE841" s="50">
        <f>IF(L841="W",1,0)</f>
        <v>0</v>
      </c>
      <c r="AF841" s="50">
        <f>IF(L841="T",1,0)</f>
        <v>1</v>
      </c>
      <c r="AG841" s="50">
        <f>IF(L841="L",1,0)</f>
        <v>0</v>
      </c>
      <c r="AH841" s="46" t="s">
        <v>1111</v>
      </c>
      <c r="AI841" s="46" t="s">
        <v>1126</v>
      </c>
      <c r="AJ841" s="46" t="s">
        <v>376</v>
      </c>
      <c r="AK841" s="46" t="s">
        <v>658</v>
      </c>
      <c r="AL841" s="46" t="s">
        <v>1017</v>
      </c>
      <c r="AM841" s="46" t="s">
        <v>1018</v>
      </c>
      <c r="AN841" s="46" t="s">
        <v>376</v>
      </c>
      <c r="AO841" s="46" t="s">
        <v>658</v>
      </c>
      <c r="AP841" s="46"/>
      <c r="AQ841" s="46">
        <v>2</v>
      </c>
      <c r="AR841" s="46"/>
      <c r="AS841" s="46"/>
      <c r="AT841" s="46"/>
      <c r="AU841" s="46" t="s">
        <v>376</v>
      </c>
      <c r="AV841" s="46"/>
      <c r="AW841" s="46" t="s">
        <v>30</v>
      </c>
      <c r="AX841" s="46"/>
      <c r="AY841" s="46" t="s">
        <v>30</v>
      </c>
      <c r="AZ841" s="46"/>
      <c r="BA841" s="47"/>
      <c r="BB841" s="51"/>
      <c r="BC841" s="46"/>
      <c r="BD841" s="46"/>
      <c r="BE841" s="46"/>
      <c r="BF841" s="46">
        <v>1</v>
      </c>
      <c r="BG841" s="46">
        <v>1</v>
      </c>
      <c r="BH841" s="46">
        <v>2</v>
      </c>
      <c r="BI841" s="46" t="s">
        <v>1125</v>
      </c>
      <c r="BJ841" s="46" t="s">
        <v>589</v>
      </c>
      <c r="BK841" s="46">
        <v>1975</v>
      </c>
      <c r="BL841" s="46" t="str">
        <f>BK841&amp;BI841</f>
        <v>1975Birmingham City</v>
      </c>
      <c r="BM841" s="52" t="str">
        <f>IF(AD841="Home",BI841,IF(AD841="Away",BJ841,Q841))</f>
        <v>Sheffield</v>
      </c>
      <c r="BN841" s="46"/>
      <c r="BO841" s="46"/>
      <c r="BP841" s="46"/>
      <c r="BQ841" s="46"/>
      <c r="BR841" s="46"/>
      <c r="BS841" s="46"/>
      <c r="BT841" s="46"/>
      <c r="BU841" s="46"/>
      <c r="BV841" s="46" t="s">
        <v>376</v>
      </c>
      <c r="BW841" s="46" t="s">
        <v>376</v>
      </c>
      <c r="BX841" s="46"/>
      <c r="BY841" s="50"/>
      <c r="BZ841" s="53"/>
      <c r="CA841" s="53"/>
      <c r="CB841" s="93" t="str">
        <f>IF(OR(C841="",A841="",B841=""),"",TEXT(C841,"0000")&amp;TEXT(A841,"00")&amp;TEXT(B841,"00"))</f>
        <v>19750405</v>
      </c>
    </row>
    <row r="842" spans="1:80" s="52" customFormat="1" ht="12.95" customHeight="1" x14ac:dyDescent="0.2">
      <c r="A842" s="46">
        <v>4</v>
      </c>
      <c r="B842" s="46">
        <v>5</v>
      </c>
      <c r="C842" s="46">
        <v>1975</v>
      </c>
      <c r="D842" s="46" t="s">
        <v>658</v>
      </c>
      <c r="E842" s="46" t="s">
        <v>553</v>
      </c>
      <c r="F842" s="47" t="s">
        <v>1010</v>
      </c>
      <c r="G842" s="46"/>
      <c r="H842" s="47" t="s">
        <v>1011</v>
      </c>
      <c r="I842" s="47"/>
      <c r="J842" s="48">
        <v>27489</v>
      </c>
      <c r="K842" s="46" t="s">
        <v>803</v>
      </c>
      <c r="L842" s="46" t="s">
        <v>1014</v>
      </c>
      <c r="M842" s="46" t="s">
        <v>1363</v>
      </c>
      <c r="N842" s="49">
        <v>0</v>
      </c>
      <c r="O842" s="49">
        <v>0</v>
      </c>
      <c r="P842" s="47" t="s">
        <v>1219</v>
      </c>
      <c r="Q842" s="47" t="s">
        <v>1111</v>
      </c>
      <c r="R842" s="47" t="s">
        <v>376</v>
      </c>
      <c r="S842" s="46"/>
      <c r="T842" s="46"/>
      <c r="U842" s="46"/>
      <c r="V842" s="46"/>
      <c r="W842" s="46"/>
      <c r="X842" s="46"/>
      <c r="Y842" s="46"/>
      <c r="Z842" s="46"/>
      <c r="AA842" s="46"/>
      <c r="AB842" s="46"/>
      <c r="AC842" s="46"/>
      <c r="AD842" s="46"/>
      <c r="AE842" s="50">
        <f>IF(L842="W",1,0)</f>
        <v>0</v>
      </c>
      <c r="AF842" s="50">
        <f>IF(L842="T",1,0)</f>
        <v>1</v>
      </c>
      <c r="AG842" s="50">
        <f>IF(L842="L",1,0)</f>
        <v>0</v>
      </c>
      <c r="AH842" s="46" t="s">
        <v>1017</v>
      </c>
      <c r="AI842" s="46" t="s">
        <v>1018</v>
      </c>
      <c r="AJ842" s="46" t="s">
        <v>376</v>
      </c>
      <c r="AK842" s="46" t="s">
        <v>658</v>
      </c>
      <c r="AL842" s="46" t="s">
        <v>1364</v>
      </c>
      <c r="AM842" s="46" t="s">
        <v>1365</v>
      </c>
      <c r="AN842" s="46" t="s">
        <v>376</v>
      </c>
      <c r="AO842" s="46" t="s">
        <v>658</v>
      </c>
      <c r="AP842" s="46"/>
      <c r="AQ842" s="46">
        <v>2</v>
      </c>
      <c r="AR842" s="46"/>
      <c r="AS842" s="46"/>
      <c r="AT842" s="46"/>
      <c r="AU842" s="46" t="s">
        <v>376</v>
      </c>
      <c r="AV842" s="46"/>
      <c r="AW842" s="46" t="s">
        <v>30</v>
      </c>
      <c r="AX842" s="46"/>
      <c r="AY842" s="46" t="s">
        <v>30</v>
      </c>
      <c r="AZ842" s="46"/>
      <c r="BA842" s="47"/>
      <c r="BB842" s="51"/>
      <c r="BC842" s="46"/>
      <c r="BD842" s="46"/>
      <c r="BE842" s="46"/>
      <c r="BF842" s="46">
        <v>1</v>
      </c>
      <c r="BG842" s="46">
        <v>1</v>
      </c>
      <c r="BH842" s="46">
        <v>1</v>
      </c>
      <c r="BI842" s="46" t="s">
        <v>803</v>
      </c>
      <c r="BJ842" s="46" t="s">
        <v>1363</v>
      </c>
      <c r="BK842" s="46">
        <v>1975</v>
      </c>
      <c r="BL842" s="46" t="str">
        <f>BK842&amp;BI842</f>
        <v>1975West Ham United</v>
      </c>
      <c r="BM842" s="52" t="str">
        <f>IF(AD842="Home",BI842,IF(AD842="Away",BJ842,Q842))</f>
        <v>Birmingham</v>
      </c>
      <c r="BN842" s="46"/>
      <c r="BO842" s="46"/>
      <c r="BP842" s="46"/>
      <c r="BQ842" s="46"/>
      <c r="BR842" s="46"/>
      <c r="BS842" s="46"/>
      <c r="BT842" s="46"/>
      <c r="BU842" s="46"/>
      <c r="BV842" s="46" t="s">
        <v>376</v>
      </c>
      <c r="BW842" s="46" t="s">
        <v>376</v>
      </c>
      <c r="BX842" s="46"/>
      <c r="BZ842" s="53"/>
      <c r="CA842" s="53"/>
      <c r="CB842" s="93" t="str">
        <f>IF(OR(C842="",A842="",B842=""),"",TEXT(C842,"0000")&amp;TEXT(A842,"00")&amp;TEXT(B842,"00"))</f>
        <v>19750405</v>
      </c>
    </row>
    <row r="843" spans="1:80" s="52" customFormat="1" ht="12.95" customHeight="1" x14ac:dyDescent="0.2">
      <c r="A843" s="46">
        <v>4</v>
      </c>
      <c r="B843" s="46">
        <v>5</v>
      </c>
      <c r="C843" s="46">
        <v>1975</v>
      </c>
      <c r="D843" s="46" t="s">
        <v>658</v>
      </c>
      <c r="E843" s="46" t="s">
        <v>553</v>
      </c>
      <c r="F843" s="47" t="s">
        <v>1010</v>
      </c>
      <c r="G843" s="46"/>
      <c r="H843" s="47" t="s">
        <v>1011</v>
      </c>
      <c r="I843" s="47"/>
      <c r="J843" s="48">
        <v>27489</v>
      </c>
      <c r="K843" s="46" t="s">
        <v>1363</v>
      </c>
      <c r="L843" s="46" t="s">
        <v>1014</v>
      </c>
      <c r="M843" s="46" t="s">
        <v>803</v>
      </c>
      <c r="N843" s="49">
        <v>0</v>
      </c>
      <c r="O843" s="49">
        <v>0</v>
      </c>
      <c r="P843" s="47" t="s">
        <v>1219</v>
      </c>
      <c r="Q843" s="47" t="s">
        <v>1111</v>
      </c>
      <c r="R843" s="47" t="s">
        <v>376</v>
      </c>
      <c r="S843" s="46"/>
      <c r="T843" s="46"/>
      <c r="U843" s="46"/>
      <c r="V843" s="46"/>
      <c r="W843" s="46"/>
      <c r="X843" s="46"/>
      <c r="Y843" s="46"/>
      <c r="Z843" s="46"/>
      <c r="AA843" s="46"/>
      <c r="AB843" s="46"/>
      <c r="AC843" s="46"/>
      <c r="AD843" s="46"/>
      <c r="AE843" s="50">
        <f>IF(L843="W",1,0)</f>
        <v>0</v>
      </c>
      <c r="AF843" s="50">
        <f>IF(L843="T",1,0)</f>
        <v>1</v>
      </c>
      <c r="AG843" s="50">
        <f>IF(L843="L",1,0)</f>
        <v>0</v>
      </c>
      <c r="AH843" s="46" t="s">
        <v>1364</v>
      </c>
      <c r="AI843" s="46" t="s">
        <v>1365</v>
      </c>
      <c r="AJ843" s="46" t="s">
        <v>376</v>
      </c>
      <c r="AK843" s="46" t="s">
        <v>658</v>
      </c>
      <c r="AL843" s="46" t="s">
        <v>1017</v>
      </c>
      <c r="AM843" s="46" t="s">
        <v>1018</v>
      </c>
      <c r="AN843" s="46" t="s">
        <v>376</v>
      </c>
      <c r="AO843" s="46" t="s">
        <v>658</v>
      </c>
      <c r="AP843" s="46"/>
      <c r="AQ843" s="46">
        <v>2</v>
      </c>
      <c r="AR843" s="46"/>
      <c r="AS843" s="46"/>
      <c r="AT843" s="46"/>
      <c r="AU843" s="46" t="s">
        <v>376</v>
      </c>
      <c r="AV843" s="46"/>
      <c r="AW843" s="46" t="s">
        <v>30</v>
      </c>
      <c r="AX843" s="46"/>
      <c r="AY843" s="46" t="s">
        <v>30</v>
      </c>
      <c r="AZ843" s="46"/>
      <c r="BA843" s="47"/>
      <c r="BB843" s="51"/>
      <c r="BC843" s="46"/>
      <c r="BD843" s="46"/>
      <c r="BE843" s="46"/>
      <c r="BF843" s="46">
        <v>1</v>
      </c>
      <c r="BG843" s="46">
        <v>1</v>
      </c>
      <c r="BH843" s="46">
        <v>1</v>
      </c>
      <c r="BI843" s="46" t="s">
        <v>1363</v>
      </c>
      <c r="BJ843" s="46" t="s">
        <v>803</v>
      </c>
      <c r="BK843" s="46">
        <v>1975</v>
      </c>
      <c r="BL843" s="46" t="str">
        <f>BK843&amp;BI843</f>
        <v>1975Ipswich Town</v>
      </c>
      <c r="BM843" s="52" t="str">
        <f>IF(AD843="Home",BI843,IF(AD843="Away",BJ843,Q843))</f>
        <v>Birmingham</v>
      </c>
      <c r="BN843" s="46"/>
      <c r="BO843" s="46"/>
      <c r="BP843" s="46"/>
      <c r="BQ843" s="46"/>
      <c r="BR843" s="46"/>
      <c r="BS843" s="46"/>
      <c r="BT843" s="46"/>
      <c r="BU843" s="46"/>
      <c r="BV843" s="46" t="s">
        <v>376</v>
      </c>
      <c r="BW843" s="46" t="s">
        <v>376</v>
      </c>
      <c r="BX843" s="46"/>
      <c r="BZ843" s="53"/>
      <c r="CA843" s="53"/>
      <c r="CB843" s="93" t="str">
        <f>IF(OR(C843="",A843="",B843=""),"",TEXT(C843,"0000")&amp;TEXT(A843,"00")&amp;TEXT(B843,"00"))</f>
        <v>19750405</v>
      </c>
    </row>
    <row r="844" spans="1:80" s="52" customFormat="1" ht="12.95" customHeight="1" x14ac:dyDescent="0.2">
      <c r="A844" s="46">
        <v>4</v>
      </c>
      <c r="B844" s="46">
        <v>9</v>
      </c>
      <c r="C844" s="46">
        <v>1975</v>
      </c>
      <c r="D844" s="46" t="s">
        <v>658</v>
      </c>
      <c r="E844" s="46" t="s">
        <v>553</v>
      </c>
      <c r="F844" s="47" t="s">
        <v>1010</v>
      </c>
      <c r="G844" s="46"/>
      <c r="H844" s="47" t="s">
        <v>1011</v>
      </c>
      <c r="I844" s="47" t="s">
        <v>1023</v>
      </c>
      <c r="J844" s="48">
        <v>27493</v>
      </c>
      <c r="K844" s="46" t="s">
        <v>589</v>
      </c>
      <c r="L844" s="46" t="s">
        <v>3</v>
      </c>
      <c r="M844" s="46" t="s">
        <v>1125</v>
      </c>
      <c r="N844" s="49">
        <v>1</v>
      </c>
      <c r="O844" s="49">
        <v>0</v>
      </c>
      <c r="P844" s="47" t="s">
        <v>1226</v>
      </c>
      <c r="Q844" s="47" t="s">
        <v>1101</v>
      </c>
      <c r="R844" s="47" t="s">
        <v>376</v>
      </c>
      <c r="S844" s="46"/>
      <c r="T844" s="46"/>
      <c r="U844" s="46"/>
      <c r="V844" s="46"/>
      <c r="W844" s="46"/>
      <c r="X844" s="46"/>
      <c r="Y844" s="46"/>
      <c r="Z844" s="46"/>
      <c r="AA844" s="46"/>
      <c r="AB844" s="46"/>
      <c r="AC844" s="46"/>
      <c r="AD844" s="46"/>
      <c r="AE844" s="50">
        <f>IF(L844="W",1,0)</f>
        <v>1</v>
      </c>
      <c r="AF844" s="50">
        <f>IF(L844="T",1,0)</f>
        <v>0</v>
      </c>
      <c r="AG844" s="50">
        <f>IF(L844="L",1,0)</f>
        <v>0</v>
      </c>
      <c r="AH844" s="46" t="s">
        <v>1017</v>
      </c>
      <c r="AI844" s="46" t="s">
        <v>1018</v>
      </c>
      <c r="AJ844" s="46" t="s">
        <v>376</v>
      </c>
      <c r="AK844" s="46" t="s">
        <v>658</v>
      </c>
      <c r="AL844" s="46" t="s">
        <v>1111</v>
      </c>
      <c r="AM844" s="46" t="s">
        <v>1126</v>
      </c>
      <c r="AN844" s="46" t="s">
        <v>376</v>
      </c>
      <c r="AO844" s="46" t="s">
        <v>658</v>
      </c>
      <c r="AP844" s="46"/>
      <c r="AQ844" s="46">
        <v>2</v>
      </c>
      <c r="AR844" s="46"/>
      <c r="AS844" s="46"/>
      <c r="AT844" s="46"/>
      <c r="AU844" s="46" t="s">
        <v>376</v>
      </c>
      <c r="AV844" s="46"/>
      <c r="AW844" s="46" t="s">
        <v>30</v>
      </c>
      <c r="AX844" s="46"/>
      <c r="AY844" s="46" t="s">
        <v>30</v>
      </c>
      <c r="AZ844" s="46"/>
      <c r="BA844" s="47"/>
      <c r="BB844" s="51"/>
      <c r="BC844" s="46"/>
      <c r="BD844" s="46"/>
      <c r="BE844" s="46"/>
      <c r="BF844" s="46">
        <v>1</v>
      </c>
      <c r="BG844" s="46">
        <v>2</v>
      </c>
      <c r="BH844" s="46">
        <v>1</v>
      </c>
      <c r="BI844" s="46" t="s">
        <v>589</v>
      </c>
      <c r="BJ844" s="46" t="s">
        <v>1125</v>
      </c>
      <c r="BK844" s="46">
        <v>1975</v>
      </c>
      <c r="BL844" s="46" t="str">
        <f>BK844&amp;BI844</f>
        <v>1975Fulham</v>
      </c>
      <c r="BM844" s="52" t="str">
        <f>IF(AD844="Home",BI844,IF(AD844="Away",BJ844,Q844))</f>
        <v>Manchester</v>
      </c>
      <c r="BN844" s="46"/>
      <c r="BO844" s="46"/>
      <c r="BP844" s="46"/>
      <c r="BQ844" s="46"/>
      <c r="BR844" s="46"/>
      <c r="BS844" s="46"/>
      <c r="BT844" s="46"/>
      <c r="BU844" s="46"/>
      <c r="BV844" s="46" t="s">
        <v>376</v>
      </c>
      <c r="BW844" s="46" t="s">
        <v>376</v>
      </c>
      <c r="BX844" s="46"/>
      <c r="BZ844" s="53"/>
      <c r="CA844" s="53"/>
      <c r="CB844" s="93" t="str">
        <f>IF(OR(C844="",A844="",B844=""),"",TEXT(C844,"0000")&amp;TEXT(A844,"00")&amp;TEXT(B844,"00"))</f>
        <v>19750409</v>
      </c>
    </row>
    <row r="845" spans="1:80" s="52" customFormat="1" ht="12.95" customHeight="1" x14ac:dyDescent="0.2">
      <c r="A845" s="46">
        <v>4</v>
      </c>
      <c r="B845" s="46">
        <v>9</v>
      </c>
      <c r="C845" s="46">
        <v>1975</v>
      </c>
      <c r="D845" s="46" t="s">
        <v>658</v>
      </c>
      <c r="E845" s="46" t="s">
        <v>553</v>
      </c>
      <c r="F845" s="47" t="s">
        <v>1010</v>
      </c>
      <c r="G845" s="46"/>
      <c r="H845" s="47" t="s">
        <v>1011</v>
      </c>
      <c r="I845" s="47" t="s">
        <v>1023</v>
      </c>
      <c r="J845" s="48">
        <v>27493</v>
      </c>
      <c r="K845" s="46" t="s">
        <v>1125</v>
      </c>
      <c r="L845" s="46" t="s">
        <v>4</v>
      </c>
      <c r="M845" s="46" t="s">
        <v>589</v>
      </c>
      <c r="N845" s="49">
        <v>0</v>
      </c>
      <c r="O845" s="49">
        <v>1</v>
      </c>
      <c r="P845" s="47" t="s">
        <v>1226</v>
      </c>
      <c r="Q845" s="47" t="s">
        <v>1101</v>
      </c>
      <c r="R845" s="47" t="s">
        <v>376</v>
      </c>
      <c r="S845" s="46"/>
      <c r="T845" s="46"/>
      <c r="U845" s="46"/>
      <c r="V845" s="46"/>
      <c r="W845" s="46"/>
      <c r="X845" s="46"/>
      <c r="Y845" s="46"/>
      <c r="Z845" s="46"/>
      <c r="AA845" s="46"/>
      <c r="AB845" s="46"/>
      <c r="AC845" s="46"/>
      <c r="AD845" s="46"/>
      <c r="AE845" s="50">
        <f>IF(L845="W",1,0)</f>
        <v>0</v>
      </c>
      <c r="AF845" s="50">
        <f>IF(L845="T",1,0)</f>
        <v>0</v>
      </c>
      <c r="AG845" s="50">
        <f>IF(L845="L",1,0)</f>
        <v>1</v>
      </c>
      <c r="AH845" s="46" t="s">
        <v>1111</v>
      </c>
      <c r="AI845" s="46" t="s">
        <v>1126</v>
      </c>
      <c r="AJ845" s="46" t="s">
        <v>376</v>
      </c>
      <c r="AK845" s="46" t="s">
        <v>658</v>
      </c>
      <c r="AL845" s="46" t="s">
        <v>1017</v>
      </c>
      <c r="AM845" s="46" t="s">
        <v>1018</v>
      </c>
      <c r="AN845" s="46" t="s">
        <v>376</v>
      </c>
      <c r="AO845" s="46" t="s">
        <v>658</v>
      </c>
      <c r="AP845" s="46"/>
      <c r="AQ845" s="46">
        <v>2</v>
      </c>
      <c r="AR845" s="46"/>
      <c r="AS845" s="46"/>
      <c r="AT845" s="46"/>
      <c r="AU845" s="46" t="s">
        <v>376</v>
      </c>
      <c r="AV845" s="46"/>
      <c r="AW845" s="46" t="s">
        <v>30</v>
      </c>
      <c r="AX845" s="46"/>
      <c r="AY845" s="46" t="s">
        <v>30</v>
      </c>
      <c r="AZ845" s="46"/>
      <c r="BA845" s="47"/>
      <c r="BB845" s="51"/>
      <c r="BC845" s="46"/>
      <c r="BD845" s="46"/>
      <c r="BE845" s="46"/>
      <c r="BF845" s="46">
        <v>1</v>
      </c>
      <c r="BG845" s="46">
        <v>1</v>
      </c>
      <c r="BH845" s="46">
        <v>2</v>
      </c>
      <c r="BI845" s="46" t="s">
        <v>1125</v>
      </c>
      <c r="BJ845" s="46" t="s">
        <v>589</v>
      </c>
      <c r="BK845" s="46">
        <v>1975</v>
      </c>
      <c r="BL845" s="46" t="str">
        <f>BK845&amp;BI845</f>
        <v>1975Birmingham City</v>
      </c>
      <c r="BM845" s="52" t="str">
        <f>IF(AD845="Home",BI845,IF(AD845="Away",BJ845,Q845))</f>
        <v>Manchester</v>
      </c>
      <c r="BN845" s="46"/>
      <c r="BO845" s="46"/>
      <c r="BP845" s="46"/>
      <c r="BQ845" s="46"/>
      <c r="BR845" s="46"/>
      <c r="BS845" s="46"/>
      <c r="BT845" s="46"/>
      <c r="BU845" s="46"/>
      <c r="BV845" s="46" t="s">
        <v>376</v>
      </c>
      <c r="BW845" s="46" t="s">
        <v>376</v>
      </c>
      <c r="BX845" s="46"/>
      <c r="BZ845" s="53"/>
      <c r="CA845" s="53"/>
      <c r="CB845" s="93" t="str">
        <f>IF(OR(C845="",A845="",B845=""),"",TEXT(C845,"0000")&amp;TEXT(A845,"00")&amp;TEXT(B845,"00"))</f>
        <v>19750409</v>
      </c>
    </row>
    <row r="846" spans="1:80" s="52" customFormat="1" ht="12.95" customHeight="1" x14ac:dyDescent="0.2">
      <c r="A846" s="46">
        <v>4</v>
      </c>
      <c r="B846" s="46">
        <v>9</v>
      </c>
      <c r="C846" s="46">
        <v>1975</v>
      </c>
      <c r="D846" s="46" t="s">
        <v>658</v>
      </c>
      <c r="E846" s="46" t="s">
        <v>553</v>
      </c>
      <c r="F846" s="47" t="s">
        <v>1010</v>
      </c>
      <c r="G846" s="46"/>
      <c r="H846" s="47" t="s">
        <v>1011</v>
      </c>
      <c r="I846" s="47" t="s">
        <v>1023</v>
      </c>
      <c r="J846" s="48">
        <v>27493</v>
      </c>
      <c r="K846" s="46" t="s">
        <v>803</v>
      </c>
      <c r="L846" s="46" t="s">
        <v>3</v>
      </c>
      <c r="M846" s="46" t="s">
        <v>1363</v>
      </c>
      <c r="N846" s="49">
        <v>2</v>
      </c>
      <c r="O846" s="49">
        <v>1</v>
      </c>
      <c r="P846" s="47" t="s">
        <v>1234</v>
      </c>
      <c r="Q846" s="47" t="s">
        <v>1017</v>
      </c>
      <c r="R846" s="47" t="s">
        <v>376</v>
      </c>
      <c r="S846" s="46"/>
      <c r="T846" s="46"/>
      <c r="U846" s="46"/>
      <c r="V846" s="46"/>
      <c r="W846" s="46"/>
      <c r="X846" s="46"/>
      <c r="Y846" s="46"/>
      <c r="Z846" s="46"/>
      <c r="AA846" s="46"/>
      <c r="AB846" s="46"/>
      <c r="AC846" s="46"/>
      <c r="AD846" s="46"/>
      <c r="AE846" s="50">
        <f>IF(L846="W",1,0)</f>
        <v>1</v>
      </c>
      <c r="AF846" s="50">
        <f>IF(L846="T",1,0)</f>
        <v>0</v>
      </c>
      <c r="AG846" s="50">
        <f>IF(L846="L",1,0)</f>
        <v>0</v>
      </c>
      <c r="AH846" s="46" t="s">
        <v>1017</v>
      </c>
      <c r="AI846" s="46" t="s">
        <v>1018</v>
      </c>
      <c r="AJ846" s="46" t="s">
        <v>376</v>
      </c>
      <c r="AK846" s="46" t="s">
        <v>658</v>
      </c>
      <c r="AL846" s="46" t="s">
        <v>1364</v>
      </c>
      <c r="AM846" s="46" t="s">
        <v>1365</v>
      </c>
      <c r="AN846" s="46" t="s">
        <v>376</v>
      </c>
      <c r="AO846" s="46" t="s">
        <v>658</v>
      </c>
      <c r="AP846" s="46"/>
      <c r="AQ846" s="46">
        <v>2</v>
      </c>
      <c r="AR846" s="46"/>
      <c r="AS846" s="46"/>
      <c r="AT846" s="46"/>
      <c r="AU846" s="46" t="s">
        <v>376</v>
      </c>
      <c r="AV846" s="46"/>
      <c r="AW846" s="46" t="s">
        <v>30</v>
      </c>
      <c r="AX846" s="46"/>
      <c r="AY846" s="46" t="s">
        <v>30</v>
      </c>
      <c r="AZ846" s="46"/>
      <c r="BA846" s="47"/>
      <c r="BB846" s="51"/>
      <c r="BC846" s="46"/>
      <c r="BD846" s="46"/>
      <c r="BE846" s="46"/>
      <c r="BF846" s="46">
        <v>1</v>
      </c>
      <c r="BG846" s="46">
        <v>1</v>
      </c>
      <c r="BH846" s="46">
        <v>1</v>
      </c>
      <c r="BI846" s="46" t="s">
        <v>803</v>
      </c>
      <c r="BJ846" s="46" t="s">
        <v>1363</v>
      </c>
      <c r="BK846" s="46">
        <v>1975</v>
      </c>
      <c r="BL846" s="46" t="str">
        <f>BK846&amp;BI846</f>
        <v>1975West Ham United</v>
      </c>
      <c r="BM846" s="52" t="str">
        <f>IF(AD846="Home",BI846,IF(AD846="Away",BJ846,Q846))</f>
        <v>London</v>
      </c>
      <c r="BN846" s="46"/>
      <c r="BO846" s="46"/>
      <c r="BP846" s="46"/>
      <c r="BQ846" s="46"/>
      <c r="BR846" s="46"/>
      <c r="BS846" s="46"/>
      <c r="BT846" s="46"/>
      <c r="BU846" s="46"/>
      <c r="BV846" s="46" t="s">
        <v>376</v>
      </c>
      <c r="BW846" s="46" t="s">
        <v>376</v>
      </c>
      <c r="BX846" s="46"/>
      <c r="BZ846" s="53"/>
      <c r="CA846" s="53"/>
      <c r="CB846" s="93" t="str">
        <f>IF(OR(C846="",A846="",B846=""),"",TEXT(C846,"0000")&amp;TEXT(A846,"00")&amp;TEXT(B846,"00"))</f>
        <v>19750409</v>
      </c>
    </row>
    <row r="847" spans="1:80" s="52" customFormat="1" ht="12.95" customHeight="1" x14ac:dyDescent="0.2">
      <c r="A847" s="46">
        <v>4</v>
      </c>
      <c r="B847" s="46">
        <v>9</v>
      </c>
      <c r="C847" s="46">
        <v>1975</v>
      </c>
      <c r="D847" s="46" t="s">
        <v>658</v>
      </c>
      <c r="E847" s="46" t="s">
        <v>553</v>
      </c>
      <c r="F847" s="47" t="s">
        <v>1010</v>
      </c>
      <c r="G847" s="46"/>
      <c r="H847" s="47" t="s">
        <v>1011</v>
      </c>
      <c r="I847" s="47" t="s">
        <v>1023</v>
      </c>
      <c r="J847" s="48">
        <v>27493</v>
      </c>
      <c r="K847" s="46" t="s">
        <v>1363</v>
      </c>
      <c r="L847" s="46" t="s">
        <v>4</v>
      </c>
      <c r="M847" s="46" t="s">
        <v>803</v>
      </c>
      <c r="N847" s="49">
        <v>1</v>
      </c>
      <c r="O847" s="49">
        <v>2</v>
      </c>
      <c r="P847" s="47" t="s">
        <v>1234</v>
      </c>
      <c r="Q847" s="47" t="s">
        <v>1017</v>
      </c>
      <c r="R847" s="47" t="s">
        <v>376</v>
      </c>
      <c r="S847" s="46"/>
      <c r="T847" s="46"/>
      <c r="U847" s="46"/>
      <c r="V847" s="46"/>
      <c r="W847" s="46"/>
      <c r="X847" s="46"/>
      <c r="Y847" s="46"/>
      <c r="Z847" s="46"/>
      <c r="AA847" s="46"/>
      <c r="AB847" s="46"/>
      <c r="AC847" s="46"/>
      <c r="AD847" s="46"/>
      <c r="AE847" s="50">
        <f>IF(L847="W",1,0)</f>
        <v>0</v>
      </c>
      <c r="AF847" s="50">
        <f>IF(L847="T",1,0)</f>
        <v>0</v>
      </c>
      <c r="AG847" s="50">
        <f>IF(L847="L",1,0)</f>
        <v>1</v>
      </c>
      <c r="AH847" s="46" t="s">
        <v>1364</v>
      </c>
      <c r="AI847" s="46" t="s">
        <v>1365</v>
      </c>
      <c r="AJ847" s="46" t="s">
        <v>376</v>
      </c>
      <c r="AK847" s="46" t="s">
        <v>658</v>
      </c>
      <c r="AL847" s="46" t="s">
        <v>1017</v>
      </c>
      <c r="AM847" s="46" t="s">
        <v>1018</v>
      </c>
      <c r="AN847" s="46" t="s">
        <v>376</v>
      </c>
      <c r="AO847" s="46" t="s">
        <v>658</v>
      </c>
      <c r="AP847" s="46"/>
      <c r="AQ847" s="46">
        <v>2</v>
      </c>
      <c r="AR847" s="46"/>
      <c r="AS847" s="46"/>
      <c r="AT847" s="46"/>
      <c r="AU847" s="46" t="s">
        <v>376</v>
      </c>
      <c r="AV847" s="46"/>
      <c r="AW847" s="46" t="s">
        <v>30</v>
      </c>
      <c r="AX847" s="46"/>
      <c r="AY847" s="46" t="s">
        <v>30</v>
      </c>
      <c r="AZ847" s="46"/>
      <c r="BA847" s="47"/>
      <c r="BB847" s="51"/>
      <c r="BC847" s="46"/>
      <c r="BD847" s="46"/>
      <c r="BE847" s="46"/>
      <c r="BF847" s="46">
        <v>1</v>
      </c>
      <c r="BG847" s="46">
        <v>1</v>
      </c>
      <c r="BH847" s="46">
        <v>1</v>
      </c>
      <c r="BI847" s="46" t="s">
        <v>1363</v>
      </c>
      <c r="BJ847" s="46" t="s">
        <v>803</v>
      </c>
      <c r="BK847" s="46">
        <v>1975</v>
      </c>
      <c r="BL847" s="46" t="str">
        <f>BK847&amp;BI847</f>
        <v>1975Ipswich Town</v>
      </c>
      <c r="BM847" s="52" t="str">
        <f>IF(AD847="Home",BI847,IF(AD847="Away",BJ847,Q847))</f>
        <v>London</v>
      </c>
      <c r="BN847" s="46"/>
      <c r="BO847" s="46"/>
      <c r="BP847" s="46"/>
      <c r="BQ847" s="46"/>
      <c r="BR847" s="46"/>
      <c r="BS847" s="46"/>
      <c r="BT847" s="46"/>
      <c r="BU847" s="46"/>
      <c r="BV847" s="46" t="s">
        <v>376</v>
      </c>
      <c r="BW847" s="46" t="s">
        <v>376</v>
      </c>
      <c r="BX847" s="46"/>
      <c r="BZ847" s="53"/>
      <c r="CA847" s="53"/>
      <c r="CB847" s="93" t="str">
        <f>IF(OR(C847="",A847="",B847=""),"",TEXT(C847,"0000")&amp;TEXT(A847,"00")&amp;TEXT(B847,"00"))</f>
        <v>19750409</v>
      </c>
    </row>
    <row r="848" spans="1:80" s="52" customFormat="1" ht="12.95" customHeight="1" x14ac:dyDescent="0.2">
      <c r="A848" s="46">
        <v>5</v>
      </c>
      <c r="B848" s="46">
        <v>3</v>
      </c>
      <c r="C848" s="46">
        <v>1975</v>
      </c>
      <c r="D848" s="46" t="s">
        <v>658</v>
      </c>
      <c r="E848" s="46" t="s">
        <v>553</v>
      </c>
      <c r="F848" s="47" t="s">
        <v>1010</v>
      </c>
      <c r="G848" s="46"/>
      <c r="H848" s="47" t="s">
        <v>1025</v>
      </c>
      <c r="I848" s="47"/>
      <c r="J848" s="48">
        <v>27517</v>
      </c>
      <c r="K848" s="46" t="s">
        <v>803</v>
      </c>
      <c r="L848" s="46" t="s">
        <v>3</v>
      </c>
      <c r="M848" s="46" t="s">
        <v>589</v>
      </c>
      <c r="N848" s="49">
        <v>2</v>
      </c>
      <c r="O848" s="49">
        <v>0</v>
      </c>
      <c r="P848" s="47" t="s">
        <v>1268</v>
      </c>
      <c r="Q848" s="47" t="s">
        <v>1017</v>
      </c>
      <c r="R848" s="47" t="s">
        <v>376</v>
      </c>
      <c r="S848" s="46"/>
      <c r="T848" s="46"/>
      <c r="U848" s="46"/>
      <c r="V848" s="46"/>
      <c r="W848" s="46"/>
      <c r="X848" s="46"/>
      <c r="Y848" s="46"/>
      <c r="Z848" s="46"/>
      <c r="AA848" s="46"/>
      <c r="AB848" s="46"/>
      <c r="AC848" s="46"/>
      <c r="AD848" s="46"/>
      <c r="AE848" s="50">
        <f>IF(L848="W",1,0)</f>
        <v>1</v>
      </c>
      <c r="AF848" s="50">
        <f>IF(L848="T",1,0)</f>
        <v>0</v>
      </c>
      <c r="AG848" s="50">
        <f>IF(L848="L",1,0)</f>
        <v>0</v>
      </c>
      <c r="AH848" s="46" t="s">
        <v>1017</v>
      </c>
      <c r="AI848" s="46" t="s">
        <v>1018</v>
      </c>
      <c r="AJ848" s="46" t="s">
        <v>376</v>
      </c>
      <c r="AK848" s="46" t="s">
        <v>658</v>
      </c>
      <c r="AL848" s="46" t="s">
        <v>1017</v>
      </c>
      <c r="AM848" s="46" t="s">
        <v>1018</v>
      </c>
      <c r="AN848" s="46" t="s">
        <v>376</v>
      </c>
      <c r="AO848" s="46" t="s">
        <v>658</v>
      </c>
      <c r="AP848" s="46"/>
      <c r="AQ848" s="46">
        <v>1</v>
      </c>
      <c r="AR848" s="46"/>
      <c r="AS848" s="46"/>
      <c r="AT848" s="46"/>
      <c r="AU848" s="46" t="s">
        <v>376</v>
      </c>
      <c r="AV848" s="46"/>
      <c r="AW848" s="46" t="s">
        <v>30</v>
      </c>
      <c r="AX848" s="46"/>
      <c r="AY848" s="46" t="s">
        <v>30</v>
      </c>
      <c r="AZ848" s="46"/>
      <c r="BA848" s="47"/>
      <c r="BB848" s="51" t="s">
        <v>30</v>
      </c>
      <c r="BC848" s="46" t="s">
        <v>30</v>
      </c>
      <c r="BD848" s="46"/>
      <c r="BE848" s="46"/>
      <c r="BF848" s="46">
        <v>1</v>
      </c>
      <c r="BG848" s="46">
        <v>1</v>
      </c>
      <c r="BH848" s="46">
        <v>2</v>
      </c>
      <c r="BI848" s="46" t="s">
        <v>803</v>
      </c>
      <c r="BJ848" s="46" t="s">
        <v>589</v>
      </c>
      <c r="BK848" s="46">
        <v>1975</v>
      </c>
      <c r="BL848" s="46" t="str">
        <f>BK848&amp;BI848</f>
        <v>1975West Ham United</v>
      </c>
      <c r="BM848" s="52" t="str">
        <f>IF(AD848="Home",BI848,IF(AD848="Away",BJ848,Q848))</f>
        <v>London</v>
      </c>
      <c r="BN848" s="46"/>
      <c r="BO848" s="46"/>
      <c r="BP848" s="46"/>
      <c r="BQ848" s="46"/>
      <c r="BR848" s="46"/>
      <c r="BS848" s="46"/>
      <c r="BT848" s="46"/>
      <c r="BU848" s="46"/>
      <c r="BV848" s="46" t="s">
        <v>376</v>
      </c>
      <c r="BW848" s="46" t="s">
        <v>376</v>
      </c>
      <c r="BX848" s="46"/>
      <c r="BZ848" s="53"/>
      <c r="CA848" s="53"/>
      <c r="CB848" s="93" t="str">
        <f>IF(OR(C848="",A848="",B848=""),"",TEXT(C848,"0000")&amp;TEXT(A848,"00")&amp;TEXT(B848,"00"))</f>
        <v>19750503</v>
      </c>
    </row>
    <row r="849" spans="1:80" s="52" customFormat="1" ht="12.95" customHeight="1" x14ac:dyDescent="0.2">
      <c r="A849" s="46">
        <v>5</v>
      </c>
      <c r="B849" s="46">
        <v>3</v>
      </c>
      <c r="C849" s="46">
        <v>1975</v>
      </c>
      <c r="D849" s="46" t="s">
        <v>658</v>
      </c>
      <c r="E849" s="46" t="s">
        <v>553</v>
      </c>
      <c r="F849" s="47" t="s">
        <v>1010</v>
      </c>
      <c r="G849" s="46"/>
      <c r="H849" s="47" t="s">
        <v>1025</v>
      </c>
      <c r="I849" s="47"/>
      <c r="J849" s="48">
        <v>27517</v>
      </c>
      <c r="K849" s="46" t="s">
        <v>589</v>
      </c>
      <c r="L849" s="46" t="s">
        <v>4</v>
      </c>
      <c r="M849" s="46" t="s">
        <v>803</v>
      </c>
      <c r="N849" s="49">
        <v>0</v>
      </c>
      <c r="O849" s="49">
        <v>2</v>
      </c>
      <c r="P849" s="47" t="s">
        <v>1268</v>
      </c>
      <c r="Q849" s="47" t="s">
        <v>1017</v>
      </c>
      <c r="R849" s="47" t="s">
        <v>376</v>
      </c>
      <c r="S849" s="46"/>
      <c r="T849" s="46"/>
      <c r="U849" s="46"/>
      <c r="V849" s="46"/>
      <c r="W849" s="46"/>
      <c r="X849" s="46"/>
      <c r="Y849" s="46"/>
      <c r="Z849" s="46"/>
      <c r="AA849" s="46"/>
      <c r="AB849" s="46"/>
      <c r="AC849" s="46"/>
      <c r="AD849" s="46"/>
      <c r="AE849" s="50">
        <f>IF(L849="W",1,0)</f>
        <v>0</v>
      </c>
      <c r="AF849" s="50">
        <f>IF(L849="T",1,0)</f>
        <v>0</v>
      </c>
      <c r="AG849" s="50">
        <f>IF(L849="L",1,0)</f>
        <v>1</v>
      </c>
      <c r="AH849" s="46" t="s">
        <v>1017</v>
      </c>
      <c r="AI849" s="46" t="s">
        <v>1018</v>
      </c>
      <c r="AJ849" s="46" t="s">
        <v>376</v>
      </c>
      <c r="AK849" s="46" t="s">
        <v>658</v>
      </c>
      <c r="AL849" s="46" t="s">
        <v>1017</v>
      </c>
      <c r="AM849" s="46" t="s">
        <v>1018</v>
      </c>
      <c r="AN849" s="46" t="s">
        <v>376</v>
      </c>
      <c r="AO849" s="46" t="s">
        <v>658</v>
      </c>
      <c r="AP849" s="46"/>
      <c r="AQ849" s="46">
        <v>1</v>
      </c>
      <c r="AR849" s="46"/>
      <c r="AS849" s="46"/>
      <c r="AT849" s="46"/>
      <c r="AU849" s="46" t="s">
        <v>376</v>
      </c>
      <c r="AV849" s="46"/>
      <c r="AW849" s="46" t="s">
        <v>30</v>
      </c>
      <c r="AX849" s="46"/>
      <c r="AY849" s="46" t="s">
        <v>30</v>
      </c>
      <c r="AZ849" s="46"/>
      <c r="BA849" s="47"/>
      <c r="BB849" s="51"/>
      <c r="BC849" s="46" t="s">
        <v>30</v>
      </c>
      <c r="BD849" s="46"/>
      <c r="BE849" s="46"/>
      <c r="BF849" s="46">
        <v>1</v>
      </c>
      <c r="BG849" s="46">
        <v>2</v>
      </c>
      <c r="BH849" s="46">
        <v>1</v>
      </c>
      <c r="BI849" s="46" t="s">
        <v>589</v>
      </c>
      <c r="BJ849" s="46" t="s">
        <v>803</v>
      </c>
      <c r="BK849" s="46">
        <v>1975</v>
      </c>
      <c r="BL849" s="46" t="str">
        <f>BK849&amp;BI849</f>
        <v>1975Fulham</v>
      </c>
      <c r="BM849" s="52" t="str">
        <f>IF(AD849="Home",BI849,IF(AD849="Away",BJ849,Q849))</f>
        <v>London</v>
      </c>
      <c r="BN849" s="46"/>
      <c r="BO849" s="46"/>
      <c r="BP849" s="46"/>
      <c r="BQ849" s="46"/>
      <c r="BR849" s="46"/>
      <c r="BS849" s="46"/>
      <c r="BT849" s="46"/>
      <c r="BU849" s="46"/>
      <c r="BV849" s="46" t="s">
        <v>376</v>
      </c>
      <c r="BW849" s="46" t="s">
        <v>376</v>
      </c>
      <c r="BX849" s="46"/>
      <c r="BZ849" s="53"/>
      <c r="CA849" s="53"/>
      <c r="CB849" s="93" t="str">
        <f>IF(OR(C849="",A849="",B849=""),"",TEXT(C849,"0000")&amp;TEXT(A849,"00")&amp;TEXT(B849,"00"))</f>
        <v>19750503</v>
      </c>
    </row>
    <row r="850" spans="1:80" s="52" customFormat="1" ht="12.95" customHeight="1" x14ac:dyDescent="0.2">
      <c r="A850" s="46">
        <v>1</v>
      </c>
      <c r="B850" s="46">
        <v>13</v>
      </c>
      <c r="C850" s="46">
        <v>1976</v>
      </c>
      <c r="D850" s="46" t="s">
        <v>658</v>
      </c>
      <c r="E850" s="46" t="s">
        <v>552</v>
      </c>
      <c r="F850" s="54" t="s">
        <v>1327</v>
      </c>
      <c r="G850" s="46"/>
      <c r="H850" s="54" t="s">
        <v>1011</v>
      </c>
      <c r="I850" s="54">
        <v>1</v>
      </c>
      <c r="J850" s="55">
        <v>27772</v>
      </c>
      <c r="K850" s="46" t="s">
        <v>1366</v>
      </c>
      <c r="L850" s="46" t="s">
        <v>3</v>
      </c>
      <c r="M850" s="46" t="s">
        <v>823</v>
      </c>
      <c r="N850" s="49">
        <v>1</v>
      </c>
      <c r="O850" s="49">
        <v>0</v>
      </c>
      <c r="P850" s="54" t="s">
        <v>1367</v>
      </c>
      <c r="Q850" s="54" t="s">
        <v>1366</v>
      </c>
      <c r="R850" s="54" t="s">
        <v>376</v>
      </c>
      <c r="S850" s="46"/>
      <c r="T850" s="46"/>
      <c r="U850" s="46"/>
      <c r="V850" s="46"/>
      <c r="W850" s="46"/>
      <c r="X850" s="46"/>
      <c r="Y850" s="46"/>
      <c r="Z850" s="46"/>
      <c r="AA850" s="46"/>
      <c r="AB850" s="46"/>
      <c r="AC850" s="46"/>
      <c r="AD850" s="46" t="s">
        <v>1033</v>
      </c>
      <c r="AE850" s="50">
        <f>IF(L850="W",1,0)</f>
        <v>1</v>
      </c>
      <c r="AF850" s="50">
        <f>IF(L850="T",1,0)</f>
        <v>0</v>
      </c>
      <c r="AG850" s="50">
        <f>IF(L850="L",1,0)</f>
        <v>0</v>
      </c>
      <c r="AH850" s="46" t="s">
        <v>1366</v>
      </c>
      <c r="AI850" s="46" t="s">
        <v>1317</v>
      </c>
      <c r="AJ850" s="46" t="s">
        <v>376</v>
      </c>
      <c r="AK850" s="46" t="s">
        <v>658</v>
      </c>
      <c r="AL850" s="46" t="s">
        <v>1101</v>
      </c>
      <c r="AM850" s="46" t="s">
        <v>1159</v>
      </c>
      <c r="AN850" s="46" t="s">
        <v>376</v>
      </c>
      <c r="AO850" s="46" t="s">
        <v>658</v>
      </c>
      <c r="AP850" s="46"/>
      <c r="AQ850" s="46">
        <v>2</v>
      </c>
      <c r="AR850" s="46"/>
      <c r="AS850" s="46"/>
      <c r="AT850" s="46"/>
      <c r="AU850" s="46" t="s">
        <v>376</v>
      </c>
      <c r="AV850" s="46"/>
      <c r="AW850" s="46" t="s">
        <v>30</v>
      </c>
      <c r="AX850" s="46"/>
      <c r="AY850" s="46"/>
      <c r="AZ850" s="46" t="s">
        <v>30</v>
      </c>
      <c r="BA850" s="54"/>
      <c r="BB850" s="51"/>
      <c r="BC850" s="46"/>
      <c r="BD850" s="46"/>
      <c r="BE850" s="46"/>
      <c r="BF850" s="46">
        <v>1</v>
      </c>
      <c r="BG850" s="46">
        <v>1</v>
      </c>
      <c r="BH850" s="46">
        <v>1</v>
      </c>
      <c r="BI850" s="46" t="s">
        <v>1366</v>
      </c>
      <c r="BJ850" s="46" t="s">
        <v>823</v>
      </c>
      <c r="BK850" s="46">
        <v>1976</v>
      </c>
      <c r="BL850" s="46" t="str">
        <f>BK850&amp;BI850</f>
        <v>1976Middlesbrough</v>
      </c>
      <c r="BM850" s="52" t="str">
        <f>IF(AD850="Home",BI850,IF(AD850="Away",BJ850,Q850))</f>
        <v>Middlesbrough</v>
      </c>
      <c r="BN850" s="46"/>
      <c r="BO850" s="46"/>
      <c r="BP850" s="46"/>
      <c r="BQ850" s="46"/>
      <c r="BR850" s="46"/>
      <c r="BS850" s="46"/>
      <c r="BT850" s="46"/>
      <c r="BU850" s="46"/>
      <c r="BV850" s="46" t="s">
        <v>376</v>
      </c>
      <c r="BW850" s="46" t="s">
        <v>376</v>
      </c>
      <c r="BX850" s="46"/>
      <c r="BZ850" s="53"/>
      <c r="CA850" s="53"/>
      <c r="CB850" s="93" t="str">
        <f>IF(OR(C850="",A850="",B850=""),"",TEXT(C850,"0000")&amp;TEXT(A850,"00")&amp;TEXT(B850,"00"))</f>
        <v>19760113</v>
      </c>
    </row>
    <row r="851" spans="1:80" s="52" customFormat="1" ht="12.95" customHeight="1" x14ac:dyDescent="0.2">
      <c r="A851" s="46">
        <v>1</v>
      </c>
      <c r="B851" s="46">
        <v>13</v>
      </c>
      <c r="C851" s="46">
        <v>1976</v>
      </c>
      <c r="D851" s="46" t="s">
        <v>658</v>
      </c>
      <c r="E851" s="46" t="s">
        <v>552</v>
      </c>
      <c r="F851" s="54" t="s">
        <v>1327</v>
      </c>
      <c r="G851" s="46"/>
      <c r="H851" s="54" t="s">
        <v>1011</v>
      </c>
      <c r="I851" s="54">
        <v>1</v>
      </c>
      <c r="J851" s="55">
        <v>27772</v>
      </c>
      <c r="K851" s="46" t="s">
        <v>823</v>
      </c>
      <c r="L851" s="46" t="s">
        <v>4</v>
      </c>
      <c r="M851" s="46" t="s">
        <v>1366</v>
      </c>
      <c r="N851" s="49">
        <v>0</v>
      </c>
      <c r="O851" s="49">
        <v>1</v>
      </c>
      <c r="P851" s="54" t="s">
        <v>1367</v>
      </c>
      <c r="Q851" s="54" t="s">
        <v>1366</v>
      </c>
      <c r="R851" s="54" t="s">
        <v>376</v>
      </c>
      <c r="S851" s="46"/>
      <c r="T851" s="46"/>
      <c r="U851" s="46"/>
      <c r="V851" s="46"/>
      <c r="W851" s="46"/>
      <c r="X851" s="46"/>
      <c r="Y851" s="46"/>
      <c r="Z851" s="46"/>
      <c r="AA851" s="46"/>
      <c r="AB851" s="46"/>
      <c r="AC851" s="46"/>
      <c r="AD851" s="46" t="s">
        <v>1037</v>
      </c>
      <c r="AE851" s="50">
        <f>IF(L851="W",1,0)</f>
        <v>0</v>
      </c>
      <c r="AF851" s="50">
        <f>IF(L851="T",1,0)</f>
        <v>0</v>
      </c>
      <c r="AG851" s="50">
        <f>IF(L851="L",1,0)</f>
        <v>1</v>
      </c>
      <c r="AH851" s="46" t="s">
        <v>1101</v>
      </c>
      <c r="AI851" s="46" t="s">
        <v>1159</v>
      </c>
      <c r="AJ851" s="46" t="s">
        <v>376</v>
      </c>
      <c r="AK851" s="46" t="s">
        <v>658</v>
      </c>
      <c r="AL851" s="46" t="s">
        <v>1366</v>
      </c>
      <c r="AM851" s="46" t="s">
        <v>1317</v>
      </c>
      <c r="AN851" s="46" t="s">
        <v>376</v>
      </c>
      <c r="AO851" s="46" t="s">
        <v>658</v>
      </c>
      <c r="AP851" s="46"/>
      <c r="AQ851" s="46">
        <v>2</v>
      </c>
      <c r="AR851" s="46"/>
      <c r="AS851" s="46"/>
      <c r="AT851" s="46"/>
      <c r="AU851" s="46" t="s">
        <v>376</v>
      </c>
      <c r="AV851" s="46"/>
      <c r="AW851" s="46" t="s">
        <v>30</v>
      </c>
      <c r="AX851" s="46"/>
      <c r="AY851" s="46"/>
      <c r="AZ851" s="46" t="s">
        <v>30</v>
      </c>
      <c r="BA851" s="54"/>
      <c r="BB851" s="51"/>
      <c r="BC851" s="46"/>
      <c r="BD851" s="46"/>
      <c r="BE851" s="46"/>
      <c r="BF851" s="46">
        <v>1</v>
      </c>
      <c r="BG851" s="46">
        <v>1</v>
      </c>
      <c r="BH851" s="46">
        <v>1</v>
      </c>
      <c r="BI851" s="46" t="s">
        <v>823</v>
      </c>
      <c r="BJ851" s="46" t="s">
        <v>1366</v>
      </c>
      <c r="BK851" s="46">
        <v>1976</v>
      </c>
      <c r="BL851" s="46" t="str">
        <f>BK851&amp;BI851</f>
        <v>1976Manchester City</v>
      </c>
      <c r="BM851" s="52" t="str">
        <f>IF(AD851="Home",BI851,IF(AD851="Away",BJ851,Q851))</f>
        <v>Middlesbrough</v>
      </c>
      <c r="BN851" s="46"/>
      <c r="BO851" s="46"/>
      <c r="BP851" s="46"/>
      <c r="BQ851" s="46"/>
      <c r="BR851" s="46"/>
      <c r="BS851" s="46"/>
      <c r="BT851" s="46"/>
      <c r="BU851" s="46"/>
      <c r="BV851" s="46" t="s">
        <v>376</v>
      </c>
      <c r="BW851" s="46" t="s">
        <v>376</v>
      </c>
      <c r="BX851" s="46"/>
      <c r="BZ851" s="53"/>
      <c r="CA851" s="53"/>
      <c r="CB851" s="93" t="str">
        <f>IF(OR(C851="",A851="",B851=""),"",TEXT(C851,"0000")&amp;TEXT(A851,"00")&amp;TEXT(B851,"00"))</f>
        <v>19760113</v>
      </c>
    </row>
    <row r="852" spans="1:80" s="52" customFormat="1" ht="12.95" customHeight="1" x14ac:dyDescent="0.2">
      <c r="A852" s="46">
        <v>1</v>
      </c>
      <c r="B852" s="46">
        <v>14</v>
      </c>
      <c r="C852" s="46">
        <v>1976</v>
      </c>
      <c r="D852" s="46" t="s">
        <v>658</v>
      </c>
      <c r="E852" s="46" t="s">
        <v>552</v>
      </c>
      <c r="F852" s="54" t="s">
        <v>1327</v>
      </c>
      <c r="G852" s="46"/>
      <c r="H852" s="54" t="s">
        <v>1011</v>
      </c>
      <c r="I852" s="54">
        <v>1</v>
      </c>
      <c r="J852" s="55">
        <v>27773</v>
      </c>
      <c r="K852" s="46" t="s">
        <v>813</v>
      </c>
      <c r="L852" s="46" t="s">
        <v>3</v>
      </c>
      <c r="M852" s="46" t="s">
        <v>805</v>
      </c>
      <c r="N852" s="49">
        <v>1</v>
      </c>
      <c r="O852" s="49">
        <v>0</v>
      </c>
      <c r="P852" s="54" t="s">
        <v>1222</v>
      </c>
      <c r="Q852" s="54" t="s">
        <v>1017</v>
      </c>
      <c r="R852" s="54" t="s">
        <v>376</v>
      </c>
      <c r="S852" s="46"/>
      <c r="T852" s="46"/>
      <c r="U852" s="46"/>
      <c r="V852" s="46"/>
      <c r="W852" s="46"/>
      <c r="X852" s="46"/>
      <c r="Y852" s="46"/>
      <c r="Z852" s="46"/>
      <c r="AA852" s="46"/>
      <c r="AB852" s="46"/>
      <c r="AC852" s="46"/>
      <c r="AD852" s="46" t="s">
        <v>1033</v>
      </c>
      <c r="AE852" s="50">
        <f>IF(L852="W",1,0)</f>
        <v>1</v>
      </c>
      <c r="AF852" s="50">
        <f>IF(L852="T",1,0)</f>
        <v>0</v>
      </c>
      <c r="AG852" s="50">
        <f>IF(L852="L",1,0)</f>
        <v>0</v>
      </c>
      <c r="AH852" s="46" t="s">
        <v>1017</v>
      </c>
      <c r="AI852" s="46" t="s">
        <v>1018</v>
      </c>
      <c r="AJ852" s="46" t="s">
        <v>376</v>
      </c>
      <c r="AK852" s="46" t="s">
        <v>658</v>
      </c>
      <c r="AL852" s="46" t="s">
        <v>1227</v>
      </c>
      <c r="AM852" s="46" t="s">
        <v>1164</v>
      </c>
      <c r="AN852" s="46" t="s">
        <v>376</v>
      </c>
      <c r="AO852" s="46" t="s">
        <v>658</v>
      </c>
      <c r="AP852" s="46"/>
      <c r="AQ852" s="46">
        <v>2</v>
      </c>
      <c r="AR852" s="46"/>
      <c r="AS852" s="46"/>
      <c r="AT852" s="46"/>
      <c r="AU852" s="46" t="s">
        <v>376</v>
      </c>
      <c r="AV852" s="46"/>
      <c r="AW852" s="46" t="s">
        <v>30</v>
      </c>
      <c r="AX852" s="46"/>
      <c r="AY852" s="46"/>
      <c r="AZ852" s="46" t="s">
        <v>30</v>
      </c>
      <c r="BA852" s="54"/>
      <c r="BB852" s="51"/>
      <c r="BC852" s="46"/>
      <c r="BD852" s="46"/>
      <c r="BE852" s="46"/>
      <c r="BF852" s="46">
        <v>1</v>
      </c>
      <c r="BG852" s="46">
        <v>1</v>
      </c>
      <c r="BH852" s="46">
        <v>1</v>
      </c>
      <c r="BI852" s="46" t="s">
        <v>813</v>
      </c>
      <c r="BJ852" s="46" t="s">
        <v>805</v>
      </c>
      <c r="BK852" s="46">
        <v>1976</v>
      </c>
      <c r="BL852" s="46" t="str">
        <f>BK852&amp;BI852</f>
        <v>1976Tottenham Hotspur</v>
      </c>
      <c r="BM852" s="52" t="str">
        <f>IF(AD852="Home",BI852,IF(AD852="Away",BJ852,Q852))</f>
        <v>Tottenham Hotspur</v>
      </c>
      <c r="BN852" s="46"/>
      <c r="BO852" s="46"/>
      <c r="BP852" s="46"/>
      <c r="BQ852" s="46"/>
      <c r="BR852" s="46"/>
      <c r="BS852" s="46"/>
      <c r="BT852" s="46"/>
      <c r="BU852" s="46"/>
      <c r="BV852" s="46" t="s">
        <v>376</v>
      </c>
      <c r="BW852" s="46" t="s">
        <v>376</v>
      </c>
      <c r="BX852" s="46"/>
      <c r="BZ852" s="53"/>
      <c r="CA852" s="53"/>
      <c r="CB852" s="93" t="str">
        <f>IF(OR(C852="",A852="",B852=""),"",TEXT(C852,"0000")&amp;TEXT(A852,"00")&amp;TEXT(B852,"00"))</f>
        <v>19760114</v>
      </c>
    </row>
    <row r="853" spans="1:80" s="52" customFormat="1" ht="12.95" customHeight="1" x14ac:dyDescent="0.2">
      <c r="A853" s="46">
        <v>1</v>
      </c>
      <c r="B853" s="46">
        <v>14</v>
      </c>
      <c r="C853" s="46">
        <v>1976</v>
      </c>
      <c r="D853" s="46" t="s">
        <v>658</v>
      </c>
      <c r="E853" s="46" t="s">
        <v>552</v>
      </c>
      <c r="F853" s="54" t="s">
        <v>1327</v>
      </c>
      <c r="G853" s="46"/>
      <c r="H853" s="54" t="s">
        <v>1011</v>
      </c>
      <c r="I853" s="54">
        <v>1</v>
      </c>
      <c r="J853" s="55">
        <v>27773</v>
      </c>
      <c r="K853" s="46" t="s">
        <v>805</v>
      </c>
      <c r="L853" s="46" t="s">
        <v>4</v>
      </c>
      <c r="M853" s="46" t="s">
        <v>813</v>
      </c>
      <c r="N853" s="49">
        <v>0</v>
      </c>
      <c r="O853" s="49">
        <v>1</v>
      </c>
      <c r="P853" s="54" t="s">
        <v>1222</v>
      </c>
      <c r="Q853" s="54" t="s">
        <v>1017</v>
      </c>
      <c r="R853" s="54" t="s">
        <v>376</v>
      </c>
      <c r="S853" s="46"/>
      <c r="T853" s="46"/>
      <c r="U853" s="46"/>
      <c r="V853" s="46"/>
      <c r="W853" s="46"/>
      <c r="X853" s="46"/>
      <c r="Y853" s="46"/>
      <c r="Z853" s="46"/>
      <c r="AA853" s="46"/>
      <c r="AB853" s="46"/>
      <c r="AC853" s="46"/>
      <c r="AD853" s="46" t="s">
        <v>1037</v>
      </c>
      <c r="AE853" s="50">
        <f>IF(L853="W",1,0)</f>
        <v>0</v>
      </c>
      <c r="AF853" s="50">
        <f>IF(L853="T",1,0)</f>
        <v>0</v>
      </c>
      <c r="AG853" s="50">
        <f>IF(L853="L",1,0)</f>
        <v>1</v>
      </c>
      <c r="AH853" s="46" t="s">
        <v>1227</v>
      </c>
      <c r="AI853" s="46" t="s">
        <v>1164</v>
      </c>
      <c r="AJ853" s="46" t="s">
        <v>376</v>
      </c>
      <c r="AK853" s="46" t="s">
        <v>658</v>
      </c>
      <c r="AL853" s="46" t="s">
        <v>1017</v>
      </c>
      <c r="AM853" s="46" t="s">
        <v>1018</v>
      </c>
      <c r="AN853" s="46" t="s">
        <v>376</v>
      </c>
      <c r="AO853" s="46" t="s">
        <v>658</v>
      </c>
      <c r="AP853" s="46"/>
      <c r="AQ853" s="46">
        <v>2</v>
      </c>
      <c r="AR853" s="46"/>
      <c r="AS853" s="46"/>
      <c r="AT853" s="46"/>
      <c r="AU853" s="46" t="s">
        <v>376</v>
      </c>
      <c r="AV853" s="46"/>
      <c r="AW853" s="46" t="s">
        <v>30</v>
      </c>
      <c r="AX853" s="46"/>
      <c r="AY853" s="46"/>
      <c r="AZ853" s="46" t="s">
        <v>30</v>
      </c>
      <c r="BA853" s="54"/>
      <c r="BB853" s="51"/>
      <c r="BC853" s="46"/>
      <c r="BD853" s="46"/>
      <c r="BE853" s="46"/>
      <c r="BF853" s="46">
        <v>1</v>
      </c>
      <c r="BG853" s="46">
        <v>1</v>
      </c>
      <c r="BH853" s="46">
        <v>1</v>
      </c>
      <c r="BI853" s="46" t="s">
        <v>805</v>
      </c>
      <c r="BJ853" s="46" t="s">
        <v>813</v>
      </c>
      <c r="BK853" s="46">
        <v>1976</v>
      </c>
      <c r="BL853" s="46" t="str">
        <f>BK853&amp;BI853</f>
        <v>1976Newcastle United</v>
      </c>
      <c r="BM853" s="52" t="str">
        <f>IF(AD853="Home",BI853,IF(AD853="Away",BJ853,Q853))</f>
        <v>Tottenham Hotspur</v>
      </c>
      <c r="BN853" s="46"/>
      <c r="BO853" s="46"/>
      <c r="BP853" s="46"/>
      <c r="BQ853" s="46"/>
      <c r="BR853" s="46"/>
      <c r="BS853" s="46"/>
      <c r="BT853" s="46"/>
      <c r="BU853" s="46"/>
      <c r="BV853" s="46" t="s">
        <v>376</v>
      </c>
      <c r="BW853" s="46" t="s">
        <v>376</v>
      </c>
      <c r="BX853" s="46"/>
      <c r="BZ853" s="53"/>
      <c r="CA853" s="53"/>
      <c r="CB853" s="93" t="str">
        <f>IF(OR(C853="",A853="",B853=""),"",TEXT(C853,"0000")&amp;TEXT(A853,"00")&amp;TEXT(B853,"00"))</f>
        <v>19760114</v>
      </c>
    </row>
    <row r="854" spans="1:80" s="52" customFormat="1" ht="12.95" customHeight="1" x14ac:dyDescent="0.2">
      <c r="A854" s="46">
        <v>1</v>
      </c>
      <c r="B854" s="46">
        <v>21</v>
      </c>
      <c r="C854" s="46">
        <v>1976</v>
      </c>
      <c r="D854" s="46" t="s">
        <v>658</v>
      </c>
      <c r="E854" s="46" t="s">
        <v>552</v>
      </c>
      <c r="F854" s="54" t="s">
        <v>1327</v>
      </c>
      <c r="G854" s="46"/>
      <c r="H854" s="54" t="s">
        <v>1011</v>
      </c>
      <c r="I854" s="54">
        <v>2</v>
      </c>
      <c r="J854" s="55">
        <v>27780</v>
      </c>
      <c r="K854" s="46" t="s">
        <v>823</v>
      </c>
      <c r="L854" s="46" t="s">
        <v>3</v>
      </c>
      <c r="M854" s="46" t="s">
        <v>1366</v>
      </c>
      <c r="N854" s="49">
        <v>4</v>
      </c>
      <c r="O854" s="49">
        <v>0</v>
      </c>
      <c r="P854" s="54" t="s">
        <v>1226</v>
      </c>
      <c r="Q854" s="54" t="s">
        <v>1101</v>
      </c>
      <c r="R854" s="54" t="s">
        <v>376</v>
      </c>
      <c r="S854" s="46"/>
      <c r="T854" s="46"/>
      <c r="U854" s="46"/>
      <c r="V854" s="46"/>
      <c r="W854" s="46"/>
      <c r="X854" s="46"/>
      <c r="Y854" s="46"/>
      <c r="Z854" s="46"/>
      <c r="AA854" s="46"/>
      <c r="AB854" s="46"/>
      <c r="AC854" s="46"/>
      <c r="AD854" s="46" t="s">
        <v>1033</v>
      </c>
      <c r="AE854" s="50">
        <f>IF(L854="W",1,0)</f>
        <v>1</v>
      </c>
      <c r="AF854" s="50">
        <f>IF(L854="T",1,0)</f>
        <v>0</v>
      </c>
      <c r="AG854" s="50">
        <f>IF(L854="L",1,0)</f>
        <v>0</v>
      </c>
      <c r="AH854" s="46" t="s">
        <v>1101</v>
      </c>
      <c r="AI854" s="46" t="s">
        <v>1159</v>
      </c>
      <c r="AJ854" s="46" t="s">
        <v>376</v>
      </c>
      <c r="AK854" s="46" t="s">
        <v>658</v>
      </c>
      <c r="AL854" s="46" t="s">
        <v>1366</v>
      </c>
      <c r="AM854" s="46" t="s">
        <v>1317</v>
      </c>
      <c r="AN854" s="46" t="s">
        <v>376</v>
      </c>
      <c r="AO854" s="46" t="s">
        <v>658</v>
      </c>
      <c r="AP854" s="46"/>
      <c r="AQ854" s="46">
        <v>2</v>
      </c>
      <c r="AR854" s="46"/>
      <c r="AS854" s="46"/>
      <c r="AT854" s="46"/>
      <c r="AU854" s="46" t="s">
        <v>376</v>
      </c>
      <c r="AV854" s="46"/>
      <c r="AW854" s="46" t="s">
        <v>30</v>
      </c>
      <c r="AX854" s="46"/>
      <c r="AY854" s="46"/>
      <c r="AZ854" s="46" t="s">
        <v>30</v>
      </c>
      <c r="BA854" s="54"/>
      <c r="BB854" s="51"/>
      <c r="BC854" s="46"/>
      <c r="BD854" s="46"/>
      <c r="BE854" s="46"/>
      <c r="BF854" s="46">
        <v>1</v>
      </c>
      <c r="BG854" s="46">
        <v>1</v>
      </c>
      <c r="BH854" s="46">
        <v>1</v>
      </c>
      <c r="BI854" s="46" t="s">
        <v>823</v>
      </c>
      <c r="BJ854" s="46" t="s">
        <v>1366</v>
      </c>
      <c r="BK854" s="46">
        <v>1976</v>
      </c>
      <c r="BL854" s="46" t="str">
        <f>BK854&amp;BI854</f>
        <v>1976Manchester City</v>
      </c>
      <c r="BM854" s="52" t="str">
        <f>IF(AD854="Home",BI854,IF(AD854="Away",BJ854,Q854))</f>
        <v>Manchester City</v>
      </c>
      <c r="BN854" s="46"/>
      <c r="BO854" s="46"/>
      <c r="BP854" s="46"/>
      <c r="BQ854" s="46"/>
      <c r="BR854" s="46"/>
      <c r="BS854" s="46"/>
      <c r="BT854" s="46"/>
      <c r="BU854" s="46"/>
      <c r="BV854" s="46" t="s">
        <v>376</v>
      </c>
      <c r="BW854" s="46" t="s">
        <v>376</v>
      </c>
      <c r="BX854" s="46"/>
      <c r="BZ854" s="53"/>
      <c r="CA854" s="53"/>
      <c r="CB854" s="93" t="str">
        <f>IF(OR(C854="",A854="",B854=""),"",TEXT(C854,"0000")&amp;TEXT(A854,"00")&amp;TEXT(B854,"00"))</f>
        <v>19760121</v>
      </c>
    </row>
    <row r="855" spans="1:80" s="52" customFormat="1" ht="12.95" customHeight="1" x14ac:dyDescent="0.2">
      <c r="A855" s="46">
        <v>1</v>
      </c>
      <c r="B855" s="46">
        <v>21</v>
      </c>
      <c r="C855" s="46">
        <v>1976</v>
      </c>
      <c r="D855" s="46" t="s">
        <v>658</v>
      </c>
      <c r="E855" s="46" t="s">
        <v>552</v>
      </c>
      <c r="F855" s="54" t="s">
        <v>1327</v>
      </c>
      <c r="G855" s="46"/>
      <c r="H855" s="54" t="s">
        <v>1011</v>
      </c>
      <c r="I855" s="54">
        <v>2</v>
      </c>
      <c r="J855" s="55">
        <v>27780</v>
      </c>
      <c r="K855" s="46" t="s">
        <v>1366</v>
      </c>
      <c r="L855" s="46" t="s">
        <v>4</v>
      </c>
      <c r="M855" s="46" t="s">
        <v>823</v>
      </c>
      <c r="N855" s="49">
        <v>0</v>
      </c>
      <c r="O855" s="49">
        <v>4</v>
      </c>
      <c r="P855" s="54" t="s">
        <v>1226</v>
      </c>
      <c r="Q855" s="54" t="s">
        <v>1101</v>
      </c>
      <c r="R855" s="54" t="s">
        <v>376</v>
      </c>
      <c r="S855" s="46"/>
      <c r="T855" s="46"/>
      <c r="U855" s="46"/>
      <c r="V855" s="46"/>
      <c r="W855" s="46"/>
      <c r="X855" s="46"/>
      <c r="Y855" s="46"/>
      <c r="Z855" s="46"/>
      <c r="AA855" s="46"/>
      <c r="AB855" s="46"/>
      <c r="AC855" s="46"/>
      <c r="AD855" s="46" t="s">
        <v>1037</v>
      </c>
      <c r="AE855" s="50">
        <f>IF(L855="W",1,0)</f>
        <v>0</v>
      </c>
      <c r="AF855" s="50">
        <f>IF(L855="T",1,0)</f>
        <v>0</v>
      </c>
      <c r="AG855" s="50">
        <f>IF(L855="L",1,0)</f>
        <v>1</v>
      </c>
      <c r="AH855" s="46" t="s">
        <v>1366</v>
      </c>
      <c r="AI855" s="46" t="s">
        <v>1317</v>
      </c>
      <c r="AJ855" s="46" t="s">
        <v>376</v>
      </c>
      <c r="AK855" s="46" t="s">
        <v>658</v>
      </c>
      <c r="AL855" s="46" t="s">
        <v>1101</v>
      </c>
      <c r="AM855" s="46" t="s">
        <v>1159</v>
      </c>
      <c r="AN855" s="46" t="s">
        <v>376</v>
      </c>
      <c r="AO855" s="46" t="s">
        <v>658</v>
      </c>
      <c r="AP855" s="46"/>
      <c r="AQ855" s="46">
        <v>2</v>
      </c>
      <c r="AR855" s="46"/>
      <c r="AS855" s="46"/>
      <c r="AT855" s="46"/>
      <c r="AU855" s="46" t="s">
        <v>376</v>
      </c>
      <c r="AV855" s="46"/>
      <c r="AW855" s="46" t="s">
        <v>30</v>
      </c>
      <c r="AX855" s="46"/>
      <c r="AY855" s="46"/>
      <c r="AZ855" s="46" t="s">
        <v>30</v>
      </c>
      <c r="BA855" s="54"/>
      <c r="BB855" s="51"/>
      <c r="BC855" s="46"/>
      <c r="BD855" s="46"/>
      <c r="BE855" s="46"/>
      <c r="BF855" s="46">
        <v>1</v>
      </c>
      <c r="BG855" s="46">
        <v>1</v>
      </c>
      <c r="BH855" s="46">
        <v>1</v>
      </c>
      <c r="BI855" s="46" t="s">
        <v>1366</v>
      </c>
      <c r="BJ855" s="46" t="s">
        <v>823</v>
      </c>
      <c r="BK855" s="46">
        <v>1976</v>
      </c>
      <c r="BL855" s="46" t="str">
        <f>BK855&amp;BI855</f>
        <v>1976Middlesbrough</v>
      </c>
      <c r="BM855" s="52" t="str">
        <f>IF(AD855="Home",BI855,IF(AD855="Away",BJ855,Q855))</f>
        <v>Manchester City</v>
      </c>
      <c r="BN855" s="46"/>
      <c r="BO855" s="46"/>
      <c r="BP855" s="46"/>
      <c r="BQ855" s="46"/>
      <c r="BR855" s="46"/>
      <c r="BS855" s="46"/>
      <c r="BT855" s="46"/>
      <c r="BU855" s="46"/>
      <c r="BV855" s="46" t="s">
        <v>376</v>
      </c>
      <c r="BW855" s="46" t="s">
        <v>376</v>
      </c>
      <c r="BX855" s="46"/>
      <c r="BZ855" s="53"/>
      <c r="CA855" s="53"/>
      <c r="CB855" s="93" t="str">
        <f>IF(OR(C855="",A855="",B855=""),"",TEXT(C855,"0000")&amp;TEXT(A855,"00")&amp;TEXT(B855,"00"))</f>
        <v>19760121</v>
      </c>
    </row>
    <row r="856" spans="1:80" s="52" customFormat="1" ht="12.95" customHeight="1" x14ac:dyDescent="0.2">
      <c r="A856" s="46">
        <v>1</v>
      </c>
      <c r="B856" s="46">
        <v>21</v>
      </c>
      <c r="C856" s="46">
        <v>1976</v>
      </c>
      <c r="D856" s="46" t="s">
        <v>658</v>
      </c>
      <c r="E856" s="46" t="s">
        <v>552</v>
      </c>
      <c r="F856" s="54" t="s">
        <v>1327</v>
      </c>
      <c r="G856" s="46"/>
      <c r="H856" s="54" t="s">
        <v>1011</v>
      </c>
      <c r="I856" s="54">
        <v>2</v>
      </c>
      <c r="J856" s="55">
        <v>27780</v>
      </c>
      <c r="K856" s="46" t="s">
        <v>805</v>
      </c>
      <c r="L856" s="46" t="s">
        <v>3</v>
      </c>
      <c r="M856" s="46" t="s">
        <v>813</v>
      </c>
      <c r="N856" s="49">
        <v>3</v>
      </c>
      <c r="O856" s="49">
        <v>1</v>
      </c>
      <c r="P856" s="54" t="s">
        <v>1368</v>
      </c>
      <c r="Q856" s="54" t="s">
        <v>1227</v>
      </c>
      <c r="R856" s="54" t="s">
        <v>376</v>
      </c>
      <c r="S856" s="46"/>
      <c r="T856" s="46"/>
      <c r="U856" s="46"/>
      <c r="V856" s="46"/>
      <c r="W856" s="46"/>
      <c r="X856" s="46"/>
      <c r="Y856" s="46"/>
      <c r="Z856" s="46"/>
      <c r="AA856" s="46"/>
      <c r="AB856" s="46"/>
      <c r="AC856" s="46"/>
      <c r="AD856" s="46" t="s">
        <v>1033</v>
      </c>
      <c r="AE856" s="50">
        <f>IF(L856="W",1,0)</f>
        <v>1</v>
      </c>
      <c r="AF856" s="50">
        <f>IF(L856="T",1,0)</f>
        <v>0</v>
      </c>
      <c r="AG856" s="50">
        <f>IF(L856="L",1,0)</f>
        <v>0</v>
      </c>
      <c r="AH856" s="46" t="s">
        <v>1227</v>
      </c>
      <c r="AI856" s="46" t="s">
        <v>1164</v>
      </c>
      <c r="AJ856" s="46" t="s">
        <v>376</v>
      </c>
      <c r="AK856" s="46" t="s">
        <v>658</v>
      </c>
      <c r="AL856" s="46" t="s">
        <v>1017</v>
      </c>
      <c r="AM856" s="46" t="s">
        <v>1018</v>
      </c>
      <c r="AN856" s="46" t="s">
        <v>376</v>
      </c>
      <c r="AO856" s="46" t="s">
        <v>658</v>
      </c>
      <c r="AP856" s="46"/>
      <c r="AQ856" s="46">
        <v>2</v>
      </c>
      <c r="AR856" s="46"/>
      <c r="AS856" s="46"/>
      <c r="AT856" s="46"/>
      <c r="AU856" s="46" t="s">
        <v>376</v>
      </c>
      <c r="AV856" s="46"/>
      <c r="AW856" s="46" t="s">
        <v>30</v>
      </c>
      <c r="AX856" s="46"/>
      <c r="AY856" s="46"/>
      <c r="AZ856" s="46" t="s">
        <v>30</v>
      </c>
      <c r="BA856" s="54"/>
      <c r="BB856" s="51"/>
      <c r="BC856" s="46"/>
      <c r="BD856" s="46"/>
      <c r="BE856" s="46"/>
      <c r="BF856" s="46">
        <v>1</v>
      </c>
      <c r="BG856" s="46">
        <v>1</v>
      </c>
      <c r="BH856" s="46">
        <v>1</v>
      </c>
      <c r="BI856" s="46" t="s">
        <v>805</v>
      </c>
      <c r="BJ856" s="46" t="s">
        <v>813</v>
      </c>
      <c r="BK856" s="46">
        <v>1976</v>
      </c>
      <c r="BL856" s="46" t="str">
        <f>BK856&amp;BI856</f>
        <v>1976Newcastle United</v>
      </c>
      <c r="BM856" s="52" t="str">
        <f>IF(AD856="Home",BI856,IF(AD856="Away",BJ856,Q856))</f>
        <v>Newcastle United</v>
      </c>
      <c r="BN856" s="46"/>
      <c r="BO856" s="46"/>
      <c r="BP856" s="46"/>
      <c r="BQ856" s="46"/>
      <c r="BR856" s="46"/>
      <c r="BS856" s="46"/>
      <c r="BT856" s="46"/>
      <c r="BU856" s="46"/>
      <c r="BV856" s="46" t="s">
        <v>376</v>
      </c>
      <c r="BW856" s="46" t="s">
        <v>376</v>
      </c>
      <c r="BX856" s="46"/>
      <c r="BZ856" s="53"/>
      <c r="CA856" s="53"/>
      <c r="CB856" s="93" t="str">
        <f>IF(OR(C856="",A856="",B856=""),"",TEXT(C856,"0000")&amp;TEXT(A856,"00")&amp;TEXT(B856,"00"))</f>
        <v>19760121</v>
      </c>
    </row>
    <row r="857" spans="1:80" s="52" customFormat="1" ht="12.95" customHeight="1" x14ac:dyDescent="0.2">
      <c r="A857" s="46">
        <v>1</v>
      </c>
      <c r="B857" s="46">
        <v>21</v>
      </c>
      <c r="C857" s="46">
        <v>1976</v>
      </c>
      <c r="D857" s="46" t="s">
        <v>658</v>
      </c>
      <c r="E857" s="46" t="s">
        <v>552</v>
      </c>
      <c r="F857" s="54" t="s">
        <v>1327</v>
      </c>
      <c r="G857" s="46"/>
      <c r="H857" s="54" t="s">
        <v>1011</v>
      </c>
      <c r="I857" s="54">
        <v>2</v>
      </c>
      <c r="J857" s="55">
        <v>27780</v>
      </c>
      <c r="K857" s="46" t="s">
        <v>813</v>
      </c>
      <c r="L857" s="46" t="s">
        <v>4</v>
      </c>
      <c r="M857" s="46" t="s">
        <v>805</v>
      </c>
      <c r="N857" s="49">
        <v>1</v>
      </c>
      <c r="O857" s="49">
        <v>3</v>
      </c>
      <c r="P857" s="54" t="s">
        <v>1368</v>
      </c>
      <c r="Q857" s="54" t="s">
        <v>1227</v>
      </c>
      <c r="R857" s="54" t="s">
        <v>376</v>
      </c>
      <c r="S857" s="46"/>
      <c r="T857" s="46"/>
      <c r="U857" s="46"/>
      <c r="V857" s="46"/>
      <c r="W857" s="46"/>
      <c r="X857" s="46"/>
      <c r="Y857" s="46"/>
      <c r="Z857" s="46"/>
      <c r="AA857" s="46"/>
      <c r="AB857" s="46"/>
      <c r="AC857" s="46"/>
      <c r="AD857" s="46" t="s">
        <v>1037</v>
      </c>
      <c r="AE857" s="50">
        <f>IF(L857="W",1,0)</f>
        <v>0</v>
      </c>
      <c r="AF857" s="50">
        <f>IF(L857="T",1,0)</f>
        <v>0</v>
      </c>
      <c r="AG857" s="50">
        <f>IF(L857="L",1,0)</f>
        <v>1</v>
      </c>
      <c r="AH857" s="46" t="s">
        <v>1017</v>
      </c>
      <c r="AI857" s="46" t="s">
        <v>1018</v>
      </c>
      <c r="AJ857" s="46" t="s">
        <v>376</v>
      </c>
      <c r="AK857" s="46" t="s">
        <v>658</v>
      </c>
      <c r="AL857" s="46" t="s">
        <v>1227</v>
      </c>
      <c r="AM857" s="46" t="s">
        <v>1164</v>
      </c>
      <c r="AN857" s="46" t="s">
        <v>376</v>
      </c>
      <c r="AO857" s="46" t="s">
        <v>658</v>
      </c>
      <c r="AP857" s="46"/>
      <c r="AQ857" s="46">
        <v>2</v>
      </c>
      <c r="AR857" s="46"/>
      <c r="AS857" s="46"/>
      <c r="AT857" s="46"/>
      <c r="AU857" s="46" t="s">
        <v>376</v>
      </c>
      <c r="AV857" s="46"/>
      <c r="AW857" s="46" t="s">
        <v>30</v>
      </c>
      <c r="AX857" s="46"/>
      <c r="AY857" s="46"/>
      <c r="AZ857" s="46" t="s">
        <v>30</v>
      </c>
      <c r="BA857" s="54"/>
      <c r="BB857" s="51"/>
      <c r="BC857" s="46"/>
      <c r="BD857" s="46"/>
      <c r="BE857" s="46"/>
      <c r="BF857" s="46">
        <v>1</v>
      </c>
      <c r="BG857" s="46">
        <v>1</v>
      </c>
      <c r="BH857" s="46">
        <v>1</v>
      </c>
      <c r="BI857" s="46" t="s">
        <v>813</v>
      </c>
      <c r="BJ857" s="46" t="s">
        <v>805</v>
      </c>
      <c r="BK857" s="46">
        <v>1976</v>
      </c>
      <c r="BL857" s="46" t="str">
        <f>BK857&amp;BI857</f>
        <v>1976Tottenham Hotspur</v>
      </c>
      <c r="BM857" s="52" t="str">
        <f>IF(AD857="Home",BI857,IF(AD857="Away",BJ857,Q857))</f>
        <v>Newcastle United</v>
      </c>
      <c r="BN857" s="46"/>
      <c r="BO857" s="46"/>
      <c r="BP857" s="46"/>
      <c r="BQ857" s="46"/>
      <c r="BR857" s="46"/>
      <c r="BS857" s="46"/>
      <c r="BT857" s="46"/>
      <c r="BU857" s="46"/>
      <c r="BV857" s="46" t="s">
        <v>376</v>
      </c>
      <c r="BW857" s="46" t="s">
        <v>376</v>
      </c>
      <c r="BX857" s="46"/>
      <c r="BZ857" s="53"/>
      <c r="CA857" s="53"/>
      <c r="CB857" s="93" t="str">
        <f>IF(OR(C857="",A857="",B857=""),"",TEXT(C857,"0000")&amp;TEXT(A857,"00")&amp;TEXT(B857,"00"))</f>
        <v>19760121</v>
      </c>
    </row>
    <row r="858" spans="1:80" s="52" customFormat="1" ht="12.95" customHeight="1" x14ac:dyDescent="0.2">
      <c r="A858" s="46">
        <v>2</v>
      </c>
      <c r="B858" s="46">
        <v>28</v>
      </c>
      <c r="C858" s="46">
        <v>1976</v>
      </c>
      <c r="D858" s="46" t="s">
        <v>658</v>
      </c>
      <c r="E858" s="46" t="s">
        <v>552</v>
      </c>
      <c r="F858" s="54" t="s">
        <v>1327</v>
      </c>
      <c r="G858" s="46"/>
      <c r="H858" s="54" t="s">
        <v>40</v>
      </c>
      <c r="I858" s="54"/>
      <c r="J858" s="55">
        <v>27818</v>
      </c>
      <c r="K858" s="46" t="s">
        <v>823</v>
      </c>
      <c r="L858" s="46" t="s">
        <v>3</v>
      </c>
      <c r="M858" s="46" t="s">
        <v>805</v>
      </c>
      <c r="N858" s="49">
        <v>2</v>
      </c>
      <c r="O858" s="49">
        <v>1</v>
      </c>
      <c r="P858" s="54" t="s">
        <v>1268</v>
      </c>
      <c r="Q858" s="54" t="s">
        <v>1017</v>
      </c>
      <c r="R858" s="54" t="s">
        <v>376</v>
      </c>
      <c r="S858" s="46"/>
      <c r="T858" s="46"/>
      <c r="U858" s="46"/>
      <c r="V858" s="46"/>
      <c r="W858" s="46"/>
      <c r="X858" s="46"/>
      <c r="Y858" s="46"/>
      <c r="Z858" s="46"/>
      <c r="AA858" s="46"/>
      <c r="AB858" s="46"/>
      <c r="AC858" s="46"/>
      <c r="AD858" s="46"/>
      <c r="AE858" s="50">
        <f>IF(L858="W",1,0)</f>
        <v>1</v>
      </c>
      <c r="AF858" s="50">
        <f>IF(L858="T",1,0)</f>
        <v>0</v>
      </c>
      <c r="AG858" s="50">
        <f>IF(L858="L",1,0)</f>
        <v>0</v>
      </c>
      <c r="AH858" s="46" t="s">
        <v>1101</v>
      </c>
      <c r="AI858" s="46" t="s">
        <v>1159</v>
      </c>
      <c r="AJ858" s="46" t="s">
        <v>376</v>
      </c>
      <c r="AK858" s="46" t="s">
        <v>658</v>
      </c>
      <c r="AL858" s="46" t="s">
        <v>1227</v>
      </c>
      <c r="AM858" s="46" t="s">
        <v>1164</v>
      </c>
      <c r="AN858" s="46" t="s">
        <v>376</v>
      </c>
      <c r="AO858" s="46" t="s">
        <v>658</v>
      </c>
      <c r="AP858" s="46"/>
      <c r="AQ858" s="46">
        <v>1</v>
      </c>
      <c r="AR858" s="46"/>
      <c r="AS858" s="46"/>
      <c r="AT858" s="46"/>
      <c r="AU858" s="46" t="s">
        <v>376</v>
      </c>
      <c r="AV858" s="46"/>
      <c r="AW858" s="46" t="s">
        <v>30</v>
      </c>
      <c r="AX858" s="46"/>
      <c r="AY858" s="46"/>
      <c r="AZ858" s="46" t="s">
        <v>30</v>
      </c>
      <c r="BA858" s="54"/>
      <c r="BB858" s="51" t="s">
        <v>30</v>
      </c>
      <c r="BC858" s="46" t="s">
        <v>30</v>
      </c>
      <c r="BD858" s="46"/>
      <c r="BE858" s="46"/>
      <c r="BF858" s="46">
        <v>1</v>
      </c>
      <c r="BG858" s="46">
        <v>1</v>
      </c>
      <c r="BH858" s="46">
        <v>1</v>
      </c>
      <c r="BI858" s="46" t="s">
        <v>823</v>
      </c>
      <c r="BJ858" s="46" t="s">
        <v>805</v>
      </c>
      <c r="BK858" s="46">
        <v>1976</v>
      </c>
      <c r="BL858" s="46" t="str">
        <f>BK858&amp;BI858</f>
        <v>1976Manchester City</v>
      </c>
      <c r="BM858" s="52" t="str">
        <f>IF(AD858="Home",BI858,IF(AD858="Away",BJ858,Q858))</f>
        <v>London</v>
      </c>
      <c r="BN858" s="46"/>
      <c r="BO858" s="46"/>
      <c r="BP858" s="46"/>
      <c r="BQ858" s="46"/>
      <c r="BR858" s="46"/>
      <c r="BS858" s="46"/>
      <c r="BT858" s="46"/>
      <c r="BU858" s="46"/>
      <c r="BV858" s="46" t="s">
        <v>376</v>
      </c>
      <c r="BW858" s="46" t="s">
        <v>376</v>
      </c>
      <c r="BX858" s="46"/>
      <c r="BZ858" s="53"/>
      <c r="CA858" s="53"/>
      <c r="CB858" s="93" t="str">
        <f>IF(OR(C858="",A858="",B858=""),"",TEXT(C858,"0000")&amp;TEXT(A858,"00")&amp;TEXT(B858,"00"))</f>
        <v>19760228</v>
      </c>
    </row>
    <row r="859" spans="1:80" s="52" customFormat="1" ht="12.95" customHeight="1" x14ac:dyDescent="0.2">
      <c r="A859" s="46">
        <v>2</v>
      </c>
      <c r="B859" s="46">
        <v>28</v>
      </c>
      <c r="C859" s="46">
        <v>1976</v>
      </c>
      <c r="D859" s="46" t="s">
        <v>658</v>
      </c>
      <c r="E859" s="46" t="s">
        <v>552</v>
      </c>
      <c r="F859" s="54" t="s">
        <v>1327</v>
      </c>
      <c r="G859" s="46"/>
      <c r="H859" s="54" t="s">
        <v>40</v>
      </c>
      <c r="I859" s="54"/>
      <c r="J859" s="55">
        <v>27818</v>
      </c>
      <c r="K859" s="46" t="s">
        <v>805</v>
      </c>
      <c r="L859" s="46" t="s">
        <v>4</v>
      </c>
      <c r="M859" s="46" t="s">
        <v>823</v>
      </c>
      <c r="N859" s="49">
        <v>1</v>
      </c>
      <c r="O859" s="49">
        <v>2</v>
      </c>
      <c r="P859" s="54" t="s">
        <v>1268</v>
      </c>
      <c r="Q859" s="54" t="s">
        <v>1017</v>
      </c>
      <c r="R859" s="54" t="s">
        <v>376</v>
      </c>
      <c r="S859" s="46"/>
      <c r="T859" s="46"/>
      <c r="U859" s="46"/>
      <c r="V859" s="46"/>
      <c r="W859" s="46"/>
      <c r="X859" s="46"/>
      <c r="Y859" s="46"/>
      <c r="Z859" s="46"/>
      <c r="AA859" s="46"/>
      <c r="AB859" s="46"/>
      <c r="AC859" s="46"/>
      <c r="AD859" s="46"/>
      <c r="AE859" s="50">
        <f>IF(L859="W",1,0)</f>
        <v>0</v>
      </c>
      <c r="AF859" s="50">
        <f>IF(L859="T",1,0)</f>
        <v>0</v>
      </c>
      <c r="AG859" s="50">
        <f>IF(L859="L",1,0)</f>
        <v>1</v>
      </c>
      <c r="AH859" s="46" t="s">
        <v>1227</v>
      </c>
      <c r="AI859" s="46" t="s">
        <v>1164</v>
      </c>
      <c r="AJ859" s="46" t="s">
        <v>376</v>
      </c>
      <c r="AK859" s="46" t="s">
        <v>658</v>
      </c>
      <c r="AL859" s="46" t="s">
        <v>1101</v>
      </c>
      <c r="AM859" s="46" t="s">
        <v>1159</v>
      </c>
      <c r="AN859" s="46" t="s">
        <v>376</v>
      </c>
      <c r="AO859" s="46" t="s">
        <v>658</v>
      </c>
      <c r="AP859" s="46"/>
      <c r="AQ859" s="46">
        <v>1</v>
      </c>
      <c r="AR859" s="46"/>
      <c r="AS859" s="46"/>
      <c r="AT859" s="46"/>
      <c r="AU859" s="46" t="s">
        <v>376</v>
      </c>
      <c r="AV859" s="46"/>
      <c r="AW859" s="46" t="s">
        <v>30</v>
      </c>
      <c r="AX859" s="46"/>
      <c r="AY859" s="46"/>
      <c r="AZ859" s="46" t="s">
        <v>30</v>
      </c>
      <c r="BA859" s="54"/>
      <c r="BB859" s="51"/>
      <c r="BC859" s="46" t="s">
        <v>30</v>
      </c>
      <c r="BD859" s="46"/>
      <c r="BE859" s="46"/>
      <c r="BF859" s="46">
        <v>1</v>
      </c>
      <c r="BG859" s="46">
        <v>1</v>
      </c>
      <c r="BH859" s="46">
        <v>1</v>
      </c>
      <c r="BI859" s="46" t="s">
        <v>805</v>
      </c>
      <c r="BJ859" s="46" t="s">
        <v>823</v>
      </c>
      <c r="BK859" s="46">
        <v>1976</v>
      </c>
      <c r="BL859" s="46" t="str">
        <f>BK859&amp;BI859</f>
        <v>1976Newcastle United</v>
      </c>
      <c r="BM859" s="52" t="str">
        <f>IF(AD859="Home",BI859,IF(AD859="Away",BJ859,Q859))</f>
        <v>London</v>
      </c>
      <c r="BN859" s="46"/>
      <c r="BO859" s="46"/>
      <c r="BP859" s="46"/>
      <c r="BQ859" s="46"/>
      <c r="BR859" s="46"/>
      <c r="BS859" s="46"/>
      <c r="BT859" s="46"/>
      <c r="BU859" s="46"/>
      <c r="BV859" s="46" t="s">
        <v>376</v>
      </c>
      <c r="BW859" s="46" t="s">
        <v>376</v>
      </c>
      <c r="BX859" s="46"/>
      <c r="BZ859" s="53"/>
      <c r="CA859" s="53"/>
      <c r="CB859" s="93" t="str">
        <f>IF(OR(C859="",A859="",B859=""),"",TEXT(C859,"0000")&amp;TEXT(A859,"00")&amp;TEXT(B859,"00"))</f>
        <v>19760228</v>
      </c>
    </row>
    <row r="860" spans="1:80" s="52" customFormat="1" ht="12.95" customHeight="1" x14ac:dyDescent="0.2">
      <c r="A860" s="46">
        <v>4</v>
      </c>
      <c r="B860" s="46">
        <v>3</v>
      </c>
      <c r="C860" s="46">
        <v>1976</v>
      </c>
      <c r="D860" s="46" t="s">
        <v>658</v>
      </c>
      <c r="E860" s="46" t="s">
        <v>552</v>
      </c>
      <c r="F860" s="47" t="s">
        <v>1010</v>
      </c>
      <c r="G860" s="46"/>
      <c r="H860" s="47" t="s">
        <v>1011</v>
      </c>
      <c r="I860" s="47"/>
      <c r="J860" s="48">
        <v>27853</v>
      </c>
      <c r="K860" s="46" t="s">
        <v>821</v>
      </c>
      <c r="L860" s="46" t="s">
        <v>3</v>
      </c>
      <c r="M860" s="46" t="s">
        <v>1191</v>
      </c>
      <c r="N860" s="49">
        <v>2</v>
      </c>
      <c r="O860" s="49">
        <v>0</v>
      </c>
      <c r="P860" s="47" t="s">
        <v>1252</v>
      </c>
      <c r="Q860" s="47" t="s">
        <v>1097</v>
      </c>
      <c r="R860" s="47" t="s">
        <v>376</v>
      </c>
      <c r="S860" s="46"/>
      <c r="T860" s="46"/>
      <c r="U860" s="46"/>
      <c r="V860" s="46"/>
      <c r="W860" s="46"/>
      <c r="X860" s="46"/>
      <c r="Y860" s="46"/>
      <c r="Z860" s="46"/>
      <c r="AA860" s="46"/>
      <c r="AB860" s="46"/>
      <c r="AC860" s="46"/>
      <c r="AD860" s="46"/>
      <c r="AE860" s="50">
        <f>IF(L860="W",1,0)</f>
        <v>1</v>
      </c>
      <c r="AF860" s="50">
        <f>IF(L860="T",1,0)</f>
        <v>0</v>
      </c>
      <c r="AG860" s="50">
        <f>IF(L860="L",1,0)</f>
        <v>0</v>
      </c>
      <c r="AH860" s="46" t="s">
        <v>1101</v>
      </c>
      <c r="AI860" s="46" t="s">
        <v>1159</v>
      </c>
      <c r="AJ860" s="46" t="s">
        <v>376</v>
      </c>
      <c r="AK860" s="46" t="s">
        <v>658</v>
      </c>
      <c r="AL860" s="46" t="s">
        <v>979</v>
      </c>
      <c r="AM860" s="46" t="s">
        <v>1146</v>
      </c>
      <c r="AN860" s="46" t="s">
        <v>376</v>
      </c>
      <c r="AO860" s="46" t="s">
        <v>658</v>
      </c>
      <c r="AP860" s="46"/>
      <c r="AQ860" s="46">
        <v>2</v>
      </c>
      <c r="AR860" s="46"/>
      <c r="AS860" s="46"/>
      <c r="AT860" s="46"/>
      <c r="AU860" s="46" t="s">
        <v>376</v>
      </c>
      <c r="AV860" s="46"/>
      <c r="AW860" s="46" t="s">
        <v>30</v>
      </c>
      <c r="AX860" s="46"/>
      <c r="AY860" s="46" t="s">
        <v>30</v>
      </c>
      <c r="AZ860" s="46"/>
      <c r="BA860" s="47"/>
      <c r="BB860" s="51"/>
      <c r="BC860" s="46"/>
      <c r="BD860" s="46"/>
      <c r="BE860" s="46"/>
      <c r="BF860" s="46">
        <v>1</v>
      </c>
      <c r="BG860" s="46">
        <v>1</v>
      </c>
      <c r="BH860" s="46">
        <v>1</v>
      </c>
      <c r="BI860" s="46" t="s">
        <v>821</v>
      </c>
      <c r="BJ860" s="46" t="s">
        <v>1191</v>
      </c>
      <c r="BK860" s="46">
        <v>1976</v>
      </c>
      <c r="BL860" s="46" t="str">
        <f>BK860&amp;BI860</f>
        <v>1976Manchester United</v>
      </c>
      <c r="BM860" s="52" t="str">
        <f>IF(AD860="Home",BI860,IF(AD860="Away",BJ860,Q860))</f>
        <v>Sheffield</v>
      </c>
      <c r="BN860" s="46"/>
      <c r="BO860" s="46"/>
      <c r="BP860" s="46"/>
      <c r="BQ860" s="46"/>
      <c r="BR860" s="46"/>
      <c r="BS860" s="46"/>
      <c r="BT860" s="46"/>
      <c r="BU860" s="46"/>
      <c r="BV860" s="46" t="s">
        <v>376</v>
      </c>
      <c r="BW860" s="46" t="s">
        <v>376</v>
      </c>
      <c r="BX860" s="46"/>
      <c r="BY860" s="50"/>
      <c r="BZ860" s="53"/>
      <c r="CA860" s="53"/>
      <c r="CB860" s="93" t="str">
        <f>IF(OR(C860="",A860="",B860=""),"",TEXT(C860,"0000")&amp;TEXT(A860,"00")&amp;TEXT(B860,"00"))</f>
        <v>19760403</v>
      </c>
    </row>
    <row r="861" spans="1:80" s="52" customFormat="1" ht="12.95" customHeight="1" x14ac:dyDescent="0.2">
      <c r="A861" s="46">
        <v>4</v>
      </c>
      <c r="B861" s="46">
        <v>3</v>
      </c>
      <c r="C861" s="46">
        <v>1976</v>
      </c>
      <c r="D861" s="46" t="s">
        <v>658</v>
      </c>
      <c r="E861" s="46" t="s">
        <v>552</v>
      </c>
      <c r="F861" s="47" t="s">
        <v>1010</v>
      </c>
      <c r="G861" s="46"/>
      <c r="H861" s="47" t="s">
        <v>1011</v>
      </c>
      <c r="I861" s="47"/>
      <c r="J861" s="48">
        <v>27853</v>
      </c>
      <c r="K861" s="46" t="s">
        <v>1191</v>
      </c>
      <c r="L861" s="46" t="s">
        <v>4</v>
      </c>
      <c r="M861" s="46" t="s">
        <v>821</v>
      </c>
      <c r="N861" s="49">
        <v>0</v>
      </c>
      <c r="O861" s="49">
        <v>2</v>
      </c>
      <c r="P861" s="47" t="s">
        <v>1252</v>
      </c>
      <c r="Q861" s="47" t="s">
        <v>1097</v>
      </c>
      <c r="R861" s="47" t="s">
        <v>376</v>
      </c>
      <c r="S861" s="46"/>
      <c r="T861" s="46"/>
      <c r="U861" s="46"/>
      <c r="V861" s="46"/>
      <c r="W861" s="46"/>
      <c r="X861" s="46"/>
      <c r="Y861" s="46"/>
      <c r="Z861" s="46"/>
      <c r="AA861" s="46"/>
      <c r="AB861" s="46"/>
      <c r="AC861" s="46"/>
      <c r="AD861" s="46"/>
      <c r="AE861" s="50">
        <f>IF(L861="W",1,0)</f>
        <v>0</v>
      </c>
      <c r="AF861" s="50">
        <f>IF(L861="T",1,0)</f>
        <v>0</v>
      </c>
      <c r="AG861" s="50">
        <f>IF(L861="L",1,0)</f>
        <v>1</v>
      </c>
      <c r="AH861" s="46" t="s">
        <v>979</v>
      </c>
      <c r="AI861" s="46" t="s">
        <v>1146</v>
      </c>
      <c r="AJ861" s="46" t="s">
        <v>376</v>
      </c>
      <c r="AK861" s="46" t="s">
        <v>658</v>
      </c>
      <c r="AL861" s="46" t="s">
        <v>1101</v>
      </c>
      <c r="AM861" s="46" t="s">
        <v>1159</v>
      </c>
      <c r="AN861" s="46" t="s">
        <v>376</v>
      </c>
      <c r="AO861" s="46" t="s">
        <v>658</v>
      </c>
      <c r="AP861" s="46"/>
      <c r="AQ861" s="46">
        <v>2</v>
      </c>
      <c r="AR861" s="46"/>
      <c r="AS861" s="46"/>
      <c r="AT861" s="46"/>
      <c r="AU861" s="46" t="s">
        <v>376</v>
      </c>
      <c r="AV861" s="46"/>
      <c r="AW861" s="46" t="s">
        <v>30</v>
      </c>
      <c r="AX861" s="46"/>
      <c r="AY861" s="46" t="s">
        <v>30</v>
      </c>
      <c r="AZ861" s="46"/>
      <c r="BA861" s="47"/>
      <c r="BB861" s="51"/>
      <c r="BC861" s="46"/>
      <c r="BD861" s="46"/>
      <c r="BE861" s="46"/>
      <c r="BF861" s="46">
        <v>1</v>
      </c>
      <c r="BG861" s="46">
        <v>1</v>
      </c>
      <c r="BH861" s="46">
        <v>1</v>
      </c>
      <c r="BI861" s="46" t="s">
        <v>1191</v>
      </c>
      <c r="BJ861" s="46" t="s">
        <v>821</v>
      </c>
      <c r="BK861" s="46">
        <v>1976</v>
      </c>
      <c r="BL861" s="46" t="str">
        <f>BK861&amp;BI861</f>
        <v>1976Derby County</v>
      </c>
      <c r="BM861" s="52" t="str">
        <f>IF(AD861="Home",BI861,IF(AD861="Away",BJ861,Q861))</f>
        <v>Sheffield</v>
      </c>
      <c r="BN861" s="46"/>
      <c r="BO861" s="46"/>
      <c r="BP861" s="46"/>
      <c r="BQ861" s="46"/>
      <c r="BR861" s="46"/>
      <c r="BS861" s="46"/>
      <c r="BT861" s="46"/>
      <c r="BU861" s="46"/>
      <c r="BV861" s="46" t="s">
        <v>376</v>
      </c>
      <c r="BW861" s="46" t="s">
        <v>376</v>
      </c>
      <c r="BX861" s="46"/>
      <c r="BY861" s="50"/>
      <c r="BZ861" s="53"/>
      <c r="CA861" s="53"/>
      <c r="CB861" s="93" t="str">
        <f>IF(OR(C861="",A861="",B861=""),"",TEXT(C861,"0000")&amp;TEXT(A861,"00")&amp;TEXT(B861,"00"))</f>
        <v>19760403</v>
      </c>
    </row>
    <row r="862" spans="1:80" s="52" customFormat="1" ht="12.95" customHeight="1" x14ac:dyDescent="0.2">
      <c r="A862" s="46">
        <v>4</v>
      </c>
      <c r="B862" s="46">
        <v>3</v>
      </c>
      <c r="C862" s="46">
        <v>1976</v>
      </c>
      <c r="D862" s="46" t="s">
        <v>658</v>
      </c>
      <c r="E862" s="46" t="s">
        <v>552</v>
      </c>
      <c r="F862" s="47" t="s">
        <v>1010</v>
      </c>
      <c r="G862" s="46"/>
      <c r="H862" s="47" t="s">
        <v>1011</v>
      </c>
      <c r="I862" s="47"/>
      <c r="J862" s="48">
        <v>27853</v>
      </c>
      <c r="K862" s="46" t="s">
        <v>629</v>
      </c>
      <c r="L862" s="46" t="s">
        <v>3</v>
      </c>
      <c r="M862" s="46" t="s">
        <v>798</v>
      </c>
      <c r="N862" s="49">
        <v>2</v>
      </c>
      <c r="O862" s="49">
        <v>0</v>
      </c>
      <c r="P862" s="47" t="s">
        <v>1234</v>
      </c>
      <c r="Q862" s="47" t="s">
        <v>1017</v>
      </c>
      <c r="R862" s="47" t="s">
        <v>376</v>
      </c>
      <c r="S862" s="46"/>
      <c r="T862" s="46"/>
      <c r="U862" s="46"/>
      <c r="V862" s="46"/>
      <c r="W862" s="46"/>
      <c r="X862" s="46"/>
      <c r="Y862" s="46"/>
      <c r="Z862" s="46"/>
      <c r="AA862" s="46"/>
      <c r="AB862" s="46"/>
      <c r="AC862" s="46"/>
      <c r="AD862" s="46"/>
      <c r="AE862" s="50">
        <f>IF(L862="W",1,0)</f>
        <v>1</v>
      </c>
      <c r="AF862" s="50">
        <f>IF(L862="T",1,0)</f>
        <v>0</v>
      </c>
      <c r="AG862" s="50">
        <f>IF(L862="L",1,0)</f>
        <v>0</v>
      </c>
      <c r="AH862" s="46" t="s">
        <v>629</v>
      </c>
      <c r="AI862" s="46" t="s">
        <v>1199</v>
      </c>
      <c r="AJ862" s="46" t="s">
        <v>376</v>
      </c>
      <c r="AK862" s="46" t="s">
        <v>658</v>
      </c>
      <c r="AL862" s="46" t="s">
        <v>1017</v>
      </c>
      <c r="AM862" s="46" t="s">
        <v>1018</v>
      </c>
      <c r="AN862" s="46" t="s">
        <v>376</v>
      </c>
      <c r="AO862" s="46" t="s">
        <v>658</v>
      </c>
      <c r="AP862" s="46"/>
      <c r="AQ862" s="46">
        <v>2</v>
      </c>
      <c r="AR862" s="46"/>
      <c r="AS862" s="46"/>
      <c r="AT862" s="46"/>
      <c r="AU862" s="46" t="s">
        <v>376</v>
      </c>
      <c r="AV862" s="46"/>
      <c r="AW862" s="46" t="s">
        <v>30</v>
      </c>
      <c r="AX862" s="46"/>
      <c r="AY862" s="46" t="s">
        <v>30</v>
      </c>
      <c r="AZ862" s="46"/>
      <c r="BA862" s="47"/>
      <c r="BB862" s="51"/>
      <c r="BC862" s="46"/>
      <c r="BD862" s="46"/>
      <c r="BE862" s="46"/>
      <c r="BF862" s="46">
        <v>1</v>
      </c>
      <c r="BG862" s="46">
        <v>2</v>
      </c>
      <c r="BH862" s="46">
        <v>3</v>
      </c>
      <c r="BI862" s="46" t="s">
        <v>629</v>
      </c>
      <c r="BJ862" s="46" t="s">
        <v>798</v>
      </c>
      <c r="BK862" s="46">
        <v>1976</v>
      </c>
      <c r="BL862" s="46" t="str">
        <f>BK862&amp;BI862</f>
        <v>1976Southampton</v>
      </c>
      <c r="BM862" s="52" t="str">
        <f>IF(AD862="Home",BI862,IF(AD862="Away",BJ862,Q862))</f>
        <v>London</v>
      </c>
      <c r="BN862" s="46"/>
      <c r="BO862" s="46"/>
      <c r="BP862" s="46"/>
      <c r="BQ862" s="46"/>
      <c r="BR862" s="46"/>
      <c r="BS862" s="46"/>
      <c r="BT862" s="46"/>
      <c r="BU862" s="46"/>
      <c r="BV862" s="46" t="s">
        <v>376</v>
      </c>
      <c r="BW862" s="46" t="s">
        <v>376</v>
      </c>
      <c r="BX862" s="46"/>
      <c r="BZ862" s="53"/>
      <c r="CA862" s="53"/>
      <c r="CB862" s="93" t="str">
        <f>IF(OR(C862="",A862="",B862=""),"",TEXT(C862,"0000")&amp;TEXT(A862,"00")&amp;TEXT(B862,"00"))</f>
        <v>19760403</v>
      </c>
    </row>
    <row r="863" spans="1:80" s="52" customFormat="1" ht="12.95" customHeight="1" x14ac:dyDescent="0.2">
      <c r="A863" s="46">
        <v>4</v>
      </c>
      <c r="B863" s="46">
        <v>3</v>
      </c>
      <c r="C863" s="46">
        <v>1976</v>
      </c>
      <c r="D863" s="46" t="s">
        <v>658</v>
      </c>
      <c r="E863" s="46" t="s">
        <v>552</v>
      </c>
      <c r="F863" s="47" t="s">
        <v>1010</v>
      </c>
      <c r="G863" s="46"/>
      <c r="H863" s="47" t="s">
        <v>1011</v>
      </c>
      <c r="I863" s="47"/>
      <c r="J863" s="48">
        <v>27853</v>
      </c>
      <c r="K863" s="46" t="s">
        <v>798</v>
      </c>
      <c r="L863" s="46" t="s">
        <v>4</v>
      </c>
      <c r="M863" s="46" t="s">
        <v>629</v>
      </c>
      <c r="N863" s="49">
        <v>0</v>
      </c>
      <c r="O863" s="49">
        <v>2</v>
      </c>
      <c r="P863" s="47" t="s">
        <v>1234</v>
      </c>
      <c r="Q863" s="47" t="s">
        <v>1017</v>
      </c>
      <c r="R863" s="47" t="s">
        <v>376</v>
      </c>
      <c r="S863" s="46"/>
      <c r="T863" s="46"/>
      <c r="U863" s="46"/>
      <c r="V863" s="46"/>
      <c r="W863" s="46"/>
      <c r="X863" s="46"/>
      <c r="Y863" s="46"/>
      <c r="Z863" s="46"/>
      <c r="AA863" s="46"/>
      <c r="AB863" s="46"/>
      <c r="AC863" s="46"/>
      <c r="AD863" s="46"/>
      <c r="AE863" s="50">
        <f>IF(L863="W",1,0)</f>
        <v>0</v>
      </c>
      <c r="AF863" s="50">
        <f>IF(L863="T",1,0)</f>
        <v>0</v>
      </c>
      <c r="AG863" s="50">
        <f>IF(L863="L",1,0)</f>
        <v>1</v>
      </c>
      <c r="AH863" s="46" t="s">
        <v>1017</v>
      </c>
      <c r="AI863" s="46" t="s">
        <v>1018</v>
      </c>
      <c r="AJ863" s="46" t="s">
        <v>376</v>
      </c>
      <c r="AK863" s="46" t="s">
        <v>658</v>
      </c>
      <c r="AL863" s="46" t="s">
        <v>629</v>
      </c>
      <c r="AM863" s="46" t="s">
        <v>1199</v>
      </c>
      <c r="AN863" s="46" t="s">
        <v>376</v>
      </c>
      <c r="AO863" s="46" t="s">
        <v>658</v>
      </c>
      <c r="AP863" s="46"/>
      <c r="AQ863" s="46">
        <v>2</v>
      </c>
      <c r="AR863" s="46"/>
      <c r="AS863" s="46"/>
      <c r="AT863" s="46"/>
      <c r="AU863" s="46" t="s">
        <v>376</v>
      </c>
      <c r="AV863" s="46"/>
      <c r="AW863" s="46" t="s">
        <v>30</v>
      </c>
      <c r="AX863" s="46"/>
      <c r="AY863" s="46" t="s">
        <v>30</v>
      </c>
      <c r="AZ863" s="46"/>
      <c r="BA863" s="47"/>
      <c r="BB863" s="51"/>
      <c r="BC863" s="46"/>
      <c r="BD863" s="46"/>
      <c r="BE863" s="46"/>
      <c r="BF863" s="46">
        <v>1</v>
      </c>
      <c r="BG863" s="46">
        <v>3</v>
      </c>
      <c r="BH863" s="46">
        <v>2</v>
      </c>
      <c r="BI863" s="46" t="s">
        <v>798</v>
      </c>
      <c r="BJ863" s="46" t="s">
        <v>629</v>
      </c>
      <c r="BK863" s="46">
        <v>1976</v>
      </c>
      <c r="BL863" s="46" t="str">
        <f>BK863&amp;BI863</f>
        <v>1976Crystal Palace</v>
      </c>
      <c r="BM863" s="52" t="str">
        <f>IF(AD863="Home",BI863,IF(AD863="Away",BJ863,Q863))</f>
        <v>London</v>
      </c>
      <c r="BN863" s="46"/>
      <c r="BO863" s="46"/>
      <c r="BP863" s="46"/>
      <c r="BQ863" s="46"/>
      <c r="BR863" s="46"/>
      <c r="BS863" s="46"/>
      <c r="BT863" s="46"/>
      <c r="BU863" s="46"/>
      <c r="BV863" s="46" t="s">
        <v>376</v>
      </c>
      <c r="BW863" s="46" t="s">
        <v>376</v>
      </c>
      <c r="BX863" s="46"/>
      <c r="BZ863" s="53"/>
      <c r="CA863" s="53"/>
      <c r="CB863" s="93" t="str">
        <f>IF(OR(C863="",A863="",B863=""),"",TEXT(C863,"0000")&amp;TEXT(A863,"00")&amp;TEXT(B863,"00"))</f>
        <v>19760403</v>
      </c>
    </row>
    <row r="864" spans="1:80" s="52" customFormat="1" ht="12.95" customHeight="1" x14ac:dyDescent="0.2">
      <c r="A864" s="46">
        <v>5</v>
      </c>
      <c r="B864" s="46">
        <v>1</v>
      </c>
      <c r="C864" s="46">
        <v>1976</v>
      </c>
      <c r="D864" s="46" t="s">
        <v>658</v>
      </c>
      <c r="E864" s="46" t="s">
        <v>552</v>
      </c>
      <c r="F864" s="47" t="s">
        <v>1010</v>
      </c>
      <c r="G864" s="46"/>
      <c r="H864" s="47" t="s">
        <v>1025</v>
      </c>
      <c r="I864" s="47"/>
      <c r="J864" s="48">
        <v>27881</v>
      </c>
      <c r="K864" s="46" t="s">
        <v>629</v>
      </c>
      <c r="L864" s="46" t="s">
        <v>3</v>
      </c>
      <c r="M864" s="46" t="s">
        <v>821</v>
      </c>
      <c r="N864" s="49">
        <v>1</v>
      </c>
      <c r="O864" s="49">
        <v>0</v>
      </c>
      <c r="P864" s="47" t="s">
        <v>1268</v>
      </c>
      <c r="Q864" s="47" t="s">
        <v>1017</v>
      </c>
      <c r="R864" s="47" t="s">
        <v>376</v>
      </c>
      <c r="S864" s="46"/>
      <c r="T864" s="46"/>
      <c r="U864" s="46"/>
      <c r="V864" s="46"/>
      <c r="W864" s="46"/>
      <c r="X864" s="46"/>
      <c r="Y864" s="46"/>
      <c r="Z864" s="46"/>
      <c r="AA864" s="46"/>
      <c r="AB864" s="46"/>
      <c r="AC864" s="46"/>
      <c r="AD864" s="46"/>
      <c r="AE864" s="50">
        <f>IF(L864="W",1,0)</f>
        <v>1</v>
      </c>
      <c r="AF864" s="50">
        <f>IF(L864="T",1,0)</f>
        <v>0</v>
      </c>
      <c r="AG864" s="50">
        <f>IF(L864="L",1,0)</f>
        <v>0</v>
      </c>
      <c r="AH864" s="46" t="s">
        <v>629</v>
      </c>
      <c r="AI864" s="46" t="s">
        <v>1199</v>
      </c>
      <c r="AJ864" s="46" t="s">
        <v>376</v>
      </c>
      <c r="AK864" s="46" t="s">
        <v>658</v>
      </c>
      <c r="AL864" s="46" t="s">
        <v>1101</v>
      </c>
      <c r="AM864" s="46" t="s">
        <v>1159</v>
      </c>
      <c r="AN864" s="46" t="s">
        <v>376</v>
      </c>
      <c r="AO864" s="46" t="s">
        <v>658</v>
      </c>
      <c r="AP864" s="46"/>
      <c r="AQ864" s="46">
        <v>1</v>
      </c>
      <c r="AR864" s="46"/>
      <c r="AS864" s="46"/>
      <c r="AT864" s="46"/>
      <c r="AU864" s="46" t="s">
        <v>376</v>
      </c>
      <c r="AV864" s="46"/>
      <c r="AW864" s="46" t="s">
        <v>30</v>
      </c>
      <c r="AX864" s="46"/>
      <c r="AY864" s="46" t="s">
        <v>30</v>
      </c>
      <c r="AZ864" s="46"/>
      <c r="BA864" s="47"/>
      <c r="BB864" s="51" t="s">
        <v>30</v>
      </c>
      <c r="BC864" s="46" t="s">
        <v>30</v>
      </c>
      <c r="BD864" s="46"/>
      <c r="BE864" s="46"/>
      <c r="BF864" s="46">
        <v>1</v>
      </c>
      <c r="BG864" s="46">
        <v>2</v>
      </c>
      <c r="BH864" s="46">
        <v>1</v>
      </c>
      <c r="BI864" s="46" t="s">
        <v>629</v>
      </c>
      <c r="BJ864" s="46" t="s">
        <v>821</v>
      </c>
      <c r="BK864" s="46">
        <v>1976</v>
      </c>
      <c r="BL864" s="46" t="str">
        <f>BK864&amp;BI864</f>
        <v>1976Southampton</v>
      </c>
      <c r="BM864" s="52" t="str">
        <f>IF(AD864="Home",BI864,IF(AD864="Away",BJ864,Q864))</f>
        <v>London</v>
      </c>
      <c r="BN864" s="46"/>
      <c r="BO864" s="46"/>
      <c r="BP864" s="46"/>
      <c r="BQ864" s="46"/>
      <c r="BR864" s="46"/>
      <c r="BS864" s="46"/>
      <c r="BT864" s="46"/>
      <c r="BU864" s="46"/>
      <c r="BV864" s="46" t="s">
        <v>376</v>
      </c>
      <c r="BW864" s="46" t="s">
        <v>376</v>
      </c>
      <c r="BX864" s="46"/>
      <c r="BZ864" s="53"/>
      <c r="CA864" s="53"/>
      <c r="CB864" s="93" t="str">
        <f>IF(OR(C864="",A864="",B864=""),"",TEXT(C864,"0000")&amp;TEXT(A864,"00")&amp;TEXT(B864,"00"))</f>
        <v>19760501</v>
      </c>
    </row>
    <row r="865" spans="1:80" s="52" customFormat="1" ht="12.95" customHeight="1" x14ac:dyDescent="0.2">
      <c r="A865" s="46">
        <v>5</v>
      </c>
      <c r="B865" s="46">
        <v>1</v>
      </c>
      <c r="C865" s="46">
        <v>1976</v>
      </c>
      <c r="D865" s="46" t="s">
        <v>658</v>
      </c>
      <c r="E865" s="46" t="s">
        <v>552</v>
      </c>
      <c r="F865" s="47" t="s">
        <v>1010</v>
      </c>
      <c r="G865" s="46"/>
      <c r="H865" s="47" t="s">
        <v>1025</v>
      </c>
      <c r="I865" s="47"/>
      <c r="J865" s="48">
        <v>27881</v>
      </c>
      <c r="K865" s="46" t="s">
        <v>821</v>
      </c>
      <c r="L865" s="46" t="s">
        <v>4</v>
      </c>
      <c r="M865" s="46" t="s">
        <v>629</v>
      </c>
      <c r="N865" s="49">
        <v>0</v>
      </c>
      <c r="O865" s="49">
        <v>1</v>
      </c>
      <c r="P865" s="47" t="s">
        <v>1268</v>
      </c>
      <c r="Q865" s="47" t="s">
        <v>1017</v>
      </c>
      <c r="R865" s="47" t="s">
        <v>376</v>
      </c>
      <c r="S865" s="46"/>
      <c r="T865" s="46"/>
      <c r="U865" s="46"/>
      <c r="V865" s="46"/>
      <c r="W865" s="46"/>
      <c r="X865" s="46"/>
      <c r="Y865" s="46"/>
      <c r="Z865" s="46"/>
      <c r="AA865" s="46"/>
      <c r="AB865" s="46"/>
      <c r="AC865" s="46"/>
      <c r="AD865" s="46"/>
      <c r="AE865" s="50">
        <f>IF(L865="W",1,0)</f>
        <v>0</v>
      </c>
      <c r="AF865" s="50">
        <f>IF(L865="T",1,0)</f>
        <v>0</v>
      </c>
      <c r="AG865" s="50">
        <f>IF(L865="L",1,0)</f>
        <v>1</v>
      </c>
      <c r="AH865" s="46" t="s">
        <v>1101</v>
      </c>
      <c r="AI865" s="46" t="s">
        <v>1159</v>
      </c>
      <c r="AJ865" s="46" t="s">
        <v>376</v>
      </c>
      <c r="AK865" s="46" t="s">
        <v>658</v>
      </c>
      <c r="AL865" s="46" t="s">
        <v>629</v>
      </c>
      <c r="AM865" s="46" t="s">
        <v>1199</v>
      </c>
      <c r="AN865" s="46" t="s">
        <v>376</v>
      </c>
      <c r="AO865" s="46" t="s">
        <v>658</v>
      </c>
      <c r="AP865" s="46"/>
      <c r="AQ865" s="46">
        <v>1</v>
      </c>
      <c r="AR865" s="46"/>
      <c r="AS865" s="46"/>
      <c r="AT865" s="46"/>
      <c r="AU865" s="46" t="s">
        <v>376</v>
      </c>
      <c r="AV865" s="46"/>
      <c r="AW865" s="46" t="s">
        <v>30</v>
      </c>
      <c r="AX865" s="46"/>
      <c r="AY865" s="46" t="s">
        <v>30</v>
      </c>
      <c r="AZ865" s="46"/>
      <c r="BA865" s="47"/>
      <c r="BB865" s="51"/>
      <c r="BC865" s="46" t="s">
        <v>30</v>
      </c>
      <c r="BD865" s="46"/>
      <c r="BE865" s="46"/>
      <c r="BF865" s="46">
        <v>1</v>
      </c>
      <c r="BG865" s="46">
        <v>1</v>
      </c>
      <c r="BH865" s="46">
        <v>2</v>
      </c>
      <c r="BI865" s="46" t="s">
        <v>821</v>
      </c>
      <c r="BJ865" s="46" t="s">
        <v>629</v>
      </c>
      <c r="BK865" s="46">
        <v>1976</v>
      </c>
      <c r="BL865" s="46" t="str">
        <f>BK865&amp;BI865</f>
        <v>1976Manchester United</v>
      </c>
      <c r="BM865" s="52" t="str">
        <f>IF(AD865="Home",BI865,IF(AD865="Away",BJ865,Q865))</f>
        <v>London</v>
      </c>
      <c r="BN865" s="46"/>
      <c r="BO865" s="46"/>
      <c r="BP865" s="46"/>
      <c r="BQ865" s="46"/>
      <c r="BR865" s="46"/>
      <c r="BS865" s="46"/>
      <c r="BT865" s="46"/>
      <c r="BU865" s="46"/>
      <c r="BV865" s="46" t="s">
        <v>376</v>
      </c>
      <c r="BW865" s="46" t="s">
        <v>376</v>
      </c>
      <c r="BX865" s="46"/>
      <c r="BZ865" s="53"/>
      <c r="CA865" s="53"/>
      <c r="CB865" s="93" t="str">
        <f>IF(OR(C865="",A865="",B865=""),"",TEXT(C865,"0000")&amp;TEXT(A865,"00")&amp;TEXT(B865,"00"))</f>
        <v>19760501</v>
      </c>
    </row>
    <row r="866" spans="1:80" s="52" customFormat="1" ht="12.95" customHeight="1" x14ac:dyDescent="0.2">
      <c r="A866" s="46">
        <v>1</v>
      </c>
      <c r="B866" s="46">
        <v>18</v>
      </c>
      <c r="C866" s="46">
        <v>1977</v>
      </c>
      <c r="D866" s="46" t="s">
        <v>658</v>
      </c>
      <c r="E866" s="46" t="s">
        <v>551</v>
      </c>
      <c r="F866" s="54" t="s">
        <v>1327</v>
      </c>
      <c r="G866" s="46"/>
      <c r="H866" s="54" t="s">
        <v>1011</v>
      </c>
      <c r="I866" s="54">
        <v>1</v>
      </c>
      <c r="J866" s="55">
        <v>28143</v>
      </c>
      <c r="K866" s="46" t="s">
        <v>804</v>
      </c>
      <c r="L866" s="46" t="s">
        <v>1014</v>
      </c>
      <c r="M866" s="46" t="s">
        <v>1157</v>
      </c>
      <c r="N866" s="49">
        <v>1</v>
      </c>
      <c r="O866" s="49">
        <v>1</v>
      </c>
      <c r="P866" s="54" t="s">
        <v>1184</v>
      </c>
      <c r="Q866" s="54" t="s">
        <v>588</v>
      </c>
      <c r="R866" s="54" t="s">
        <v>376</v>
      </c>
      <c r="S866" s="46"/>
      <c r="T866" s="46"/>
      <c r="U866" s="46"/>
      <c r="V866" s="46"/>
      <c r="W866" s="46"/>
      <c r="X866" s="46"/>
      <c r="Y866" s="46"/>
      <c r="Z866" s="46"/>
      <c r="AA866" s="46"/>
      <c r="AB866" s="46"/>
      <c r="AC866" s="46"/>
      <c r="AD866" s="46" t="s">
        <v>1033</v>
      </c>
      <c r="AE866" s="50">
        <f>IF(L866="W",1,0)</f>
        <v>0</v>
      </c>
      <c r="AF866" s="50">
        <f>IF(L866="T",1,0)</f>
        <v>1</v>
      </c>
      <c r="AG866" s="50">
        <f>IF(L866="L",1,0)</f>
        <v>0</v>
      </c>
      <c r="AH866" s="46" t="s">
        <v>588</v>
      </c>
      <c r="AI866" s="46" t="s">
        <v>1175</v>
      </c>
      <c r="AJ866" s="46" t="s">
        <v>376</v>
      </c>
      <c r="AK866" s="46" t="s">
        <v>658</v>
      </c>
      <c r="AL866" s="46" t="s">
        <v>1101</v>
      </c>
      <c r="AM866" s="46" t="s">
        <v>1159</v>
      </c>
      <c r="AN866" s="46" t="s">
        <v>376</v>
      </c>
      <c r="AO866" s="46" t="s">
        <v>658</v>
      </c>
      <c r="AP866" s="46"/>
      <c r="AQ866" s="46">
        <v>2</v>
      </c>
      <c r="AR866" s="46"/>
      <c r="AS866" s="46"/>
      <c r="AT866" s="46"/>
      <c r="AU866" s="46" t="s">
        <v>376</v>
      </c>
      <c r="AV866" s="46"/>
      <c r="AW866" s="46" t="s">
        <v>30</v>
      </c>
      <c r="AX866" s="46"/>
      <c r="AY866" s="46"/>
      <c r="AZ866" s="46" t="s">
        <v>30</v>
      </c>
      <c r="BA866" s="54"/>
      <c r="BB866" s="51"/>
      <c r="BC866" s="46"/>
      <c r="BD866" s="46"/>
      <c r="BE866" s="46"/>
      <c r="BF866" s="46">
        <v>1</v>
      </c>
      <c r="BG866" s="46">
        <v>1</v>
      </c>
      <c r="BH866" s="46">
        <v>2</v>
      </c>
      <c r="BI866" s="46" t="s">
        <v>804</v>
      </c>
      <c r="BJ866" s="46" t="s">
        <v>1157</v>
      </c>
      <c r="BK866" s="46">
        <v>1977</v>
      </c>
      <c r="BL866" s="46" t="str">
        <f>BK866&amp;BI866</f>
        <v>1977Everton</v>
      </c>
      <c r="BM866" s="52" t="str">
        <f>IF(AD866="Home",BI866,IF(AD866="Away",BJ866,Q866))</f>
        <v>Everton</v>
      </c>
      <c r="BN866" s="46"/>
      <c r="BO866" s="46"/>
      <c r="BP866" s="46"/>
      <c r="BQ866" s="46"/>
      <c r="BR866" s="46"/>
      <c r="BS866" s="46"/>
      <c r="BT866" s="46"/>
      <c r="BU866" s="46"/>
      <c r="BV866" s="46" t="s">
        <v>376</v>
      </c>
      <c r="BW866" s="46" t="s">
        <v>376</v>
      </c>
      <c r="BX866" s="46"/>
      <c r="BZ866" s="53"/>
      <c r="CA866" s="53"/>
      <c r="CB866" s="93" t="str">
        <f>IF(OR(C866="",A866="",B866=""),"",TEXT(C866,"0000")&amp;TEXT(A866,"00")&amp;TEXT(B866,"00"))</f>
        <v>19770118</v>
      </c>
    </row>
    <row r="867" spans="1:80" s="52" customFormat="1" ht="12.95" customHeight="1" x14ac:dyDescent="0.2">
      <c r="A867" s="46">
        <v>1</v>
      </c>
      <c r="B867" s="46">
        <v>18</v>
      </c>
      <c r="C867" s="46">
        <v>1977</v>
      </c>
      <c r="D867" s="46" t="s">
        <v>658</v>
      </c>
      <c r="E867" s="46" t="s">
        <v>551</v>
      </c>
      <c r="F867" s="54" t="s">
        <v>1327</v>
      </c>
      <c r="G867" s="46"/>
      <c r="H867" s="54" t="s">
        <v>1011</v>
      </c>
      <c r="I867" s="54">
        <v>1</v>
      </c>
      <c r="J867" s="55">
        <v>28143</v>
      </c>
      <c r="K867" s="46" t="s">
        <v>1157</v>
      </c>
      <c r="L867" s="46" t="s">
        <v>1014</v>
      </c>
      <c r="M867" s="46" t="s">
        <v>804</v>
      </c>
      <c r="N867" s="49">
        <v>1</v>
      </c>
      <c r="O867" s="49">
        <v>1</v>
      </c>
      <c r="P867" s="54" t="s">
        <v>1184</v>
      </c>
      <c r="Q867" s="54" t="s">
        <v>588</v>
      </c>
      <c r="R867" s="54" t="s">
        <v>376</v>
      </c>
      <c r="S867" s="46"/>
      <c r="T867" s="46"/>
      <c r="U867" s="46"/>
      <c r="V867" s="46"/>
      <c r="W867" s="46"/>
      <c r="X867" s="46"/>
      <c r="Y867" s="46"/>
      <c r="Z867" s="46"/>
      <c r="AA867" s="46"/>
      <c r="AB867" s="46"/>
      <c r="AC867" s="46"/>
      <c r="AD867" s="46" t="s">
        <v>1037</v>
      </c>
      <c r="AE867" s="50">
        <f>IF(L867="W",1,0)</f>
        <v>0</v>
      </c>
      <c r="AF867" s="50">
        <f>IF(L867="T",1,0)</f>
        <v>1</v>
      </c>
      <c r="AG867" s="50">
        <f>IF(L867="L",1,0)</f>
        <v>0</v>
      </c>
      <c r="AH867" s="46" t="s">
        <v>1101</v>
      </c>
      <c r="AI867" s="46" t="s">
        <v>1159</v>
      </c>
      <c r="AJ867" s="46" t="s">
        <v>376</v>
      </c>
      <c r="AK867" s="46" t="s">
        <v>658</v>
      </c>
      <c r="AL867" s="46" t="s">
        <v>588</v>
      </c>
      <c r="AM867" s="46" t="s">
        <v>1175</v>
      </c>
      <c r="AN867" s="46" t="s">
        <v>376</v>
      </c>
      <c r="AO867" s="46" t="s">
        <v>658</v>
      </c>
      <c r="AP867" s="46"/>
      <c r="AQ867" s="46">
        <v>2</v>
      </c>
      <c r="AR867" s="46"/>
      <c r="AS867" s="46"/>
      <c r="AT867" s="46"/>
      <c r="AU867" s="46" t="s">
        <v>376</v>
      </c>
      <c r="AV867" s="46"/>
      <c r="AW867" s="46" t="s">
        <v>30</v>
      </c>
      <c r="AX867" s="46"/>
      <c r="AY867" s="46"/>
      <c r="AZ867" s="46" t="s">
        <v>30</v>
      </c>
      <c r="BA867" s="54"/>
      <c r="BB867" s="51"/>
      <c r="BC867" s="46"/>
      <c r="BD867" s="46"/>
      <c r="BE867" s="46"/>
      <c r="BF867" s="46">
        <v>1</v>
      </c>
      <c r="BG867" s="46">
        <v>2</v>
      </c>
      <c r="BH867" s="46">
        <v>1</v>
      </c>
      <c r="BI867" s="46" t="s">
        <v>1157</v>
      </c>
      <c r="BJ867" s="46" t="s">
        <v>804</v>
      </c>
      <c r="BK867" s="46">
        <v>1977</v>
      </c>
      <c r="BL867" s="46" t="str">
        <f>BK867&amp;BI867</f>
        <v>1977Bolton Wanderers</v>
      </c>
      <c r="BM867" s="52" t="str">
        <f>IF(AD867="Home",BI867,IF(AD867="Away",BJ867,Q867))</f>
        <v>Everton</v>
      </c>
      <c r="BN867" s="46"/>
      <c r="BO867" s="46"/>
      <c r="BP867" s="46"/>
      <c r="BQ867" s="46"/>
      <c r="BR867" s="46"/>
      <c r="BS867" s="46"/>
      <c r="BT867" s="46"/>
      <c r="BU867" s="46"/>
      <c r="BV867" s="46" t="s">
        <v>376</v>
      </c>
      <c r="BW867" s="46" t="s">
        <v>376</v>
      </c>
      <c r="BX867" s="46"/>
      <c r="BZ867" s="53"/>
      <c r="CA867" s="53"/>
      <c r="CB867" s="93" t="str">
        <f>IF(OR(C867="",A867="",B867=""),"",TEXT(C867,"0000")&amp;TEXT(A867,"00")&amp;TEXT(B867,"00"))</f>
        <v>19770118</v>
      </c>
    </row>
    <row r="868" spans="1:80" s="52" customFormat="1" ht="12.95" customHeight="1" x14ac:dyDescent="0.2">
      <c r="A868" s="46">
        <v>2</v>
      </c>
      <c r="B868" s="46">
        <v>1</v>
      </c>
      <c r="C868" s="46">
        <v>1977</v>
      </c>
      <c r="D868" s="46" t="s">
        <v>658</v>
      </c>
      <c r="E868" s="46" t="s">
        <v>551</v>
      </c>
      <c r="F868" s="54" t="s">
        <v>1327</v>
      </c>
      <c r="G868" s="46"/>
      <c r="H868" s="54" t="s">
        <v>1011</v>
      </c>
      <c r="I868" s="54">
        <v>1</v>
      </c>
      <c r="J868" s="55">
        <v>28157</v>
      </c>
      <c r="K868" s="46" t="s">
        <v>1349</v>
      </c>
      <c r="L868" s="46" t="s">
        <v>1014</v>
      </c>
      <c r="M868" s="46" t="s">
        <v>806</v>
      </c>
      <c r="N868" s="49">
        <v>0</v>
      </c>
      <c r="O868" s="49">
        <v>0</v>
      </c>
      <c r="P868" s="54" t="s">
        <v>1350</v>
      </c>
      <c r="Q868" s="54" t="s">
        <v>1017</v>
      </c>
      <c r="R868" s="54" t="s">
        <v>376</v>
      </c>
      <c r="S868" s="46"/>
      <c r="T868" s="46"/>
      <c r="U868" s="46"/>
      <c r="V868" s="46"/>
      <c r="W868" s="46"/>
      <c r="X868" s="46"/>
      <c r="Y868" s="46"/>
      <c r="Z868" s="46"/>
      <c r="AA868" s="46"/>
      <c r="AB868" s="46"/>
      <c r="AC868" s="46"/>
      <c r="AD868" s="46" t="s">
        <v>1033</v>
      </c>
      <c r="AE868" s="50">
        <f>IF(L868="W",1,0)</f>
        <v>0</v>
      </c>
      <c r="AF868" s="50">
        <f>IF(L868="T",1,0)</f>
        <v>1</v>
      </c>
      <c r="AG868" s="50">
        <f>IF(L868="L",1,0)</f>
        <v>0</v>
      </c>
      <c r="AH868" s="46" t="s">
        <v>1017</v>
      </c>
      <c r="AI868" s="46" t="s">
        <v>1018</v>
      </c>
      <c r="AJ868" s="46" t="s">
        <v>376</v>
      </c>
      <c r="AK868" s="46" t="s">
        <v>658</v>
      </c>
      <c r="AL868" s="46" t="s">
        <v>1111</v>
      </c>
      <c r="AM868" s="46" t="s">
        <v>1126</v>
      </c>
      <c r="AN868" s="46" t="s">
        <v>376</v>
      </c>
      <c r="AO868" s="46" t="s">
        <v>658</v>
      </c>
      <c r="AP868" s="46"/>
      <c r="AQ868" s="46">
        <v>2</v>
      </c>
      <c r="AR868" s="46"/>
      <c r="AS868" s="46"/>
      <c r="AT868" s="46"/>
      <c r="AU868" s="46" t="s">
        <v>376</v>
      </c>
      <c r="AV868" s="46"/>
      <c r="AW868" s="46" t="s">
        <v>30</v>
      </c>
      <c r="AX868" s="46"/>
      <c r="AY868" s="46"/>
      <c r="AZ868" s="46" t="s">
        <v>30</v>
      </c>
      <c r="BA868" s="54"/>
      <c r="BB868" s="51"/>
      <c r="BC868" s="46"/>
      <c r="BD868" s="46"/>
      <c r="BE868" s="46"/>
      <c r="BF868" s="46">
        <v>1</v>
      </c>
      <c r="BG868" s="46">
        <v>1</v>
      </c>
      <c r="BH868" s="46">
        <v>1</v>
      </c>
      <c r="BI868" s="46" t="s">
        <v>1349</v>
      </c>
      <c r="BJ868" s="46" t="s">
        <v>806</v>
      </c>
      <c r="BK868" s="46">
        <v>1977</v>
      </c>
      <c r="BL868" s="46" t="str">
        <f>BK868&amp;BI868</f>
        <v>1977Queens Park Rangers</v>
      </c>
      <c r="BM868" s="52" t="str">
        <f>IF(AD868="Home",BI868,IF(AD868="Away",BJ868,Q868))</f>
        <v>Queens Park Rangers</v>
      </c>
      <c r="BN868" s="46"/>
      <c r="BO868" s="46"/>
      <c r="BP868" s="46"/>
      <c r="BQ868" s="46"/>
      <c r="BR868" s="46"/>
      <c r="BS868" s="46"/>
      <c r="BT868" s="46"/>
      <c r="BU868" s="46"/>
      <c r="BV868" s="46" t="s">
        <v>376</v>
      </c>
      <c r="BW868" s="46" t="s">
        <v>376</v>
      </c>
      <c r="BX868" s="46"/>
      <c r="BZ868" s="53"/>
      <c r="CA868" s="53"/>
      <c r="CB868" s="93" t="str">
        <f>IF(OR(C868="",A868="",B868=""),"",TEXT(C868,"0000")&amp;TEXT(A868,"00")&amp;TEXT(B868,"00"))</f>
        <v>19770201</v>
      </c>
    </row>
    <row r="869" spans="1:80" s="52" customFormat="1" ht="12.95" customHeight="1" x14ac:dyDescent="0.2">
      <c r="A869" s="46">
        <v>2</v>
      </c>
      <c r="B869" s="46">
        <v>1</v>
      </c>
      <c r="C869" s="46">
        <v>1977</v>
      </c>
      <c r="D869" s="46" t="s">
        <v>658</v>
      </c>
      <c r="E869" s="46" t="s">
        <v>551</v>
      </c>
      <c r="F869" s="54" t="s">
        <v>1327</v>
      </c>
      <c r="G869" s="46"/>
      <c r="H869" s="54" t="s">
        <v>1011</v>
      </c>
      <c r="I869" s="54">
        <v>1</v>
      </c>
      <c r="J869" s="55">
        <v>28157</v>
      </c>
      <c r="K869" s="46" t="s">
        <v>806</v>
      </c>
      <c r="L869" s="46" t="s">
        <v>1014</v>
      </c>
      <c r="M869" s="46" t="s">
        <v>1349</v>
      </c>
      <c r="N869" s="49">
        <v>0</v>
      </c>
      <c r="O869" s="49">
        <v>0</v>
      </c>
      <c r="P869" s="54" t="s">
        <v>1350</v>
      </c>
      <c r="Q869" s="54" t="s">
        <v>1017</v>
      </c>
      <c r="R869" s="54" t="s">
        <v>376</v>
      </c>
      <c r="S869" s="46"/>
      <c r="T869" s="46"/>
      <c r="U869" s="46"/>
      <c r="V869" s="46"/>
      <c r="W869" s="46"/>
      <c r="X869" s="46"/>
      <c r="Y869" s="46"/>
      <c r="Z869" s="46"/>
      <c r="AA869" s="46"/>
      <c r="AB869" s="46"/>
      <c r="AC869" s="46"/>
      <c r="AD869" s="46" t="s">
        <v>1037</v>
      </c>
      <c r="AE869" s="50">
        <f>IF(L869="W",1,0)</f>
        <v>0</v>
      </c>
      <c r="AF869" s="50">
        <f>IF(L869="T",1,0)</f>
        <v>1</v>
      </c>
      <c r="AG869" s="50">
        <f>IF(L869="L",1,0)</f>
        <v>0</v>
      </c>
      <c r="AH869" s="46" t="s">
        <v>1111</v>
      </c>
      <c r="AI869" s="46" t="s">
        <v>1126</v>
      </c>
      <c r="AJ869" s="46" t="s">
        <v>376</v>
      </c>
      <c r="AK869" s="46" t="s">
        <v>658</v>
      </c>
      <c r="AL869" s="46" t="s">
        <v>1017</v>
      </c>
      <c r="AM869" s="46" t="s">
        <v>1018</v>
      </c>
      <c r="AN869" s="46" t="s">
        <v>376</v>
      </c>
      <c r="AO869" s="46" t="s">
        <v>658</v>
      </c>
      <c r="AP869" s="46"/>
      <c r="AQ869" s="46">
        <v>2</v>
      </c>
      <c r="AR869" s="46"/>
      <c r="AS869" s="46"/>
      <c r="AT869" s="46"/>
      <c r="AU869" s="46" t="s">
        <v>376</v>
      </c>
      <c r="AV869" s="46"/>
      <c r="AW869" s="46" t="s">
        <v>30</v>
      </c>
      <c r="AX869" s="46"/>
      <c r="AY869" s="46"/>
      <c r="AZ869" s="46" t="s">
        <v>30</v>
      </c>
      <c r="BA869" s="54"/>
      <c r="BB869" s="51"/>
      <c r="BC869" s="46"/>
      <c r="BD869" s="46"/>
      <c r="BE869" s="46"/>
      <c r="BF869" s="46">
        <v>1</v>
      </c>
      <c r="BG869" s="46">
        <v>1</v>
      </c>
      <c r="BH869" s="46">
        <v>1</v>
      </c>
      <c r="BI869" s="46" t="s">
        <v>806</v>
      </c>
      <c r="BJ869" s="46" t="s">
        <v>1349</v>
      </c>
      <c r="BK869" s="46">
        <v>1977</v>
      </c>
      <c r="BL869" s="46" t="str">
        <f>BK869&amp;BI869</f>
        <v>1977Aston Villa</v>
      </c>
      <c r="BM869" s="52" t="str">
        <f>IF(AD869="Home",BI869,IF(AD869="Away",BJ869,Q869))</f>
        <v>Queens Park Rangers</v>
      </c>
      <c r="BN869" s="46"/>
      <c r="BO869" s="46"/>
      <c r="BP869" s="46"/>
      <c r="BQ869" s="46"/>
      <c r="BR869" s="46"/>
      <c r="BS869" s="46"/>
      <c r="BT869" s="46"/>
      <c r="BU869" s="46"/>
      <c r="BV869" s="46" t="s">
        <v>376</v>
      </c>
      <c r="BW869" s="46" t="s">
        <v>376</v>
      </c>
      <c r="BX869" s="46"/>
      <c r="BZ869" s="53"/>
      <c r="CA869" s="53"/>
      <c r="CB869" s="93" t="str">
        <f>IF(OR(C869="",A869="",B869=""),"",TEXT(C869,"0000")&amp;TEXT(A869,"00")&amp;TEXT(B869,"00"))</f>
        <v>19770201</v>
      </c>
    </row>
    <row r="870" spans="1:80" s="52" customFormat="1" ht="12.95" customHeight="1" x14ac:dyDescent="0.2">
      <c r="A870" s="46">
        <v>2</v>
      </c>
      <c r="B870" s="46">
        <v>15</v>
      </c>
      <c r="C870" s="46">
        <v>1977</v>
      </c>
      <c r="D870" s="46" t="s">
        <v>658</v>
      </c>
      <c r="E870" s="46" t="s">
        <v>551</v>
      </c>
      <c r="F870" s="54" t="s">
        <v>1327</v>
      </c>
      <c r="G870" s="46"/>
      <c r="H870" s="54" t="s">
        <v>1011</v>
      </c>
      <c r="I870" s="54">
        <v>2</v>
      </c>
      <c r="J870" s="55">
        <v>28171</v>
      </c>
      <c r="K870" s="46" t="s">
        <v>1157</v>
      </c>
      <c r="L870" s="46" t="s">
        <v>4</v>
      </c>
      <c r="M870" s="46" t="s">
        <v>804</v>
      </c>
      <c r="N870" s="49">
        <v>0</v>
      </c>
      <c r="O870" s="49">
        <v>1</v>
      </c>
      <c r="P870" s="54" t="s">
        <v>1209</v>
      </c>
      <c r="Q870" s="54" t="s">
        <v>1101</v>
      </c>
      <c r="R870" s="54" t="s">
        <v>376</v>
      </c>
      <c r="S870" s="46"/>
      <c r="T870" s="46"/>
      <c r="U870" s="46"/>
      <c r="V870" s="46"/>
      <c r="W870" s="46"/>
      <c r="X870" s="46"/>
      <c r="Y870" s="46"/>
      <c r="Z870" s="46"/>
      <c r="AA870" s="46"/>
      <c r="AB870" s="46"/>
      <c r="AC870" s="46"/>
      <c r="AD870" s="46" t="s">
        <v>1033</v>
      </c>
      <c r="AE870" s="50">
        <f>IF(L870="W",1,0)</f>
        <v>0</v>
      </c>
      <c r="AF870" s="50">
        <f>IF(L870="T",1,0)</f>
        <v>0</v>
      </c>
      <c r="AG870" s="50">
        <f>IF(L870="L",1,0)</f>
        <v>1</v>
      </c>
      <c r="AH870" s="46" t="s">
        <v>1101</v>
      </c>
      <c r="AI870" s="46" t="s">
        <v>1159</v>
      </c>
      <c r="AJ870" s="46" t="s">
        <v>376</v>
      </c>
      <c r="AK870" s="46" t="s">
        <v>658</v>
      </c>
      <c r="AL870" s="46" t="s">
        <v>588</v>
      </c>
      <c r="AM870" s="46" t="s">
        <v>1175</v>
      </c>
      <c r="AN870" s="46" t="s">
        <v>376</v>
      </c>
      <c r="AO870" s="46" t="s">
        <v>658</v>
      </c>
      <c r="AP870" s="46"/>
      <c r="AQ870" s="46">
        <v>2</v>
      </c>
      <c r="AR870" s="46"/>
      <c r="AS870" s="46"/>
      <c r="AT870" s="46"/>
      <c r="AU870" s="46" t="s">
        <v>376</v>
      </c>
      <c r="AV870" s="46"/>
      <c r="AW870" s="46" t="s">
        <v>30</v>
      </c>
      <c r="AX870" s="46"/>
      <c r="AY870" s="46"/>
      <c r="AZ870" s="46" t="s">
        <v>30</v>
      </c>
      <c r="BA870" s="54"/>
      <c r="BB870" s="51"/>
      <c r="BC870" s="46"/>
      <c r="BD870" s="46"/>
      <c r="BE870" s="46"/>
      <c r="BF870" s="46">
        <v>1</v>
      </c>
      <c r="BG870" s="46">
        <v>2</v>
      </c>
      <c r="BH870" s="46">
        <v>1</v>
      </c>
      <c r="BI870" s="46" t="s">
        <v>1157</v>
      </c>
      <c r="BJ870" s="46" t="s">
        <v>804</v>
      </c>
      <c r="BK870" s="46">
        <v>1977</v>
      </c>
      <c r="BL870" s="46" t="str">
        <f>BK870&amp;BI870</f>
        <v>1977Bolton Wanderers</v>
      </c>
      <c r="BM870" s="52" t="str">
        <f>IF(AD870="Home",BI870,IF(AD870="Away",BJ870,Q870))</f>
        <v>Bolton Wanderers</v>
      </c>
      <c r="BN870" s="46"/>
      <c r="BO870" s="46"/>
      <c r="BP870" s="46"/>
      <c r="BQ870" s="46"/>
      <c r="BR870" s="46"/>
      <c r="BS870" s="46"/>
      <c r="BT870" s="46"/>
      <c r="BU870" s="46"/>
      <c r="BV870" s="46" t="s">
        <v>376</v>
      </c>
      <c r="BW870" s="46" t="s">
        <v>376</v>
      </c>
      <c r="BX870" s="46"/>
      <c r="BZ870" s="53"/>
      <c r="CA870" s="53"/>
      <c r="CB870" s="93" t="str">
        <f>IF(OR(C870="",A870="",B870=""),"",TEXT(C870,"0000")&amp;TEXT(A870,"00")&amp;TEXT(B870,"00"))</f>
        <v>19770215</v>
      </c>
    </row>
    <row r="871" spans="1:80" s="52" customFormat="1" ht="12.95" customHeight="1" x14ac:dyDescent="0.2">
      <c r="A871" s="46">
        <v>2</v>
      </c>
      <c r="B871" s="46">
        <v>15</v>
      </c>
      <c r="C871" s="46">
        <v>1977</v>
      </c>
      <c r="D871" s="46" t="s">
        <v>658</v>
      </c>
      <c r="E871" s="46" t="s">
        <v>551</v>
      </c>
      <c r="F871" s="54" t="s">
        <v>1327</v>
      </c>
      <c r="G871" s="46"/>
      <c r="H871" s="54" t="s">
        <v>1011</v>
      </c>
      <c r="I871" s="54">
        <v>2</v>
      </c>
      <c r="J871" s="55">
        <v>28171</v>
      </c>
      <c r="K871" s="46" t="s">
        <v>804</v>
      </c>
      <c r="L871" s="46" t="s">
        <v>3</v>
      </c>
      <c r="M871" s="46" t="s">
        <v>1157</v>
      </c>
      <c r="N871" s="49">
        <v>1</v>
      </c>
      <c r="O871" s="49">
        <v>0</v>
      </c>
      <c r="P871" s="54" t="s">
        <v>1209</v>
      </c>
      <c r="Q871" s="54" t="s">
        <v>1101</v>
      </c>
      <c r="R871" s="54" t="s">
        <v>376</v>
      </c>
      <c r="S871" s="46"/>
      <c r="T871" s="46"/>
      <c r="U871" s="46"/>
      <c r="V871" s="46"/>
      <c r="W871" s="46"/>
      <c r="X871" s="46"/>
      <c r="Y871" s="46"/>
      <c r="Z871" s="46"/>
      <c r="AA871" s="46"/>
      <c r="AB871" s="46"/>
      <c r="AC871" s="46"/>
      <c r="AD871" s="46" t="s">
        <v>1037</v>
      </c>
      <c r="AE871" s="50">
        <f>IF(L871="W",1,0)</f>
        <v>1</v>
      </c>
      <c r="AF871" s="50">
        <f>IF(L871="T",1,0)</f>
        <v>0</v>
      </c>
      <c r="AG871" s="50">
        <f>IF(L871="L",1,0)</f>
        <v>0</v>
      </c>
      <c r="AH871" s="46" t="s">
        <v>588</v>
      </c>
      <c r="AI871" s="46" t="s">
        <v>1175</v>
      </c>
      <c r="AJ871" s="46" t="s">
        <v>376</v>
      </c>
      <c r="AK871" s="46" t="s">
        <v>658</v>
      </c>
      <c r="AL871" s="46" t="s">
        <v>1101</v>
      </c>
      <c r="AM871" s="46" t="s">
        <v>1159</v>
      </c>
      <c r="AN871" s="46" t="s">
        <v>376</v>
      </c>
      <c r="AO871" s="46" t="s">
        <v>658</v>
      </c>
      <c r="AP871" s="46"/>
      <c r="AQ871" s="46">
        <v>2</v>
      </c>
      <c r="AR871" s="46"/>
      <c r="AS871" s="46"/>
      <c r="AT871" s="46"/>
      <c r="AU871" s="46" t="s">
        <v>376</v>
      </c>
      <c r="AV871" s="46"/>
      <c r="AW871" s="46" t="s">
        <v>30</v>
      </c>
      <c r="AX871" s="46"/>
      <c r="AY871" s="46"/>
      <c r="AZ871" s="46" t="s">
        <v>30</v>
      </c>
      <c r="BA871" s="54"/>
      <c r="BB871" s="51"/>
      <c r="BC871" s="46"/>
      <c r="BD871" s="46"/>
      <c r="BE871" s="46"/>
      <c r="BF871" s="46">
        <v>1</v>
      </c>
      <c r="BG871" s="46">
        <v>1</v>
      </c>
      <c r="BH871" s="46">
        <v>2</v>
      </c>
      <c r="BI871" s="46" t="s">
        <v>804</v>
      </c>
      <c r="BJ871" s="46" t="s">
        <v>1157</v>
      </c>
      <c r="BK871" s="46">
        <v>1977</v>
      </c>
      <c r="BL871" s="46" t="str">
        <f>BK871&amp;BI871</f>
        <v>1977Everton</v>
      </c>
      <c r="BM871" s="52" t="str">
        <f>IF(AD871="Home",BI871,IF(AD871="Away",BJ871,Q871))</f>
        <v>Bolton Wanderers</v>
      </c>
      <c r="BN871" s="46"/>
      <c r="BO871" s="46"/>
      <c r="BP871" s="46"/>
      <c r="BQ871" s="46"/>
      <c r="BR871" s="46"/>
      <c r="BS871" s="46"/>
      <c r="BT871" s="46"/>
      <c r="BU871" s="46"/>
      <c r="BV871" s="46" t="s">
        <v>376</v>
      </c>
      <c r="BW871" s="46" t="s">
        <v>376</v>
      </c>
      <c r="BX871" s="46"/>
      <c r="BZ871" s="53"/>
      <c r="CA871" s="53"/>
      <c r="CB871" s="93" t="str">
        <f>IF(OR(C871="",A871="",B871=""),"",TEXT(C871,"0000")&amp;TEXT(A871,"00")&amp;TEXT(B871,"00"))</f>
        <v>19770215</v>
      </c>
    </row>
    <row r="872" spans="1:80" s="52" customFormat="1" ht="12.95" customHeight="1" x14ac:dyDescent="0.2">
      <c r="A872" s="46">
        <v>2</v>
      </c>
      <c r="B872" s="46">
        <v>16</v>
      </c>
      <c r="C872" s="46">
        <v>1977</v>
      </c>
      <c r="D872" s="46" t="s">
        <v>658</v>
      </c>
      <c r="E872" s="46" t="s">
        <v>551</v>
      </c>
      <c r="F872" s="54" t="s">
        <v>1327</v>
      </c>
      <c r="G872" s="46"/>
      <c r="H872" s="54" t="s">
        <v>1011</v>
      </c>
      <c r="I872" s="54">
        <v>2</v>
      </c>
      <c r="J872" s="55">
        <v>28172</v>
      </c>
      <c r="K872" s="46" t="s">
        <v>806</v>
      </c>
      <c r="L872" s="46" t="s">
        <v>1014</v>
      </c>
      <c r="M872" s="46" t="s">
        <v>1349</v>
      </c>
      <c r="N872" s="49">
        <v>2</v>
      </c>
      <c r="O872" s="49">
        <v>2</v>
      </c>
      <c r="P872" s="54" t="s">
        <v>1219</v>
      </c>
      <c r="Q872" s="54" t="s">
        <v>1111</v>
      </c>
      <c r="R872" s="54" t="s">
        <v>376</v>
      </c>
      <c r="S872" s="46" t="s">
        <v>1023</v>
      </c>
      <c r="T872" s="46"/>
      <c r="U872" s="46"/>
      <c r="V872" s="46"/>
      <c r="W872" s="46"/>
      <c r="X872" s="46"/>
      <c r="Y872" s="46"/>
      <c r="Z872" s="46"/>
      <c r="AA872" s="46"/>
      <c r="AB872" s="46"/>
      <c r="AC872" s="46"/>
      <c r="AD872" s="46" t="s">
        <v>1033</v>
      </c>
      <c r="AE872" s="50">
        <f>IF(L872="W",1,0)</f>
        <v>0</v>
      </c>
      <c r="AF872" s="50">
        <f>IF(L872="T",1,0)</f>
        <v>1</v>
      </c>
      <c r="AG872" s="50">
        <f>IF(L872="L",1,0)</f>
        <v>0</v>
      </c>
      <c r="AH872" s="46" t="s">
        <v>1111</v>
      </c>
      <c r="AI872" s="46" t="s">
        <v>1126</v>
      </c>
      <c r="AJ872" s="46" t="s">
        <v>376</v>
      </c>
      <c r="AK872" s="46" t="s">
        <v>658</v>
      </c>
      <c r="AL872" s="46" t="s">
        <v>1017</v>
      </c>
      <c r="AM872" s="46" t="s">
        <v>1018</v>
      </c>
      <c r="AN872" s="46" t="s">
        <v>376</v>
      </c>
      <c r="AO872" s="46" t="s">
        <v>658</v>
      </c>
      <c r="AP872" s="46"/>
      <c r="AQ872" s="46">
        <v>2</v>
      </c>
      <c r="AR872" s="46"/>
      <c r="AS872" s="46"/>
      <c r="AT872" s="46"/>
      <c r="AU872" s="46" t="s">
        <v>376</v>
      </c>
      <c r="AV872" s="46"/>
      <c r="AW872" s="46" t="s">
        <v>30</v>
      </c>
      <c r="AX872" s="46"/>
      <c r="AY872" s="46"/>
      <c r="AZ872" s="46" t="s">
        <v>30</v>
      </c>
      <c r="BA872" s="54"/>
      <c r="BB872" s="51"/>
      <c r="BC872" s="46"/>
      <c r="BD872" s="46"/>
      <c r="BE872" s="46"/>
      <c r="BF872" s="46">
        <v>1</v>
      </c>
      <c r="BG872" s="46">
        <v>1</v>
      </c>
      <c r="BH872" s="46">
        <v>1</v>
      </c>
      <c r="BI872" s="46" t="s">
        <v>806</v>
      </c>
      <c r="BJ872" s="46" t="s">
        <v>1349</v>
      </c>
      <c r="BK872" s="46">
        <v>1977</v>
      </c>
      <c r="BL872" s="46" t="str">
        <f>BK872&amp;BI872</f>
        <v>1977Aston Villa</v>
      </c>
      <c r="BM872" s="52" t="str">
        <f>IF(AD872="Home",BI872,IF(AD872="Away",BJ872,Q872))</f>
        <v>Aston Villa</v>
      </c>
      <c r="BN872" s="46"/>
      <c r="BO872" s="46"/>
      <c r="BP872" s="46"/>
      <c r="BQ872" s="46"/>
      <c r="BR872" s="46"/>
      <c r="BS872" s="46"/>
      <c r="BT872" s="46"/>
      <c r="BU872" s="46"/>
      <c r="BV872" s="46" t="s">
        <v>376</v>
      </c>
      <c r="BW872" s="46" t="s">
        <v>376</v>
      </c>
      <c r="BX872" s="46"/>
      <c r="BZ872" s="53"/>
      <c r="CA872" s="53"/>
      <c r="CB872" s="93" t="str">
        <f>IF(OR(C872="",A872="",B872=""),"",TEXT(C872,"0000")&amp;TEXT(A872,"00")&amp;TEXT(B872,"00"))</f>
        <v>19770216</v>
      </c>
    </row>
    <row r="873" spans="1:80" s="52" customFormat="1" ht="12.95" customHeight="1" x14ac:dyDescent="0.2">
      <c r="A873" s="46">
        <v>2</v>
      </c>
      <c r="B873" s="46">
        <v>16</v>
      </c>
      <c r="C873" s="46">
        <v>1977</v>
      </c>
      <c r="D873" s="46" t="s">
        <v>658</v>
      </c>
      <c r="E873" s="46" t="s">
        <v>551</v>
      </c>
      <c r="F873" s="54" t="s">
        <v>1327</v>
      </c>
      <c r="G873" s="46"/>
      <c r="H873" s="54" t="s">
        <v>1011</v>
      </c>
      <c r="I873" s="54">
        <v>2</v>
      </c>
      <c r="J873" s="55">
        <v>28172</v>
      </c>
      <c r="K873" s="46" t="s">
        <v>1349</v>
      </c>
      <c r="L873" s="46" t="s">
        <v>1014</v>
      </c>
      <c r="M873" s="46" t="s">
        <v>806</v>
      </c>
      <c r="N873" s="49">
        <v>2</v>
      </c>
      <c r="O873" s="49">
        <v>2</v>
      </c>
      <c r="P873" s="54" t="s">
        <v>1219</v>
      </c>
      <c r="Q873" s="54" t="s">
        <v>1111</v>
      </c>
      <c r="R873" s="54" t="s">
        <v>376</v>
      </c>
      <c r="S873" s="46" t="s">
        <v>1023</v>
      </c>
      <c r="T873" s="46"/>
      <c r="U873" s="46"/>
      <c r="V873" s="46"/>
      <c r="W873" s="46"/>
      <c r="X873" s="46"/>
      <c r="Y873" s="46"/>
      <c r="Z873" s="46"/>
      <c r="AA873" s="46"/>
      <c r="AB873" s="46"/>
      <c r="AC873" s="46"/>
      <c r="AD873" s="46" t="s">
        <v>1037</v>
      </c>
      <c r="AE873" s="50">
        <f>IF(L873="W",1,0)</f>
        <v>0</v>
      </c>
      <c r="AF873" s="50">
        <f>IF(L873="T",1,0)</f>
        <v>1</v>
      </c>
      <c r="AG873" s="50">
        <f>IF(L873="L",1,0)</f>
        <v>0</v>
      </c>
      <c r="AH873" s="46" t="s">
        <v>1017</v>
      </c>
      <c r="AI873" s="46" t="s">
        <v>1018</v>
      </c>
      <c r="AJ873" s="46" t="s">
        <v>376</v>
      </c>
      <c r="AK873" s="46" t="s">
        <v>658</v>
      </c>
      <c r="AL873" s="46" t="s">
        <v>1111</v>
      </c>
      <c r="AM873" s="46" t="s">
        <v>1126</v>
      </c>
      <c r="AN873" s="46" t="s">
        <v>376</v>
      </c>
      <c r="AO873" s="46" t="s">
        <v>658</v>
      </c>
      <c r="AP873" s="46"/>
      <c r="AQ873" s="46">
        <v>2</v>
      </c>
      <c r="AR873" s="46"/>
      <c r="AS873" s="46"/>
      <c r="AT873" s="46"/>
      <c r="AU873" s="46" t="s">
        <v>376</v>
      </c>
      <c r="AV873" s="46"/>
      <c r="AW873" s="46" t="s">
        <v>30</v>
      </c>
      <c r="AX873" s="46"/>
      <c r="AY873" s="46"/>
      <c r="AZ873" s="46" t="s">
        <v>30</v>
      </c>
      <c r="BA873" s="54"/>
      <c r="BB873" s="51"/>
      <c r="BC873" s="46"/>
      <c r="BD873" s="46"/>
      <c r="BE873" s="46"/>
      <c r="BF873" s="46">
        <v>1</v>
      </c>
      <c r="BG873" s="46">
        <v>1</v>
      </c>
      <c r="BH873" s="46">
        <v>1</v>
      </c>
      <c r="BI873" s="46" t="s">
        <v>1349</v>
      </c>
      <c r="BJ873" s="46" t="s">
        <v>806</v>
      </c>
      <c r="BK873" s="46">
        <v>1977</v>
      </c>
      <c r="BL873" s="46" t="str">
        <f>BK873&amp;BI873</f>
        <v>1977Queens Park Rangers</v>
      </c>
      <c r="BM873" s="52" t="str">
        <f>IF(AD873="Home",BI873,IF(AD873="Away",BJ873,Q873))</f>
        <v>Aston Villa</v>
      </c>
      <c r="BN873" s="46"/>
      <c r="BO873" s="46"/>
      <c r="BP873" s="46"/>
      <c r="BQ873" s="46"/>
      <c r="BR873" s="46"/>
      <c r="BS873" s="46"/>
      <c r="BT873" s="46"/>
      <c r="BU873" s="46"/>
      <c r="BV873" s="46" t="s">
        <v>376</v>
      </c>
      <c r="BW873" s="46" t="s">
        <v>376</v>
      </c>
      <c r="BX873" s="46"/>
      <c r="BZ873" s="53"/>
      <c r="CA873" s="53"/>
      <c r="CB873" s="93" t="str">
        <f>IF(OR(C873="",A873="",B873=""),"",TEXT(C873,"0000")&amp;TEXT(A873,"00")&amp;TEXT(B873,"00"))</f>
        <v>19770216</v>
      </c>
    </row>
    <row r="874" spans="1:80" s="52" customFormat="1" ht="12.95" customHeight="1" x14ac:dyDescent="0.2">
      <c r="A874" s="46">
        <v>2</v>
      </c>
      <c r="B874" s="46">
        <v>22</v>
      </c>
      <c r="C874" s="46">
        <v>1977</v>
      </c>
      <c r="D874" s="46" t="s">
        <v>658</v>
      </c>
      <c r="E874" s="46" t="s">
        <v>551</v>
      </c>
      <c r="F874" s="54" t="s">
        <v>1327</v>
      </c>
      <c r="G874" s="46"/>
      <c r="H874" s="54" t="s">
        <v>1011</v>
      </c>
      <c r="I874" s="54" t="s">
        <v>1023</v>
      </c>
      <c r="J874" s="55">
        <v>28178</v>
      </c>
      <c r="K874" s="46" t="s">
        <v>806</v>
      </c>
      <c r="L874" s="46" t="s">
        <v>3</v>
      </c>
      <c r="M874" s="46" t="s">
        <v>1349</v>
      </c>
      <c r="N874" s="49">
        <v>3</v>
      </c>
      <c r="O874" s="49">
        <v>0</v>
      </c>
      <c r="P874" s="54" t="s">
        <v>1219</v>
      </c>
      <c r="Q874" s="54" t="s">
        <v>1111</v>
      </c>
      <c r="R874" s="54" t="s">
        <v>376</v>
      </c>
      <c r="S874" s="46"/>
      <c r="T874" s="46"/>
      <c r="U874" s="46"/>
      <c r="V874" s="46"/>
      <c r="W874" s="46"/>
      <c r="X874" s="46"/>
      <c r="Y874" s="46"/>
      <c r="Z874" s="46"/>
      <c r="AA874" s="46"/>
      <c r="AB874" s="46"/>
      <c r="AC874" s="46"/>
      <c r="AD874" s="46" t="s">
        <v>1033</v>
      </c>
      <c r="AE874" s="50">
        <f>IF(L874="W",1,0)</f>
        <v>1</v>
      </c>
      <c r="AF874" s="50">
        <f>IF(L874="T",1,0)</f>
        <v>0</v>
      </c>
      <c r="AG874" s="50">
        <f>IF(L874="L",1,0)</f>
        <v>0</v>
      </c>
      <c r="AH874" s="46" t="s">
        <v>1111</v>
      </c>
      <c r="AI874" s="46" t="s">
        <v>1126</v>
      </c>
      <c r="AJ874" s="46" t="s">
        <v>376</v>
      </c>
      <c r="AK874" s="46" t="s">
        <v>658</v>
      </c>
      <c r="AL874" s="46" t="s">
        <v>1017</v>
      </c>
      <c r="AM874" s="46" t="s">
        <v>1018</v>
      </c>
      <c r="AN874" s="46" t="s">
        <v>376</v>
      </c>
      <c r="AO874" s="46" t="s">
        <v>658</v>
      </c>
      <c r="AP874" s="46"/>
      <c r="AQ874" s="46">
        <v>2</v>
      </c>
      <c r="AR874" s="46"/>
      <c r="AS874" s="46"/>
      <c r="AT874" s="46"/>
      <c r="AU874" s="46" t="s">
        <v>376</v>
      </c>
      <c r="AV874" s="46"/>
      <c r="AW874" s="46" t="s">
        <v>30</v>
      </c>
      <c r="AX874" s="46"/>
      <c r="AY874" s="46"/>
      <c r="AZ874" s="46" t="s">
        <v>30</v>
      </c>
      <c r="BA874" s="54"/>
      <c r="BB874" s="51"/>
      <c r="BC874" s="46"/>
      <c r="BD874" s="46"/>
      <c r="BE874" s="46"/>
      <c r="BF874" s="46">
        <v>1</v>
      </c>
      <c r="BG874" s="46">
        <v>1</v>
      </c>
      <c r="BH874" s="46">
        <v>1</v>
      </c>
      <c r="BI874" s="46" t="s">
        <v>806</v>
      </c>
      <c r="BJ874" s="46" t="s">
        <v>1349</v>
      </c>
      <c r="BK874" s="46">
        <v>1977</v>
      </c>
      <c r="BL874" s="46" t="str">
        <f>BK874&amp;BI874</f>
        <v>1977Aston Villa</v>
      </c>
      <c r="BM874" s="52" t="str">
        <f>IF(AD874="Home",BI874,IF(AD874="Away",BJ874,Q874))</f>
        <v>Aston Villa</v>
      </c>
      <c r="BN874" s="46"/>
      <c r="BO874" s="46"/>
      <c r="BP874" s="46"/>
      <c r="BQ874" s="46"/>
      <c r="BR874" s="46"/>
      <c r="BS874" s="46"/>
      <c r="BT874" s="46"/>
      <c r="BU874" s="46"/>
      <c r="BV874" s="46" t="s">
        <v>376</v>
      </c>
      <c r="BW874" s="46" t="s">
        <v>376</v>
      </c>
      <c r="BX874" s="46"/>
      <c r="BZ874" s="53"/>
      <c r="CA874" s="53"/>
      <c r="CB874" s="93" t="str">
        <f>IF(OR(C874="",A874="",B874=""),"",TEXT(C874,"0000")&amp;TEXT(A874,"00")&amp;TEXT(B874,"00"))</f>
        <v>19770222</v>
      </c>
    </row>
    <row r="875" spans="1:80" s="52" customFormat="1" ht="12.95" customHeight="1" x14ac:dyDescent="0.2">
      <c r="A875" s="46">
        <v>2</v>
      </c>
      <c r="B875" s="46">
        <v>22</v>
      </c>
      <c r="C875" s="46">
        <v>1977</v>
      </c>
      <c r="D875" s="46" t="s">
        <v>658</v>
      </c>
      <c r="E875" s="46" t="s">
        <v>551</v>
      </c>
      <c r="F875" s="54" t="s">
        <v>1327</v>
      </c>
      <c r="G875" s="46"/>
      <c r="H875" s="54" t="s">
        <v>1011</v>
      </c>
      <c r="I875" s="54" t="s">
        <v>1023</v>
      </c>
      <c r="J875" s="55">
        <v>28178</v>
      </c>
      <c r="K875" s="46" t="s">
        <v>1349</v>
      </c>
      <c r="L875" s="46" t="s">
        <v>4</v>
      </c>
      <c r="M875" s="46" t="s">
        <v>806</v>
      </c>
      <c r="N875" s="49">
        <v>0</v>
      </c>
      <c r="O875" s="49">
        <v>3</v>
      </c>
      <c r="P875" s="54" t="s">
        <v>1219</v>
      </c>
      <c r="Q875" s="54" t="s">
        <v>1111</v>
      </c>
      <c r="R875" s="54" t="s">
        <v>376</v>
      </c>
      <c r="S875" s="46"/>
      <c r="T875" s="46"/>
      <c r="U875" s="46"/>
      <c r="V875" s="46"/>
      <c r="W875" s="46"/>
      <c r="X875" s="46"/>
      <c r="Y875" s="46"/>
      <c r="Z875" s="46"/>
      <c r="AA875" s="46"/>
      <c r="AB875" s="46"/>
      <c r="AC875" s="46"/>
      <c r="AD875" s="46" t="s">
        <v>1037</v>
      </c>
      <c r="AE875" s="50">
        <f>IF(L875="W",1,0)</f>
        <v>0</v>
      </c>
      <c r="AF875" s="50">
        <f>IF(L875="T",1,0)</f>
        <v>0</v>
      </c>
      <c r="AG875" s="50">
        <f>IF(L875="L",1,0)</f>
        <v>1</v>
      </c>
      <c r="AH875" s="46" t="s">
        <v>1017</v>
      </c>
      <c r="AI875" s="46" t="s">
        <v>1018</v>
      </c>
      <c r="AJ875" s="46" t="s">
        <v>376</v>
      </c>
      <c r="AK875" s="46" t="s">
        <v>658</v>
      </c>
      <c r="AL875" s="46" t="s">
        <v>1111</v>
      </c>
      <c r="AM875" s="46" t="s">
        <v>1126</v>
      </c>
      <c r="AN875" s="46" t="s">
        <v>376</v>
      </c>
      <c r="AO875" s="46" t="s">
        <v>658</v>
      </c>
      <c r="AP875" s="46"/>
      <c r="AQ875" s="46">
        <v>2</v>
      </c>
      <c r="AR875" s="46"/>
      <c r="AS875" s="46"/>
      <c r="AT875" s="46"/>
      <c r="AU875" s="46" t="s">
        <v>376</v>
      </c>
      <c r="AV875" s="46"/>
      <c r="AW875" s="46" t="s">
        <v>30</v>
      </c>
      <c r="AX875" s="46"/>
      <c r="AY875" s="46"/>
      <c r="AZ875" s="46" t="s">
        <v>30</v>
      </c>
      <c r="BA875" s="54"/>
      <c r="BB875" s="51"/>
      <c r="BC875" s="46"/>
      <c r="BD875" s="46"/>
      <c r="BE875" s="46"/>
      <c r="BF875" s="46">
        <v>1</v>
      </c>
      <c r="BG875" s="46">
        <v>1</v>
      </c>
      <c r="BH875" s="46">
        <v>1</v>
      </c>
      <c r="BI875" s="46" t="s">
        <v>1349</v>
      </c>
      <c r="BJ875" s="46" t="s">
        <v>806</v>
      </c>
      <c r="BK875" s="46">
        <v>1977</v>
      </c>
      <c r="BL875" s="46" t="str">
        <f>BK875&amp;BI875</f>
        <v>1977Queens Park Rangers</v>
      </c>
      <c r="BM875" s="52" t="str">
        <f>IF(AD875="Home",BI875,IF(AD875="Away",BJ875,Q875))</f>
        <v>Aston Villa</v>
      </c>
      <c r="BN875" s="46"/>
      <c r="BO875" s="46"/>
      <c r="BP875" s="46"/>
      <c r="BQ875" s="46"/>
      <c r="BR875" s="46"/>
      <c r="BS875" s="46"/>
      <c r="BT875" s="46"/>
      <c r="BU875" s="46"/>
      <c r="BV875" s="46" t="s">
        <v>376</v>
      </c>
      <c r="BW875" s="46" t="s">
        <v>376</v>
      </c>
      <c r="BX875" s="46"/>
      <c r="BZ875" s="53"/>
      <c r="CA875" s="53"/>
      <c r="CB875" s="93" t="str">
        <f>IF(OR(C875="",A875="",B875=""),"",TEXT(C875,"0000")&amp;TEXT(A875,"00")&amp;TEXT(B875,"00"))</f>
        <v>19770222</v>
      </c>
    </row>
    <row r="876" spans="1:80" s="52" customFormat="1" ht="12.95" customHeight="1" x14ac:dyDescent="0.2">
      <c r="A876" s="46">
        <v>3</v>
      </c>
      <c r="B876" s="46">
        <v>12</v>
      </c>
      <c r="C876" s="46">
        <v>1977</v>
      </c>
      <c r="D876" s="46" t="s">
        <v>658</v>
      </c>
      <c r="E876" s="46" t="s">
        <v>551</v>
      </c>
      <c r="F876" s="54" t="s">
        <v>1327</v>
      </c>
      <c r="G876" s="46"/>
      <c r="H876" s="54" t="s">
        <v>40</v>
      </c>
      <c r="I876" s="54"/>
      <c r="J876" s="55">
        <v>28196</v>
      </c>
      <c r="K876" s="46" t="s">
        <v>804</v>
      </c>
      <c r="L876" s="46" t="s">
        <v>1014</v>
      </c>
      <c r="M876" s="46" t="s">
        <v>806</v>
      </c>
      <c r="N876" s="49">
        <v>0</v>
      </c>
      <c r="O876" s="49">
        <v>0</v>
      </c>
      <c r="P876" s="54" t="s">
        <v>1268</v>
      </c>
      <c r="Q876" s="54" t="s">
        <v>1017</v>
      </c>
      <c r="R876" s="54" t="s">
        <v>376</v>
      </c>
      <c r="S876" s="46" t="s">
        <v>1023</v>
      </c>
      <c r="T876" s="46"/>
      <c r="U876" s="46"/>
      <c r="V876" s="46"/>
      <c r="W876" s="46"/>
      <c r="X876" s="46"/>
      <c r="Y876" s="46"/>
      <c r="Z876" s="46"/>
      <c r="AA876" s="46"/>
      <c r="AB876" s="46"/>
      <c r="AC876" s="46"/>
      <c r="AD876" s="46"/>
      <c r="AE876" s="50">
        <f>IF(L876="W",1,0)</f>
        <v>0</v>
      </c>
      <c r="AF876" s="50">
        <f>IF(L876="T",1,0)</f>
        <v>1</v>
      </c>
      <c r="AG876" s="50">
        <f>IF(L876="L",1,0)</f>
        <v>0</v>
      </c>
      <c r="AH876" s="46" t="s">
        <v>588</v>
      </c>
      <c r="AI876" s="46" t="s">
        <v>1175</v>
      </c>
      <c r="AJ876" s="46" t="s">
        <v>376</v>
      </c>
      <c r="AK876" s="46" t="s">
        <v>658</v>
      </c>
      <c r="AL876" s="46" t="s">
        <v>1111</v>
      </c>
      <c r="AM876" s="46" t="s">
        <v>1126</v>
      </c>
      <c r="AN876" s="46" t="s">
        <v>376</v>
      </c>
      <c r="AO876" s="46" t="s">
        <v>658</v>
      </c>
      <c r="AP876" s="46"/>
      <c r="AQ876" s="46">
        <v>1</v>
      </c>
      <c r="AR876" s="46"/>
      <c r="AS876" s="46"/>
      <c r="AT876" s="46"/>
      <c r="AU876" s="46" t="s">
        <v>376</v>
      </c>
      <c r="AV876" s="46"/>
      <c r="AW876" s="46" t="s">
        <v>30</v>
      </c>
      <c r="AX876" s="46"/>
      <c r="AY876" s="46"/>
      <c r="AZ876" s="46" t="s">
        <v>30</v>
      </c>
      <c r="BA876" s="54"/>
      <c r="BB876" s="51"/>
      <c r="BC876" s="46" t="s">
        <v>30</v>
      </c>
      <c r="BD876" s="46"/>
      <c r="BE876" s="46"/>
      <c r="BF876" s="46">
        <v>1</v>
      </c>
      <c r="BG876" s="46">
        <v>1</v>
      </c>
      <c r="BH876" s="46">
        <v>1</v>
      </c>
      <c r="BI876" s="46" t="s">
        <v>804</v>
      </c>
      <c r="BJ876" s="46" t="s">
        <v>806</v>
      </c>
      <c r="BK876" s="46">
        <v>1977</v>
      </c>
      <c r="BL876" s="46" t="str">
        <f>BK876&amp;BI876</f>
        <v>1977Everton</v>
      </c>
      <c r="BM876" s="52" t="str">
        <f>IF(AD876="Home",BI876,IF(AD876="Away",BJ876,Q876))</f>
        <v>London</v>
      </c>
      <c r="BN876" s="46"/>
      <c r="BO876" s="46"/>
      <c r="BP876" s="46"/>
      <c r="BQ876" s="46"/>
      <c r="BR876" s="46"/>
      <c r="BS876" s="46"/>
      <c r="BT876" s="46"/>
      <c r="BU876" s="46"/>
      <c r="BV876" s="46" t="s">
        <v>376</v>
      </c>
      <c r="BW876" s="46" t="s">
        <v>376</v>
      </c>
      <c r="BX876" s="46"/>
      <c r="BZ876" s="53"/>
      <c r="CA876" s="53"/>
      <c r="CB876" s="93" t="str">
        <f>IF(OR(C876="",A876="",B876=""),"",TEXT(C876,"0000")&amp;TEXT(A876,"00")&amp;TEXT(B876,"00"))</f>
        <v>19770312</v>
      </c>
    </row>
    <row r="877" spans="1:80" s="52" customFormat="1" ht="12.95" customHeight="1" x14ac:dyDescent="0.2">
      <c r="A877" s="46">
        <v>3</v>
      </c>
      <c r="B877" s="46">
        <v>12</v>
      </c>
      <c r="C877" s="46">
        <v>1977</v>
      </c>
      <c r="D877" s="46" t="s">
        <v>658</v>
      </c>
      <c r="E877" s="46" t="s">
        <v>551</v>
      </c>
      <c r="F877" s="54" t="s">
        <v>1327</v>
      </c>
      <c r="G877" s="46"/>
      <c r="H877" s="54" t="s">
        <v>40</v>
      </c>
      <c r="I877" s="54"/>
      <c r="J877" s="55">
        <v>28196</v>
      </c>
      <c r="K877" s="46" t="s">
        <v>806</v>
      </c>
      <c r="L877" s="46" t="s">
        <v>1014</v>
      </c>
      <c r="M877" s="46" t="s">
        <v>804</v>
      </c>
      <c r="N877" s="49">
        <v>0</v>
      </c>
      <c r="O877" s="49">
        <v>0</v>
      </c>
      <c r="P877" s="54" t="s">
        <v>1268</v>
      </c>
      <c r="Q877" s="54" t="s">
        <v>1017</v>
      </c>
      <c r="R877" s="54" t="s">
        <v>376</v>
      </c>
      <c r="S877" s="46" t="s">
        <v>1023</v>
      </c>
      <c r="T877" s="46"/>
      <c r="U877" s="46"/>
      <c r="V877" s="46"/>
      <c r="W877" s="46"/>
      <c r="X877" s="46"/>
      <c r="Y877" s="46"/>
      <c r="Z877" s="46"/>
      <c r="AA877" s="46"/>
      <c r="AB877" s="46"/>
      <c r="AC877" s="46"/>
      <c r="AD877" s="46"/>
      <c r="AE877" s="50">
        <f>IF(L877="W",1,0)</f>
        <v>0</v>
      </c>
      <c r="AF877" s="50">
        <f>IF(L877="T",1,0)</f>
        <v>1</v>
      </c>
      <c r="AG877" s="50">
        <f>IF(L877="L",1,0)</f>
        <v>0</v>
      </c>
      <c r="AH877" s="46" t="s">
        <v>1111</v>
      </c>
      <c r="AI877" s="46" t="s">
        <v>1126</v>
      </c>
      <c r="AJ877" s="46" t="s">
        <v>376</v>
      </c>
      <c r="AK877" s="46" t="s">
        <v>658</v>
      </c>
      <c r="AL877" s="46" t="s">
        <v>588</v>
      </c>
      <c r="AM877" s="46" t="s">
        <v>1175</v>
      </c>
      <c r="AN877" s="46" t="s">
        <v>376</v>
      </c>
      <c r="AO877" s="46" t="s">
        <v>658</v>
      </c>
      <c r="AP877" s="46"/>
      <c r="AQ877" s="46">
        <v>1</v>
      </c>
      <c r="AR877" s="46"/>
      <c r="AS877" s="46"/>
      <c r="AT877" s="46"/>
      <c r="AU877" s="46" t="s">
        <v>376</v>
      </c>
      <c r="AV877" s="46"/>
      <c r="AW877" s="46" t="s">
        <v>30</v>
      </c>
      <c r="AX877" s="46"/>
      <c r="AY877" s="46"/>
      <c r="AZ877" s="46" t="s">
        <v>30</v>
      </c>
      <c r="BA877" s="54"/>
      <c r="BB877" s="51"/>
      <c r="BC877" s="46" t="s">
        <v>30</v>
      </c>
      <c r="BD877" s="46"/>
      <c r="BE877" s="46"/>
      <c r="BF877" s="46">
        <v>1</v>
      </c>
      <c r="BG877" s="46">
        <v>1</v>
      </c>
      <c r="BH877" s="46">
        <v>1</v>
      </c>
      <c r="BI877" s="46" t="s">
        <v>806</v>
      </c>
      <c r="BJ877" s="46" t="s">
        <v>804</v>
      </c>
      <c r="BK877" s="46">
        <v>1977</v>
      </c>
      <c r="BL877" s="46" t="str">
        <f>BK877&amp;BI877</f>
        <v>1977Aston Villa</v>
      </c>
      <c r="BM877" s="52" t="str">
        <f>IF(AD877="Home",BI877,IF(AD877="Away",BJ877,Q877))</f>
        <v>London</v>
      </c>
      <c r="BN877" s="46"/>
      <c r="BO877" s="46"/>
      <c r="BP877" s="46"/>
      <c r="BQ877" s="46"/>
      <c r="BR877" s="46"/>
      <c r="BS877" s="46"/>
      <c r="BT877" s="46"/>
      <c r="BU877" s="46"/>
      <c r="BV877" s="46" t="s">
        <v>376</v>
      </c>
      <c r="BW877" s="46" t="s">
        <v>376</v>
      </c>
      <c r="BX877" s="46"/>
      <c r="BZ877" s="53"/>
      <c r="CA877" s="53"/>
      <c r="CB877" s="93" t="str">
        <f>IF(OR(C877="",A877="",B877=""),"",TEXT(C877,"0000")&amp;TEXT(A877,"00")&amp;TEXT(B877,"00"))</f>
        <v>19770312</v>
      </c>
    </row>
    <row r="878" spans="1:80" s="52" customFormat="1" ht="12.95" customHeight="1" x14ac:dyDescent="0.2">
      <c r="A878" s="46">
        <v>3</v>
      </c>
      <c r="B878" s="46">
        <v>16</v>
      </c>
      <c r="C878" s="46">
        <v>1977</v>
      </c>
      <c r="D878" s="46" t="s">
        <v>658</v>
      </c>
      <c r="E878" s="46" t="s">
        <v>551</v>
      </c>
      <c r="F878" s="54" t="s">
        <v>1327</v>
      </c>
      <c r="G878" s="46"/>
      <c r="H878" s="54" t="s">
        <v>40</v>
      </c>
      <c r="I878" s="54" t="s">
        <v>1023</v>
      </c>
      <c r="J878" s="55">
        <v>28200</v>
      </c>
      <c r="K878" s="46" t="s">
        <v>804</v>
      </c>
      <c r="L878" s="46" t="s">
        <v>1014</v>
      </c>
      <c r="M878" s="46" t="s">
        <v>806</v>
      </c>
      <c r="N878" s="49">
        <v>1</v>
      </c>
      <c r="O878" s="49">
        <v>1</v>
      </c>
      <c r="P878" s="54" t="s">
        <v>1252</v>
      </c>
      <c r="Q878" s="54" t="s">
        <v>1097</v>
      </c>
      <c r="R878" s="54" t="s">
        <v>376</v>
      </c>
      <c r="S878" s="46" t="s">
        <v>1023</v>
      </c>
      <c r="T878" s="46"/>
      <c r="U878" s="46"/>
      <c r="V878" s="46"/>
      <c r="W878" s="46"/>
      <c r="X878" s="46"/>
      <c r="Y878" s="46"/>
      <c r="Z878" s="46"/>
      <c r="AA878" s="46"/>
      <c r="AB878" s="46"/>
      <c r="AC878" s="46"/>
      <c r="AD878" s="46"/>
      <c r="AE878" s="50">
        <f>IF(L878="W",1,0)</f>
        <v>0</v>
      </c>
      <c r="AF878" s="50">
        <f>IF(L878="T",1,0)</f>
        <v>1</v>
      </c>
      <c r="AG878" s="50">
        <f>IF(L878="L",1,0)</f>
        <v>0</v>
      </c>
      <c r="AH878" s="46" t="s">
        <v>588</v>
      </c>
      <c r="AI878" s="46" t="s">
        <v>1175</v>
      </c>
      <c r="AJ878" s="46" t="s">
        <v>376</v>
      </c>
      <c r="AK878" s="46" t="s">
        <v>658</v>
      </c>
      <c r="AL878" s="46" t="s">
        <v>1111</v>
      </c>
      <c r="AM878" s="46" t="s">
        <v>1126</v>
      </c>
      <c r="AN878" s="46" t="s">
        <v>376</v>
      </c>
      <c r="AO878" s="46" t="s">
        <v>658</v>
      </c>
      <c r="AP878" s="46"/>
      <c r="AQ878" s="46">
        <v>1</v>
      </c>
      <c r="AR878" s="46"/>
      <c r="AS878" s="46"/>
      <c r="AT878" s="46"/>
      <c r="AU878" s="46" t="s">
        <v>376</v>
      </c>
      <c r="AV878" s="46"/>
      <c r="AW878" s="46" t="s">
        <v>30</v>
      </c>
      <c r="AX878" s="46"/>
      <c r="AY878" s="46"/>
      <c r="AZ878" s="46" t="s">
        <v>30</v>
      </c>
      <c r="BA878" s="54"/>
      <c r="BB878" s="51"/>
      <c r="BC878" s="46" t="s">
        <v>30</v>
      </c>
      <c r="BD878" s="46"/>
      <c r="BE878" s="46"/>
      <c r="BF878" s="46">
        <v>1</v>
      </c>
      <c r="BG878" s="46">
        <v>1</v>
      </c>
      <c r="BH878" s="46">
        <v>1</v>
      </c>
      <c r="BI878" s="46" t="s">
        <v>804</v>
      </c>
      <c r="BJ878" s="46" t="s">
        <v>806</v>
      </c>
      <c r="BK878" s="46">
        <v>1977</v>
      </c>
      <c r="BL878" s="46" t="str">
        <f>BK878&amp;BI878</f>
        <v>1977Everton</v>
      </c>
      <c r="BM878" s="52" t="str">
        <f>IF(AD878="Home",BI878,IF(AD878="Away",BJ878,Q878))</f>
        <v>Sheffield</v>
      </c>
      <c r="BN878" s="46"/>
      <c r="BO878" s="46"/>
      <c r="BP878" s="46"/>
      <c r="BQ878" s="46"/>
      <c r="BR878" s="46"/>
      <c r="BS878" s="46"/>
      <c r="BT878" s="46"/>
      <c r="BU878" s="46"/>
      <c r="BV878" s="46" t="s">
        <v>376</v>
      </c>
      <c r="BW878" s="46" t="s">
        <v>376</v>
      </c>
      <c r="BX878" s="46"/>
      <c r="BY878" s="50"/>
      <c r="BZ878" s="53"/>
      <c r="CA878" s="53"/>
      <c r="CB878" s="93" t="str">
        <f>IF(OR(C878="",A878="",B878=""),"",TEXT(C878,"0000")&amp;TEXT(A878,"00")&amp;TEXT(B878,"00"))</f>
        <v>19770316</v>
      </c>
    </row>
    <row r="879" spans="1:80" s="52" customFormat="1" ht="12.95" customHeight="1" x14ac:dyDescent="0.2">
      <c r="A879" s="46">
        <v>3</v>
      </c>
      <c r="B879" s="46">
        <v>16</v>
      </c>
      <c r="C879" s="46">
        <v>1977</v>
      </c>
      <c r="D879" s="46" t="s">
        <v>658</v>
      </c>
      <c r="E879" s="46" t="s">
        <v>551</v>
      </c>
      <c r="F879" s="54" t="s">
        <v>1327</v>
      </c>
      <c r="G879" s="46"/>
      <c r="H879" s="54" t="s">
        <v>40</v>
      </c>
      <c r="I879" s="54" t="s">
        <v>1023</v>
      </c>
      <c r="J879" s="55">
        <v>28200</v>
      </c>
      <c r="K879" s="46" t="s">
        <v>806</v>
      </c>
      <c r="L879" s="46" t="s">
        <v>1014</v>
      </c>
      <c r="M879" s="46" t="s">
        <v>804</v>
      </c>
      <c r="N879" s="49">
        <v>1</v>
      </c>
      <c r="O879" s="49">
        <v>1</v>
      </c>
      <c r="P879" s="54" t="s">
        <v>1252</v>
      </c>
      <c r="Q879" s="54" t="s">
        <v>1097</v>
      </c>
      <c r="R879" s="54" t="s">
        <v>376</v>
      </c>
      <c r="S879" s="46" t="s">
        <v>1023</v>
      </c>
      <c r="T879" s="46"/>
      <c r="U879" s="46"/>
      <c r="V879" s="46"/>
      <c r="W879" s="46"/>
      <c r="X879" s="46"/>
      <c r="Y879" s="46"/>
      <c r="Z879" s="46"/>
      <c r="AA879" s="46"/>
      <c r="AB879" s="46"/>
      <c r="AC879" s="46"/>
      <c r="AD879" s="46"/>
      <c r="AE879" s="50">
        <f>IF(L879="W",1,0)</f>
        <v>0</v>
      </c>
      <c r="AF879" s="50">
        <f>IF(L879="T",1,0)</f>
        <v>1</v>
      </c>
      <c r="AG879" s="50">
        <f>IF(L879="L",1,0)</f>
        <v>0</v>
      </c>
      <c r="AH879" s="46" t="s">
        <v>1111</v>
      </c>
      <c r="AI879" s="46" t="s">
        <v>1126</v>
      </c>
      <c r="AJ879" s="46" t="s">
        <v>376</v>
      </c>
      <c r="AK879" s="46" t="s">
        <v>658</v>
      </c>
      <c r="AL879" s="46" t="s">
        <v>588</v>
      </c>
      <c r="AM879" s="46" t="s">
        <v>1175</v>
      </c>
      <c r="AN879" s="46" t="s">
        <v>376</v>
      </c>
      <c r="AO879" s="46" t="s">
        <v>658</v>
      </c>
      <c r="AP879" s="46"/>
      <c r="AQ879" s="46">
        <v>1</v>
      </c>
      <c r="AR879" s="46"/>
      <c r="AS879" s="46"/>
      <c r="AT879" s="46"/>
      <c r="AU879" s="46" t="s">
        <v>376</v>
      </c>
      <c r="AV879" s="46"/>
      <c r="AW879" s="46" t="s">
        <v>30</v>
      </c>
      <c r="AX879" s="46"/>
      <c r="AY879" s="46"/>
      <c r="AZ879" s="46" t="s">
        <v>30</v>
      </c>
      <c r="BA879" s="54"/>
      <c r="BB879" s="51"/>
      <c r="BC879" s="46" t="s">
        <v>30</v>
      </c>
      <c r="BD879" s="46"/>
      <c r="BE879" s="46"/>
      <c r="BF879" s="46">
        <v>1</v>
      </c>
      <c r="BG879" s="46">
        <v>1</v>
      </c>
      <c r="BH879" s="46">
        <v>1</v>
      </c>
      <c r="BI879" s="46" t="s">
        <v>806</v>
      </c>
      <c r="BJ879" s="46" t="s">
        <v>804</v>
      </c>
      <c r="BK879" s="46">
        <v>1977</v>
      </c>
      <c r="BL879" s="46" t="str">
        <f>BK879&amp;BI879</f>
        <v>1977Aston Villa</v>
      </c>
      <c r="BM879" s="52" t="str">
        <f>IF(AD879="Home",BI879,IF(AD879="Away",BJ879,Q879))</f>
        <v>Sheffield</v>
      </c>
      <c r="BN879" s="46"/>
      <c r="BO879" s="46"/>
      <c r="BP879" s="46"/>
      <c r="BQ879" s="46"/>
      <c r="BR879" s="46"/>
      <c r="BS879" s="46"/>
      <c r="BT879" s="46"/>
      <c r="BU879" s="46"/>
      <c r="BV879" s="46" t="s">
        <v>376</v>
      </c>
      <c r="BW879" s="46" t="s">
        <v>376</v>
      </c>
      <c r="BX879" s="46"/>
      <c r="BY879" s="50"/>
      <c r="BZ879" s="53"/>
      <c r="CA879" s="53"/>
      <c r="CB879" s="93" t="str">
        <f>IF(OR(C879="",A879="",B879=""),"",TEXT(C879,"0000")&amp;TEXT(A879,"00")&amp;TEXT(B879,"00"))</f>
        <v>19770316</v>
      </c>
    </row>
    <row r="880" spans="1:80" s="52" customFormat="1" ht="12.95" customHeight="1" x14ac:dyDescent="0.2">
      <c r="A880" s="46">
        <v>4</v>
      </c>
      <c r="B880" s="46">
        <v>13</v>
      </c>
      <c r="C880" s="46">
        <v>1977</v>
      </c>
      <c r="D880" s="46" t="s">
        <v>658</v>
      </c>
      <c r="E880" s="46" t="s">
        <v>551</v>
      </c>
      <c r="F880" s="54" t="s">
        <v>1327</v>
      </c>
      <c r="G880" s="46"/>
      <c r="H880" s="54" t="s">
        <v>40</v>
      </c>
      <c r="I880" s="54" t="s">
        <v>1170</v>
      </c>
      <c r="J880" s="55">
        <v>28228</v>
      </c>
      <c r="K880" s="46" t="s">
        <v>806</v>
      </c>
      <c r="L880" s="46" t="s">
        <v>3</v>
      </c>
      <c r="M880" s="46" t="s">
        <v>804</v>
      </c>
      <c r="N880" s="49">
        <v>3</v>
      </c>
      <c r="O880" s="49">
        <v>2</v>
      </c>
      <c r="P880" s="54" t="s">
        <v>1246</v>
      </c>
      <c r="Q880" s="54" t="s">
        <v>1101</v>
      </c>
      <c r="R880" s="54" t="s">
        <v>376</v>
      </c>
      <c r="S880" s="46"/>
      <c r="T880" s="46"/>
      <c r="U880" s="46"/>
      <c r="V880" s="46"/>
      <c r="W880" s="46"/>
      <c r="X880" s="46"/>
      <c r="Y880" s="46"/>
      <c r="Z880" s="46"/>
      <c r="AA880" s="46"/>
      <c r="AB880" s="46"/>
      <c r="AC880" s="46"/>
      <c r="AD880" s="46"/>
      <c r="AE880" s="50">
        <f>IF(L880="W",1,0)</f>
        <v>1</v>
      </c>
      <c r="AF880" s="50">
        <f>IF(L880="T",1,0)</f>
        <v>0</v>
      </c>
      <c r="AG880" s="50">
        <f>IF(L880="L",1,0)</f>
        <v>0</v>
      </c>
      <c r="AH880" s="46" t="s">
        <v>1111</v>
      </c>
      <c r="AI880" s="46" t="s">
        <v>1126</v>
      </c>
      <c r="AJ880" s="46" t="s">
        <v>376</v>
      </c>
      <c r="AK880" s="46" t="s">
        <v>658</v>
      </c>
      <c r="AL880" s="46" t="s">
        <v>588</v>
      </c>
      <c r="AM880" s="46" t="s">
        <v>1175</v>
      </c>
      <c r="AN880" s="46" t="s">
        <v>376</v>
      </c>
      <c r="AO880" s="46" t="s">
        <v>658</v>
      </c>
      <c r="AP880" s="46"/>
      <c r="AQ880" s="46">
        <v>1</v>
      </c>
      <c r="AR880" s="46"/>
      <c r="AS880" s="46"/>
      <c r="AT880" s="46"/>
      <c r="AU880" s="46" t="s">
        <v>376</v>
      </c>
      <c r="AV880" s="46"/>
      <c r="AW880" s="46" t="s">
        <v>30</v>
      </c>
      <c r="AX880" s="46"/>
      <c r="AY880" s="46"/>
      <c r="AZ880" s="46" t="s">
        <v>30</v>
      </c>
      <c r="BA880" s="54"/>
      <c r="BB880" s="51" t="s">
        <v>30</v>
      </c>
      <c r="BC880" s="46" t="s">
        <v>30</v>
      </c>
      <c r="BD880" s="46"/>
      <c r="BE880" s="46"/>
      <c r="BF880" s="46">
        <v>1</v>
      </c>
      <c r="BG880" s="46">
        <v>1</v>
      </c>
      <c r="BH880" s="46">
        <v>1</v>
      </c>
      <c r="BI880" s="46" t="s">
        <v>806</v>
      </c>
      <c r="BJ880" s="46" t="s">
        <v>804</v>
      </c>
      <c r="BK880" s="46">
        <v>1977</v>
      </c>
      <c r="BL880" s="46" t="str">
        <f>BK880&amp;BI880</f>
        <v>1977Aston Villa</v>
      </c>
      <c r="BM880" s="52" t="str">
        <f>IF(AD880="Home",BI880,IF(AD880="Away",BJ880,Q880))</f>
        <v>Manchester</v>
      </c>
      <c r="BN880" s="46"/>
      <c r="BO880" s="46"/>
      <c r="BP880" s="46"/>
      <c r="BQ880" s="46"/>
      <c r="BR880" s="46"/>
      <c r="BS880" s="46"/>
      <c r="BT880" s="46"/>
      <c r="BU880" s="46"/>
      <c r="BV880" s="46" t="s">
        <v>376</v>
      </c>
      <c r="BW880" s="46" t="s">
        <v>376</v>
      </c>
      <c r="BX880" s="46"/>
      <c r="BZ880" s="53"/>
      <c r="CA880" s="53"/>
      <c r="CB880" s="93" t="str">
        <f>IF(OR(C880="",A880="",B880=""),"",TEXT(C880,"0000")&amp;TEXT(A880,"00")&amp;TEXT(B880,"00"))</f>
        <v>19770413</v>
      </c>
    </row>
    <row r="881" spans="1:80" s="52" customFormat="1" ht="12.95" customHeight="1" x14ac:dyDescent="0.2">
      <c r="A881" s="46">
        <v>4</v>
      </c>
      <c r="B881" s="46">
        <v>13</v>
      </c>
      <c r="C881" s="46">
        <v>1977</v>
      </c>
      <c r="D881" s="46" t="s">
        <v>658</v>
      </c>
      <c r="E881" s="46" t="s">
        <v>551</v>
      </c>
      <c r="F881" s="54" t="s">
        <v>1327</v>
      </c>
      <c r="G881" s="46"/>
      <c r="H881" s="54" t="s">
        <v>40</v>
      </c>
      <c r="I881" s="54" t="s">
        <v>1170</v>
      </c>
      <c r="J881" s="55">
        <v>28228</v>
      </c>
      <c r="K881" s="46" t="s">
        <v>804</v>
      </c>
      <c r="L881" s="46" t="s">
        <v>4</v>
      </c>
      <c r="M881" s="46" t="s">
        <v>806</v>
      </c>
      <c r="N881" s="49">
        <v>2</v>
      </c>
      <c r="O881" s="49">
        <v>3</v>
      </c>
      <c r="P881" s="54" t="s">
        <v>1246</v>
      </c>
      <c r="Q881" s="54" t="s">
        <v>1101</v>
      </c>
      <c r="R881" s="54" t="s">
        <v>376</v>
      </c>
      <c r="S881" s="46"/>
      <c r="T881" s="46"/>
      <c r="U881" s="46"/>
      <c r="V881" s="46"/>
      <c r="W881" s="46"/>
      <c r="X881" s="46"/>
      <c r="Y881" s="46"/>
      <c r="Z881" s="46"/>
      <c r="AA881" s="46"/>
      <c r="AB881" s="46"/>
      <c r="AC881" s="46"/>
      <c r="AD881" s="46"/>
      <c r="AE881" s="50">
        <f>IF(L881="W",1,0)</f>
        <v>0</v>
      </c>
      <c r="AF881" s="50">
        <f>IF(L881="T",1,0)</f>
        <v>0</v>
      </c>
      <c r="AG881" s="50">
        <f>IF(L881="L",1,0)</f>
        <v>1</v>
      </c>
      <c r="AH881" s="46" t="s">
        <v>588</v>
      </c>
      <c r="AI881" s="46" t="s">
        <v>1175</v>
      </c>
      <c r="AJ881" s="46" t="s">
        <v>376</v>
      </c>
      <c r="AK881" s="46" t="s">
        <v>658</v>
      </c>
      <c r="AL881" s="46" t="s">
        <v>1111</v>
      </c>
      <c r="AM881" s="46" t="s">
        <v>1126</v>
      </c>
      <c r="AN881" s="46" t="s">
        <v>376</v>
      </c>
      <c r="AO881" s="46" t="s">
        <v>658</v>
      </c>
      <c r="AP881" s="46"/>
      <c r="AQ881" s="46">
        <v>1</v>
      </c>
      <c r="AR881" s="46"/>
      <c r="AS881" s="46"/>
      <c r="AT881" s="46"/>
      <c r="AU881" s="46" t="s">
        <v>376</v>
      </c>
      <c r="AV881" s="46"/>
      <c r="AW881" s="46" t="s">
        <v>30</v>
      </c>
      <c r="AX881" s="46"/>
      <c r="AY881" s="46"/>
      <c r="AZ881" s="46" t="s">
        <v>30</v>
      </c>
      <c r="BA881" s="54"/>
      <c r="BB881" s="51"/>
      <c r="BC881" s="46" t="s">
        <v>30</v>
      </c>
      <c r="BD881" s="46"/>
      <c r="BE881" s="46"/>
      <c r="BF881" s="46">
        <v>1</v>
      </c>
      <c r="BG881" s="46">
        <v>1</v>
      </c>
      <c r="BH881" s="46">
        <v>1</v>
      </c>
      <c r="BI881" s="46" t="s">
        <v>804</v>
      </c>
      <c r="BJ881" s="46" t="s">
        <v>806</v>
      </c>
      <c r="BK881" s="46">
        <v>1977</v>
      </c>
      <c r="BL881" s="46" t="str">
        <f>BK881&amp;BI881</f>
        <v>1977Everton</v>
      </c>
      <c r="BM881" s="52" t="str">
        <f>IF(AD881="Home",BI881,IF(AD881="Away",BJ881,Q881))</f>
        <v>Manchester</v>
      </c>
      <c r="BN881" s="46"/>
      <c r="BO881" s="46"/>
      <c r="BP881" s="46"/>
      <c r="BQ881" s="46"/>
      <c r="BR881" s="46"/>
      <c r="BS881" s="46"/>
      <c r="BT881" s="46"/>
      <c r="BU881" s="46"/>
      <c r="BV881" s="46" t="s">
        <v>376</v>
      </c>
      <c r="BW881" s="46" t="s">
        <v>376</v>
      </c>
      <c r="BX881" s="46"/>
      <c r="BZ881" s="53"/>
      <c r="CA881" s="53"/>
      <c r="CB881" s="93" t="str">
        <f>IF(OR(C881="",A881="",B881=""),"",TEXT(C881,"0000")&amp;TEXT(A881,"00")&amp;TEXT(B881,"00"))</f>
        <v>19770413</v>
      </c>
    </row>
    <row r="882" spans="1:80" s="52" customFormat="1" ht="12.95" customHeight="1" x14ac:dyDescent="0.2">
      <c r="A882" s="46">
        <v>4</v>
      </c>
      <c r="B882" s="46">
        <v>23</v>
      </c>
      <c r="C882" s="46">
        <v>1977</v>
      </c>
      <c r="D882" s="46" t="s">
        <v>658</v>
      </c>
      <c r="E882" s="46" t="s">
        <v>551</v>
      </c>
      <c r="F882" s="47" t="s">
        <v>1010</v>
      </c>
      <c r="G882" s="46"/>
      <c r="H882" s="47" t="s">
        <v>1011</v>
      </c>
      <c r="I882" s="47"/>
      <c r="J882" s="48">
        <v>28238</v>
      </c>
      <c r="K882" s="46" t="s">
        <v>821</v>
      </c>
      <c r="L882" s="46" t="s">
        <v>3</v>
      </c>
      <c r="M882" s="46" t="s">
        <v>794</v>
      </c>
      <c r="N882" s="49">
        <v>2</v>
      </c>
      <c r="O882" s="49">
        <v>1</v>
      </c>
      <c r="P882" s="47" t="s">
        <v>1252</v>
      </c>
      <c r="Q882" s="47" t="s">
        <v>1097</v>
      </c>
      <c r="R882" s="47" t="s">
        <v>376</v>
      </c>
      <c r="S882" s="46"/>
      <c r="T882" s="46"/>
      <c r="U882" s="46"/>
      <c r="V882" s="46"/>
      <c r="W882" s="46"/>
      <c r="X882" s="46"/>
      <c r="Y882" s="46"/>
      <c r="Z882" s="46"/>
      <c r="AA882" s="46"/>
      <c r="AB882" s="46"/>
      <c r="AC882" s="46"/>
      <c r="AD882" s="46"/>
      <c r="AE882" s="50">
        <f>IF(L882="W",1,0)</f>
        <v>1</v>
      </c>
      <c r="AF882" s="50">
        <f>IF(L882="T",1,0)</f>
        <v>0</v>
      </c>
      <c r="AG882" s="50">
        <f>IF(L882="L",1,0)</f>
        <v>0</v>
      </c>
      <c r="AH882" s="46" t="s">
        <v>1101</v>
      </c>
      <c r="AI882" s="46" t="s">
        <v>1159</v>
      </c>
      <c r="AJ882" s="46" t="s">
        <v>376</v>
      </c>
      <c r="AK882" s="46" t="s">
        <v>658</v>
      </c>
      <c r="AL882" s="46" t="s">
        <v>1241</v>
      </c>
      <c r="AM882" s="46" t="s">
        <v>1260</v>
      </c>
      <c r="AN882" s="46" t="s">
        <v>376</v>
      </c>
      <c r="AO882" s="46" t="s">
        <v>658</v>
      </c>
      <c r="AP882" s="46"/>
      <c r="AQ882" s="46">
        <v>2</v>
      </c>
      <c r="AR882" s="46"/>
      <c r="AS882" s="46"/>
      <c r="AT882" s="46"/>
      <c r="AU882" s="46" t="s">
        <v>376</v>
      </c>
      <c r="AV882" s="46"/>
      <c r="AW882" s="46" t="s">
        <v>30</v>
      </c>
      <c r="AX882" s="46"/>
      <c r="AY882" s="46" t="s">
        <v>30</v>
      </c>
      <c r="AZ882" s="46"/>
      <c r="BA882" s="47"/>
      <c r="BB882" s="51"/>
      <c r="BC882" s="46"/>
      <c r="BD882" s="46"/>
      <c r="BE882" s="46"/>
      <c r="BF882" s="46">
        <v>1</v>
      </c>
      <c r="BG882" s="46">
        <v>1</v>
      </c>
      <c r="BH882" s="46">
        <v>1</v>
      </c>
      <c r="BI882" s="46" t="s">
        <v>821</v>
      </c>
      <c r="BJ882" s="46" t="s">
        <v>794</v>
      </c>
      <c r="BK882" s="46">
        <v>1977</v>
      </c>
      <c r="BL882" s="46" t="str">
        <f>BK882&amp;BI882</f>
        <v>1977Manchester United</v>
      </c>
      <c r="BM882" s="52" t="str">
        <f>IF(AD882="Home",BI882,IF(AD882="Away",BJ882,Q882))</f>
        <v>Sheffield</v>
      </c>
      <c r="BN882" s="46"/>
      <c r="BO882" s="46"/>
      <c r="BP882" s="46"/>
      <c r="BQ882" s="46"/>
      <c r="BR882" s="46"/>
      <c r="BS882" s="46"/>
      <c r="BT882" s="46"/>
      <c r="BU882" s="46"/>
      <c r="BV882" s="46" t="s">
        <v>376</v>
      </c>
      <c r="BW882" s="46" t="s">
        <v>376</v>
      </c>
      <c r="BX882" s="46"/>
      <c r="BY882" s="50"/>
      <c r="BZ882" s="53"/>
      <c r="CA882" s="53"/>
      <c r="CB882" s="93" t="str">
        <f>IF(OR(C882="",A882="",B882=""),"",TEXT(C882,"0000")&amp;TEXT(A882,"00")&amp;TEXT(B882,"00"))</f>
        <v>19770423</v>
      </c>
    </row>
    <row r="883" spans="1:80" s="52" customFormat="1" ht="12.95" customHeight="1" x14ac:dyDescent="0.2">
      <c r="A883" s="46">
        <v>4</v>
      </c>
      <c r="B883" s="46">
        <v>23</v>
      </c>
      <c r="C883" s="46">
        <v>1977</v>
      </c>
      <c r="D883" s="46" t="s">
        <v>658</v>
      </c>
      <c r="E883" s="46" t="s">
        <v>551</v>
      </c>
      <c r="F883" s="47" t="s">
        <v>1010</v>
      </c>
      <c r="G883" s="46"/>
      <c r="H883" s="47" t="s">
        <v>1011</v>
      </c>
      <c r="I883" s="47"/>
      <c r="J883" s="48">
        <v>28238</v>
      </c>
      <c r="K883" s="46" t="s">
        <v>794</v>
      </c>
      <c r="L883" s="46" t="s">
        <v>4</v>
      </c>
      <c r="M883" s="46" t="s">
        <v>821</v>
      </c>
      <c r="N883" s="49">
        <v>1</v>
      </c>
      <c r="O883" s="49">
        <v>2</v>
      </c>
      <c r="P883" s="47" t="s">
        <v>1252</v>
      </c>
      <c r="Q883" s="47" t="s">
        <v>1097</v>
      </c>
      <c r="R883" s="47" t="s">
        <v>376</v>
      </c>
      <c r="S883" s="46"/>
      <c r="T883" s="46"/>
      <c r="U883" s="46"/>
      <c r="V883" s="46"/>
      <c r="W883" s="46"/>
      <c r="X883" s="46"/>
      <c r="Y883" s="46"/>
      <c r="Z883" s="46"/>
      <c r="AA883" s="46"/>
      <c r="AB883" s="46"/>
      <c r="AC883" s="46"/>
      <c r="AD883" s="46"/>
      <c r="AE883" s="50">
        <f>IF(L883="W",1,0)</f>
        <v>0</v>
      </c>
      <c r="AF883" s="50">
        <f>IF(L883="T",1,0)</f>
        <v>0</v>
      </c>
      <c r="AG883" s="50">
        <f>IF(L883="L",1,0)</f>
        <v>1</v>
      </c>
      <c r="AH883" s="46" t="s">
        <v>1241</v>
      </c>
      <c r="AI883" s="46" t="s">
        <v>1260</v>
      </c>
      <c r="AJ883" s="46" t="s">
        <v>376</v>
      </c>
      <c r="AK883" s="46" t="s">
        <v>658</v>
      </c>
      <c r="AL883" s="46" t="s">
        <v>1101</v>
      </c>
      <c r="AM883" s="46" t="s">
        <v>1159</v>
      </c>
      <c r="AN883" s="46" t="s">
        <v>376</v>
      </c>
      <c r="AO883" s="46" t="s">
        <v>658</v>
      </c>
      <c r="AP883" s="46"/>
      <c r="AQ883" s="46">
        <v>2</v>
      </c>
      <c r="AR883" s="46"/>
      <c r="AS883" s="46"/>
      <c r="AT883" s="46"/>
      <c r="AU883" s="46" t="s">
        <v>376</v>
      </c>
      <c r="AV883" s="46"/>
      <c r="AW883" s="46" t="s">
        <v>30</v>
      </c>
      <c r="AX883" s="46"/>
      <c r="AY883" s="46" t="s">
        <v>30</v>
      </c>
      <c r="AZ883" s="46"/>
      <c r="BA883" s="47"/>
      <c r="BB883" s="51"/>
      <c r="BC883" s="46"/>
      <c r="BD883" s="46"/>
      <c r="BE883" s="46"/>
      <c r="BF883" s="46">
        <v>1</v>
      </c>
      <c r="BG883" s="46">
        <v>1</v>
      </c>
      <c r="BH883" s="46">
        <v>1</v>
      </c>
      <c r="BI883" s="46" t="s">
        <v>794</v>
      </c>
      <c r="BJ883" s="46" t="s">
        <v>821</v>
      </c>
      <c r="BK883" s="46">
        <v>1977</v>
      </c>
      <c r="BL883" s="46" t="str">
        <f>BK883&amp;BI883</f>
        <v>1977Leeds United</v>
      </c>
      <c r="BM883" s="52" t="str">
        <f>IF(AD883="Home",BI883,IF(AD883="Away",BJ883,Q883))</f>
        <v>Sheffield</v>
      </c>
      <c r="BN883" s="46"/>
      <c r="BO883" s="46"/>
      <c r="BP883" s="46"/>
      <c r="BQ883" s="46"/>
      <c r="BR883" s="46"/>
      <c r="BS883" s="46"/>
      <c r="BT883" s="46"/>
      <c r="BU883" s="46"/>
      <c r="BV883" s="46" t="s">
        <v>376</v>
      </c>
      <c r="BW883" s="46" t="s">
        <v>376</v>
      </c>
      <c r="BX883" s="46"/>
      <c r="BY883" s="50"/>
      <c r="BZ883" s="53"/>
      <c r="CA883" s="53"/>
      <c r="CB883" s="93" t="str">
        <f>IF(OR(C883="",A883="",B883=""),"",TEXT(C883,"0000")&amp;TEXT(A883,"00")&amp;TEXT(B883,"00"))</f>
        <v>19770423</v>
      </c>
    </row>
    <row r="884" spans="1:80" s="52" customFormat="1" ht="12.95" customHeight="1" x14ac:dyDescent="0.2">
      <c r="A884" s="46">
        <v>4</v>
      </c>
      <c r="B884" s="46">
        <v>23</v>
      </c>
      <c r="C884" s="46">
        <v>1977</v>
      </c>
      <c r="D884" s="46" t="s">
        <v>658</v>
      </c>
      <c r="E884" s="46" t="s">
        <v>551</v>
      </c>
      <c r="F884" s="47" t="s">
        <v>1010</v>
      </c>
      <c r="G884" s="46"/>
      <c r="H884" s="47" t="s">
        <v>1011</v>
      </c>
      <c r="I884" s="47"/>
      <c r="J884" s="48">
        <v>28238</v>
      </c>
      <c r="K884" s="46" t="s">
        <v>588</v>
      </c>
      <c r="L884" s="46" t="s">
        <v>1014</v>
      </c>
      <c r="M884" s="46" t="s">
        <v>804</v>
      </c>
      <c r="N884" s="49">
        <v>2</v>
      </c>
      <c r="O884" s="49">
        <v>2</v>
      </c>
      <c r="P884" s="47" t="s">
        <v>1226</v>
      </c>
      <c r="Q884" s="47" t="s">
        <v>1101</v>
      </c>
      <c r="R884" s="47" t="s">
        <v>376</v>
      </c>
      <c r="S884" s="46"/>
      <c r="T884" s="46"/>
      <c r="U884" s="46"/>
      <c r="V884" s="46"/>
      <c r="W884" s="46"/>
      <c r="X884" s="46"/>
      <c r="Y884" s="46"/>
      <c r="Z884" s="46"/>
      <c r="AA884" s="46"/>
      <c r="AB884" s="46"/>
      <c r="AC884" s="46"/>
      <c r="AD884" s="46"/>
      <c r="AE884" s="50">
        <f>IF(L884="W",1,0)</f>
        <v>0</v>
      </c>
      <c r="AF884" s="50">
        <f>IF(L884="T",1,0)</f>
        <v>1</v>
      </c>
      <c r="AG884" s="50">
        <f>IF(L884="L",1,0)</f>
        <v>0</v>
      </c>
      <c r="AH884" s="46" t="s">
        <v>588</v>
      </c>
      <c r="AI884" s="46" t="s">
        <v>1175</v>
      </c>
      <c r="AJ884" s="46" t="s">
        <v>376</v>
      </c>
      <c r="AK884" s="46" t="s">
        <v>658</v>
      </c>
      <c r="AL884" s="46" t="s">
        <v>588</v>
      </c>
      <c r="AM884" s="46" t="s">
        <v>1175</v>
      </c>
      <c r="AN884" s="46" t="s">
        <v>376</v>
      </c>
      <c r="AO884" s="46" t="s">
        <v>658</v>
      </c>
      <c r="AP884" s="46"/>
      <c r="AQ884" s="46">
        <v>2</v>
      </c>
      <c r="AR884" s="46"/>
      <c r="AS884" s="46"/>
      <c r="AT884" s="46" t="s">
        <v>1229</v>
      </c>
      <c r="AU884" s="46" t="s">
        <v>376</v>
      </c>
      <c r="AV884" s="46"/>
      <c r="AW884" s="46" t="s">
        <v>30</v>
      </c>
      <c r="AX884" s="46"/>
      <c r="AY884" s="46" t="s">
        <v>30</v>
      </c>
      <c r="AZ884" s="46"/>
      <c r="BA884" s="47"/>
      <c r="BB884" s="51"/>
      <c r="BC884" s="46"/>
      <c r="BD884" s="46"/>
      <c r="BE884" s="46"/>
      <c r="BF884" s="46">
        <v>1</v>
      </c>
      <c r="BG884" s="46">
        <v>1</v>
      </c>
      <c r="BH884" s="46">
        <v>1</v>
      </c>
      <c r="BI884" s="46" t="s">
        <v>588</v>
      </c>
      <c r="BJ884" s="46" t="s">
        <v>804</v>
      </c>
      <c r="BK884" s="46">
        <v>1977</v>
      </c>
      <c r="BL884" s="46" t="str">
        <f>BK884&amp;BI884</f>
        <v>1977Liverpool</v>
      </c>
      <c r="BM884" s="52" t="str">
        <f>IF(AD884="Home",BI884,IF(AD884="Away",BJ884,Q884))</f>
        <v>Manchester</v>
      </c>
      <c r="BN884" s="46"/>
      <c r="BO884" s="46"/>
      <c r="BP884" s="46"/>
      <c r="BQ884" s="46"/>
      <c r="BR884" s="46"/>
      <c r="BS884" s="46"/>
      <c r="BT884" s="46"/>
      <c r="BU884" s="46"/>
      <c r="BV884" s="46" t="s">
        <v>376</v>
      </c>
      <c r="BW884" s="46" t="s">
        <v>376</v>
      </c>
      <c r="BX884" s="46"/>
      <c r="BZ884" s="53"/>
      <c r="CA884" s="53"/>
      <c r="CB884" s="93" t="str">
        <f>IF(OR(C884="",A884="",B884=""),"",TEXT(C884,"0000")&amp;TEXT(A884,"00")&amp;TEXT(B884,"00"))</f>
        <v>19770423</v>
      </c>
    </row>
    <row r="885" spans="1:80" s="52" customFormat="1" ht="12.95" customHeight="1" x14ac:dyDescent="0.2">
      <c r="A885" s="46">
        <v>4</v>
      </c>
      <c r="B885" s="46">
        <v>23</v>
      </c>
      <c r="C885" s="46">
        <v>1977</v>
      </c>
      <c r="D885" s="46" t="s">
        <v>658</v>
      </c>
      <c r="E885" s="46" t="s">
        <v>551</v>
      </c>
      <c r="F885" s="47" t="s">
        <v>1010</v>
      </c>
      <c r="G885" s="46"/>
      <c r="H885" s="47" t="s">
        <v>1011</v>
      </c>
      <c r="I885" s="47"/>
      <c r="J885" s="48">
        <v>28238</v>
      </c>
      <c r="K885" s="46" t="s">
        <v>804</v>
      </c>
      <c r="L885" s="46" t="s">
        <v>1014</v>
      </c>
      <c r="M885" s="46" t="s">
        <v>588</v>
      </c>
      <c r="N885" s="49">
        <v>2</v>
      </c>
      <c r="O885" s="49">
        <v>2</v>
      </c>
      <c r="P885" s="47" t="s">
        <v>1226</v>
      </c>
      <c r="Q885" s="47" t="s">
        <v>1101</v>
      </c>
      <c r="R885" s="47" t="s">
        <v>376</v>
      </c>
      <c r="S885" s="46"/>
      <c r="T885" s="46"/>
      <c r="U885" s="46"/>
      <c r="V885" s="46"/>
      <c r="W885" s="46"/>
      <c r="X885" s="46"/>
      <c r="Y885" s="46"/>
      <c r="Z885" s="46"/>
      <c r="AA885" s="46"/>
      <c r="AB885" s="46"/>
      <c r="AC885" s="46"/>
      <c r="AD885" s="46"/>
      <c r="AE885" s="50">
        <f>IF(L885="W",1,0)</f>
        <v>0</v>
      </c>
      <c r="AF885" s="50">
        <f>IF(L885="T",1,0)</f>
        <v>1</v>
      </c>
      <c r="AG885" s="50">
        <f>IF(L885="L",1,0)</f>
        <v>0</v>
      </c>
      <c r="AH885" s="46" t="s">
        <v>588</v>
      </c>
      <c r="AI885" s="46" t="s">
        <v>1175</v>
      </c>
      <c r="AJ885" s="46" t="s">
        <v>376</v>
      </c>
      <c r="AK885" s="46" t="s">
        <v>658</v>
      </c>
      <c r="AL885" s="46" t="s">
        <v>588</v>
      </c>
      <c r="AM885" s="46" t="s">
        <v>1175</v>
      </c>
      <c r="AN885" s="46" t="s">
        <v>376</v>
      </c>
      <c r="AO885" s="46" t="s">
        <v>658</v>
      </c>
      <c r="AP885" s="46"/>
      <c r="AQ885" s="46">
        <v>2</v>
      </c>
      <c r="AR885" s="46"/>
      <c r="AS885" s="46"/>
      <c r="AT885" s="46" t="s">
        <v>1229</v>
      </c>
      <c r="AU885" s="46" t="s">
        <v>376</v>
      </c>
      <c r="AV885" s="46"/>
      <c r="AW885" s="46" t="s">
        <v>30</v>
      </c>
      <c r="AX885" s="46"/>
      <c r="AY885" s="46" t="s">
        <v>30</v>
      </c>
      <c r="AZ885" s="46"/>
      <c r="BA885" s="47"/>
      <c r="BB885" s="51"/>
      <c r="BC885" s="46"/>
      <c r="BD885" s="46"/>
      <c r="BE885" s="46"/>
      <c r="BF885" s="46">
        <v>1</v>
      </c>
      <c r="BG885" s="46">
        <v>1</v>
      </c>
      <c r="BH885" s="46">
        <v>1</v>
      </c>
      <c r="BI885" s="46" t="s">
        <v>804</v>
      </c>
      <c r="BJ885" s="46" t="s">
        <v>588</v>
      </c>
      <c r="BK885" s="46">
        <v>1977</v>
      </c>
      <c r="BL885" s="46" t="str">
        <f>BK885&amp;BI885</f>
        <v>1977Everton</v>
      </c>
      <c r="BM885" s="52" t="str">
        <f>IF(AD885="Home",BI885,IF(AD885="Away",BJ885,Q885))</f>
        <v>Manchester</v>
      </c>
      <c r="BN885" s="46"/>
      <c r="BO885" s="46"/>
      <c r="BP885" s="46"/>
      <c r="BQ885" s="46"/>
      <c r="BR885" s="46"/>
      <c r="BS885" s="46"/>
      <c r="BT885" s="46"/>
      <c r="BU885" s="46"/>
      <c r="BV885" s="46" t="s">
        <v>376</v>
      </c>
      <c r="BW885" s="46" t="s">
        <v>376</v>
      </c>
      <c r="BX885" s="46"/>
      <c r="BZ885" s="53"/>
      <c r="CA885" s="53"/>
      <c r="CB885" s="93" t="str">
        <f>IF(OR(C885="",A885="",B885=""),"",TEXT(C885,"0000")&amp;TEXT(A885,"00")&amp;TEXT(B885,"00"))</f>
        <v>19770423</v>
      </c>
    </row>
    <row r="886" spans="1:80" s="52" customFormat="1" ht="12.95" customHeight="1" x14ac:dyDescent="0.2">
      <c r="A886" s="46">
        <v>4</v>
      </c>
      <c r="B886" s="46">
        <v>27</v>
      </c>
      <c r="C886" s="46">
        <v>1977</v>
      </c>
      <c r="D886" s="46" t="s">
        <v>658</v>
      </c>
      <c r="E886" s="46" t="s">
        <v>551</v>
      </c>
      <c r="F886" s="47" t="s">
        <v>1010</v>
      </c>
      <c r="G886" s="46"/>
      <c r="H886" s="47" t="s">
        <v>1011</v>
      </c>
      <c r="I886" s="47" t="s">
        <v>1023</v>
      </c>
      <c r="J886" s="48">
        <v>28242</v>
      </c>
      <c r="K886" s="46" t="s">
        <v>588</v>
      </c>
      <c r="L886" s="46" t="s">
        <v>3</v>
      </c>
      <c r="M886" s="46" t="s">
        <v>804</v>
      </c>
      <c r="N886" s="49">
        <v>3</v>
      </c>
      <c r="O886" s="49">
        <v>0</v>
      </c>
      <c r="P886" s="47" t="s">
        <v>1226</v>
      </c>
      <c r="Q886" s="47" t="s">
        <v>1101</v>
      </c>
      <c r="R886" s="47" t="s">
        <v>376</v>
      </c>
      <c r="S886" s="46"/>
      <c r="T886" s="46"/>
      <c r="U886" s="46"/>
      <c r="V886" s="46"/>
      <c r="W886" s="46"/>
      <c r="X886" s="46"/>
      <c r="Y886" s="46"/>
      <c r="Z886" s="46"/>
      <c r="AA886" s="46"/>
      <c r="AB886" s="46"/>
      <c r="AC886" s="46"/>
      <c r="AD886" s="46"/>
      <c r="AE886" s="50">
        <f>IF(L886="W",1,0)</f>
        <v>1</v>
      </c>
      <c r="AF886" s="50">
        <f>IF(L886="T",1,0)</f>
        <v>0</v>
      </c>
      <c r="AG886" s="50">
        <f>IF(L886="L",1,0)</f>
        <v>0</v>
      </c>
      <c r="AH886" s="46" t="s">
        <v>588</v>
      </c>
      <c r="AI886" s="46" t="s">
        <v>1175</v>
      </c>
      <c r="AJ886" s="46" t="s">
        <v>376</v>
      </c>
      <c r="AK886" s="46" t="s">
        <v>658</v>
      </c>
      <c r="AL886" s="46" t="s">
        <v>588</v>
      </c>
      <c r="AM886" s="46" t="s">
        <v>1175</v>
      </c>
      <c r="AN886" s="46" t="s">
        <v>376</v>
      </c>
      <c r="AO886" s="46" t="s">
        <v>658</v>
      </c>
      <c r="AP886" s="46"/>
      <c r="AQ886" s="46">
        <v>2</v>
      </c>
      <c r="AR886" s="46"/>
      <c r="AS886" s="46"/>
      <c r="AT886" s="46" t="s">
        <v>1229</v>
      </c>
      <c r="AU886" s="46" t="s">
        <v>376</v>
      </c>
      <c r="AV886" s="46"/>
      <c r="AW886" s="46" t="s">
        <v>30</v>
      </c>
      <c r="AX886" s="46"/>
      <c r="AY886" s="46" t="s">
        <v>30</v>
      </c>
      <c r="AZ886" s="46"/>
      <c r="BA886" s="47"/>
      <c r="BB886" s="51"/>
      <c r="BC886" s="46"/>
      <c r="BD886" s="46"/>
      <c r="BE886" s="46"/>
      <c r="BF886" s="46">
        <v>1</v>
      </c>
      <c r="BG886" s="46">
        <v>1</v>
      </c>
      <c r="BH886" s="46">
        <v>1</v>
      </c>
      <c r="BI886" s="46" t="s">
        <v>588</v>
      </c>
      <c r="BJ886" s="46" t="s">
        <v>804</v>
      </c>
      <c r="BK886" s="46">
        <v>1977</v>
      </c>
      <c r="BL886" s="46" t="str">
        <f>BK886&amp;BI886</f>
        <v>1977Liverpool</v>
      </c>
      <c r="BM886" s="52" t="str">
        <f>IF(AD886="Home",BI886,IF(AD886="Away",BJ886,Q886))</f>
        <v>Manchester</v>
      </c>
      <c r="BN886" s="46"/>
      <c r="BO886" s="46"/>
      <c r="BP886" s="46"/>
      <c r="BQ886" s="46"/>
      <c r="BR886" s="46"/>
      <c r="BS886" s="46"/>
      <c r="BT886" s="46"/>
      <c r="BU886" s="46"/>
      <c r="BV886" s="46" t="s">
        <v>376</v>
      </c>
      <c r="BW886" s="46" t="s">
        <v>376</v>
      </c>
      <c r="BX886" s="46"/>
      <c r="BZ886" s="53"/>
      <c r="CA886" s="53"/>
      <c r="CB886" s="93" t="str">
        <f>IF(OR(C886="",A886="",B886=""),"",TEXT(C886,"0000")&amp;TEXT(A886,"00")&amp;TEXT(B886,"00"))</f>
        <v>19770427</v>
      </c>
    </row>
    <row r="887" spans="1:80" s="52" customFormat="1" ht="12.95" customHeight="1" x14ac:dyDescent="0.2">
      <c r="A887" s="46">
        <v>4</v>
      </c>
      <c r="B887" s="46">
        <v>27</v>
      </c>
      <c r="C887" s="46">
        <v>1977</v>
      </c>
      <c r="D887" s="46" t="s">
        <v>658</v>
      </c>
      <c r="E887" s="46" t="s">
        <v>551</v>
      </c>
      <c r="F887" s="47" t="s">
        <v>1010</v>
      </c>
      <c r="G887" s="46"/>
      <c r="H887" s="47" t="s">
        <v>1011</v>
      </c>
      <c r="I887" s="47" t="s">
        <v>1023</v>
      </c>
      <c r="J887" s="48">
        <v>28242</v>
      </c>
      <c r="K887" s="46" t="s">
        <v>804</v>
      </c>
      <c r="L887" s="46" t="s">
        <v>4</v>
      </c>
      <c r="M887" s="46" t="s">
        <v>588</v>
      </c>
      <c r="N887" s="49">
        <v>0</v>
      </c>
      <c r="O887" s="49">
        <v>3</v>
      </c>
      <c r="P887" s="47" t="s">
        <v>1226</v>
      </c>
      <c r="Q887" s="47" t="s">
        <v>1101</v>
      </c>
      <c r="R887" s="47" t="s">
        <v>376</v>
      </c>
      <c r="S887" s="46"/>
      <c r="T887" s="46"/>
      <c r="U887" s="46"/>
      <c r="V887" s="46"/>
      <c r="W887" s="46"/>
      <c r="X887" s="46"/>
      <c r="Y887" s="46"/>
      <c r="Z887" s="46"/>
      <c r="AA887" s="46"/>
      <c r="AB887" s="46"/>
      <c r="AC887" s="46"/>
      <c r="AD887" s="46"/>
      <c r="AE887" s="50">
        <f>IF(L887="W",1,0)</f>
        <v>0</v>
      </c>
      <c r="AF887" s="50">
        <f>IF(L887="T",1,0)</f>
        <v>0</v>
      </c>
      <c r="AG887" s="50">
        <f>IF(L887="L",1,0)</f>
        <v>1</v>
      </c>
      <c r="AH887" s="46" t="s">
        <v>588</v>
      </c>
      <c r="AI887" s="46" t="s">
        <v>1175</v>
      </c>
      <c r="AJ887" s="46" t="s">
        <v>376</v>
      </c>
      <c r="AK887" s="46" t="s">
        <v>658</v>
      </c>
      <c r="AL887" s="46" t="s">
        <v>588</v>
      </c>
      <c r="AM887" s="46" t="s">
        <v>1175</v>
      </c>
      <c r="AN887" s="46" t="s">
        <v>376</v>
      </c>
      <c r="AO887" s="46" t="s">
        <v>658</v>
      </c>
      <c r="AP887" s="46"/>
      <c r="AQ887" s="46">
        <v>2</v>
      </c>
      <c r="AR887" s="46"/>
      <c r="AS887" s="46"/>
      <c r="AT887" s="46" t="s">
        <v>1229</v>
      </c>
      <c r="AU887" s="46" t="s">
        <v>376</v>
      </c>
      <c r="AV887" s="46"/>
      <c r="AW887" s="46" t="s">
        <v>30</v>
      </c>
      <c r="AX887" s="46"/>
      <c r="AY887" s="46" t="s">
        <v>30</v>
      </c>
      <c r="AZ887" s="46"/>
      <c r="BA887" s="47"/>
      <c r="BB887" s="51"/>
      <c r="BC887" s="46"/>
      <c r="BD887" s="46"/>
      <c r="BE887" s="46"/>
      <c r="BF887" s="46">
        <v>1</v>
      </c>
      <c r="BG887" s="46">
        <v>1</v>
      </c>
      <c r="BH887" s="46">
        <v>1</v>
      </c>
      <c r="BI887" s="46" t="s">
        <v>804</v>
      </c>
      <c r="BJ887" s="46" t="s">
        <v>588</v>
      </c>
      <c r="BK887" s="46">
        <v>1977</v>
      </c>
      <c r="BL887" s="46" t="str">
        <f>BK887&amp;BI887</f>
        <v>1977Everton</v>
      </c>
      <c r="BM887" s="52" t="str">
        <f>IF(AD887="Home",BI887,IF(AD887="Away",BJ887,Q887))</f>
        <v>Manchester</v>
      </c>
      <c r="BN887" s="46"/>
      <c r="BO887" s="46"/>
      <c r="BP887" s="46"/>
      <c r="BQ887" s="46"/>
      <c r="BR887" s="46"/>
      <c r="BS887" s="46"/>
      <c r="BT887" s="46"/>
      <c r="BU887" s="46"/>
      <c r="BV887" s="46" t="s">
        <v>376</v>
      </c>
      <c r="BW887" s="46" t="s">
        <v>376</v>
      </c>
      <c r="BX887" s="46"/>
      <c r="BZ887" s="53"/>
      <c r="CA887" s="53"/>
      <c r="CB887" s="93" t="str">
        <f>IF(OR(C887="",A887="",B887=""),"",TEXT(C887,"0000")&amp;TEXT(A887,"00")&amp;TEXT(B887,"00"))</f>
        <v>19770427</v>
      </c>
    </row>
    <row r="888" spans="1:80" s="52" customFormat="1" ht="12.95" customHeight="1" x14ac:dyDescent="0.2">
      <c r="A888" s="46">
        <v>5</v>
      </c>
      <c r="B888" s="46">
        <v>21</v>
      </c>
      <c r="C888" s="46">
        <v>1977</v>
      </c>
      <c r="D888" s="46" t="s">
        <v>658</v>
      </c>
      <c r="E888" s="46" t="s">
        <v>551</v>
      </c>
      <c r="F888" s="47" t="s">
        <v>1010</v>
      </c>
      <c r="G888" s="46"/>
      <c r="H888" s="47" t="s">
        <v>1025</v>
      </c>
      <c r="I888" s="47"/>
      <c r="J888" s="48">
        <v>28266</v>
      </c>
      <c r="K888" s="46" t="s">
        <v>821</v>
      </c>
      <c r="L888" s="46" t="s">
        <v>3</v>
      </c>
      <c r="M888" s="46" t="s">
        <v>588</v>
      </c>
      <c r="N888" s="49">
        <v>2</v>
      </c>
      <c r="O888" s="49">
        <v>1</v>
      </c>
      <c r="P888" s="47" t="s">
        <v>1268</v>
      </c>
      <c r="Q888" s="47" t="s">
        <v>1017</v>
      </c>
      <c r="R888" s="47" t="s">
        <v>376</v>
      </c>
      <c r="S888" s="46"/>
      <c r="T888" s="46"/>
      <c r="U888" s="46"/>
      <c r="V888" s="46"/>
      <c r="W888" s="46"/>
      <c r="X888" s="46"/>
      <c r="Y888" s="46"/>
      <c r="Z888" s="46"/>
      <c r="AA888" s="46"/>
      <c r="AB888" s="46"/>
      <c r="AC888" s="46"/>
      <c r="AD888" s="46"/>
      <c r="AE888" s="50">
        <f>IF(L888="W",1,0)</f>
        <v>1</v>
      </c>
      <c r="AF888" s="50">
        <f>IF(L888="T",1,0)</f>
        <v>0</v>
      </c>
      <c r="AG888" s="50">
        <f>IF(L888="L",1,0)</f>
        <v>0</v>
      </c>
      <c r="AH888" s="46" t="s">
        <v>1101</v>
      </c>
      <c r="AI888" s="46" t="s">
        <v>1159</v>
      </c>
      <c r="AJ888" s="46" t="s">
        <v>376</v>
      </c>
      <c r="AK888" s="46" t="s">
        <v>658</v>
      </c>
      <c r="AL888" s="46" t="s">
        <v>588</v>
      </c>
      <c r="AM888" s="46" t="s">
        <v>1175</v>
      </c>
      <c r="AN888" s="46" t="s">
        <v>376</v>
      </c>
      <c r="AO888" s="46" t="s">
        <v>658</v>
      </c>
      <c r="AP888" s="46"/>
      <c r="AQ888" s="46">
        <v>1</v>
      </c>
      <c r="AR888" s="46"/>
      <c r="AS888" s="46"/>
      <c r="AT888" s="46" t="s">
        <v>1369</v>
      </c>
      <c r="AU888" s="46" t="s">
        <v>376</v>
      </c>
      <c r="AV888" s="46"/>
      <c r="AW888" s="46" t="s">
        <v>30</v>
      </c>
      <c r="AX888" s="46"/>
      <c r="AY888" s="46" t="s">
        <v>30</v>
      </c>
      <c r="AZ888" s="46"/>
      <c r="BA888" s="47"/>
      <c r="BB888" s="51" t="s">
        <v>30</v>
      </c>
      <c r="BC888" s="46" t="s">
        <v>30</v>
      </c>
      <c r="BD888" s="46"/>
      <c r="BE888" s="46"/>
      <c r="BF888" s="46">
        <v>1</v>
      </c>
      <c r="BG888" s="46">
        <v>1</v>
      </c>
      <c r="BH888" s="46">
        <v>1</v>
      </c>
      <c r="BI888" s="46" t="s">
        <v>821</v>
      </c>
      <c r="BJ888" s="46" t="s">
        <v>588</v>
      </c>
      <c r="BK888" s="46">
        <v>1977</v>
      </c>
      <c r="BL888" s="46" t="str">
        <f>BK888&amp;BI888</f>
        <v>1977Manchester United</v>
      </c>
      <c r="BM888" s="52" t="str">
        <f>IF(AD888="Home",BI888,IF(AD888="Away",BJ888,Q888))</f>
        <v>London</v>
      </c>
      <c r="BN888" s="46"/>
      <c r="BO888" s="46"/>
      <c r="BP888" s="46"/>
      <c r="BQ888" s="46"/>
      <c r="BR888" s="46"/>
      <c r="BS888" s="46"/>
      <c r="BT888" s="46"/>
      <c r="BU888" s="46"/>
      <c r="BV888" s="46" t="s">
        <v>376</v>
      </c>
      <c r="BW888" s="46" t="s">
        <v>376</v>
      </c>
      <c r="BX888" s="46"/>
      <c r="BZ888" s="53"/>
      <c r="CA888" s="53"/>
      <c r="CB888" s="93" t="str">
        <f>IF(OR(C888="",A888="",B888=""),"",TEXT(C888,"0000")&amp;TEXT(A888,"00")&amp;TEXT(B888,"00"))</f>
        <v>19770521</v>
      </c>
    </row>
    <row r="889" spans="1:80" s="52" customFormat="1" ht="12.95" customHeight="1" x14ac:dyDescent="0.2">
      <c r="A889" s="46">
        <v>5</v>
      </c>
      <c r="B889" s="46">
        <v>21</v>
      </c>
      <c r="C889" s="46">
        <v>1977</v>
      </c>
      <c r="D889" s="46" t="s">
        <v>658</v>
      </c>
      <c r="E889" s="46" t="s">
        <v>551</v>
      </c>
      <c r="F889" s="47" t="s">
        <v>1010</v>
      </c>
      <c r="G889" s="46"/>
      <c r="H889" s="47" t="s">
        <v>1025</v>
      </c>
      <c r="I889" s="47"/>
      <c r="J889" s="48">
        <v>28266</v>
      </c>
      <c r="K889" s="46" t="s">
        <v>588</v>
      </c>
      <c r="L889" s="46" t="s">
        <v>4</v>
      </c>
      <c r="M889" s="46" t="s">
        <v>821</v>
      </c>
      <c r="N889" s="49">
        <v>1</v>
      </c>
      <c r="O889" s="49">
        <v>2</v>
      </c>
      <c r="P889" s="47" t="s">
        <v>1268</v>
      </c>
      <c r="Q889" s="47" t="s">
        <v>1017</v>
      </c>
      <c r="R889" s="47" t="s">
        <v>376</v>
      </c>
      <c r="S889" s="46"/>
      <c r="T889" s="46"/>
      <c r="U889" s="46"/>
      <c r="V889" s="46"/>
      <c r="W889" s="46"/>
      <c r="X889" s="46"/>
      <c r="Y889" s="46"/>
      <c r="Z889" s="46"/>
      <c r="AA889" s="46"/>
      <c r="AB889" s="46"/>
      <c r="AC889" s="46"/>
      <c r="AD889" s="46"/>
      <c r="AE889" s="50">
        <f>IF(L889="W",1,0)</f>
        <v>0</v>
      </c>
      <c r="AF889" s="50">
        <f>IF(L889="T",1,0)</f>
        <v>0</v>
      </c>
      <c r="AG889" s="50">
        <f>IF(L889="L",1,0)</f>
        <v>1</v>
      </c>
      <c r="AH889" s="46" t="s">
        <v>588</v>
      </c>
      <c r="AI889" s="46" t="s">
        <v>1175</v>
      </c>
      <c r="AJ889" s="46" t="s">
        <v>376</v>
      </c>
      <c r="AK889" s="46" t="s">
        <v>658</v>
      </c>
      <c r="AL889" s="46" t="s">
        <v>1101</v>
      </c>
      <c r="AM889" s="46" t="s">
        <v>1159</v>
      </c>
      <c r="AN889" s="46" t="s">
        <v>376</v>
      </c>
      <c r="AO889" s="46" t="s">
        <v>658</v>
      </c>
      <c r="AP889" s="46"/>
      <c r="AQ889" s="46">
        <v>1</v>
      </c>
      <c r="AR889" s="46"/>
      <c r="AS889" s="46"/>
      <c r="AT889" s="46" t="s">
        <v>1369</v>
      </c>
      <c r="AU889" s="46" t="s">
        <v>376</v>
      </c>
      <c r="AV889" s="46"/>
      <c r="AW889" s="46" t="s">
        <v>30</v>
      </c>
      <c r="AX889" s="46"/>
      <c r="AY889" s="46" t="s">
        <v>30</v>
      </c>
      <c r="AZ889" s="46"/>
      <c r="BA889" s="47"/>
      <c r="BB889" s="51"/>
      <c r="BC889" s="46" t="s">
        <v>30</v>
      </c>
      <c r="BD889" s="46"/>
      <c r="BE889" s="46"/>
      <c r="BF889" s="46">
        <v>1</v>
      </c>
      <c r="BG889" s="46">
        <v>1</v>
      </c>
      <c r="BH889" s="46">
        <v>1</v>
      </c>
      <c r="BI889" s="46" t="s">
        <v>588</v>
      </c>
      <c r="BJ889" s="46" t="s">
        <v>821</v>
      </c>
      <c r="BK889" s="46">
        <v>1977</v>
      </c>
      <c r="BL889" s="46" t="str">
        <f>BK889&amp;BI889</f>
        <v>1977Liverpool</v>
      </c>
      <c r="BM889" s="52" t="str">
        <f>IF(AD889="Home",BI889,IF(AD889="Away",BJ889,Q889))</f>
        <v>London</v>
      </c>
      <c r="BN889" s="46"/>
      <c r="BO889" s="46"/>
      <c r="BP889" s="46"/>
      <c r="BQ889" s="46"/>
      <c r="BR889" s="46"/>
      <c r="BS889" s="46"/>
      <c r="BT889" s="46"/>
      <c r="BU889" s="46"/>
      <c r="BV889" s="46" t="s">
        <v>376</v>
      </c>
      <c r="BW889" s="46" t="s">
        <v>376</v>
      </c>
      <c r="BX889" s="46"/>
      <c r="BZ889" s="53"/>
      <c r="CA889" s="53"/>
      <c r="CB889" s="93" t="str">
        <f>IF(OR(C889="",A889="",B889=""),"",TEXT(C889,"0000")&amp;TEXT(A889,"00")&amp;TEXT(B889,"00"))</f>
        <v>19770521</v>
      </c>
    </row>
    <row r="890" spans="1:80" s="52" customFormat="1" ht="12.95" customHeight="1" x14ac:dyDescent="0.2">
      <c r="A890" s="46">
        <v>2</v>
      </c>
      <c r="B890" s="46">
        <v>7</v>
      </c>
      <c r="C890" s="46">
        <v>1978</v>
      </c>
      <c r="D890" s="46" t="s">
        <v>658</v>
      </c>
      <c r="E890" s="46" t="s">
        <v>549</v>
      </c>
      <c r="F890" s="54" t="s">
        <v>1327</v>
      </c>
      <c r="G890" s="46"/>
      <c r="H890" s="54" t="s">
        <v>1011</v>
      </c>
      <c r="I890" s="54">
        <v>1</v>
      </c>
      <c r="J890" s="55">
        <v>28528</v>
      </c>
      <c r="K890" s="46" t="s">
        <v>588</v>
      </c>
      <c r="L890" s="46" t="s">
        <v>3</v>
      </c>
      <c r="M890" s="46" t="s">
        <v>587</v>
      </c>
      <c r="N890" s="49">
        <v>2</v>
      </c>
      <c r="O890" s="49">
        <v>1</v>
      </c>
      <c r="P890" s="54" t="s">
        <v>1141</v>
      </c>
      <c r="Q890" s="54" t="s">
        <v>588</v>
      </c>
      <c r="R890" s="54" t="s">
        <v>376</v>
      </c>
      <c r="S890" s="46"/>
      <c r="T890" s="46"/>
      <c r="U890" s="46"/>
      <c r="V890" s="46"/>
      <c r="W890" s="46"/>
      <c r="X890" s="46"/>
      <c r="Y890" s="46"/>
      <c r="Z890" s="46"/>
      <c r="AA890" s="46"/>
      <c r="AB890" s="46"/>
      <c r="AC890" s="46"/>
      <c r="AD890" s="46" t="s">
        <v>1033</v>
      </c>
      <c r="AE890" s="50">
        <f>IF(L890="W",1,0)</f>
        <v>1</v>
      </c>
      <c r="AF890" s="50">
        <f>IF(L890="T",1,0)</f>
        <v>0</v>
      </c>
      <c r="AG890" s="50">
        <f>IF(L890="L",1,0)</f>
        <v>0</v>
      </c>
      <c r="AH890" s="46" t="s">
        <v>588</v>
      </c>
      <c r="AI890" s="46" t="s">
        <v>1175</v>
      </c>
      <c r="AJ890" s="46" t="s">
        <v>376</v>
      </c>
      <c r="AK890" s="46" t="s">
        <v>658</v>
      </c>
      <c r="AL890" s="46" t="s">
        <v>1017</v>
      </c>
      <c r="AM890" s="46" t="s">
        <v>1018</v>
      </c>
      <c r="AN890" s="46" t="s">
        <v>376</v>
      </c>
      <c r="AO890" s="46" t="s">
        <v>658</v>
      </c>
      <c r="AP890" s="46"/>
      <c r="AQ890" s="46">
        <v>2</v>
      </c>
      <c r="AR890" s="46"/>
      <c r="AS890" s="46"/>
      <c r="AT890" s="46"/>
      <c r="AU890" s="46" t="s">
        <v>376</v>
      </c>
      <c r="AV890" s="46"/>
      <c r="AW890" s="46" t="s">
        <v>30</v>
      </c>
      <c r="AX890" s="46"/>
      <c r="AY890" s="46"/>
      <c r="AZ890" s="46" t="s">
        <v>30</v>
      </c>
      <c r="BA890" s="54"/>
      <c r="BB890" s="51"/>
      <c r="BC890" s="46"/>
      <c r="BD890" s="46"/>
      <c r="BE890" s="46"/>
      <c r="BF890" s="46">
        <v>1</v>
      </c>
      <c r="BG890" s="46">
        <v>1</v>
      </c>
      <c r="BH890" s="46">
        <v>1</v>
      </c>
      <c r="BI890" s="46" t="s">
        <v>588</v>
      </c>
      <c r="BJ890" s="46" t="s">
        <v>587</v>
      </c>
      <c r="BK890" s="46">
        <v>1978</v>
      </c>
      <c r="BL890" s="46" t="str">
        <f>BK890&amp;BI890</f>
        <v>1978Liverpool</v>
      </c>
      <c r="BM890" s="52" t="str">
        <f>IF(AD890="Home",BI890,IF(AD890="Away",BJ890,Q890))</f>
        <v>Liverpool</v>
      </c>
      <c r="BN890" s="46"/>
      <c r="BO890" s="46"/>
      <c r="BP890" s="46"/>
      <c r="BQ890" s="46"/>
      <c r="BR890" s="46"/>
      <c r="BS890" s="46"/>
      <c r="BT890" s="46"/>
      <c r="BU890" s="46"/>
      <c r="BV890" s="46" t="s">
        <v>376</v>
      </c>
      <c r="BW890" s="46" t="s">
        <v>376</v>
      </c>
      <c r="BX890" s="46"/>
      <c r="BZ890" s="53"/>
      <c r="CA890" s="53"/>
      <c r="CB890" s="93" t="str">
        <f>IF(OR(C890="",A890="",B890=""),"",TEXT(C890,"0000")&amp;TEXT(A890,"00")&amp;TEXT(B890,"00"))</f>
        <v>19780207</v>
      </c>
    </row>
    <row r="891" spans="1:80" s="52" customFormat="1" ht="12.95" customHeight="1" x14ac:dyDescent="0.2">
      <c r="A891" s="46">
        <v>2</v>
      </c>
      <c r="B891" s="46">
        <v>7</v>
      </c>
      <c r="C891" s="46">
        <v>1978</v>
      </c>
      <c r="D891" s="46" t="s">
        <v>658</v>
      </c>
      <c r="E891" s="46" t="s">
        <v>549</v>
      </c>
      <c r="F891" s="54" t="s">
        <v>1327</v>
      </c>
      <c r="G891" s="46"/>
      <c r="H891" s="54" t="s">
        <v>1011</v>
      </c>
      <c r="I891" s="54">
        <v>1</v>
      </c>
      <c r="J891" s="55">
        <v>28528</v>
      </c>
      <c r="K891" s="46" t="s">
        <v>587</v>
      </c>
      <c r="L891" s="46" t="s">
        <v>4</v>
      </c>
      <c r="M891" s="46" t="s">
        <v>588</v>
      </c>
      <c r="N891" s="49">
        <v>1</v>
      </c>
      <c r="O891" s="49">
        <v>2</v>
      </c>
      <c r="P891" s="54" t="s">
        <v>1141</v>
      </c>
      <c r="Q891" s="54" t="s">
        <v>588</v>
      </c>
      <c r="R891" s="54" t="s">
        <v>376</v>
      </c>
      <c r="S891" s="46"/>
      <c r="T891" s="46"/>
      <c r="U891" s="46"/>
      <c r="V891" s="46"/>
      <c r="W891" s="46"/>
      <c r="X891" s="46"/>
      <c r="Y891" s="46"/>
      <c r="Z891" s="46"/>
      <c r="AA891" s="46"/>
      <c r="AB891" s="46"/>
      <c r="AC891" s="46"/>
      <c r="AD891" s="46" t="s">
        <v>1037</v>
      </c>
      <c r="AE891" s="50">
        <f>IF(L891="W",1,0)</f>
        <v>0</v>
      </c>
      <c r="AF891" s="50">
        <f>IF(L891="T",1,0)</f>
        <v>0</v>
      </c>
      <c r="AG891" s="50">
        <f>IF(L891="L",1,0)</f>
        <v>1</v>
      </c>
      <c r="AH891" s="46" t="s">
        <v>1017</v>
      </c>
      <c r="AI891" s="46" t="s">
        <v>1018</v>
      </c>
      <c r="AJ891" s="46" t="s">
        <v>376</v>
      </c>
      <c r="AK891" s="46" t="s">
        <v>658</v>
      </c>
      <c r="AL891" s="46" t="s">
        <v>588</v>
      </c>
      <c r="AM891" s="46" t="s">
        <v>1175</v>
      </c>
      <c r="AN891" s="46" t="s">
        <v>376</v>
      </c>
      <c r="AO891" s="46" t="s">
        <v>658</v>
      </c>
      <c r="AP891" s="46"/>
      <c r="AQ891" s="46">
        <v>2</v>
      </c>
      <c r="AR891" s="46"/>
      <c r="AS891" s="46"/>
      <c r="AT891" s="46"/>
      <c r="AU891" s="46" t="s">
        <v>376</v>
      </c>
      <c r="AV891" s="46"/>
      <c r="AW891" s="46" t="s">
        <v>30</v>
      </c>
      <c r="AX891" s="46"/>
      <c r="AY891" s="46"/>
      <c r="AZ891" s="46" t="s">
        <v>30</v>
      </c>
      <c r="BA891" s="54"/>
      <c r="BB891" s="51"/>
      <c r="BC891" s="46"/>
      <c r="BD891" s="46"/>
      <c r="BE891" s="46"/>
      <c r="BF891" s="46">
        <v>1</v>
      </c>
      <c r="BG891" s="46">
        <v>1</v>
      </c>
      <c r="BH891" s="46">
        <v>1</v>
      </c>
      <c r="BI891" s="46" t="s">
        <v>587</v>
      </c>
      <c r="BJ891" s="46" t="s">
        <v>588</v>
      </c>
      <c r="BK891" s="46">
        <v>1978</v>
      </c>
      <c r="BL891" s="46" t="str">
        <f>BK891&amp;BI891</f>
        <v>1978Arsenal</v>
      </c>
      <c r="BM891" s="52" t="str">
        <f>IF(AD891="Home",BI891,IF(AD891="Away",BJ891,Q891))</f>
        <v>Liverpool</v>
      </c>
      <c r="BN891" s="46"/>
      <c r="BO891" s="46"/>
      <c r="BP891" s="46"/>
      <c r="BQ891" s="46"/>
      <c r="BR891" s="46"/>
      <c r="BS891" s="46"/>
      <c r="BT891" s="46"/>
      <c r="BU891" s="46"/>
      <c r="BV891" s="46" t="s">
        <v>376</v>
      </c>
      <c r="BW891" s="46" t="s">
        <v>376</v>
      </c>
      <c r="BX891" s="46"/>
      <c r="BZ891" s="53"/>
      <c r="CA891" s="53"/>
      <c r="CB891" s="93" t="str">
        <f>IF(OR(C891="",A891="",B891=""),"",TEXT(C891,"0000")&amp;TEXT(A891,"00")&amp;TEXT(B891,"00"))</f>
        <v>19780207</v>
      </c>
    </row>
    <row r="892" spans="1:80" s="52" customFormat="1" ht="12.95" customHeight="1" x14ac:dyDescent="0.2">
      <c r="A892" s="46">
        <v>2</v>
      </c>
      <c r="B892" s="46">
        <v>8</v>
      </c>
      <c r="C892" s="46">
        <v>1978</v>
      </c>
      <c r="D892" s="46" t="s">
        <v>658</v>
      </c>
      <c r="E892" s="46" t="s">
        <v>549</v>
      </c>
      <c r="F892" s="54" t="s">
        <v>1327</v>
      </c>
      <c r="G892" s="46"/>
      <c r="H892" s="54" t="s">
        <v>1011</v>
      </c>
      <c r="I892" s="54">
        <v>1</v>
      </c>
      <c r="J892" s="55">
        <v>28529</v>
      </c>
      <c r="K892" s="46" t="s">
        <v>794</v>
      </c>
      <c r="L892" s="46" t="s">
        <v>4</v>
      </c>
      <c r="M892" s="46" t="s">
        <v>1072</v>
      </c>
      <c r="N892" s="49">
        <v>1</v>
      </c>
      <c r="O892" s="49">
        <v>3</v>
      </c>
      <c r="P892" s="54" t="s">
        <v>1240</v>
      </c>
      <c r="Q892" s="54" t="s">
        <v>1241</v>
      </c>
      <c r="R892" s="54" t="s">
        <v>376</v>
      </c>
      <c r="S892" s="46"/>
      <c r="T892" s="46"/>
      <c r="U892" s="46"/>
      <c r="V892" s="46"/>
      <c r="W892" s="46"/>
      <c r="X892" s="46"/>
      <c r="Y892" s="46"/>
      <c r="Z892" s="46"/>
      <c r="AA892" s="46"/>
      <c r="AB892" s="46"/>
      <c r="AC892" s="46"/>
      <c r="AD892" s="46" t="s">
        <v>1033</v>
      </c>
      <c r="AE892" s="50">
        <f>IF(L892="W",1,0)</f>
        <v>0</v>
      </c>
      <c r="AF892" s="50">
        <f>IF(L892="T",1,0)</f>
        <v>0</v>
      </c>
      <c r="AG892" s="50">
        <f>IF(L892="L",1,0)</f>
        <v>1</v>
      </c>
      <c r="AH892" s="46" t="s">
        <v>1241</v>
      </c>
      <c r="AI892" s="46" t="s">
        <v>1260</v>
      </c>
      <c r="AJ892" s="46" t="s">
        <v>376</v>
      </c>
      <c r="AK892" s="46" t="s">
        <v>658</v>
      </c>
      <c r="AL892" s="46" t="s">
        <v>1073</v>
      </c>
      <c r="AM892" s="46" t="s">
        <v>1074</v>
      </c>
      <c r="AN892" s="46" t="s">
        <v>376</v>
      </c>
      <c r="AO892" s="46" t="s">
        <v>658</v>
      </c>
      <c r="AP892" s="46"/>
      <c r="AQ892" s="46">
        <v>2</v>
      </c>
      <c r="AR892" s="46"/>
      <c r="AS892" s="46"/>
      <c r="AT892" s="46"/>
      <c r="AU892" s="46" t="s">
        <v>376</v>
      </c>
      <c r="AV892" s="46"/>
      <c r="AW892" s="46" t="s">
        <v>30</v>
      </c>
      <c r="AX892" s="46"/>
      <c r="AY892" s="46"/>
      <c r="AZ892" s="46" t="s">
        <v>30</v>
      </c>
      <c r="BA892" s="54"/>
      <c r="BB892" s="51"/>
      <c r="BC892" s="46"/>
      <c r="BD892" s="46"/>
      <c r="BE892" s="46"/>
      <c r="BF892" s="46">
        <v>1</v>
      </c>
      <c r="BG892" s="46">
        <v>1</v>
      </c>
      <c r="BH892" s="46">
        <v>1</v>
      </c>
      <c r="BI892" s="46" t="s">
        <v>794</v>
      </c>
      <c r="BJ892" s="46" t="s">
        <v>1072</v>
      </c>
      <c r="BK892" s="46">
        <v>1978</v>
      </c>
      <c r="BL892" s="46" t="str">
        <f>BK892&amp;BI892</f>
        <v>1978Leeds United</v>
      </c>
      <c r="BM892" s="52" t="str">
        <f>IF(AD892="Home",BI892,IF(AD892="Away",BJ892,Q892))</f>
        <v>Leeds United</v>
      </c>
      <c r="BN892" s="46"/>
      <c r="BO892" s="46"/>
      <c r="BP892" s="46"/>
      <c r="BQ892" s="46"/>
      <c r="BR892" s="46"/>
      <c r="BS892" s="46"/>
      <c r="BT892" s="46"/>
      <c r="BU892" s="46"/>
      <c r="BV892" s="46" t="s">
        <v>376</v>
      </c>
      <c r="BW892" s="46" t="s">
        <v>376</v>
      </c>
      <c r="BX892" s="46"/>
      <c r="BZ892" s="53"/>
      <c r="CA892" s="53"/>
      <c r="CB892" s="93" t="str">
        <f>IF(OR(C892="",A892="",B892=""),"",TEXT(C892,"0000")&amp;TEXT(A892,"00")&amp;TEXT(B892,"00"))</f>
        <v>19780208</v>
      </c>
    </row>
    <row r="893" spans="1:80" s="52" customFormat="1" ht="12.95" customHeight="1" x14ac:dyDescent="0.2">
      <c r="A893" s="46">
        <v>2</v>
      </c>
      <c r="B893" s="46">
        <v>8</v>
      </c>
      <c r="C893" s="46">
        <v>1978</v>
      </c>
      <c r="D893" s="46" t="s">
        <v>658</v>
      </c>
      <c r="E893" s="46" t="s">
        <v>549</v>
      </c>
      <c r="F893" s="54" t="s">
        <v>1327</v>
      </c>
      <c r="G893" s="46"/>
      <c r="H893" s="54" t="s">
        <v>1011</v>
      </c>
      <c r="I893" s="54">
        <v>1</v>
      </c>
      <c r="J893" s="55">
        <v>28529</v>
      </c>
      <c r="K893" s="46" t="s">
        <v>1072</v>
      </c>
      <c r="L893" s="46" t="s">
        <v>3</v>
      </c>
      <c r="M893" s="46" t="s">
        <v>794</v>
      </c>
      <c r="N893" s="49">
        <v>3</v>
      </c>
      <c r="O893" s="49">
        <v>1</v>
      </c>
      <c r="P893" s="54" t="s">
        <v>1240</v>
      </c>
      <c r="Q893" s="54" t="s">
        <v>1241</v>
      </c>
      <c r="R893" s="54" t="s">
        <v>376</v>
      </c>
      <c r="S893" s="46"/>
      <c r="T893" s="46"/>
      <c r="U893" s="46"/>
      <c r="V893" s="46"/>
      <c r="W893" s="46"/>
      <c r="X893" s="46"/>
      <c r="Y893" s="46"/>
      <c r="Z893" s="46"/>
      <c r="AA893" s="46"/>
      <c r="AB893" s="46"/>
      <c r="AC893" s="46"/>
      <c r="AD893" s="46" t="s">
        <v>1037</v>
      </c>
      <c r="AE893" s="50">
        <f>IF(L893="W",1,0)</f>
        <v>1</v>
      </c>
      <c r="AF893" s="50">
        <f>IF(L893="T",1,0)</f>
        <v>0</v>
      </c>
      <c r="AG893" s="50">
        <f>IF(L893="L",1,0)</f>
        <v>0</v>
      </c>
      <c r="AH893" s="46" t="s">
        <v>1073</v>
      </c>
      <c r="AI893" s="46" t="s">
        <v>1074</v>
      </c>
      <c r="AJ893" s="46" t="s">
        <v>376</v>
      </c>
      <c r="AK893" s="46" t="s">
        <v>658</v>
      </c>
      <c r="AL893" s="46" t="s">
        <v>1241</v>
      </c>
      <c r="AM893" s="46" t="s">
        <v>1260</v>
      </c>
      <c r="AN893" s="46" t="s">
        <v>376</v>
      </c>
      <c r="AO893" s="46" t="s">
        <v>658</v>
      </c>
      <c r="AP893" s="46"/>
      <c r="AQ893" s="46">
        <v>2</v>
      </c>
      <c r="AR893" s="46"/>
      <c r="AS893" s="46"/>
      <c r="AT893" s="46"/>
      <c r="AU893" s="46" t="s">
        <v>376</v>
      </c>
      <c r="AV893" s="46"/>
      <c r="AW893" s="46" t="s">
        <v>30</v>
      </c>
      <c r="AX893" s="46"/>
      <c r="AY893" s="46"/>
      <c r="AZ893" s="46" t="s">
        <v>30</v>
      </c>
      <c r="BA893" s="54"/>
      <c r="BB893" s="51"/>
      <c r="BC893" s="46"/>
      <c r="BD893" s="46"/>
      <c r="BE893" s="46"/>
      <c r="BF893" s="46">
        <v>1</v>
      </c>
      <c r="BG893" s="46">
        <v>1</v>
      </c>
      <c r="BH893" s="46">
        <v>1</v>
      </c>
      <c r="BI893" s="46" t="s">
        <v>1072</v>
      </c>
      <c r="BJ893" s="46" t="s">
        <v>794</v>
      </c>
      <c r="BK893" s="46">
        <v>1978</v>
      </c>
      <c r="BL893" s="46" t="str">
        <f>BK893&amp;BI893</f>
        <v>1978Nottingham Forest</v>
      </c>
      <c r="BM893" s="52" t="str">
        <f>IF(AD893="Home",BI893,IF(AD893="Away",BJ893,Q893))</f>
        <v>Leeds United</v>
      </c>
      <c r="BN893" s="46"/>
      <c r="BO893" s="46"/>
      <c r="BP893" s="46"/>
      <c r="BQ893" s="46"/>
      <c r="BR893" s="46"/>
      <c r="BS893" s="46"/>
      <c r="BT893" s="46"/>
      <c r="BU893" s="46"/>
      <c r="BV893" s="46" t="s">
        <v>376</v>
      </c>
      <c r="BW893" s="46" t="s">
        <v>376</v>
      </c>
      <c r="BX893" s="46"/>
      <c r="BZ893" s="53"/>
      <c r="CA893" s="53"/>
      <c r="CB893" s="93" t="str">
        <f>IF(OR(C893="",A893="",B893=""),"",TEXT(C893,"0000")&amp;TEXT(A893,"00")&amp;TEXT(B893,"00"))</f>
        <v>19780208</v>
      </c>
    </row>
    <row r="894" spans="1:80" s="52" customFormat="1" ht="12.95" customHeight="1" x14ac:dyDescent="0.2">
      <c r="A894" s="46">
        <v>2</v>
      </c>
      <c r="B894" s="46">
        <v>14</v>
      </c>
      <c r="C894" s="46">
        <v>1978</v>
      </c>
      <c r="D894" s="46" t="s">
        <v>658</v>
      </c>
      <c r="E894" s="46" t="s">
        <v>549</v>
      </c>
      <c r="F894" s="54" t="s">
        <v>1327</v>
      </c>
      <c r="G894" s="46"/>
      <c r="H894" s="54" t="s">
        <v>1011</v>
      </c>
      <c r="I894" s="54">
        <v>2</v>
      </c>
      <c r="J894" s="55">
        <v>28535</v>
      </c>
      <c r="K894" s="46" t="s">
        <v>587</v>
      </c>
      <c r="L894" s="46" t="s">
        <v>1014</v>
      </c>
      <c r="M894" s="46" t="s">
        <v>588</v>
      </c>
      <c r="N894" s="49">
        <v>0</v>
      </c>
      <c r="O894" s="49">
        <v>0</v>
      </c>
      <c r="P894" s="54" t="s">
        <v>1281</v>
      </c>
      <c r="Q894" s="54" t="s">
        <v>1017</v>
      </c>
      <c r="R894" s="54" t="s">
        <v>376</v>
      </c>
      <c r="S894" s="46"/>
      <c r="T894" s="46"/>
      <c r="U894" s="46"/>
      <c r="V894" s="46"/>
      <c r="W894" s="46"/>
      <c r="X894" s="46"/>
      <c r="Y894" s="46"/>
      <c r="Z894" s="46"/>
      <c r="AA894" s="46"/>
      <c r="AB894" s="46"/>
      <c r="AC894" s="46"/>
      <c r="AD894" s="46" t="s">
        <v>1033</v>
      </c>
      <c r="AE894" s="50">
        <f>IF(L894="W",1,0)</f>
        <v>0</v>
      </c>
      <c r="AF894" s="50">
        <f>IF(L894="T",1,0)</f>
        <v>1</v>
      </c>
      <c r="AG894" s="50">
        <f>IF(L894="L",1,0)</f>
        <v>0</v>
      </c>
      <c r="AH894" s="46" t="s">
        <v>1017</v>
      </c>
      <c r="AI894" s="46" t="s">
        <v>1018</v>
      </c>
      <c r="AJ894" s="46" t="s">
        <v>376</v>
      </c>
      <c r="AK894" s="46" t="s">
        <v>658</v>
      </c>
      <c r="AL894" s="46" t="s">
        <v>588</v>
      </c>
      <c r="AM894" s="46" t="s">
        <v>1175</v>
      </c>
      <c r="AN894" s="46" t="s">
        <v>376</v>
      </c>
      <c r="AO894" s="46" t="s">
        <v>658</v>
      </c>
      <c r="AP894" s="46"/>
      <c r="AQ894" s="46">
        <v>2</v>
      </c>
      <c r="AR894" s="46"/>
      <c r="AS894" s="46"/>
      <c r="AT894" s="46"/>
      <c r="AU894" s="46" t="s">
        <v>376</v>
      </c>
      <c r="AV894" s="46"/>
      <c r="AW894" s="46" t="s">
        <v>30</v>
      </c>
      <c r="AX894" s="46"/>
      <c r="AY894" s="46"/>
      <c r="AZ894" s="46" t="s">
        <v>30</v>
      </c>
      <c r="BA894" s="54"/>
      <c r="BB894" s="51"/>
      <c r="BC894" s="46"/>
      <c r="BD894" s="46"/>
      <c r="BE894" s="46"/>
      <c r="BF894" s="46">
        <v>1</v>
      </c>
      <c r="BG894" s="46">
        <v>1</v>
      </c>
      <c r="BH894" s="46">
        <v>1</v>
      </c>
      <c r="BI894" s="46" t="s">
        <v>587</v>
      </c>
      <c r="BJ894" s="46" t="s">
        <v>588</v>
      </c>
      <c r="BK894" s="46">
        <v>1978</v>
      </c>
      <c r="BL894" s="46" t="str">
        <f>BK894&amp;BI894</f>
        <v>1978Arsenal</v>
      </c>
      <c r="BM894" s="52" t="str">
        <f>IF(AD894="Home",BI894,IF(AD894="Away",BJ894,Q894))</f>
        <v>Arsenal</v>
      </c>
      <c r="BN894" s="46"/>
      <c r="BO894" s="46"/>
      <c r="BP894" s="46"/>
      <c r="BQ894" s="46"/>
      <c r="BR894" s="46"/>
      <c r="BS894" s="46"/>
      <c r="BT894" s="46"/>
      <c r="BU894" s="46"/>
      <c r="BV894" s="46" t="s">
        <v>376</v>
      </c>
      <c r="BW894" s="46" t="s">
        <v>376</v>
      </c>
      <c r="BX894" s="46"/>
      <c r="BZ894" s="53"/>
      <c r="CA894" s="53"/>
      <c r="CB894" s="93" t="str">
        <f>IF(OR(C894="",A894="",B894=""),"",TEXT(C894,"0000")&amp;TEXT(A894,"00")&amp;TEXT(B894,"00"))</f>
        <v>19780214</v>
      </c>
    </row>
    <row r="895" spans="1:80" s="52" customFormat="1" ht="12.95" customHeight="1" x14ac:dyDescent="0.2">
      <c r="A895" s="46">
        <v>2</v>
      </c>
      <c r="B895" s="46">
        <v>14</v>
      </c>
      <c r="C895" s="46">
        <v>1978</v>
      </c>
      <c r="D895" s="46" t="s">
        <v>658</v>
      </c>
      <c r="E895" s="46" t="s">
        <v>549</v>
      </c>
      <c r="F895" s="54" t="s">
        <v>1327</v>
      </c>
      <c r="G895" s="46"/>
      <c r="H895" s="54" t="s">
        <v>1011</v>
      </c>
      <c r="I895" s="54">
        <v>2</v>
      </c>
      <c r="J895" s="55">
        <v>28535</v>
      </c>
      <c r="K895" s="46" t="s">
        <v>588</v>
      </c>
      <c r="L895" s="46" t="s">
        <v>1014</v>
      </c>
      <c r="M895" s="46" t="s">
        <v>587</v>
      </c>
      <c r="N895" s="49">
        <v>0</v>
      </c>
      <c r="O895" s="49">
        <v>0</v>
      </c>
      <c r="P895" s="54" t="s">
        <v>1281</v>
      </c>
      <c r="Q895" s="54" t="s">
        <v>1017</v>
      </c>
      <c r="R895" s="54" t="s">
        <v>376</v>
      </c>
      <c r="S895" s="46"/>
      <c r="T895" s="46"/>
      <c r="U895" s="46"/>
      <c r="V895" s="46"/>
      <c r="W895" s="46"/>
      <c r="X895" s="46"/>
      <c r="Y895" s="46"/>
      <c r="Z895" s="46"/>
      <c r="AA895" s="46"/>
      <c r="AB895" s="46"/>
      <c r="AC895" s="46"/>
      <c r="AD895" s="46" t="s">
        <v>1037</v>
      </c>
      <c r="AE895" s="50">
        <f>IF(L895="W",1,0)</f>
        <v>0</v>
      </c>
      <c r="AF895" s="50">
        <f>IF(L895="T",1,0)</f>
        <v>1</v>
      </c>
      <c r="AG895" s="50">
        <f>IF(L895="L",1,0)</f>
        <v>0</v>
      </c>
      <c r="AH895" s="46" t="s">
        <v>588</v>
      </c>
      <c r="AI895" s="46" t="s">
        <v>1175</v>
      </c>
      <c r="AJ895" s="46" t="s">
        <v>376</v>
      </c>
      <c r="AK895" s="46" t="s">
        <v>658</v>
      </c>
      <c r="AL895" s="46" t="s">
        <v>1017</v>
      </c>
      <c r="AM895" s="46" t="s">
        <v>1018</v>
      </c>
      <c r="AN895" s="46" t="s">
        <v>376</v>
      </c>
      <c r="AO895" s="46" t="s">
        <v>658</v>
      </c>
      <c r="AP895" s="46"/>
      <c r="AQ895" s="46">
        <v>2</v>
      </c>
      <c r="AR895" s="46"/>
      <c r="AS895" s="46"/>
      <c r="AT895" s="46"/>
      <c r="AU895" s="46" t="s">
        <v>376</v>
      </c>
      <c r="AV895" s="46"/>
      <c r="AW895" s="46" t="s">
        <v>30</v>
      </c>
      <c r="AX895" s="46"/>
      <c r="AY895" s="46"/>
      <c r="AZ895" s="46" t="s">
        <v>30</v>
      </c>
      <c r="BA895" s="54"/>
      <c r="BB895" s="51"/>
      <c r="BC895" s="46"/>
      <c r="BD895" s="46"/>
      <c r="BE895" s="46"/>
      <c r="BF895" s="46">
        <v>1</v>
      </c>
      <c r="BG895" s="46">
        <v>1</v>
      </c>
      <c r="BH895" s="46">
        <v>1</v>
      </c>
      <c r="BI895" s="46" t="s">
        <v>588</v>
      </c>
      <c r="BJ895" s="46" t="s">
        <v>587</v>
      </c>
      <c r="BK895" s="46">
        <v>1978</v>
      </c>
      <c r="BL895" s="46" t="str">
        <f>BK895&amp;BI895</f>
        <v>1978Liverpool</v>
      </c>
      <c r="BM895" s="52" t="str">
        <f>IF(AD895="Home",BI895,IF(AD895="Away",BJ895,Q895))</f>
        <v>Arsenal</v>
      </c>
      <c r="BN895" s="46"/>
      <c r="BO895" s="46"/>
      <c r="BP895" s="46"/>
      <c r="BQ895" s="46"/>
      <c r="BR895" s="46"/>
      <c r="BS895" s="46"/>
      <c r="BT895" s="46"/>
      <c r="BU895" s="46"/>
      <c r="BV895" s="46" t="s">
        <v>376</v>
      </c>
      <c r="BW895" s="46" t="s">
        <v>376</v>
      </c>
      <c r="BX895" s="46"/>
      <c r="BZ895" s="53"/>
      <c r="CA895" s="53"/>
      <c r="CB895" s="93" t="str">
        <f>IF(OR(C895="",A895="",B895=""),"",TEXT(C895,"0000")&amp;TEXT(A895,"00")&amp;TEXT(B895,"00"))</f>
        <v>19780214</v>
      </c>
    </row>
    <row r="896" spans="1:80" s="52" customFormat="1" ht="12.95" customHeight="1" x14ac:dyDescent="0.2">
      <c r="A896" s="46">
        <v>2</v>
      </c>
      <c r="B896" s="46">
        <v>22</v>
      </c>
      <c r="C896" s="46">
        <v>1978</v>
      </c>
      <c r="D896" s="46" t="s">
        <v>658</v>
      </c>
      <c r="E896" s="46" t="s">
        <v>549</v>
      </c>
      <c r="F896" s="54" t="s">
        <v>1327</v>
      </c>
      <c r="G896" s="46"/>
      <c r="H896" s="54" t="s">
        <v>1011</v>
      </c>
      <c r="I896" s="54">
        <v>2</v>
      </c>
      <c r="J896" s="55">
        <v>28543</v>
      </c>
      <c r="K896" s="46" t="s">
        <v>1072</v>
      </c>
      <c r="L896" s="46" t="s">
        <v>3</v>
      </c>
      <c r="M896" s="46" t="s">
        <v>794</v>
      </c>
      <c r="N896" s="49">
        <v>4</v>
      </c>
      <c r="O896" s="49">
        <v>2</v>
      </c>
      <c r="P896" s="54" t="s">
        <v>1135</v>
      </c>
      <c r="Q896" s="54" t="s">
        <v>1073</v>
      </c>
      <c r="R896" s="54" t="s">
        <v>376</v>
      </c>
      <c r="S896" s="46"/>
      <c r="T896" s="46"/>
      <c r="U896" s="46"/>
      <c r="V896" s="46"/>
      <c r="W896" s="46"/>
      <c r="X896" s="46"/>
      <c r="Y896" s="46"/>
      <c r="Z896" s="46"/>
      <c r="AA896" s="46"/>
      <c r="AB896" s="46"/>
      <c r="AC896" s="46"/>
      <c r="AD896" s="46" t="s">
        <v>1033</v>
      </c>
      <c r="AE896" s="50">
        <f>IF(L896="W",1,0)</f>
        <v>1</v>
      </c>
      <c r="AF896" s="50">
        <f>IF(L896="T",1,0)</f>
        <v>0</v>
      </c>
      <c r="AG896" s="50">
        <f>IF(L896="L",1,0)</f>
        <v>0</v>
      </c>
      <c r="AH896" s="46" t="s">
        <v>1073</v>
      </c>
      <c r="AI896" s="46" t="s">
        <v>1074</v>
      </c>
      <c r="AJ896" s="46" t="s">
        <v>376</v>
      </c>
      <c r="AK896" s="46" t="s">
        <v>658</v>
      </c>
      <c r="AL896" s="46" t="s">
        <v>1241</v>
      </c>
      <c r="AM896" s="46" t="s">
        <v>1260</v>
      </c>
      <c r="AN896" s="46" t="s">
        <v>376</v>
      </c>
      <c r="AO896" s="46" t="s">
        <v>658</v>
      </c>
      <c r="AP896" s="46"/>
      <c r="AQ896" s="46">
        <v>2</v>
      </c>
      <c r="AR896" s="46"/>
      <c r="AS896" s="46"/>
      <c r="AT896" s="46"/>
      <c r="AU896" s="46" t="s">
        <v>376</v>
      </c>
      <c r="AV896" s="46"/>
      <c r="AW896" s="46" t="s">
        <v>30</v>
      </c>
      <c r="AX896" s="46"/>
      <c r="AY896" s="46"/>
      <c r="AZ896" s="46" t="s">
        <v>30</v>
      </c>
      <c r="BA896" s="54"/>
      <c r="BB896" s="51"/>
      <c r="BC896" s="46"/>
      <c r="BD896" s="46"/>
      <c r="BE896" s="46"/>
      <c r="BF896" s="46">
        <v>1</v>
      </c>
      <c r="BG896" s="46">
        <v>1</v>
      </c>
      <c r="BH896" s="46">
        <v>1</v>
      </c>
      <c r="BI896" s="46" t="s">
        <v>1072</v>
      </c>
      <c r="BJ896" s="46" t="s">
        <v>794</v>
      </c>
      <c r="BK896" s="46">
        <v>1978</v>
      </c>
      <c r="BL896" s="46" t="str">
        <f>BK896&amp;BI896</f>
        <v>1978Nottingham Forest</v>
      </c>
      <c r="BM896" s="52" t="str">
        <f>IF(AD896="Home",BI896,IF(AD896="Away",BJ896,Q896))</f>
        <v>Nottingham Forest</v>
      </c>
      <c r="BN896" s="46"/>
      <c r="BO896" s="46"/>
      <c r="BP896" s="46"/>
      <c r="BQ896" s="46"/>
      <c r="BR896" s="46"/>
      <c r="BS896" s="46"/>
      <c r="BT896" s="46"/>
      <c r="BU896" s="46"/>
      <c r="BV896" s="46" t="s">
        <v>376</v>
      </c>
      <c r="BW896" s="46" t="s">
        <v>376</v>
      </c>
      <c r="BX896" s="46"/>
      <c r="BY896" s="35"/>
      <c r="BZ896" s="53"/>
      <c r="CA896" s="53"/>
      <c r="CB896" s="93" t="str">
        <f>IF(OR(C896="",A896="",B896=""),"",TEXT(C896,"0000")&amp;TEXT(A896,"00")&amp;TEXT(B896,"00"))</f>
        <v>19780222</v>
      </c>
    </row>
    <row r="897" spans="1:80" s="52" customFormat="1" ht="12.95" customHeight="1" x14ac:dyDescent="0.2">
      <c r="A897" s="46">
        <v>2</v>
      </c>
      <c r="B897" s="46">
        <v>22</v>
      </c>
      <c r="C897" s="46">
        <v>1978</v>
      </c>
      <c r="D897" s="46" t="s">
        <v>658</v>
      </c>
      <c r="E897" s="46" t="s">
        <v>549</v>
      </c>
      <c r="F897" s="54" t="s">
        <v>1327</v>
      </c>
      <c r="G897" s="46"/>
      <c r="H897" s="54" t="s">
        <v>1011</v>
      </c>
      <c r="I897" s="54">
        <v>2</v>
      </c>
      <c r="J897" s="55">
        <v>28543</v>
      </c>
      <c r="K897" s="46" t="s">
        <v>794</v>
      </c>
      <c r="L897" s="46" t="s">
        <v>4</v>
      </c>
      <c r="M897" s="46" t="s">
        <v>1072</v>
      </c>
      <c r="N897" s="49">
        <v>2</v>
      </c>
      <c r="O897" s="49">
        <v>4</v>
      </c>
      <c r="P897" s="54" t="s">
        <v>1135</v>
      </c>
      <c r="Q897" s="54" t="s">
        <v>1073</v>
      </c>
      <c r="R897" s="54" t="s">
        <v>376</v>
      </c>
      <c r="S897" s="46"/>
      <c r="T897" s="46"/>
      <c r="U897" s="46"/>
      <c r="V897" s="46"/>
      <c r="W897" s="46"/>
      <c r="X897" s="46"/>
      <c r="Y897" s="46"/>
      <c r="Z897" s="46"/>
      <c r="AA897" s="46"/>
      <c r="AB897" s="46"/>
      <c r="AC897" s="46"/>
      <c r="AD897" s="46" t="s">
        <v>1037</v>
      </c>
      <c r="AE897" s="50">
        <f>IF(L897="W",1,0)</f>
        <v>0</v>
      </c>
      <c r="AF897" s="50">
        <f>IF(L897="T",1,0)</f>
        <v>0</v>
      </c>
      <c r="AG897" s="50">
        <f>IF(L897="L",1,0)</f>
        <v>1</v>
      </c>
      <c r="AH897" s="46" t="s">
        <v>1241</v>
      </c>
      <c r="AI897" s="46" t="s">
        <v>1260</v>
      </c>
      <c r="AJ897" s="46" t="s">
        <v>376</v>
      </c>
      <c r="AK897" s="46" t="s">
        <v>658</v>
      </c>
      <c r="AL897" s="46" t="s">
        <v>1073</v>
      </c>
      <c r="AM897" s="46" t="s">
        <v>1074</v>
      </c>
      <c r="AN897" s="46" t="s">
        <v>376</v>
      </c>
      <c r="AO897" s="46" t="s">
        <v>658</v>
      </c>
      <c r="AP897" s="46"/>
      <c r="AQ897" s="46">
        <v>2</v>
      </c>
      <c r="AR897" s="46"/>
      <c r="AS897" s="46"/>
      <c r="AT897" s="46"/>
      <c r="AU897" s="46" t="s">
        <v>376</v>
      </c>
      <c r="AV897" s="46"/>
      <c r="AW897" s="46" t="s">
        <v>30</v>
      </c>
      <c r="AX897" s="46"/>
      <c r="AY897" s="46"/>
      <c r="AZ897" s="46" t="s">
        <v>30</v>
      </c>
      <c r="BA897" s="54"/>
      <c r="BB897" s="51"/>
      <c r="BC897" s="46"/>
      <c r="BD897" s="46"/>
      <c r="BE897" s="46"/>
      <c r="BF897" s="46">
        <v>1</v>
      </c>
      <c r="BG897" s="46">
        <v>1</v>
      </c>
      <c r="BH897" s="46">
        <v>1</v>
      </c>
      <c r="BI897" s="46" t="s">
        <v>794</v>
      </c>
      <c r="BJ897" s="46" t="s">
        <v>1072</v>
      </c>
      <c r="BK897" s="46">
        <v>1978</v>
      </c>
      <c r="BL897" s="46" t="str">
        <f>BK897&amp;BI897</f>
        <v>1978Leeds United</v>
      </c>
      <c r="BM897" s="52" t="str">
        <f>IF(AD897="Home",BI897,IF(AD897="Away",BJ897,Q897))</f>
        <v>Nottingham Forest</v>
      </c>
      <c r="BN897" s="46"/>
      <c r="BO897" s="46"/>
      <c r="BP897" s="46"/>
      <c r="BQ897" s="46"/>
      <c r="BR897" s="46"/>
      <c r="BS897" s="46"/>
      <c r="BT897" s="46"/>
      <c r="BU897" s="46"/>
      <c r="BV897" s="46" t="s">
        <v>376</v>
      </c>
      <c r="BW897" s="46" t="s">
        <v>376</v>
      </c>
      <c r="BX897" s="46"/>
      <c r="BY897" s="35"/>
      <c r="BZ897" s="53"/>
      <c r="CA897" s="53"/>
      <c r="CB897" s="93" t="str">
        <f>IF(OR(C897="",A897="",B897=""),"",TEXT(C897,"0000")&amp;TEXT(A897,"00")&amp;TEXT(B897,"00"))</f>
        <v>19780222</v>
      </c>
    </row>
    <row r="898" spans="1:80" s="52" customFormat="1" ht="12.95" customHeight="1" x14ac:dyDescent="0.2">
      <c r="A898" s="46">
        <v>3</v>
      </c>
      <c r="B898" s="46">
        <v>18</v>
      </c>
      <c r="C898" s="46">
        <v>1978</v>
      </c>
      <c r="D898" s="46" t="s">
        <v>658</v>
      </c>
      <c r="E898" s="46" t="s">
        <v>549</v>
      </c>
      <c r="F898" s="54" t="s">
        <v>1327</v>
      </c>
      <c r="G898" s="46"/>
      <c r="H898" s="54" t="s">
        <v>40</v>
      </c>
      <c r="I898" s="54"/>
      <c r="J898" s="55">
        <v>28567</v>
      </c>
      <c r="K898" s="46" t="s">
        <v>1072</v>
      </c>
      <c r="L898" s="46" t="s">
        <v>1014</v>
      </c>
      <c r="M898" s="46" t="s">
        <v>588</v>
      </c>
      <c r="N898" s="49">
        <v>0</v>
      </c>
      <c r="O898" s="49">
        <v>0</v>
      </c>
      <c r="P898" s="54" t="s">
        <v>1268</v>
      </c>
      <c r="Q898" s="54" t="s">
        <v>1017</v>
      </c>
      <c r="R898" s="54" t="s">
        <v>376</v>
      </c>
      <c r="S898" s="46" t="s">
        <v>1023</v>
      </c>
      <c r="T898" s="46"/>
      <c r="U898" s="46"/>
      <c r="V898" s="46"/>
      <c r="W898" s="46"/>
      <c r="X898" s="46"/>
      <c r="Y898" s="46"/>
      <c r="Z898" s="46"/>
      <c r="AA898" s="46"/>
      <c r="AB898" s="46"/>
      <c r="AC898" s="46"/>
      <c r="AD898" s="46"/>
      <c r="AE898" s="50">
        <f>IF(L898="W",1,0)</f>
        <v>0</v>
      </c>
      <c r="AF898" s="50">
        <f>IF(L898="T",1,0)</f>
        <v>1</v>
      </c>
      <c r="AG898" s="50">
        <f>IF(L898="L",1,0)</f>
        <v>0</v>
      </c>
      <c r="AH898" s="46" t="s">
        <v>1073</v>
      </c>
      <c r="AI898" s="46" t="s">
        <v>1074</v>
      </c>
      <c r="AJ898" s="46" t="s">
        <v>376</v>
      </c>
      <c r="AK898" s="46" t="s">
        <v>658</v>
      </c>
      <c r="AL898" s="46" t="s">
        <v>588</v>
      </c>
      <c r="AM898" s="46" t="s">
        <v>1175</v>
      </c>
      <c r="AN898" s="46" t="s">
        <v>376</v>
      </c>
      <c r="AO898" s="46" t="s">
        <v>658</v>
      </c>
      <c r="AP898" s="46"/>
      <c r="AQ898" s="46">
        <v>1</v>
      </c>
      <c r="AR898" s="46"/>
      <c r="AS898" s="46"/>
      <c r="AT898" s="46"/>
      <c r="AU898" s="46" t="s">
        <v>376</v>
      </c>
      <c r="AV898" s="46"/>
      <c r="AW898" s="46" t="s">
        <v>30</v>
      </c>
      <c r="AX898" s="46"/>
      <c r="AY898" s="46"/>
      <c r="AZ898" s="46" t="s">
        <v>30</v>
      </c>
      <c r="BA898" s="54"/>
      <c r="BB898" s="51"/>
      <c r="BC898" s="46" t="s">
        <v>30</v>
      </c>
      <c r="BD898" s="46"/>
      <c r="BE898" s="46"/>
      <c r="BF898" s="46">
        <v>1</v>
      </c>
      <c r="BG898" s="46">
        <v>1</v>
      </c>
      <c r="BH898" s="46">
        <v>1</v>
      </c>
      <c r="BI898" s="46" t="s">
        <v>1072</v>
      </c>
      <c r="BJ898" s="46" t="s">
        <v>588</v>
      </c>
      <c r="BK898" s="46">
        <v>1978</v>
      </c>
      <c r="BL898" s="46" t="str">
        <f>BK898&amp;BI898</f>
        <v>1978Nottingham Forest</v>
      </c>
      <c r="BM898" s="52" t="str">
        <f>IF(AD898="Home",BI898,IF(AD898="Away",BJ898,Q898))</f>
        <v>London</v>
      </c>
      <c r="BN898" s="46"/>
      <c r="BO898" s="46"/>
      <c r="BP898" s="46"/>
      <c r="BQ898" s="46"/>
      <c r="BR898" s="46"/>
      <c r="BS898" s="46"/>
      <c r="BT898" s="46"/>
      <c r="BU898" s="46"/>
      <c r="BV898" s="46" t="s">
        <v>376</v>
      </c>
      <c r="BW898" s="46" t="s">
        <v>376</v>
      </c>
      <c r="BX898" s="46"/>
      <c r="BZ898" s="53"/>
      <c r="CA898" s="53"/>
      <c r="CB898" s="93" t="str">
        <f>IF(OR(C898="",A898="",B898=""),"",TEXT(C898,"0000")&amp;TEXT(A898,"00")&amp;TEXT(B898,"00"))</f>
        <v>19780318</v>
      </c>
    </row>
    <row r="899" spans="1:80" s="52" customFormat="1" ht="12.95" customHeight="1" x14ac:dyDescent="0.2">
      <c r="A899" s="46">
        <v>3</v>
      </c>
      <c r="B899" s="46">
        <v>18</v>
      </c>
      <c r="C899" s="46">
        <v>1978</v>
      </c>
      <c r="D899" s="46" t="s">
        <v>658</v>
      </c>
      <c r="E899" s="46" t="s">
        <v>549</v>
      </c>
      <c r="F899" s="54" t="s">
        <v>1327</v>
      </c>
      <c r="G899" s="46"/>
      <c r="H899" s="54" t="s">
        <v>40</v>
      </c>
      <c r="I899" s="54"/>
      <c r="J899" s="55">
        <v>28567</v>
      </c>
      <c r="K899" s="46" t="s">
        <v>588</v>
      </c>
      <c r="L899" s="46" t="s">
        <v>1014</v>
      </c>
      <c r="M899" s="46" t="s">
        <v>1072</v>
      </c>
      <c r="N899" s="49">
        <v>0</v>
      </c>
      <c r="O899" s="49">
        <v>0</v>
      </c>
      <c r="P899" s="54" t="s">
        <v>1268</v>
      </c>
      <c r="Q899" s="54" t="s">
        <v>1017</v>
      </c>
      <c r="R899" s="54" t="s">
        <v>376</v>
      </c>
      <c r="S899" s="46" t="s">
        <v>1023</v>
      </c>
      <c r="T899" s="46"/>
      <c r="U899" s="46"/>
      <c r="V899" s="46"/>
      <c r="W899" s="46"/>
      <c r="X899" s="46"/>
      <c r="Y899" s="46"/>
      <c r="Z899" s="46"/>
      <c r="AA899" s="46"/>
      <c r="AB899" s="46"/>
      <c r="AC899" s="46"/>
      <c r="AD899" s="46"/>
      <c r="AE899" s="50">
        <f>IF(L899="W",1,0)</f>
        <v>0</v>
      </c>
      <c r="AF899" s="50">
        <f>IF(L899="T",1,0)</f>
        <v>1</v>
      </c>
      <c r="AG899" s="50">
        <f>IF(L899="L",1,0)</f>
        <v>0</v>
      </c>
      <c r="AH899" s="46" t="s">
        <v>588</v>
      </c>
      <c r="AI899" s="46" t="s">
        <v>1175</v>
      </c>
      <c r="AJ899" s="46" t="s">
        <v>376</v>
      </c>
      <c r="AK899" s="46" t="s">
        <v>658</v>
      </c>
      <c r="AL899" s="46" t="s">
        <v>1073</v>
      </c>
      <c r="AM899" s="46" t="s">
        <v>1074</v>
      </c>
      <c r="AN899" s="46" t="s">
        <v>376</v>
      </c>
      <c r="AO899" s="46" t="s">
        <v>658</v>
      </c>
      <c r="AP899" s="46"/>
      <c r="AQ899" s="46">
        <v>1</v>
      </c>
      <c r="AR899" s="46"/>
      <c r="AS899" s="46"/>
      <c r="AT899" s="46"/>
      <c r="AU899" s="46" t="s">
        <v>376</v>
      </c>
      <c r="AV899" s="46"/>
      <c r="AW899" s="46" t="s">
        <v>30</v>
      </c>
      <c r="AX899" s="46"/>
      <c r="AY899" s="46"/>
      <c r="AZ899" s="46" t="s">
        <v>30</v>
      </c>
      <c r="BA899" s="54"/>
      <c r="BB899" s="51"/>
      <c r="BC899" s="46" t="s">
        <v>30</v>
      </c>
      <c r="BD899" s="46"/>
      <c r="BE899" s="46"/>
      <c r="BF899" s="46">
        <v>1</v>
      </c>
      <c r="BG899" s="46">
        <v>1</v>
      </c>
      <c r="BH899" s="46">
        <v>1</v>
      </c>
      <c r="BI899" s="46" t="s">
        <v>588</v>
      </c>
      <c r="BJ899" s="46" t="s">
        <v>1072</v>
      </c>
      <c r="BK899" s="46">
        <v>1978</v>
      </c>
      <c r="BL899" s="46" t="str">
        <f>BK899&amp;BI899</f>
        <v>1978Liverpool</v>
      </c>
      <c r="BM899" s="52" t="str">
        <f>IF(AD899="Home",BI899,IF(AD899="Away",BJ899,Q899))</f>
        <v>London</v>
      </c>
      <c r="BN899" s="46"/>
      <c r="BO899" s="46"/>
      <c r="BP899" s="46"/>
      <c r="BQ899" s="46"/>
      <c r="BR899" s="46"/>
      <c r="BS899" s="46"/>
      <c r="BT899" s="46"/>
      <c r="BU899" s="46"/>
      <c r="BV899" s="46" t="s">
        <v>376</v>
      </c>
      <c r="BW899" s="46" t="s">
        <v>376</v>
      </c>
      <c r="BX899" s="46"/>
      <c r="BZ899" s="53"/>
      <c r="CA899" s="53"/>
      <c r="CB899" s="93" t="str">
        <f>IF(OR(C899="",A899="",B899=""),"",TEXT(C899,"0000")&amp;TEXT(A899,"00")&amp;TEXT(B899,"00"))</f>
        <v>19780318</v>
      </c>
    </row>
    <row r="900" spans="1:80" s="52" customFormat="1" ht="12.95" customHeight="1" x14ac:dyDescent="0.2">
      <c r="A900" s="46">
        <v>3</v>
      </c>
      <c r="B900" s="46">
        <v>22</v>
      </c>
      <c r="C900" s="46">
        <v>1978</v>
      </c>
      <c r="D900" s="46" t="s">
        <v>658</v>
      </c>
      <c r="E900" s="46" t="s">
        <v>549</v>
      </c>
      <c r="F900" s="54" t="s">
        <v>1327</v>
      </c>
      <c r="G900" s="46"/>
      <c r="H900" s="54" t="s">
        <v>40</v>
      </c>
      <c r="I900" s="54" t="s">
        <v>1023</v>
      </c>
      <c r="J900" s="55">
        <v>28571</v>
      </c>
      <c r="K900" s="46" t="s">
        <v>1072</v>
      </c>
      <c r="L900" s="46" t="s">
        <v>3</v>
      </c>
      <c r="M900" s="46" t="s">
        <v>588</v>
      </c>
      <c r="N900" s="49">
        <v>1</v>
      </c>
      <c r="O900" s="49">
        <v>0</v>
      </c>
      <c r="P900" s="54" t="s">
        <v>1246</v>
      </c>
      <c r="Q900" s="54" t="s">
        <v>1101</v>
      </c>
      <c r="R900" s="54" t="s">
        <v>376</v>
      </c>
      <c r="S900" s="46"/>
      <c r="T900" s="46"/>
      <c r="U900" s="46"/>
      <c r="V900" s="46"/>
      <c r="W900" s="46"/>
      <c r="X900" s="46"/>
      <c r="Y900" s="46"/>
      <c r="Z900" s="46"/>
      <c r="AA900" s="46"/>
      <c r="AB900" s="46"/>
      <c r="AC900" s="46"/>
      <c r="AD900" s="46"/>
      <c r="AE900" s="50">
        <f>IF(L900="W",1,0)</f>
        <v>1</v>
      </c>
      <c r="AF900" s="50">
        <f>IF(L900="T",1,0)</f>
        <v>0</v>
      </c>
      <c r="AG900" s="50">
        <f>IF(L900="L",1,0)</f>
        <v>0</v>
      </c>
      <c r="AH900" s="46" t="s">
        <v>1073</v>
      </c>
      <c r="AI900" s="46" t="s">
        <v>1074</v>
      </c>
      <c r="AJ900" s="46" t="s">
        <v>376</v>
      </c>
      <c r="AK900" s="46" t="s">
        <v>658</v>
      </c>
      <c r="AL900" s="46" t="s">
        <v>588</v>
      </c>
      <c r="AM900" s="46" t="s">
        <v>1175</v>
      </c>
      <c r="AN900" s="46" t="s">
        <v>376</v>
      </c>
      <c r="AO900" s="46" t="s">
        <v>658</v>
      </c>
      <c r="AP900" s="46"/>
      <c r="AQ900" s="46">
        <v>1</v>
      </c>
      <c r="AR900" s="46"/>
      <c r="AS900" s="46"/>
      <c r="AT900" s="46"/>
      <c r="AU900" s="46" t="s">
        <v>376</v>
      </c>
      <c r="AV900" s="46"/>
      <c r="AW900" s="46" t="s">
        <v>30</v>
      </c>
      <c r="AX900" s="46"/>
      <c r="AY900" s="46"/>
      <c r="AZ900" s="46" t="s">
        <v>30</v>
      </c>
      <c r="BA900" s="54"/>
      <c r="BB900" s="51" t="s">
        <v>30</v>
      </c>
      <c r="BC900" s="46" t="s">
        <v>30</v>
      </c>
      <c r="BD900" s="46"/>
      <c r="BE900" s="46"/>
      <c r="BF900" s="46">
        <v>1</v>
      </c>
      <c r="BG900" s="46">
        <v>1</v>
      </c>
      <c r="BH900" s="46">
        <v>1</v>
      </c>
      <c r="BI900" s="46" t="s">
        <v>1072</v>
      </c>
      <c r="BJ900" s="46" t="s">
        <v>588</v>
      </c>
      <c r="BK900" s="46">
        <v>1978</v>
      </c>
      <c r="BL900" s="46" t="str">
        <f>BK900&amp;BI900</f>
        <v>1978Nottingham Forest</v>
      </c>
      <c r="BM900" s="52" t="str">
        <f>IF(AD900="Home",BI900,IF(AD900="Away",BJ900,Q900))</f>
        <v>Manchester</v>
      </c>
      <c r="BN900" s="46"/>
      <c r="BO900" s="46"/>
      <c r="BP900" s="46"/>
      <c r="BQ900" s="46"/>
      <c r="BR900" s="46"/>
      <c r="BS900" s="46"/>
      <c r="BT900" s="46"/>
      <c r="BU900" s="46"/>
      <c r="BV900" s="46" t="s">
        <v>376</v>
      </c>
      <c r="BW900" s="46" t="s">
        <v>376</v>
      </c>
      <c r="BX900" s="46"/>
      <c r="BZ900" s="53"/>
      <c r="CA900" s="53"/>
      <c r="CB900" s="93" t="str">
        <f>IF(OR(C900="",A900="",B900=""),"",TEXT(C900,"0000")&amp;TEXT(A900,"00")&amp;TEXT(B900,"00"))</f>
        <v>19780322</v>
      </c>
    </row>
    <row r="901" spans="1:80" s="52" customFormat="1" ht="12.95" customHeight="1" x14ac:dyDescent="0.2">
      <c r="A901" s="46">
        <v>3</v>
      </c>
      <c r="B901" s="46">
        <v>22</v>
      </c>
      <c r="C901" s="46">
        <v>1978</v>
      </c>
      <c r="D901" s="46" t="s">
        <v>658</v>
      </c>
      <c r="E901" s="46" t="s">
        <v>549</v>
      </c>
      <c r="F901" s="54" t="s">
        <v>1327</v>
      </c>
      <c r="G901" s="46"/>
      <c r="H901" s="54" t="s">
        <v>40</v>
      </c>
      <c r="I901" s="54" t="s">
        <v>1023</v>
      </c>
      <c r="J901" s="55">
        <v>28571</v>
      </c>
      <c r="K901" s="46" t="s">
        <v>588</v>
      </c>
      <c r="L901" s="46" t="s">
        <v>4</v>
      </c>
      <c r="M901" s="46" t="s">
        <v>1072</v>
      </c>
      <c r="N901" s="49">
        <v>0</v>
      </c>
      <c r="O901" s="49">
        <v>1</v>
      </c>
      <c r="P901" s="54" t="s">
        <v>1246</v>
      </c>
      <c r="Q901" s="54" t="s">
        <v>1101</v>
      </c>
      <c r="R901" s="54" t="s">
        <v>376</v>
      </c>
      <c r="S901" s="46"/>
      <c r="T901" s="46"/>
      <c r="U901" s="46"/>
      <c r="V901" s="46"/>
      <c r="W901" s="46"/>
      <c r="X901" s="46"/>
      <c r="Y901" s="46"/>
      <c r="Z901" s="46"/>
      <c r="AA901" s="46"/>
      <c r="AB901" s="46"/>
      <c r="AC901" s="46"/>
      <c r="AD901" s="46"/>
      <c r="AE901" s="50">
        <f>IF(L901="W",1,0)</f>
        <v>0</v>
      </c>
      <c r="AF901" s="50">
        <f>IF(L901="T",1,0)</f>
        <v>0</v>
      </c>
      <c r="AG901" s="50">
        <f>IF(L901="L",1,0)</f>
        <v>1</v>
      </c>
      <c r="AH901" s="46" t="s">
        <v>588</v>
      </c>
      <c r="AI901" s="46" t="s">
        <v>1175</v>
      </c>
      <c r="AJ901" s="46" t="s">
        <v>376</v>
      </c>
      <c r="AK901" s="46" t="s">
        <v>658</v>
      </c>
      <c r="AL901" s="46" t="s">
        <v>1073</v>
      </c>
      <c r="AM901" s="46" t="s">
        <v>1074</v>
      </c>
      <c r="AN901" s="46" t="s">
        <v>376</v>
      </c>
      <c r="AO901" s="46" t="s">
        <v>658</v>
      </c>
      <c r="AP901" s="46"/>
      <c r="AQ901" s="46">
        <v>1</v>
      </c>
      <c r="AR901" s="46"/>
      <c r="AS901" s="46"/>
      <c r="AT901" s="46"/>
      <c r="AU901" s="46" t="s">
        <v>376</v>
      </c>
      <c r="AV901" s="46"/>
      <c r="AW901" s="46" t="s">
        <v>30</v>
      </c>
      <c r="AX901" s="46"/>
      <c r="AY901" s="46"/>
      <c r="AZ901" s="46" t="s">
        <v>30</v>
      </c>
      <c r="BA901" s="54"/>
      <c r="BB901" s="51"/>
      <c r="BC901" s="46" t="s">
        <v>30</v>
      </c>
      <c r="BD901" s="46"/>
      <c r="BE901" s="46"/>
      <c r="BF901" s="46">
        <v>1</v>
      </c>
      <c r="BG901" s="46">
        <v>1</v>
      </c>
      <c r="BH901" s="46">
        <v>1</v>
      </c>
      <c r="BI901" s="46" t="s">
        <v>588</v>
      </c>
      <c r="BJ901" s="46" t="s">
        <v>1072</v>
      </c>
      <c r="BK901" s="46">
        <v>1978</v>
      </c>
      <c r="BL901" s="46" t="str">
        <f>BK901&amp;BI901</f>
        <v>1978Liverpool</v>
      </c>
      <c r="BM901" s="52" t="str">
        <f>IF(AD901="Home",BI901,IF(AD901="Away",BJ901,Q901))</f>
        <v>Manchester</v>
      </c>
      <c r="BN901" s="46"/>
      <c r="BO901" s="46"/>
      <c r="BP901" s="46"/>
      <c r="BQ901" s="46"/>
      <c r="BR901" s="46"/>
      <c r="BS901" s="46"/>
      <c r="BT901" s="46"/>
      <c r="BU901" s="46"/>
      <c r="BV901" s="46" t="s">
        <v>376</v>
      </c>
      <c r="BW901" s="46" t="s">
        <v>376</v>
      </c>
      <c r="BX901" s="46"/>
      <c r="BZ901" s="53"/>
      <c r="CA901" s="53"/>
      <c r="CB901" s="93" t="str">
        <f>IF(OR(C901="",A901="",B901=""),"",TEXT(C901,"0000")&amp;TEXT(A901,"00")&amp;TEXT(B901,"00"))</f>
        <v>19780322</v>
      </c>
    </row>
    <row r="902" spans="1:80" s="52" customFormat="1" ht="12.95" customHeight="1" x14ac:dyDescent="0.2">
      <c r="A902" s="46">
        <v>4</v>
      </c>
      <c r="B902" s="46">
        <v>8</v>
      </c>
      <c r="C902" s="46">
        <v>1978</v>
      </c>
      <c r="D902" s="46" t="s">
        <v>658</v>
      </c>
      <c r="E902" s="46" t="s">
        <v>549</v>
      </c>
      <c r="F902" s="47" t="s">
        <v>1010</v>
      </c>
      <c r="G902" s="46"/>
      <c r="H902" s="47" t="s">
        <v>1011</v>
      </c>
      <c r="I902" s="47"/>
      <c r="J902" s="48">
        <v>28588</v>
      </c>
      <c r="K902" s="46" t="s">
        <v>1363</v>
      </c>
      <c r="L902" s="46" t="s">
        <v>3</v>
      </c>
      <c r="M902" s="46" t="s">
        <v>1124</v>
      </c>
      <c r="N902" s="49">
        <v>3</v>
      </c>
      <c r="O902" s="49">
        <v>1</v>
      </c>
      <c r="P902" s="47" t="s">
        <v>1281</v>
      </c>
      <c r="Q902" s="47" t="s">
        <v>1017</v>
      </c>
      <c r="R902" s="47" t="s">
        <v>376</v>
      </c>
      <c r="S902" s="46"/>
      <c r="T902" s="46"/>
      <c r="U902" s="46"/>
      <c r="V902" s="46"/>
      <c r="W902" s="46"/>
      <c r="X902" s="46"/>
      <c r="Y902" s="46"/>
      <c r="Z902" s="46"/>
      <c r="AA902" s="46"/>
      <c r="AB902" s="46"/>
      <c r="AC902" s="46"/>
      <c r="AD902" s="46"/>
      <c r="AE902" s="50">
        <f>IF(L902="W",1,0)</f>
        <v>1</v>
      </c>
      <c r="AF902" s="50">
        <f>IF(L902="T",1,0)</f>
        <v>0</v>
      </c>
      <c r="AG902" s="50">
        <f>IF(L902="L",1,0)</f>
        <v>0</v>
      </c>
      <c r="AH902" s="46" t="s">
        <v>1364</v>
      </c>
      <c r="AI902" s="46" t="s">
        <v>1365</v>
      </c>
      <c r="AJ902" s="46" t="s">
        <v>376</v>
      </c>
      <c r="AK902" s="46" t="s">
        <v>658</v>
      </c>
      <c r="AL902" s="46" t="s">
        <v>1111</v>
      </c>
      <c r="AM902" s="46" t="s">
        <v>1126</v>
      </c>
      <c r="AN902" s="46" t="s">
        <v>376</v>
      </c>
      <c r="AO902" s="46" t="s">
        <v>658</v>
      </c>
      <c r="AP902" s="46"/>
      <c r="AQ902" s="46">
        <v>2</v>
      </c>
      <c r="AR902" s="46"/>
      <c r="AS902" s="46"/>
      <c r="AT902" s="46"/>
      <c r="AU902" s="46" t="s">
        <v>376</v>
      </c>
      <c r="AV902" s="46"/>
      <c r="AW902" s="46" t="s">
        <v>30</v>
      </c>
      <c r="AX902" s="46"/>
      <c r="AY902" s="46" t="s">
        <v>30</v>
      </c>
      <c r="AZ902" s="46"/>
      <c r="BA902" s="47"/>
      <c r="BB902" s="51"/>
      <c r="BC902" s="46"/>
      <c r="BD902" s="46"/>
      <c r="BE902" s="46"/>
      <c r="BF902" s="46">
        <v>1</v>
      </c>
      <c r="BG902" s="46">
        <v>1</v>
      </c>
      <c r="BH902" s="46">
        <v>1</v>
      </c>
      <c r="BI902" s="46" t="s">
        <v>1363</v>
      </c>
      <c r="BJ902" s="46" t="s">
        <v>1124</v>
      </c>
      <c r="BK902" s="46">
        <v>1978</v>
      </c>
      <c r="BL902" s="46" t="str">
        <f>BK902&amp;BI902</f>
        <v>1978Ipswich Town</v>
      </c>
      <c r="BM902" s="52" t="str">
        <f>IF(AD902="Home",BI902,IF(AD902="Away",BJ902,Q902))</f>
        <v>London</v>
      </c>
      <c r="BN902" s="46"/>
      <c r="BO902" s="46"/>
      <c r="BP902" s="46"/>
      <c r="BQ902" s="46"/>
      <c r="BR902" s="46"/>
      <c r="BS902" s="46"/>
      <c r="BT902" s="46"/>
      <c r="BU902" s="46"/>
      <c r="BV902" s="46" t="s">
        <v>376</v>
      </c>
      <c r="BW902" s="46" t="s">
        <v>376</v>
      </c>
      <c r="BX902" s="46"/>
      <c r="BZ902" s="53"/>
      <c r="CA902" s="53"/>
      <c r="CB902" s="93" t="str">
        <f>IF(OR(C902="",A902="",B902=""),"",TEXT(C902,"0000")&amp;TEXT(A902,"00")&amp;TEXT(B902,"00"))</f>
        <v>19780408</v>
      </c>
    </row>
    <row r="903" spans="1:80" s="52" customFormat="1" ht="12.95" customHeight="1" x14ac:dyDescent="0.2">
      <c r="A903" s="46">
        <v>4</v>
      </c>
      <c r="B903" s="46">
        <v>8</v>
      </c>
      <c r="C903" s="46">
        <v>1978</v>
      </c>
      <c r="D903" s="46" t="s">
        <v>658</v>
      </c>
      <c r="E903" s="46" t="s">
        <v>549</v>
      </c>
      <c r="F903" s="47" t="s">
        <v>1010</v>
      </c>
      <c r="G903" s="46"/>
      <c r="H903" s="47" t="s">
        <v>1011</v>
      </c>
      <c r="I903" s="47"/>
      <c r="J903" s="48">
        <v>28588</v>
      </c>
      <c r="K903" s="46" t="s">
        <v>1124</v>
      </c>
      <c r="L903" s="46" t="s">
        <v>4</v>
      </c>
      <c r="M903" s="46" t="s">
        <v>1363</v>
      </c>
      <c r="N903" s="49">
        <v>1</v>
      </c>
      <c r="O903" s="49">
        <v>3</v>
      </c>
      <c r="P903" s="47" t="s">
        <v>1281</v>
      </c>
      <c r="Q903" s="47" t="s">
        <v>1017</v>
      </c>
      <c r="R903" s="47" t="s">
        <v>376</v>
      </c>
      <c r="S903" s="46"/>
      <c r="T903" s="46"/>
      <c r="U903" s="46"/>
      <c r="V903" s="46"/>
      <c r="W903" s="46"/>
      <c r="X903" s="46"/>
      <c r="Y903" s="46"/>
      <c r="Z903" s="46"/>
      <c r="AA903" s="46"/>
      <c r="AB903" s="46"/>
      <c r="AC903" s="46"/>
      <c r="AD903" s="46"/>
      <c r="AE903" s="50">
        <f>IF(L903="W",1,0)</f>
        <v>0</v>
      </c>
      <c r="AF903" s="50">
        <f>IF(L903="T",1,0)</f>
        <v>0</v>
      </c>
      <c r="AG903" s="50">
        <f>IF(L903="L",1,0)</f>
        <v>1</v>
      </c>
      <c r="AH903" s="46" t="s">
        <v>1111</v>
      </c>
      <c r="AI903" s="46" t="s">
        <v>1126</v>
      </c>
      <c r="AJ903" s="46" t="s">
        <v>376</v>
      </c>
      <c r="AK903" s="46" t="s">
        <v>658</v>
      </c>
      <c r="AL903" s="46" t="s">
        <v>1364</v>
      </c>
      <c r="AM903" s="46" t="s">
        <v>1365</v>
      </c>
      <c r="AN903" s="46" t="s">
        <v>376</v>
      </c>
      <c r="AO903" s="46" t="s">
        <v>658</v>
      </c>
      <c r="AP903" s="46"/>
      <c r="AQ903" s="46">
        <v>2</v>
      </c>
      <c r="AR903" s="46"/>
      <c r="AS903" s="46"/>
      <c r="AT903" s="46"/>
      <c r="AU903" s="46" t="s">
        <v>376</v>
      </c>
      <c r="AV903" s="46"/>
      <c r="AW903" s="46" t="s">
        <v>30</v>
      </c>
      <c r="AX903" s="46"/>
      <c r="AY903" s="46" t="s">
        <v>30</v>
      </c>
      <c r="AZ903" s="46"/>
      <c r="BA903" s="47"/>
      <c r="BB903" s="51"/>
      <c r="BC903" s="46"/>
      <c r="BD903" s="46"/>
      <c r="BE903" s="46"/>
      <c r="BF903" s="46">
        <v>1</v>
      </c>
      <c r="BG903" s="46">
        <v>1</v>
      </c>
      <c r="BH903" s="46">
        <v>1</v>
      </c>
      <c r="BI903" s="46" t="s">
        <v>1124</v>
      </c>
      <c r="BJ903" s="46" t="s">
        <v>1363</v>
      </c>
      <c r="BK903" s="46">
        <v>1978</v>
      </c>
      <c r="BL903" s="46" t="str">
        <f>BK903&amp;BI903</f>
        <v>1978West Bromwich Albion</v>
      </c>
      <c r="BM903" s="52" t="str">
        <f>IF(AD903="Home",BI903,IF(AD903="Away",BJ903,Q903))</f>
        <v>London</v>
      </c>
      <c r="BN903" s="46"/>
      <c r="BO903" s="46"/>
      <c r="BP903" s="46"/>
      <c r="BQ903" s="46"/>
      <c r="BR903" s="46"/>
      <c r="BS903" s="46"/>
      <c r="BT903" s="46"/>
      <c r="BU903" s="46"/>
      <c r="BV903" s="46" t="s">
        <v>376</v>
      </c>
      <c r="BW903" s="46" t="s">
        <v>376</v>
      </c>
      <c r="BX903" s="46"/>
      <c r="BZ903" s="53"/>
      <c r="CA903" s="53"/>
      <c r="CB903" s="93" t="str">
        <f>IF(OR(C903="",A903="",B903=""),"",TEXT(C903,"0000")&amp;TEXT(A903,"00")&amp;TEXT(B903,"00"))</f>
        <v>19780408</v>
      </c>
    </row>
    <row r="904" spans="1:80" s="52" customFormat="1" ht="12.95" customHeight="1" x14ac:dyDescent="0.2">
      <c r="A904" s="46">
        <v>4</v>
      </c>
      <c r="B904" s="46">
        <v>8</v>
      </c>
      <c r="C904" s="46">
        <v>1978</v>
      </c>
      <c r="D904" s="46" t="s">
        <v>658</v>
      </c>
      <c r="E904" s="46" t="s">
        <v>549</v>
      </c>
      <c r="F904" s="47" t="s">
        <v>1010</v>
      </c>
      <c r="G904" s="46"/>
      <c r="H904" s="47" t="s">
        <v>1011</v>
      </c>
      <c r="I904" s="47"/>
      <c r="J904" s="48">
        <v>28588</v>
      </c>
      <c r="K904" s="46" t="s">
        <v>587</v>
      </c>
      <c r="L904" s="46" t="s">
        <v>3</v>
      </c>
      <c r="M904" s="46" t="s">
        <v>1370</v>
      </c>
      <c r="N904" s="49">
        <v>3</v>
      </c>
      <c r="O904" s="49">
        <v>0</v>
      </c>
      <c r="P904" s="47" t="s">
        <v>1234</v>
      </c>
      <c r="Q904" s="47" t="s">
        <v>1017</v>
      </c>
      <c r="R904" s="47" t="s">
        <v>376</v>
      </c>
      <c r="S904" s="46"/>
      <c r="T904" s="46"/>
      <c r="U904" s="46"/>
      <c r="V904" s="46"/>
      <c r="W904" s="46"/>
      <c r="X904" s="46"/>
      <c r="Y904" s="46"/>
      <c r="Z904" s="46"/>
      <c r="AA904" s="46"/>
      <c r="AB904" s="46"/>
      <c r="AC904" s="46"/>
      <c r="AD904" s="46"/>
      <c r="AE904" s="50">
        <f>IF(L904="W",1,0)</f>
        <v>1</v>
      </c>
      <c r="AF904" s="50">
        <f>IF(L904="T",1,0)</f>
        <v>0</v>
      </c>
      <c r="AG904" s="50">
        <f>IF(L904="L",1,0)</f>
        <v>0</v>
      </c>
      <c r="AH904" s="46" t="s">
        <v>1017</v>
      </c>
      <c r="AI904" s="46" t="s">
        <v>1018</v>
      </c>
      <c r="AJ904" s="46" t="s">
        <v>376</v>
      </c>
      <c r="AK904" s="46" t="s">
        <v>658</v>
      </c>
      <c r="AL904" s="46" t="s">
        <v>1017</v>
      </c>
      <c r="AM904" s="46" t="s">
        <v>1018</v>
      </c>
      <c r="AN904" s="46" t="s">
        <v>376</v>
      </c>
      <c r="AO904" s="46" t="s">
        <v>658</v>
      </c>
      <c r="AP904" s="46"/>
      <c r="AQ904" s="46">
        <v>2</v>
      </c>
      <c r="AR904" s="46"/>
      <c r="AS904" s="46"/>
      <c r="AT904" s="46"/>
      <c r="AU904" s="46" t="s">
        <v>376</v>
      </c>
      <c r="AV904" s="46"/>
      <c r="AW904" s="46" t="s">
        <v>30</v>
      </c>
      <c r="AX904" s="46"/>
      <c r="AY904" s="46" t="s">
        <v>30</v>
      </c>
      <c r="AZ904" s="46"/>
      <c r="BA904" s="47"/>
      <c r="BB904" s="51"/>
      <c r="BC904" s="46"/>
      <c r="BD904" s="46"/>
      <c r="BE904" s="46"/>
      <c r="BF904" s="46">
        <v>1</v>
      </c>
      <c r="BG904" s="46">
        <v>1</v>
      </c>
      <c r="BH904" s="46">
        <v>2</v>
      </c>
      <c r="BI904" s="46" t="s">
        <v>587</v>
      </c>
      <c r="BJ904" s="46" t="s">
        <v>1370</v>
      </c>
      <c r="BK904" s="46">
        <v>1978</v>
      </c>
      <c r="BL904" s="46" t="str">
        <f>BK904&amp;BI904</f>
        <v>1978Arsenal</v>
      </c>
      <c r="BM904" s="52" t="str">
        <f>IF(AD904="Home",BI904,IF(AD904="Away",BJ904,Q904))</f>
        <v>London</v>
      </c>
      <c r="BN904" s="46"/>
      <c r="BO904" s="46"/>
      <c r="BP904" s="46"/>
      <c r="BQ904" s="46"/>
      <c r="BR904" s="46"/>
      <c r="BS904" s="46"/>
      <c r="BT904" s="46"/>
      <c r="BU904" s="46"/>
      <c r="BV904" s="46" t="s">
        <v>376</v>
      </c>
      <c r="BW904" s="46" t="s">
        <v>376</v>
      </c>
      <c r="BX904" s="46"/>
      <c r="BZ904" s="53"/>
      <c r="CA904" s="53"/>
      <c r="CB904" s="93" t="str">
        <f>IF(OR(C904="",A904="",B904=""),"",TEXT(C904,"0000")&amp;TEXT(A904,"00")&amp;TEXT(B904,"00"))</f>
        <v>19780408</v>
      </c>
    </row>
    <row r="905" spans="1:80" s="52" customFormat="1" ht="12.95" customHeight="1" x14ac:dyDescent="0.2">
      <c r="A905" s="46">
        <v>4</v>
      </c>
      <c r="B905" s="46">
        <v>8</v>
      </c>
      <c r="C905" s="46">
        <v>1978</v>
      </c>
      <c r="D905" s="46" t="s">
        <v>658</v>
      </c>
      <c r="E905" s="46" t="s">
        <v>549</v>
      </c>
      <c r="F905" s="47" t="s">
        <v>1010</v>
      </c>
      <c r="G905" s="46"/>
      <c r="H905" s="47" t="s">
        <v>1011</v>
      </c>
      <c r="I905" s="47"/>
      <c r="J905" s="48">
        <v>28588</v>
      </c>
      <c r="K905" s="46" t="s">
        <v>1370</v>
      </c>
      <c r="L905" s="46" t="s">
        <v>4</v>
      </c>
      <c r="M905" s="46" t="s">
        <v>587</v>
      </c>
      <c r="N905" s="49">
        <v>0</v>
      </c>
      <c r="O905" s="49">
        <v>3</v>
      </c>
      <c r="P905" s="47" t="s">
        <v>1234</v>
      </c>
      <c r="Q905" s="47" t="s">
        <v>1017</v>
      </c>
      <c r="R905" s="47" t="s">
        <v>376</v>
      </c>
      <c r="S905" s="46"/>
      <c r="T905" s="46"/>
      <c r="U905" s="46"/>
      <c r="V905" s="46"/>
      <c r="W905" s="46"/>
      <c r="X905" s="46"/>
      <c r="Y905" s="46"/>
      <c r="Z905" s="46"/>
      <c r="AA905" s="46"/>
      <c r="AB905" s="46"/>
      <c r="AC905" s="46"/>
      <c r="AD905" s="46"/>
      <c r="AE905" s="50">
        <f>IF(L905="W",1,0)</f>
        <v>0</v>
      </c>
      <c r="AF905" s="50">
        <f>IF(L905="T",1,0)</f>
        <v>0</v>
      </c>
      <c r="AG905" s="50">
        <f>IF(L905="L",1,0)</f>
        <v>1</v>
      </c>
      <c r="AH905" s="46" t="s">
        <v>1017</v>
      </c>
      <c r="AI905" s="46" t="s">
        <v>1018</v>
      </c>
      <c r="AJ905" s="46" t="s">
        <v>376</v>
      </c>
      <c r="AK905" s="46" t="s">
        <v>658</v>
      </c>
      <c r="AL905" s="46" t="s">
        <v>1017</v>
      </c>
      <c r="AM905" s="46" t="s">
        <v>1018</v>
      </c>
      <c r="AN905" s="46" t="s">
        <v>376</v>
      </c>
      <c r="AO905" s="46" t="s">
        <v>658</v>
      </c>
      <c r="AP905" s="46"/>
      <c r="AQ905" s="46">
        <v>2</v>
      </c>
      <c r="AR905" s="46"/>
      <c r="AS905" s="46"/>
      <c r="AT905" s="46"/>
      <c r="AU905" s="46" t="s">
        <v>376</v>
      </c>
      <c r="AV905" s="46"/>
      <c r="AW905" s="46" t="s">
        <v>30</v>
      </c>
      <c r="AX905" s="46"/>
      <c r="AY905" s="46" t="s">
        <v>30</v>
      </c>
      <c r="AZ905" s="46"/>
      <c r="BA905" s="47"/>
      <c r="BB905" s="51"/>
      <c r="BC905" s="46"/>
      <c r="BD905" s="46"/>
      <c r="BE905" s="46"/>
      <c r="BF905" s="46">
        <v>1</v>
      </c>
      <c r="BG905" s="46">
        <v>2</v>
      </c>
      <c r="BH905" s="46">
        <v>1</v>
      </c>
      <c r="BI905" s="46" t="s">
        <v>1370</v>
      </c>
      <c r="BJ905" s="46" t="s">
        <v>587</v>
      </c>
      <c r="BK905" s="46">
        <v>1978</v>
      </c>
      <c r="BL905" s="46" t="str">
        <f>BK905&amp;BI905</f>
        <v>1978Leyton Orient</v>
      </c>
      <c r="BM905" s="52" t="str">
        <f>IF(AD905="Home",BI905,IF(AD905="Away",BJ905,Q905))</f>
        <v>London</v>
      </c>
      <c r="BN905" s="46"/>
      <c r="BO905" s="46"/>
      <c r="BP905" s="46"/>
      <c r="BQ905" s="46"/>
      <c r="BR905" s="46"/>
      <c r="BS905" s="46"/>
      <c r="BT905" s="46"/>
      <c r="BU905" s="46"/>
      <c r="BV905" s="46" t="s">
        <v>376</v>
      </c>
      <c r="BW905" s="46" t="s">
        <v>376</v>
      </c>
      <c r="BX905" s="46"/>
      <c r="BZ905" s="53"/>
      <c r="CA905" s="53"/>
      <c r="CB905" s="93" t="str">
        <f>IF(OR(C905="",A905="",B905=""),"",TEXT(C905,"0000")&amp;TEXT(A905,"00")&amp;TEXT(B905,"00"))</f>
        <v>19780408</v>
      </c>
    </row>
    <row r="906" spans="1:80" s="52" customFormat="1" ht="12.95" customHeight="1" x14ac:dyDescent="0.2">
      <c r="A906" s="46">
        <v>5</v>
      </c>
      <c r="B906" s="46">
        <v>6</v>
      </c>
      <c r="C906" s="46">
        <v>1978</v>
      </c>
      <c r="D906" s="46" t="s">
        <v>658</v>
      </c>
      <c r="E906" s="46" t="s">
        <v>549</v>
      </c>
      <c r="F906" s="47" t="s">
        <v>1010</v>
      </c>
      <c r="G906" s="46"/>
      <c r="H906" s="47" t="s">
        <v>1025</v>
      </c>
      <c r="I906" s="47"/>
      <c r="J906" s="48">
        <v>28616</v>
      </c>
      <c r="K906" s="46" t="s">
        <v>1363</v>
      </c>
      <c r="L906" s="46" t="s">
        <v>3</v>
      </c>
      <c r="M906" s="46" t="s">
        <v>587</v>
      </c>
      <c r="N906" s="49">
        <v>1</v>
      </c>
      <c r="O906" s="49">
        <v>0</v>
      </c>
      <c r="P906" s="47" t="s">
        <v>1268</v>
      </c>
      <c r="Q906" s="47" t="s">
        <v>1017</v>
      </c>
      <c r="R906" s="47" t="s">
        <v>376</v>
      </c>
      <c r="S906" s="46"/>
      <c r="T906" s="46"/>
      <c r="U906" s="46"/>
      <c r="V906" s="46"/>
      <c r="W906" s="46"/>
      <c r="X906" s="46"/>
      <c r="Y906" s="46"/>
      <c r="Z906" s="46"/>
      <c r="AA906" s="46"/>
      <c r="AB906" s="46"/>
      <c r="AC906" s="46"/>
      <c r="AD906" s="46"/>
      <c r="AE906" s="50">
        <f>IF(L906="W",1,0)</f>
        <v>1</v>
      </c>
      <c r="AF906" s="50">
        <f>IF(L906="T",1,0)</f>
        <v>0</v>
      </c>
      <c r="AG906" s="50">
        <f>IF(L906="L",1,0)</f>
        <v>0</v>
      </c>
      <c r="AH906" s="46" t="s">
        <v>1364</v>
      </c>
      <c r="AI906" s="46" t="s">
        <v>1365</v>
      </c>
      <c r="AJ906" s="46" t="s">
        <v>376</v>
      </c>
      <c r="AK906" s="46" t="s">
        <v>658</v>
      </c>
      <c r="AL906" s="46" t="s">
        <v>1017</v>
      </c>
      <c r="AM906" s="46" t="s">
        <v>1018</v>
      </c>
      <c r="AN906" s="46" t="s">
        <v>376</v>
      </c>
      <c r="AO906" s="46" t="s">
        <v>658</v>
      </c>
      <c r="AP906" s="46"/>
      <c r="AQ906" s="46">
        <v>1</v>
      </c>
      <c r="AR906" s="46"/>
      <c r="AS906" s="46"/>
      <c r="AT906" s="46"/>
      <c r="AU906" s="46" t="s">
        <v>376</v>
      </c>
      <c r="AV906" s="46"/>
      <c r="AW906" s="46" t="s">
        <v>30</v>
      </c>
      <c r="AX906" s="46"/>
      <c r="AY906" s="46" t="s">
        <v>30</v>
      </c>
      <c r="AZ906" s="46"/>
      <c r="BA906" s="47"/>
      <c r="BB906" s="51" t="s">
        <v>30</v>
      </c>
      <c r="BC906" s="46" t="s">
        <v>30</v>
      </c>
      <c r="BD906" s="46"/>
      <c r="BE906" s="46"/>
      <c r="BF906" s="46">
        <v>1</v>
      </c>
      <c r="BG906" s="46">
        <v>1</v>
      </c>
      <c r="BH906" s="46">
        <v>1</v>
      </c>
      <c r="BI906" s="46" t="s">
        <v>1363</v>
      </c>
      <c r="BJ906" s="46" t="s">
        <v>587</v>
      </c>
      <c r="BK906" s="46">
        <v>1978</v>
      </c>
      <c r="BL906" s="46" t="str">
        <f>BK906&amp;BI906</f>
        <v>1978Ipswich Town</v>
      </c>
      <c r="BM906" s="52" t="str">
        <f>IF(AD906="Home",BI906,IF(AD906="Away",BJ906,Q906))</f>
        <v>London</v>
      </c>
      <c r="BN906" s="46"/>
      <c r="BO906" s="46"/>
      <c r="BP906" s="46"/>
      <c r="BQ906" s="46"/>
      <c r="BR906" s="46"/>
      <c r="BS906" s="46"/>
      <c r="BT906" s="46"/>
      <c r="BU906" s="46"/>
      <c r="BV906" s="46" t="s">
        <v>376</v>
      </c>
      <c r="BW906" s="46" t="s">
        <v>376</v>
      </c>
      <c r="BX906" s="46"/>
      <c r="BZ906" s="53"/>
      <c r="CA906" s="53"/>
      <c r="CB906" s="93" t="str">
        <f>IF(OR(C906="",A906="",B906=""),"",TEXT(C906,"0000")&amp;TEXT(A906,"00")&amp;TEXT(B906,"00"))</f>
        <v>19780506</v>
      </c>
    </row>
    <row r="907" spans="1:80" s="52" customFormat="1" ht="12.95" customHeight="1" x14ac:dyDescent="0.2">
      <c r="A907" s="46">
        <v>5</v>
      </c>
      <c r="B907" s="46">
        <v>6</v>
      </c>
      <c r="C907" s="46">
        <v>1978</v>
      </c>
      <c r="D907" s="46" t="s">
        <v>658</v>
      </c>
      <c r="E907" s="46" t="s">
        <v>549</v>
      </c>
      <c r="F907" s="47" t="s">
        <v>1010</v>
      </c>
      <c r="G907" s="46"/>
      <c r="H907" s="47" t="s">
        <v>1025</v>
      </c>
      <c r="I907" s="47"/>
      <c r="J907" s="48">
        <v>28616</v>
      </c>
      <c r="K907" s="46" t="s">
        <v>587</v>
      </c>
      <c r="L907" s="46" t="s">
        <v>4</v>
      </c>
      <c r="M907" s="46" t="s">
        <v>1363</v>
      </c>
      <c r="N907" s="49">
        <v>0</v>
      </c>
      <c r="O907" s="49">
        <v>1</v>
      </c>
      <c r="P907" s="47" t="s">
        <v>1268</v>
      </c>
      <c r="Q907" s="47" t="s">
        <v>1017</v>
      </c>
      <c r="R907" s="47" t="s">
        <v>376</v>
      </c>
      <c r="S907" s="46"/>
      <c r="T907" s="46"/>
      <c r="U907" s="46"/>
      <c r="V907" s="46"/>
      <c r="W907" s="46"/>
      <c r="X907" s="46"/>
      <c r="Y907" s="46"/>
      <c r="Z907" s="46"/>
      <c r="AA907" s="46"/>
      <c r="AB907" s="46"/>
      <c r="AC907" s="46"/>
      <c r="AD907" s="46"/>
      <c r="AE907" s="50">
        <f>IF(L907="W",1,0)</f>
        <v>0</v>
      </c>
      <c r="AF907" s="50">
        <f>IF(L907="T",1,0)</f>
        <v>0</v>
      </c>
      <c r="AG907" s="50">
        <f>IF(L907="L",1,0)</f>
        <v>1</v>
      </c>
      <c r="AH907" s="46" t="s">
        <v>1017</v>
      </c>
      <c r="AI907" s="46" t="s">
        <v>1018</v>
      </c>
      <c r="AJ907" s="46" t="s">
        <v>376</v>
      </c>
      <c r="AK907" s="46" t="s">
        <v>658</v>
      </c>
      <c r="AL907" s="46" t="s">
        <v>1364</v>
      </c>
      <c r="AM907" s="46" t="s">
        <v>1365</v>
      </c>
      <c r="AN907" s="46" t="s">
        <v>376</v>
      </c>
      <c r="AO907" s="46" t="s">
        <v>658</v>
      </c>
      <c r="AP907" s="46"/>
      <c r="AQ907" s="46">
        <v>1</v>
      </c>
      <c r="AR907" s="46"/>
      <c r="AS907" s="46"/>
      <c r="AT907" s="46"/>
      <c r="AU907" s="46" t="s">
        <v>376</v>
      </c>
      <c r="AV907" s="46"/>
      <c r="AW907" s="46" t="s">
        <v>30</v>
      </c>
      <c r="AX907" s="46"/>
      <c r="AY907" s="46" t="s">
        <v>30</v>
      </c>
      <c r="AZ907" s="46"/>
      <c r="BA907" s="47"/>
      <c r="BB907" s="51"/>
      <c r="BC907" s="46" t="s">
        <v>30</v>
      </c>
      <c r="BD907" s="46"/>
      <c r="BE907" s="46"/>
      <c r="BF907" s="46">
        <v>1</v>
      </c>
      <c r="BG907" s="46">
        <v>1</v>
      </c>
      <c r="BH907" s="46">
        <v>1</v>
      </c>
      <c r="BI907" s="46" t="s">
        <v>587</v>
      </c>
      <c r="BJ907" s="46" t="s">
        <v>1363</v>
      </c>
      <c r="BK907" s="46">
        <v>1978</v>
      </c>
      <c r="BL907" s="46" t="str">
        <f>BK907&amp;BI907</f>
        <v>1978Arsenal</v>
      </c>
      <c r="BM907" s="52" t="str">
        <f>IF(AD907="Home",BI907,IF(AD907="Away",BJ907,Q907))</f>
        <v>London</v>
      </c>
      <c r="BN907" s="46"/>
      <c r="BO907" s="46"/>
      <c r="BP907" s="46"/>
      <c r="BQ907" s="46"/>
      <c r="BR907" s="46"/>
      <c r="BS907" s="46"/>
      <c r="BT907" s="46"/>
      <c r="BU907" s="46"/>
      <c r="BV907" s="46" t="s">
        <v>376</v>
      </c>
      <c r="BW907" s="46" t="s">
        <v>376</v>
      </c>
      <c r="BX907" s="46"/>
      <c r="BZ907" s="53"/>
      <c r="CA907" s="53"/>
      <c r="CB907" s="93" t="str">
        <f>IF(OR(C907="",A907="",B907=""),"",TEXT(C907,"0000")&amp;TEXT(A907,"00")&amp;TEXT(B907,"00"))</f>
        <v>19780506</v>
      </c>
    </row>
    <row r="908" spans="1:80" s="52" customFormat="1" ht="12.95" customHeight="1" x14ac:dyDescent="0.2">
      <c r="A908" s="46">
        <v>1</v>
      </c>
      <c r="B908" s="46">
        <v>17</v>
      </c>
      <c r="C908" s="46">
        <v>1979</v>
      </c>
      <c r="D908" s="46" t="s">
        <v>658</v>
      </c>
      <c r="E908" s="46" t="s">
        <v>547</v>
      </c>
      <c r="F908" s="54" t="s">
        <v>1327</v>
      </c>
      <c r="G908" s="46"/>
      <c r="H908" s="54" t="s">
        <v>1011</v>
      </c>
      <c r="I908" s="54">
        <v>1</v>
      </c>
      <c r="J908" s="55">
        <v>28872</v>
      </c>
      <c r="K908" s="46" t="s">
        <v>1072</v>
      </c>
      <c r="L908" s="46" t="s">
        <v>3</v>
      </c>
      <c r="M908" s="46" t="s">
        <v>1357</v>
      </c>
      <c r="N908" s="49">
        <v>3</v>
      </c>
      <c r="O908" s="49">
        <v>1</v>
      </c>
      <c r="P908" s="54" t="s">
        <v>1135</v>
      </c>
      <c r="Q908" s="54" t="s">
        <v>1073</v>
      </c>
      <c r="R908" s="54" t="s">
        <v>376</v>
      </c>
      <c r="S908" s="46"/>
      <c r="T908" s="46"/>
      <c r="U908" s="46"/>
      <c r="V908" s="46"/>
      <c r="W908" s="46"/>
      <c r="X908" s="46"/>
      <c r="Y908" s="46"/>
      <c r="Z908" s="46"/>
      <c r="AA908" s="46"/>
      <c r="AB908" s="46"/>
      <c r="AC908" s="46"/>
      <c r="AD908" s="46" t="s">
        <v>1033</v>
      </c>
      <c r="AE908" s="50">
        <f>IF(L908="W",1,0)</f>
        <v>1</v>
      </c>
      <c r="AF908" s="50">
        <f>IF(L908="T",1,0)</f>
        <v>0</v>
      </c>
      <c r="AG908" s="50">
        <f>IF(L908="L",1,0)</f>
        <v>0</v>
      </c>
      <c r="AH908" s="46" t="s">
        <v>1073</v>
      </c>
      <c r="AI908" s="46" t="s">
        <v>1074</v>
      </c>
      <c r="AJ908" s="46" t="s">
        <v>376</v>
      </c>
      <c r="AK908" s="46" t="s">
        <v>658</v>
      </c>
      <c r="AL908" s="46" t="s">
        <v>1017</v>
      </c>
      <c r="AM908" s="46" t="s">
        <v>1371</v>
      </c>
      <c r="AN908" s="46" t="s">
        <v>376</v>
      </c>
      <c r="AO908" s="46" t="s">
        <v>658</v>
      </c>
      <c r="AP908" s="46"/>
      <c r="AQ908" s="46">
        <v>2</v>
      </c>
      <c r="AR908" s="46"/>
      <c r="AS908" s="46"/>
      <c r="AT908" s="46"/>
      <c r="AU908" s="46" t="s">
        <v>376</v>
      </c>
      <c r="AV908" s="46"/>
      <c r="AW908" s="46" t="s">
        <v>30</v>
      </c>
      <c r="AX908" s="46"/>
      <c r="AY908" s="46"/>
      <c r="AZ908" s="46" t="s">
        <v>30</v>
      </c>
      <c r="BA908" s="54"/>
      <c r="BB908" s="51"/>
      <c r="BC908" s="46"/>
      <c r="BD908" s="46"/>
      <c r="BE908" s="46"/>
      <c r="BF908" s="46">
        <v>1</v>
      </c>
      <c r="BG908" s="46">
        <v>1</v>
      </c>
      <c r="BH908" s="46">
        <v>3</v>
      </c>
      <c r="BI908" s="46" t="s">
        <v>1072</v>
      </c>
      <c r="BJ908" s="46" t="s">
        <v>1357</v>
      </c>
      <c r="BK908" s="46">
        <v>1979</v>
      </c>
      <c r="BL908" s="46" t="str">
        <f>BK908&amp;BI908</f>
        <v>1979Nottingham Forest</v>
      </c>
      <c r="BM908" s="52" t="str">
        <f>IF(AD908="Home",BI908,IF(AD908="Away",BJ908,Q908))</f>
        <v>Nottingham Forest</v>
      </c>
      <c r="BN908" s="46"/>
      <c r="BO908" s="46"/>
      <c r="BP908" s="46"/>
      <c r="BQ908" s="46"/>
      <c r="BR908" s="46"/>
      <c r="BS908" s="46"/>
      <c r="BT908" s="46"/>
      <c r="BU908" s="46"/>
      <c r="BV908" s="46" t="s">
        <v>376</v>
      </c>
      <c r="BW908" s="46" t="s">
        <v>376</v>
      </c>
      <c r="BX908" s="46"/>
      <c r="BY908" s="35"/>
      <c r="BZ908" s="53"/>
      <c r="CA908" s="53"/>
      <c r="CB908" s="93" t="str">
        <f>IF(OR(C908="",A908="",B908=""),"",TEXT(C908,"0000")&amp;TEXT(A908,"00")&amp;TEXT(B908,"00"))</f>
        <v>19790117</v>
      </c>
    </row>
    <row r="909" spans="1:80" s="52" customFormat="1" ht="12.95" customHeight="1" x14ac:dyDescent="0.2">
      <c r="A909" s="46">
        <v>1</v>
      </c>
      <c r="B909" s="46">
        <v>17</v>
      </c>
      <c r="C909" s="46">
        <v>1979</v>
      </c>
      <c r="D909" s="46" t="s">
        <v>658</v>
      </c>
      <c r="E909" s="46" t="s">
        <v>547</v>
      </c>
      <c r="F909" s="54" t="s">
        <v>1327</v>
      </c>
      <c r="G909" s="46"/>
      <c r="H909" s="54" t="s">
        <v>1011</v>
      </c>
      <c r="I909" s="54">
        <v>1</v>
      </c>
      <c r="J909" s="55">
        <v>28872</v>
      </c>
      <c r="K909" s="46" t="s">
        <v>1357</v>
      </c>
      <c r="L909" s="46" t="s">
        <v>4</v>
      </c>
      <c r="M909" s="46" t="s">
        <v>1072</v>
      </c>
      <c r="N909" s="49">
        <v>1</v>
      </c>
      <c r="O909" s="49">
        <v>3</v>
      </c>
      <c r="P909" s="54" t="s">
        <v>1135</v>
      </c>
      <c r="Q909" s="54" t="s">
        <v>1073</v>
      </c>
      <c r="R909" s="54" t="s">
        <v>376</v>
      </c>
      <c r="S909" s="46"/>
      <c r="T909" s="46"/>
      <c r="U909" s="46"/>
      <c r="V909" s="46"/>
      <c r="W909" s="46"/>
      <c r="X909" s="46"/>
      <c r="Y909" s="46"/>
      <c r="Z909" s="46"/>
      <c r="AA909" s="46"/>
      <c r="AB909" s="46"/>
      <c r="AC909" s="46"/>
      <c r="AD909" s="46" t="s">
        <v>1037</v>
      </c>
      <c r="AE909" s="50">
        <f>IF(L909="W",1,0)</f>
        <v>0</v>
      </c>
      <c r="AF909" s="50">
        <f>IF(L909="T",1,0)</f>
        <v>0</v>
      </c>
      <c r="AG909" s="50">
        <f>IF(L909="L",1,0)</f>
        <v>1</v>
      </c>
      <c r="AH909" s="46" t="s">
        <v>1017</v>
      </c>
      <c r="AI909" s="46" t="s">
        <v>1371</v>
      </c>
      <c r="AJ909" s="46" t="s">
        <v>376</v>
      </c>
      <c r="AK909" s="46" t="s">
        <v>658</v>
      </c>
      <c r="AL909" s="46" t="s">
        <v>1073</v>
      </c>
      <c r="AM909" s="46" t="s">
        <v>1074</v>
      </c>
      <c r="AN909" s="46" t="s">
        <v>376</v>
      </c>
      <c r="AO909" s="46" t="s">
        <v>658</v>
      </c>
      <c r="AP909" s="46"/>
      <c r="AQ909" s="46">
        <v>2</v>
      </c>
      <c r="AR909" s="46"/>
      <c r="AS909" s="46"/>
      <c r="AT909" s="46"/>
      <c r="AU909" s="46" t="s">
        <v>376</v>
      </c>
      <c r="AV909" s="46"/>
      <c r="AW909" s="46" t="s">
        <v>30</v>
      </c>
      <c r="AX909" s="46"/>
      <c r="AY909" s="46"/>
      <c r="AZ909" s="46" t="s">
        <v>30</v>
      </c>
      <c r="BA909" s="54"/>
      <c r="BB909" s="51"/>
      <c r="BC909" s="46"/>
      <c r="BD909" s="46"/>
      <c r="BE909" s="46"/>
      <c r="BF909" s="46">
        <v>1</v>
      </c>
      <c r="BG909" s="46">
        <v>3</v>
      </c>
      <c r="BH909" s="46">
        <v>1</v>
      </c>
      <c r="BI909" s="46" t="s">
        <v>1357</v>
      </c>
      <c r="BJ909" s="46" t="s">
        <v>1072</v>
      </c>
      <c r="BK909" s="46">
        <v>1979</v>
      </c>
      <c r="BL909" s="46" t="str">
        <f>BK909&amp;BI909</f>
        <v>1979Watford</v>
      </c>
      <c r="BM909" s="52" t="str">
        <f>IF(AD909="Home",BI909,IF(AD909="Away",BJ909,Q909))</f>
        <v>Nottingham Forest</v>
      </c>
      <c r="BN909" s="46"/>
      <c r="BO909" s="46"/>
      <c r="BP909" s="46"/>
      <c r="BQ909" s="46"/>
      <c r="BR909" s="46"/>
      <c r="BS909" s="46"/>
      <c r="BT909" s="46"/>
      <c r="BU909" s="46"/>
      <c r="BV909" s="46" t="s">
        <v>376</v>
      </c>
      <c r="BW909" s="46" t="s">
        <v>376</v>
      </c>
      <c r="BX909" s="46"/>
      <c r="BY909" s="35"/>
      <c r="BZ909" s="53"/>
      <c r="CA909" s="53"/>
      <c r="CB909" s="93" t="str">
        <f>IF(OR(C909="",A909="",B909=""),"",TEXT(C909,"0000")&amp;TEXT(A909,"00")&amp;TEXT(B909,"00"))</f>
        <v>19790117</v>
      </c>
    </row>
    <row r="910" spans="1:80" s="52" customFormat="1" ht="12.95" customHeight="1" x14ac:dyDescent="0.2">
      <c r="A910" s="46">
        <v>1</v>
      </c>
      <c r="B910" s="46">
        <v>24</v>
      </c>
      <c r="C910" s="46">
        <v>1979</v>
      </c>
      <c r="D910" s="46" t="s">
        <v>658</v>
      </c>
      <c r="E910" s="46" t="s">
        <v>547</v>
      </c>
      <c r="F910" s="54" t="s">
        <v>1327</v>
      </c>
      <c r="G910" s="46"/>
      <c r="H910" s="54" t="s">
        <v>1011</v>
      </c>
      <c r="I910" s="54">
        <v>1</v>
      </c>
      <c r="J910" s="55">
        <v>28879</v>
      </c>
      <c r="K910" s="46" t="s">
        <v>794</v>
      </c>
      <c r="L910" s="46" t="s">
        <v>1014</v>
      </c>
      <c r="M910" s="46" t="s">
        <v>629</v>
      </c>
      <c r="N910" s="49">
        <v>2</v>
      </c>
      <c r="O910" s="49">
        <v>2</v>
      </c>
      <c r="P910" s="54" t="s">
        <v>1240</v>
      </c>
      <c r="Q910" s="54" t="s">
        <v>1241</v>
      </c>
      <c r="R910" s="54" t="s">
        <v>376</v>
      </c>
      <c r="S910" s="46"/>
      <c r="T910" s="46"/>
      <c r="U910" s="46"/>
      <c r="V910" s="46"/>
      <c r="W910" s="46"/>
      <c r="X910" s="46"/>
      <c r="Y910" s="46"/>
      <c r="Z910" s="46"/>
      <c r="AA910" s="46"/>
      <c r="AB910" s="46"/>
      <c r="AC910" s="46"/>
      <c r="AD910" s="46" t="s">
        <v>1033</v>
      </c>
      <c r="AE910" s="50">
        <f>IF(L910="W",1,0)</f>
        <v>0</v>
      </c>
      <c r="AF910" s="50">
        <f>IF(L910="T",1,0)</f>
        <v>1</v>
      </c>
      <c r="AG910" s="50">
        <f>IF(L910="L",1,0)</f>
        <v>0</v>
      </c>
      <c r="AH910" s="46" t="s">
        <v>1241</v>
      </c>
      <c r="AI910" s="46" t="s">
        <v>1260</v>
      </c>
      <c r="AJ910" s="46" t="s">
        <v>376</v>
      </c>
      <c r="AK910" s="46" t="s">
        <v>658</v>
      </c>
      <c r="AL910" s="46" t="s">
        <v>629</v>
      </c>
      <c r="AM910" s="46" t="s">
        <v>1199</v>
      </c>
      <c r="AN910" s="46" t="s">
        <v>376</v>
      </c>
      <c r="AO910" s="46" t="s">
        <v>658</v>
      </c>
      <c r="AP910" s="46"/>
      <c r="AQ910" s="46">
        <v>2</v>
      </c>
      <c r="AR910" s="46"/>
      <c r="AS910" s="46"/>
      <c r="AT910" s="46"/>
      <c r="AU910" s="46" t="s">
        <v>376</v>
      </c>
      <c r="AV910" s="46"/>
      <c r="AW910" s="46" t="s">
        <v>30</v>
      </c>
      <c r="AX910" s="46"/>
      <c r="AY910" s="46"/>
      <c r="AZ910" s="46" t="s">
        <v>30</v>
      </c>
      <c r="BA910" s="54"/>
      <c r="BB910" s="51"/>
      <c r="BC910" s="46"/>
      <c r="BD910" s="46"/>
      <c r="BE910" s="46"/>
      <c r="BF910" s="46">
        <v>1</v>
      </c>
      <c r="BG910" s="46">
        <v>1</v>
      </c>
      <c r="BH910" s="46">
        <v>1</v>
      </c>
      <c r="BI910" s="46" t="s">
        <v>794</v>
      </c>
      <c r="BJ910" s="46" t="s">
        <v>629</v>
      </c>
      <c r="BK910" s="46">
        <v>1979</v>
      </c>
      <c r="BL910" s="46" t="str">
        <f>BK910&amp;BI910</f>
        <v>1979Leeds United</v>
      </c>
      <c r="BM910" s="52" t="str">
        <f>IF(AD910="Home",BI910,IF(AD910="Away",BJ910,Q910))</f>
        <v>Leeds United</v>
      </c>
      <c r="BN910" s="46"/>
      <c r="BO910" s="46"/>
      <c r="BP910" s="46"/>
      <c r="BQ910" s="46"/>
      <c r="BR910" s="46"/>
      <c r="BS910" s="46"/>
      <c r="BT910" s="46"/>
      <c r="BU910" s="46"/>
      <c r="BV910" s="46" t="s">
        <v>376</v>
      </c>
      <c r="BW910" s="46" t="s">
        <v>376</v>
      </c>
      <c r="BX910" s="46"/>
      <c r="BZ910" s="53"/>
      <c r="CA910" s="53"/>
      <c r="CB910" s="93" t="str">
        <f>IF(OR(C910="",A910="",B910=""),"",TEXT(C910,"0000")&amp;TEXT(A910,"00")&amp;TEXT(B910,"00"))</f>
        <v>19790124</v>
      </c>
    </row>
    <row r="911" spans="1:80" s="52" customFormat="1" ht="12.95" customHeight="1" x14ac:dyDescent="0.2">
      <c r="A911" s="46">
        <v>1</v>
      </c>
      <c r="B911" s="46">
        <v>24</v>
      </c>
      <c r="C911" s="46">
        <v>1979</v>
      </c>
      <c r="D911" s="46" t="s">
        <v>658</v>
      </c>
      <c r="E911" s="46" t="s">
        <v>547</v>
      </c>
      <c r="F911" s="54" t="s">
        <v>1327</v>
      </c>
      <c r="G911" s="46"/>
      <c r="H911" s="54" t="s">
        <v>1011</v>
      </c>
      <c r="I911" s="54">
        <v>1</v>
      </c>
      <c r="J911" s="55">
        <v>28879</v>
      </c>
      <c r="K911" s="46" t="s">
        <v>629</v>
      </c>
      <c r="L911" s="46" t="s">
        <v>1014</v>
      </c>
      <c r="M911" s="46" t="s">
        <v>794</v>
      </c>
      <c r="N911" s="49">
        <v>2</v>
      </c>
      <c r="O911" s="49">
        <v>2</v>
      </c>
      <c r="P911" s="54" t="s">
        <v>1240</v>
      </c>
      <c r="Q911" s="54" t="s">
        <v>1241</v>
      </c>
      <c r="R911" s="54" t="s">
        <v>376</v>
      </c>
      <c r="S911" s="46"/>
      <c r="T911" s="46"/>
      <c r="U911" s="46"/>
      <c r="V911" s="46"/>
      <c r="W911" s="46"/>
      <c r="X911" s="46"/>
      <c r="Y911" s="46"/>
      <c r="Z911" s="46"/>
      <c r="AA911" s="46"/>
      <c r="AB911" s="46"/>
      <c r="AC911" s="46"/>
      <c r="AD911" s="46" t="s">
        <v>1037</v>
      </c>
      <c r="AE911" s="50">
        <f>IF(L911="W",1,0)</f>
        <v>0</v>
      </c>
      <c r="AF911" s="50">
        <f>IF(L911="T",1,0)</f>
        <v>1</v>
      </c>
      <c r="AG911" s="50">
        <f>IF(L911="L",1,0)</f>
        <v>0</v>
      </c>
      <c r="AH911" s="46" t="s">
        <v>629</v>
      </c>
      <c r="AI911" s="46" t="s">
        <v>1199</v>
      </c>
      <c r="AJ911" s="46" t="s">
        <v>376</v>
      </c>
      <c r="AK911" s="46" t="s">
        <v>658</v>
      </c>
      <c r="AL911" s="46" t="s">
        <v>1241</v>
      </c>
      <c r="AM911" s="46" t="s">
        <v>1260</v>
      </c>
      <c r="AN911" s="46" t="s">
        <v>376</v>
      </c>
      <c r="AO911" s="46" t="s">
        <v>658</v>
      </c>
      <c r="AP911" s="46"/>
      <c r="AQ911" s="46">
        <v>2</v>
      </c>
      <c r="AR911" s="46"/>
      <c r="AS911" s="46"/>
      <c r="AT911" s="46"/>
      <c r="AU911" s="46" t="s">
        <v>376</v>
      </c>
      <c r="AV911" s="46"/>
      <c r="AW911" s="46" t="s">
        <v>30</v>
      </c>
      <c r="AX911" s="46"/>
      <c r="AY911" s="46"/>
      <c r="AZ911" s="46" t="s">
        <v>30</v>
      </c>
      <c r="BA911" s="54"/>
      <c r="BB911" s="51"/>
      <c r="BC911" s="46"/>
      <c r="BD911" s="46"/>
      <c r="BE911" s="46"/>
      <c r="BF911" s="46">
        <v>1</v>
      </c>
      <c r="BG911" s="46">
        <v>1</v>
      </c>
      <c r="BH911" s="46">
        <v>1</v>
      </c>
      <c r="BI911" s="46" t="s">
        <v>629</v>
      </c>
      <c r="BJ911" s="46" t="s">
        <v>794</v>
      </c>
      <c r="BK911" s="46">
        <v>1979</v>
      </c>
      <c r="BL911" s="46" t="str">
        <f>BK911&amp;BI911</f>
        <v>1979Southampton</v>
      </c>
      <c r="BM911" s="52" t="str">
        <f>IF(AD911="Home",BI911,IF(AD911="Away",BJ911,Q911))</f>
        <v>Leeds United</v>
      </c>
      <c r="BN911" s="46"/>
      <c r="BO911" s="46"/>
      <c r="BP911" s="46"/>
      <c r="BQ911" s="46"/>
      <c r="BR911" s="46"/>
      <c r="BS911" s="46"/>
      <c r="BT911" s="46"/>
      <c r="BU911" s="46"/>
      <c r="BV911" s="46" t="s">
        <v>376</v>
      </c>
      <c r="BW911" s="46" t="s">
        <v>376</v>
      </c>
      <c r="BX911" s="46"/>
      <c r="BZ911" s="53"/>
      <c r="CA911" s="53"/>
      <c r="CB911" s="93" t="str">
        <f>IF(OR(C911="",A911="",B911=""),"",TEXT(C911,"0000")&amp;TEXT(A911,"00")&amp;TEXT(B911,"00"))</f>
        <v>19790124</v>
      </c>
    </row>
    <row r="912" spans="1:80" s="52" customFormat="1" ht="12.95" customHeight="1" x14ac:dyDescent="0.2">
      <c r="A912" s="46">
        <v>1</v>
      </c>
      <c r="B912" s="46">
        <v>30</v>
      </c>
      <c r="C912" s="46">
        <v>1979</v>
      </c>
      <c r="D912" s="46" t="s">
        <v>658</v>
      </c>
      <c r="E912" s="46" t="s">
        <v>547</v>
      </c>
      <c r="F912" s="54" t="s">
        <v>1327</v>
      </c>
      <c r="G912" s="46"/>
      <c r="H912" s="54" t="s">
        <v>1011</v>
      </c>
      <c r="I912" s="54">
        <v>2</v>
      </c>
      <c r="J912" s="55">
        <v>28885</v>
      </c>
      <c r="K912" s="46" t="s">
        <v>629</v>
      </c>
      <c r="L912" s="46" t="s">
        <v>3</v>
      </c>
      <c r="M912" s="46" t="s">
        <v>794</v>
      </c>
      <c r="N912" s="49">
        <v>1</v>
      </c>
      <c r="O912" s="49">
        <v>0</v>
      </c>
      <c r="P912" s="54" t="s">
        <v>1372</v>
      </c>
      <c r="Q912" s="54" t="s">
        <v>629</v>
      </c>
      <c r="R912" s="54" t="s">
        <v>376</v>
      </c>
      <c r="S912" s="46"/>
      <c r="T912" s="46"/>
      <c r="U912" s="46"/>
      <c r="V912" s="46"/>
      <c r="W912" s="46"/>
      <c r="X912" s="46"/>
      <c r="Y912" s="46"/>
      <c r="Z912" s="46"/>
      <c r="AA912" s="46"/>
      <c r="AB912" s="46"/>
      <c r="AC912" s="46"/>
      <c r="AD912" s="46" t="s">
        <v>1033</v>
      </c>
      <c r="AE912" s="50">
        <f>IF(L912="W",1,0)</f>
        <v>1</v>
      </c>
      <c r="AF912" s="50">
        <f>IF(L912="T",1,0)</f>
        <v>0</v>
      </c>
      <c r="AG912" s="50">
        <f>IF(L912="L",1,0)</f>
        <v>0</v>
      </c>
      <c r="AH912" s="46" t="s">
        <v>629</v>
      </c>
      <c r="AI912" s="46" t="s">
        <v>1199</v>
      </c>
      <c r="AJ912" s="46" t="s">
        <v>376</v>
      </c>
      <c r="AK912" s="46" t="s">
        <v>658</v>
      </c>
      <c r="AL912" s="46" t="s">
        <v>1241</v>
      </c>
      <c r="AM912" s="46" t="s">
        <v>1260</v>
      </c>
      <c r="AN912" s="46" t="s">
        <v>376</v>
      </c>
      <c r="AO912" s="46" t="s">
        <v>658</v>
      </c>
      <c r="AP912" s="46"/>
      <c r="AQ912" s="46">
        <v>2</v>
      </c>
      <c r="AR912" s="46"/>
      <c r="AS912" s="46"/>
      <c r="AT912" s="46"/>
      <c r="AU912" s="46" t="s">
        <v>376</v>
      </c>
      <c r="AV912" s="46"/>
      <c r="AW912" s="46" t="s">
        <v>30</v>
      </c>
      <c r="AX912" s="46"/>
      <c r="AY912" s="46"/>
      <c r="AZ912" s="46" t="s">
        <v>30</v>
      </c>
      <c r="BA912" s="54"/>
      <c r="BB912" s="51"/>
      <c r="BC912" s="46"/>
      <c r="BD912" s="46"/>
      <c r="BE912" s="46"/>
      <c r="BF912" s="46">
        <v>1</v>
      </c>
      <c r="BG912" s="46">
        <v>1</v>
      </c>
      <c r="BH912" s="46">
        <v>1</v>
      </c>
      <c r="BI912" s="46" t="s">
        <v>629</v>
      </c>
      <c r="BJ912" s="46" t="s">
        <v>794</v>
      </c>
      <c r="BK912" s="46">
        <v>1979</v>
      </c>
      <c r="BL912" s="46" t="str">
        <f>BK912&amp;BI912</f>
        <v>1979Southampton</v>
      </c>
      <c r="BM912" s="52" t="str">
        <f>IF(AD912="Home",BI912,IF(AD912="Away",BJ912,Q912))</f>
        <v>Southampton</v>
      </c>
      <c r="BN912" s="46"/>
      <c r="BO912" s="46"/>
      <c r="BP912" s="46"/>
      <c r="BQ912" s="46"/>
      <c r="BR912" s="46"/>
      <c r="BS912" s="46"/>
      <c r="BT912" s="46"/>
      <c r="BU912" s="46"/>
      <c r="BV912" s="46" t="s">
        <v>376</v>
      </c>
      <c r="BW912" s="46" t="s">
        <v>376</v>
      </c>
      <c r="BX912" s="46"/>
      <c r="BY912" s="50"/>
      <c r="BZ912" s="53"/>
      <c r="CA912" s="53"/>
      <c r="CB912" s="93" t="str">
        <f>IF(OR(C912="",A912="",B912=""),"",TEXT(C912,"0000")&amp;TEXT(A912,"00")&amp;TEXT(B912,"00"))</f>
        <v>19790130</v>
      </c>
    </row>
    <row r="913" spans="1:80" s="52" customFormat="1" ht="12.95" customHeight="1" x14ac:dyDescent="0.2">
      <c r="A913" s="46">
        <v>1</v>
      </c>
      <c r="B913" s="46">
        <v>30</v>
      </c>
      <c r="C913" s="46">
        <v>1979</v>
      </c>
      <c r="D913" s="46" t="s">
        <v>658</v>
      </c>
      <c r="E913" s="46" t="s">
        <v>547</v>
      </c>
      <c r="F913" s="54" t="s">
        <v>1327</v>
      </c>
      <c r="G913" s="46"/>
      <c r="H913" s="54" t="s">
        <v>1011</v>
      </c>
      <c r="I913" s="54">
        <v>2</v>
      </c>
      <c r="J913" s="55">
        <v>28885</v>
      </c>
      <c r="K913" s="46" t="s">
        <v>794</v>
      </c>
      <c r="L913" s="46" t="s">
        <v>4</v>
      </c>
      <c r="M913" s="46" t="s">
        <v>629</v>
      </c>
      <c r="N913" s="49">
        <v>0</v>
      </c>
      <c r="O913" s="49">
        <v>1</v>
      </c>
      <c r="P913" s="54" t="s">
        <v>1372</v>
      </c>
      <c r="Q913" s="54" t="s">
        <v>629</v>
      </c>
      <c r="R913" s="54" t="s">
        <v>376</v>
      </c>
      <c r="S913" s="46"/>
      <c r="T913" s="46"/>
      <c r="U913" s="46"/>
      <c r="V913" s="46"/>
      <c r="W913" s="46"/>
      <c r="X913" s="46"/>
      <c r="Y913" s="46"/>
      <c r="Z913" s="46"/>
      <c r="AA913" s="46"/>
      <c r="AB913" s="46"/>
      <c r="AC913" s="46"/>
      <c r="AD913" s="46" t="s">
        <v>1037</v>
      </c>
      <c r="AE913" s="50">
        <f>IF(L913="W",1,0)</f>
        <v>0</v>
      </c>
      <c r="AF913" s="50">
        <f>IF(L913="T",1,0)</f>
        <v>0</v>
      </c>
      <c r="AG913" s="50">
        <f>IF(L913="L",1,0)</f>
        <v>1</v>
      </c>
      <c r="AH913" s="46" t="s">
        <v>1241</v>
      </c>
      <c r="AI913" s="46" t="s">
        <v>1260</v>
      </c>
      <c r="AJ913" s="46" t="s">
        <v>376</v>
      </c>
      <c r="AK913" s="46" t="s">
        <v>658</v>
      </c>
      <c r="AL913" s="46" t="s">
        <v>629</v>
      </c>
      <c r="AM913" s="46" t="s">
        <v>1199</v>
      </c>
      <c r="AN913" s="46" t="s">
        <v>376</v>
      </c>
      <c r="AO913" s="46" t="s">
        <v>658</v>
      </c>
      <c r="AP913" s="46"/>
      <c r="AQ913" s="46">
        <v>2</v>
      </c>
      <c r="AR913" s="46"/>
      <c r="AS913" s="46"/>
      <c r="AT913" s="46"/>
      <c r="AU913" s="46" t="s">
        <v>376</v>
      </c>
      <c r="AV913" s="46"/>
      <c r="AW913" s="46" t="s">
        <v>30</v>
      </c>
      <c r="AX913" s="46"/>
      <c r="AY913" s="46"/>
      <c r="AZ913" s="46" t="s">
        <v>30</v>
      </c>
      <c r="BA913" s="54"/>
      <c r="BB913" s="51"/>
      <c r="BC913" s="46"/>
      <c r="BD913" s="46"/>
      <c r="BE913" s="46"/>
      <c r="BF913" s="46">
        <v>1</v>
      </c>
      <c r="BG913" s="46">
        <v>1</v>
      </c>
      <c r="BH913" s="46">
        <v>1</v>
      </c>
      <c r="BI913" s="46" t="s">
        <v>794</v>
      </c>
      <c r="BJ913" s="46" t="s">
        <v>629</v>
      </c>
      <c r="BK913" s="46">
        <v>1979</v>
      </c>
      <c r="BL913" s="46" t="str">
        <f>BK913&amp;BI913</f>
        <v>1979Leeds United</v>
      </c>
      <c r="BM913" s="52" t="str">
        <f>IF(AD913="Home",BI913,IF(AD913="Away",BJ913,Q913))</f>
        <v>Southampton</v>
      </c>
      <c r="BN913" s="46"/>
      <c r="BO913" s="46"/>
      <c r="BP913" s="46"/>
      <c r="BQ913" s="46"/>
      <c r="BR913" s="46"/>
      <c r="BS913" s="46"/>
      <c r="BT913" s="46"/>
      <c r="BU913" s="46"/>
      <c r="BV913" s="46" t="s">
        <v>376</v>
      </c>
      <c r="BW913" s="46" t="s">
        <v>376</v>
      </c>
      <c r="BX913" s="46"/>
      <c r="BY913" s="50"/>
      <c r="BZ913" s="53"/>
      <c r="CA913" s="53"/>
      <c r="CB913" s="93" t="str">
        <f>IF(OR(C913="",A913="",B913=""),"",TEXT(C913,"0000")&amp;TEXT(A913,"00")&amp;TEXT(B913,"00"))</f>
        <v>19790130</v>
      </c>
    </row>
    <row r="914" spans="1:80" s="52" customFormat="1" ht="12.95" customHeight="1" x14ac:dyDescent="0.2">
      <c r="A914" s="46">
        <v>1</v>
      </c>
      <c r="B914" s="46">
        <v>30</v>
      </c>
      <c r="C914" s="46">
        <v>1979</v>
      </c>
      <c r="D914" s="46" t="s">
        <v>658</v>
      </c>
      <c r="E914" s="46" t="s">
        <v>547</v>
      </c>
      <c r="F914" s="54" t="s">
        <v>1327</v>
      </c>
      <c r="G914" s="46"/>
      <c r="H914" s="54" t="s">
        <v>1011</v>
      </c>
      <c r="I914" s="54">
        <v>2</v>
      </c>
      <c r="J914" s="55">
        <v>28885</v>
      </c>
      <c r="K914" s="46" t="s">
        <v>1357</v>
      </c>
      <c r="L914" s="46" t="s">
        <v>1014</v>
      </c>
      <c r="M914" s="46" t="s">
        <v>1072</v>
      </c>
      <c r="N914" s="49">
        <v>0</v>
      </c>
      <c r="O914" s="49">
        <v>0</v>
      </c>
      <c r="P914" s="54" t="s">
        <v>1373</v>
      </c>
      <c r="Q914" s="54" t="s">
        <v>1017</v>
      </c>
      <c r="R914" s="54" t="s">
        <v>376</v>
      </c>
      <c r="S914" s="46"/>
      <c r="T914" s="46"/>
      <c r="U914" s="46"/>
      <c r="V914" s="46"/>
      <c r="W914" s="46"/>
      <c r="X914" s="46"/>
      <c r="Y914" s="46"/>
      <c r="Z914" s="46"/>
      <c r="AA914" s="46"/>
      <c r="AB914" s="46"/>
      <c r="AC914" s="46"/>
      <c r="AD914" s="46" t="s">
        <v>1033</v>
      </c>
      <c r="AE914" s="50">
        <f>IF(L914="W",1,0)</f>
        <v>0</v>
      </c>
      <c r="AF914" s="50">
        <f>IF(L914="T",1,0)</f>
        <v>1</v>
      </c>
      <c r="AG914" s="50">
        <f>IF(L914="L",1,0)</f>
        <v>0</v>
      </c>
      <c r="AH914" s="46" t="s">
        <v>1017</v>
      </c>
      <c r="AI914" s="46" t="s">
        <v>1371</v>
      </c>
      <c r="AJ914" s="46" t="s">
        <v>376</v>
      </c>
      <c r="AK914" s="46" t="s">
        <v>658</v>
      </c>
      <c r="AL914" s="46" t="s">
        <v>1073</v>
      </c>
      <c r="AM914" s="46" t="s">
        <v>1074</v>
      </c>
      <c r="AN914" s="46" t="s">
        <v>376</v>
      </c>
      <c r="AO914" s="46" t="s">
        <v>658</v>
      </c>
      <c r="AP914" s="46"/>
      <c r="AQ914" s="46">
        <v>2</v>
      </c>
      <c r="AR914" s="46"/>
      <c r="AS914" s="46"/>
      <c r="AT914" s="46"/>
      <c r="AU914" s="46" t="s">
        <v>376</v>
      </c>
      <c r="AV914" s="46"/>
      <c r="AW914" s="46" t="s">
        <v>30</v>
      </c>
      <c r="AX914" s="46"/>
      <c r="AY914" s="46"/>
      <c r="AZ914" s="46" t="s">
        <v>30</v>
      </c>
      <c r="BA914" s="54"/>
      <c r="BB914" s="51"/>
      <c r="BC914" s="46"/>
      <c r="BD914" s="46"/>
      <c r="BE914" s="46"/>
      <c r="BF914" s="46">
        <v>1</v>
      </c>
      <c r="BG914" s="46">
        <v>3</v>
      </c>
      <c r="BH914" s="46">
        <v>1</v>
      </c>
      <c r="BI914" s="46" t="s">
        <v>1357</v>
      </c>
      <c r="BJ914" s="46" t="s">
        <v>1072</v>
      </c>
      <c r="BK914" s="46">
        <v>1979</v>
      </c>
      <c r="BL914" s="46" t="str">
        <f>BK914&amp;BI914</f>
        <v>1979Watford</v>
      </c>
      <c r="BM914" s="52" t="str">
        <f>IF(AD914="Home",BI914,IF(AD914="Away",BJ914,Q914))</f>
        <v>Watford</v>
      </c>
      <c r="BN914" s="46"/>
      <c r="BO914" s="46"/>
      <c r="BP914" s="46"/>
      <c r="BQ914" s="46"/>
      <c r="BR914" s="46"/>
      <c r="BS914" s="46"/>
      <c r="BT914" s="46"/>
      <c r="BU914" s="46"/>
      <c r="BV914" s="46" t="s">
        <v>376</v>
      </c>
      <c r="BW914" s="46" t="s">
        <v>376</v>
      </c>
      <c r="BX914" s="46"/>
      <c r="BZ914" s="53"/>
      <c r="CA914" s="53"/>
      <c r="CB914" s="93" t="str">
        <f>IF(OR(C914="",A914="",B914=""),"",TEXT(C914,"0000")&amp;TEXT(A914,"00")&amp;TEXT(B914,"00"))</f>
        <v>19790130</v>
      </c>
    </row>
    <row r="915" spans="1:80" s="52" customFormat="1" ht="12.95" customHeight="1" x14ac:dyDescent="0.2">
      <c r="A915" s="46">
        <v>1</v>
      </c>
      <c r="B915" s="46">
        <v>30</v>
      </c>
      <c r="C915" s="46">
        <v>1979</v>
      </c>
      <c r="D915" s="46" t="s">
        <v>658</v>
      </c>
      <c r="E915" s="46" t="s">
        <v>547</v>
      </c>
      <c r="F915" s="54" t="s">
        <v>1327</v>
      </c>
      <c r="G915" s="46"/>
      <c r="H915" s="54" t="s">
        <v>1011</v>
      </c>
      <c r="I915" s="54">
        <v>2</v>
      </c>
      <c r="J915" s="55">
        <v>28885</v>
      </c>
      <c r="K915" s="46" t="s">
        <v>1072</v>
      </c>
      <c r="L915" s="46" t="s">
        <v>1014</v>
      </c>
      <c r="M915" s="46" t="s">
        <v>1357</v>
      </c>
      <c r="N915" s="49">
        <v>0</v>
      </c>
      <c r="O915" s="49">
        <v>0</v>
      </c>
      <c r="P915" s="54" t="s">
        <v>1373</v>
      </c>
      <c r="Q915" s="54" t="s">
        <v>1017</v>
      </c>
      <c r="R915" s="54" t="s">
        <v>376</v>
      </c>
      <c r="S915" s="46"/>
      <c r="T915" s="46"/>
      <c r="U915" s="46"/>
      <c r="V915" s="46"/>
      <c r="W915" s="46"/>
      <c r="X915" s="46"/>
      <c r="Y915" s="46"/>
      <c r="Z915" s="46"/>
      <c r="AA915" s="46"/>
      <c r="AB915" s="46"/>
      <c r="AC915" s="46"/>
      <c r="AD915" s="46" t="s">
        <v>1037</v>
      </c>
      <c r="AE915" s="50">
        <f>IF(L915="W",1,0)</f>
        <v>0</v>
      </c>
      <c r="AF915" s="50">
        <f>IF(L915="T",1,0)</f>
        <v>1</v>
      </c>
      <c r="AG915" s="50">
        <f>IF(L915="L",1,0)</f>
        <v>0</v>
      </c>
      <c r="AH915" s="46" t="s">
        <v>1073</v>
      </c>
      <c r="AI915" s="46" t="s">
        <v>1074</v>
      </c>
      <c r="AJ915" s="46" t="s">
        <v>376</v>
      </c>
      <c r="AK915" s="46" t="s">
        <v>658</v>
      </c>
      <c r="AL915" s="46" t="s">
        <v>1017</v>
      </c>
      <c r="AM915" s="46" t="s">
        <v>1371</v>
      </c>
      <c r="AN915" s="46" t="s">
        <v>376</v>
      </c>
      <c r="AO915" s="46" t="s">
        <v>658</v>
      </c>
      <c r="AP915" s="46"/>
      <c r="AQ915" s="46">
        <v>2</v>
      </c>
      <c r="AR915" s="46"/>
      <c r="AS915" s="46"/>
      <c r="AT915" s="46"/>
      <c r="AU915" s="46" t="s">
        <v>376</v>
      </c>
      <c r="AV915" s="46"/>
      <c r="AW915" s="46" t="s">
        <v>30</v>
      </c>
      <c r="AX915" s="46"/>
      <c r="AY915" s="46"/>
      <c r="AZ915" s="46" t="s">
        <v>30</v>
      </c>
      <c r="BA915" s="54"/>
      <c r="BB915" s="51"/>
      <c r="BC915" s="46"/>
      <c r="BD915" s="46"/>
      <c r="BE915" s="46"/>
      <c r="BF915" s="46">
        <v>1</v>
      </c>
      <c r="BG915" s="46">
        <v>1</v>
      </c>
      <c r="BH915" s="46">
        <v>3</v>
      </c>
      <c r="BI915" s="46" t="s">
        <v>1072</v>
      </c>
      <c r="BJ915" s="46" t="s">
        <v>1357</v>
      </c>
      <c r="BK915" s="46">
        <v>1979</v>
      </c>
      <c r="BL915" s="46" t="str">
        <f>BK915&amp;BI915</f>
        <v>1979Nottingham Forest</v>
      </c>
      <c r="BM915" s="52" t="str">
        <f>IF(AD915="Home",BI915,IF(AD915="Away",BJ915,Q915))</f>
        <v>Watford</v>
      </c>
      <c r="BN915" s="46"/>
      <c r="BO915" s="46"/>
      <c r="BP915" s="46"/>
      <c r="BQ915" s="46"/>
      <c r="BR915" s="46"/>
      <c r="BS915" s="46"/>
      <c r="BT915" s="46"/>
      <c r="BU915" s="46"/>
      <c r="BV915" s="46" t="s">
        <v>376</v>
      </c>
      <c r="BW915" s="46" t="s">
        <v>376</v>
      </c>
      <c r="BX915" s="46"/>
      <c r="BZ915" s="53"/>
      <c r="CA915" s="53"/>
      <c r="CB915" s="93" t="str">
        <f>IF(OR(C915="",A915="",B915=""),"",TEXT(C915,"0000")&amp;TEXT(A915,"00")&amp;TEXT(B915,"00"))</f>
        <v>19790130</v>
      </c>
    </row>
    <row r="916" spans="1:80" s="52" customFormat="1" ht="12.95" customHeight="1" x14ac:dyDescent="0.2">
      <c r="A916" s="46">
        <v>3</v>
      </c>
      <c r="B916" s="46">
        <v>17</v>
      </c>
      <c r="C916" s="46">
        <v>1979</v>
      </c>
      <c r="D916" s="46" t="s">
        <v>658</v>
      </c>
      <c r="E916" s="46" t="s">
        <v>547</v>
      </c>
      <c r="F916" s="54" t="s">
        <v>1327</v>
      </c>
      <c r="G916" s="46"/>
      <c r="H916" s="54" t="s">
        <v>40</v>
      </c>
      <c r="I916" s="54"/>
      <c r="J916" s="55">
        <v>28931</v>
      </c>
      <c r="K916" s="46" t="s">
        <v>1072</v>
      </c>
      <c r="L916" s="46" t="s">
        <v>3</v>
      </c>
      <c r="M916" s="46" t="s">
        <v>629</v>
      </c>
      <c r="N916" s="49">
        <v>3</v>
      </c>
      <c r="O916" s="49">
        <v>2</v>
      </c>
      <c r="P916" s="54" t="s">
        <v>1268</v>
      </c>
      <c r="Q916" s="54" t="s">
        <v>1017</v>
      </c>
      <c r="R916" s="54" t="s">
        <v>376</v>
      </c>
      <c r="S916" s="46"/>
      <c r="T916" s="46"/>
      <c r="U916" s="46"/>
      <c r="V916" s="46"/>
      <c r="W916" s="46"/>
      <c r="X916" s="46"/>
      <c r="Y916" s="46"/>
      <c r="Z916" s="46"/>
      <c r="AA916" s="46"/>
      <c r="AB916" s="46"/>
      <c r="AC916" s="46"/>
      <c r="AD916" s="46"/>
      <c r="AE916" s="50">
        <f>IF(L916="W",1,0)</f>
        <v>1</v>
      </c>
      <c r="AF916" s="50">
        <f>IF(L916="T",1,0)</f>
        <v>0</v>
      </c>
      <c r="AG916" s="50">
        <f>IF(L916="L",1,0)</f>
        <v>0</v>
      </c>
      <c r="AH916" s="46" t="s">
        <v>1073</v>
      </c>
      <c r="AI916" s="46" t="s">
        <v>1074</v>
      </c>
      <c r="AJ916" s="46" t="s">
        <v>376</v>
      </c>
      <c r="AK916" s="46" t="s">
        <v>658</v>
      </c>
      <c r="AL916" s="46" t="s">
        <v>629</v>
      </c>
      <c r="AM916" s="46" t="s">
        <v>1199</v>
      </c>
      <c r="AN916" s="46" t="s">
        <v>376</v>
      </c>
      <c r="AO916" s="46" t="s">
        <v>658</v>
      </c>
      <c r="AP916" s="46"/>
      <c r="AQ916" s="46">
        <v>1</v>
      </c>
      <c r="AR916" s="46"/>
      <c r="AS916" s="46"/>
      <c r="AT916" s="46"/>
      <c r="AU916" s="46" t="s">
        <v>376</v>
      </c>
      <c r="AV916" s="46"/>
      <c r="AW916" s="46" t="s">
        <v>30</v>
      </c>
      <c r="AX916" s="46"/>
      <c r="AY916" s="46"/>
      <c r="AZ916" s="46" t="s">
        <v>30</v>
      </c>
      <c r="BA916" s="54"/>
      <c r="BB916" s="51" t="s">
        <v>30</v>
      </c>
      <c r="BC916" s="46" t="s">
        <v>30</v>
      </c>
      <c r="BD916" s="46"/>
      <c r="BE916" s="46"/>
      <c r="BF916" s="46">
        <v>1</v>
      </c>
      <c r="BG916" s="46">
        <v>1</v>
      </c>
      <c r="BH916" s="46">
        <v>1</v>
      </c>
      <c r="BI916" s="46" t="s">
        <v>1072</v>
      </c>
      <c r="BJ916" s="46" t="s">
        <v>629</v>
      </c>
      <c r="BK916" s="46">
        <v>1979</v>
      </c>
      <c r="BL916" s="46" t="str">
        <f>BK916&amp;BI916</f>
        <v>1979Nottingham Forest</v>
      </c>
      <c r="BM916" s="52" t="str">
        <f>IF(AD916="Home",BI916,IF(AD916="Away",BJ916,Q916))</f>
        <v>London</v>
      </c>
      <c r="BN916" s="46"/>
      <c r="BO916" s="46"/>
      <c r="BP916" s="46"/>
      <c r="BQ916" s="46"/>
      <c r="BR916" s="46"/>
      <c r="BS916" s="46"/>
      <c r="BT916" s="46"/>
      <c r="BU916" s="46"/>
      <c r="BV916" s="46" t="s">
        <v>376</v>
      </c>
      <c r="BW916" s="46" t="s">
        <v>376</v>
      </c>
      <c r="BX916" s="46"/>
      <c r="BZ916" s="53"/>
      <c r="CA916" s="53"/>
      <c r="CB916" s="93" t="str">
        <f>IF(OR(C916="",A916="",B916=""),"",TEXT(C916,"0000")&amp;TEXT(A916,"00")&amp;TEXT(B916,"00"))</f>
        <v>19790317</v>
      </c>
    </row>
    <row r="917" spans="1:80" s="52" customFormat="1" ht="12.95" customHeight="1" x14ac:dyDescent="0.2">
      <c r="A917" s="46">
        <v>3</v>
      </c>
      <c r="B917" s="46">
        <v>17</v>
      </c>
      <c r="C917" s="46">
        <v>1979</v>
      </c>
      <c r="D917" s="46" t="s">
        <v>658</v>
      </c>
      <c r="E917" s="46" t="s">
        <v>547</v>
      </c>
      <c r="F917" s="54" t="s">
        <v>1327</v>
      </c>
      <c r="G917" s="46"/>
      <c r="H917" s="54" t="s">
        <v>40</v>
      </c>
      <c r="I917" s="54"/>
      <c r="J917" s="55">
        <v>28931</v>
      </c>
      <c r="K917" s="46" t="s">
        <v>629</v>
      </c>
      <c r="L917" s="46" t="s">
        <v>4</v>
      </c>
      <c r="M917" s="46" t="s">
        <v>1072</v>
      </c>
      <c r="N917" s="49">
        <v>2</v>
      </c>
      <c r="O917" s="49">
        <v>3</v>
      </c>
      <c r="P917" s="54" t="s">
        <v>1268</v>
      </c>
      <c r="Q917" s="54" t="s">
        <v>1017</v>
      </c>
      <c r="R917" s="54" t="s">
        <v>376</v>
      </c>
      <c r="S917" s="46"/>
      <c r="T917" s="46"/>
      <c r="U917" s="46"/>
      <c r="V917" s="46"/>
      <c r="W917" s="46"/>
      <c r="X917" s="46"/>
      <c r="Y917" s="46"/>
      <c r="Z917" s="46"/>
      <c r="AA917" s="46"/>
      <c r="AB917" s="46"/>
      <c r="AC917" s="46"/>
      <c r="AD917" s="46"/>
      <c r="AE917" s="50">
        <f>IF(L917="W",1,0)</f>
        <v>0</v>
      </c>
      <c r="AF917" s="50">
        <f>IF(L917="T",1,0)</f>
        <v>0</v>
      </c>
      <c r="AG917" s="50">
        <f>IF(L917="L",1,0)</f>
        <v>1</v>
      </c>
      <c r="AH917" s="46" t="s">
        <v>629</v>
      </c>
      <c r="AI917" s="46" t="s">
        <v>1199</v>
      </c>
      <c r="AJ917" s="46" t="s">
        <v>376</v>
      </c>
      <c r="AK917" s="46" t="s">
        <v>658</v>
      </c>
      <c r="AL917" s="46" t="s">
        <v>1073</v>
      </c>
      <c r="AM917" s="46" t="s">
        <v>1074</v>
      </c>
      <c r="AN917" s="46" t="s">
        <v>376</v>
      </c>
      <c r="AO917" s="46" t="s">
        <v>658</v>
      </c>
      <c r="AP917" s="46"/>
      <c r="AQ917" s="46">
        <v>1</v>
      </c>
      <c r="AR917" s="46"/>
      <c r="AS917" s="46"/>
      <c r="AT917" s="46"/>
      <c r="AU917" s="46" t="s">
        <v>376</v>
      </c>
      <c r="AV917" s="46"/>
      <c r="AW917" s="46" t="s">
        <v>30</v>
      </c>
      <c r="AX917" s="46"/>
      <c r="AY917" s="46"/>
      <c r="AZ917" s="46" t="s">
        <v>30</v>
      </c>
      <c r="BA917" s="54"/>
      <c r="BB917" s="51"/>
      <c r="BC917" s="46" t="s">
        <v>30</v>
      </c>
      <c r="BD917" s="46"/>
      <c r="BE917" s="46"/>
      <c r="BF917" s="46">
        <v>1</v>
      </c>
      <c r="BG917" s="46">
        <v>1</v>
      </c>
      <c r="BH917" s="46">
        <v>1</v>
      </c>
      <c r="BI917" s="46" t="s">
        <v>629</v>
      </c>
      <c r="BJ917" s="46" t="s">
        <v>1072</v>
      </c>
      <c r="BK917" s="46">
        <v>1979</v>
      </c>
      <c r="BL917" s="46" t="str">
        <f>BK917&amp;BI917</f>
        <v>1979Southampton</v>
      </c>
      <c r="BM917" s="52" t="str">
        <f>IF(AD917="Home",BI917,IF(AD917="Away",BJ917,Q917))</f>
        <v>London</v>
      </c>
      <c r="BN917" s="46"/>
      <c r="BO917" s="46"/>
      <c r="BP917" s="46"/>
      <c r="BQ917" s="46"/>
      <c r="BR917" s="46"/>
      <c r="BS917" s="46"/>
      <c r="BT917" s="46"/>
      <c r="BU917" s="46"/>
      <c r="BV917" s="46" t="s">
        <v>376</v>
      </c>
      <c r="BW917" s="46" t="s">
        <v>376</v>
      </c>
      <c r="BX917" s="46"/>
      <c r="BZ917" s="53"/>
      <c r="CA917" s="53"/>
      <c r="CB917" s="93" t="str">
        <f>IF(OR(C917="",A917="",B917=""),"",TEXT(C917,"0000")&amp;TEXT(A917,"00")&amp;TEXT(B917,"00"))</f>
        <v>19790317</v>
      </c>
    </row>
    <row r="918" spans="1:80" s="52" customFormat="1" ht="12.95" customHeight="1" x14ac:dyDescent="0.2">
      <c r="A918" s="46">
        <v>3</v>
      </c>
      <c r="B918" s="46">
        <v>31</v>
      </c>
      <c r="C918" s="46">
        <v>1979</v>
      </c>
      <c r="D918" s="46" t="s">
        <v>658</v>
      </c>
      <c r="E918" s="46" t="s">
        <v>547</v>
      </c>
      <c r="F918" s="47" t="s">
        <v>1010</v>
      </c>
      <c r="G918" s="46"/>
      <c r="H918" s="47" t="s">
        <v>1011</v>
      </c>
      <c r="I918" s="47"/>
      <c r="J918" s="48">
        <v>28945</v>
      </c>
      <c r="K918" s="46" t="s">
        <v>821</v>
      </c>
      <c r="L918" s="46" t="s">
        <v>1014</v>
      </c>
      <c r="M918" s="46" t="s">
        <v>588</v>
      </c>
      <c r="N918" s="49">
        <v>2</v>
      </c>
      <c r="O918" s="49">
        <v>2</v>
      </c>
      <c r="P918" s="47" t="s">
        <v>1226</v>
      </c>
      <c r="Q918" s="47" t="s">
        <v>1101</v>
      </c>
      <c r="R918" s="47" t="s">
        <v>376</v>
      </c>
      <c r="S918" s="46"/>
      <c r="T918" s="46"/>
      <c r="U918" s="46"/>
      <c r="V918" s="46"/>
      <c r="W918" s="46"/>
      <c r="X918" s="46"/>
      <c r="Y918" s="46"/>
      <c r="Z918" s="46"/>
      <c r="AA918" s="46"/>
      <c r="AB918" s="46"/>
      <c r="AC918" s="46"/>
      <c r="AD918" s="46"/>
      <c r="AE918" s="50">
        <f>IF(L918="W",1,0)</f>
        <v>0</v>
      </c>
      <c r="AF918" s="50">
        <f>IF(L918="T",1,0)</f>
        <v>1</v>
      </c>
      <c r="AG918" s="50">
        <f>IF(L918="L",1,0)</f>
        <v>0</v>
      </c>
      <c r="AH918" s="46" t="s">
        <v>1101</v>
      </c>
      <c r="AI918" s="46" t="s">
        <v>1159</v>
      </c>
      <c r="AJ918" s="46" t="s">
        <v>376</v>
      </c>
      <c r="AK918" s="46" t="s">
        <v>658</v>
      </c>
      <c r="AL918" s="46" t="s">
        <v>588</v>
      </c>
      <c r="AM918" s="46" t="s">
        <v>1175</v>
      </c>
      <c r="AN918" s="46" t="s">
        <v>376</v>
      </c>
      <c r="AO918" s="46" t="s">
        <v>658</v>
      </c>
      <c r="AP918" s="46"/>
      <c r="AQ918" s="46">
        <v>2</v>
      </c>
      <c r="AR918" s="46"/>
      <c r="AS918" s="46"/>
      <c r="AT918" s="46" t="s">
        <v>1369</v>
      </c>
      <c r="AU918" s="46" t="s">
        <v>376</v>
      </c>
      <c r="AV918" s="46"/>
      <c r="AW918" s="46" t="s">
        <v>30</v>
      </c>
      <c r="AX918" s="46"/>
      <c r="AY918" s="46" t="s">
        <v>30</v>
      </c>
      <c r="AZ918" s="46"/>
      <c r="BA918" s="47"/>
      <c r="BB918" s="51"/>
      <c r="BC918" s="46"/>
      <c r="BD918" s="46"/>
      <c r="BE918" s="46"/>
      <c r="BF918" s="46">
        <v>1</v>
      </c>
      <c r="BG918" s="46">
        <v>1</v>
      </c>
      <c r="BH918" s="46">
        <v>1</v>
      </c>
      <c r="BI918" s="46" t="s">
        <v>821</v>
      </c>
      <c r="BJ918" s="46" t="s">
        <v>588</v>
      </c>
      <c r="BK918" s="46">
        <v>1979</v>
      </c>
      <c r="BL918" s="46" t="str">
        <f>BK918&amp;BI918</f>
        <v>1979Manchester United</v>
      </c>
      <c r="BM918" s="52" t="str">
        <f>IF(AD918="Home",BI918,IF(AD918="Away",BJ918,Q918))</f>
        <v>Manchester</v>
      </c>
      <c r="BN918" s="46"/>
      <c r="BO918" s="46"/>
      <c r="BP918" s="46"/>
      <c r="BQ918" s="46"/>
      <c r="BR918" s="46"/>
      <c r="BS918" s="46"/>
      <c r="BT918" s="46"/>
      <c r="BU918" s="46"/>
      <c r="BV918" s="46" t="s">
        <v>376</v>
      </c>
      <c r="BW918" s="46" t="s">
        <v>376</v>
      </c>
      <c r="BX918" s="46"/>
      <c r="BZ918" s="53"/>
      <c r="CA918" s="53"/>
      <c r="CB918" s="93" t="str">
        <f>IF(OR(C918="",A918="",B918=""),"",TEXT(C918,"0000")&amp;TEXT(A918,"00")&amp;TEXT(B918,"00"))</f>
        <v>19790331</v>
      </c>
    </row>
    <row r="919" spans="1:80" s="52" customFormat="1" ht="12.95" customHeight="1" x14ac:dyDescent="0.2">
      <c r="A919" s="46">
        <v>3</v>
      </c>
      <c r="B919" s="46">
        <v>31</v>
      </c>
      <c r="C919" s="46">
        <v>1979</v>
      </c>
      <c r="D919" s="46" t="s">
        <v>658</v>
      </c>
      <c r="E919" s="46" t="s">
        <v>547</v>
      </c>
      <c r="F919" s="47" t="s">
        <v>1010</v>
      </c>
      <c r="G919" s="46"/>
      <c r="H919" s="47" t="s">
        <v>1011</v>
      </c>
      <c r="I919" s="47"/>
      <c r="J919" s="48">
        <v>28945</v>
      </c>
      <c r="K919" s="46" t="s">
        <v>588</v>
      </c>
      <c r="L919" s="46" t="s">
        <v>1014</v>
      </c>
      <c r="M919" s="46" t="s">
        <v>821</v>
      </c>
      <c r="N919" s="49">
        <v>2</v>
      </c>
      <c r="O919" s="49">
        <v>2</v>
      </c>
      <c r="P919" s="47" t="s">
        <v>1226</v>
      </c>
      <c r="Q919" s="47" t="s">
        <v>1101</v>
      </c>
      <c r="R919" s="47" t="s">
        <v>376</v>
      </c>
      <c r="S919" s="46"/>
      <c r="T919" s="46"/>
      <c r="U919" s="46"/>
      <c r="V919" s="46"/>
      <c r="W919" s="46"/>
      <c r="X919" s="46"/>
      <c r="Y919" s="46"/>
      <c r="Z919" s="46"/>
      <c r="AA919" s="46"/>
      <c r="AB919" s="46"/>
      <c r="AC919" s="46"/>
      <c r="AD919" s="46"/>
      <c r="AE919" s="50">
        <f>IF(L919="W",1,0)</f>
        <v>0</v>
      </c>
      <c r="AF919" s="50">
        <f>IF(L919="T",1,0)</f>
        <v>1</v>
      </c>
      <c r="AG919" s="50">
        <f>IF(L919="L",1,0)</f>
        <v>0</v>
      </c>
      <c r="AH919" s="46" t="s">
        <v>588</v>
      </c>
      <c r="AI919" s="46" t="s">
        <v>1175</v>
      </c>
      <c r="AJ919" s="46" t="s">
        <v>376</v>
      </c>
      <c r="AK919" s="46" t="s">
        <v>658</v>
      </c>
      <c r="AL919" s="46" t="s">
        <v>1101</v>
      </c>
      <c r="AM919" s="46" t="s">
        <v>1159</v>
      </c>
      <c r="AN919" s="46" t="s">
        <v>376</v>
      </c>
      <c r="AO919" s="46" t="s">
        <v>658</v>
      </c>
      <c r="AP919" s="46"/>
      <c r="AQ919" s="46">
        <v>2</v>
      </c>
      <c r="AR919" s="46"/>
      <c r="AS919" s="46"/>
      <c r="AT919" s="46" t="s">
        <v>1369</v>
      </c>
      <c r="AU919" s="46" t="s">
        <v>376</v>
      </c>
      <c r="AV919" s="46"/>
      <c r="AW919" s="46" t="s">
        <v>30</v>
      </c>
      <c r="AX919" s="46"/>
      <c r="AY919" s="46" t="s">
        <v>30</v>
      </c>
      <c r="AZ919" s="46"/>
      <c r="BA919" s="47"/>
      <c r="BB919" s="51"/>
      <c r="BC919" s="46"/>
      <c r="BD919" s="46"/>
      <c r="BE919" s="46"/>
      <c r="BF919" s="46">
        <v>1</v>
      </c>
      <c r="BG919" s="46">
        <v>1</v>
      </c>
      <c r="BH919" s="46">
        <v>1</v>
      </c>
      <c r="BI919" s="46" t="s">
        <v>588</v>
      </c>
      <c r="BJ919" s="46" t="s">
        <v>821</v>
      </c>
      <c r="BK919" s="46">
        <v>1979</v>
      </c>
      <c r="BL919" s="46" t="str">
        <f>BK919&amp;BI919</f>
        <v>1979Liverpool</v>
      </c>
      <c r="BM919" s="52" t="str">
        <f>IF(AD919="Home",BI919,IF(AD919="Away",BJ919,Q919))</f>
        <v>Manchester</v>
      </c>
      <c r="BN919" s="46"/>
      <c r="BO919" s="46"/>
      <c r="BP919" s="46"/>
      <c r="BQ919" s="46"/>
      <c r="BR919" s="46"/>
      <c r="BS919" s="46"/>
      <c r="BT919" s="46"/>
      <c r="BU919" s="46"/>
      <c r="BV919" s="46" t="s">
        <v>376</v>
      </c>
      <c r="BW919" s="46" t="s">
        <v>376</v>
      </c>
      <c r="BX919" s="46"/>
      <c r="BZ919" s="53"/>
      <c r="CA919" s="53"/>
      <c r="CB919" s="93" t="str">
        <f>IF(OR(C919="",A919="",B919=""),"",TEXT(C919,"0000")&amp;TEXT(A919,"00")&amp;TEXT(B919,"00"))</f>
        <v>19790331</v>
      </c>
    </row>
    <row r="920" spans="1:80" s="52" customFormat="1" ht="12.95" customHeight="1" x14ac:dyDescent="0.2">
      <c r="A920" s="46">
        <v>3</v>
      </c>
      <c r="B920" s="46">
        <v>31</v>
      </c>
      <c r="C920" s="46">
        <v>1979</v>
      </c>
      <c r="D920" s="46" t="s">
        <v>658</v>
      </c>
      <c r="E920" s="46" t="s">
        <v>547</v>
      </c>
      <c r="F920" s="47" t="s">
        <v>1010</v>
      </c>
      <c r="G920" s="46"/>
      <c r="H920" s="47" t="s">
        <v>1011</v>
      </c>
      <c r="I920" s="47"/>
      <c r="J920" s="48">
        <v>28945</v>
      </c>
      <c r="K920" s="46" t="s">
        <v>587</v>
      </c>
      <c r="L920" s="46" t="s">
        <v>3</v>
      </c>
      <c r="M920" s="46" t="s">
        <v>1151</v>
      </c>
      <c r="N920" s="49">
        <v>2</v>
      </c>
      <c r="O920" s="49">
        <v>0</v>
      </c>
      <c r="P920" s="47" t="s">
        <v>1219</v>
      </c>
      <c r="Q920" s="47" t="s">
        <v>1111</v>
      </c>
      <c r="R920" s="47" t="s">
        <v>376</v>
      </c>
      <c r="S920" s="46"/>
      <c r="T920" s="46"/>
      <c r="U920" s="46"/>
      <c r="V920" s="46"/>
      <c r="W920" s="46"/>
      <c r="X920" s="46"/>
      <c r="Y920" s="46"/>
      <c r="Z920" s="46"/>
      <c r="AA920" s="46"/>
      <c r="AB920" s="46"/>
      <c r="AC920" s="46"/>
      <c r="AD920" s="46"/>
      <c r="AE920" s="50">
        <f>IF(L920="W",1,0)</f>
        <v>1</v>
      </c>
      <c r="AF920" s="50">
        <f>IF(L920="T",1,0)</f>
        <v>0</v>
      </c>
      <c r="AG920" s="50">
        <f>IF(L920="L",1,0)</f>
        <v>0</v>
      </c>
      <c r="AH920" s="46" t="s">
        <v>1017</v>
      </c>
      <c r="AI920" s="46" t="s">
        <v>1018</v>
      </c>
      <c r="AJ920" s="46" t="s">
        <v>376</v>
      </c>
      <c r="AK920" s="46" t="s">
        <v>658</v>
      </c>
      <c r="AL920" s="46" t="s">
        <v>1111</v>
      </c>
      <c r="AM920" s="46" t="s">
        <v>1126</v>
      </c>
      <c r="AN920" s="46" t="s">
        <v>376</v>
      </c>
      <c r="AO920" s="46" t="s">
        <v>658</v>
      </c>
      <c r="AP920" s="46"/>
      <c r="AQ920" s="46">
        <v>2</v>
      </c>
      <c r="AR920" s="46"/>
      <c r="AS920" s="46"/>
      <c r="AT920" s="46"/>
      <c r="AU920" s="46" t="s">
        <v>376</v>
      </c>
      <c r="AV920" s="46"/>
      <c r="AW920" s="46" t="s">
        <v>30</v>
      </c>
      <c r="AX920" s="46"/>
      <c r="AY920" s="46" t="s">
        <v>30</v>
      </c>
      <c r="AZ920" s="46"/>
      <c r="BA920" s="47"/>
      <c r="BB920" s="51"/>
      <c r="BC920" s="46"/>
      <c r="BD920" s="46"/>
      <c r="BE920" s="46"/>
      <c r="BF920" s="46">
        <v>1</v>
      </c>
      <c r="BG920" s="46">
        <v>1</v>
      </c>
      <c r="BH920" s="46">
        <v>1</v>
      </c>
      <c r="BI920" s="46" t="s">
        <v>587</v>
      </c>
      <c r="BJ920" s="46" t="s">
        <v>1151</v>
      </c>
      <c r="BK920" s="46">
        <v>1979</v>
      </c>
      <c r="BL920" s="46" t="str">
        <f>BK920&amp;BI920</f>
        <v>1979Arsenal</v>
      </c>
      <c r="BM920" s="52" t="str">
        <f>IF(AD920="Home",BI920,IF(AD920="Away",BJ920,Q920))</f>
        <v>Birmingham</v>
      </c>
      <c r="BN920" s="46"/>
      <c r="BO920" s="46"/>
      <c r="BP920" s="46"/>
      <c r="BQ920" s="46"/>
      <c r="BR920" s="46"/>
      <c r="BS920" s="46"/>
      <c r="BT920" s="46"/>
      <c r="BU920" s="46"/>
      <c r="BV920" s="46" t="s">
        <v>376</v>
      </c>
      <c r="BW920" s="46" t="s">
        <v>376</v>
      </c>
      <c r="BX920" s="46"/>
      <c r="BZ920" s="53"/>
      <c r="CA920" s="53"/>
      <c r="CB920" s="93" t="str">
        <f>IF(OR(C920="",A920="",B920=""),"",TEXT(C920,"0000")&amp;TEXT(A920,"00")&amp;TEXT(B920,"00"))</f>
        <v>19790331</v>
      </c>
    </row>
    <row r="921" spans="1:80" s="52" customFormat="1" ht="12.95" customHeight="1" x14ac:dyDescent="0.2">
      <c r="A921" s="46">
        <v>3</v>
      </c>
      <c r="B921" s="46">
        <v>31</v>
      </c>
      <c r="C921" s="46">
        <v>1979</v>
      </c>
      <c r="D921" s="46" t="s">
        <v>658</v>
      </c>
      <c r="E921" s="46" t="s">
        <v>547</v>
      </c>
      <c r="F921" s="47" t="s">
        <v>1010</v>
      </c>
      <c r="G921" s="46"/>
      <c r="H921" s="47" t="s">
        <v>1011</v>
      </c>
      <c r="I921" s="47"/>
      <c r="J921" s="48">
        <v>28945</v>
      </c>
      <c r="K921" s="46" t="s">
        <v>1151</v>
      </c>
      <c r="L921" s="46" t="s">
        <v>4</v>
      </c>
      <c r="M921" s="46" t="s">
        <v>587</v>
      </c>
      <c r="N921" s="49">
        <v>0</v>
      </c>
      <c r="O921" s="49">
        <v>2</v>
      </c>
      <c r="P921" s="47" t="s">
        <v>1219</v>
      </c>
      <c r="Q921" s="47" t="s">
        <v>1111</v>
      </c>
      <c r="R921" s="47" t="s">
        <v>376</v>
      </c>
      <c r="S921" s="46"/>
      <c r="T921" s="46"/>
      <c r="U921" s="46"/>
      <c r="V921" s="46"/>
      <c r="W921" s="46"/>
      <c r="X921" s="46"/>
      <c r="Y921" s="46"/>
      <c r="Z921" s="46"/>
      <c r="AA921" s="46"/>
      <c r="AB921" s="46"/>
      <c r="AC921" s="46"/>
      <c r="AD921" s="46"/>
      <c r="AE921" s="50">
        <f>IF(L921="W",1,0)</f>
        <v>0</v>
      </c>
      <c r="AF921" s="50">
        <f>IF(L921="T",1,0)</f>
        <v>0</v>
      </c>
      <c r="AG921" s="50">
        <f>IF(L921="L",1,0)</f>
        <v>1</v>
      </c>
      <c r="AH921" s="46" t="s">
        <v>1111</v>
      </c>
      <c r="AI921" s="46" t="s">
        <v>1126</v>
      </c>
      <c r="AJ921" s="46" t="s">
        <v>376</v>
      </c>
      <c r="AK921" s="46" t="s">
        <v>658</v>
      </c>
      <c r="AL921" s="46" t="s">
        <v>1017</v>
      </c>
      <c r="AM921" s="46" t="s">
        <v>1018</v>
      </c>
      <c r="AN921" s="46" t="s">
        <v>376</v>
      </c>
      <c r="AO921" s="46" t="s">
        <v>658</v>
      </c>
      <c r="AP921" s="46"/>
      <c r="AQ921" s="46">
        <v>2</v>
      </c>
      <c r="AR921" s="46"/>
      <c r="AS921" s="46"/>
      <c r="AT921" s="46"/>
      <c r="AU921" s="46" t="s">
        <v>376</v>
      </c>
      <c r="AV921" s="46"/>
      <c r="AW921" s="46" t="s">
        <v>30</v>
      </c>
      <c r="AX921" s="46"/>
      <c r="AY921" s="46" t="s">
        <v>30</v>
      </c>
      <c r="AZ921" s="46"/>
      <c r="BA921" s="47"/>
      <c r="BB921" s="51"/>
      <c r="BC921" s="46"/>
      <c r="BD921" s="46"/>
      <c r="BE921" s="46"/>
      <c r="BF921" s="46">
        <v>1</v>
      </c>
      <c r="BG921" s="46">
        <v>1</v>
      </c>
      <c r="BH921" s="46">
        <v>1</v>
      </c>
      <c r="BI921" s="46" t="s">
        <v>1151</v>
      </c>
      <c r="BJ921" s="46" t="s">
        <v>587</v>
      </c>
      <c r="BK921" s="46">
        <v>1979</v>
      </c>
      <c r="BL921" s="46" t="str">
        <f>BK921&amp;BI921</f>
        <v>1979Wolverhampton Wanderers</v>
      </c>
      <c r="BM921" s="52" t="str">
        <f>IF(AD921="Home",BI921,IF(AD921="Away",BJ921,Q921))</f>
        <v>Birmingham</v>
      </c>
      <c r="BN921" s="46"/>
      <c r="BO921" s="46"/>
      <c r="BP921" s="46"/>
      <c r="BQ921" s="46"/>
      <c r="BR921" s="46"/>
      <c r="BS921" s="46"/>
      <c r="BT921" s="46"/>
      <c r="BU921" s="46"/>
      <c r="BV921" s="46" t="s">
        <v>376</v>
      </c>
      <c r="BW921" s="46" t="s">
        <v>376</v>
      </c>
      <c r="BX921" s="46"/>
      <c r="BZ921" s="53"/>
      <c r="CA921" s="53"/>
      <c r="CB921" s="93" t="str">
        <f>IF(OR(C921="",A921="",B921=""),"",TEXT(C921,"0000")&amp;TEXT(A921,"00")&amp;TEXT(B921,"00"))</f>
        <v>19790331</v>
      </c>
    </row>
    <row r="922" spans="1:80" s="52" customFormat="1" ht="12.95" customHeight="1" x14ac:dyDescent="0.2">
      <c r="A922" s="46">
        <v>4</v>
      </c>
      <c r="B922" s="46">
        <v>4</v>
      </c>
      <c r="C922" s="46">
        <v>1979</v>
      </c>
      <c r="D922" s="46" t="s">
        <v>658</v>
      </c>
      <c r="E922" s="46" t="s">
        <v>547</v>
      </c>
      <c r="F922" s="47" t="s">
        <v>1010</v>
      </c>
      <c r="G922" s="46"/>
      <c r="H922" s="47" t="s">
        <v>1011</v>
      </c>
      <c r="I922" s="47" t="s">
        <v>1023</v>
      </c>
      <c r="J922" s="48">
        <v>28949</v>
      </c>
      <c r="K922" s="46" t="s">
        <v>821</v>
      </c>
      <c r="L922" s="46" t="s">
        <v>3</v>
      </c>
      <c r="M922" s="46" t="s">
        <v>588</v>
      </c>
      <c r="N922" s="49">
        <v>1</v>
      </c>
      <c r="O922" s="49">
        <v>0</v>
      </c>
      <c r="P922" s="47" t="s">
        <v>1184</v>
      </c>
      <c r="Q922" s="47" t="s">
        <v>588</v>
      </c>
      <c r="R922" s="47" t="s">
        <v>376</v>
      </c>
      <c r="S922" s="46"/>
      <c r="T922" s="46"/>
      <c r="U922" s="46"/>
      <c r="V922" s="46"/>
      <c r="W922" s="46"/>
      <c r="X922" s="46"/>
      <c r="Y922" s="46"/>
      <c r="Z922" s="46"/>
      <c r="AA922" s="46"/>
      <c r="AB922" s="46"/>
      <c r="AC922" s="46"/>
      <c r="AD922" s="46"/>
      <c r="AE922" s="50">
        <f>IF(L922="W",1,0)</f>
        <v>1</v>
      </c>
      <c r="AF922" s="50">
        <f>IF(L922="T",1,0)</f>
        <v>0</v>
      </c>
      <c r="AG922" s="50">
        <f>IF(L922="L",1,0)</f>
        <v>0</v>
      </c>
      <c r="AH922" s="46" t="s">
        <v>1101</v>
      </c>
      <c r="AI922" s="46" t="s">
        <v>1159</v>
      </c>
      <c r="AJ922" s="46" t="s">
        <v>376</v>
      </c>
      <c r="AK922" s="46" t="s">
        <v>658</v>
      </c>
      <c r="AL922" s="46" t="s">
        <v>588</v>
      </c>
      <c r="AM922" s="46" t="s">
        <v>1175</v>
      </c>
      <c r="AN922" s="46" t="s">
        <v>376</v>
      </c>
      <c r="AO922" s="46" t="s">
        <v>658</v>
      </c>
      <c r="AP922" s="46"/>
      <c r="AQ922" s="46">
        <v>2</v>
      </c>
      <c r="AR922" s="46"/>
      <c r="AS922" s="46"/>
      <c r="AT922" s="46" t="s">
        <v>1369</v>
      </c>
      <c r="AU922" s="46" t="s">
        <v>376</v>
      </c>
      <c r="AV922" s="46"/>
      <c r="AW922" s="46" t="s">
        <v>30</v>
      </c>
      <c r="AX922" s="46"/>
      <c r="AY922" s="46" t="s">
        <v>30</v>
      </c>
      <c r="AZ922" s="46"/>
      <c r="BA922" s="47"/>
      <c r="BB922" s="51"/>
      <c r="BC922" s="46"/>
      <c r="BD922" s="46"/>
      <c r="BE922" s="46"/>
      <c r="BF922" s="46">
        <v>1</v>
      </c>
      <c r="BG922" s="46">
        <v>1</v>
      </c>
      <c r="BH922" s="46">
        <v>1</v>
      </c>
      <c r="BI922" s="46" t="s">
        <v>821</v>
      </c>
      <c r="BJ922" s="46" t="s">
        <v>588</v>
      </c>
      <c r="BK922" s="46">
        <v>1979</v>
      </c>
      <c r="BL922" s="46" t="str">
        <f>BK922&amp;BI922</f>
        <v>1979Manchester United</v>
      </c>
      <c r="BM922" s="52" t="str">
        <f>IF(AD922="Home",BI922,IF(AD922="Away",BJ922,Q922))</f>
        <v>Liverpool</v>
      </c>
      <c r="BN922" s="46"/>
      <c r="BO922" s="46"/>
      <c r="BP922" s="46"/>
      <c r="BQ922" s="46"/>
      <c r="BR922" s="46"/>
      <c r="BS922" s="46"/>
      <c r="BT922" s="46"/>
      <c r="BU922" s="46"/>
      <c r="BV922" s="46" t="s">
        <v>376</v>
      </c>
      <c r="BW922" s="46" t="s">
        <v>376</v>
      </c>
      <c r="BX922" s="46"/>
      <c r="BZ922" s="53"/>
      <c r="CA922" s="53"/>
      <c r="CB922" s="93" t="str">
        <f>IF(OR(C922="",A922="",B922=""),"",TEXT(C922,"0000")&amp;TEXT(A922,"00")&amp;TEXT(B922,"00"))</f>
        <v>19790404</v>
      </c>
    </row>
    <row r="923" spans="1:80" s="52" customFormat="1" ht="12.95" customHeight="1" x14ac:dyDescent="0.2">
      <c r="A923" s="46">
        <v>4</v>
      </c>
      <c r="B923" s="46">
        <v>4</v>
      </c>
      <c r="C923" s="46">
        <v>1979</v>
      </c>
      <c r="D923" s="46" t="s">
        <v>658</v>
      </c>
      <c r="E923" s="46" t="s">
        <v>547</v>
      </c>
      <c r="F923" s="47" t="s">
        <v>1010</v>
      </c>
      <c r="G923" s="46"/>
      <c r="H923" s="47" t="s">
        <v>1011</v>
      </c>
      <c r="I923" s="47" t="s">
        <v>1023</v>
      </c>
      <c r="J923" s="48">
        <v>28949</v>
      </c>
      <c r="K923" s="46" t="s">
        <v>588</v>
      </c>
      <c r="L923" s="46" t="s">
        <v>4</v>
      </c>
      <c r="M923" s="46" t="s">
        <v>821</v>
      </c>
      <c r="N923" s="49">
        <v>0</v>
      </c>
      <c r="O923" s="49">
        <v>1</v>
      </c>
      <c r="P923" s="47" t="s">
        <v>1184</v>
      </c>
      <c r="Q923" s="47" t="s">
        <v>588</v>
      </c>
      <c r="R923" s="47" t="s">
        <v>376</v>
      </c>
      <c r="S923" s="46"/>
      <c r="T923" s="46"/>
      <c r="U923" s="46"/>
      <c r="V923" s="46"/>
      <c r="W923" s="46"/>
      <c r="X923" s="46"/>
      <c r="Y923" s="46"/>
      <c r="Z923" s="46"/>
      <c r="AA923" s="46"/>
      <c r="AB923" s="46"/>
      <c r="AC923" s="46"/>
      <c r="AD923" s="46"/>
      <c r="AE923" s="50">
        <f>IF(L923="W",1,0)</f>
        <v>0</v>
      </c>
      <c r="AF923" s="50">
        <f>IF(L923="T",1,0)</f>
        <v>0</v>
      </c>
      <c r="AG923" s="50">
        <f>IF(L923="L",1,0)</f>
        <v>1</v>
      </c>
      <c r="AH923" s="46" t="s">
        <v>588</v>
      </c>
      <c r="AI923" s="46" t="s">
        <v>1175</v>
      </c>
      <c r="AJ923" s="46" t="s">
        <v>376</v>
      </c>
      <c r="AK923" s="46" t="s">
        <v>658</v>
      </c>
      <c r="AL923" s="46" t="s">
        <v>1101</v>
      </c>
      <c r="AM923" s="46" t="s">
        <v>1159</v>
      </c>
      <c r="AN923" s="46" t="s">
        <v>376</v>
      </c>
      <c r="AO923" s="46" t="s">
        <v>658</v>
      </c>
      <c r="AP923" s="46"/>
      <c r="AQ923" s="46">
        <v>2</v>
      </c>
      <c r="AR923" s="46"/>
      <c r="AS923" s="46"/>
      <c r="AT923" s="46" t="s">
        <v>1369</v>
      </c>
      <c r="AU923" s="46" t="s">
        <v>376</v>
      </c>
      <c r="AV923" s="46"/>
      <c r="AW923" s="46" t="s">
        <v>30</v>
      </c>
      <c r="AX923" s="46"/>
      <c r="AY923" s="46" t="s">
        <v>30</v>
      </c>
      <c r="AZ923" s="46"/>
      <c r="BA923" s="47"/>
      <c r="BB923" s="51"/>
      <c r="BC923" s="46"/>
      <c r="BD923" s="46"/>
      <c r="BE923" s="46"/>
      <c r="BF923" s="46">
        <v>1</v>
      </c>
      <c r="BG923" s="46">
        <v>1</v>
      </c>
      <c r="BH923" s="46">
        <v>1</v>
      </c>
      <c r="BI923" s="46" t="s">
        <v>588</v>
      </c>
      <c r="BJ923" s="46" t="s">
        <v>821</v>
      </c>
      <c r="BK923" s="46">
        <v>1979</v>
      </c>
      <c r="BL923" s="46" t="str">
        <f>BK923&amp;BI923</f>
        <v>1979Liverpool</v>
      </c>
      <c r="BM923" s="52" t="str">
        <f>IF(AD923="Home",BI923,IF(AD923="Away",BJ923,Q923))</f>
        <v>Liverpool</v>
      </c>
      <c r="BN923" s="46"/>
      <c r="BO923" s="46"/>
      <c r="BP923" s="46"/>
      <c r="BQ923" s="46"/>
      <c r="BR923" s="46"/>
      <c r="BS923" s="46"/>
      <c r="BT923" s="46"/>
      <c r="BU923" s="46"/>
      <c r="BV923" s="46" t="s">
        <v>376</v>
      </c>
      <c r="BW923" s="46" t="s">
        <v>376</v>
      </c>
      <c r="BX923" s="46"/>
      <c r="BZ923" s="53"/>
      <c r="CA923" s="53"/>
      <c r="CB923" s="93" t="str">
        <f>IF(OR(C923="",A923="",B923=""),"",TEXT(C923,"0000")&amp;TEXT(A923,"00")&amp;TEXT(B923,"00"))</f>
        <v>19790404</v>
      </c>
    </row>
    <row r="924" spans="1:80" s="52" customFormat="1" ht="12.95" customHeight="1" x14ac:dyDescent="0.2">
      <c r="A924" s="46">
        <v>5</v>
      </c>
      <c r="B924" s="46">
        <v>12</v>
      </c>
      <c r="C924" s="46">
        <v>1979</v>
      </c>
      <c r="D924" s="46" t="s">
        <v>658</v>
      </c>
      <c r="E924" s="46" t="s">
        <v>547</v>
      </c>
      <c r="F924" s="47" t="s">
        <v>1010</v>
      </c>
      <c r="G924" s="46"/>
      <c r="H924" s="47" t="s">
        <v>1025</v>
      </c>
      <c r="I924" s="47"/>
      <c r="J924" s="48">
        <v>28987</v>
      </c>
      <c r="K924" s="46" t="s">
        <v>587</v>
      </c>
      <c r="L924" s="46" t="s">
        <v>3</v>
      </c>
      <c r="M924" s="46" t="s">
        <v>821</v>
      </c>
      <c r="N924" s="49">
        <v>3</v>
      </c>
      <c r="O924" s="49">
        <v>2</v>
      </c>
      <c r="P924" s="47" t="s">
        <v>1268</v>
      </c>
      <c r="Q924" s="47" t="s">
        <v>1017</v>
      </c>
      <c r="R924" s="47" t="s">
        <v>376</v>
      </c>
      <c r="S924" s="46"/>
      <c r="T924" s="46"/>
      <c r="U924" s="46"/>
      <c r="V924" s="46"/>
      <c r="W924" s="46"/>
      <c r="X924" s="46"/>
      <c r="Y924" s="46"/>
      <c r="Z924" s="46"/>
      <c r="AA924" s="46"/>
      <c r="AB924" s="46"/>
      <c r="AC924" s="46"/>
      <c r="AD924" s="46"/>
      <c r="AE924" s="50">
        <f>IF(L924="W",1,0)</f>
        <v>1</v>
      </c>
      <c r="AF924" s="50">
        <f>IF(L924="T",1,0)</f>
        <v>0</v>
      </c>
      <c r="AG924" s="50">
        <f>IF(L924="L",1,0)</f>
        <v>0</v>
      </c>
      <c r="AH924" s="46" t="s">
        <v>1017</v>
      </c>
      <c r="AI924" s="46" t="s">
        <v>1018</v>
      </c>
      <c r="AJ924" s="46" t="s">
        <v>376</v>
      </c>
      <c r="AK924" s="46" t="s">
        <v>658</v>
      </c>
      <c r="AL924" s="46" t="s">
        <v>1101</v>
      </c>
      <c r="AM924" s="46" t="s">
        <v>1159</v>
      </c>
      <c r="AN924" s="46" t="s">
        <v>376</v>
      </c>
      <c r="AO924" s="46" t="s">
        <v>658</v>
      </c>
      <c r="AP924" s="46"/>
      <c r="AQ924" s="46">
        <v>1</v>
      </c>
      <c r="AR924" s="46"/>
      <c r="AS924" s="46"/>
      <c r="AT924" s="46"/>
      <c r="AU924" s="46" t="s">
        <v>376</v>
      </c>
      <c r="AV924" s="46"/>
      <c r="AW924" s="46" t="s">
        <v>30</v>
      </c>
      <c r="AX924" s="46"/>
      <c r="AY924" s="46" t="s">
        <v>30</v>
      </c>
      <c r="AZ924" s="46"/>
      <c r="BA924" s="47"/>
      <c r="BB924" s="51" t="s">
        <v>30</v>
      </c>
      <c r="BC924" s="46" t="s">
        <v>30</v>
      </c>
      <c r="BD924" s="46"/>
      <c r="BE924" s="46"/>
      <c r="BF924" s="46">
        <v>1</v>
      </c>
      <c r="BG924" s="46">
        <v>1</v>
      </c>
      <c r="BH924" s="46">
        <v>1</v>
      </c>
      <c r="BI924" s="46" t="s">
        <v>587</v>
      </c>
      <c r="BJ924" s="46" t="s">
        <v>821</v>
      </c>
      <c r="BK924" s="46">
        <v>1979</v>
      </c>
      <c r="BL924" s="46" t="str">
        <f>BK924&amp;BI924</f>
        <v>1979Arsenal</v>
      </c>
      <c r="BM924" s="52" t="str">
        <f>IF(AD924="Home",BI924,IF(AD924="Away",BJ924,Q924))</f>
        <v>London</v>
      </c>
      <c r="BN924" s="46"/>
      <c r="BO924" s="46"/>
      <c r="BP924" s="46"/>
      <c r="BQ924" s="46"/>
      <c r="BR924" s="46"/>
      <c r="BS924" s="46"/>
      <c r="BT924" s="46"/>
      <c r="BU924" s="46"/>
      <c r="BV924" s="46" t="s">
        <v>376</v>
      </c>
      <c r="BW924" s="46" t="s">
        <v>376</v>
      </c>
      <c r="BX924" s="46"/>
      <c r="BZ924" s="53"/>
      <c r="CA924" s="53"/>
      <c r="CB924" s="93" t="str">
        <f>IF(OR(C924="",A924="",B924=""),"",TEXT(C924,"0000")&amp;TEXT(A924,"00")&amp;TEXT(B924,"00"))</f>
        <v>19790512</v>
      </c>
    </row>
    <row r="925" spans="1:80" s="52" customFormat="1" ht="12.95" customHeight="1" x14ac:dyDescent="0.2">
      <c r="A925" s="46">
        <v>5</v>
      </c>
      <c r="B925" s="46">
        <v>12</v>
      </c>
      <c r="C925" s="46">
        <v>1979</v>
      </c>
      <c r="D925" s="46" t="s">
        <v>658</v>
      </c>
      <c r="E925" s="46" t="s">
        <v>547</v>
      </c>
      <c r="F925" s="47" t="s">
        <v>1010</v>
      </c>
      <c r="G925" s="46"/>
      <c r="H925" s="47" t="s">
        <v>1025</v>
      </c>
      <c r="I925" s="47"/>
      <c r="J925" s="48">
        <v>28987</v>
      </c>
      <c r="K925" s="46" t="s">
        <v>821</v>
      </c>
      <c r="L925" s="46" t="s">
        <v>4</v>
      </c>
      <c r="M925" s="46" t="s">
        <v>587</v>
      </c>
      <c r="N925" s="49">
        <v>2</v>
      </c>
      <c r="O925" s="49">
        <v>3</v>
      </c>
      <c r="P925" s="47" t="s">
        <v>1268</v>
      </c>
      <c r="Q925" s="47" t="s">
        <v>1017</v>
      </c>
      <c r="R925" s="47" t="s">
        <v>376</v>
      </c>
      <c r="S925" s="46"/>
      <c r="T925" s="46"/>
      <c r="U925" s="46"/>
      <c r="V925" s="46"/>
      <c r="W925" s="46"/>
      <c r="X925" s="46"/>
      <c r="Y925" s="46"/>
      <c r="Z925" s="46"/>
      <c r="AA925" s="46"/>
      <c r="AB925" s="46"/>
      <c r="AC925" s="46"/>
      <c r="AD925" s="46"/>
      <c r="AE925" s="50">
        <f>IF(L925="W",1,0)</f>
        <v>0</v>
      </c>
      <c r="AF925" s="50">
        <f>IF(L925="T",1,0)</f>
        <v>0</v>
      </c>
      <c r="AG925" s="50">
        <f>IF(L925="L",1,0)</f>
        <v>1</v>
      </c>
      <c r="AH925" s="46" t="s">
        <v>1101</v>
      </c>
      <c r="AI925" s="46" t="s">
        <v>1159</v>
      </c>
      <c r="AJ925" s="46" t="s">
        <v>376</v>
      </c>
      <c r="AK925" s="46" t="s">
        <v>658</v>
      </c>
      <c r="AL925" s="46" t="s">
        <v>1017</v>
      </c>
      <c r="AM925" s="46" t="s">
        <v>1018</v>
      </c>
      <c r="AN925" s="46" t="s">
        <v>376</v>
      </c>
      <c r="AO925" s="46" t="s">
        <v>658</v>
      </c>
      <c r="AP925" s="46"/>
      <c r="AQ925" s="46">
        <v>1</v>
      </c>
      <c r="AR925" s="46"/>
      <c r="AS925" s="46"/>
      <c r="AT925" s="46"/>
      <c r="AU925" s="46" t="s">
        <v>376</v>
      </c>
      <c r="AV925" s="46"/>
      <c r="AW925" s="46" t="s">
        <v>30</v>
      </c>
      <c r="AX925" s="46"/>
      <c r="AY925" s="46" t="s">
        <v>30</v>
      </c>
      <c r="AZ925" s="46"/>
      <c r="BA925" s="47"/>
      <c r="BB925" s="51"/>
      <c r="BC925" s="46" t="s">
        <v>30</v>
      </c>
      <c r="BD925" s="46"/>
      <c r="BE925" s="46"/>
      <c r="BF925" s="46">
        <v>1</v>
      </c>
      <c r="BG925" s="46">
        <v>1</v>
      </c>
      <c r="BH925" s="46">
        <v>1</v>
      </c>
      <c r="BI925" s="46" t="s">
        <v>821</v>
      </c>
      <c r="BJ925" s="46" t="s">
        <v>587</v>
      </c>
      <c r="BK925" s="46">
        <v>1979</v>
      </c>
      <c r="BL925" s="46" t="str">
        <f>BK925&amp;BI925</f>
        <v>1979Manchester United</v>
      </c>
      <c r="BM925" s="52" t="str">
        <f>IF(AD925="Home",BI925,IF(AD925="Away",BJ925,Q925))</f>
        <v>London</v>
      </c>
      <c r="BN925" s="46"/>
      <c r="BO925" s="46"/>
      <c r="BP925" s="46"/>
      <c r="BQ925" s="46"/>
      <c r="BR925" s="46"/>
      <c r="BS925" s="46"/>
      <c r="BT925" s="46"/>
      <c r="BU925" s="46"/>
      <c r="BV925" s="46" t="s">
        <v>376</v>
      </c>
      <c r="BW925" s="46" t="s">
        <v>376</v>
      </c>
      <c r="BX925" s="46"/>
      <c r="BZ925" s="53"/>
      <c r="CA925" s="53"/>
      <c r="CB925" s="93" t="str">
        <f>IF(OR(C925="",A925="",B925=""),"",TEXT(C925,"0000")&amp;TEXT(A925,"00")&amp;TEXT(B925,"00"))</f>
        <v>19790512</v>
      </c>
    </row>
    <row r="926" spans="1:80" s="52" customFormat="1" ht="12.95" customHeight="1" x14ac:dyDescent="0.2">
      <c r="A926" s="46">
        <v>1</v>
      </c>
      <c r="B926" s="46">
        <v>22</v>
      </c>
      <c r="C926" s="46">
        <v>1980</v>
      </c>
      <c r="D926" s="46" t="s">
        <v>658</v>
      </c>
      <c r="E926" s="46" t="s">
        <v>545</v>
      </c>
      <c r="F926" s="54" t="s">
        <v>1327</v>
      </c>
      <c r="G926" s="46"/>
      <c r="H926" s="54" t="s">
        <v>1011</v>
      </c>
      <c r="I926" s="54">
        <v>1</v>
      </c>
      <c r="J926" s="55">
        <v>29242</v>
      </c>
      <c r="K926" s="46" t="s">
        <v>1072</v>
      </c>
      <c r="L926" s="46" t="s">
        <v>3</v>
      </c>
      <c r="M926" s="46" t="s">
        <v>588</v>
      </c>
      <c r="N926" s="49">
        <v>1</v>
      </c>
      <c r="O926" s="49">
        <v>0</v>
      </c>
      <c r="P926" s="54" t="s">
        <v>1135</v>
      </c>
      <c r="Q926" s="54" t="s">
        <v>1073</v>
      </c>
      <c r="R926" s="54" t="s">
        <v>376</v>
      </c>
      <c r="S926" s="46"/>
      <c r="T926" s="46"/>
      <c r="U926" s="46"/>
      <c r="V926" s="46"/>
      <c r="W926" s="46"/>
      <c r="X926" s="46"/>
      <c r="Y926" s="46"/>
      <c r="Z926" s="46"/>
      <c r="AA926" s="46"/>
      <c r="AB926" s="46"/>
      <c r="AC926" s="46"/>
      <c r="AD926" s="46" t="s">
        <v>1033</v>
      </c>
      <c r="AE926" s="50">
        <f>IF(L926="W",1,0)</f>
        <v>1</v>
      </c>
      <c r="AF926" s="50">
        <f>IF(L926="T",1,0)</f>
        <v>0</v>
      </c>
      <c r="AG926" s="50">
        <f>IF(L926="L",1,0)</f>
        <v>0</v>
      </c>
      <c r="AH926" s="46" t="s">
        <v>1073</v>
      </c>
      <c r="AI926" s="46" t="s">
        <v>1074</v>
      </c>
      <c r="AJ926" s="46" t="s">
        <v>376</v>
      </c>
      <c r="AK926" s="46" t="s">
        <v>658</v>
      </c>
      <c r="AL926" s="46" t="s">
        <v>588</v>
      </c>
      <c r="AM926" s="46" t="s">
        <v>1175</v>
      </c>
      <c r="AN926" s="46" t="s">
        <v>376</v>
      </c>
      <c r="AO926" s="46" t="s">
        <v>658</v>
      </c>
      <c r="AP926" s="46"/>
      <c r="AQ926" s="46">
        <v>2</v>
      </c>
      <c r="AR926" s="46"/>
      <c r="AS926" s="46"/>
      <c r="AT926" s="46"/>
      <c r="AU926" s="46" t="s">
        <v>376</v>
      </c>
      <c r="AV926" s="46"/>
      <c r="AW926" s="46" t="s">
        <v>30</v>
      </c>
      <c r="AX926" s="46"/>
      <c r="AY926" s="46"/>
      <c r="AZ926" s="46" t="s">
        <v>30</v>
      </c>
      <c r="BA926" s="54"/>
      <c r="BB926" s="51"/>
      <c r="BC926" s="46"/>
      <c r="BD926" s="46"/>
      <c r="BE926" s="46"/>
      <c r="BF926" s="46">
        <v>1</v>
      </c>
      <c r="BG926" s="46">
        <v>1</v>
      </c>
      <c r="BH926" s="46">
        <v>1</v>
      </c>
      <c r="BI926" s="46" t="s">
        <v>1072</v>
      </c>
      <c r="BJ926" s="46" t="s">
        <v>588</v>
      </c>
      <c r="BK926" s="46">
        <v>1980</v>
      </c>
      <c r="BL926" s="46" t="str">
        <f>BK926&amp;BI926</f>
        <v>1980Nottingham Forest</v>
      </c>
      <c r="BM926" s="52" t="str">
        <f>IF(AD926="Home",BI926,IF(AD926="Away",BJ926,Q926))</f>
        <v>Nottingham Forest</v>
      </c>
      <c r="BN926" s="46"/>
      <c r="BO926" s="46"/>
      <c r="BP926" s="46"/>
      <c r="BQ926" s="46"/>
      <c r="BR926" s="46"/>
      <c r="BS926" s="46"/>
      <c r="BT926" s="46"/>
      <c r="BU926" s="46"/>
      <c r="BV926" s="46" t="s">
        <v>376</v>
      </c>
      <c r="BW926" s="46" t="s">
        <v>376</v>
      </c>
      <c r="BX926" s="46"/>
      <c r="BY926" s="35"/>
      <c r="BZ926" s="53"/>
      <c r="CA926" s="53"/>
      <c r="CB926" s="93" t="str">
        <f>IF(OR(C926="",A926="",B926=""),"",TEXT(C926,"0000")&amp;TEXT(A926,"00")&amp;TEXT(B926,"00"))</f>
        <v>19800122</v>
      </c>
    </row>
    <row r="927" spans="1:80" s="52" customFormat="1" ht="12.95" customHeight="1" x14ac:dyDescent="0.2">
      <c r="A927" s="46">
        <v>1</v>
      </c>
      <c r="B927" s="46">
        <v>22</v>
      </c>
      <c r="C927" s="46">
        <v>1980</v>
      </c>
      <c r="D927" s="46" t="s">
        <v>658</v>
      </c>
      <c r="E927" s="46" t="s">
        <v>545</v>
      </c>
      <c r="F927" s="54" t="s">
        <v>1327</v>
      </c>
      <c r="G927" s="46"/>
      <c r="H927" s="54" t="s">
        <v>1011</v>
      </c>
      <c r="I927" s="54">
        <v>1</v>
      </c>
      <c r="J927" s="55">
        <v>29242</v>
      </c>
      <c r="K927" s="46" t="s">
        <v>588</v>
      </c>
      <c r="L927" s="46" t="s">
        <v>4</v>
      </c>
      <c r="M927" s="46" t="s">
        <v>1072</v>
      </c>
      <c r="N927" s="49">
        <v>0</v>
      </c>
      <c r="O927" s="49">
        <v>1</v>
      </c>
      <c r="P927" s="54" t="s">
        <v>1135</v>
      </c>
      <c r="Q927" s="54" t="s">
        <v>1073</v>
      </c>
      <c r="R927" s="54" t="s">
        <v>376</v>
      </c>
      <c r="S927" s="46"/>
      <c r="T927" s="46"/>
      <c r="U927" s="46"/>
      <c r="V927" s="46"/>
      <c r="W927" s="46"/>
      <c r="X927" s="46"/>
      <c r="Y927" s="46"/>
      <c r="Z927" s="46"/>
      <c r="AA927" s="46"/>
      <c r="AB927" s="46"/>
      <c r="AC927" s="46"/>
      <c r="AD927" s="46" t="s">
        <v>1037</v>
      </c>
      <c r="AE927" s="50">
        <f>IF(L927="W",1,0)</f>
        <v>0</v>
      </c>
      <c r="AF927" s="50">
        <f>IF(L927="T",1,0)</f>
        <v>0</v>
      </c>
      <c r="AG927" s="50">
        <f>IF(L927="L",1,0)</f>
        <v>1</v>
      </c>
      <c r="AH927" s="46" t="s">
        <v>588</v>
      </c>
      <c r="AI927" s="46" t="s">
        <v>1175</v>
      </c>
      <c r="AJ927" s="46" t="s">
        <v>376</v>
      </c>
      <c r="AK927" s="46" t="s">
        <v>658</v>
      </c>
      <c r="AL927" s="46" t="s">
        <v>1073</v>
      </c>
      <c r="AM927" s="46" t="s">
        <v>1074</v>
      </c>
      <c r="AN927" s="46" t="s">
        <v>376</v>
      </c>
      <c r="AO927" s="46" t="s">
        <v>658</v>
      </c>
      <c r="AP927" s="46"/>
      <c r="AQ927" s="46">
        <v>2</v>
      </c>
      <c r="AR927" s="46"/>
      <c r="AS927" s="46"/>
      <c r="AT927" s="46"/>
      <c r="AU927" s="46" t="s">
        <v>376</v>
      </c>
      <c r="AV927" s="46"/>
      <c r="AW927" s="46" t="s">
        <v>30</v>
      </c>
      <c r="AX927" s="46"/>
      <c r="AY927" s="46"/>
      <c r="AZ927" s="46" t="s">
        <v>30</v>
      </c>
      <c r="BA927" s="54"/>
      <c r="BB927" s="51"/>
      <c r="BC927" s="46"/>
      <c r="BD927" s="46"/>
      <c r="BE927" s="46"/>
      <c r="BF927" s="46">
        <v>1</v>
      </c>
      <c r="BG927" s="46">
        <v>1</v>
      </c>
      <c r="BH927" s="46">
        <v>1</v>
      </c>
      <c r="BI927" s="46" t="s">
        <v>588</v>
      </c>
      <c r="BJ927" s="46" t="s">
        <v>1072</v>
      </c>
      <c r="BK927" s="46">
        <v>1980</v>
      </c>
      <c r="BL927" s="46" t="str">
        <f>BK927&amp;BI927</f>
        <v>1980Liverpool</v>
      </c>
      <c r="BM927" s="52" t="str">
        <f>IF(AD927="Home",BI927,IF(AD927="Away",BJ927,Q927))</f>
        <v>Nottingham Forest</v>
      </c>
      <c r="BN927" s="46"/>
      <c r="BO927" s="46"/>
      <c r="BP927" s="46"/>
      <c r="BQ927" s="46"/>
      <c r="BR927" s="46"/>
      <c r="BS927" s="46"/>
      <c r="BT927" s="46"/>
      <c r="BU927" s="46"/>
      <c r="BV927" s="46" t="s">
        <v>376</v>
      </c>
      <c r="BW927" s="46" t="s">
        <v>376</v>
      </c>
      <c r="BX927" s="46"/>
      <c r="BY927" s="35"/>
      <c r="BZ927" s="53"/>
      <c r="CA927" s="53"/>
      <c r="CB927" s="93" t="str">
        <f>IF(OR(C927="",A927="",B927=""),"",TEXT(C927,"0000")&amp;TEXT(A927,"00")&amp;TEXT(B927,"00"))</f>
        <v>19800122</v>
      </c>
    </row>
    <row r="928" spans="1:80" s="52" customFormat="1" ht="12.95" customHeight="1" x14ac:dyDescent="0.2">
      <c r="A928" s="46">
        <v>1</v>
      </c>
      <c r="B928" s="46">
        <v>22</v>
      </c>
      <c r="C928" s="46">
        <v>1980</v>
      </c>
      <c r="D928" s="46" t="s">
        <v>658</v>
      </c>
      <c r="E928" s="46" t="s">
        <v>545</v>
      </c>
      <c r="F928" s="54" t="s">
        <v>1327</v>
      </c>
      <c r="G928" s="46"/>
      <c r="H928" s="54" t="s">
        <v>1011</v>
      </c>
      <c r="I928" s="54">
        <v>1</v>
      </c>
      <c r="J928" s="55">
        <v>29242</v>
      </c>
      <c r="K928" s="46" t="s">
        <v>1243</v>
      </c>
      <c r="L928" s="46" t="s">
        <v>3</v>
      </c>
      <c r="M928" s="46" t="s">
        <v>1151</v>
      </c>
      <c r="N928" s="49">
        <v>2</v>
      </c>
      <c r="O928" s="49">
        <v>1</v>
      </c>
      <c r="P928" s="54" t="s">
        <v>1352</v>
      </c>
      <c r="Q928" s="54" t="s">
        <v>1244</v>
      </c>
      <c r="R928" s="54" t="s">
        <v>376</v>
      </c>
      <c r="S928" s="46"/>
      <c r="T928" s="46"/>
      <c r="U928" s="46"/>
      <c r="V928" s="46"/>
      <c r="W928" s="46"/>
      <c r="X928" s="46"/>
      <c r="Y928" s="46"/>
      <c r="Z928" s="46"/>
      <c r="AA928" s="46"/>
      <c r="AB928" s="46"/>
      <c r="AC928" s="46"/>
      <c r="AD928" s="46" t="s">
        <v>1033</v>
      </c>
      <c r="AE928" s="50">
        <f>IF(L928="W",1,0)</f>
        <v>1</v>
      </c>
      <c r="AF928" s="50">
        <f>IF(L928="T",1,0)</f>
        <v>0</v>
      </c>
      <c r="AG928" s="50">
        <f>IF(L928="L",1,0)</f>
        <v>0</v>
      </c>
      <c r="AH928" s="46" t="s">
        <v>1244</v>
      </c>
      <c r="AI928" s="46" t="s">
        <v>1245</v>
      </c>
      <c r="AJ928" s="46" t="s">
        <v>376</v>
      </c>
      <c r="AK928" s="46" t="s">
        <v>658</v>
      </c>
      <c r="AL928" s="46" t="s">
        <v>1111</v>
      </c>
      <c r="AM928" s="46" t="s">
        <v>1126</v>
      </c>
      <c r="AN928" s="46" t="s">
        <v>376</v>
      </c>
      <c r="AO928" s="46" t="s">
        <v>658</v>
      </c>
      <c r="AP928" s="46"/>
      <c r="AQ928" s="46">
        <v>2</v>
      </c>
      <c r="AR928" s="46"/>
      <c r="AS928" s="46"/>
      <c r="AT928" s="46"/>
      <c r="AU928" s="46" t="s">
        <v>376</v>
      </c>
      <c r="AV928" s="46"/>
      <c r="AW928" s="46" t="s">
        <v>30</v>
      </c>
      <c r="AX928" s="46"/>
      <c r="AY928" s="46"/>
      <c r="AZ928" s="46" t="s">
        <v>30</v>
      </c>
      <c r="BA928" s="54"/>
      <c r="BB928" s="51"/>
      <c r="BC928" s="46"/>
      <c r="BD928" s="46"/>
      <c r="BE928" s="46"/>
      <c r="BF928" s="46">
        <v>1</v>
      </c>
      <c r="BG928" s="46">
        <v>3</v>
      </c>
      <c r="BH928" s="46">
        <v>1</v>
      </c>
      <c r="BI928" s="46" t="s">
        <v>1243</v>
      </c>
      <c r="BJ928" s="46" t="s">
        <v>1151</v>
      </c>
      <c r="BK928" s="46">
        <v>1980</v>
      </c>
      <c r="BL928" s="46" t="str">
        <f>BK928&amp;BI928</f>
        <v>1980Swindon Town</v>
      </c>
      <c r="BM928" s="52" t="str">
        <f>IF(AD928="Home",BI928,IF(AD928="Away",BJ928,Q928))</f>
        <v>Swindon Town</v>
      </c>
      <c r="BN928" s="46"/>
      <c r="BO928" s="46"/>
      <c r="BP928" s="46"/>
      <c r="BQ928" s="46"/>
      <c r="BR928" s="46"/>
      <c r="BS928" s="46"/>
      <c r="BT928" s="46"/>
      <c r="BU928" s="46"/>
      <c r="BV928" s="46" t="s">
        <v>376</v>
      </c>
      <c r="BW928" s="46" t="s">
        <v>376</v>
      </c>
      <c r="BX928" s="46"/>
      <c r="BY928" s="50"/>
      <c r="BZ928" s="53"/>
      <c r="CA928" s="53"/>
      <c r="CB928" s="93" t="str">
        <f>IF(OR(C928="",A928="",B928=""),"",TEXT(C928,"0000")&amp;TEXT(A928,"00")&amp;TEXT(B928,"00"))</f>
        <v>19800122</v>
      </c>
    </row>
    <row r="929" spans="1:80" s="52" customFormat="1" ht="12.95" customHeight="1" x14ac:dyDescent="0.2">
      <c r="A929" s="46">
        <v>1</v>
      </c>
      <c r="B929" s="46">
        <v>22</v>
      </c>
      <c r="C929" s="46">
        <v>1980</v>
      </c>
      <c r="D929" s="46" t="s">
        <v>658</v>
      </c>
      <c r="E929" s="46" t="s">
        <v>545</v>
      </c>
      <c r="F929" s="54" t="s">
        <v>1327</v>
      </c>
      <c r="G929" s="46"/>
      <c r="H929" s="54" t="s">
        <v>1011</v>
      </c>
      <c r="I929" s="54">
        <v>1</v>
      </c>
      <c r="J929" s="55">
        <v>29242</v>
      </c>
      <c r="K929" s="46" t="s">
        <v>1151</v>
      </c>
      <c r="L929" s="46" t="s">
        <v>4</v>
      </c>
      <c r="M929" s="46" t="s">
        <v>1243</v>
      </c>
      <c r="N929" s="49">
        <v>1</v>
      </c>
      <c r="O929" s="49">
        <v>2</v>
      </c>
      <c r="P929" s="54" t="s">
        <v>1352</v>
      </c>
      <c r="Q929" s="54" t="s">
        <v>1244</v>
      </c>
      <c r="R929" s="54" t="s">
        <v>376</v>
      </c>
      <c r="S929" s="46"/>
      <c r="T929" s="46"/>
      <c r="U929" s="46"/>
      <c r="V929" s="46"/>
      <c r="W929" s="46"/>
      <c r="X929" s="46"/>
      <c r="Y929" s="46"/>
      <c r="Z929" s="46"/>
      <c r="AA929" s="46"/>
      <c r="AB929" s="46"/>
      <c r="AC929" s="46"/>
      <c r="AD929" s="46" t="s">
        <v>1037</v>
      </c>
      <c r="AE929" s="50">
        <f>IF(L929="W",1,0)</f>
        <v>0</v>
      </c>
      <c r="AF929" s="50">
        <f>IF(L929="T",1,0)</f>
        <v>0</v>
      </c>
      <c r="AG929" s="50">
        <f>IF(L929="L",1,0)</f>
        <v>1</v>
      </c>
      <c r="AH929" s="46" t="s">
        <v>1111</v>
      </c>
      <c r="AI929" s="46" t="s">
        <v>1126</v>
      </c>
      <c r="AJ929" s="46" t="s">
        <v>376</v>
      </c>
      <c r="AK929" s="46" t="s">
        <v>658</v>
      </c>
      <c r="AL929" s="46" t="s">
        <v>1244</v>
      </c>
      <c r="AM929" s="46" t="s">
        <v>1245</v>
      </c>
      <c r="AN929" s="46" t="s">
        <v>376</v>
      </c>
      <c r="AO929" s="46" t="s">
        <v>658</v>
      </c>
      <c r="AP929" s="46"/>
      <c r="AQ929" s="46">
        <v>2</v>
      </c>
      <c r="AR929" s="46"/>
      <c r="AS929" s="46"/>
      <c r="AT929" s="46"/>
      <c r="AU929" s="46" t="s">
        <v>376</v>
      </c>
      <c r="AV929" s="46"/>
      <c r="AW929" s="46" t="s">
        <v>30</v>
      </c>
      <c r="AX929" s="46"/>
      <c r="AY929" s="46"/>
      <c r="AZ929" s="46" t="s">
        <v>30</v>
      </c>
      <c r="BA929" s="54"/>
      <c r="BB929" s="51"/>
      <c r="BC929" s="46"/>
      <c r="BD929" s="46"/>
      <c r="BE929" s="46"/>
      <c r="BF929" s="46">
        <v>1</v>
      </c>
      <c r="BG929" s="46">
        <v>1</v>
      </c>
      <c r="BH929" s="46">
        <v>3</v>
      </c>
      <c r="BI929" s="46" t="s">
        <v>1151</v>
      </c>
      <c r="BJ929" s="46" t="s">
        <v>1243</v>
      </c>
      <c r="BK929" s="46">
        <v>1980</v>
      </c>
      <c r="BL929" s="46" t="str">
        <f>BK929&amp;BI929</f>
        <v>1980Wolverhampton Wanderers</v>
      </c>
      <c r="BM929" s="52" t="str">
        <f>IF(AD929="Home",BI929,IF(AD929="Away",BJ929,Q929))</f>
        <v>Swindon Town</v>
      </c>
      <c r="BN929" s="46"/>
      <c r="BO929" s="46"/>
      <c r="BP929" s="46"/>
      <c r="BQ929" s="46"/>
      <c r="BR929" s="46"/>
      <c r="BS929" s="46"/>
      <c r="BT929" s="46"/>
      <c r="BU929" s="46"/>
      <c r="BV929" s="46" t="s">
        <v>376</v>
      </c>
      <c r="BW929" s="46" t="s">
        <v>376</v>
      </c>
      <c r="BX929" s="46"/>
      <c r="BY929" s="50"/>
      <c r="BZ929" s="53"/>
      <c r="CA929" s="53"/>
      <c r="CB929" s="93" t="str">
        <f>IF(OR(C929="",A929="",B929=""),"",TEXT(C929,"0000")&amp;TEXT(A929,"00")&amp;TEXT(B929,"00"))</f>
        <v>19800122</v>
      </c>
    </row>
    <row r="930" spans="1:80" s="52" customFormat="1" ht="12.95" customHeight="1" x14ac:dyDescent="0.2">
      <c r="A930" s="46">
        <v>2</v>
      </c>
      <c r="B930" s="46">
        <v>12</v>
      </c>
      <c r="C930" s="46">
        <v>1980</v>
      </c>
      <c r="D930" s="46" t="s">
        <v>658</v>
      </c>
      <c r="E930" s="46" t="s">
        <v>545</v>
      </c>
      <c r="F930" s="54" t="s">
        <v>1327</v>
      </c>
      <c r="G930" s="46"/>
      <c r="H930" s="54" t="s">
        <v>1011</v>
      </c>
      <c r="I930" s="54">
        <v>2</v>
      </c>
      <c r="J930" s="55">
        <v>29263</v>
      </c>
      <c r="K930" s="46" t="s">
        <v>588</v>
      </c>
      <c r="L930" s="46" t="s">
        <v>1014</v>
      </c>
      <c r="M930" s="46" t="s">
        <v>1072</v>
      </c>
      <c r="N930" s="49">
        <v>1</v>
      </c>
      <c r="O930" s="49">
        <v>1</v>
      </c>
      <c r="P930" s="54" t="s">
        <v>1141</v>
      </c>
      <c r="Q930" s="54" t="s">
        <v>588</v>
      </c>
      <c r="R930" s="54" t="s">
        <v>376</v>
      </c>
      <c r="S930" s="46"/>
      <c r="T930" s="46"/>
      <c r="U930" s="46"/>
      <c r="V930" s="46"/>
      <c r="W930" s="46"/>
      <c r="X930" s="46"/>
      <c r="Y930" s="46"/>
      <c r="Z930" s="46"/>
      <c r="AA930" s="46"/>
      <c r="AB930" s="46"/>
      <c r="AC930" s="46"/>
      <c r="AD930" s="46" t="s">
        <v>1033</v>
      </c>
      <c r="AE930" s="50">
        <f>IF(L930="W",1,0)</f>
        <v>0</v>
      </c>
      <c r="AF930" s="50">
        <f>IF(L930="T",1,0)</f>
        <v>1</v>
      </c>
      <c r="AG930" s="50">
        <f>IF(L930="L",1,0)</f>
        <v>0</v>
      </c>
      <c r="AH930" s="46" t="s">
        <v>588</v>
      </c>
      <c r="AI930" s="46" t="s">
        <v>1175</v>
      </c>
      <c r="AJ930" s="46" t="s">
        <v>376</v>
      </c>
      <c r="AK930" s="46" t="s">
        <v>658</v>
      </c>
      <c r="AL930" s="46" t="s">
        <v>1073</v>
      </c>
      <c r="AM930" s="46" t="s">
        <v>1074</v>
      </c>
      <c r="AN930" s="46" t="s">
        <v>376</v>
      </c>
      <c r="AO930" s="46" t="s">
        <v>658</v>
      </c>
      <c r="AP930" s="46"/>
      <c r="AQ930" s="46">
        <v>2</v>
      </c>
      <c r="AR930" s="46"/>
      <c r="AS930" s="46"/>
      <c r="AT930" s="46"/>
      <c r="AU930" s="46" t="s">
        <v>376</v>
      </c>
      <c r="AV930" s="46"/>
      <c r="AW930" s="46" t="s">
        <v>30</v>
      </c>
      <c r="AX930" s="46"/>
      <c r="AY930" s="46"/>
      <c r="AZ930" s="46" t="s">
        <v>30</v>
      </c>
      <c r="BA930" s="54"/>
      <c r="BB930" s="51"/>
      <c r="BC930" s="46"/>
      <c r="BD930" s="46"/>
      <c r="BE930" s="46"/>
      <c r="BF930" s="46">
        <v>1</v>
      </c>
      <c r="BG930" s="46">
        <v>1</v>
      </c>
      <c r="BH930" s="46">
        <v>1</v>
      </c>
      <c r="BI930" s="46" t="s">
        <v>588</v>
      </c>
      <c r="BJ930" s="46" t="s">
        <v>1072</v>
      </c>
      <c r="BK930" s="46">
        <v>1980</v>
      </c>
      <c r="BL930" s="46" t="str">
        <f>BK930&amp;BI930</f>
        <v>1980Liverpool</v>
      </c>
      <c r="BM930" s="52" t="str">
        <f>IF(AD930="Home",BI930,IF(AD930="Away",BJ930,Q930))</f>
        <v>Liverpool</v>
      </c>
      <c r="BN930" s="46"/>
      <c r="BO930" s="46"/>
      <c r="BP930" s="46"/>
      <c r="BQ930" s="46"/>
      <c r="BR930" s="46"/>
      <c r="BS930" s="46"/>
      <c r="BT930" s="46"/>
      <c r="BU930" s="46"/>
      <c r="BV930" s="46" t="s">
        <v>376</v>
      </c>
      <c r="BW930" s="46" t="s">
        <v>376</v>
      </c>
      <c r="BX930" s="46"/>
      <c r="BZ930" s="53"/>
      <c r="CA930" s="53"/>
      <c r="CB930" s="93" t="str">
        <f>IF(OR(C930="",A930="",B930=""),"",TEXT(C930,"0000")&amp;TEXT(A930,"00")&amp;TEXT(B930,"00"))</f>
        <v>19800212</v>
      </c>
    </row>
    <row r="931" spans="1:80" s="52" customFormat="1" ht="12.95" customHeight="1" x14ac:dyDescent="0.2">
      <c r="A931" s="46">
        <v>2</v>
      </c>
      <c r="B931" s="46">
        <v>12</v>
      </c>
      <c r="C931" s="46">
        <v>1980</v>
      </c>
      <c r="D931" s="46" t="s">
        <v>658</v>
      </c>
      <c r="E931" s="46" t="s">
        <v>545</v>
      </c>
      <c r="F931" s="54" t="s">
        <v>1327</v>
      </c>
      <c r="G931" s="46"/>
      <c r="H931" s="54" t="s">
        <v>1011</v>
      </c>
      <c r="I931" s="54">
        <v>2</v>
      </c>
      <c r="J931" s="55">
        <v>29263</v>
      </c>
      <c r="K931" s="46" t="s">
        <v>1072</v>
      </c>
      <c r="L931" s="46" t="s">
        <v>1014</v>
      </c>
      <c r="M931" s="46" t="s">
        <v>588</v>
      </c>
      <c r="N931" s="49">
        <v>1</v>
      </c>
      <c r="O931" s="49">
        <v>1</v>
      </c>
      <c r="P931" s="54" t="s">
        <v>1141</v>
      </c>
      <c r="Q931" s="54" t="s">
        <v>588</v>
      </c>
      <c r="R931" s="54" t="s">
        <v>376</v>
      </c>
      <c r="S931" s="46"/>
      <c r="T931" s="46"/>
      <c r="U931" s="46"/>
      <c r="V931" s="46"/>
      <c r="W931" s="46"/>
      <c r="X931" s="46"/>
      <c r="Y931" s="46"/>
      <c r="Z931" s="46"/>
      <c r="AA931" s="46"/>
      <c r="AB931" s="46"/>
      <c r="AC931" s="46"/>
      <c r="AD931" s="46" t="s">
        <v>1037</v>
      </c>
      <c r="AE931" s="50">
        <f>IF(L931="W",1,0)</f>
        <v>0</v>
      </c>
      <c r="AF931" s="50">
        <f>IF(L931="T",1,0)</f>
        <v>1</v>
      </c>
      <c r="AG931" s="50">
        <f>IF(L931="L",1,0)</f>
        <v>0</v>
      </c>
      <c r="AH931" s="46" t="s">
        <v>1073</v>
      </c>
      <c r="AI931" s="46" t="s">
        <v>1074</v>
      </c>
      <c r="AJ931" s="46" t="s">
        <v>376</v>
      </c>
      <c r="AK931" s="46" t="s">
        <v>658</v>
      </c>
      <c r="AL931" s="46" t="s">
        <v>588</v>
      </c>
      <c r="AM931" s="46" t="s">
        <v>1175</v>
      </c>
      <c r="AN931" s="46" t="s">
        <v>376</v>
      </c>
      <c r="AO931" s="46" t="s">
        <v>658</v>
      </c>
      <c r="AP931" s="46"/>
      <c r="AQ931" s="46">
        <v>2</v>
      </c>
      <c r="AR931" s="46"/>
      <c r="AS931" s="46"/>
      <c r="AT931" s="46"/>
      <c r="AU931" s="46" t="s">
        <v>376</v>
      </c>
      <c r="AV931" s="46"/>
      <c r="AW931" s="46" t="s">
        <v>30</v>
      </c>
      <c r="AX931" s="46"/>
      <c r="AY931" s="46"/>
      <c r="AZ931" s="46" t="s">
        <v>30</v>
      </c>
      <c r="BA931" s="54"/>
      <c r="BB931" s="51"/>
      <c r="BC931" s="46"/>
      <c r="BD931" s="46"/>
      <c r="BE931" s="46"/>
      <c r="BF931" s="46">
        <v>1</v>
      </c>
      <c r="BG931" s="46">
        <v>1</v>
      </c>
      <c r="BH931" s="46">
        <v>1</v>
      </c>
      <c r="BI931" s="46" t="s">
        <v>1072</v>
      </c>
      <c r="BJ931" s="46" t="s">
        <v>588</v>
      </c>
      <c r="BK931" s="46">
        <v>1980</v>
      </c>
      <c r="BL931" s="46" t="str">
        <f>BK931&amp;BI931</f>
        <v>1980Nottingham Forest</v>
      </c>
      <c r="BM931" s="52" t="str">
        <f>IF(AD931="Home",BI931,IF(AD931="Away",BJ931,Q931))</f>
        <v>Liverpool</v>
      </c>
      <c r="BN931" s="46"/>
      <c r="BO931" s="46"/>
      <c r="BP931" s="46"/>
      <c r="BQ931" s="46"/>
      <c r="BR931" s="46"/>
      <c r="BS931" s="46"/>
      <c r="BT931" s="46"/>
      <c r="BU931" s="46"/>
      <c r="BV931" s="46" t="s">
        <v>376</v>
      </c>
      <c r="BW931" s="46" t="s">
        <v>376</v>
      </c>
      <c r="BX931" s="46"/>
      <c r="BZ931" s="53"/>
      <c r="CA931" s="53"/>
      <c r="CB931" s="93" t="str">
        <f>IF(OR(C931="",A931="",B931=""),"",TEXT(C931,"0000")&amp;TEXT(A931,"00")&amp;TEXT(B931,"00"))</f>
        <v>19800212</v>
      </c>
    </row>
    <row r="932" spans="1:80" s="52" customFormat="1" ht="12.95" customHeight="1" x14ac:dyDescent="0.2">
      <c r="A932" s="46">
        <v>2</v>
      </c>
      <c r="B932" s="46">
        <v>12</v>
      </c>
      <c r="C932" s="46">
        <v>1980</v>
      </c>
      <c r="D932" s="46" t="s">
        <v>658</v>
      </c>
      <c r="E932" s="46" t="s">
        <v>545</v>
      </c>
      <c r="F932" s="54" t="s">
        <v>1327</v>
      </c>
      <c r="G932" s="46"/>
      <c r="H932" s="54" t="s">
        <v>1011</v>
      </c>
      <c r="I932" s="54">
        <v>2</v>
      </c>
      <c r="J932" s="55">
        <v>29263</v>
      </c>
      <c r="K932" s="46" t="s">
        <v>1151</v>
      </c>
      <c r="L932" s="46" t="s">
        <v>3</v>
      </c>
      <c r="M932" s="46" t="s">
        <v>1243</v>
      </c>
      <c r="N932" s="49">
        <v>3</v>
      </c>
      <c r="O932" s="49">
        <v>1</v>
      </c>
      <c r="P932" s="54" t="s">
        <v>1152</v>
      </c>
      <c r="Q932" s="54" t="s">
        <v>1111</v>
      </c>
      <c r="R932" s="54" t="s">
        <v>376</v>
      </c>
      <c r="S932" s="46"/>
      <c r="T932" s="46"/>
      <c r="U932" s="46"/>
      <c r="V932" s="46"/>
      <c r="W932" s="46"/>
      <c r="X932" s="46"/>
      <c r="Y932" s="46"/>
      <c r="Z932" s="46"/>
      <c r="AA932" s="46"/>
      <c r="AB932" s="46"/>
      <c r="AC932" s="46"/>
      <c r="AD932" s="46" t="s">
        <v>1033</v>
      </c>
      <c r="AE932" s="50">
        <f>IF(L932="W",1,0)</f>
        <v>1</v>
      </c>
      <c r="AF932" s="50">
        <f>IF(L932="T",1,0)</f>
        <v>0</v>
      </c>
      <c r="AG932" s="50">
        <f>IF(L932="L",1,0)</f>
        <v>0</v>
      </c>
      <c r="AH932" s="46" t="s">
        <v>1111</v>
      </c>
      <c r="AI932" s="46" t="s">
        <v>1126</v>
      </c>
      <c r="AJ932" s="46" t="s">
        <v>376</v>
      </c>
      <c r="AK932" s="46" t="s">
        <v>658</v>
      </c>
      <c r="AL932" s="46" t="s">
        <v>1244</v>
      </c>
      <c r="AM932" s="46" t="s">
        <v>1245</v>
      </c>
      <c r="AN932" s="46" t="s">
        <v>376</v>
      </c>
      <c r="AO932" s="46" t="s">
        <v>658</v>
      </c>
      <c r="AP932" s="46"/>
      <c r="AQ932" s="46">
        <v>2</v>
      </c>
      <c r="AR932" s="46"/>
      <c r="AS932" s="46"/>
      <c r="AT932" s="46"/>
      <c r="AU932" s="46" t="s">
        <v>376</v>
      </c>
      <c r="AV932" s="46"/>
      <c r="AW932" s="46" t="s">
        <v>30</v>
      </c>
      <c r="AX932" s="46"/>
      <c r="AY932" s="46"/>
      <c r="AZ932" s="46" t="s">
        <v>30</v>
      </c>
      <c r="BA932" s="54"/>
      <c r="BB932" s="51"/>
      <c r="BC932" s="46"/>
      <c r="BD932" s="46"/>
      <c r="BE932" s="46"/>
      <c r="BF932" s="46">
        <v>1</v>
      </c>
      <c r="BG932" s="46">
        <v>1</v>
      </c>
      <c r="BH932" s="46">
        <v>3</v>
      </c>
      <c r="BI932" s="46" t="s">
        <v>1151</v>
      </c>
      <c r="BJ932" s="46" t="s">
        <v>1243</v>
      </c>
      <c r="BK932" s="46">
        <v>1980</v>
      </c>
      <c r="BL932" s="46" t="str">
        <f>BK932&amp;BI932</f>
        <v>1980Wolverhampton Wanderers</v>
      </c>
      <c r="BM932" s="52" t="str">
        <f>IF(AD932="Home",BI932,IF(AD932="Away",BJ932,Q932))</f>
        <v>Wolverhampton Wanderers</v>
      </c>
      <c r="BN932" s="46"/>
      <c r="BO932" s="46"/>
      <c r="BP932" s="46"/>
      <c r="BQ932" s="46"/>
      <c r="BR932" s="46"/>
      <c r="BS932" s="46"/>
      <c r="BT932" s="46"/>
      <c r="BU932" s="46"/>
      <c r="BV932" s="46" t="s">
        <v>376</v>
      </c>
      <c r="BW932" s="46" t="s">
        <v>376</v>
      </c>
      <c r="BX932" s="46"/>
      <c r="BZ932" s="53"/>
      <c r="CA932" s="53"/>
      <c r="CB932" s="93" t="str">
        <f>IF(OR(C932="",A932="",B932=""),"",TEXT(C932,"0000")&amp;TEXT(A932,"00")&amp;TEXT(B932,"00"))</f>
        <v>19800212</v>
      </c>
    </row>
    <row r="933" spans="1:80" s="52" customFormat="1" ht="12.95" customHeight="1" x14ac:dyDescent="0.2">
      <c r="A933" s="46">
        <v>2</v>
      </c>
      <c r="B933" s="46">
        <v>12</v>
      </c>
      <c r="C933" s="46">
        <v>1980</v>
      </c>
      <c r="D933" s="46" t="s">
        <v>658</v>
      </c>
      <c r="E933" s="46" t="s">
        <v>545</v>
      </c>
      <c r="F933" s="54" t="s">
        <v>1327</v>
      </c>
      <c r="G933" s="46"/>
      <c r="H933" s="54" t="s">
        <v>1011</v>
      </c>
      <c r="I933" s="54">
        <v>2</v>
      </c>
      <c r="J933" s="55">
        <v>29263</v>
      </c>
      <c r="K933" s="46" t="s">
        <v>1243</v>
      </c>
      <c r="L933" s="46" t="s">
        <v>4</v>
      </c>
      <c r="M933" s="46" t="s">
        <v>1151</v>
      </c>
      <c r="N933" s="49">
        <v>1</v>
      </c>
      <c r="O933" s="49">
        <v>3</v>
      </c>
      <c r="P933" s="54" t="s">
        <v>1152</v>
      </c>
      <c r="Q933" s="54" t="s">
        <v>1111</v>
      </c>
      <c r="R933" s="54" t="s">
        <v>376</v>
      </c>
      <c r="S933" s="46"/>
      <c r="T933" s="46"/>
      <c r="U933" s="46"/>
      <c r="V933" s="46"/>
      <c r="W933" s="46"/>
      <c r="X933" s="46"/>
      <c r="Y933" s="46"/>
      <c r="Z933" s="46"/>
      <c r="AA933" s="46"/>
      <c r="AB933" s="46"/>
      <c r="AC933" s="46"/>
      <c r="AD933" s="46" t="s">
        <v>1037</v>
      </c>
      <c r="AE933" s="50">
        <f>IF(L933="W",1,0)</f>
        <v>0</v>
      </c>
      <c r="AF933" s="50">
        <f>IF(L933="T",1,0)</f>
        <v>0</v>
      </c>
      <c r="AG933" s="50">
        <f>IF(L933="L",1,0)</f>
        <v>1</v>
      </c>
      <c r="AH933" s="46" t="s">
        <v>1244</v>
      </c>
      <c r="AI933" s="46" t="s">
        <v>1245</v>
      </c>
      <c r="AJ933" s="46" t="s">
        <v>376</v>
      </c>
      <c r="AK933" s="46" t="s">
        <v>658</v>
      </c>
      <c r="AL933" s="46" t="s">
        <v>1111</v>
      </c>
      <c r="AM933" s="46" t="s">
        <v>1126</v>
      </c>
      <c r="AN933" s="46" t="s">
        <v>376</v>
      </c>
      <c r="AO933" s="46" t="s">
        <v>658</v>
      </c>
      <c r="AP933" s="46"/>
      <c r="AQ933" s="46">
        <v>2</v>
      </c>
      <c r="AR933" s="46"/>
      <c r="AS933" s="46"/>
      <c r="AT933" s="46"/>
      <c r="AU933" s="46" t="s">
        <v>376</v>
      </c>
      <c r="AV933" s="46"/>
      <c r="AW933" s="46" t="s">
        <v>30</v>
      </c>
      <c r="AX933" s="46"/>
      <c r="AY933" s="46"/>
      <c r="AZ933" s="46" t="s">
        <v>30</v>
      </c>
      <c r="BA933" s="54"/>
      <c r="BB933" s="51"/>
      <c r="BC933" s="46"/>
      <c r="BD933" s="46"/>
      <c r="BE933" s="46"/>
      <c r="BF933" s="46">
        <v>1</v>
      </c>
      <c r="BG933" s="46">
        <v>3</v>
      </c>
      <c r="BH933" s="46">
        <v>1</v>
      </c>
      <c r="BI933" s="46" t="s">
        <v>1243</v>
      </c>
      <c r="BJ933" s="46" t="s">
        <v>1151</v>
      </c>
      <c r="BK933" s="46">
        <v>1980</v>
      </c>
      <c r="BL933" s="46" t="str">
        <f>BK933&amp;BI933</f>
        <v>1980Swindon Town</v>
      </c>
      <c r="BM933" s="52" t="str">
        <f>IF(AD933="Home",BI933,IF(AD933="Away",BJ933,Q933))</f>
        <v>Wolverhampton Wanderers</v>
      </c>
      <c r="BN933" s="46"/>
      <c r="BO933" s="46"/>
      <c r="BP933" s="46"/>
      <c r="BQ933" s="46"/>
      <c r="BR933" s="46"/>
      <c r="BS933" s="46"/>
      <c r="BT933" s="46"/>
      <c r="BU933" s="46"/>
      <c r="BV933" s="46" t="s">
        <v>376</v>
      </c>
      <c r="BW933" s="46" t="s">
        <v>376</v>
      </c>
      <c r="BX933" s="46"/>
      <c r="BZ933" s="53"/>
      <c r="CA933" s="53"/>
      <c r="CB933" s="93" t="str">
        <f>IF(OR(C933="",A933="",B933=""),"",TEXT(C933,"0000")&amp;TEXT(A933,"00")&amp;TEXT(B933,"00"))</f>
        <v>19800212</v>
      </c>
    </row>
    <row r="934" spans="1:80" s="52" customFormat="1" ht="12.95" customHeight="1" x14ac:dyDescent="0.2">
      <c r="A934" s="46">
        <v>3</v>
      </c>
      <c r="B934" s="46">
        <v>15</v>
      </c>
      <c r="C934" s="46">
        <v>1980</v>
      </c>
      <c r="D934" s="46" t="s">
        <v>658</v>
      </c>
      <c r="E934" s="46" t="s">
        <v>545</v>
      </c>
      <c r="F934" s="54" t="s">
        <v>1327</v>
      </c>
      <c r="G934" s="46"/>
      <c r="H934" s="54" t="s">
        <v>40</v>
      </c>
      <c r="I934" s="54"/>
      <c r="J934" s="55">
        <v>29295</v>
      </c>
      <c r="K934" s="46" t="s">
        <v>1151</v>
      </c>
      <c r="L934" s="46" t="s">
        <v>3</v>
      </c>
      <c r="M934" s="46" t="s">
        <v>1072</v>
      </c>
      <c r="N934" s="49">
        <v>1</v>
      </c>
      <c r="O934" s="49">
        <v>0</v>
      </c>
      <c r="P934" s="54" t="s">
        <v>1268</v>
      </c>
      <c r="Q934" s="54" t="s">
        <v>1017</v>
      </c>
      <c r="R934" s="54" t="s">
        <v>376</v>
      </c>
      <c r="S934" s="46"/>
      <c r="T934" s="46"/>
      <c r="U934" s="46"/>
      <c r="V934" s="46"/>
      <c r="W934" s="46"/>
      <c r="X934" s="46"/>
      <c r="Y934" s="46"/>
      <c r="Z934" s="46"/>
      <c r="AA934" s="46"/>
      <c r="AB934" s="46"/>
      <c r="AC934" s="46"/>
      <c r="AD934" s="46"/>
      <c r="AE934" s="50">
        <f>IF(L934="W",1,0)</f>
        <v>1</v>
      </c>
      <c r="AF934" s="50">
        <f>IF(L934="T",1,0)</f>
        <v>0</v>
      </c>
      <c r="AG934" s="50">
        <f>IF(L934="L",1,0)</f>
        <v>0</v>
      </c>
      <c r="AH934" s="46" t="s">
        <v>1111</v>
      </c>
      <c r="AI934" s="46" t="s">
        <v>1126</v>
      </c>
      <c r="AJ934" s="46" t="s">
        <v>376</v>
      </c>
      <c r="AK934" s="46" t="s">
        <v>658</v>
      </c>
      <c r="AL934" s="46" t="s">
        <v>1073</v>
      </c>
      <c r="AM934" s="46" t="s">
        <v>1074</v>
      </c>
      <c r="AN934" s="46" t="s">
        <v>376</v>
      </c>
      <c r="AO934" s="46" t="s">
        <v>658</v>
      </c>
      <c r="AP934" s="46"/>
      <c r="AQ934" s="46">
        <v>1</v>
      </c>
      <c r="AR934" s="46"/>
      <c r="AS934" s="46"/>
      <c r="AT934" s="46"/>
      <c r="AU934" s="46" t="s">
        <v>376</v>
      </c>
      <c r="AV934" s="46"/>
      <c r="AW934" s="46" t="s">
        <v>30</v>
      </c>
      <c r="AX934" s="46"/>
      <c r="AY934" s="46"/>
      <c r="AZ934" s="46" t="s">
        <v>30</v>
      </c>
      <c r="BA934" s="54"/>
      <c r="BB934" s="51" t="s">
        <v>30</v>
      </c>
      <c r="BC934" s="46" t="s">
        <v>30</v>
      </c>
      <c r="BD934" s="46"/>
      <c r="BE934" s="46"/>
      <c r="BF934" s="46">
        <v>1</v>
      </c>
      <c r="BG934" s="46">
        <v>1</v>
      </c>
      <c r="BH934" s="46">
        <v>1</v>
      </c>
      <c r="BI934" s="46" t="s">
        <v>1151</v>
      </c>
      <c r="BJ934" s="46" t="s">
        <v>1072</v>
      </c>
      <c r="BK934" s="46">
        <v>1980</v>
      </c>
      <c r="BL934" s="46" t="str">
        <f>BK934&amp;BI934</f>
        <v>1980Wolverhampton Wanderers</v>
      </c>
      <c r="BM934" s="52" t="str">
        <f>IF(AD934="Home",BI934,IF(AD934="Away",BJ934,Q934))</f>
        <v>London</v>
      </c>
      <c r="BN934" s="46"/>
      <c r="BO934" s="46"/>
      <c r="BP934" s="46"/>
      <c r="BQ934" s="46"/>
      <c r="BR934" s="46"/>
      <c r="BS934" s="46"/>
      <c r="BT934" s="46"/>
      <c r="BU934" s="46"/>
      <c r="BV934" s="46" t="s">
        <v>376</v>
      </c>
      <c r="BW934" s="46" t="s">
        <v>376</v>
      </c>
      <c r="BX934" s="46"/>
      <c r="BZ934" s="53"/>
      <c r="CA934" s="53"/>
      <c r="CB934" s="93" t="str">
        <f>IF(OR(C934="",A934="",B934=""),"",TEXT(C934,"0000")&amp;TEXT(A934,"00")&amp;TEXT(B934,"00"))</f>
        <v>19800315</v>
      </c>
    </row>
    <row r="935" spans="1:80" s="52" customFormat="1" ht="12.95" customHeight="1" x14ac:dyDescent="0.2">
      <c r="A935" s="46">
        <v>3</v>
      </c>
      <c r="B935" s="46">
        <v>15</v>
      </c>
      <c r="C935" s="46">
        <v>1980</v>
      </c>
      <c r="D935" s="46" t="s">
        <v>658</v>
      </c>
      <c r="E935" s="46" t="s">
        <v>545</v>
      </c>
      <c r="F935" s="54" t="s">
        <v>1327</v>
      </c>
      <c r="G935" s="46"/>
      <c r="H935" s="54" t="s">
        <v>40</v>
      </c>
      <c r="I935" s="54"/>
      <c r="J935" s="55">
        <v>29295</v>
      </c>
      <c r="K935" s="46" t="s">
        <v>1072</v>
      </c>
      <c r="L935" s="46" t="s">
        <v>4</v>
      </c>
      <c r="M935" s="46" t="s">
        <v>1151</v>
      </c>
      <c r="N935" s="49">
        <v>0</v>
      </c>
      <c r="O935" s="49">
        <v>1</v>
      </c>
      <c r="P935" s="54" t="s">
        <v>1268</v>
      </c>
      <c r="Q935" s="54" t="s">
        <v>1017</v>
      </c>
      <c r="R935" s="54" t="s">
        <v>376</v>
      </c>
      <c r="S935" s="46"/>
      <c r="T935" s="46"/>
      <c r="U935" s="46"/>
      <c r="V935" s="46"/>
      <c r="W935" s="46"/>
      <c r="X935" s="46"/>
      <c r="Y935" s="46"/>
      <c r="Z935" s="46"/>
      <c r="AA935" s="46"/>
      <c r="AB935" s="46"/>
      <c r="AC935" s="46"/>
      <c r="AD935" s="46"/>
      <c r="AE935" s="50">
        <f>IF(L935="W",1,0)</f>
        <v>0</v>
      </c>
      <c r="AF935" s="50">
        <f>IF(L935="T",1,0)</f>
        <v>0</v>
      </c>
      <c r="AG935" s="50">
        <f>IF(L935="L",1,0)</f>
        <v>1</v>
      </c>
      <c r="AH935" s="46" t="s">
        <v>1073</v>
      </c>
      <c r="AI935" s="46" t="s">
        <v>1074</v>
      </c>
      <c r="AJ935" s="46" t="s">
        <v>376</v>
      </c>
      <c r="AK935" s="46" t="s">
        <v>658</v>
      </c>
      <c r="AL935" s="46" t="s">
        <v>1111</v>
      </c>
      <c r="AM935" s="46" t="s">
        <v>1126</v>
      </c>
      <c r="AN935" s="46" t="s">
        <v>376</v>
      </c>
      <c r="AO935" s="46" t="s">
        <v>658</v>
      </c>
      <c r="AP935" s="46"/>
      <c r="AQ935" s="46">
        <v>1</v>
      </c>
      <c r="AR935" s="46"/>
      <c r="AS935" s="46"/>
      <c r="AT935" s="46"/>
      <c r="AU935" s="46" t="s">
        <v>376</v>
      </c>
      <c r="AV935" s="46"/>
      <c r="AW935" s="46" t="s">
        <v>30</v>
      </c>
      <c r="AX935" s="46"/>
      <c r="AY935" s="46"/>
      <c r="AZ935" s="46" t="s">
        <v>30</v>
      </c>
      <c r="BA935" s="54"/>
      <c r="BB935" s="51"/>
      <c r="BC935" s="46" t="s">
        <v>30</v>
      </c>
      <c r="BD935" s="46"/>
      <c r="BE935" s="46"/>
      <c r="BF935" s="46">
        <v>1</v>
      </c>
      <c r="BG935" s="46">
        <v>1</v>
      </c>
      <c r="BH935" s="46">
        <v>1</v>
      </c>
      <c r="BI935" s="46" t="s">
        <v>1072</v>
      </c>
      <c r="BJ935" s="46" t="s">
        <v>1151</v>
      </c>
      <c r="BK935" s="46">
        <v>1980</v>
      </c>
      <c r="BL935" s="46" t="str">
        <f>BK935&amp;BI935</f>
        <v>1980Nottingham Forest</v>
      </c>
      <c r="BM935" s="52" t="str">
        <f>IF(AD935="Home",BI935,IF(AD935="Away",BJ935,Q935))</f>
        <v>London</v>
      </c>
      <c r="BN935" s="46"/>
      <c r="BO935" s="46"/>
      <c r="BP935" s="46"/>
      <c r="BQ935" s="46"/>
      <c r="BR935" s="46"/>
      <c r="BS935" s="46"/>
      <c r="BT935" s="46"/>
      <c r="BU935" s="46"/>
      <c r="BV935" s="46" t="s">
        <v>376</v>
      </c>
      <c r="BW935" s="46" t="s">
        <v>376</v>
      </c>
      <c r="BX935" s="46"/>
      <c r="BZ935" s="53"/>
      <c r="CA935" s="53"/>
      <c r="CB935" s="93" t="str">
        <f>IF(OR(C935="",A935="",B935=""),"",TEXT(C935,"0000")&amp;TEXT(A935,"00")&amp;TEXT(B935,"00"))</f>
        <v>19800315</v>
      </c>
    </row>
    <row r="936" spans="1:80" s="52" customFormat="1" ht="12.95" customHeight="1" x14ac:dyDescent="0.2">
      <c r="A936" s="46">
        <v>4</v>
      </c>
      <c r="B936" s="46">
        <v>12</v>
      </c>
      <c r="C936" s="46">
        <v>1980</v>
      </c>
      <c r="D936" s="46" t="s">
        <v>658</v>
      </c>
      <c r="E936" s="46" t="s">
        <v>545</v>
      </c>
      <c r="F936" s="47" t="s">
        <v>1010</v>
      </c>
      <c r="G936" s="46"/>
      <c r="H936" s="47" t="s">
        <v>1011</v>
      </c>
      <c r="I936" s="47"/>
      <c r="J936" s="48">
        <v>29323</v>
      </c>
      <c r="K936" s="46" t="s">
        <v>588</v>
      </c>
      <c r="L936" s="46" t="s">
        <v>1014</v>
      </c>
      <c r="M936" s="46" t="s">
        <v>587</v>
      </c>
      <c r="N936" s="49">
        <v>0</v>
      </c>
      <c r="O936" s="49">
        <v>0</v>
      </c>
      <c r="P936" s="47" t="s">
        <v>1252</v>
      </c>
      <c r="Q936" s="47" t="s">
        <v>1097</v>
      </c>
      <c r="R936" s="47" t="s">
        <v>376</v>
      </c>
      <c r="S936" s="46"/>
      <c r="T936" s="46"/>
      <c r="U936" s="46"/>
      <c r="V936" s="46"/>
      <c r="W936" s="46"/>
      <c r="X936" s="46"/>
      <c r="Y936" s="46"/>
      <c r="Z936" s="46"/>
      <c r="AA936" s="46"/>
      <c r="AB936" s="46"/>
      <c r="AC936" s="46"/>
      <c r="AD936" s="46"/>
      <c r="AE936" s="50">
        <f>IF(L936="W",1,0)</f>
        <v>0</v>
      </c>
      <c r="AF936" s="50">
        <f>IF(L936="T",1,0)</f>
        <v>1</v>
      </c>
      <c r="AG936" s="50">
        <f>IF(L936="L",1,0)</f>
        <v>0</v>
      </c>
      <c r="AH936" s="46" t="s">
        <v>588</v>
      </c>
      <c r="AI936" s="46" t="s">
        <v>1175</v>
      </c>
      <c r="AJ936" s="46" t="s">
        <v>376</v>
      </c>
      <c r="AK936" s="46" t="s">
        <v>658</v>
      </c>
      <c r="AL936" s="46" t="s">
        <v>1017</v>
      </c>
      <c r="AM936" s="46" t="s">
        <v>1018</v>
      </c>
      <c r="AN936" s="46" t="s">
        <v>376</v>
      </c>
      <c r="AO936" s="46" t="s">
        <v>658</v>
      </c>
      <c r="AP936" s="46"/>
      <c r="AQ936" s="46">
        <v>2</v>
      </c>
      <c r="AR936" s="46"/>
      <c r="AS936" s="46"/>
      <c r="AT936" s="46"/>
      <c r="AU936" s="46" t="s">
        <v>376</v>
      </c>
      <c r="AV936" s="46"/>
      <c r="AW936" s="46" t="s">
        <v>30</v>
      </c>
      <c r="AX936" s="46"/>
      <c r="AY936" s="46" t="s">
        <v>30</v>
      </c>
      <c r="AZ936" s="46"/>
      <c r="BA936" s="47"/>
      <c r="BB936" s="51"/>
      <c r="BC936" s="46"/>
      <c r="BD936" s="46"/>
      <c r="BE936" s="46"/>
      <c r="BF936" s="46">
        <v>1</v>
      </c>
      <c r="BG936" s="46">
        <v>1</v>
      </c>
      <c r="BH936" s="46">
        <v>1</v>
      </c>
      <c r="BI936" s="46" t="s">
        <v>588</v>
      </c>
      <c r="BJ936" s="46" t="s">
        <v>587</v>
      </c>
      <c r="BK936" s="46">
        <v>1980</v>
      </c>
      <c r="BL936" s="46" t="str">
        <f>BK936&amp;BI936</f>
        <v>1980Liverpool</v>
      </c>
      <c r="BM936" s="52" t="str">
        <f>IF(AD936="Home",BI936,IF(AD936="Away",BJ936,Q936))</f>
        <v>Sheffield</v>
      </c>
      <c r="BN936" s="46"/>
      <c r="BO936" s="46"/>
      <c r="BP936" s="46"/>
      <c r="BQ936" s="46"/>
      <c r="BR936" s="46"/>
      <c r="BS936" s="46"/>
      <c r="BT936" s="46"/>
      <c r="BU936" s="46"/>
      <c r="BV936" s="46" t="s">
        <v>376</v>
      </c>
      <c r="BW936" s="46" t="s">
        <v>376</v>
      </c>
      <c r="BX936" s="46"/>
      <c r="BY936" s="50"/>
      <c r="BZ936" s="53"/>
      <c r="CA936" s="53"/>
      <c r="CB936" s="93" t="str">
        <f>IF(OR(C936="",A936="",B936=""),"",TEXT(C936,"0000")&amp;TEXT(A936,"00")&amp;TEXT(B936,"00"))</f>
        <v>19800412</v>
      </c>
    </row>
    <row r="937" spans="1:80" s="52" customFormat="1" ht="12.95" customHeight="1" x14ac:dyDescent="0.2">
      <c r="A937" s="46">
        <v>4</v>
      </c>
      <c r="B937" s="46">
        <v>12</v>
      </c>
      <c r="C937" s="46">
        <v>1980</v>
      </c>
      <c r="D937" s="46" t="s">
        <v>658</v>
      </c>
      <c r="E937" s="46" t="s">
        <v>545</v>
      </c>
      <c r="F937" s="47" t="s">
        <v>1010</v>
      </c>
      <c r="G937" s="46"/>
      <c r="H937" s="47" t="s">
        <v>1011</v>
      </c>
      <c r="I937" s="47"/>
      <c r="J937" s="48">
        <v>29323</v>
      </c>
      <c r="K937" s="46" t="s">
        <v>587</v>
      </c>
      <c r="L937" s="46" t="s">
        <v>1014</v>
      </c>
      <c r="M937" s="46" t="s">
        <v>588</v>
      </c>
      <c r="N937" s="49">
        <v>0</v>
      </c>
      <c r="O937" s="49">
        <v>0</v>
      </c>
      <c r="P937" s="47" t="s">
        <v>1252</v>
      </c>
      <c r="Q937" s="47" t="s">
        <v>1097</v>
      </c>
      <c r="R937" s="47" t="s">
        <v>376</v>
      </c>
      <c r="S937" s="46"/>
      <c r="T937" s="46"/>
      <c r="U937" s="46"/>
      <c r="V937" s="46"/>
      <c r="W937" s="46"/>
      <c r="X937" s="46"/>
      <c r="Y937" s="46"/>
      <c r="Z937" s="46"/>
      <c r="AA937" s="46"/>
      <c r="AB937" s="46"/>
      <c r="AC937" s="46"/>
      <c r="AD937" s="46"/>
      <c r="AE937" s="50">
        <f>IF(L937="W",1,0)</f>
        <v>0</v>
      </c>
      <c r="AF937" s="50">
        <f>IF(L937="T",1,0)</f>
        <v>1</v>
      </c>
      <c r="AG937" s="50">
        <f>IF(L937="L",1,0)</f>
        <v>0</v>
      </c>
      <c r="AH937" s="46" t="s">
        <v>1017</v>
      </c>
      <c r="AI937" s="46" t="s">
        <v>1018</v>
      </c>
      <c r="AJ937" s="46" t="s">
        <v>376</v>
      </c>
      <c r="AK937" s="46" t="s">
        <v>658</v>
      </c>
      <c r="AL937" s="46" t="s">
        <v>588</v>
      </c>
      <c r="AM937" s="46" t="s">
        <v>1175</v>
      </c>
      <c r="AN937" s="46" t="s">
        <v>376</v>
      </c>
      <c r="AO937" s="46" t="s">
        <v>658</v>
      </c>
      <c r="AP937" s="46"/>
      <c r="AQ937" s="46">
        <v>2</v>
      </c>
      <c r="AR937" s="46"/>
      <c r="AS937" s="46"/>
      <c r="AT937" s="46"/>
      <c r="AU937" s="46" t="s">
        <v>376</v>
      </c>
      <c r="AV937" s="46"/>
      <c r="AW937" s="46" t="s">
        <v>30</v>
      </c>
      <c r="AX937" s="46"/>
      <c r="AY937" s="46" t="s">
        <v>30</v>
      </c>
      <c r="AZ937" s="46"/>
      <c r="BA937" s="47"/>
      <c r="BB937" s="51"/>
      <c r="BC937" s="46"/>
      <c r="BD937" s="46"/>
      <c r="BE937" s="46"/>
      <c r="BF937" s="46">
        <v>1</v>
      </c>
      <c r="BG937" s="46">
        <v>1</v>
      </c>
      <c r="BH937" s="46">
        <v>1</v>
      </c>
      <c r="BI937" s="46" t="s">
        <v>587</v>
      </c>
      <c r="BJ937" s="46" t="s">
        <v>588</v>
      </c>
      <c r="BK937" s="46">
        <v>1980</v>
      </c>
      <c r="BL937" s="46" t="str">
        <f>BK937&amp;BI937</f>
        <v>1980Arsenal</v>
      </c>
      <c r="BM937" s="52" t="str">
        <f>IF(AD937="Home",BI937,IF(AD937="Away",BJ937,Q937))</f>
        <v>Sheffield</v>
      </c>
      <c r="BN937" s="46"/>
      <c r="BO937" s="46"/>
      <c r="BP937" s="46"/>
      <c r="BQ937" s="46"/>
      <c r="BR937" s="46"/>
      <c r="BS937" s="46"/>
      <c r="BT937" s="46"/>
      <c r="BU937" s="46"/>
      <c r="BV937" s="46" t="s">
        <v>376</v>
      </c>
      <c r="BW937" s="46" t="s">
        <v>376</v>
      </c>
      <c r="BX937" s="46"/>
      <c r="BY937" s="50"/>
      <c r="BZ937" s="53"/>
      <c r="CA937" s="53"/>
      <c r="CB937" s="93" t="str">
        <f>IF(OR(C937="",A937="",B937=""),"",TEXT(C937,"0000")&amp;TEXT(A937,"00")&amp;TEXT(B937,"00"))</f>
        <v>19800412</v>
      </c>
    </row>
    <row r="938" spans="1:80" s="52" customFormat="1" ht="12.95" customHeight="1" x14ac:dyDescent="0.2">
      <c r="A938" s="46">
        <v>4</v>
      </c>
      <c r="B938" s="46">
        <v>12</v>
      </c>
      <c r="C938" s="46">
        <v>1980</v>
      </c>
      <c r="D938" s="46" t="s">
        <v>658</v>
      </c>
      <c r="E938" s="46" t="s">
        <v>545</v>
      </c>
      <c r="F938" s="47" t="s">
        <v>1010</v>
      </c>
      <c r="G938" s="46"/>
      <c r="H938" s="47" t="s">
        <v>1011</v>
      </c>
      <c r="I938" s="47"/>
      <c r="J938" s="48">
        <v>29323</v>
      </c>
      <c r="K938" s="46" t="s">
        <v>803</v>
      </c>
      <c r="L938" s="46" t="s">
        <v>1014</v>
      </c>
      <c r="M938" s="46" t="s">
        <v>804</v>
      </c>
      <c r="N938" s="49">
        <v>1</v>
      </c>
      <c r="O938" s="49">
        <v>1</v>
      </c>
      <c r="P938" s="47" t="s">
        <v>1219</v>
      </c>
      <c r="Q938" s="47" t="s">
        <v>1111</v>
      </c>
      <c r="R938" s="47" t="s">
        <v>376</v>
      </c>
      <c r="S938" s="46"/>
      <c r="T938" s="46"/>
      <c r="U938" s="46"/>
      <c r="V938" s="46"/>
      <c r="W938" s="46"/>
      <c r="X938" s="46"/>
      <c r="Y938" s="46"/>
      <c r="Z938" s="46"/>
      <c r="AA938" s="46"/>
      <c r="AB938" s="46"/>
      <c r="AC938" s="46"/>
      <c r="AD938" s="46"/>
      <c r="AE938" s="50">
        <f>IF(L938="W",1,0)</f>
        <v>0</v>
      </c>
      <c r="AF938" s="50">
        <f>IF(L938="T",1,0)</f>
        <v>1</v>
      </c>
      <c r="AG938" s="50">
        <f>IF(L938="L",1,0)</f>
        <v>0</v>
      </c>
      <c r="AH938" s="46" t="s">
        <v>1017</v>
      </c>
      <c r="AI938" s="46" t="s">
        <v>1018</v>
      </c>
      <c r="AJ938" s="46" t="s">
        <v>376</v>
      </c>
      <c r="AK938" s="46" t="s">
        <v>658</v>
      </c>
      <c r="AL938" s="46" t="s">
        <v>588</v>
      </c>
      <c r="AM938" s="46" t="s">
        <v>1175</v>
      </c>
      <c r="AN938" s="46" t="s">
        <v>376</v>
      </c>
      <c r="AO938" s="46" t="s">
        <v>658</v>
      </c>
      <c r="AP938" s="46"/>
      <c r="AQ938" s="46">
        <v>2</v>
      </c>
      <c r="AR938" s="46"/>
      <c r="AS938" s="46"/>
      <c r="AT938" s="46"/>
      <c r="AU938" s="46" t="s">
        <v>376</v>
      </c>
      <c r="AV938" s="46"/>
      <c r="AW938" s="46" t="s">
        <v>30</v>
      </c>
      <c r="AX938" s="46"/>
      <c r="AY938" s="46" t="s">
        <v>30</v>
      </c>
      <c r="AZ938" s="46"/>
      <c r="BA938" s="47"/>
      <c r="BB938" s="51"/>
      <c r="BC938" s="46"/>
      <c r="BD938" s="46"/>
      <c r="BE938" s="46"/>
      <c r="BF938" s="46">
        <v>1</v>
      </c>
      <c r="BG938" s="46">
        <v>2</v>
      </c>
      <c r="BH938" s="46">
        <v>1</v>
      </c>
      <c r="BI938" s="46" t="s">
        <v>803</v>
      </c>
      <c r="BJ938" s="46" t="s">
        <v>804</v>
      </c>
      <c r="BK938" s="46">
        <v>1980</v>
      </c>
      <c r="BL938" s="46" t="str">
        <f>BK938&amp;BI938</f>
        <v>1980West Ham United</v>
      </c>
      <c r="BM938" s="52" t="str">
        <f>IF(AD938="Home",BI938,IF(AD938="Away",BJ938,Q938))</f>
        <v>Birmingham</v>
      </c>
      <c r="BN938" s="46"/>
      <c r="BO938" s="46"/>
      <c r="BP938" s="46"/>
      <c r="BQ938" s="46"/>
      <c r="BR938" s="46"/>
      <c r="BS938" s="46"/>
      <c r="BT938" s="46"/>
      <c r="BU938" s="46"/>
      <c r="BV938" s="46" t="s">
        <v>376</v>
      </c>
      <c r="BW938" s="46" t="s">
        <v>376</v>
      </c>
      <c r="BX938" s="46"/>
      <c r="BZ938" s="53"/>
      <c r="CA938" s="53"/>
      <c r="CB938" s="93" t="str">
        <f>IF(OR(C938="",A938="",B938=""),"",TEXT(C938,"0000")&amp;TEXT(A938,"00")&amp;TEXT(B938,"00"))</f>
        <v>19800412</v>
      </c>
    </row>
    <row r="939" spans="1:80" s="52" customFormat="1" ht="12.95" customHeight="1" x14ac:dyDescent="0.2">
      <c r="A939" s="46">
        <v>4</v>
      </c>
      <c r="B939" s="46">
        <v>12</v>
      </c>
      <c r="C939" s="46">
        <v>1980</v>
      </c>
      <c r="D939" s="46" t="s">
        <v>658</v>
      </c>
      <c r="E939" s="46" t="s">
        <v>545</v>
      </c>
      <c r="F939" s="47" t="s">
        <v>1010</v>
      </c>
      <c r="G939" s="46"/>
      <c r="H939" s="47" t="s">
        <v>1011</v>
      </c>
      <c r="I939" s="47"/>
      <c r="J939" s="48">
        <v>29323</v>
      </c>
      <c r="K939" s="46" t="s">
        <v>804</v>
      </c>
      <c r="L939" s="46" t="s">
        <v>1014</v>
      </c>
      <c r="M939" s="46" t="s">
        <v>803</v>
      </c>
      <c r="N939" s="49">
        <v>1</v>
      </c>
      <c r="O939" s="49">
        <v>1</v>
      </c>
      <c r="P939" s="47" t="s">
        <v>1219</v>
      </c>
      <c r="Q939" s="47" t="s">
        <v>1111</v>
      </c>
      <c r="R939" s="47" t="s">
        <v>376</v>
      </c>
      <c r="S939" s="46"/>
      <c r="T939" s="46"/>
      <c r="U939" s="46"/>
      <c r="V939" s="46"/>
      <c r="W939" s="46"/>
      <c r="X939" s="46"/>
      <c r="Y939" s="46"/>
      <c r="Z939" s="46"/>
      <c r="AA939" s="46"/>
      <c r="AB939" s="46"/>
      <c r="AC939" s="46"/>
      <c r="AD939" s="46"/>
      <c r="AE939" s="50">
        <f>IF(L939="W",1,0)</f>
        <v>0</v>
      </c>
      <c r="AF939" s="50">
        <f>IF(L939="T",1,0)</f>
        <v>1</v>
      </c>
      <c r="AG939" s="50">
        <f>IF(L939="L",1,0)</f>
        <v>0</v>
      </c>
      <c r="AH939" s="46" t="s">
        <v>588</v>
      </c>
      <c r="AI939" s="46" t="s">
        <v>1175</v>
      </c>
      <c r="AJ939" s="46" t="s">
        <v>376</v>
      </c>
      <c r="AK939" s="46" t="s">
        <v>658</v>
      </c>
      <c r="AL939" s="46" t="s">
        <v>1017</v>
      </c>
      <c r="AM939" s="46" t="s">
        <v>1018</v>
      </c>
      <c r="AN939" s="46" t="s">
        <v>376</v>
      </c>
      <c r="AO939" s="46" t="s">
        <v>658</v>
      </c>
      <c r="AP939" s="46"/>
      <c r="AQ939" s="46">
        <v>2</v>
      </c>
      <c r="AR939" s="46"/>
      <c r="AS939" s="46"/>
      <c r="AT939" s="46"/>
      <c r="AU939" s="46" t="s">
        <v>376</v>
      </c>
      <c r="AV939" s="46"/>
      <c r="AW939" s="46" t="s">
        <v>30</v>
      </c>
      <c r="AX939" s="46"/>
      <c r="AY939" s="46" t="s">
        <v>30</v>
      </c>
      <c r="AZ939" s="46"/>
      <c r="BA939" s="47"/>
      <c r="BB939" s="51"/>
      <c r="BC939" s="46"/>
      <c r="BD939" s="46"/>
      <c r="BE939" s="46"/>
      <c r="BF939" s="46">
        <v>1</v>
      </c>
      <c r="BG939" s="46">
        <v>1</v>
      </c>
      <c r="BH939" s="46">
        <v>2</v>
      </c>
      <c r="BI939" s="46" t="s">
        <v>804</v>
      </c>
      <c r="BJ939" s="46" t="s">
        <v>803</v>
      </c>
      <c r="BK939" s="46">
        <v>1980</v>
      </c>
      <c r="BL939" s="46" t="str">
        <f>BK939&amp;BI939</f>
        <v>1980Everton</v>
      </c>
      <c r="BM939" s="52" t="str">
        <f>IF(AD939="Home",BI939,IF(AD939="Away",BJ939,Q939))</f>
        <v>Birmingham</v>
      </c>
      <c r="BN939" s="46"/>
      <c r="BO939" s="46"/>
      <c r="BP939" s="46"/>
      <c r="BQ939" s="46"/>
      <c r="BR939" s="46"/>
      <c r="BS939" s="46"/>
      <c r="BT939" s="46"/>
      <c r="BU939" s="46"/>
      <c r="BV939" s="46" t="s">
        <v>376</v>
      </c>
      <c r="BW939" s="46" t="s">
        <v>376</v>
      </c>
      <c r="BX939" s="46"/>
      <c r="BZ939" s="53"/>
      <c r="CA939" s="53"/>
      <c r="CB939" s="93" t="str">
        <f>IF(OR(C939="",A939="",B939=""),"",TEXT(C939,"0000")&amp;TEXT(A939,"00")&amp;TEXT(B939,"00"))</f>
        <v>19800412</v>
      </c>
    </row>
    <row r="940" spans="1:80" s="52" customFormat="1" ht="12.95" customHeight="1" x14ac:dyDescent="0.2">
      <c r="A940" s="46">
        <v>4</v>
      </c>
      <c r="B940" s="46">
        <v>16</v>
      </c>
      <c r="C940" s="46">
        <v>1980</v>
      </c>
      <c r="D940" s="46" t="s">
        <v>658</v>
      </c>
      <c r="E940" s="46" t="s">
        <v>545</v>
      </c>
      <c r="F940" s="47" t="s">
        <v>1010</v>
      </c>
      <c r="G940" s="46"/>
      <c r="H940" s="47" t="s">
        <v>1011</v>
      </c>
      <c r="I940" s="47" t="s">
        <v>1023</v>
      </c>
      <c r="J940" s="48">
        <v>29327</v>
      </c>
      <c r="K940" s="46" t="s">
        <v>803</v>
      </c>
      <c r="L940" s="46" t="s">
        <v>3</v>
      </c>
      <c r="M940" s="46" t="s">
        <v>804</v>
      </c>
      <c r="N940" s="49">
        <v>2</v>
      </c>
      <c r="O940" s="49">
        <v>1</v>
      </c>
      <c r="P940" s="47" t="s">
        <v>1240</v>
      </c>
      <c r="Q940" s="47" t="s">
        <v>1241</v>
      </c>
      <c r="R940" s="47" t="s">
        <v>376</v>
      </c>
      <c r="S940" s="46"/>
      <c r="T940" s="46"/>
      <c r="U940" s="46"/>
      <c r="V940" s="46"/>
      <c r="W940" s="46"/>
      <c r="X940" s="46"/>
      <c r="Y940" s="46"/>
      <c r="Z940" s="46"/>
      <c r="AA940" s="46"/>
      <c r="AB940" s="46"/>
      <c r="AC940" s="46"/>
      <c r="AD940" s="46"/>
      <c r="AE940" s="50">
        <f>IF(L940="W",1,0)</f>
        <v>1</v>
      </c>
      <c r="AF940" s="50">
        <f>IF(L940="T",1,0)</f>
        <v>0</v>
      </c>
      <c r="AG940" s="50">
        <f>IF(L940="L",1,0)</f>
        <v>0</v>
      </c>
      <c r="AH940" s="46" t="s">
        <v>1017</v>
      </c>
      <c r="AI940" s="46" t="s">
        <v>1018</v>
      </c>
      <c r="AJ940" s="46" t="s">
        <v>376</v>
      </c>
      <c r="AK940" s="46" t="s">
        <v>658</v>
      </c>
      <c r="AL940" s="46" t="s">
        <v>588</v>
      </c>
      <c r="AM940" s="46" t="s">
        <v>1175</v>
      </c>
      <c r="AN940" s="46" t="s">
        <v>376</v>
      </c>
      <c r="AO940" s="46" t="s">
        <v>658</v>
      </c>
      <c r="AP940" s="46"/>
      <c r="AQ940" s="46">
        <v>2</v>
      </c>
      <c r="AR940" s="46"/>
      <c r="AS940" s="46"/>
      <c r="AT940" s="46"/>
      <c r="AU940" s="46" t="s">
        <v>376</v>
      </c>
      <c r="AV940" s="46"/>
      <c r="AW940" s="46" t="s">
        <v>30</v>
      </c>
      <c r="AX940" s="46"/>
      <c r="AY940" s="46" t="s">
        <v>30</v>
      </c>
      <c r="AZ940" s="46"/>
      <c r="BA940" s="47"/>
      <c r="BB940" s="51"/>
      <c r="BC940" s="46"/>
      <c r="BD940" s="46"/>
      <c r="BE940" s="46"/>
      <c r="BF940" s="46">
        <v>1</v>
      </c>
      <c r="BG940" s="46">
        <v>2</v>
      </c>
      <c r="BH940" s="46">
        <v>1</v>
      </c>
      <c r="BI940" s="46" t="s">
        <v>803</v>
      </c>
      <c r="BJ940" s="46" t="s">
        <v>804</v>
      </c>
      <c r="BK940" s="46">
        <v>1980</v>
      </c>
      <c r="BL940" s="46" t="str">
        <f>BK940&amp;BI940</f>
        <v>1980West Ham United</v>
      </c>
      <c r="BM940" s="52" t="str">
        <f>IF(AD940="Home",BI940,IF(AD940="Away",BJ940,Q940))</f>
        <v>Leeds</v>
      </c>
      <c r="BN940" s="46"/>
      <c r="BO940" s="46"/>
      <c r="BP940" s="46"/>
      <c r="BQ940" s="46"/>
      <c r="BR940" s="46"/>
      <c r="BS940" s="46"/>
      <c r="BT940" s="46"/>
      <c r="BU940" s="46"/>
      <c r="BV940" s="46" t="s">
        <v>376</v>
      </c>
      <c r="BW940" s="46" t="s">
        <v>376</v>
      </c>
      <c r="BX940" s="46"/>
      <c r="BZ940" s="53"/>
      <c r="CA940" s="53"/>
      <c r="CB940" s="93" t="str">
        <f>IF(OR(C940="",A940="",B940=""),"",TEXT(C940,"0000")&amp;TEXT(A940,"00")&amp;TEXT(B940,"00"))</f>
        <v>19800416</v>
      </c>
    </row>
    <row r="941" spans="1:80" s="52" customFormat="1" ht="12.95" customHeight="1" x14ac:dyDescent="0.2">
      <c r="A941" s="46">
        <v>4</v>
      </c>
      <c r="B941" s="46">
        <v>16</v>
      </c>
      <c r="C941" s="46">
        <v>1980</v>
      </c>
      <c r="D941" s="46" t="s">
        <v>658</v>
      </c>
      <c r="E941" s="46" t="s">
        <v>545</v>
      </c>
      <c r="F941" s="47" t="s">
        <v>1010</v>
      </c>
      <c r="G941" s="46"/>
      <c r="H941" s="47" t="s">
        <v>1011</v>
      </c>
      <c r="I941" s="47" t="s">
        <v>1023</v>
      </c>
      <c r="J941" s="48">
        <v>29327</v>
      </c>
      <c r="K941" s="46" t="s">
        <v>804</v>
      </c>
      <c r="L941" s="46" t="s">
        <v>4</v>
      </c>
      <c r="M941" s="46" t="s">
        <v>803</v>
      </c>
      <c r="N941" s="49">
        <v>1</v>
      </c>
      <c r="O941" s="49">
        <v>2</v>
      </c>
      <c r="P941" s="47" t="s">
        <v>1240</v>
      </c>
      <c r="Q941" s="47" t="s">
        <v>1241</v>
      </c>
      <c r="R941" s="47" t="s">
        <v>376</v>
      </c>
      <c r="S941" s="46"/>
      <c r="T941" s="46"/>
      <c r="U941" s="46"/>
      <c r="V941" s="46"/>
      <c r="W941" s="46"/>
      <c r="X941" s="46"/>
      <c r="Y941" s="46"/>
      <c r="Z941" s="46"/>
      <c r="AA941" s="46"/>
      <c r="AB941" s="46"/>
      <c r="AC941" s="46"/>
      <c r="AD941" s="46"/>
      <c r="AE941" s="50">
        <f>IF(L941="W",1,0)</f>
        <v>0</v>
      </c>
      <c r="AF941" s="50">
        <f>IF(L941="T",1,0)</f>
        <v>0</v>
      </c>
      <c r="AG941" s="50">
        <f>IF(L941="L",1,0)</f>
        <v>1</v>
      </c>
      <c r="AH941" s="46" t="s">
        <v>588</v>
      </c>
      <c r="AI941" s="46" t="s">
        <v>1175</v>
      </c>
      <c r="AJ941" s="46" t="s">
        <v>376</v>
      </c>
      <c r="AK941" s="46" t="s">
        <v>658</v>
      </c>
      <c r="AL941" s="46" t="s">
        <v>1017</v>
      </c>
      <c r="AM941" s="46" t="s">
        <v>1018</v>
      </c>
      <c r="AN941" s="46" t="s">
        <v>376</v>
      </c>
      <c r="AO941" s="46" t="s">
        <v>658</v>
      </c>
      <c r="AP941" s="46"/>
      <c r="AQ941" s="46">
        <v>2</v>
      </c>
      <c r="AR941" s="46"/>
      <c r="AS941" s="46"/>
      <c r="AT941" s="46"/>
      <c r="AU941" s="46" t="s">
        <v>376</v>
      </c>
      <c r="AV941" s="46"/>
      <c r="AW941" s="46" t="s">
        <v>30</v>
      </c>
      <c r="AX941" s="46"/>
      <c r="AY941" s="46" t="s">
        <v>30</v>
      </c>
      <c r="AZ941" s="46"/>
      <c r="BA941" s="47"/>
      <c r="BB941" s="51"/>
      <c r="BC941" s="46"/>
      <c r="BD941" s="46"/>
      <c r="BE941" s="46"/>
      <c r="BF941" s="46">
        <v>1</v>
      </c>
      <c r="BG941" s="46">
        <v>1</v>
      </c>
      <c r="BH941" s="46">
        <v>2</v>
      </c>
      <c r="BI941" s="46" t="s">
        <v>804</v>
      </c>
      <c r="BJ941" s="46" t="s">
        <v>803</v>
      </c>
      <c r="BK941" s="46">
        <v>1980</v>
      </c>
      <c r="BL941" s="46" t="str">
        <f>BK941&amp;BI941</f>
        <v>1980Everton</v>
      </c>
      <c r="BM941" s="52" t="str">
        <f>IF(AD941="Home",BI941,IF(AD941="Away",BJ941,Q941))</f>
        <v>Leeds</v>
      </c>
      <c r="BN941" s="46"/>
      <c r="BO941" s="46"/>
      <c r="BP941" s="46"/>
      <c r="BQ941" s="46"/>
      <c r="BR941" s="46"/>
      <c r="BS941" s="46"/>
      <c r="BT941" s="46"/>
      <c r="BU941" s="46"/>
      <c r="BV941" s="46" t="s">
        <v>376</v>
      </c>
      <c r="BW941" s="46" t="s">
        <v>376</v>
      </c>
      <c r="BX941" s="46"/>
      <c r="BZ941" s="53"/>
      <c r="CA941" s="53"/>
      <c r="CB941" s="93" t="str">
        <f>IF(OR(C941="",A941="",B941=""),"",TEXT(C941,"0000")&amp;TEXT(A941,"00")&amp;TEXT(B941,"00"))</f>
        <v>19800416</v>
      </c>
    </row>
    <row r="942" spans="1:80" s="52" customFormat="1" ht="12.95" customHeight="1" x14ac:dyDescent="0.2">
      <c r="A942" s="46">
        <v>4</v>
      </c>
      <c r="B942" s="46">
        <v>16</v>
      </c>
      <c r="C942" s="46">
        <v>1980</v>
      </c>
      <c r="D942" s="46" t="s">
        <v>658</v>
      </c>
      <c r="E942" s="46" t="s">
        <v>545</v>
      </c>
      <c r="F942" s="47" t="s">
        <v>1010</v>
      </c>
      <c r="G942" s="46"/>
      <c r="H942" s="47" t="s">
        <v>1011</v>
      </c>
      <c r="I942" s="47" t="s">
        <v>1023</v>
      </c>
      <c r="J942" s="48">
        <v>29327</v>
      </c>
      <c r="K942" s="46" t="s">
        <v>588</v>
      </c>
      <c r="L942" s="46" t="s">
        <v>1014</v>
      </c>
      <c r="M942" s="46" t="s">
        <v>587</v>
      </c>
      <c r="N942" s="49">
        <v>1</v>
      </c>
      <c r="O942" s="49">
        <v>1</v>
      </c>
      <c r="P942" s="47" t="s">
        <v>1219</v>
      </c>
      <c r="Q942" s="47" t="s">
        <v>1111</v>
      </c>
      <c r="R942" s="47" t="s">
        <v>376</v>
      </c>
      <c r="S942" s="46"/>
      <c r="T942" s="46"/>
      <c r="U942" s="46"/>
      <c r="V942" s="46"/>
      <c r="W942" s="46"/>
      <c r="X942" s="46"/>
      <c r="Y942" s="46"/>
      <c r="Z942" s="46"/>
      <c r="AA942" s="46"/>
      <c r="AB942" s="46"/>
      <c r="AC942" s="46"/>
      <c r="AD942" s="46"/>
      <c r="AE942" s="50">
        <f>IF(L942="W",1,0)</f>
        <v>0</v>
      </c>
      <c r="AF942" s="50">
        <f>IF(L942="T",1,0)</f>
        <v>1</v>
      </c>
      <c r="AG942" s="50">
        <f>IF(L942="L",1,0)</f>
        <v>0</v>
      </c>
      <c r="AH942" s="46" t="s">
        <v>588</v>
      </c>
      <c r="AI942" s="46" t="s">
        <v>1175</v>
      </c>
      <c r="AJ942" s="46" t="s">
        <v>376</v>
      </c>
      <c r="AK942" s="46" t="s">
        <v>658</v>
      </c>
      <c r="AL942" s="46" t="s">
        <v>1017</v>
      </c>
      <c r="AM942" s="46" t="s">
        <v>1018</v>
      </c>
      <c r="AN942" s="46" t="s">
        <v>376</v>
      </c>
      <c r="AO942" s="46" t="s">
        <v>658</v>
      </c>
      <c r="AP942" s="46"/>
      <c r="AQ942" s="46">
        <v>2</v>
      </c>
      <c r="AR942" s="46"/>
      <c r="AS942" s="46"/>
      <c r="AT942" s="46"/>
      <c r="AU942" s="46" t="s">
        <v>376</v>
      </c>
      <c r="AV942" s="46"/>
      <c r="AW942" s="46" t="s">
        <v>30</v>
      </c>
      <c r="AX942" s="46"/>
      <c r="AY942" s="46" t="s">
        <v>30</v>
      </c>
      <c r="AZ942" s="46"/>
      <c r="BA942" s="47"/>
      <c r="BB942" s="51"/>
      <c r="BC942" s="46"/>
      <c r="BD942" s="46"/>
      <c r="BE942" s="46"/>
      <c r="BF942" s="46">
        <v>1</v>
      </c>
      <c r="BG942" s="46">
        <v>1</v>
      </c>
      <c r="BH942" s="46">
        <v>1</v>
      </c>
      <c r="BI942" s="46" t="s">
        <v>588</v>
      </c>
      <c r="BJ942" s="46" t="s">
        <v>587</v>
      </c>
      <c r="BK942" s="46">
        <v>1980</v>
      </c>
      <c r="BL942" s="46" t="str">
        <f>BK942&amp;BI942</f>
        <v>1980Liverpool</v>
      </c>
      <c r="BM942" s="52" t="str">
        <f>IF(AD942="Home",BI942,IF(AD942="Away",BJ942,Q942))</f>
        <v>Birmingham</v>
      </c>
      <c r="BN942" s="46"/>
      <c r="BO942" s="46"/>
      <c r="BP942" s="46"/>
      <c r="BQ942" s="46"/>
      <c r="BR942" s="46"/>
      <c r="BS942" s="46"/>
      <c r="BT942" s="46"/>
      <c r="BU942" s="46"/>
      <c r="BV942" s="46" t="s">
        <v>376</v>
      </c>
      <c r="BW942" s="46" t="s">
        <v>376</v>
      </c>
      <c r="BX942" s="46"/>
      <c r="BZ942" s="53"/>
      <c r="CA942" s="53"/>
      <c r="CB942" s="93" t="str">
        <f>IF(OR(C942="",A942="",B942=""),"",TEXT(C942,"0000")&amp;TEXT(A942,"00")&amp;TEXT(B942,"00"))</f>
        <v>19800416</v>
      </c>
    </row>
    <row r="943" spans="1:80" s="52" customFormat="1" ht="12.95" customHeight="1" x14ac:dyDescent="0.2">
      <c r="A943" s="46">
        <v>4</v>
      </c>
      <c r="B943" s="46">
        <v>16</v>
      </c>
      <c r="C943" s="46">
        <v>1980</v>
      </c>
      <c r="D943" s="46" t="s">
        <v>658</v>
      </c>
      <c r="E943" s="46" t="s">
        <v>545</v>
      </c>
      <c r="F943" s="47" t="s">
        <v>1010</v>
      </c>
      <c r="G943" s="46"/>
      <c r="H943" s="47" t="s">
        <v>1011</v>
      </c>
      <c r="I943" s="47" t="s">
        <v>1023</v>
      </c>
      <c r="J943" s="48">
        <v>29327</v>
      </c>
      <c r="K943" s="46" t="s">
        <v>587</v>
      </c>
      <c r="L943" s="46" t="s">
        <v>1014</v>
      </c>
      <c r="M943" s="46" t="s">
        <v>588</v>
      </c>
      <c r="N943" s="49">
        <v>1</v>
      </c>
      <c r="O943" s="49">
        <v>1</v>
      </c>
      <c r="P943" s="47" t="s">
        <v>1219</v>
      </c>
      <c r="Q943" s="47" t="s">
        <v>1111</v>
      </c>
      <c r="R943" s="47" t="s">
        <v>376</v>
      </c>
      <c r="S943" s="46"/>
      <c r="T943" s="46"/>
      <c r="U943" s="46"/>
      <c r="V943" s="46"/>
      <c r="W943" s="46"/>
      <c r="X943" s="46"/>
      <c r="Y943" s="46"/>
      <c r="Z943" s="46"/>
      <c r="AA943" s="46"/>
      <c r="AB943" s="46"/>
      <c r="AC943" s="46"/>
      <c r="AD943" s="46"/>
      <c r="AE943" s="50">
        <f>IF(L943="W",1,0)</f>
        <v>0</v>
      </c>
      <c r="AF943" s="50">
        <f>IF(L943="T",1,0)</f>
        <v>1</v>
      </c>
      <c r="AG943" s="50">
        <f>IF(L943="L",1,0)</f>
        <v>0</v>
      </c>
      <c r="AH943" s="46" t="s">
        <v>1017</v>
      </c>
      <c r="AI943" s="46" t="s">
        <v>1018</v>
      </c>
      <c r="AJ943" s="46" t="s">
        <v>376</v>
      </c>
      <c r="AK943" s="46" t="s">
        <v>658</v>
      </c>
      <c r="AL943" s="46" t="s">
        <v>588</v>
      </c>
      <c r="AM943" s="46" t="s">
        <v>1175</v>
      </c>
      <c r="AN943" s="46" t="s">
        <v>376</v>
      </c>
      <c r="AO943" s="46" t="s">
        <v>658</v>
      </c>
      <c r="AP943" s="46"/>
      <c r="AQ943" s="46">
        <v>2</v>
      </c>
      <c r="AR943" s="46"/>
      <c r="AS943" s="46"/>
      <c r="AT943" s="46"/>
      <c r="AU943" s="46" t="s">
        <v>376</v>
      </c>
      <c r="AV943" s="46"/>
      <c r="AW943" s="46" t="s">
        <v>30</v>
      </c>
      <c r="AX943" s="46"/>
      <c r="AY943" s="46" t="s">
        <v>30</v>
      </c>
      <c r="AZ943" s="46"/>
      <c r="BA943" s="47"/>
      <c r="BB943" s="51"/>
      <c r="BC943" s="46"/>
      <c r="BD943" s="46"/>
      <c r="BE943" s="46"/>
      <c r="BF943" s="46">
        <v>1</v>
      </c>
      <c r="BG943" s="46">
        <v>1</v>
      </c>
      <c r="BH943" s="46">
        <v>1</v>
      </c>
      <c r="BI943" s="46" t="s">
        <v>587</v>
      </c>
      <c r="BJ943" s="46" t="s">
        <v>588</v>
      </c>
      <c r="BK943" s="46">
        <v>1980</v>
      </c>
      <c r="BL943" s="46" t="str">
        <f>BK943&amp;BI943</f>
        <v>1980Arsenal</v>
      </c>
      <c r="BM943" s="52" t="str">
        <f>IF(AD943="Home",BI943,IF(AD943="Away",BJ943,Q943))</f>
        <v>Birmingham</v>
      </c>
      <c r="BN943" s="46"/>
      <c r="BO943" s="46"/>
      <c r="BP943" s="46"/>
      <c r="BQ943" s="46"/>
      <c r="BR943" s="46"/>
      <c r="BS943" s="46"/>
      <c r="BT943" s="46"/>
      <c r="BU943" s="46"/>
      <c r="BV943" s="46" t="s">
        <v>376</v>
      </c>
      <c r="BW943" s="46" t="s">
        <v>376</v>
      </c>
      <c r="BX943" s="46"/>
      <c r="BZ943" s="53"/>
      <c r="CA943" s="53"/>
      <c r="CB943" s="93" t="str">
        <f>IF(OR(C943="",A943="",B943=""),"",TEXT(C943,"0000")&amp;TEXT(A943,"00")&amp;TEXT(B943,"00"))</f>
        <v>19800416</v>
      </c>
    </row>
    <row r="944" spans="1:80" s="52" customFormat="1" ht="12.95" customHeight="1" x14ac:dyDescent="0.2">
      <c r="A944" s="46">
        <v>4</v>
      </c>
      <c r="B944" s="46">
        <v>28</v>
      </c>
      <c r="C944" s="46">
        <v>1980</v>
      </c>
      <c r="D944" s="46" t="s">
        <v>658</v>
      </c>
      <c r="E944" s="46" t="s">
        <v>545</v>
      </c>
      <c r="F944" s="47" t="s">
        <v>1010</v>
      </c>
      <c r="G944" s="46"/>
      <c r="H944" s="47" t="s">
        <v>1011</v>
      </c>
      <c r="I944" s="47" t="s">
        <v>1170</v>
      </c>
      <c r="J944" s="48">
        <v>29339</v>
      </c>
      <c r="K944" s="46" t="s">
        <v>588</v>
      </c>
      <c r="L944" s="46" t="s">
        <v>1014</v>
      </c>
      <c r="M944" s="46" t="s">
        <v>587</v>
      </c>
      <c r="N944" s="49">
        <v>1</v>
      </c>
      <c r="O944" s="49">
        <v>1</v>
      </c>
      <c r="P944" s="47" t="s">
        <v>1219</v>
      </c>
      <c r="Q944" s="47" t="s">
        <v>1111</v>
      </c>
      <c r="R944" s="47" t="s">
        <v>376</v>
      </c>
      <c r="S944" s="46"/>
      <c r="T944" s="46"/>
      <c r="U944" s="46"/>
      <c r="V944" s="46"/>
      <c r="W944" s="46"/>
      <c r="X944" s="46"/>
      <c r="Y944" s="46"/>
      <c r="Z944" s="46"/>
      <c r="AA944" s="46"/>
      <c r="AB944" s="46"/>
      <c r="AC944" s="46"/>
      <c r="AD944" s="46"/>
      <c r="AE944" s="50">
        <f>IF(L944="W",1,0)</f>
        <v>0</v>
      </c>
      <c r="AF944" s="50">
        <f>IF(L944="T",1,0)</f>
        <v>1</v>
      </c>
      <c r="AG944" s="50">
        <f>IF(L944="L",1,0)</f>
        <v>0</v>
      </c>
      <c r="AH944" s="46" t="s">
        <v>588</v>
      </c>
      <c r="AI944" s="46" t="s">
        <v>1175</v>
      </c>
      <c r="AJ944" s="46" t="s">
        <v>376</v>
      </c>
      <c r="AK944" s="46" t="s">
        <v>658</v>
      </c>
      <c r="AL944" s="46" t="s">
        <v>1017</v>
      </c>
      <c r="AM944" s="46" t="s">
        <v>1018</v>
      </c>
      <c r="AN944" s="46" t="s">
        <v>376</v>
      </c>
      <c r="AO944" s="46" t="s">
        <v>658</v>
      </c>
      <c r="AP944" s="46"/>
      <c r="AQ944" s="46">
        <v>2</v>
      </c>
      <c r="AR944" s="46"/>
      <c r="AS944" s="46"/>
      <c r="AT944" s="46"/>
      <c r="AU944" s="46" t="s">
        <v>376</v>
      </c>
      <c r="AV944" s="46"/>
      <c r="AW944" s="46" t="s">
        <v>30</v>
      </c>
      <c r="AX944" s="46"/>
      <c r="AY944" s="46" t="s">
        <v>30</v>
      </c>
      <c r="AZ944" s="46"/>
      <c r="BA944" s="47"/>
      <c r="BB944" s="51"/>
      <c r="BC944" s="46"/>
      <c r="BD944" s="46"/>
      <c r="BE944" s="46"/>
      <c r="BF944" s="46">
        <v>1</v>
      </c>
      <c r="BG944" s="46">
        <v>1</v>
      </c>
      <c r="BH944" s="46">
        <v>1</v>
      </c>
      <c r="BI944" s="46" t="s">
        <v>588</v>
      </c>
      <c r="BJ944" s="46" t="s">
        <v>587</v>
      </c>
      <c r="BK944" s="46">
        <v>1980</v>
      </c>
      <c r="BL944" s="46" t="str">
        <f>BK944&amp;BI944</f>
        <v>1980Liverpool</v>
      </c>
      <c r="BM944" s="52" t="str">
        <f>IF(AD944="Home",BI944,IF(AD944="Away",BJ944,Q944))</f>
        <v>Birmingham</v>
      </c>
      <c r="BN944" s="46"/>
      <c r="BO944" s="46"/>
      <c r="BP944" s="46"/>
      <c r="BQ944" s="46"/>
      <c r="BR944" s="46"/>
      <c r="BS944" s="46"/>
      <c r="BT944" s="46"/>
      <c r="BU944" s="46"/>
      <c r="BV944" s="46" t="s">
        <v>376</v>
      </c>
      <c r="BW944" s="46" t="s">
        <v>376</v>
      </c>
      <c r="BX944" s="46"/>
      <c r="BZ944" s="53"/>
      <c r="CA944" s="53"/>
      <c r="CB944" s="93" t="str">
        <f>IF(OR(C944="",A944="",B944=""),"",TEXT(C944,"0000")&amp;TEXT(A944,"00")&amp;TEXT(B944,"00"))</f>
        <v>19800428</v>
      </c>
    </row>
    <row r="945" spans="1:80" s="52" customFormat="1" ht="12.95" customHeight="1" x14ac:dyDescent="0.2">
      <c r="A945" s="46">
        <v>4</v>
      </c>
      <c r="B945" s="46">
        <v>28</v>
      </c>
      <c r="C945" s="46">
        <v>1980</v>
      </c>
      <c r="D945" s="46" t="s">
        <v>658</v>
      </c>
      <c r="E945" s="46" t="s">
        <v>545</v>
      </c>
      <c r="F945" s="47" t="s">
        <v>1010</v>
      </c>
      <c r="G945" s="46"/>
      <c r="H945" s="47" t="s">
        <v>1011</v>
      </c>
      <c r="I945" s="47" t="s">
        <v>1170</v>
      </c>
      <c r="J945" s="48">
        <v>29339</v>
      </c>
      <c r="K945" s="46" t="s">
        <v>587</v>
      </c>
      <c r="L945" s="46" t="s">
        <v>1014</v>
      </c>
      <c r="M945" s="46" t="s">
        <v>588</v>
      </c>
      <c r="N945" s="49">
        <v>1</v>
      </c>
      <c r="O945" s="49">
        <v>1</v>
      </c>
      <c r="P945" s="47" t="s">
        <v>1219</v>
      </c>
      <c r="Q945" s="47" t="s">
        <v>1111</v>
      </c>
      <c r="R945" s="47" t="s">
        <v>376</v>
      </c>
      <c r="S945" s="46"/>
      <c r="T945" s="46"/>
      <c r="U945" s="46"/>
      <c r="V945" s="46"/>
      <c r="W945" s="46"/>
      <c r="X945" s="46"/>
      <c r="Y945" s="46"/>
      <c r="Z945" s="46"/>
      <c r="AA945" s="46"/>
      <c r="AB945" s="46"/>
      <c r="AC945" s="46"/>
      <c r="AD945" s="46"/>
      <c r="AE945" s="50">
        <f>IF(L945="W",1,0)</f>
        <v>0</v>
      </c>
      <c r="AF945" s="50">
        <f>IF(L945="T",1,0)</f>
        <v>1</v>
      </c>
      <c r="AG945" s="50">
        <f>IF(L945="L",1,0)</f>
        <v>0</v>
      </c>
      <c r="AH945" s="46" t="s">
        <v>1017</v>
      </c>
      <c r="AI945" s="46" t="s">
        <v>1018</v>
      </c>
      <c r="AJ945" s="46" t="s">
        <v>376</v>
      </c>
      <c r="AK945" s="46" t="s">
        <v>658</v>
      </c>
      <c r="AL945" s="46" t="s">
        <v>588</v>
      </c>
      <c r="AM945" s="46" t="s">
        <v>1175</v>
      </c>
      <c r="AN945" s="46" t="s">
        <v>376</v>
      </c>
      <c r="AO945" s="46" t="s">
        <v>658</v>
      </c>
      <c r="AP945" s="46"/>
      <c r="AQ945" s="46">
        <v>2</v>
      </c>
      <c r="AR945" s="46"/>
      <c r="AS945" s="46"/>
      <c r="AT945" s="46"/>
      <c r="AU945" s="46" t="s">
        <v>376</v>
      </c>
      <c r="AV945" s="46"/>
      <c r="AW945" s="46" t="s">
        <v>30</v>
      </c>
      <c r="AX945" s="46"/>
      <c r="AY945" s="46" t="s">
        <v>30</v>
      </c>
      <c r="AZ945" s="46"/>
      <c r="BA945" s="47"/>
      <c r="BB945" s="51"/>
      <c r="BC945" s="46"/>
      <c r="BD945" s="46"/>
      <c r="BE945" s="46"/>
      <c r="BF945" s="46">
        <v>1</v>
      </c>
      <c r="BG945" s="46">
        <v>1</v>
      </c>
      <c r="BH945" s="46">
        <v>1</v>
      </c>
      <c r="BI945" s="46" t="s">
        <v>587</v>
      </c>
      <c r="BJ945" s="46" t="s">
        <v>588</v>
      </c>
      <c r="BK945" s="46">
        <v>1980</v>
      </c>
      <c r="BL945" s="46" t="str">
        <f>BK945&amp;BI945</f>
        <v>1980Arsenal</v>
      </c>
      <c r="BM945" s="52" t="str">
        <f>IF(AD945="Home",BI945,IF(AD945="Away",BJ945,Q945))</f>
        <v>Birmingham</v>
      </c>
      <c r="BN945" s="46"/>
      <c r="BO945" s="46"/>
      <c r="BP945" s="46"/>
      <c r="BQ945" s="46"/>
      <c r="BR945" s="46"/>
      <c r="BS945" s="46"/>
      <c r="BT945" s="46"/>
      <c r="BU945" s="46"/>
      <c r="BV945" s="46" t="s">
        <v>376</v>
      </c>
      <c r="BW945" s="46" t="s">
        <v>376</v>
      </c>
      <c r="BX945" s="46"/>
      <c r="BZ945" s="53"/>
      <c r="CA945" s="53"/>
      <c r="CB945" s="93" t="str">
        <f>IF(OR(C945="",A945="",B945=""),"",TEXT(C945,"0000")&amp;TEXT(A945,"00")&amp;TEXT(B945,"00"))</f>
        <v>19800428</v>
      </c>
    </row>
    <row r="946" spans="1:80" s="52" customFormat="1" ht="12.95" customHeight="1" x14ac:dyDescent="0.2">
      <c r="A946" s="46">
        <v>5</v>
      </c>
      <c r="B946" s="46">
        <v>1</v>
      </c>
      <c r="C946" s="46">
        <v>1980</v>
      </c>
      <c r="D946" s="46" t="s">
        <v>658</v>
      </c>
      <c r="E946" s="46" t="s">
        <v>545</v>
      </c>
      <c r="F946" s="47" t="s">
        <v>1010</v>
      </c>
      <c r="G946" s="46"/>
      <c r="H946" s="47" t="s">
        <v>1011</v>
      </c>
      <c r="I946" s="47" t="s">
        <v>1374</v>
      </c>
      <c r="J946" s="48">
        <v>29342</v>
      </c>
      <c r="K946" s="46" t="s">
        <v>587</v>
      </c>
      <c r="L946" s="46" t="s">
        <v>3</v>
      </c>
      <c r="M946" s="46" t="s">
        <v>588</v>
      </c>
      <c r="N946" s="49">
        <v>1</v>
      </c>
      <c r="O946" s="49">
        <v>0</v>
      </c>
      <c r="P946" s="47" t="s">
        <v>1375</v>
      </c>
      <c r="Q946" s="47" t="s">
        <v>1376</v>
      </c>
      <c r="R946" s="47" t="s">
        <v>376</v>
      </c>
      <c r="S946" s="46"/>
      <c r="T946" s="46"/>
      <c r="U946" s="46"/>
      <c r="V946" s="46"/>
      <c r="W946" s="46"/>
      <c r="X946" s="46"/>
      <c r="Y946" s="46"/>
      <c r="Z946" s="46"/>
      <c r="AA946" s="46"/>
      <c r="AB946" s="46"/>
      <c r="AC946" s="46"/>
      <c r="AD946" s="46"/>
      <c r="AE946" s="50">
        <f>IF(L946="W",1,0)</f>
        <v>1</v>
      </c>
      <c r="AF946" s="50">
        <f>IF(L946="T",1,0)</f>
        <v>0</v>
      </c>
      <c r="AG946" s="50">
        <f>IF(L946="L",1,0)</f>
        <v>0</v>
      </c>
      <c r="AH946" s="46" t="s">
        <v>1017</v>
      </c>
      <c r="AI946" s="46" t="s">
        <v>1018</v>
      </c>
      <c r="AJ946" s="46" t="s">
        <v>376</v>
      </c>
      <c r="AK946" s="46" t="s">
        <v>658</v>
      </c>
      <c r="AL946" s="46" t="s">
        <v>588</v>
      </c>
      <c r="AM946" s="46" t="s">
        <v>1175</v>
      </c>
      <c r="AN946" s="46" t="s">
        <v>376</v>
      </c>
      <c r="AO946" s="46" t="s">
        <v>658</v>
      </c>
      <c r="AP946" s="46"/>
      <c r="AQ946" s="46">
        <v>2</v>
      </c>
      <c r="AR946" s="46"/>
      <c r="AS946" s="46"/>
      <c r="AT946" s="46"/>
      <c r="AU946" s="46" t="s">
        <v>376</v>
      </c>
      <c r="AV946" s="46"/>
      <c r="AW946" s="46" t="s">
        <v>30</v>
      </c>
      <c r="AX946" s="46"/>
      <c r="AY946" s="46" t="s">
        <v>30</v>
      </c>
      <c r="AZ946" s="46"/>
      <c r="BA946" s="47"/>
      <c r="BB946" s="51"/>
      <c r="BC946" s="46"/>
      <c r="BD946" s="46"/>
      <c r="BE946" s="46"/>
      <c r="BF946" s="46">
        <v>1</v>
      </c>
      <c r="BG946" s="46">
        <v>1</v>
      </c>
      <c r="BH946" s="46">
        <v>1</v>
      </c>
      <c r="BI946" s="46" t="s">
        <v>587</v>
      </c>
      <c r="BJ946" s="46" t="s">
        <v>588</v>
      </c>
      <c r="BK946" s="46">
        <v>1980</v>
      </c>
      <c r="BL946" s="46" t="str">
        <f>BK946&amp;BI946</f>
        <v>1980Arsenal</v>
      </c>
      <c r="BM946" s="52" t="str">
        <f>IF(AD946="Home",BI946,IF(AD946="Away",BJ946,Q946))</f>
        <v>Coventry</v>
      </c>
      <c r="BN946" s="46"/>
      <c r="BO946" s="46"/>
      <c r="BP946" s="46"/>
      <c r="BQ946" s="46"/>
      <c r="BR946" s="46"/>
      <c r="BS946" s="46"/>
      <c r="BT946" s="46"/>
      <c r="BU946" s="46"/>
      <c r="BV946" s="46" t="s">
        <v>376</v>
      </c>
      <c r="BW946" s="46" t="s">
        <v>376</v>
      </c>
      <c r="BX946" s="46"/>
      <c r="BZ946" s="53"/>
      <c r="CA946" s="53"/>
      <c r="CB946" s="93" t="str">
        <f>IF(OR(C946="",A946="",B946=""),"",TEXT(C946,"0000")&amp;TEXT(A946,"00")&amp;TEXT(B946,"00"))</f>
        <v>19800501</v>
      </c>
    </row>
    <row r="947" spans="1:80" s="52" customFormat="1" ht="12.95" customHeight="1" x14ac:dyDescent="0.2">
      <c r="A947" s="46">
        <v>5</v>
      </c>
      <c r="B947" s="46">
        <v>1</v>
      </c>
      <c r="C947" s="46">
        <v>1980</v>
      </c>
      <c r="D947" s="46" t="s">
        <v>658</v>
      </c>
      <c r="E947" s="46" t="s">
        <v>545</v>
      </c>
      <c r="F947" s="47" t="s">
        <v>1010</v>
      </c>
      <c r="G947" s="46"/>
      <c r="H947" s="47" t="s">
        <v>1011</v>
      </c>
      <c r="I947" s="47" t="s">
        <v>1374</v>
      </c>
      <c r="J947" s="48">
        <v>29342</v>
      </c>
      <c r="K947" s="46" t="s">
        <v>588</v>
      </c>
      <c r="L947" s="46" t="s">
        <v>4</v>
      </c>
      <c r="M947" s="46" t="s">
        <v>587</v>
      </c>
      <c r="N947" s="49">
        <v>0</v>
      </c>
      <c r="O947" s="49">
        <v>1</v>
      </c>
      <c r="P947" s="47" t="s">
        <v>1375</v>
      </c>
      <c r="Q947" s="47" t="s">
        <v>1376</v>
      </c>
      <c r="R947" s="47" t="s">
        <v>376</v>
      </c>
      <c r="S947" s="46"/>
      <c r="T947" s="46"/>
      <c r="U947" s="46"/>
      <c r="V947" s="46"/>
      <c r="W947" s="46"/>
      <c r="X947" s="46"/>
      <c r="Y947" s="46"/>
      <c r="Z947" s="46"/>
      <c r="AA947" s="46"/>
      <c r="AB947" s="46"/>
      <c r="AC947" s="46"/>
      <c r="AD947" s="46"/>
      <c r="AE947" s="50">
        <f>IF(L947="W",1,0)</f>
        <v>0</v>
      </c>
      <c r="AF947" s="50">
        <f>IF(L947="T",1,0)</f>
        <v>0</v>
      </c>
      <c r="AG947" s="50">
        <f>IF(L947="L",1,0)</f>
        <v>1</v>
      </c>
      <c r="AH947" s="46" t="s">
        <v>588</v>
      </c>
      <c r="AI947" s="46" t="s">
        <v>1175</v>
      </c>
      <c r="AJ947" s="46" t="s">
        <v>376</v>
      </c>
      <c r="AK947" s="46" t="s">
        <v>658</v>
      </c>
      <c r="AL947" s="46" t="s">
        <v>1017</v>
      </c>
      <c r="AM947" s="46" t="s">
        <v>1018</v>
      </c>
      <c r="AN947" s="46" t="s">
        <v>376</v>
      </c>
      <c r="AO947" s="46" t="s">
        <v>658</v>
      </c>
      <c r="AP947" s="46"/>
      <c r="AQ947" s="46">
        <v>2</v>
      </c>
      <c r="AR947" s="46"/>
      <c r="AS947" s="46"/>
      <c r="AT947" s="46"/>
      <c r="AU947" s="46" t="s">
        <v>376</v>
      </c>
      <c r="AV947" s="46"/>
      <c r="AW947" s="46" t="s">
        <v>30</v>
      </c>
      <c r="AX947" s="46"/>
      <c r="AY947" s="46" t="s">
        <v>30</v>
      </c>
      <c r="AZ947" s="46"/>
      <c r="BA947" s="47"/>
      <c r="BB947" s="51"/>
      <c r="BC947" s="46"/>
      <c r="BD947" s="46"/>
      <c r="BE947" s="46"/>
      <c r="BF947" s="46">
        <v>1</v>
      </c>
      <c r="BG947" s="46">
        <v>1</v>
      </c>
      <c r="BH947" s="46">
        <v>1</v>
      </c>
      <c r="BI947" s="46" t="s">
        <v>588</v>
      </c>
      <c r="BJ947" s="46" t="s">
        <v>587</v>
      </c>
      <c r="BK947" s="46">
        <v>1980</v>
      </c>
      <c r="BL947" s="46" t="str">
        <f>BK947&amp;BI947</f>
        <v>1980Liverpool</v>
      </c>
      <c r="BM947" s="52" t="str">
        <f>IF(AD947="Home",BI947,IF(AD947="Away",BJ947,Q947))</f>
        <v>Coventry</v>
      </c>
      <c r="BN947" s="46"/>
      <c r="BO947" s="46"/>
      <c r="BP947" s="46"/>
      <c r="BQ947" s="46"/>
      <c r="BR947" s="46"/>
      <c r="BS947" s="46"/>
      <c r="BT947" s="46"/>
      <c r="BU947" s="46"/>
      <c r="BV947" s="46" t="s">
        <v>376</v>
      </c>
      <c r="BW947" s="46" t="s">
        <v>376</v>
      </c>
      <c r="BX947" s="46"/>
      <c r="BZ947" s="53"/>
      <c r="CA947" s="53"/>
      <c r="CB947" s="93" t="str">
        <f>IF(OR(C947="",A947="",B947=""),"",TEXT(C947,"0000")&amp;TEXT(A947,"00")&amp;TEXT(B947,"00"))</f>
        <v>19800501</v>
      </c>
    </row>
    <row r="948" spans="1:80" s="52" customFormat="1" ht="12.95" customHeight="1" x14ac:dyDescent="0.2">
      <c r="A948" s="46">
        <v>5</v>
      </c>
      <c r="B948" s="46">
        <v>10</v>
      </c>
      <c r="C948" s="46">
        <v>1980</v>
      </c>
      <c r="D948" s="46" t="s">
        <v>658</v>
      </c>
      <c r="E948" s="46" t="s">
        <v>545</v>
      </c>
      <c r="F948" s="47" t="s">
        <v>1010</v>
      </c>
      <c r="G948" s="46"/>
      <c r="H948" s="47" t="s">
        <v>1025</v>
      </c>
      <c r="I948" s="47"/>
      <c r="J948" s="48">
        <v>29351</v>
      </c>
      <c r="K948" s="46" t="s">
        <v>803</v>
      </c>
      <c r="L948" s="46" t="s">
        <v>3</v>
      </c>
      <c r="M948" s="46" t="s">
        <v>587</v>
      </c>
      <c r="N948" s="49">
        <v>1</v>
      </c>
      <c r="O948" s="49">
        <v>0</v>
      </c>
      <c r="P948" s="47" t="s">
        <v>1268</v>
      </c>
      <c r="Q948" s="47" t="s">
        <v>1017</v>
      </c>
      <c r="R948" s="47" t="s">
        <v>376</v>
      </c>
      <c r="S948" s="46"/>
      <c r="T948" s="46"/>
      <c r="U948" s="46"/>
      <c r="V948" s="46"/>
      <c r="W948" s="46"/>
      <c r="X948" s="46"/>
      <c r="Y948" s="46"/>
      <c r="Z948" s="46"/>
      <c r="AA948" s="46"/>
      <c r="AB948" s="46"/>
      <c r="AC948" s="46"/>
      <c r="AD948" s="46"/>
      <c r="AE948" s="50">
        <f>IF(L948="W",1,0)</f>
        <v>1</v>
      </c>
      <c r="AF948" s="50">
        <f>IF(L948="T",1,0)</f>
        <v>0</v>
      </c>
      <c r="AG948" s="50">
        <f>IF(L948="L",1,0)</f>
        <v>0</v>
      </c>
      <c r="AH948" s="46" t="s">
        <v>1017</v>
      </c>
      <c r="AI948" s="46" t="s">
        <v>1018</v>
      </c>
      <c r="AJ948" s="46" t="s">
        <v>376</v>
      </c>
      <c r="AK948" s="46" t="s">
        <v>658</v>
      </c>
      <c r="AL948" s="46" t="s">
        <v>1017</v>
      </c>
      <c r="AM948" s="46" t="s">
        <v>1018</v>
      </c>
      <c r="AN948" s="46" t="s">
        <v>376</v>
      </c>
      <c r="AO948" s="46" t="s">
        <v>658</v>
      </c>
      <c r="AP948" s="46"/>
      <c r="AQ948" s="46">
        <v>1</v>
      </c>
      <c r="AR948" s="46"/>
      <c r="AS948" s="46"/>
      <c r="AT948" s="46"/>
      <c r="AU948" s="46" t="s">
        <v>376</v>
      </c>
      <c r="AV948" s="46"/>
      <c r="AW948" s="46" t="s">
        <v>30</v>
      </c>
      <c r="AX948" s="46"/>
      <c r="AY948" s="46" t="s">
        <v>30</v>
      </c>
      <c r="AZ948" s="46"/>
      <c r="BA948" s="47"/>
      <c r="BB948" s="51" t="s">
        <v>30</v>
      </c>
      <c r="BC948" s="46" t="s">
        <v>30</v>
      </c>
      <c r="BD948" s="46"/>
      <c r="BE948" s="46"/>
      <c r="BF948" s="46">
        <v>1</v>
      </c>
      <c r="BG948" s="46">
        <v>2</v>
      </c>
      <c r="BH948" s="46">
        <v>1</v>
      </c>
      <c r="BI948" s="46" t="s">
        <v>803</v>
      </c>
      <c r="BJ948" s="46" t="s">
        <v>587</v>
      </c>
      <c r="BK948" s="46">
        <v>1980</v>
      </c>
      <c r="BL948" s="46" t="str">
        <f>BK948&amp;BI948</f>
        <v>1980West Ham United</v>
      </c>
      <c r="BM948" s="52" t="str">
        <f>IF(AD948="Home",BI948,IF(AD948="Away",BJ948,Q948))</f>
        <v>London</v>
      </c>
      <c r="BN948" s="46"/>
      <c r="BO948" s="46"/>
      <c r="BP948" s="46"/>
      <c r="BQ948" s="46"/>
      <c r="BR948" s="46"/>
      <c r="BS948" s="46"/>
      <c r="BT948" s="46"/>
      <c r="BU948" s="46"/>
      <c r="BV948" s="46" t="s">
        <v>376</v>
      </c>
      <c r="BW948" s="46" t="s">
        <v>376</v>
      </c>
      <c r="BX948" s="46"/>
      <c r="BZ948" s="53"/>
      <c r="CA948" s="53"/>
      <c r="CB948" s="93" t="str">
        <f>IF(OR(C948="",A948="",B948=""),"",TEXT(C948,"0000")&amp;TEXT(A948,"00")&amp;TEXT(B948,"00"))</f>
        <v>19800510</v>
      </c>
    </row>
    <row r="949" spans="1:80" s="52" customFormat="1" ht="12.95" customHeight="1" x14ac:dyDescent="0.2">
      <c r="A949" s="46">
        <v>5</v>
      </c>
      <c r="B949" s="46">
        <v>10</v>
      </c>
      <c r="C949" s="46">
        <v>1980</v>
      </c>
      <c r="D949" s="46" t="s">
        <v>658</v>
      </c>
      <c r="E949" s="46" t="s">
        <v>545</v>
      </c>
      <c r="F949" s="47" t="s">
        <v>1010</v>
      </c>
      <c r="G949" s="46"/>
      <c r="H949" s="47" t="s">
        <v>1025</v>
      </c>
      <c r="I949" s="47"/>
      <c r="J949" s="48">
        <v>29351</v>
      </c>
      <c r="K949" s="46" t="s">
        <v>587</v>
      </c>
      <c r="L949" s="46" t="s">
        <v>4</v>
      </c>
      <c r="M949" s="46" t="s">
        <v>803</v>
      </c>
      <c r="N949" s="49">
        <v>0</v>
      </c>
      <c r="O949" s="49">
        <v>1</v>
      </c>
      <c r="P949" s="47" t="s">
        <v>1268</v>
      </c>
      <c r="Q949" s="47" t="s">
        <v>1017</v>
      </c>
      <c r="R949" s="47" t="s">
        <v>376</v>
      </c>
      <c r="S949" s="46"/>
      <c r="T949" s="46"/>
      <c r="U949" s="46"/>
      <c r="V949" s="46"/>
      <c r="W949" s="46"/>
      <c r="X949" s="46"/>
      <c r="Y949" s="46"/>
      <c r="Z949" s="46"/>
      <c r="AA949" s="46"/>
      <c r="AB949" s="46"/>
      <c r="AC949" s="46"/>
      <c r="AD949" s="46"/>
      <c r="AE949" s="50">
        <f>IF(L949="W",1,0)</f>
        <v>0</v>
      </c>
      <c r="AF949" s="50">
        <f>IF(L949="T",1,0)</f>
        <v>0</v>
      </c>
      <c r="AG949" s="50">
        <f>IF(L949="L",1,0)</f>
        <v>1</v>
      </c>
      <c r="AH949" s="46" t="s">
        <v>1017</v>
      </c>
      <c r="AI949" s="46" t="s">
        <v>1018</v>
      </c>
      <c r="AJ949" s="46" t="s">
        <v>376</v>
      </c>
      <c r="AK949" s="46" t="s">
        <v>658</v>
      </c>
      <c r="AL949" s="46" t="s">
        <v>1017</v>
      </c>
      <c r="AM949" s="46" t="s">
        <v>1018</v>
      </c>
      <c r="AN949" s="46" t="s">
        <v>376</v>
      </c>
      <c r="AO949" s="46" t="s">
        <v>658</v>
      </c>
      <c r="AP949" s="46"/>
      <c r="AQ949" s="46">
        <v>1</v>
      </c>
      <c r="AR949" s="46"/>
      <c r="AS949" s="46"/>
      <c r="AT949" s="46"/>
      <c r="AU949" s="46" t="s">
        <v>376</v>
      </c>
      <c r="AV949" s="46"/>
      <c r="AW949" s="46" t="s">
        <v>30</v>
      </c>
      <c r="AX949" s="46"/>
      <c r="AY949" s="46" t="s">
        <v>30</v>
      </c>
      <c r="AZ949" s="46"/>
      <c r="BA949" s="47"/>
      <c r="BB949" s="51"/>
      <c r="BC949" s="46" t="s">
        <v>30</v>
      </c>
      <c r="BD949" s="46"/>
      <c r="BE949" s="46"/>
      <c r="BF949" s="46">
        <v>1</v>
      </c>
      <c r="BG949" s="46">
        <v>1</v>
      </c>
      <c r="BH949" s="46">
        <v>2</v>
      </c>
      <c r="BI949" s="46" t="s">
        <v>587</v>
      </c>
      <c r="BJ949" s="46" t="s">
        <v>803</v>
      </c>
      <c r="BK949" s="46">
        <v>1980</v>
      </c>
      <c r="BL949" s="46" t="str">
        <f>BK949&amp;BI949</f>
        <v>1980Arsenal</v>
      </c>
      <c r="BM949" s="52" t="str">
        <f>IF(AD949="Home",BI949,IF(AD949="Away",BJ949,Q949))</f>
        <v>London</v>
      </c>
      <c r="BN949" s="46"/>
      <c r="BO949" s="46"/>
      <c r="BP949" s="46"/>
      <c r="BQ949" s="46"/>
      <c r="BR949" s="46"/>
      <c r="BS949" s="46"/>
      <c r="BT949" s="46"/>
      <c r="BU949" s="46"/>
      <c r="BV949" s="46" t="s">
        <v>376</v>
      </c>
      <c r="BW949" s="46" t="s">
        <v>376</v>
      </c>
      <c r="BX949" s="46"/>
      <c r="BZ949" s="53"/>
      <c r="CA949" s="53"/>
      <c r="CB949" s="93" t="str">
        <f>IF(OR(C949="",A949="",B949=""),"",TEXT(C949,"0000")&amp;TEXT(A949,"00")&amp;TEXT(B949,"00"))</f>
        <v>19800510</v>
      </c>
    </row>
    <row r="950" spans="1:80" s="52" customFormat="1" ht="12.95" customHeight="1" x14ac:dyDescent="0.2">
      <c r="A950" s="46">
        <v>1</v>
      </c>
      <c r="B950" s="46">
        <v>14</v>
      </c>
      <c r="C950" s="46">
        <v>1981</v>
      </c>
      <c r="D950" s="46" t="s">
        <v>658</v>
      </c>
      <c r="E950" s="46" t="s">
        <v>543</v>
      </c>
      <c r="F950" s="54" t="s">
        <v>1327</v>
      </c>
      <c r="G950" s="46"/>
      <c r="H950" s="54" t="s">
        <v>1011</v>
      </c>
      <c r="I950" s="54">
        <v>1</v>
      </c>
      <c r="J950" s="55">
        <v>29600</v>
      </c>
      <c r="K950" s="46" t="s">
        <v>1377</v>
      </c>
      <c r="L950" s="46" t="s">
        <v>3</v>
      </c>
      <c r="M950" s="46" t="s">
        <v>803</v>
      </c>
      <c r="N950" s="49">
        <v>3</v>
      </c>
      <c r="O950" s="49">
        <v>2</v>
      </c>
      <c r="P950" s="54" t="s">
        <v>1375</v>
      </c>
      <c r="Q950" s="54" t="s">
        <v>1376</v>
      </c>
      <c r="R950" s="54" t="s">
        <v>376</v>
      </c>
      <c r="S950" s="46"/>
      <c r="T950" s="46"/>
      <c r="U950" s="46"/>
      <c r="V950" s="46"/>
      <c r="W950" s="46"/>
      <c r="X950" s="46"/>
      <c r="Y950" s="46"/>
      <c r="Z950" s="46"/>
      <c r="AA950" s="46"/>
      <c r="AB950" s="46"/>
      <c r="AC950" s="46"/>
      <c r="AD950" s="46" t="s">
        <v>1033</v>
      </c>
      <c r="AE950" s="50">
        <f>IF(L950="W",1,0)</f>
        <v>1</v>
      </c>
      <c r="AF950" s="50">
        <f>IF(L950="T",1,0)</f>
        <v>0</v>
      </c>
      <c r="AG950" s="50">
        <f>IF(L950="L",1,0)</f>
        <v>0</v>
      </c>
      <c r="AH950" s="46" t="s">
        <v>1376</v>
      </c>
      <c r="AI950" s="46" t="s">
        <v>1126</v>
      </c>
      <c r="AJ950" s="46" t="s">
        <v>376</v>
      </c>
      <c r="AK950" s="46" t="s">
        <v>658</v>
      </c>
      <c r="AL950" s="46" t="s">
        <v>1017</v>
      </c>
      <c r="AM950" s="46" t="s">
        <v>1018</v>
      </c>
      <c r="AN950" s="46" t="s">
        <v>376</v>
      </c>
      <c r="AO950" s="46" t="s">
        <v>658</v>
      </c>
      <c r="AP950" s="46"/>
      <c r="AQ950" s="46">
        <v>2</v>
      </c>
      <c r="AR950" s="46"/>
      <c r="AS950" s="46"/>
      <c r="AT950" s="46"/>
      <c r="AU950" s="46" t="s">
        <v>376</v>
      </c>
      <c r="AV950" s="46"/>
      <c r="AW950" s="46" t="s">
        <v>30</v>
      </c>
      <c r="AX950" s="46"/>
      <c r="AY950" s="46"/>
      <c r="AZ950" s="46" t="s">
        <v>30</v>
      </c>
      <c r="BA950" s="54"/>
      <c r="BB950" s="51"/>
      <c r="BC950" s="46"/>
      <c r="BD950" s="46"/>
      <c r="BE950" s="46"/>
      <c r="BF950" s="46">
        <v>1</v>
      </c>
      <c r="BG950" s="46">
        <v>1</v>
      </c>
      <c r="BH950" s="46">
        <v>2</v>
      </c>
      <c r="BI950" s="46" t="s">
        <v>1377</v>
      </c>
      <c r="BJ950" s="46" t="s">
        <v>803</v>
      </c>
      <c r="BK950" s="46">
        <v>1981</v>
      </c>
      <c r="BL950" s="46" t="str">
        <f>BK950&amp;BI950</f>
        <v>1981Coventry City</v>
      </c>
      <c r="BM950" s="52" t="str">
        <f>IF(AD950="Home",BI950,IF(AD950="Away",BJ950,Q950))</f>
        <v>Coventry City</v>
      </c>
      <c r="BN950" s="46"/>
      <c r="BO950" s="46"/>
      <c r="BP950" s="46"/>
      <c r="BQ950" s="46"/>
      <c r="BR950" s="46"/>
      <c r="BS950" s="46"/>
      <c r="BT950" s="46"/>
      <c r="BU950" s="46"/>
      <c r="BV950" s="46" t="s">
        <v>376</v>
      </c>
      <c r="BW950" s="46" t="s">
        <v>376</v>
      </c>
      <c r="BX950" s="46"/>
      <c r="BZ950" s="53"/>
      <c r="CA950" s="53"/>
      <c r="CB950" s="93" t="str">
        <f>IF(OR(C950="",A950="",B950=""),"",TEXT(C950,"0000")&amp;TEXT(A950,"00")&amp;TEXT(B950,"00"))</f>
        <v>19810114</v>
      </c>
    </row>
    <row r="951" spans="1:80" s="52" customFormat="1" ht="12.95" customHeight="1" x14ac:dyDescent="0.2">
      <c r="A951" s="46">
        <v>1</v>
      </c>
      <c r="B951" s="46">
        <v>14</v>
      </c>
      <c r="C951" s="46">
        <v>1981</v>
      </c>
      <c r="D951" s="46" t="s">
        <v>658</v>
      </c>
      <c r="E951" s="46" t="s">
        <v>543</v>
      </c>
      <c r="F951" s="54" t="s">
        <v>1327</v>
      </c>
      <c r="G951" s="46"/>
      <c r="H951" s="54" t="s">
        <v>1011</v>
      </c>
      <c r="I951" s="54">
        <v>1</v>
      </c>
      <c r="J951" s="55">
        <v>29600</v>
      </c>
      <c r="K951" s="46" t="s">
        <v>803</v>
      </c>
      <c r="L951" s="46" t="s">
        <v>4</v>
      </c>
      <c r="M951" s="46" t="s">
        <v>1377</v>
      </c>
      <c r="N951" s="49">
        <v>2</v>
      </c>
      <c r="O951" s="49">
        <v>3</v>
      </c>
      <c r="P951" s="54" t="s">
        <v>1375</v>
      </c>
      <c r="Q951" s="54" t="s">
        <v>1376</v>
      </c>
      <c r="R951" s="54" t="s">
        <v>376</v>
      </c>
      <c r="S951" s="46"/>
      <c r="T951" s="46"/>
      <c r="U951" s="46"/>
      <c r="V951" s="46"/>
      <c r="W951" s="46"/>
      <c r="X951" s="46"/>
      <c r="Y951" s="46"/>
      <c r="Z951" s="46"/>
      <c r="AA951" s="46"/>
      <c r="AB951" s="46"/>
      <c r="AC951" s="46"/>
      <c r="AD951" s="46" t="s">
        <v>1037</v>
      </c>
      <c r="AE951" s="50">
        <f>IF(L951="W",1,0)</f>
        <v>0</v>
      </c>
      <c r="AF951" s="50">
        <f>IF(L951="T",1,0)</f>
        <v>0</v>
      </c>
      <c r="AG951" s="50">
        <f>IF(L951="L",1,0)</f>
        <v>1</v>
      </c>
      <c r="AH951" s="46" t="s">
        <v>1017</v>
      </c>
      <c r="AI951" s="46" t="s">
        <v>1018</v>
      </c>
      <c r="AJ951" s="46" t="s">
        <v>376</v>
      </c>
      <c r="AK951" s="46" t="s">
        <v>658</v>
      </c>
      <c r="AL951" s="46" t="s">
        <v>1376</v>
      </c>
      <c r="AM951" s="46" t="s">
        <v>1126</v>
      </c>
      <c r="AN951" s="46" t="s">
        <v>376</v>
      </c>
      <c r="AO951" s="46" t="s">
        <v>658</v>
      </c>
      <c r="AP951" s="46"/>
      <c r="AQ951" s="46">
        <v>2</v>
      </c>
      <c r="AR951" s="46"/>
      <c r="AS951" s="46"/>
      <c r="AT951" s="46"/>
      <c r="AU951" s="46" t="s">
        <v>376</v>
      </c>
      <c r="AV951" s="46"/>
      <c r="AW951" s="46" t="s">
        <v>30</v>
      </c>
      <c r="AX951" s="46"/>
      <c r="AY951" s="46"/>
      <c r="AZ951" s="46" t="s">
        <v>30</v>
      </c>
      <c r="BA951" s="54"/>
      <c r="BB951" s="51"/>
      <c r="BC951" s="46"/>
      <c r="BD951" s="46"/>
      <c r="BE951" s="46"/>
      <c r="BF951" s="46">
        <v>1</v>
      </c>
      <c r="BG951" s="46">
        <v>2</v>
      </c>
      <c r="BH951" s="46">
        <v>1</v>
      </c>
      <c r="BI951" s="46" t="s">
        <v>803</v>
      </c>
      <c r="BJ951" s="46" t="s">
        <v>1377</v>
      </c>
      <c r="BK951" s="46">
        <v>1981</v>
      </c>
      <c r="BL951" s="46" t="str">
        <f>BK951&amp;BI951</f>
        <v>1981West Ham United</v>
      </c>
      <c r="BM951" s="52" t="str">
        <f>IF(AD951="Home",BI951,IF(AD951="Away",BJ951,Q951))</f>
        <v>Coventry City</v>
      </c>
      <c r="BN951" s="46"/>
      <c r="BO951" s="46"/>
      <c r="BP951" s="46"/>
      <c r="BQ951" s="46"/>
      <c r="BR951" s="46"/>
      <c r="BS951" s="46"/>
      <c r="BT951" s="46"/>
      <c r="BU951" s="46"/>
      <c r="BV951" s="46" t="s">
        <v>376</v>
      </c>
      <c r="BW951" s="46" t="s">
        <v>376</v>
      </c>
      <c r="BX951" s="46"/>
      <c r="BZ951" s="53"/>
      <c r="CA951" s="53"/>
      <c r="CB951" s="93" t="str">
        <f>IF(OR(C951="",A951="",B951=""),"",TEXT(C951,"0000")&amp;TEXT(A951,"00")&amp;TEXT(B951,"00"))</f>
        <v>19810114</v>
      </c>
    </row>
    <row r="952" spans="1:80" s="52" customFormat="1" ht="12.95" customHeight="1" x14ac:dyDescent="0.2">
      <c r="A952" s="46">
        <v>1</v>
      </c>
      <c r="B952" s="46">
        <v>14</v>
      </c>
      <c r="C952" s="46">
        <v>1981</v>
      </c>
      <c r="D952" s="46" t="s">
        <v>658</v>
      </c>
      <c r="E952" s="46" t="s">
        <v>543</v>
      </c>
      <c r="F952" s="54" t="s">
        <v>1327</v>
      </c>
      <c r="G952" s="46"/>
      <c r="H952" s="54" t="s">
        <v>1011</v>
      </c>
      <c r="I952" s="54">
        <v>1</v>
      </c>
      <c r="J952" s="55">
        <v>29600</v>
      </c>
      <c r="K952" s="46" t="s">
        <v>823</v>
      </c>
      <c r="L952" s="46" t="s">
        <v>4</v>
      </c>
      <c r="M952" s="46" t="s">
        <v>588</v>
      </c>
      <c r="N952" s="49">
        <v>0</v>
      </c>
      <c r="O952" s="49">
        <v>1</v>
      </c>
      <c r="P952" s="54" t="s">
        <v>1226</v>
      </c>
      <c r="Q952" s="54" t="s">
        <v>1101</v>
      </c>
      <c r="R952" s="54" t="s">
        <v>376</v>
      </c>
      <c r="S952" s="46"/>
      <c r="T952" s="46"/>
      <c r="U952" s="46"/>
      <c r="V952" s="46"/>
      <c r="W952" s="46"/>
      <c r="X952" s="46"/>
      <c r="Y952" s="46"/>
      <c r="Z952" s="46"/>
      <c r="AA952" s="46"/>
      <c r="AB952" s="46"/>
      <c r="AC952" s="46"/>
      <c r="AD952" s="46" t="s">
        <v>1033</v>
      </c>
      <c r="AE952" s="50">
        <f>IF(L952="W",1,0)</f>
        <v>0</v>
      </c>
      <c r="AF952" s="50">
        <f>IF(L952="T",1,0)</f>
        <v>0</v>
      </c>
      <c r="AG952" s="50">
        <f>IF(L952="L",1,0)</f>
        <v>1</v>
      </c>
      <c r="AH952" s="46" t="s">
        <v>1101</v>
      </c>
      <c r="AI952" s="46" t="s">
        <v>1159</v>
      </c>
      <c r="AJ952" s="46" t="s">
        <v>376</v>
      </c>
      <c r="AK952" s="46" t="s">
        <v>658</v>
      </c>
      <c r="AL952" s="46" t="s">
        <v>588</v>
      </c>
      <c r="AM952" s="46" t="s">
        <v>1175</v>
      </c>
      <c r="AN952" s="46" t="s">
        <v>376</v>
      </c>
      <c r="AO952" s="46" t="s">
        <v>658</v>
      </c>
      <c r="AP952" s="46"/>
      <c r="AQ952" s="46">
        <v>2</v>
      </c>
      <c r="AR952" s="46"/>
      <c r="AS952" s="46"/>
      <c r="AT952" s="46"/>
      <c r="AU952" s="46" t="s">
        <v>376</v>
      </c>
      <c r="AV952" s="46"/>
      <c r="AW952" s="46" t="s">
        <v>30</v>
      </c>
      <c r="AX952" s="46"/>
      <c r="AY952" s="46"/>
      <c r="AZ952" s="46" t="s">
        <v>30</v>
      </c>
      <c r="BA952" s="54"/>
      <c r="BB952" s="51"/>
      <c r="BC952" s="46"/>
      <c r="BD952" s="46"/>
      <c r="BE952" s="46"/>
      <c r="BF952" s="46">
        <v>1</v>
      </c>
      <c r="BG952" s="46">
        <v>1</v>
      </c>
      <c r="BH952" s="46">
        <v>1</v>
      </c>
      <c r="BI952" s="46" t="s">
        <v>823</v>
      </c>
      <c r="BJ952" s="46" t="s">
        <v>588</v>
      </c>
      <c r="BK952" s="46">
        <v>1981</v>
      </c>
      <c r="BL952" s="46" t="str">
        <f>BK952&amp;BI952</f>
        <v>1981Manchester City</v>
      </c>
      <c r="BM952" s="52" t="str">
        <f>IF(AD952="Home",BI952,IF(AD952="Away",BJ952,Q952))</f>
        <v>Manchester City</v>
      </c>
      <c r="BN952" s="46"/>
      <c r="BO952" s="46"/>
      <c r="BP952" s="46"/>
      <c r="BQ952" s="46"/>
      <c r="BR952" s="46"/>
      <c r="BS952" s="46"/>
      <c r="BT952" s="46"/>
      <c r="BU952" s="46"/>
      <c r="BV952" s="46" t="s">
        <v>376</v>
      </c>
      <c r="BW952" s="46" t="s">
        <v>376</v>
      </c>
      <c r="BX952" s="46"/>
      <c r="BZ952" s="53"/>
      <c r="CA952" s="53"/>
      <c r="CB952" s="93" t="str">
        <f>IF(OR(C952="",A952="",B952=""),"",TEXT(C952,"0000")&amp;TEXT(A952,"00")&amp;TEXT(B952,"00"))</f>
        <v>19810114</v>
      </c>
    </row>
    <row r="953" spans="1:80" s="52" customFormat="1" ht="12.95" customHeight="1" x14ac:dyDescent="0.2">
      <c r="A953" s="46">
        <v>1</v>
      </c>
      <c r="B953" s="46">
        <v>14</v>
      </c>
      <c r="C953" s="46">
        <v>1981</v>
      </c>
      <c r="D953" s="46" t="s">
        <v>658</v>
      </c>
      <c r="E953" s="46" t="s">
        <v>543</v>
      </c>
      <c r="F953" s="54" t="s">
        <v>1327</v>
      </c>
      <c r="G953" s="46"/>
      <c r="H953" s="54" t="s">
        <v>1011</v>
      </c>
      <c r="I953" s="54">
        <v>1</v>
      </c>
      <c r="J953" s="55">
        <v>29600</v>
      </c>
      <c r="K953" s="46" t="s">
        <v>588</v>
      </c>
      <c r="L953" s="46" t="s">
        <v>3</v>
      </c>
      <c r="M953" s="46" t="s">
        <v>823</v>
      </c>
      <c r="N953" s="49">
        <v>1</v>
      </c>
      <c r="O953" s="49">
        <v>0</v>
      </c>
      <c r="P953" s="54" t="s">
        <v>1226</v>
      </c>
      <c r="Q953" s="54" t="s">
        <v>1101</v>
      </c>
      <c r="R953" s="54" t="s">
        <v>376</v>
      </c>
      <c r="S953" s="46"/>
      <c r="T953" s="46"/>
      <c r="U953" s="46"/>
      <c r="V953" s="46"/>
      <c r="W953" s="46"/>
      <c r="X953" s="46"/>
      <c r="Y953" s="46"/>
      <c r="Z953" s="46"/>
      <c r="AA953" s="46"/>
      <c r="AB953" s="46"/>
      <c r="AC953" s="46"/>
      <c r="AD953" s="46" t="s">
        <v>1037</v>
      </c>
      <c r="AE953" s="50">
        <f>IF(L953="W",1,0)</f>
        <v>1</v>
      </c>
      <c r="AF953" s="50">
        <f>IF(L953="T",1,0)</f>
        <v>0</v>
      </c>
      <c r="AG953" s="50">
        <f>IF(L953="L",1,0)</f>
        <v>0</v>
      </c>
      <c r="AH953" s="46" t="s">
        <v>588</v>
      </c>
      <c r="AI953" s="46" t="s">
        <v>1175</v>
      </c>
      <c r="AJ953" s="46" t="s">
        <v>376</v>
      </c>
      <c r="AK953" s="46" t="s">
        <v>658</v>
      </c>
      <c r="AL953" s="46" t="s">
        <v>1101</v>
      </c>
      <c r="AM953" s="46" t="s">
        <v>1159</v>
      </c>
      <c r="AN953" s="46" t="s">
        <v>376</v>
      </c>
      <c r="AO953" s="46" t="s">
        <v>658</v>
      </c>
      <c r="AP953" s="46"/>
      <c r="AQ953" s="46">
        <v>2</v>
      </c>
      <c r="AR953" s="46"/>
      <c r="AS953" s="46"/>
      <c r="AT953" s="46"/>
      <c r="AU953" s="46" t="s">
        <v>376</v>
      </c>
      <c r="AV953" s="46"/>
      <c r="AW953" s="46" t="s">
        <v>30</v>
      </c>
      <c r="AX953" s="46"/>
      <c r="AY953" s="46"/>
      <c r="AZ953" s="46" t="s">
        <v>30</v>
      </c>
      <c r="BA953" s="54"/>
      <c r="BB953" s="51"/>
      <c r="BC953" s="46"/>
      <c r="BD953" s="46"/>
      <c r="BE953" s="46"/>
      <c r="BF953" s="46">
        <v>1</v>
      </c>
      <c r="BG953" s="46">
        <v>1</v>
      </c>
      <c r="BH953" s="46">
        <v>1</v>
      </c>
      <c r="BI953" s="46" t="s">
        <v>588</v>
      </c>
      <c r="BJ953" s="46" t="s">
        <v>823</v>
      </c>
      <c r="BK953" s="46">
        <v>1981</v>
      </c>
      <c r="BL953" s="46" t="str">
        <f>BK953&amp;BI953</f>
        <v>1981Liverpool</v>
      </c>
      <c r="BM953" s="52" t="str">
        <f>IF(AD953="Home",BI953,IF(AD953="Away",BJ953,Q953))</f>
        <v>Manchester City</v>
      </c>
      <c r="BN953" s="46"/>
      <c r="BO953" s="46"/>
      <c r="BP953" s="46"/>
      <c r="BQ953" s="46"/>
      <c r="BR953" s="46"/>
      <c r="BS953" s="46"/>
      <c r="BT953" s="46"/>
      <c r="BU953" s="46"/>
      <c r="BV953" s="46" t="s">
        <v>376</v>
      </c>
      <c r="BW953" s="46" t="s">
        <v>376</v>
      </c>
      <c r="BX953" s="46"/>
      <c r="BZ953" s="53"/>
      <c r="CA953" s="53"/>
      <c r="CB953" s="93" t="str">
        <f>IF(OR(C953="",A953="",B953=""),"",TEXT(C953,"0000")&amp;TEXT(A953,"00")&amp;TEXT(B953,"00"))</f>
        <v>19810114</v>
      </c>
    </row>
    <row r="954" spans="1:80" s="52" customFormat="1" ht="12.95" customHeight="1" x14ac:dyDescent="0.2">
      <c r="A954" s="46">
        <v>2</v>
      </c>
      <c r="B954" s="46">
        <v>10</v>
      </c>
      <c r="C954" s="46">
        <v>1981</v>
      </c>
      <c r="D954" s="46" t="s">
        <v>658</v>
      </c>
      <c r="E954" s="46" t="s">
        <v>543</v>
      </c>
      <c r="F954" s="54" t="s">
        <v>1327</v>
      </c>
      <c r="G954" s="46"/>
      <c r="H954" s="54" t="s">
        <v>1011</v>
      </c>
      <c r="I954" s="54">
        <v>2</v>
      </c>
      <c r="J954" s="55">
        <v>29627</v>
      </c>
      <c r="K954" s="46" t="s">
        <v>588</v>
      </c>
      <c r="L954" s="46" t="s">
        <v>1014</v>
      </c>
      <c r="M954" s="46" t="s">
        <v>823</v>
      </c>
      <c r="N954" s="49">
        <v>1</v>
      </c>
      <c r="O954" s="49">
        <v>1</v>
      </c>
      <c r="P954" s="54" t="s">
        <v>1141</v>
      </c>
      <c r="Q954" s="54" t="s">
        <v>588</v>
      </c>
      <c r="R954" s="54" t="s">
        <v>376</v>
      </c>
      <c r="S954" s="46"/>
      <c r="T954" s="46"/>
      <c r="U954" s="46"/>
      <c r="V954" s="46"/>
      <c r="W954" s="46"/>
      <c r="X954" s="46"/>
      <c r="Y954" s="46"/>
      <c r="Z954" s="46"/>
      <c r="AA954" s="46"/>
      <c r="AB954" s="46"/>
      <c r="AC954" s="46"/>
      <c r="AD954" s="46" t="s">
        <v>1033</v>
      </c>
      <c r="AE954" s="50">
        <f>IF(L954="W",1,0)</f>
        <v>0</v>
      </c>
      <c r="AF954" s="50">
        <f>IF(L954="T",1,0)</f>
        <v>1</v>
      </c>
      <c r="AG954" s="50">
        <f>IF(L954="L",1,0)</f>
        <v>0</v>
      </c>
      <c r="AH954" s="46" t="s">
        <v>588</v>
      </c>
      <c r="AI954" s="46" t="s">
        <v>1175</v>
      </c>
      <c r="AJ954" s="46" t="s">
        <v>376</v>
      </c>
      <c r="AK954" s="46" t="s">
        <v>658</v>
      </c>
      <c r="AL954" s="46" t="s">
        <v>1101</v>
      </c>
      <c r="AM954" s="46" t="s">
        <v>1159</v>
      </c>
      <c r="AN954" s="46" t="s">
        <v>376</v>
      </c>
      <c r="AO954" s="46" t="s">
        <v>658</v>
      </c>
      <c r="AP954" s="46"/>
      <c r="AQ954" s="46">
        <v>2</v>
      </c>
      <c r="AR954" s="46"/>
      <c r="AS954" s="46"/>
      <c r="AT954" s="46"/>
      <c r="AU954" s="46" t="s">
        <v>376</v>
      </c>
      <c r="AV954" s="46"/>
      <c r="AW954" s="46" t="s">
        <v>30</v>
      </c>
      <c r="AX954" s="46"/>
      <c r="AY954" s="46"/>
      <c r="AZ954" s="46" t="s">
        <v>30</v>
      </c>
      <c r="BA954" s="54"/>
      <c r="BB954" s="51"/>
      <c r="BC954" s="46"/>
      <c r="BD954" s="46"/>
      <c r="BE954" s="46"/>
      <c r="BF954" s="46">
        <v>1</v>
      </c>
      <c r="BG954" s="46">
        <v>1</v>
      </c>
      <c r="BH954" s="46">
        <v>1</v>
      </c>
      <c r="BI954" s="46" t="s">
        <v>588</v>
      </c>
      <c r="BJ954" s="46" t="s">
        <v>823</v>
      </c>
      <c r="BK954" s="46">
        <v>1981</v>
      </c>
      <c r="BL954" s="46" t="str">
        <f>BK954&amp;BI954</f>
        <v>1981Liverpool</v>
      </c>
      <c r="BM954" s="52" t="str">
        <f>IF(AD954="Home",BI954,IF(AD954="Away",BJ954,Q954))</f>
        <v>Liverpool</v>
      </c>
      <c r="BN954" s="46"/>
      <c r="BO954" s="46"/>
      <c r="BP954" s="46"/>
      <c r="BQ954" s="46"/>
      <c r="BR954" s="46"/>
      <c r="BS954" s="46"/>
      <c r="BT954" s="46"/>
      <c r="BU954" s="46"/>
      <c r="BV954" s="46" t="s">
        <v>376</v>
      </c>
      <c r="BW954" s="46" t="s">
        <v>376</v>
      </c>
      <c r="BX954" s="46"/>
      <c r="BZ954" s="53"/>
      <c r="CA954" s="53"/>
      <c r="CB954" s="93" t="str">
        <f>IF(OR(C954="",A954="",B954=""),"",TEXT(C954,"0000")&amp;TEXT(A954,"00")&amp;TEXT(B954,"00"))</f>
        <v>19810210</v>
      </c>
    </row>
    <row r="955" spans="1:80" s="52" customFormat="1" ht="12.95" customHeight="1" x14ac:dyDescent="0.2">
      <c r="A955" s="46">
        <v>2</v>
      </c>
      <c r="B955" s="46">
        <v>10</v>
      </c>
      <c r="C955" s="46">
        <v>1981</v>
      </c>
      <c r="D955" s="46" t="s">
        <v>658</v>
      </c>
      <c r="E955" s="46" t="s">
        <v>543</v>
      </c>
      <c r="F955" s="54" t="s">
        <v>1327</v>
      </c>
      <c r="G955" s="46"/>
      <c r="H955" s="54" t="s">
        <v>1011</v>
      </c>
      <c r="I955" s="54">
        <v>2</v>
      </c>
      <c r="J955" s="55">
        <v>29627</v>
      </c>
      <c r="K955" s="46" t="s">
        <v>823</v>
      </c>
      <c r="L955" s="46" t="s">
        <v>1014</v>
      </c>
      <c r="M955" s="46" t="s">
        <v>588</v>
      </c>
      <c r="N955" s="49">
        <v>1</v>
      </c>
      <c r="O955" s="49">
        <v>1</v>
      </c>
      <c r="P955" s="54" t="s">
        <v>1141</v>
      </c>
      <c r="Q955" s="54" t="s">
        <v>588</v>
      </c>
      <c r="R955" s="54" t="s">
        <v>376</v>
      </c>
      <c r="S955" s="46"/>
      <c r="T955" s="46"/>
      <c r="U955" s="46"/>
      <c r="V955" s="46"/>
      <c r="W955" s="46"/>
      <c r="X955" s="46"/>
      <c r="Y955" s="46"/>
      <c r="Z955" s="46"/>
      <c r="AA955" s="46"/>
      <c r="AB955" s="46"/>
      <c r="AC955" s="46"/>
      <c r="AD955" s="46" t="s">
        <v>1037</v>
      </c>
      <c r="AE955" s="50">
        <f>IF(L955="W",1,0)</f>
        <v>0</v>
      </c>
      <c r="AF955" s="50">
        <f>IF(L955="T",1,0)</f>
        <v>1</v>
      </c>
      <c r="AG955" s="50">
        <f>IF(L955="L",1,0)</f>
        <v>0</v>
      </c>
      <c r="AH955" s="46" t="s">
        <v>1101</v>
      </c>
      <c r="AI955" s="46" t="s">
        <v>1159</v>
      </c>
      <c r="AJ955" s="46" t="s">
        <v>376</v>
      </c>
      <c r="AK955" s="46" t="s">
        <v>658</v>
      </c>
      <c r="AL955" s="46" t="s">
        <v>588</v>
      </c>
      <c r="AM955" s="46" t="s">
        <v>1175</v>
      </c>
      <c r="AN955" s="46" t="s">
        <v>376</v>
      </c>
      <c r="AO955" s="46" t="s">
        <v>658</v>
      </c>
      <c r="AP955" s="46"/>
      <c r="AQ955" s="46">
        <v>2</v>
      </c>
      <c r="AR955" s="46"/>
      <c r="AS955" s="46"/>
      <c r="AT955" s="46"/>
      <c r="AU955" s="46" t="s">
        <v>376</v>
      </c>
      <c r="AV955" s="46"/>
      <c r="AW955" s="46" t="s">
        <v>30</v>
      </c>
      <c r="AX955" s="46"/>
      <c r="AY955" s="46"/>
      <c r="AZ955" s="46" t="s">
        <v>30</v>
      </c>
      <c r="BA955" s="54"/>
      <c r="BB955" s="51"/>
      <c r="BC955" s="46"/>
      <c r="BD955" s="46"/>
      <c r="BE955" s="46"/>
      <c r="BF955" s="46">
        <v>1</v>
      </c>
      <c r="BG955" s="46">
        <v>1</v>
      </c>
      <c r="BH955" s="46">
        <v>1</v>
      </c>
      <c r="BI955" s="46" t="s">
        <v>823</v>
      </c>
      <c r="BJ955" s="46" t="s">
        <v>588</v>
      </c>
      <c r="BK955" s="46">
        <v>1981</v>
      </c>
      <c r="BL955" s="46" t="str">
        <f>BK955&amp;BI955</f>
        <v>1981Manchester City</v>
      </c>
      <c r="BM955" s="52" t="str">
        <f>IF(AD955="Home",BI955,IF(AD955="Away",BJ955,Q955))</f>
        <v>Liverpool</v>
      </c>
      <c r="BN955" s="46"/>
      <c r="BO955" s="46"/>
      <c r="BP955" s="46"/>
      <c r="BQ955" s="46"/>
      <c r="BR955" s="46"/>
      <c r="BS955" s="46"/>
      <c r="BT955" s="46"/>
      <c r="BU955" s="46"/>
      <c r="BV955" s="46" t="s">
        <v>376</v>
      </c>
      <c r="BW955" s="46" t="s">
        <v>376</v>
      </c>
      <c r="BX955" s="46"/>
      <c r="BZ955" s="53"/>
      <c r="CA955" s="53"/>
      <c r="CB955" s="93" t="str">
        <f>IF(OR(C955="",A955="",B955=""),"",TEXT(C955,"0000")&amp;TEXT(A955,"00")&amp;TEXT(B955,"00"))</f>
        <v>19810210</v>
      </c>
    </row>
    <row r="956" spans="1:80" s="52" customFormat="1" ht="12.95" customHeight="1" x14ac:dyDescent="0.2">
      <c r="A956" s="46">
        <v>2</v>
      </c>
      <c r="B956" s="46">
        <v>10</v>
      </c>
      <c r="C956" s="46">
        <v>1981</v>
      </c>
      <c r="D956" s="46" t="s">
        <v>658</v>
      </c>
      <c r="E956" s="46" t="s">
        <v>543</v>
      </c>
      <c r="F956" s="54" t="s">
        <v>1327</v>
      </c>
      <c r="G956" s="46"/>
      <c r="H956" s="54" t="s">
        <v>1011</v>
      </c>
      <c r="I956" s="54">
        <v>2</v>
      </c>
      <c r="J956" s="55">
        <v>29627</v>
      </c>
      <c r="K956" s="46" t="s">
        <v>803</v>
      </c>
      <c r="L956" s="46" t="s">
        <v>3</v>
      </c>
      <c r="M956" s="46" t="s">
        <v>1377</v>
      </c>
      <c r="N956" s="49">
        <v>2</v>
      </c>
      <c r="O956" s="49">
        <v>0</v>
      </c>
      <c r="P956" s="54" t="s">
        <v>1341</v>
      </c>
      <c r="Q956" s="54" t="s">
        <v>1017</v>
      </c>
      <c r="R956" s="54" t="s">
        <v>376</v>
      </c>
      <c r="S956" s="46"/>
      <c r="T956" s="46"/>
      <c r="U956" s="46"/>
      <c r="V956" s="46"/>
      <c r="W956" s="46"/>
      <c r="X956" s="46"/>
      <c r="Y956" s="46"/>
      <c r="Z956" s="46"/>
      <c r="AA956" s="46"/>
      <c r="AB956" s="46"/>
      <c r="AC956" s="46"/>
      <c r="AD956" s="46" t="s">
        <v>1033</v>
      </c>
      <c r="AE956" s="50">
        <f>IF(L956="W",1,0)</f>
        <v>1</v>
      </c>
      <c r="AF956" s="50">
        <f>IF(L956="T",1,0)</f>
        <v>0</v>
      </c>
      <c r="AG956" s="50">
        <f>IF(L956="L",1,0)</f>
        <v>0</v>
      </c>
      <c r="AH956" s="46" t="s">
        <v>1017</v>
      </c>
      <c r="AI956" s="46" t="s">
        <v>1018</v>
      </c>
      <c r="AJ956" s="46" t="s">
        <v>376</v>
      </c>
      <c r="AK956" s="46" t="s">
        <v>658</v>
      </c>
      <c r="AL956" s="46" t="s">
        <v>1376</v>
      </c>
      <c r="AM956" s="46" t="s">
        <v>1126</v>
      </c>
      <c r="AN956" s="46" t="s">
        <v>376</v>
      </c>
      <c r="AO956" s="46" t="s">
        <v>658</v>
      </c>
      <c r="AP956" s="46"/>
      <c r="AQ956" s="46">
        <v>2</v>
      </c>
      <c r="AR956" s="46"/>
      <c r="AS956" s="46"/>
      <c r="AT956" s="46"/>
      <c r="AU956" s="46" t="s">
        <v>376</v>
      </c>
      <c r="AV956" s="46"/>
      <c r="AW956" s="46" t="s">
        <v>30</v>
      </c>
      <c r="AX956" s="46"/>
      <c r="AY956" s="46"/>
      <c r="AZ956" s="46" t="s">
        <v>30</v>
      </c>
      <c r="BA956" s="54"/>
      <c r="BB956" s="51"/>
      <c r="BC956" s="46"/>
      <c r="BD956" s="46"/>
      <c r="BE956" s="46"/>
      <c r="BF956" s="46">
        <v>1</v>
      </c>
      <c r="BG956" s="46">
        <v>2</v>
      </c>
      <c r="BH956" s="46">
        <v>1</v>
      </c>
      <c r="BI956" s="46" t="s">
        <v>803</v>
      </c>
      <c r="BJ956" s="46" t="s">
        <v>1377</v>
      </c>
      <c r="BK956" s="46">
        <v>1981</v>
      </c>
      <c r="BL956" s="46" t="str">
        <f>BK956&amp;BI956</f>
        <v>1981West Ham United</v>
      </c>
      <c r="BM956" s="52" t="str">
        <f>IF(AD956="Home",BI956,IF(AD956="Away",BJ956,Q956))</f>
        <v>West Ham United</v>
      </c>
      <c r="BN956" s="46"/>
      <c r="BO956" s="46"/>
      <c r="BP956" s="46"/>
      <c r="BQ956" s="46"/>
      <c r="BR956" s="46"/>
      <c r="BS956" s="46"/>
      <c r="BT956" s="46"/>
      <c r="BU956" s="46"/>
      <c r="BV956" s="46" t="s">
        <v>376</v>
      </c>
      <c r="BW956" s="46" t="s">
        <v>376</v>
      </c>
      <c r="BX956" s="46"/>
      <c r="BZ956" s="53"/>
      <c r="CA956" s="53"/>
      <c r="CB956" s="93" t="str">
        <f>IF(OR(C956="",A956="",B956=""),"",TEXT(C956,"0000")&amp;TEXT(A956,"00")&amp;TEXT(B956,"00"))</f>
        <v>19810210</v>
      </c>
    </row>
    <row r="957" spans="1:80" s="52" customFormat="1" ht="12.95" customHeight="1" x14ac:dyDescent="0.2">
      <c r="A957" s="46">
        <v>2</v>
      </c>
      <c r="B957" s="46">
        <v>10</v>
      </c>
      <c r="C957" s="46">
        <v>1981</v>
      </c>
      <c r="D957" s="46" t="s">
        <v>658</v>
      </c>
      <c r="E957" s="46" t="s">
        <v>543</v>
      </c>
      <c r="F957" s="54" t="s">
        <v>1327</v>
      </c>
      <c r="G957" s="46"/>
      <c r="H957" s="54" t="s">
        <v>1011</v>
      </c>
      <c r="I957" s="54">
        <v>2</v>
      </c>
      <c r="J957" s="55">
        <v>29627</v>
      </c>
      <c r="K957" s="46" t="s">
        <v>1377</v>
      </c>
      <c r="L957" s="46" t="s">
        <v>4</v>
      </c>
      <c r="M957" s="46" t="s">
        <v>803</v>
      </c>
      <c r="N957" s="49">
        <v>0</v>
      </c>
      <c r="O957" s="49">
        <v>2</v>
      </c>
      <c r="P957" s="54" t="s">
        <v>1341</v>
      </c>
      <c r="Q957" s="54" t="s">
        <v>1017</v>
      </c>
      <c r="R957" s="54" t="s">
        <v>376</v>
      </c>
      <c r="S957" s="46"/>
      <c r="T957" s="46"/>
      <c r="U957" s="46"/>
      <c r="V957" s="46"/>
      <c r="W957" s="46"/>
      <c r="X957" s="46"/>
      <c r="Y957" s="46"/>
      <c r="Z957" s="46"/>
      <c r="AA957" s="46"/>
      <c r="AB957" s="46"/>
      <c r="AC957" s="46"/>
      <c r="AD957" s="46" t="s">
        <v>1037</v>
      </c>
      <c r="AE957" s="50">
        <f>IF(L957="W",1,0)</f>
        <v>0</v>
      </c>
      <c r="AF957" s="50">
        <f>IF(L957="T",1,0)</f>
        <v>0</v>
      </c>
      <c r="AG957" s="50">
        <f>IF(L957="L",1,0)</f>
        <v>1</v>
      </c>
      <c r="AH957" s="46" t="s">
        <v>1376</v>
      </c>
      <c r="AI957" s="46" t="s">
        <v>1126</v>
      </c>
      <c r="AJ957" s="46" t="s">
        <v>376</v>
      </c>
      <c r="AK957" s="46" t="s">
        <v>658</v>
      </c>
      <c r="AL957" s="46" t="s">
        <v>1017</v>
      </c>
      <c r="AM957" s="46" t="s">
        <v>1018</v>
      </c>
      <c r="AN957" s="46" t="s">
        <v>376</v>
      </c>
      <c r="AO957" s="46" t="s">
        <v>658</v>
      </c>
      <c r="AP957" s="46"/>
      <c r="AQ957" s="46">
        <v>2</v>
      </c>
      <c r="AR957" s="46"/>
      <c r="AS957" s="46"/>
      <c r="AT957" s="46"/>
      <c r="AU957" s="46" t="s">
        <v>376</v>
      </c>
      <c r="AV957" s="46"/>
      <c r="AW957" s="46" t="s">
        <v>30</v>
      </c>
      <c r="AX957" s="46"/>
      <c r="AY957" s="46"/>
      <c r="AZ957" s="46" t="s">
        <v>30</v>
      </c>
      <c r="BA957" s="54"/>
      <c r="BB957" s="51"/>
      <c r="BC957" s="46"/>
      <c r="BD957" s="46"/>
      <c r="BE957" s="46"/>
      <c r="BF957" s="46">
        <v>1</v>
      </c>
      <c r="BG957" s="46">
        <v>1</v>
      </c>
      <c r="BH957" s="46">
        <v>2</v>
      </c>
      <c r="BI957" s="46" t="s">
        <v>1377</v>
      </c>
      <c r="BJ957" s="46" t="s">
        <v>803</v>
      </c>
      <c r="BK957" s="46">
        <v>1981</v>
      </c>
      <c r="BL957" s="46" t="str">
        <f>BK957&amp;BI957</f>
        <v>1981Coventry City</v>
      </c>
      <c r="BM957" s="52" t="str">
        <f>IF(AD957="Home",BI957,IF(AD957="Away",BJ957,Q957))</f>
        <v>West Ham United</v>
      </c>
      <c r="BN957" s="46"/>
      <c r="BO957" s="46"/>
      <c r="BP957" s="46"/>
      <c r="BQ957" s="46"/>
      <c r="BR957" s="46"/>
      <c r="BS957" s="46"/>
      <c r="BT957" s="46"/>
      <c r="BU957" s="46"/>
      <c r="BV957" s="46" t="s">
        <v>376</v>
      </c>
      <c r="BW957" s="46" t="s">
        <v>376</v>
      </c>
      <c r="BX957" s="46"/>
      <c r="BZ957" s="53"/>
      <c r="CA957" s="53"/>
      <c r="CB957" s="93" t="str">
        <f>IF(OR(C957="",A957="",B957=""),"",TEXT(C957,"0000")&amp;TEXT(A957,"00")&amp;TEXT(B957,"00"))</f>
        <v>19810210</v>
      </c>
    </row>
    <row r="958" spans="1:80" s="52" customFormat="1" ht="12.95" customHeight="1" x14ac:dyDescent="0.2">
      <c r="A958" s="46">
        <v>3</v>
      </c>
      <c r="B958" s="46">
        <v>14</v>
      </c>
      <c r="C958" s="46">
        <v>1981</v>
      </c>
      <c r="D958" s="46" t="s">
        <v>658</v>
      </c>
      <c r="E958" s="46" t="s">
        <v>543</v>
      </c>
      <c r="F958" s="54" t="s">
        <v>1327</v>
      </c>
      <c r="G958" s="46"/>
      <c r="H958" s="54" t="s">
        <v>40</v>
      </c>
      <c r="I958" s="54"/>
      <c r="J958" s="55">
        <v>29659</v>
      </c>
      <c r="K958" s="46" t="s">
        <v>803</v>
      </c>
      <c r="L958" s="46" t="s">
        <v>1014</v>
      </c>
      <c r="M958" s="46" t="s">
        <v>588</v>
      </c>
      <c r="N958" s="49">
        <v>1</v>
      </c>
      <c r="O958" s="49">
        <v>1</v>
      </c>
      <c r="P958" s="54" t="s">
        <v>1268</v>
      </c>
      <c r="Q958" s="54" t="s">
        <v>1017</v>
      </c>
      <c r="R958" s="54" t="s">
        <v>376</v>
      </c>
      <c r="S958" s="46" t="s">
        <v>1023</v>
      </c>
      <c r="T958" s="46"/>
      <c r="U958" s="46"/>
      <c r="V958" s="46"/>
      <c r="W958" s="46"/>
      <c r="X958" s="46"/>
      <c r="Y958" s="46"/>
      <c r="Z958" s="46"/>
      <c r="AA958" s="46"/>
      <c r="AB958" s="46"/>
      <c r="AC958" s="46"/>
      <c r="AD958" s="46"/>
      <c r="AE958" s="50">
        <f>IF(L958="W",1,0)</f>
        <v>0</v>
      </c>
      <c r="AF958" s="50">
        <f>IF(L958="T",1,0)</f>
        <v>1</v>
      </c>
      <c r="AG958" s="50">
        <f>IF(L958="L",1,0)</f>
        <v>0</v>
      </c>
      <c r="AH958" s="46" t="s">
        <v>1017</v>
      </c>
      <c r="AI958" s="46" t="s">
        <v>1018</v>
      </c>
      <c r="AJ958" s="46" t="s">
        <v>376</v>
      </c>
      <c r="AK958" s="46" t="s">
        <v>658</v>
      </c>
      <c r="AL958" s="46" t="s">
        <v>588</v>
      </c>
      <c r="AM958" s="46" t="s">
        <v>1175</v>
      </c>
      <c r="AN958" s="46" t="s">
        <v>376</v>
      </c>
      <c r="AO958" s="46" t="s">
        <v>658</v>
      </c>
      <c r="AP958" s="46"/>
      <c r="AQ958" s="46">
        <v>1</v>
      </c>
      <c r="AR958" s="46"/>
      <c r="AS958" s="46"/>
      <c r="AT958" s="46"/>
      <c r="AU958" s="46" t="s">
        <v>376</v>
      </c>
      <c r="AV958" s="46"/>
      <c r="AW958" s="46" t="s">
        <v>30</v>
      </c>
      <c r="AX958" s="46"/>
      <c r="AY958" s="46"/>
      <c r="AZ958" s="46" t="s">
        <v>30</v>
      </c>
      <c r="BA958" s="54"/>
      <c r="BB958" s="51"/>
      <c r="BC958" s="46" t="s">
        <v>30</v>
      </c>
      <c r="BD958" s="46"/>
      <c r="BE958" s="46"/>
      <c r="BF958" s="46">
        <v>1</v>
      </c>
      <c r="BG958" s="46">
        <v>2</v>
      </c>
      <c r="BH958" s="46">
        <v>1</v>
      </c>
      <c r="BI958" s="46" t="s">
        <v>803</v>
      </c>
      <c r="BJ958" s="46" t="s">
        <v>588</v>
      </c>
      <c r="BK958" s="46">
        <v>1981</v>
      </c>
      <c r="BL958" s="46" t="str">
        <f>BK958&amp;BI958</f>
        <v>1981West Ham United</v>
      </c>
      <c r="BM958" s="52" t="str">
        <f>IF(AD958="Home",BI958,IF(AD958="Away",BJ958,Q958))</f>
        <v>London</v>
      </c>
      <c r="BN958" s="46"/>
      <c r="BO958" s="46"/>
      <c r="BP958" s="46"/>
      <c r="BQ958" s="46"/>
      <c r="BR958" s="46"/>
      <c r="BS958" s="46"/>
      <c r="BT958" s="46"/>
      <c r="BU958" s="46"/>
      <c r="BV958" s="46" t="s">
        <v>376</v>
      </c>
      <c r="BW958" s="46" t="s">
        <v>376</v>
      </c>
      <c r="BX958" s="46"/>
      <c r="BZ958" s="53"/>
      <c r="CA958" s="53"/>
      <c r="CB958" s="93" t="str">
        <f>IF(OR(C958="",A958="",B958=""),"",TEXT(C958,"0000")&amp;TEXT(A958,"00")&amp;TEXT(B958,"00"))</f>
        <v>19810314</v>
      </c>
    </row>
    <row r="959" spans="1:80" s="52" customFormat="1" ht="12.95" customHeight="1" x14ac:dyDescent="0.2">
      <c r="A959" s="46">
        <v>3</v>
      </c>
      <c r="B959" s="46">
        <v>14</v>
      </c>
      <c r="C959" s="46">
        <v>1981</v>
      </c>
      <c r="D959" s="46" t="s">
        <v>658</v>
      </c>
      <c r="E959" s="46" t="s">
        <v>543</v>
      </c>
      <c r="F959" s="54" t="s">
        <v>1327</v>
      </c>
      <c r="G959" s="46"/>
      <c r="H959" s="54" t="s">
        <v>40</v>
      </c>
      <c r="I959" s="54"/>
      <c r="J959" s="55">
        <v>29659</v>
      </c>
      <c r="K959" s="46" t="s">
        <v>588</v>
      </c>
      <c r="L959" s="46" t="s">
        <v>1014</v>
      </c>
      <c r="M959" s="46" t="s">
        <v>803</v>
      </c>
      <c r="N959" s="49">
        <v>1</v>
      </c>
      <c r="O959" s="49">
        <v>1</v>
      </c>
      <c r="P959" s="54" t="s">
        <v>1268</v>
      </c>
      <c r="Q959" s="54" t="s">
        <v>1017</v>
      </c>
      <c r="R959" s="54" t="s">
        <v>376</v>
      </c>
      <c r="S959" s="46" t="s">
        <v>1023</v>
      </c>
      <c r="T959" s="46"/>
      <c r="U959" s="46"/>
      <c r="V959" s="46"/>
      <c r="W959" s="46"/>
      <c r="X959" s="46"/>
      <c r="Y959" s="46"/>
      <c r="Z959" s="46"/>
      <c r="AA959" s="46"/>
      <c r="AB959" s="46"/>
      <c r="AC959" s="46"/>
      <c r="AD959" s="46"/>
      <c r="AE959" s="50">
        <f>IF(L959="W",1,0)</f>
        <v>0</v>
      </c>
      <c r="AF959" s="50">
        <f>IF(L959="T",1,0)</f>
        <v>1</v>
      </c>
      <c r="AG959" s="50">
        <f>IF(L959="L",1,0)</f>
        <v>0</v>
      </c>
      <c r="AH959" s="46" t="s">
        <v>588</v>
      </c>
      <c r="AI959" s="46" t="s">
        <v>1175</v>
      </c>
      <c r="AJ959" s="46" t="s">
        <v>376</v>
      </c>
      <c r="AK959" s="46" t="s">
        <v>658</v>
      </c>
      <c r="AL959" s="46" t="s">
        <v>1017</v>
      </c>
      <c r="AM959" s="46" t="s">
        <v>1018</v>
      </c>
      <c r="AN959" s="46" t="s">
        <v>376</v>
      </c>
      <c r="AO959" s="46" t="s">
        <v>658</v>
      </c>
      <c r="AP959" s="46"/>
      <c r="AQ959" s="46">
        <v>1</v>
      </c>
      <c r="AR959" s="46"/>
      <c r="AS959" s="46"/>
      <c r="AT959" s="46"/>
      <c r="AU959" s="46" t="s">
        <v>376</v>
      </c>
      <c r="AV959" s="46"/>
      <c r="AW959" s="46" t="s">
        <v>30</v>
      </c>
      <c r="AX959" s="46"/>
      <c r="AY959" s="46"/>
      <c r="AZ959" s="46" t="s">
        <v>30</v>
      </c>
      <c r="BA959" s="54"/>
      <c r="BB959" s="51"/>
      <c r="BC959" s="46" t="s">
        <v>30</v>
      </c>
      <c r="BD959" s="46"/>
      <c r="BE959" s="46"/>
      <c r="BF959" s="46">
        <v>1</v>
      </c>
      <c r="BG959" s="46">
        <v>1</v>
      </c>
      <c r="BH959" s="46">
        <v>2</v>
      </c>
      <c r="BI959" s="46" t="s">
        <v>588</v>
      </c>
      <c r="BJ959" s="46" t="s">
        <v>803</v>
      </c>
      <c r="BK959" s="46">
        <v>1981</v>
      </c>
      <c r="BL959" s="46" t="str">
        <f>BK959&amp;BI959</f>
        <v>1981Liverpool</v>
      </c>
      <c r="BM959" s="52" t="str">
        <f>IF(AD959="Home",BI959,IF(AD959="Away",BJ959,Q959))</f>
        <v>London</v>
      </c>
      <c r="BN959" s="46"/>
      <c r="BO959" s="46"/>
      <c r="BP959" s="46"/>
      <c r="BQ959" s="46"/>
      <c r="BR959" s="46"/>
      <c r="BS959" s="46"/>
      <c r="BT959" s="46"/>
      <c r="BU959" s="46"/>
      <c r="BV959" s="46" t="s">
        <v>376</v>
      </c>
      <c r="BW959" s="46" t="s">
        <v>376</v>
      </c>
      <c r="BX959" s="46"/>
      <c r="BZ959" s="53"/>
      <c r="CA959" s="53"/>
      <c r="CB959" s="93" t="str">
        <f>IF(OR(C959="",A959="",B959=""),"",TEXT(C959,"0000")&amp;TEXT(A959,"00")&amp;TEXT(B959,"00"))</f>
        <v>19810314</v>
      </c>
    </row>
    <row r="960" spans="1:80" s="52" customFormat="1" ht="12.95" customHeight="1" x14ac:dyDescent="0.2">
      <c r="A960" s="46">
        <v>4</v>
      </c>
      <c r="B960" s="46">
        <v>6</v>
      </c>
      <c r="C960" s="46">
        <v>1981</v>
      </c>
      <c r="D960" s="46" t="s">
        <v>658</v>
      </c>
      <c r="E960" s="46" t="s">
        <v>543</v>
      </c>
      <c r="F960" s="54" t="s">
        <v>1327</v>
      </c>
      <c r="G960" s="46"/>
      <c r="H960" s="54" t="s">
        <v>40</v>
      </c>
      <c r="I960" s="54" t="s">
        <v>1023</v>
      </c>
      <c r="J960" s="55">
        <v>29682</v>
      </c>
      <c r="K960" s="46" t="s">
        <v>588</v>
      </c>
      <c r="L960" s="46" t="s">
        <v>3</v>
      </c>
      <c r="M960" s="46" t="s">
        <v>803</v>
      </c>
      <c r="N960" s="49">
        <v>2</v>
      </c>
      <c r="O960" s="49">
        <v>1</v>
      </c>
      <c r="P960" s="54" t="s">
        <v>1219</v>
      </c>
      <c r="Q960" s="54" t="s">
        <v>1111</v>
      </c>
      <c r="R960" s="54" t="s">
        <v>376</v>
      </c>
      <c r="S960" s="46"/>
      <c r="T960" s="46"/>
      <c r="U960" s="46"/>
      <c r="V960" s="46"/>
      <c r="W960" s="46"/>
      <c r="X960" s="46"/>
      <c r="Y960" s="46"/>
      <c r="Z960" s="46"/>
      <c r="AA960" s="46"/>
      <c r="AB960" s="46"/>
      <c r="AC960" s="46"/>
      <c r="AD960" s="46"/>
      <c r="AE960" s="50">
        <f>IF(L960="W",1,0)</f>
        <v>1</v>
      </c>
      <c r="AF960" s="50">
        <f>IF(L960="T",1,0)</f>
        <v>0</v>
      </c>
      <c r="AG960" s="50">
        <f>IF(L960="L",1,0)</f>
        <v>0</v>
      </c>
      <c r="AH960" s="46" t="s">
        <v>588</v>
      </c>
      <c r="AI960" s="46" t="s">
        <v>1175</v>
      </c>
      <c r="AJ960" s="46" t="s">
        <v>376</v>
      </c>
      <c r="AK960" s="46" t="s">
        <v>658</v>
      </c>
      <c r="AL960" s="46" t="s">
        <v>1017</v>
      </c>
      <c r="AM960" s="46" t="s">
        <v>1018</v>
      </c>
      <c r="AN960" s="46" t="s">
        <v>376</v>
      </c>
      <c r="AO960" s="46" t="s">
        <v>658</v>
      </c>
      <c r="AP960" s="46"/>
      <c r="AQ960" s="46">
        <v>1</v>
      </c>
      <c r="AR960" s="46"/>
      <c r="AS960" s="46"/>
      <c r="AT960" s="46"/>
      <c r="AU960" s="46" t="s">
        <v>376</v>
      </c>
      <c r="AV960" s="46"/>
      <c r="AW960" s="46" t="s">
        <v>30</v>
      </c>
      <c r="AX960" s="46"/>
      <c r="AY960" s="46"/>
      <c r="AZ960" s="46" t="s">
        <v>30</v>
      </c>
      <c r="BA960" s="54"/>
      <c r="BB960" s="51" t="s">
        <v>30</v>
      </c>
      <c r="BC960" s="46" t="s">
        <v>30</v>
      </c>
      <c r="BD960" s="46"/>
      <c r="BE960" s="46"/>
      <c r="BF960" s="46">
        <v>1</v>
      </c>
      <c r="BG960" s="46">
        <v>1</v>
      </c>
      <c r="BH960" s="46">
        <v>2</v>
      </c>
      <c r="BI960" s="46" t="s">
        <v>588</v>
      </c>
      <c r="BJ960" s="46" t="s">
        <v>803</v>
      </c>
      <c r="BK960" s="46">
        <v>1981</v>
      </c>
      <c r="BL960" s="46" t="str">
        <f>BK960&amp;BI960</f>
        <v>1981Liverpool</v>
      </c>
      <c r="BM960" s="52" t="str">
        <f>IF(AD960="Home",BI960,IF(AD960="Away",BJ960,Q960))</f>
        <v>Birmingham</v>
      </c>
      <c r="BN960" s="46"/>
      <c r="BO960" s="46"/>
      <c r="BP960" s="46"/>
      <c r="BQ960" s="46"/>
      <c r="BR960" s="46"/>
      <c r="BS960" s="46"/>
      <c r="BT960" s="46"/>
      <c r="BU960" s="46"/>
      <c r="BV960" s="46" t="s">
        <v>376</v>
      </c>
      <c r="BW960" s="46" t="s">
        <v>376</v>
      </c>
      <c r="BX960" s="46"/>
      <c r="BZ960" s="53"/>
      <c r="CA960" s="53"/>
      <c r="CB960" s="93" t="str">
        <f>IF(OR(C960="",A960="",B960=""),"",TEXT(C960,"0000")&amp;TEXT(A960,"00")&amp;TEXT(B960,"00"))</f>
        <v>19810406</v>
      </c>
    </row>
    <row r="961" spans="1:80" s="52" customFormat="1" ht="12.95" customHeight="1" x14ac:dyDescent="0.2">
      <c r="A961" s="46">
        <v>4</v>
      </c>
      <c r="B961" s="46">
        <v>6</v>
      </c>
      <c r="C961" s="46">
        <v>1981</v>
      </c>
      <c r="D961" s="46" t="s">
        <v>658</v>
      </c>
      <c r="E961" s="46" t="s">
        <v>543</v>
      </c>
      <c r="F961" s="54" t="s">
        <v>1327</v>
      </c>
      <c r="G961" s="46"/>
      <c r="H961" s="54" t="s">
        <v>40</v>
      </c>
      <c r="I961" s="54" t="s">
        <v>1023</v>
      </c>
      <c r="J961" s="55">
        <v>29682</v>
      </c>
      <c r="K961" s="46" t="s">
        <v>803</v>
      </c>
      <c r="L961" s="46" t="s">
        <v>4</v>
      </c>
      <c r="M961" s="46" t="s">
        <v>588</v>
      </c>
      <c r="N961" s="49">
        <v>1</v>
      </c>
      <c r="O961" s="49">
        <v>2</v>
      </c>
      <c r="P961" s="54" t="s">
        <v>1219</v>
      </c>
      <c r="Q961" s="54" t="s">
        <v>1111</v>
      </c>
      <c r="R961" s="54" t="s">
        <v>376</v>
      </c>
      <c r="S961" s="46"/>
      <c r="T961" s="46"/>
      <c r="U961" s="46"/>
      <c r="V961" s="46"/>
      <c r="W961" s="46"/>
      <c r="X961" s="46"/>
      <c r="Y961" s="46"/>
      <c r="Z961" s="46"/>
      <c r="AA961" s="46"/>
      <c r="AB961" s="46"/>
      <c r="AC961" s="46"/>
      <c r="AD961" s="46"/>
      <c r="AE961" s="50">
        <f>IF(L961="W",1,0)</f>
        <v>0</v>
      </c>
      <c r="AF961" s="50">
        <f>IF(L961="T",1,0)</f>
        <v>0</v>
      </c>
      <c r="AG961" s="50">
        <f>IF(L961="L",1,0)</f>
        <v>1</v>
      </c>
      <c r="AH961" s="46" t="s">
        <v>1017</v>
      </c>
      <c r="AI961" s="46" t="s">
        <v>1018</v>
      </c>
      <c r="AJ961" s="46" t="s">
        <v>376</v>
      </c>
      <c r="AK961" s="46" t="s">
        <v>658</v>
      </c>
      <c r="AL961" s="46" t="s">
        <v>588</v>
      </c>
      <c r="AM961" s="46" t="s">
        <v>1175</v>
      </c>
      <c r="AN961" s="46" t="s">
        <v>376</v>
      </c>
      <c r="AO961" s="46" t="s">
        <v>658</v>
      </c>
      <c r="AP961" s="46"/>
      <c r="AQ961" s="46">
        <v>1</v>
      </c>
      <c r="AR961" s="46"/>
      <c r="AS961" s="46"/>
      <c r="AT961" s="46"/>
      <c r="AU961" s="46" t="s">
        <v>376</v>
      </c>
      <c r="AV961" s="46"/>
      <c r="AW961" s="46" t="s">
        <v>30</v>
      </c>
      <c r="AX961" s="46"/>
      <c r="AY961" s="46"/>
      <c r="AZ961" s="46" t="s">
        <v>30</v>
      </c>
      <c r="BA961" s="54"/>
      <c r="BB961" s="51"/>
      <c r="BC961" s="46" t="s">
        <v>30</v>
      </c>
      <c r="BD961" s="46"/>
      <c r="BE961" s="46"/>
      <c r="BF961" s="46">
        <v>1</v>
      </c>
      <c r="BG961" s="46">
        <v>2</v>
      </c>
      <c r="BH961" s="46">
        <v>1</v>
      </c>
      <c r="BI961" s="46" t="s">
        <v>803</v>
      </c>
      <c r="BJ961" s="46" t="s">
        <v>588</v>
      </c>
      <c r="BK961" s="46">
        <v>1981</v>
      </c>
      <c r="BL961" s="46" t="str">
        <f>BK961&amp;BI961</f>
        <v>1981West Ham United</v>
      </c>
      <c r="BM961" s="52" t="str">
        <f>IF(AD961="Home",BI961,IF(AD961="Away",BJ961,Q961))</f>
        <v>Birmingham</v>
      </c>
      <c r="BN961" s="46"/>
      <c r="BO961" s="46"/>
      <c r="BP961" s="46"/>
      <c r="BQ961" s="46"/>
      <c r="BR961" s="46"/>
      <c r="BS961" s="46"/>
      <c r="BT961" s="46"/>
      <c r="BU961" s="46"/>
      <c r="BV961" s="46" t="s">
        <v>376</v>
      </c>
      <c r="BW961" s="46" t="s">
        <v>376</v>
      </c>
      <c r="BX961" s="46"/>
      <c r="BZ961" s="53"/>
      <c r="CA961" s="53"/>
      <c r="CB961" s="93" t="str">
        <f>IF(OR(C961="",A961="",B961=""),"",TEXT(C961,"0000")&amp;TEXT(A961,"00")&amp;TEXT(B961,"00"))</f>
        <v>19810406</v>
      </c>
    </row>
    <row r="962" spans="1:80" s="52" customFormat="1" ht="12.95" customHeight="1" x14ac:dyDescent="0.2">
      <c r="A962" s="46">
        <v>4</v>
      </c>
      <c r="B962" s="46">
        <v>11</v>
      </c>
      <c r="C962" s="46">
        <v>1981</v>
      </c>
      <c r="D962" s="46" t="s">
        <v>658</v>
      </c>
      <c r="E962" s="46" t="s">
        <v>543</v>
      </c>
      <c r="F962" s="47" t="s">
        <v>1010</v>
      </c>
      <c r="G962" s="46"/>
      <c r="H962" s="47" t="s">
        <v>1011</v>
      </c>
      <c r="I962" s="47"/>
      <c r="J962" s="48">
        <v>29687</v>
      </c>
      <c r="K962" s="46" t="s">
        <v>1151</v>
      </c>
      <c r="L962" s="46" t="s">
        <v>1014</v>
      </c>
      <c r="M962" s="46" t="s">
        <v>813</v>
      </c>
      <c r="N962" s="49">
        <v>2</v>
      </c>
      <c r="O962" s="49">
        <v>2</v>
      </c>
      <c r="P962" s="47" t="s">
        <v>1252</v>
      </c>
      <c r="Q962" s="47" t="s">
        <v>1097</v>
      </c>
      <c r="R962" s="47" t="s">
        <v>376</v>
      </c>
      <c r="S962" s="46"/>
      <c r="T962" s="46"/>
      <c r="U962" s="46"/>
      <c r="V962" s="46"/>
      <c r="W962" s="46"/>
      <c r="X962" s="46"/>
      <c r="Y962" s="46"/>
      <c r="Z962" s="46"/>
      <c r="AA962" s="46"/>
      <c r="AB962" s="46"/>
      <c r="AC962" s="46"/>
      <c r="AD962" s="46"/>
      <c r="AE962" s="50">
        <f>IF(L962="W",1,0)</f>
        <v>0</v>
      </c>
      <c r="AF962" s="50">
        <f>IF(L962="T",1,0)</f>
        <v>1</v>
      </c>
      <c r="AG962" s="50">
        <f>IF(L962="L",1,0)</f>
        <v>0</v>
      </c>
      <c r="AH962" s="46" t="s">
        <v>1111</v>
      </c>
      <c r="AI962" s="46" t="s">
        <v>1126</v>
      </c>
      <c r="AJ962" s="46" t="s">
        <v>376</v>
      </c>
      <c r="AK962" s="46" t="s">
        <v>658</v>
      </c>
      <c r="AL962" s="46" t="s">
        <v>1017</v>
      </c>
      <c r="AM962" s="46" t="s">
        <v>1018</v>
      </c>
      <c r="AN962" s="46" t="s">
        <v>376</v>
      </c>
      <c r="AO962" s="46" t="s">
        <v>658</v>
      </c>
      <c r="AP962" s="46"/>
      <c r="AQ962" s="46">
        <v>2</v>
      </c>
      <c r="AR962" s="46"/>
      <c r="AS962" s="46"/>
      <c r="AT962" s="46"/>
      <c r="AU962" s="46" t="s">
        <v>376</v>
      </c>
      <c r="AV962" s="46"/>
      <c r="AW962" s="46" t="s">
        <v>30</v>
      </c>
      <c r="AX962" s="46"/>
      <c r="AY962" s="46" t="s">
        <v>30</v>
      </c>
      <c r="AZ962" s="46"/>
      <c r="BA962" s="47"/>
      <c r="BB962" s="51"/>
      <c r="BC962" s="46"/>
      <c r="BD962" s="46"/>
      <c r="BE962" s="46"/>
      <c r="BF962" s="46">
        <v>1</v>
      </c>
      <c r="BG962" s="46">
        <v>1</v>
      </c>
      <c r="BH962" s="46">
        <v>1</v>
      </c>
      <c r="BI962" s="46" t="s">
        <v>1151</v>
      </c>
      <c r="BJ962" s="46" t="s">
        <v>813</v>
      </c>
      <c r="BK962" s="46">
        <v>1981</v>
      </c>
      <c r="BL962" s="46" t="str">
        <f>BK962&amp;BI962</f>
        <v>1981Wolverhampton Wanderers</v>
      </c>
      <c r="BM962" s="52" t="str">
        <f>IF(AD962="Home",BI962,IF(AD962="Away",BJ962,Q962))</f>
        <v>Sheffield</v>
      </c>
      <c r="BN962" s="46"/>
      <c r="BO962" s="46"/>
      <c r="BP962" s="46"/>
      <c r="BQ962" s="46"/>
      <c r="BR962" s="46"/>
      <c r="BS962" s="46"/>
      <c r="BT962" s="46"/>
      <c r="BU962" s="46"/>
      <c r="BV962" s="46" t="s">
        <v>376</v>
      </c>
      <c r="BW962" s="46" t="s">
        <v>376</v>
      </c>
      <c r="BX962" s="46"/>
      <c r="BY962" s="50"/>
      <c r="BZ962" s="53"/>
      <c r="CA962" s="53"/>
      <c r="CB962" s="93" t="str">
        <f>IF(OR(C962="",A962="",B962=""),"",TEXT(C962,"0000")&amp;TEXT(A962,"00")&amp;TEXT(B962,"00"))</f>
        <v>19810411</v>
      </c>
    </row>
    <row r="963" spans="1:80" s="52" customFormat="1" ht="12.95" customHeight="1" x14ac:dyDescent="0.2">
      <c r="A963" s="46">
        <v>4</v>
      </c>
      <c r="B963" s="46">
        <v>11</v>
      </c>
      <c r="C963" s="46">
        <v>1981</v>
      </c>
      <c r="D963" s="46" t="s">
        <v>658</v>
      </c>
      <c r="E963" s="46" t="s">
        <v>543</v>
      </c>
      <c r="F963" s="47" t="s">
        <v>1010</v>
      </c>
      <c r="G963" s="46"/>
      <c r="H963" s="47" t="s">
        <v>1011</v>
      </c>
      <c r="I963" s="47"/>
      <c r="J963" s="48">
        <v>29687</v>
      </c>
      <c r="K963" s="46" t="s">
        <v>813</v>
      </c>
      <c r="L963" s="46" t="s">
        <v>1014</v>
      </c>
      <c r="M963" s="46" t="s">
        <v>1151</v>
      </c>
      <c r="N963" s="49">
        <v>2</v>
      </c>
      <c r="O963" s="49">
        <v>2</v>
      </c>
      <c r="P963" s="47" t="s">
        <v>1252</v>
      </c>
      <c r="Q963" s="47" t="s">
        <v>1097</v>
      </c>
      <c r="R963" s="47" t="s">
        <v>376</v>
      </c>
      <c r="S963" s="46"/>
      <c r="T963" s="46"/>
      <c r="U963" s="46"/>
      <c r="V963" s="46"/>
      <c r="W963" s="46"/>
      <c r="X963" s="46"/>
      <c r="Y963" s="46"/>
      <c r="Z963" s="46"/>
      <c r="AA963" s="46"/>
      <c r="AB963" s="46"/>
      <c r="AC963" s="46"/>
      <c r="AD963" s="46"/>
      <c r="AE963" s="50">
        <f>IF(L963="W",1,0)</f>
        <v>0</v>
      </c>
      <c r="AF963" s="50">
        <f>IF(L963="T",1,0)</f>
        <v>1</v>
      </c>
      <c r="AG963" s="50">
        <f>IF(L963="L",1,0)</f>
        <v>0</v>
      </c>
      <c r="AH963" s="46" t="s">
        <v>1017</v>
      </c>
      <c r="AI963" s="46" t="s">
        <v>1018</v>
      </c>
      <c r="AJ963" s="46" t="s">
        <v>376</v>
      </c>
      <c r="AK963" s="46" t="s">
        <v>658</v>
      </c>
      <c r="AL963" s="46" t="s">
        <v>1111</v>
      </c>
      <c r="AM963" s="46" t="s">
        <v>1126</v>
      </c>
      <c r="AN963" s="46" t="s">
        <v>376</v>
      </c>
      <c r="AO963" s="46" t="s">
        <v>658</v>
      </c>
      <c r="AP963" s="46"/>
      <c r="AQ963" s="46">
        <v>2</v>
      </c>
      <c r="AR963" s="46"/>
      <c r="AS963" s="46"/>
      <c r="AT963" s="46"/>
      <c r="AU963" s="46" t="s">
        <v>376</v>
      </c>
      <c r="AV963" s="46"/>
      <c r="AW963" s="46" t="s">
        <v>30</v>
      </c>
      <c r="AX963" s="46"/>
      <c r="AY963" s="46" t="s">
        <v>30</v>
      </c>
      <c r="AZ963" s="46"/>
      <c r="BA963" s="47"/>
      <c r="BB963" s="51"/>
      <c r="BC963" s="46"/>
      <c r="BD963" s="46"/>
      <c r="BE963" s="46"/>
      <c r="BF963" s="46">
        <v>1</v>
      </c>
      <c r="BG963" s="46">
        <v>1</v>
      </c>
      <c r="BH963" s="46">
        <v>1</v>
      </c>
      <c r="BI963" s="46" t="s">
        <v>813</v>
      </c>
      <c r="BJ963" s="46" t="s">
        <v>1151</v>
      </c>
      <c r="BK963" s="46">
        <v>1981</v>
      </c>
      <c r="BL963" s="46" t="str">
        <f>BK963&amp;BI963</f>
        <v>1981Tottenham Hotspur</v>
      </c>
      <c r="BM963" s="52" t="str">
        <f>IF(AD963="Home",BI963,IF(AD963="Away",BJ963,Q963))</f>
        <v>Sheffield</v>
      </c>
      <c r="BN963" s="46"/>
      <c r="BO963" s="46"/>
      <c r="BP963" s="46"/>
      <c r="BQ963" s="46"/>
      <c r="BR963" s="46"/>
      <c r="BS963" s="46"/>
      <c r="BT963" s="46"/>
      <c r="BU963" s="46"/>
      <c r="BV963" s="46" t="s">
        <v>376</v>
      </c>
      <c r="BW963" s="46" t="s">
        <v>376</v>
      </c>
      <c r="BX963" s="46"/>
      <c r="BY963" s="50"/>
      <c r="BZ963" s="53"/>
      <c r="CA963" s="53"/>
      <c r="CB963" s="93" t="str">
        <f>IF(OR(C963="",A963="",B963=""),"",TEXT(C963,"0000")&amp;TEXT(A963,"00")&amp;TEXT(B963,"00"))</f>
        <v>19810411</v>
      </c>
    </row>
    <row r="964" spans="1:80" s="52" customFormat="1" ht="12.95" customHeight="1" x14ac:dyDescent="0.2">
      <c r="A964" s="46">
        <v>4</v>
      </c>
      <c r="B964" s="46">
        <v>11</v>
      </c>
      <c r="C964" s="46">
        <v>1981</v>
      </c>
      <c r="D964" s="46" t="s">
        <v>658</v>
      </c>
      <c r="E964" s="46" t="s">
        <v>543</v>
      </c>
      <c r="F964" s="47" t="s">
        <v>1010</v>
      </c>
      <c r="G964" s="46"/>
      <c r="H964" s="47" t="s">
        <v>1011</v>
      </c>
      <c r="I964" s="47"/>
      <c r="J964" s="48">
        <v>29687</v>
      </c>
      <c r="K964" s="46" t="s">
        <v>823</v>
      </c>
      <c r="L964" s="46" t="s">
        <v>3</v>
      </c>
      <c r="M964" s="46" t="s">
        <v>1363</v>
      </c>
      <c r="N964" s="49">
        <v>1</v>
      </c>
      <c r="O964" s="49">
        <v>0</v>
      </c>
      <c r="P964" s="47" t="s">
        <v>1219</v>
      </c>
      <c r="Q964" s="47" t="s">
        <v>1111</v>
      </c>
      <c r="R964" s="47" t="s">
        <v>376</v>
      </c>
      <c r="S964" s="46"/>
      <c r="T964" s="46"/>
      <c r="U964" s="46"/>
      <c r="V964" s="46"/>
      <c r="W964" s="46"/>
      <c r="X964" s="46"/>
      <c r="Y964" s="46"/>
      <c r="Z964" s="46"/>
      <c r="AA964" s="46"/>
      <c r="AB964" s="46"/>
      <c r="AC964" s="46"/>
      <c r="AD964" s="46"/>
      <c r="AE964" s="50">
        <f>IF(L964="W",1,0)</f>
        <v>1</v>
      </c>
      <c r="AF964" s="50">
        <f>IF(L964="T",1,0)</f>
        <v>0</v>
      </c>
      <c r="AG964" s="50">
        <f>IF(L964="L",1,0)</f>
        <v>0</v>
      </c>
      <c r="AH964" s="46" t="s">
        <v>1101</v>
      </c>
      <c r="AI964" s="46" t="s">
        <v>1159</v>
      </c>
      <c r="AJ964" s="46" t="s">
        <v>376</v>
      </c>
      <c r="AK964" s="46" t="s">
        <v>658</v>
      </c>
      <c r="AL964" s="46" t="s">
        <v>1364</v>
      </c>
      <c r="AM964" s="46" t="s">
        <v>1365</v>
      </c>
      <c r="AN964" s="46" t="s">
        <v>376</v>
      </c>
      <c r="AO964" s="46" t="s">
        <v>658</v>
      </c>
      <c r="AP964" s="46"/>
      <c r="AQ964" s="46">
        <v>2</v>
      </c>
      <c r="AR964" s="46"/>
      <c r="AS964" s="46"/>
      <c r="AT964" s="46"/>
      <c r="AU964" s="46" t="s">
        <v>376</v>
      </c>
      <c r="AV964" s="46"/>
      <c r="AW964" s="46" t="s">
        <v>30</v>
      </c>
      <c r="AX964" s="46"/>
      <c r="AY964" s="46" t="s">
        <v>30</v>
      </c>
      <c r="AZ964" s="46"/>
      <c r="BA964" s="47"/>
      <c r="BB964" s="51"/>
      <c r="BC964" s="46"/>
      <c r="BD964" s="46"/>
      <c r="BE964" s="46"/>
      <c r="BF964" s="46">
        <v>1</v>
      </c>
      <c r="BG964" s="46">
        <v>1</v>
      </c>
      <c r="BH964" s="46">
        <v>1</v>
      </c>
      <c r="BI964" s="46" t="s">
        <v>823</v>
      </c>
      <c r="BJ964" s="46" t="s">
        <v>1363</v>
      </c>
      <c r="BK964" s="46">
        <v>1981</v>
      </c>
      <c r="BL964" s="46" t="str">
        <f>BK964&amp;BI964</f>
        <v>1981Manchester City</v>
      </c>
      <c r="BM964" s="52" t="str">
        <f>IF(AD964="Home",BI964,IF(AD964="Away",BJ964,Q964))</f>
        <v>Birmingham</v>
      </c>
      <c r="BN964" s="46"/>
      <c r="BO964" s="46"/>
      <c r="BP964" s="46"/>
      <c r="BQ964" s="46"/>
      <c r="BR964" s="46"/>
      <c r="BS964" s="46"/>
      <c r="BT964" s="46"/>
      <c r="BU964" s="46"/>
      <c r="BV964" s="46" t="s">
        <v>376</v>
      </c>
      <c r="BW964" s="46" t="s">
        <v>376</v>
      </c>
      <c r="BX964" s="46"/>
      <c r="BZ964" s="53"/>
      <c r="CA964" s="53"/>
      <c r="CB964" s="93" t="str">
        <f>IF(OR(C964="",A964="",B964=""),"",TEXT(C964,"0000")&amp;TEXT(A964,"00")&amp;TEXT(B964,"00"))</f>
        <v>19810411</v>
      </c>
    </row>
    <row r="965" spans="1:80" s="52" customFormat="1" ht="12.95" customHeight="1" x14ac:dyDescent="0.2">
      <c r="A965" s="46">
        <v>4</v>
      </c>
      <c r="B965" s="46">
        <v>11</v>
      </c>
      <c r="C965" s="46">
        <v>1981</v>
      </c>
      <c r="D965" s="46" t="s">
        <v>658</v>
      </c>
      <c r="E965" s="46" t="s">
        <v>543</v>
      </c>
      <c r="F965" s="47" t="s">
        <v>1010</v>
      </c>
      <c r="G965" s="46"/>
      <c r="H965" s="47" t="s">
        <v>1011</v>
      </c>
      <c r="I965" s="47"/>
      <c r="J965" s="48">
        <v>29687</v>
      </c>
      <c r="K965" s="46" t="s">
        <v>1363</v>
      </c>
      <c r="L965" s="46" t="s">
        <v>4</v>
      </c>
      <c r="M965" s="46" t="s">
        <v>823</v>
      </c>
      <c r="N965" s="49">
        <v>0</v>
      </c>
      <c r="O965" s="49">
        <v>1</v>
      </c>
      <c r="P965" s="47" t="s">
        <v>1219</v>
      </c>
      <c r="Q965" s="47" t="s">
        <v>1111</v>
      </c>
      <c r="R965" s="47" t="s">
        <v>376</v>
      </c>
      <c r="S965" s="46"/>
      <c r="T965" s="46"/>
      <c r="U965" s="46"/>
      <c r="V965" s="46"/>
      <c r="W965" s="46"/>
      <c r="X965" s="46"/>
      <c r="Y965" s="46"/>
      <c r="Z965" s="46"/>
      <c r="AA965" s="46"/>
      <c r="AB965" s="46"/>
      <c r="AC965" s="46"/>
      <c r="AD965" s="46"/>
      <c r="AE965" s="50">
        <f>IF(L965="W",1,0)</f>
        <v>0</v>
      </c>
      <c r="AF965" s="50">
        <f>IF(L965="T",1,0)</f>
        <v>0</v>
      </c>
      <c r="AG965" s="50">
        <f>IF(L965="L",1,0)</f>
        <v>1</v>
      </c>
      <c r="AH965" s="46" t="s">
        <v>1364</v>
      </c>
      <c r="AI965" s="46" t="s">
        <v>1365</v>
      </c>
      <c r="AJ965" s="46" t="s">
        <v>376</v>
      </c>
      <c r="AK965" s="46" t="s">
        <v>658</v>
      </c>
      <c r="AL965" s="46" t="s">
        <v>1101</v>
      </c>
      <c r="AM965" s="46" t="s">
        <v>1159</v>
      </c>
      <c r="AN965" s="46" t="s">
        <v>376</v>
      </c>
      <c r="AO965" s="46" t="s">
        <v>658</v>
      </c>
      <c r="AP965" s="46"/>
      <c r="AQ965" s="46">
        <v>2</v>
      </c>
      <c r="AR965" s="46"/>
      <c r="AS965" s="46"/>
      <c r="AT965" s="46"/>
      <c r="AU965" s="46" t="s">
        <v>376</v>
      </c>
      <c r="AV965" s="46"/>
      <c r="AW965" s="46" t="s">
        <v>30</v>
      </c>
      <c r="AX965" s="46"/>
      <c r="AY965" s="46" t="s">
        <v>30</v>
      </c>
      <c r="AZ965" s="46"/>
      <c r="BA965" s="47"/>
      <c r="BB965" s="51"/>
      <c r="BC965" s="46"/>
      <c r="BD965" s="46"/>
      <c r="BE965" s="46"/>
      <c r="BF965" s="46">
        <v>1</v>
      </c>
      <c r="BG965" s="46">
        <v>1</v>
      </c>
      <c r="BH965" s="46">
        <v>1</v>
      </c>
      <c r="BI965" s="46" t="s">
        <v>1363</v>
      </c>
      <c r="BJ965" s="46" t="s">
        <v>823</v>
      </c>
      <c r="BK965" s="46">
        <v>1981</v>
      </c>
      <c r="BL965" s="46" t="str">
        <f>BK965&amp;BI965</f>
        <v>1981Ipswich Town</v>
      </c>
      <c r="BM965" s="52" t="str">
        <f>IF(AD965="Home",BI965,IF(AD965="Away",BJ965,Q965))</f>
        <v>Birmingham</v>
      </c>
      <c r="BN965" s="46"/>
      <c r="BO965" s="46"/>
      <c r="BP965" s="46"/>
      <c r="BQ965" s="46"/>
      <c r="BR965" s="46"/>
      <c r="BS965" s="46"/>
      <c r="BT965" s="46"/>
      <c r="BU965" s="46"/>
      <c r="BV965" s="46" t="s">
        <v>376</v>
      </c>
      <c r="BW965" s="46" t="s">
        <v>376</v>
      </c>
      <c r="BX965" s="46"/>
      <c r="BZ965" s="53"/>
      <c r="CA965" s="53"/>
      <c r="CB965" s="93" t="str">
        <f>IF(OR(C965="",A965="",B965=""),"",TEXT(C965,"0000")&amp;TEXT(A965,"00")&amp;TEXT(B965,"00"))</f>
        <v>19810411</v>
      </c>
    </row>
    <row r="966" spans="1:80" s="52" customFormat="1" ht="12.95" customHeight="1" x14ac:dyDescent="0.2">
      <c r="A966" s="46">
        <v>4</v>
      </c>
      <c r="B966" s="46">
        <v>15</v>
      </c>
      <c r="C966" s="46">
        <v>1981</v>
      </c>
      <c r="D966" s="46" t="s">
        <v>658</v>
      </c>
      <c r="E966" s="46" t="s">
        <v>543</v>
      </c>
      <c r="F966" s="47" t="s">
        <v>1010</v>
      </c>
      <c r="G966" s="46"/>
      <c r="H966" s="47" t="s">
        <v>1011</v>
      </c>
      <c r="I966" s="47" t="s">
        <v>1023</v>
      </c>
      <c r="J966" s="48">
        <v>29691</v>
      </c>
      <c r="K966" s="46" t="s">
        <v>813</v>
      </c>
      <c r="L966" s="46" t="s">
        <v>3</v>
      </c>
      <c r="M966" s="46" t="s">
        <v>1151</v>
      </c>
      <c r="N966" s="49">
        <v>3</v>
      </c>
      <c r="O966" s="49">
        <v>0</v>
      </c>
      <c r="P966" s="47" t="s">
        <v>1281</v>
      </c>
      <c r="Q966" s="47" t="s">
        <v>1017</v>
      </c>
      <c r="R966" s="47" t="s">
        <v>376</v>
      </c>
      <c r="S966" s="46"/>
      <c r="T966" s="46"/>
      <c r="U966" s="46"/>
      <c r="V966" s="46"/>
      <c r="W966" s="46"/>
      <c r="X966" s="46"/>
      <c r="Y966" s="46"/>
      <c r="Z966" s="46"/>
      <c r="AA966" s="46"/>
      <c r="AB966" s="46"/>
      <c r="AC966" s="46"/>
      <c r="AD966" s="46"/>
      <c r="AE966" s="50">
        <f>IF(L966="W",1,0)</f>
        <v>1</v>
      </c>
      <c r="AF966" s="50">
        <f>IF(L966="T",1,0)</f>
        <v>0</v>
      </c>
      <c r="AG966" s="50">
        <f>IF(L966="L",1,0)</f>
        <v>0</v>
      </c>
      <c r="AH966" s="46" t="s">
        <v>1017</v>
      </c>
      <c r="AI966" s="46" t="s">
        <v>1018</v>
      </c>
      <c r="AJ966" s="46" t="s">
        <v>376</v>
      </c>
      <c r="AK966" s="46" t="s">
        <v>658</v>
      </c>
      <c r="AL966" s="46" t="s">
        <v>1111</v>
      </c>
      <c r="AM966" s="46" t="s">
        <v>1126</v>
      </c>
      <c r="AN966" s="46" t="s">
        <v>376</v>
      </c>
      <c r="AO966" s="46" t="s">
        <v>658</v>
      </c>
      <c r="AP966" s="46"/>
      <c r="AQ966" s="46">
        <v>2</v>
      </c>
      <c r="AR966" s="46"/>
      <c r="AS966" s="46"/>
      <c r="AT966" s="46"/>
      <c r="AU966" s="46" t="s">
        <v>376</v>
      </c>
      <c r="AV966" s="46"/>
      <c r="AW966" s="46" t="s">
        <v>30</v>
      </c>
      <c r="AX966" s="46"/>
      <c r="AY966" s="46" t="s">
        <v>30</v>
      </c>
      <c r="AZ966" s="46"/>
      <c r="BA966" s="47"/>
      <c r="BB966" s="51"/>
      <c r="BC966" s="46"/>
      <c r="BD966" s="46"/>
      <c r="BE966" s="46"/>
      <c r="BF966" s="46">
        <v>1</v>
      </c>
      <c r="BG966" s="46">
        <v>1</v>
      </c>
      <c r="BH966" s="46">
        <v>1</v>
      </c>
      <c r="BI966" s="46" t="s">
        <v>813</v>
      </c>
      <c r="BJ966" s="46" t="s">
        <v>1151</v>
      </c>
      <c r="BK966" s="46">
        <v>1981</v>
      </c>
      <c r="BL966" s="46" t="str">
        <f>BK966&amp;BI966</f>
        <v>1981Tottenham Hotspur</v>
      </c>
      <c r="BM966" s="52" t="str">
        <f>IF(AD966="Home",BI966,IF(AD966="Away",BJ966,Q966))</f>
        <v>London</v>
      </c>
      <c r="BN966" s="46"/>
      <c r="BO966" s="46"/>
      <c r="BP966" s="46"/>
      <c r="BQ966" s="46"/>
      <c r="BR966" s="46"/>
      <c r="BS966" s="46"/>
      <c r="BT966" s="46"/>
      <c r="BU966" s="46"/>
      <c r="BV966" s="46" t="s">
        <v>376</v>
      </c>
      <c r="BW966" s="46" t="s">
        <v>376</v>
      </c>
      <c r="BX966" s="46"/>
      <c r="BZ966" s="53"/>
      <c r="CA966" s="53"/>
      <c r="CB966" s="93" t="str">
        <f>IF(OR(C966="",A966="",B966=""),"",TEXT(C966,"0000")&amp;TEXT(A966,"00")&amp;TEXT(B966,"00"))</f>
        <v>19810415</v>
      </c>
    </row>
    <row r="967" spans="1:80" s="52" customFormat="1" ht="12.95" customHeight="1" x14ac:dyDescent="0.2">
      <c r="A967" s="46">
        <v>4</v>
      </c>
      <c r="B967" s="46">
        <v>15</v>
      </c>
      <c r="C967" s="46">
        <v>1981</v>
      </c>
      <c r="D967" s="46" t="s">
        <v>658</v>
      </c>
      <c r="E967" s="46" t="s">
        <v>543</v>
      </c>
      <c r="F967" s="47" t="s">
        <v>1010</v>
      </c>
      <c r="G967" s="46"/>
      <c r="H967" s="47" t="s">
        <v>1011</v>
      </c>
      <c r="I967" s="47" t="s">
        <v>1023</v>
      </c>
      <c r="J967" s="48">
        <v>29691</v>
      </c>
      <c r="K967" s="46" t="s">
        <v>1151</v>
      </c>
      <c r="L967" s="46" t="s">
        <v>4</v>
      </c>
      <c r="M967" s="46" t="s">
        <v>813</v>
      </c>
      <c r="N967" s="49">
        <v>0</v>
      </c>
      <c r="O967" s="49">
        <v>3</v>
      </c>
      <c r="P967" s="47" t="s">
        <v>1281</v>
      </c>
      <c r="Q967" s="47" t="s">
        <v>1017</v>
      </c>
      <c r="R967" s="47" t="s">
        <v>376</v>
      </c>
      <c r="S967" s="46"/>
      <c r="T967" s="46"/>
      <c r="U967" s="46"/>
      <c r="V967" s="46"/>
      <c r="W967" s="46"/>
      <c r="X967" s="46"/>
      <c r="Y967" s="46"/>
      <c r="Z967" s="46"/>
      <c r="AA967" s="46"/>
      <c r="AB967" s="46"/>
      <c r="AC967" s="46"/>
      <c r="AD967" s="46"/>
      <c r="AE967" s="50">
        <f>IF(L967="W",1,0)</f>
        <v>0</v>
      </c>
      <c r="AF967" s="50">
        <f>IF(L967="T",1,0)</f>
        <v>0</v>
      </c>
      <c r="AG967" s="50">
        <f>IF(L967="L",1,0)</f>
        <v>1</v>
      </c>
      <c r="AH967" s="46" t="s">
        <v>1111</v>
      </c>
      <c r="AI967" s="46" t="s">
        <v>1126</v>
      </c>
      <c r="AJ967" s="46" t="s">
        <v>376</v>
      </c>
      <c r="AK967" s="46" t="s">
        <v>658</v>
      </c>
      <c r="AL967" s="46" t="s">
        <v>1017</v>
      </c>
      <c r="AM967" s="46" t="s">
        <v>1018</v>
      </c>
      <c r="AN967" s="46" t="s">
        <v>376</v>
      </c>
      <c r="AO967" s="46" t="s">
        <v>658</v>
      </c>
      <c r="AP967" s="46"/>
      <c r="AQ967" s="46">
        <v>2</v>
      </c>
      <c r="AR967" s="46"/>
      <c r="AS967" s="46"/>
      <c r="AT967" s="46"/>
      <c r="AU967" s="46" t="s">
        <v>376</v>
      </c>
      <c r="AV967" s="46"/>
      <c r="AW967" s="46" t="s">
        <v>30</v>
      </c>
      <c r="AX967" s="46"/>
      <c r="AY967" s="46" t="s">
        <v>30</v>
      </c>
      <c r="AZ967" s="46"/>
      <c r="BA967" s="47"/>
      <c r="BB967" s="51"/>
      <c r="BC967" s="46"/>
      <c r="BD967" s="46"/>
      <c r="BE967" s="46"/>
      <c r="BF967" s="46">
        <v>1</v>
      </c>
      <c r="BG967" s="46">
        <v>1</v>
      </c>
      <c r="BH967" s="46">
        <v>1</v>
      </c>
      <c r="BI967" s="46" t="s">
        <v>1151</v>
      </c>
      <c r="BJ967" s="46" t="s">
        <v>813</v>
      </c>
      <c r="BK967" s="46">
        <v>1981</v>
      </c>
      <c r="BL967" s="46" t="str">
        <f>BK967&amp;BI967</f>
        <v>1981Wolverhampton Wanderers</v>
      </c>
      <c r="BM967" s="52" t="str">
        <f>IF(AD967="Home",BI967,IF(AD967="Away",BJ967,Q967))</f>
        <v>London</v>
      </c>
      <c r="BN967" s="46"/>
      <c r="BO967" s="46"/>
      <c r="BP967" s="46"/>
      <c r="BQ967" s="46"/>
      <c r="BR967" s="46"/>
      <c r="BS967" s="46"/>
      <c r="BT967" s="46"/>
      <c r="BU967" s="46"/>
      <c r="BV967" s="46" t="s">
        <v>376</v>
      </c>
      <c r="BW967" s="46" t="s">
        <v>376</v>
      </c>
      <c r="BX967" s="46"/>
      <c r="BZ967" s="53"/>
      <c r="CA967" s="53"/>
      <c r="CB967" s="93" t="str">
        <f>IF(OR(C967="",A967="",B967=""),"",TEXT(C967,"0000")&amp;TEXT(A967,"00")&amp;TEXT(B967,"00"))</f>
        <v>19810415</v>
      </c>
    </row>
    <row r="968" spans="1:80" s="52" customFormat="1" ht="12.95" customHeight="1" x14ac:dyDescent="0.2">
      <c r="A968" s="46">
        <v>5</v>
      </c>
      <c r="B968" s="46">
        <v>9</v>
      </c>
      <c r="C968" s="46">
        <v>1981</v>
      </c>
      <c r="D968" s="46" t="s">
        <v>658</v>
      </c>
      <c r="E968" s="46" t="s">
        <v>543</v>
      </c>
      <c r="F968" s="47" t="s">
        <v>1010</v>
      </c>
      <c r="G968" s="46"/>
      <c r="H968" s="47" t="s">
        <v>1025</v>
      </c>
      <c r="I968" s="47"/>
      <c r="J968" s="48">
        <v>29715</v>
      </c>
      <c r="K968" s="46" t="s">
        <v>813</v>
      </c>
      <c r="L968" s="46" t="s">
        <v>1014</v>
      </c>
      <c r="M968" s="46" t="s">
        <v>823</v>
      </c>
      <c r="N968" s="49">
        <v>1</v>
      </c>
      <c r="O968" s="49">
        <v>1</v>
      </c>
      <c r="P968" s="47" t="s">
        <v>1268</v>
      </c>
      <c r="Q968" s="47" t="s">
        <v>1017</v>
      </c>
      <c r="R968" s="47" t="s">
        <v>376</v>
      </c>
      <c r="S968" s="46"/>
      <c r="T968" s="46"/>
      <c r="U968" s="46"/>
      <c r="V968" s="46"/>
      <c r="W968" s="46"/>
      <c r="X968" s="46"/>
      <c r="Y968" s="46"/>
      <c r="Z968" s="46"/>
      <c r="AA968" s="46"/>
      <c r="AB968" s="46"/>
      <c r="AC968" s="46"/>
      <c r="AD968" s="46"/>
      <c r="AE968" s="50">
        <f>IF(L968="W",1,0)</f>
        <v>0</v>
      </c>
      <c r="AF968" s="50">
        <f>IF(L968="T",1,0)</f>
        <v>1</v>
      </c>
      <c r="AG968" s="50">
        <f>IF(L968="L",1,0)</f>
        <v>0</v>
      </c>
      <c r="AH968" s="46" t="s">
        <v>1017</v>
      </c>
      <c r="AI968" s="46" t="s">
        <v>1018</v>
      </c>
      <c r="AJ968" s="46" t="s">
        <v>376</v>
      </c>
      <c r="AK968" s="46" t="s">
        <v>658</v>
      </c>
      <c r="AL968" s="46" t="s">
        <v>1101</v>
      </c>
      <c r="AM968" s="46" t="s">
        <v>1159</v>
      </c>
      <c r="AN968" s="46" t="s">
        <v>376</v>
      </c>
      <c r="AO968" s="46" t="s">
        <v>658</v>
      </c>
      <c r="AP968" s="46"/>
      <c r="AQ968" s="46">
        <v>1</v>
      </c>
      <c r="AR968" s="46"/>
      <c r="AS968" s="46"/>
      <c r="AT968" s="46"/>
      <c r="AU968" s="46" t="s">
        <v>376</v>
      </c>
      <c r="AV968" s="46"/>
      <c r="AW968" s="46" t="s">
        <v>30</v>
      </c>
      <c r="AX968" s="46"/>
      <c r="AY968" s="46" t="s">
        <v>30</v>
      </c>
      <c r="AZ968" s="46"/>
      <c r="BA968" s="47"/>
      <c r="BB968" s="51"/>
      <c r="BC968" s="46" t="s">
        <v>30</v>
      </c>
      <c r="BD968" s="46"/>
      <c r="BE968" s="46"/>
      <c r="BF968" s="46">
        <v>1</v>
      </c>
      <c r="BG968" s="46">
        <v>1</v>
      </c>
      <c r="BH968" s="46">
        <v>1</v>
      </c>
      <c r="BI968" s="46" t="s">
        <v>813</v>
      </c>
      <c r="BJ968" s="46" t="s">
        <v>823</v>
      </c>
      <c r="BK968" s="46">
        <v>1981</v>
      </c>
      <c r="BL968" s="46" t="str">
        <f>BK968&amp;BI968</f>
        <v>1981Tottenham Hotspur</v>
      </c>
      <c r="BM968" s="52" t="str">
        <f>IF(AD968="Home",BI968,IF(AD968="Away",BJ968,Q968))</f>
        <v>London</v>
      </c>
      <c r="BN968" s="46"/>
      <c r="BO968" s="46"/>
      <c r="BP968" s="46"/>
      <c r="BQ968" s="46"/>
      <c r="BR968" s="46"/>
      <c r="BS968" s="46"/>
      <c r="BT968" s="46"/>
      <c r="BU968" s="46"/>
      <c r="BV968" s="46" t="s">
        <v>376</v>
      </c>
      <c r="BW968" s="46" t="s">
        <v>376</v>
      </c>
      <c r="BX968" s="46"/>
      <c r="BZ968" s="53"/>
      <c r="CA968" s="53"/>
      <c r="CB968" s="93" t="str">
        <f>IF(OR(C968="",A968="",B968=""),"",TEXT(C968,"0000")&amp;TEXT(A968,"00")&amp;TEXT(B968,"00"))</f>
        <v>19810509</v>
      </c>
    </row>
    <row r="969" spans="1:80" s="52" customFormat="1" ht="12.95" customHeight="1" x14ac:dyDescent="0.2">
      <c r="A969" s="46">
        <v>5</v>
      </c>
      <c r="B969" s="46">
        <v>9</v>
      </c>
      <c r="C969" s="46">
        <v>1981</v>
      </c>
      <c r="D969" s="46" t="s">
        <v>658</v>
      </c>
      <c r="E969" s="46" t="s">
        <v>543</v>
      </c>
      <c r="F969" s="47" t="s">
        <v>1010</v>
      </c>
      <c r="G969" s="46"/>
      <c r="H969" s="47" t="s">
        <v>1025</v>
      </c>
      <c r="I969" s="47"/>
      <c r="J969" s="48">
        <v>29715</v>
      </c>
      <c r="K969" s="46" t="s">
        <v>823</v>
      </c>
      <c r="L969" s="46" t="s">
        <v>1014</v>
      </c>
      <c r="M969" s="46" t="s">
        <v>813</v>
      </c>
      <c r="N969" s="49">
        <v>1</v>
      </c>
      <c r="O969" s="49">
        <v>1</v>
      </c>
      <c r="P969" s="47" t="s">
        <v>1268</v>
      </c>
      <c r="Q969" s="47" t="s">
        <v>1017</v>
      </c>
      <c r="R969" s="47" t="s">
        <v>376</v>
      </c>
      <c r="S969" s="46"/>
      <c r="T969" s="46"/>
      <c r="U969" s="46"/>
      <c r="V969" s="46"/>
      <c r="W969" s="46"/>
      <c r="X969" s="46"/>
      <c r="Y969" s="46"/>
      <c r="Z969" s="46"/>
      <c r="AA969" s="46"/>
      <c r="AB969" s="46"/>
      <c r="AC969" s="46"/>
      <c r="AD969" s="46"/>
      <c r="AE969" s="50">
        <f>IF(L969="W",1,0)</f>
        <v>0</v>
      </c>
      <c r="AF969" s="50">
        <f>IF(L969="T",1,0)</f>
        <v>1</v>
      </c>
      <c r="AG969" s="50">
        <f>IF(L969="L",1,0)</f>
        <v>0</v>
      </c>
      <c r="AH969" s="46" t="s">
        <v>1101</v>
      </c>
      <c r="AI969" s="46" t="s">
        <v>1159</v>
      </c>
      <c r="AJ969" s="46" t="s">
        <v>376</v>
      </c>
      <c r="AK969" s="46" t="s">
        <v>658</v>
      </c>
      <c r="AL969" s="46" t="s">
        <v>1017</v>
      </c>
      <c r="AM969" s="46" t="s">
        <v>1018</v>
      </c>
      <c r="AN969" s="46" t="s">
        <v>376</v>
      </c>
      <c r="AO969" s="46" t="s">
        <v>658</v>
      </c>
      <c r="AP969" s="46"/>
      <c r="AQ969" s="46">
        <v>1</v>
      </c>
      <c r="AR969" s="46"/>
      <c r="AS969" s="46"/>
      <c r="AT969" s="46"/>
      <c r="AU969" s="46" t="s">
        <v>376</v>
      </c>
      <c r="AV969" s="46"/>
      <c r="AW969" s="46" t="s">
        <v>30</v>
      </c>
      <c r="AX969" s="46"/>
      <c r="AY969" s="46" t="s">
        <v>30</v>
      </c>
      <c r="AZ969" s="46"/>
      <c r="BA969" s="47"/>
      <c r="BB969" s="51"/>
      <c r="BC969" s="46" t="s">
        <v>30</v>
      </c>
      <c r="BD969" s="46"/>
      <c r="BE969" s="46"/>
      <c r="BF969" s="46">
        <v>1</v>
      </c>
      <c r="BG969" s="46">
        <v>1</v>
      </c>
      <c r="BH969" s="46">
        <v>1</v>
      </c>
      <c r="BI969" s="46" t="s">
        <v>823</v>
      </c>
      <c r="BJ969" s="46" t="s">
        <v>813</v>
      </c>
      <c r="BK969" s="46">
        <v>1981</v>
      </c>
      <c r="BL969" s="46" t="str">
        <f>BK969&amp;BI969</f>
        <v>1981Manchester City</v>
      </c>
      <c r="BM969" s="52" t="str">
        <f>IF(AD969="Home",BI969,IF(AD969="Away",BJ969,Q969))</f>
        <v>London</v>
      </c>
      <c r="BN969" s="46"/>
      <c r="BO969" s="46"/>
      <c r="BP969" s="46"/>
      <c r="BQ969" s="46"/>
      <c r="BR969" s="46"/>
      <c r="BS969" s="46"/>
      <c r="BT969" s="46"/>
      <c r="BU969" s="46"/>
      <c r="BV969" s="46" t="s">
        <v>376</v>
      </c>
      <c r="BW969" s="46" t="s">
        <v>376</v>
      </c>
      <c r="BX969" s="46"/>
      <c r="BZ969" s="53"/>
      <c r="CA969" s="53"/>
      <c r="CB969" s="93" t="str">
        <f>IF(OR(C969="",A969="",B969=""),"",TEXT(C969,"0000")&amp;TEXT(A969,"00")&amp;TEXT(B969,"00"))</f>
        <v>19810509</v>
      </c>
    </row>
    <row r="970" spans="1:80" s="52" customFormat="1" ht="12.95" customHeight="1" x14ac:dyDescent="0.2">
      <c r="A970" s="46">
        <v>5</v>
      </c>
      <c r="B970" s="46">
        <v>14</v>
      </c>
      <c r="C970" s="46">
        <v>1981</v>
      </c>
      <c r="D970" s="46" t="s">
        <v>658</v>
      </c>
      <c r="E970" s="46" t="s">
        <v>543</v>
      </c>
      <c r="F970" s="47" t="s">
        <v>1010</v>
      </c>
      <c r="G970" s="46"/>
      <c r="H970" s="47" t="s">
        <v>1025</v>
      </c>
      <c r="I970" s="47" t="s">
        <v>1023</v>
      </c>
      <c r="J970" s="48">
        <v>29720</v>
      </c>
      <c r="K970" s="46" t="s">
        <v>813</v>
      </c>
      <c r="L970" s="46" t="s">
        <v>3</v>
      </c>
      <c r="M970" s="46" t="s">
        <v>823</v>
      </c>
      <c r="N970" s="49">
        <v>3</v>
      </c>
      <c r="O970" s="49">
        <v>2</v>
      </c>
      <c r="P970" s="47" t="s">
        <v>1268</v>
      </c>
      <c r="Q970" s="47" t="s">
        <v>1017</v>
      </c>
      <c r="R970" s="47" t="s">
        <v>376</v>
      </c>
      <c r="S970" s="46"/>
      <c r="T970" s="46"/>
      <c r="U970" s="46"/>
      <c r="V970" s="46"/>
      <c r="W970" s="46"/>
      <c r="X970" s="46"/>
      <c r="Y970" s="46"/>
      <c r="Z970" s="46"/>
      <c r="AA970" s="46"/>
      <c r="AB970" s="46"/>
      <c r="AC970" s="46"/>
      <c r="AD970" s="46"/>
      <c r="AE970" s="50">
        <f>IF(L970="W",1,0)</f>
        <v>1</v>
      </c>
      <c r="AF970" s="50">
        <f>IF(L970="T",1,0)</f>
        <v>0</v>
      </c>
      <c r="AG970" s="50">
        <f>IF(L970="L",1,0)</f>
        <v>0</v>
      </c>
      <c r="AH970" s="46" t="s">
        <v>1017</v>
      </c>
      <c r="AI970" s="46" t="s">
        <v>1018</v>
      </c>
      <c r="AJ970" s="46" t="s">
        <v>376</v>
      </c>
      <c r="AK970" s="46" t="s">
        <v>658</v>
      </c>
      <c r="AL970" s="46" t="s">
        <v>1101</v>
      </c>
      <c r="AM970" s="46" t="s">
        <v>1159</v>
      </c>
      <c r="AN970" s="46" t="s">
        <v>376</v>
      </c>
      <c r="AO970" s="46" t="s">
        <v>658</v>
      </c>
      <c r="AP970" s="46"/>
      <c r="AQ970" s="46">
        <v>1</v>
      </c>
      <c r="AR970" s="46"/>
      <c r="AS970" s="46"/>
      <c r="AT970" s="46"/>
      <c r="AU970" s="46" t="s">
        <v>376</v>
      </c>
      <c r="AV970" s="46"/>
      <c r="AW970" s="46" t="s">
        <v>30</v>
      </c>
      <c r="AX970" s="46"/>
      <c r="AY970" s="46" t="s">
        <v>30</v>
      </c>
      <c r="AZ970" s="46"/>
      <c r="BA970" s="47"/>
      <c r="BB970" s="51" t="s">
        <v>30</v>
      </c>
      <c r="BC970" s="46" t="s">
        <v>30</v>
      </c>
      <c r="BD970" s="46"/>
      <c r="BE970" s="46"/>
      <c r="BF970" s="46">
        <v>1</v>
      </c>
      <c r="BG970" s="46">
        <v>1</v>
      </c>
      <c r="BH970" s="46">
        <v>1</v>
      </c>
      <c r="BI970" s="46" t="s">
        <v>813</v>
      </c>
      <c r="BJ970" s="46" t="s">
        <v>823</v>
      </c>
      <c r="BK970" s="46">
        <v>1981</v>
      </c>
      <c r="BL970" s="46" t="str">
        <f>BK970&amp;BI970</f>
        <v>1981Tottenham Hotspur</v>
      </c>
      <c r="BM970" s="52" t="str">
        <f>IF(AD970="Home",BI970,IF(AD970="Away",BJ970,Q970))</f>
        <v>London</v>
      </c>
      <c r="BN970" s="46"/>
      <c r="BO970" s="46"/>
      <c r="BP970" s="46"/>
      <c r="BQ970" s="46"/>
      <c r="BR970" s="46"/>
      <c r="BS970" s="46"/>
      <c r="BT970" s="46"/>
      <c r="BU970" s="46"/>
      <c r="BV970" s="46" t="s">
        <v>376</v>
      </c>
      <c r="BW970" s="46" t="s">
        <v>376</v>
      </c>
      <c r="BX970" s="46"/>
      <c r="BZ970" s="53"/>
      <c r="CA970" s="53"/>
      <c r="CB970" s="93" t="str">
        <f>IF(OR(C970="",A970="",B970=""),"",TEXT(C970,"0000")&amp;TEXT(A970,"00")&amp;TEXT(B970,"00"))</f>
        <v>19810514</v>
      </c>
    </row>
    <row r="971" spans="1:80" s="52" customFormat="1" ht="12.95" customHeight="1" x14ac:dyDescent="0.2">
      <c r="A971" s="46">
        <v>5</v>
      </c>
      <c r="B971" s="46">
        <v>14</v>
      </c>
      <c r="C971" s="46">
        <v>1981</v>
      </c>
      <c r="D971" s="46" t="s">
        <v>658</v>
      </c>
      <c r="E971" s="46" t="s">
        <v>543</v>
      </c>
      <c r="F971" s="47" t="s">
        <v>1010</v>
      </c>
      <c r="G971" s="46"/>
      <c r="H971" s="47" t="s">
        <v>1025</v>
      </c>
      <c r="I971" s="47" t="s">
        <v>1023</v>
      </c>
      <c r="J971" s="48">
        <v>29720</v>
      </c>
      <c r="K971" s="46" t="s">
        <v>823</v>
      </c>
      <c r="L971" s="46" t="s">
        <v>4</v>
      </c>
      <c r="M971" s="46" t="s">
        <v>813</v>
      </c>
      <c r="N971" s="49">
        <v>2</v>
      </c>
      <c r="O971" s="49">
        <v>3</v>
      </c>
      <c r="P971" s="47" t="s">
        <v>1268</v>
      </c>
      <c r="Q971" s="47" t="s">
        <v>1017</v>
      </c>
      <c r="R971" s="47" t="s">
        <v>376</v>
      </c>
      <c r="S971" s="46"/>
      <c r="T971" s="46"/>
      <c r="U971" s="46"/>
      <c r="V971" s="46"/>
      <c r="W971" s="46"/>
      <c r="X971" s="46"/>
      <c r="Y971" s="46"/>
      <c r="Z971" s="46"/>
      <c r="AA971" s="46"/>
      <c r="AB971" s="46"/>
      <c r="AC971" s="46"/>
      <c r="AD971" s="46"/>
      <c r="AE971" s="50">
        <f>IF(L971="W",1,0)</f>
        <v>0</v>
      </c>
      <c r="AF971" s="50">
        <f>IF(L971="T",1,0)</f>
        <v>0</v>
      </c>
      <c r="AG971" s="50">
        <f>IF(L971="L",1,0)</f>
        <v>1</v>
      </c>
      <c r="AH971" s="46" t="s">
        <v>1101</v>
      </c>
      <c r="AI971" s="46" t="s">
        <v>1159</v>
      </c>
      <c r="AJ971" s="46" t="s">
        <v>376</v>
      </c>
      <c r="AK971" s="46" t="s">
        <v>658</v>
      </c>
      <c r="AL971" s="46" t="s">
        <v>1017</v>
      </c>
      <c r="AM971" s="46" t="s">
        <v>1018</v>
      </c>
      <c r="AN971" s="46" t="s">
        <v>376</v>
      </c>
      <c r="AO971" s="46" t="s">
        <v>658</v>
      </c>
      <c r="AP971" s="46"/>
      <c r="AQ971" s="46">
        <v>1</v>
      </c>
      <c r="AR971" s="46"/>
      <c r="AS971" s="46"/>
      <c r="AT971" s="46"/>
      <c r="AU971" s="46" t="s">
        <v>376</v>
      </c>
      <c r="AV971" s="46"/>
      <c r="AW971" s="46" t="s">
        <v>30</v>
      </c>
      <c r="AX971" s="46"/>
      <c r="AY971" s="46" t="s">
        <v>30</v>
      </c>
      <c r="AZ971" s="46"/>
      <c r="BA971" s="47"/>
      <c r="BB971" s="51"/>
      <c r="BC971" s="46" t="s">
        <v>30</v>
      </c>
      <c r="BD971" s="46"/>
      <c r="BE971" s="46"/>
      <c r="BF971" s="46">
        <v>1</v>
      </c>
      <c r="BG971" s="46">
        <v>1</v>
      </c>
      <c r="BH971" s="46">
        <v>1</v>
      </c>
      <c r="BI971" s="46" t="s">
        <v>823</v>
      </c>
      <c r="BJ971" s="46" t="s">
        <v>813</v>
      </c>
      <c r="BK971" s="46">
        <v>1981</v>
      </c>
      <c r="BL971" s="46" t="str">
        <f>BK971&amp;BI971</f>
        <v>1981Manchester City</v>
      </c>
      <c r="BM971" s="52" t="str">
        <f>IF(AD971="Home",BI971,IF(AD971="Away",BJ971,Q971))</f>
        <v>London</v>
      </c>
      <c r="BN971" s="46"/>
      <c r="BO971" s="46"/>
      <c r="BP971" s="46"/>
      <c r="BQ971" s="46"/>
      <c r="BR971" s="46"/>
      <c r="BS971" s="46"/>
      <c r="BT971" s="46"/>
      <c r="BU971" s="46"/>
      <c r="BV971" s="46" t="s">
        <v>376</v>
      </c>
      <c r="BW971" s="46" t="s">
        <v>376</v>
      </c>
      <c r="BX971" s="46"/>
      <c r="BZ971" s="53"/>
      <c r="CA971" s="53"/>
      <c r="CB971" s="93" t="str">
        <f>IF(OR(C971="",A971="",B971=""),"",TEXT(C971,"0000")&amp;TEXT(A971,"00")&amp;TEXT(B971,"00"))</f>
        <v>19810514</v>
      </c>
    </row>
    <row r="972" spans="1:80" s="52" customFormat="1" ht="12.95" customHeight="1" x14ac:dyDescent="0.2">
      <c r="A972" s="46">
        <v>2</v>
      </c>
      <c r="B972" s="46">
        <v>2</v>
      </c>
      <c r="C972" s="46">
        <v>1982</v>
      </c>
      <c r="D972" s="46" t="s">
        <v>658</v>
      </c>
      <c r="E972" s="46" t="s">
        <v>541</v>
      </c>
      <c r="F972" s="54" t="s">
        <v>1327</v>
      </c>
      <c r="G972" s="46"/>
      <c r="H972" s="54" t="s">
        <v>1011</v>
      </c>
      <c r="I972" s="54">
        <v>1</v>
      </c>
      <c r="J972" s="55">
        <v>29984</v>
      </c>
      <c r="K972" s="46" t="s">
        <v>1363</v>
      </c>
      <c r="L972" s="46" t="s">
        <v>4</v>
      </c>
      <c r="M972" s="46" t="s">
        <v>588</v>
      </c>
      <c r="N972" s="49">
        <v>0</v>
      </c>
      <c r="O972" s="49">
        <v>2</v>
      </c>
      <c r="P972" s="54" t="s">
        <v>1378</v>
      </c>
      <c r="Q972" s="54" t="s">
        <v>1364</v>
      </c>
      <c r="R972" s="54" t="s">
        <v>376</v>
      </c>
      <c r="S972" s="46"/>
      <c r="T972" s="46"/>
      <c r="U972" s="46"/>
      <c r="V972" s="46"/>
      <c r="W972" s="46"/>
      <c r="X972" s="46"/>
      <c r="Y972" s="46"/>
      <c r="Z972" s="46"/>
      <c r="AA972" s="46"/>
      <c r="AB972" s="46"/>
      <c r="AC972" s="46"/>
      <c r="AD972" s="46" t="s">
        <v>1033</v>
      </c>
      <c r="AE972" s="50">
        <f>IF(L972="W",1,0)</f>
        <v>0</v>
      </c>
      <c r="AF972" s="50">
        <f>IF(L972="T",1,0)</f>
        <v>0</v>
      </c>
      <c r="AG972" s="50">
        <f>IF(L972="L",1,0)</f>
        <v>1</v>
      </c>
      <c r="AH972" s="46" t="s">
        <v>1364</v>
      </c>
      <c r="AI972" s="46" t="s">
        <v>1365</v>
      </c>
      <c r="AJ972" s="46" t="s">
        <v>376</v>
      </c>
      <c r="AK972" s="46" t="s">
        <v>658</v>
      </c>
      <c r="AL972" s="46" t="s">
        <v>588</v>
      </c>
      <c r="AM972" s="46" t="s">
        <v>1175</v>
      </c>
      <c r="AN972" s="46" t="s">
        <v>376</v>
      </c>
      <c r="AO972" s="46" t="s">
        <v>658</v>
      </c>
      <c r="AP972" s="46"/>
      <c r="AQ972" s="46">
        <v>2</v>
      </c>
      <c r="AR972" s="46"/>
      <c r="AS972" s="46"/>
      <c r="AT972" s="46"/>
      <c r="AU972" s="46" t="s">
        <v>376</v>
      </c>
      <c r="AV972" s="46"/>
      <c r="AW972" s="46" t="s">
        <v>30</v>
      </c>
      <c r="AX972" s="46"/>
      <c r="AY972" s="46"/>
      <c r="AZ972" s="46" t="s">
        <v>30</v>
      </c>
      <c r="BA972" s="54"/>
      <c r="BB972" s="51"/>
      <c r="BC972" s="46"/>
      <c r="BD972" s="46"/>
      <c r="BE972" s="46"/>
      <c r="BF972" s="46">
        <v>1</v>
      </c>
      <c r="BG972" s="46">
        <v>1</v>
      </c>
      <c r="BH972" s="46">
        <v>1</v>
      </c>
      <c r="BI972" s="46" t="s">
        <v>1363</v>
      </c>
      <c r="BJ972" s="46" t="s">
        <v>588</v>
      </c>
      <c r="BK972" s="46">
        <v>1982</v>
      </c>
      <c r="BL972" s="46" t="str">
        <f>BK972&amp;BI972</f>
        <v>1982Ipswich Town</v>
      </c>
      <c r="BM972" s="52" t="str">
        <f>IF(AD972="Home",BI972,IF(AD972="Away",BJ972,Q972))</f>
        <v>Ipswich Town</v>
      </c>
      <c r="BN972" s="46"/>
      <c r="BO972" s="46"/>
      <c r="BP972" s="46"/>
      <c r="BQ972" s="46"/>
      <c r="BR972" s="46"/>
      <c r="BS972" s="46"/>
      <c r="BT972" s="46"/>
      <c r="BU972" s="46"/>
      <c r="BV972" s="46" t="s">
        <v>376</v>
      </c>
      <c r="BW972" s="46" t="s">
        <v>376</v>
      </c>
      <c r="BX972" s="46"/>
      <c r="BZ972" s="53"/>
      <c r="CA972" s="53"/>
      <c r="CB972" s="93" t="str">
        <f>IF(OR(C972="",A972="",B972=""),"",TEXT(C972,"0000")&amp;TEXT(A972,"00")&amp;TEXT(B972,"00"))</f>
        <v>19820202</v>
      </c>
    </row>
    <row r="973" spans="1:80" s="52" customFormat="1" ht="12.95" customHeight="1" x14ac:dyDescent="0.2">
      <c r="A973" s="46">
        <v>2</v>
      </c>
      <c r="B973" s="46">
        <v>2</v>
      </c>
      <c r="C973" s="46">
        <v>1982</v>
      </c>
      <c r="D973" s="46" t="s">
        <v>658</v>
      </c>
      <c r="E973" s="46" t="s">
        <v>541</v>
      </c>
      <c r="F973" s="54" t="s">
        <v>1327</v>
      </c>
      <c r="G973" s="46"/>
      <c r="H973" s="54" t="s">
        <v>1011</v>
      </c>
      <c r="I973" s="54">
        <v>1</v>
      </c>
      <c r="J973" s="55">
        <v>29984</v>
      </c>
      <c r="K973" s="46" t="s">
        <v>588</v>
      </c>
      <c r="L973" s="46" t="s">
        <v>3</v>
      </c>
      <c r="M973" s="46" t="s">
        <v>1363</v>
      </c>
      <c r="N973" s="49">
        <v>2</v>
      </c>
      <c r="O973" s="49">
        <v>0</v>
      </c>
      <c r="P973" s="54" t="s">
        <v>1378</v>
      </c>
      <c r="Q973" s="54" t="s">
        <v>1364</v>
      </c>
      <c r="R973" s="54" t="s">
        <v>376</v>
      </c>
      <c r="S973" s="46"/>
      <c r="T973" s="46"/>
      <c r="U973" s="46"/>
      <c r="V973" s="46"/>
      <c r="W973" s="46"/>
      <c r="X973" s="46"/>
      <c r="Y973" s="46"/>
      <c r="Z973" s="46"/>
      <c r="AA973" s="46"/>
      <c r="AB973" s="46"/>
      <c r="AC973" s="46"/>
      <c r="AD973" s="46" t="s">
        <v>1037</v>
      </c>
      <c r="AE973" s="50">
        <f>IF(L973="W",1,0)</f>
        <v>1</v>
      </c>
      <c r="AF973" s="50">
        <f>IF(L973="T",1,0)</f>
        <v>0</v>
      </c>
      <c r="AG973" s="50">
        <f>IF(L973="L",1,0)</f>
        <v>0</v>
      </c>
      <c r="AH973" s="46" t="s">
        <v>588</v>
      </c>
      <c r="AI973" s="46" t="s">
        <v>1175</v>
      </c>
      <c r="AJ973" s="46" t="s">
        <v>376</v>
      </c>
      <c r="AK973" s="46" t="s">
        <v>658</v>
      </c>
      <c r="AL973" s="46" t="s">
        <v>1364</v>
      </c>
      <c r="AM973" s="46" t="s">
        <v>1365</v>
      </c>
      <c r="AN973" s="46" t="s">
        <v>376</v>
      </c>
      <c r="AO973" s="46" t="s">
        <v>658</v>
      </c>
      <c r="AP973" s="46"/>
      <c r="AQ973" s="46">
        <v>2</v>
      </c>
      <c r="AR973" s="46"/>
      <c r="AS973" s="46"/>
      <c r="AT973" s="46"/>
      <c r="AU973" s="46" t="s">
        <v>376</v>
      </c>
      <c r="AV973" s="46"/>
      <c r="AW973" s="46" t="s">
        <v>30</v>
      </c>
      <c r="AX973" s="46"/>
      <c r="AY973" s="46"/>
      <c r="AZ973" s="46" t="s">
        <v>30</v>
      </c>
      <c r="BA973" s="54"/>
      <c r="BB973" s="51"/>
      <c r="BC973" s="46"/>
      <c r="BD973" s="46"/>
      <c r="BE973" s="46"/>
      <c r="BF973" s="46">
        <v>1</v>
      </c>
      <c r="BG973" s="46">
        <v>1</v>
      </c>
      <c r="BH973" s="46">
        <v>1</v>
      </c>
      <c r="BI973" s="46" t="s">
        <v>588</v>
      </c>
      <c r="BJ973" s="46" t="s">
        <v>1363</v>
      </c>
      <c r="BK973" s="46">
        <v>1982</v>
      </c>
      <c r="BL973" s="46" t="str">
        <f>BK973&amp;BI973</f>
        <v>1982Liverpool</v>
      </c>
      <c r="BM973" s="52" t="str">
        <f>IF(AD973="Home",BI973,IF(AD973="Away",BJ973,Q973))</f>
        <v>Ipswich Town</v>
      </c>
      <c r="BN973" s="46"/>
      <c r="BO973" s="46"/>
      <c r="BP973" s="46"/>
      <c r="BQ973" s="46"/>
      <c r="BR973" s="46"/>
      <c r="BS973" s="46"/>
      <c r="BT973" s="46"/>
      <c r="BU973" s="46"/>
      <c r="BV973" s="46" t="s">
        <v>376</v>
      </c>
      <c r="BW973" s="46" t="s">
        <v>376</v>
      </c>
      <c r="BX973" s="46"/>
      <c r="BZ973" s="53"/>
      <c r="CA973" s="53"/>
      <c r="CB973" s="93" t="str">
        <f>IF(OR(C973="",A973="",B973=""),"",TEXT(C973,"0000")&amp;TEXT(A973,"00")&amp;TEXT(B973,"00"))</f>
        <v>19820202</v>
      </c>
    </row>
    <row r="974" spans="1:80" s="52" customFormat="1" ht="12.95" customHeight="1" x14ac:dyDescent="0.2">
      <c r="A974" s="46">
        <v>2</v>
      </c>
      <c r="B974" s="46">
        <v>3</v>
      </c>
      <c r="C974" s="46">
        <v>1982</v>
      </c>
      <c r="D974" s="46" t="s">
        <v>658</v>
      </c>
      <c r="E974" s="46" t="s">
        <v>541</v>
      </c>
      <c r="F974" s="54" t="s">
        <v>1327</v>
      </c>
      <c r="G974" s="46"/>
      <c r="H974" s="54" t="s">
        <v>1011</v>
      </c>
      <c r="I974" s="54">
        <v>1</v>
      </c>
      <c r="J974" s="55">
        <v>29985</v>
      </c>
      <c r="K974" s="46" t="s">
        <v>1124</v>
      </c>
      <c r="L974" s="46" t="s">
        <v>1014</v>
      </c>
      <c r="M974" s="46" t="s">
        <v>813</v>
      </c>
      <c r="N974" s="49">
        <v>0</v>
      </c>
      <c r="O974" s="49">
        <v>0</v>
      </c>
      <c r="P974" s="54" t="s">
        <v>1221</v>
      </c>
      <c r="Q974" s="54" t="s">
        <v>1111</v>
      </c>
      <c r="R974" s="54" t="s">
        <v>376</v>
      </c>
      <c r="S974" s="46"/>
      <c r="T974" s="46"/>
      <c r="U974" s="46"/>
      <c r="V974" s="46"/>
      <c r="W974" s="46"/>
      <c r="X974" s="46"/>
      <c r="Y974" s="46"/>
      <c r="Z974" s="46"/>
      <c r="AA974" s="46"/>
      <c r="AB974" s="46"/>
      <c r="AC974" s="46"/>
      <c r="AD974" s="46" t="s">
        <v>1033</v>
      </c>
      <c r="AE974" s="50">
        <f>IF(L974="W",1,0)</f>
        <v>0</v>
      </c>
      <c r="AF974" s="50">
        <f>IF(L974="T",1,0)</f>
        <v>1</v>
      </c>
      <c r="AG974" s="50">
        <f>IF(L974="L",1,0)</f>
        <v>0</v>
      </c>
      <c r="AH974" s="46" t="s">
        <v>1111</v>
      </c>
      <c r="AI974" s="46" t="s">
        <v>1126</v>
      </c>
      <c r="AJ974" s="46" t="s">
        <v>376</v>
      </c>
      <c r="AK974" s="46" t="s">
        <v>658</v>
      </c>
      <c r="AL974" s="46" t="s">
        <v>1017</v>
      </c>
      <c r="AM974" s="46" t="s">
        <v>1018</v>
      </c>
      <c r="AN974" s="46" t="s">
        <v>376</v>
      </c>
      <c r="AO974" s="46" t="s">
        <v>658</v>
      </c>
      <c r="AP974" s="46"/>
      <c r="AQ974" s="46">
        <v>2</v>
      </c>
      <c r="AR974" s="46"/>
      <c r="AS974" s="46"/>
      <c r="AT974" s="46"/>
      <c r="AU974" s="46" t="s">
        <v>376</v>
      </c>
      <c r="AV974" s="46"/>
      <c r="AW974" s="46" t="s">
        <v>30</v>
      </c>
      <c r="AX974" s="46"/>
      <c r="AY974" s="46"/>
      <c r="AZ974" s="46" t="s">
        <v>30</v>
      </c>
      <c r="BA974" s="54"/>
      <c r="BB974" s="51"/>
      <c r="BC974" s="46"/>
      <c r="BD974" s="46"/>
      <c r="BE974" s="46"/>
      <c r="BF974" s="46">
        <v>1</v>
      </c>
      <c r="BG974" s="46">
        <v>1</v>
      </c>
      <c r="BH974" s="46">
        <v>1</v>
      </c>
      <c r="BI974" s="46" t="s">
        <v>1124</v>
      </c>
      <c r="BJ974" s="46" t="s">
        <v>813</v>
      </c>
      <c r="BK974" s="46">
        <v>1982</v>
      </c>
      <c r="BL974" s="46" t="str">
        <f>BK974&amp;BI974</f>
        <v>1982West Bromwich Albion</v>
      </c>
      <c r="BM974" s="52" t="str">
        <f>IF(AD974="Home",BI974,IF(AD974="Away",BJ974,Q974))</f>
        <v>West Bromwich Albion</v>
      </c>
      <c r="BN974" s="46"/>
      <c r="BO974" s="46"/>
      <c r="BP974" s="46"/>
      <c r="BQ974" s="46"/>
      <c r="BR974" s="46"/>
      <c r="BS974" s="46"/>
      <c r="BT974" s="46"/>
      <c r="BU974" s="46"/>
      <c r="BV974" s="46" t="s">
        <v>376</v>
      </c>
      <c r="BW974" s="46" t="s">
        <v>376</v>
      </c>
      <c r="BX974" s="46"/>
      <c r="BZ974" s="53"/>
      <c r="CA974" s="53"/>
      <c r="CB974" s="93" t="str">
        <f>IF(OR(C974="",A974="",B974=""),"",TEXT(C974,"0000")&amp;TEXT(A974,"00")&amp;TEXT(B974,"00"))</f>
        <v>19820203</v>
      </c>
    </row>
    <row r="975" spans="1:80" s="52" customFormat="1" ht="12.95" customHeight="1" x14ac:dyDescent="0.2">
      <c r="A975" s="46">
        <v>2</v>
      </c>
      <c r="B975" s="46">
        <v>3</v>
      </c>
      <c r="C975" s="46">
        <v>1982</v>
      </c>
      <c r="D975" s="46" t="s">
        <v>658</v>
      </c>
      <c r="E975" s="46" t="s">
        <v>541</v>
      </c>
      <c r="F975" s="54" t="s">
        <v>1327</v>
      </c>
      <c r="G975" s="46"/>
      <c r="H975" s="54" t="s">
        <v>1011</v>
      </c>
      <c r="I975" s="54">
        <v>1</v>
      </c>
      <c r="J975" s="55">
        <v>29985</v>
      </c>
      <c r="K975" s="46" t="s">
        <v>813</v>
      </c>
      <c r="L975" s="46" t="s">
        <v>1014</v>
      </c>
      <c r="M975" s="46" t="s">
        <v>1124</v>
      </c>
      <c r="N975" s="49">
        <v>0</v>
      </c>
      <c r="O975" s="49">
        <v>0</v>
      </c>
      <c r="P975" s="54" t="s">
        <v>1221</v>
      </c>
      <c r="Q975" s="54" t="s">
        <v>1111</v>
      </c>
      <c r="R975" s="54" t="s">
        <v>376</v>
      </c>
      <c r="S975" s="46"/>
      <c r="T975" s="46"/>
      <c r="U975" s="46"/>
      <c r="V975" s="46"/>
      <c r="W975" s="46"/>
      <c r="X975" s="46"/>
      <c r="Y975" s="46"/>
      <c r="Z975" s="46"/>
      <c r="AA975" s="46"/>
      <c r="AB975" s="46"/>
      <c r="AC975" s="46"/>
      <c r="AD975" s="46" t="s">
        <v>1037</v>
      </c>
      <c r="AE975" s="50">
        <f>IF(L975="W",1,0)</f>
        <v>0</v>
      </c>
      <c r="AF975" s="50">
        <f>IF(L975="T",1,0)</f>
        <v>1</v>
      </c>
      <c r="AG975" s="50">
        <f>IF(L975="L",1,0)</f>
        <v>0</v>
      </c>
      <c r="AH975" s="46" t="s">
        <v>1017</v>
      </c>
      <c r="AI975" s="46" t="s">
        <v>1018</v>
      </c>
      <c r="AJ975" s="46" t="s">
        <v>376</v>
      </c>
      <c r="AK975" s="46" t="s">
        <v>658</v>
      </c>
      <c r="AL975" s="46" t="s">
        <v>1111</v>
      </c>
      <c r="AM975" s="46" t="s">
        <v>1126</v>
      </c>
      <c r="AN975" s="46" t="s">
        <v>376</v>
      </c>
      <c r="AO975" s="46" t="s">
        <v>658</v>
      </c>
      <c r="AP975" s="46"/>
      <c r="AQ975" s="46">
        <v>2</v>
      </c>
      <c r="AR975" s="46"/>
      <c r="AS975" s="46"/>
      <c r="AT975" s="46"/>
      <c r="AU975" s="46" t="s">
        <v>376</v>
      </c>
      <c r="AV975" s="46"/>
      <c r="AW975" s="46" t="s">
        <v>30</v>
      </c>
      <c r="AX975" s="46"/>
      <c r="AY975" s="46"/>
      <c r="AZ975" s="46" t="s">
        <v>30</v>
      </c>
      <c r="BA975" s="54"/>
      <c r="BB975" s="51"/>
      <c r="BC975" s="46"/>
      <c r="BD975" s="46"/>
      <c r="BE975" s="46"/>
      <c r="BF975" s="46">
        <v>1</v>
      </c>
      <c r="BG975" s="46">
        <v>1</v>
      </c>
      <c r="BH975" s="46">
        <v>1</v>
      </c>
      <c r="BI975" s="46" t="s">
        <v>813</v>
      </c>
      <c r="BJ975" s="46" t="s">
        <v>1124</v>
      </c>
      <c r="BK975" s="46">
        <v>1982</v>
      </c>
      <c r="BL975" s="46" t="str">
        <f>BK975&amp;BI975</f>
        <v>1982Tottenham Hotspur</v>
      </c>
      <c r="BM975" s="52" t="str">
        <f>IF(AD975="Home",BI975,IF(AD975="Away",BJ975,Q975))</f>
        <v>West Bromwich Albion</v>
      </c>
      <c r="BN975" s="46"/>
      <c r="BO975" s="46"/>
      <c r="BP975" s="46"/>
      <c r="BQ975" s="46"/>
      <c r="BR975" s="46"/>
      <c r="BS975" s="46"/>
      <c r="BT975" s="46"/>
      <c r="BU975" s="46"/>
      <c r="BV975" s="46" t="s">
        <v>376</v>
      </c>
      <c r="BW975" s="46" t="s">
        <v>376</v>
      </c>
      <c r="BX975" s="46"/>
      <c r="BZ975" s="53"/>
      <c r="CA975" s="53"/>
      <c r="CB975" s="93" t="str">
        <f>IF(OR(C975="",A975="",B975=""),"",TEXT(C975,"0000")&amp;TEXT(A975,"00")&amp;TEXT(B975,"00"))</f>
        <v>19820203</v>
      </c>
    </row>
    <row r="976" spans="1:80" s="52" customFormat="1" ht="12.95" customHeight="1" x14ac:dyDescent="0.2">
      <c r="A976" s="46">
        <v>2</v>
      </c>
      <c r="B976" s="46">
        <v>9</v>
      </c>
      <c r="C976" s="46">
        <v>1982</v>
      </c>
      <c r="D976" s="46" t="s">
        <v>658</v>
      </c>
      <c r="E976" s="46" t="s">
        <v>541</v>
      </c>
      <c r="F976" s="54" t="s">
        <v>1327</v>
      </c>
      <c r="G976" s="46"/>
      <c r="H976" s="54" t="s">
        <v>1011</v>
      </c>
      <c r="I976" s="54">
        <v>2</v>
      </c>
      <c r="J976" s="55">
        <v>29991</v>
      </c>
      <c r="K976" s="46" t="s">
        <v>588</v>
      </c>
      <c r="L976" s="46" t="s">
        <v>1014</v>
      </c>
      <c r="M976" s="46" t="s">
        <v>1363</v>
      </c>
      <c r="N976" s="49">
        <v>2</v>
      </c>
      <c r="O976" s="49">
        <v>2</v>
      </c>
      <c r="P976" s="54" t="s">
        <v>1141</v>
      </c>
      <c r="Q976" s="54" t="s">
        <v>588</v>
      </c>
      <c r="R976" s="54" t="s">
        <v>376</v>
      </c>
      <c r="S976" s="46"/>
      <c r="T976" s="46"/>
      <c r="U976" s="46"/>
      <c r="V976" s="46"/>
      <c r="W976" s="46"/>
      <c r="X976" s="46"/>
      <c r="Y976" s="46"/>
      <c r="Z976" s="46"/>
      <c r="AA976" s="46"/>
      <c r="AB976" s="46"/>
      <c r="AC976" s="46"/>
      <c r="AD976" s="46" t="s">
        <v>1033</v>
      </c>
      <c r="AE976" s="50">
        <f>IF(L976="W",1,0)</f>
        <v>0</v>
      </c>
      <c r="AF976" s="50">
        <f>IF(L976="T",1,0)</f>
        <v>1</v>
      </c>
      <c r="AG976" s="50">
        <f>IF(L976="L",1,0)</f>
        <v>0</v>
      </c>
      <c r="AH976" s="46" t="s">
        <v>588</v>
      </c>
      <c r="AI976" s="46" t="s">
        <v>1175</v>
      </c>
      <c r="AJ976" s="46" t="s">
        <v>376</v>
      </c>
      <c r="AK976" s="46" t="s">
        <v>658</v>
      </c>
      <c r="AL976" s="46" t="s">
        <v>1364</v>
      </c>
      <c r="AM976" s="46" t="s">
        <v>1365</v>
      </c>
      <c r="AN976" s="46" t="s">
        <v>376</v>
      </c>
      <c r="AO976" s="46" t="s">
        <v>658</v>
      </c>
      <c r="AP976" s="46"/>
      <c r="AQ976" s="46">
        <v>2</v>
      </c>
      <c r="AR976" s="46"/>
      <c r="AS976" s="46"/>
      <c r="AT976" s="46"/>
      <c r="AU976" s="46" t="s">
        <v>376</v>
      </c>
      <c r="AV976" s="46"/>
      <c r="AW976" s="46" t="s">
        <v>30</v>
      </c>
      <c r="AX976" s="46"/>
      <c r="AY976" s="46"/>
      <c r="AZ976" s="46" t="s">
        <v>30</v>
      </c>
      <c r="BA976" s="54"/>
      <c r="BB976" s="51"/>
      <c r="BC976" s="46"/>
      <c r="BD976" s="46"/>
      <c r="BE976" s="46"/>
      <c r="BF976" s="46">
        <v>1</v>
      </c>
      <c r="BG976" s="46">
        <v>1</v>
      </c>
      <c r="BH976" s="46">
        <v>1</v>
      </c>
      <c r="BI976" s="46" t="s">
        <v>588</v>
      </c>
      <c r="BJ976" s="46" t="s">
        <v>1363</v>
      </c>
      <c r="BK976" s="46">
        <v>1982</v>
      </c>
      <c r="BL976" s="46" t="str">
        <f>BK976&amp;BI976</f>
        <v>1982Liverpool</v>
      </c>
      <c r="BM976" s="52" t="str">
        <f>IF(AD976="Home",BI976,IF(AD976="Away",BJ976,Q976))</f>
        <v>Liverpool</v>
      </c>
      <c r="BN976" s="46"/>
      <c r="BO976" s="46"/>
      <c r="BP976" s="46"/>
      <c r="BQ976" s="46"/>
      <c r="BR976" s="46"/>
      <c r="BS976" s="46"/>
      <c r="BT976" s="46"/>
      <c r="BU976" s="46"/>
      <c r="BV976" s="46" t="s">
        <v>376</v>
      </c>
      <c r="BW976" s="46" t="s">
        <v>376</v>
      </c>
      <c r="BX976" s="46"/>
      <c r="BZ976" s="53"/>
      <c r="CA976" s="53"/>
      <c r="CB976" s="93" t="str">
        <f>IF(OR(C976="",A976="",B976=""),"",TEXT(C976,"0000")&amp;TEXT(A976,"00")&amp;TEXT(B976,"00"))</f>
        <v>19820209</v>
      </c>
    </row>
    <row r="977" spans="1:80" s="52" customFormat="1" ht="12.95" customHeight="1" x14ac:dyDescent="0.2">
      <c r="A977" s="46">
        <v>2</v>
      </c>
      <c r="B977" s="46">
        <v>9</v>
      </c>
      <c r="C977" s="46">
        <v>1982</v>
      </c>
      <c r="D977" s="46" t="s">
        <v>658</v>
      </c>
      <c r="E977" s="46" t="s">
        <v>541</v>
      </c>
      <c r="F977" s="54" t="s">
        <v>1327</v>
      </c>
      <c r="G977" s="46"/>
      <c r="H977" s="54" t="s">
        <v>1011</v>
      </c>
      <c r="I977" s="54">
        <v>2</v>
      </c>
      <c r="J977" s="55">
        <v>29991</v>
      </c>
      <c r="K977" s="46" t="s">
        <v>1363</v>
      </c>
      <c r="L977" s="46" t="s">
        <v>1014</v>
      </c>
      <c r="M977" s="46" t="s">
        <v>588</v>
      </c>
      <c r="N977" s="49">
        <v>2</v>
      </c>
      <c r="O977" s="49">
        <v>2</v>
      </c>
      <c r="P977" s="54" t="s">
        <v>1141</v>
      </c>
      <c r="Q977" s="54" t="s">
        <v>588</v>
      </c>
      <c r="R977" s="54" t="s">
        <v>376</v>
      </c>
      <c r="S977" s="46"/>
      <c r="T977" s="46"/>
      <c r="U977" s="46"/>
      <c r="V977" s="46"/>
      <c r="W977" s="46"/>
      <c r="X977" s="46"/>
      <c r="Y977" s="46"/>
      <c r="Z977" s="46"/>
      <c r="AA977" s="46"/>
      <c r="AB977" s="46"/>
      <c r="AC977" s="46"/>
      <c r="AD977" s="46" t="s">
        <v>1037</v>
      </c>
      <c r="AE977" s="50">
        <f>IF(L977="W",1,0)</f>
        <v>0</v>
      </c>
      <c r="AF977" s="50">
        <f>IF(L977="T",1,0)</f>
        <v>1</v>
      </c>
      <c r="AG977" s="50">
        <f>IF(L977="L",1,0)</f>
        <v>0</v>
      </c>
      <c r="AH977" s="46" t="s">
        <v>1364</v>
      </c>
      <c r="AI977" s="46" t="s">
        <v>1365</v>
      </c>
      <c r="AJ977" s="46" t="s">
        <v>376</v>
      </c>
      <c r="AK977" s="46" t="s">
        <v>658</v>
      </c>
      <c r="AL977" s="46" t="s">
        <v>588</v>
      </c>
      <c r="AM977" s="46" t="s">
        <v>1175</v>
      </c>
      <c r="AN977" s="46" t="s">
        <v>376</v>
      </c>
      <c r="AO977" s="46" t="s">
        <v>658</v>
      </c>
      <c r="AP977" s="46"/>
      <c r="AQ977" s="46">
        <v>2</v>
      </c>
      <c r="AR977" s="46"/>
      <c r="AS977" s="46"/>
      <c r="AT977" s="46"/>
      <c r="AU977" s="46" t="s">
        <v>376</v>
      </c>
      <c r="AV977" s="46"/>
      <c r="AW977" s="46" t="s">
        <v>30</v>
      </c>
      <c r="AX977" s="46"/>
      <c r="AY977" s="46"/>
      <c r="AZ977" s="46" t="s">
        <v>30</v>
      </c>
      <c r="BA977" s="54"/>
      <c r="BB977" s="51"/>
      <c r="BC977" s="46"/>
      <c r="BD977" s="46"/>
      <c r="BE977" s="46"/>
      <c r="BF977" s="46">
        <v>1</v>
      </c>
      <c r="BG977" s="46">
        <v>1</v>
      </c>
      <c r="BH977" s="46">
        <v>1</v>
      </c>
      <c r="BI977" s="46" t="s">
        <v>1363</v>
      </c>
      <c r="BJ977" s="46" t="s">
        <v>588</v>
      </c>
      <c r="BK977" s="46">
        <v>1982</v>
      </c>
      <c r="BL977" s="46" t="str">
        <f>BK977&amp;BI977</f>
        <v>1982Ipswich Town</v>
      </c>
      <c r="BM977" s="52" t="str">
        <f>IF(AD977="Home",BI977,IF(AD977="Away",BJ977,Q977))</f>
        <v>Liverpool</v>
      </c>
      <c r="BN977" s="46"/>
      <c r="BO977" s="46"/>
      <c r="BP977" s="46"/>
      <c r="BQ977" s="46"/>
      <c r="BR977" s="46"/>
      <c r="BS977" s="46"/>
      <c r="BT977" s="46"/>
      <c r="BU977" s="46"/>
      <c r="BV977" s="46" t="s">
        <v>376</v>
      </c>
      <c r="BW977" s="46" t="s">
        <v>376</v>
      </c>
      <c r="BX977" s="46"/>
      <c r="BZ977" s="53"/>
      <c r="CA977" s="53"/>
      <c r="CB977" s="93" t="str">
        <f>IF(OR(C977="",A977="",B977=""),"",TEXT(C977,"0000")&amp;TEXT(A977,"00")&amp;TEXT(B977,"00"))</f>
        <v>19820209</v>
      </c>
    </row>
    <row r="978" spans="1:80" s="52" customFormat="1" ht="12.95" customHeight="1" x14ac:dyDescent="0.2">
      <c r="A978" s="46">
        <v>2</v>
      </c>
      <c r="B978" s="46">
        <v>10</v>
      </c>
      <c r="C978" s="46">
        <v>1982</v>
      </c>
      <c r="D978" s="46" t="s">
        <v>658</v>
      </c>
      <c r="E978" s="46" t="s">
        <v>541</v>
      </c>
      <c r="F978" s="54" t="s">
        <v>1327</v>
      </c>
      <c r="G978" s="46"/>
      <c r="H978" s="54" t="s">
        <v>1011</v>
      </c>
      <c r="I978" s="54">
        <v>2</v>
      </c>
      <c r="J978" s="55">
        <v>29992</v>
      </c>
      <c r="K978" s="46" t="s">
        <v>813</v>
      </c>
      <c r="L978" s="46" t="s">
        <v>3</v>
      </c>
      <c r="M978" s="46" t="s">
        <v>1124</v>
      </c>
      <c r="N978" s="49">
        <v>1</v>
      </c>
      <c r="O978" s="49">
        <v>0</v>
      </c>
      <c r="P978" s="54" t="s">
        <v>1222</v>
      </c>
      <c r="Q978" s="54" t="s">
        <v>1017</v>
      </c>
      <c r="R978" s="54" t="s">
        <v>376</v>
      </c>
      <c r="S978" s="46"/>
      <c r="T978" s="46"/>
      <c r="U978" s="46"/>
      <c r="V978" s="46"/>
      <c r="W978" s="46"/>
      <c r="X978" s="46"/>
      <c r="Y978" s="46"/>
      <c r="Z978" s="46"/>
      <c r="AA978" s="46"/>
      <c r="AB978" s="46"/>
      <c r="AC978" s="46"/>
      <c r="AD978" s="46" t="s">
        <v>1033</v>
      </c>
      <c r="AE978" s="50">
        <f>IF(L978="W",1,0)</f>
        <v>1</v>
      </c>
      <c r="AF978" s="50">
        <f>IF(L978="T",1,0)</f>
        <v>0</v>
      </c>
      <c r="AG978" s="50">
        <f>IF(L978="L",1,0)</f>
        <v>0</v>
      </c>
      <c r="AH978" s="46" t="s">
        <v>1017</v>
      </c>
      <c r="AI978" s="46" t="s">
        <v>1018</v>
      </c>
      <c r="AJ978" s="46" t="s">
        <v>376</v>
      </c>
      <c r="AK978" s="46" t="s">
        <v>658</v>
      </c>
      <c r="AL978" s="46" t="s">
        <v>1111</v>
      </c>
      <c r="AM978" s="46" t="s">
        <v>1126</v>
      </c>
      <c r="AN978" s="46" t="s">
        <v>376</v>
      </c>
      <c r="AO978" s="46" t="s">
        <v>658</v>
      </c>
      <c r="AP978" s="46"/>
      <c r="AQ978" s="46">
        <v>2</v>
      </c>
      <c r="AR978" s="46"/>
      <c r="AS978" s="46"/>
      <c r="AT978" s="46"/>
      <c r="AU978" s="46" t="s">
        <v>376</v>
      </c>
      <c r="AV978" s="46"/>
      <c r="AW978" s="46" t="s">
        <v>30</v>
      </c>
      <c r="AX978" s="46"/>
      <c r="AY978" s="46"/>
      <c r="AZ978" s="46" t="s">
        <v>30</v>
      </c>
      <c r="BA978" s="54"/>
      <c r="BB978" s="51"/>
      <c r="BC978" s="46"/>
      <c r="BD978" s="46"/>
      <c r="BE978" s="46"/>
      <c r="BF978" s="46">
        <v>1</v>
      </c>
      <c r="BG978" s="46">
        <v>1</v>
      </c>
      <c r="BH978" s="46">
        <v>1</v>
      </c>
      <c r="BI978" s="46" t="s">
        <v>813</v>
      </c>
      <c r="BJ978" s="46" t="s">
        <v>1124</v>
      </c>
      <c r="BK978" s="46">
        <v>1982</v>
      </c>
      <c r="BL978" s="46" t="str">
        <f>BK978&amp;BI978</f>
        <v>1982Tottenham Hotspur</v>
      </c>
      <c r="BM978" s="52" t="str">
        <f>IF(AD978="Home",BI978,IF(AD978="Away",BJ978,Q978))</f>
        <v>Tottenham Hotspur</v>
      </c>
      <c r="BN978" s="46"/>
      <c r="BO978" s="46"/>
      <c r="BP978" s="46"/>
      <c r="BQ978" s="46"/>
      <c r="BR978" s="46"/>
      <c r="BS978" s="46"/>
      <c r="BT978" s="46"/>
      <c r="BU978" s="46"/>
      <c r="BV978" s="46" t="s">
        <v>376</v>
      </c>
      <c r="BW978" s="46" t="s">
        <v>376</v>
      </c>
      <c r="BX978" s="46"/>
      <c r="BZ978" s="53"/>
      <c r="CA978" s="53"/>
      <c r="CB978" s="93" t="str">
        <f>IF(OR(C978="",A978="",B978=""),"",TEXT(C978,"0000")&amp;TEXT(A978,"00")&amp;TEXT(B978,"00"))</f>
        <v>19820210</v>
      </c>
    </row>
    <row r="979" spans="1:80" s="52" customFormat="1" ht="12.95" customHeight="1" x14ac:dyDescent="0.2">
      <c r="A979" s="46">
        <v>2</v>
      </c>
      <c r="B979" s="46">
        <v>10</v>
      </c>
      <c r="C979" s="46">
        <v>1982</v>
      </c>
      <c r="D979" s="46" t="s">
        <v>658</v>
      </c>
      <c r="E979" s="46" t="s">
        <v>541</v>
      </c>
      <c r="F979" s="54" t="s">
        <v>1327</v>
      </c>
      <c r="G979" s="46"/>
      <c r="H979" s="54" t="s">
        <v>1011</v>
      </c>
      <c r="I979" s="54">
        <v>2</v>
      </c>
      <c r="J979" s="55">
        <v>29992</v>
      </c>
      <c r="K979" s="46" t="s">
        <v>1124</v>
      </c>
      <c r="L979" s="46" t="s">
        <v>4</v>
      </c>
      <c r="M979" s="46" t="s">
        <v>813</v>
      </c>
      <c r="N979" s="49">
        <v>0</v>
      </c>
      <c r="O979" s="49">
        <v>1</v>
      </c>
      <c r="P979" s="54" t="s">
        <v>1222</v>
      </c>
      <c r="Q979" s="54" t="s">
        <v>1017</v>
      </c>
      <c r="R979" s="54" t="s">
        <v>376</v>
      </c>
      <c r="S979" s="46"/>
      <c r="T979" s="46"/>
      <c r="U979" s="46"/>
      <c r="V979" s="46"/>
      <c r="W979" s="46"/>
      <c r="X979" s="46"/>
      <c r="Y979" s="46"/>
      <c r="Z979" s="46"/>
      <c r="AA979" s="46"/>
      <c r="AB979" s="46"/>
      <c r="AC979" s="46"/>
      <c r="AD979" s="46" t="s">
        <v>1037</v>
      </c>
      <c r="AE979" s="50">
        <f>IF(L979="W",1,0)</f>
        <v>0</v>
      </c>
      <c r="AF979" s="50">
        <f>IF(L979="T",1,0)</f>
        <v>0</v>
      </c>
      <c r="AG979" s="50">
        <f>IF(L979="L",1,0)</f>
        <v>1</v>
      </c>
      <c r="AH979" s="46" t="s">
        <v>1111</v>
      </c>
      <c r="AI979" s="46" t="s">
        <v>1126</v>
      </c>
      <c r="AJ979" s="46" t="s">
        <v>376</v>
      </c>
      <c r="AK979" s="46" t="s">
        <v>658</v>
      </c>
      <c r="AL979" s="46" t="s">
        <v>1017</v>
      </c>
      <c r="AM979" s="46" t="s">
        <v>1018</v>
      </c>
      <c r="AN979" s="46" t="s">
        <v>376</v>
      </c>
      <c r="AO979" s="46" t="s">
        <v>658</v>
      </c>
      <c r="AP979" s="46"/>
      <c r="AQ979" s="46">
        <v>2</v>
      </c>
      <c r="AR979" s="46"/>
      <c r="AS979" s="46"/>
      <c r="AT979" s="46"/>
      <c r="AU979" s="46" t="s">
        <v>376</v>
      </c>
      <c r="AV979" s="46"/>
      <c r="AW979" s="46" t="s">
        <v>30</v>
      </c>
      <c r="AX979" s="46"/>
      <c r="AY979" s="46"/>
      <c r="AZ979" s="46" t="s">
        <v>30</v>
      </c>
      <c r="BA979" s="54"/>
      <c r="BB979" s="51"/>
      <c r="BC979" s="46"/>
      <c r="BD979" s="46"/>
      <c r="BE979" s="46"/>
      <c r="BF979" s="46">
        <v>1</v>
      </c>
      <c r="BG979" s="46">
        <v>1</v>
      </c>
      <c r="BH979" s="46">
        <v>1</v>
      </c>
      <c r="BI979" s="46" t="s">
        <v>1124</v>
      </c>
      <c r="BJ979" s="46" t="s">
        <v>813</v>
      </c>
      <c r="BK979" s="46">
        <v>1982</v>
      </c>
      <c r="BL979" s="46" t="str">
        <f>BK979&amp;BI979</f>
        <v>1982West Bromwich Albion</v>
      </c>
      <c r="BM979" s="52" t="str">
        <f>IF(AD979="Home",BI979,IF(AD979="Away",BJ979,Q979))</f>
        <v>Tottenham Hotspur</v>
      </c>
      <c r="BN979" s="46"/>
      <c r="BO979" s="46"/>
      <c r="BP979" s="46"/>
      <c r="BQ979" s="46"/>
      <c r="BR979" s="46"/>
      <c r="BS979" s="46"/>
      <c r="BT979" s="46"/>
      <c r="BU979" s="46"/>
      <c r="BV979" s="46" t="s">
        <v>376</v>
      </c>
      <c r="BW979" s="46" t="s">
        <v>376</v>
      </c>
      <c r="BX979" s="46"/>
      <c r="BZ979" s="53"/>
      <c r="CA979" s="53"/>
      <c r="CB979" s="93" t="str">
        <f>IF(OR(C979="",A979="",B979=""),"",TEXT(C979,"0000")&amp;TEXT(A979,"00")&amp;TEXT(B979,"00"))</f>
        <v>19820210</v>
      </c>
    </row>
    <row r="980" spans="1:80" s="52" customFormat="1" ht="12.95" customHeight="1" x14ac:dyDescent="0.2">
      <c r="A980" s="46">
        <v>3</v>
      </c>
      <c r="B980" s="46">
        <v>13</v>
      </c>
      <c r="C980" s="46">
        <v>1982</v>
      </c>
      <c r="D980" s="46" t="s">
        <v>658</v>
      </c>
      <c r="E980" s="46" t="s">
        <v>541</v>
      </c>
      <c r="F980" s="54" t="s">
        <v>1327</v>
      </c>
      <c r="G980" s="46"/>
      <c r="H980" s="54" t="s">
        <v>40</v>
      </c>
      <c r="I980" s="54"/>
      <c r="J980" s="55">
        <v>30023</v>
      </c>
      <c r="K980" s="46" t="s">
        <v>588</v>
      </c>
      <c r="L980" s="46" t="s">
        <v>3</v>
      </c>
      <c r="M980" s="46" t="s">
        <v>813</v>
      </c>
      <c r="N980" s="49">
        <v>3</v>
      </c>
      <c r="O980" s="49">
        <v>1</v>
      </c>
      <c r="P980" s="54" t="s">
        <v>1268</v>
      </c>
      <c r="Q980" s="54" t="s">
        <v>1017</v>
      </c>
      <c r="R980" s="54" t="s">
        <v>376</v>
      </c>
      <c r="S980" s="46"/>
      <c r="T980" s="46"/>
      <c r="U980" s="46"/>
      <c r="V980" s="46"/>
      <c r="W980" s="46"/>
      <c r="X980" s="46"/>
      <c r="Y980" s="46"/>
      <c r="Z980" s="46"/>
      <c r="AA980" s="46"/>
      <c r="AB980" s="46"/>
      <c r="AC980" s="46"/>
      <c r="AD980" s="46"/>
      <c r="AE980" s="50">
        <f>IF(L980="W",1,0)</f>
        <v>1</v>
      </c>
      <c r="AF980" s="50">
        <f>IF(L980="T",1,0)</f>
        <v>0</v>
      </c>
      <c r="AG980" s="50">
        <f>IF(L980="L",1,0)</f>
        <v>0</v>
      </c>
      <c r="AH980" s="46" t="s">
        <v>588</v>
      </c>
      <c r="AI980" s="46" t="s">
        <v>1175</v>
      </c>
      <c r="AJ980" s="46" t="s">
        <v>376</v>
      </c>
      <c r="AK980" s="46" t="s">
        <v>658</v>
      </c>
      <c r="AL980" s="46" t="s">
        <v>1017</v>
      </c>
      <c r="AM980" s="46" t="s">
        <v>1018</v>
      </c>
      <c r="AN980" s="46" t="s">
        <v>376</v>
      </c>
      <c r="AO980" s="46" t="s">
        <v>658</v>
      </c>
      <c r="AP980" s="46"/>
      <c r="AQ980" s="46">
        <v>1</v>
      </c>
      <c r="AR980" s="46"/>
      <c r="AS980" s="46"/>
      <c r="AT980" s="46"/>
      <c r="AU980" s="46" t="s">
        <v>376</v>
      </c>
      <c r="AV980" s="46"/>
      <c r="AW980" s="46" t="s">
        <v>30</v>
      </c>
      <c r="AX980" s="46"/>
      <c r="AY980" s="46"/>
      <c r="AZ980" s="46" t="s">
        <v>30</v>
      </c>
      <c r="BA980" s="54"/>
      <c r="BB980" s="51" t="s">
        <v>30</v>
      </c>
      <c r="BC980" s="46" t="s">
        <v>30</v>
      </c>
      <c r="BD980" s="46"/>
      <c r="BE980" s="46"/>
      <c r="BF980" s="46">
        <v>1</v>
      </c>
      <c r="BG980" s="46">
        <v>1</v>
      </c>
      <c r="BH980" s="46">
        <v>1</v>
      </c>
      <c r="BI980" s="46" t="s">
        <v>588</v>
      </c>
      <c r="BJ980" s="46" t="s">
        <v>813</v>
      </c>
      <c r="BK980" s="46">
        <v>1982</v>
      </c>
      <c r="BL980" s="46" t="str">
        <f>BK980&amp;BI980</f>
        <v>1982Liverpool</v>
      </c>
      <c r="BM980" s="52" t="str">
        <f>IF(AD980="Home",BI980,IF(AD980="Away",BJ980,Q980))</f>
        <v>London</v>
      </c>
      <c r="BN980" s="46"/>
      <c r="BO980" s="46"/>
      <c r="BP980" s="46"/>
      <c r="BQ980" s="46"/>
      <c r="BR980" s="46"/>
      <c r="BS980" s="46"/>
      <c r="BT980" s="46"/>
      <c r="BU980" s="46"/>
      <c r="BV980" s="46" t="s">
        <v>376</v>
      </c>
      <c r="BW980" s="46" t="s">
        <v>376</v>
      </c>
      <c r="BX980" s="46"/>
      <c r="BZ980" s="53"/>
      <c r="CA980" s="53"/>
      <c r="CB980" s="93" t="str">
        <f>IF(OR(C980="",A980="",B980=""),"",TEXT(C980,"0000")&amp;TEXT(A980,"00")&amp;TEXT(B980,"00"))</f>
        <v>19820313</v>
      </c>
    </row>
    <row r="981" spans="1:80" s="52" customFormat="1" ht="12.95" customHeight="1" x14ac:dyDescent="0.2">
      <c r="A981" s="46">
        <v>3</v>
      </c>
      <c r="B981" s="46">
        <v>13</v>
      </c>
      <c r="C981" s="46">
        <v>1982</v>
      </c>
      <c r="D981" s="46" t="s">
        <v>658</v>
      </c>
      <c r="E981" s="46" t="s">
        <v>541</v>
      </c>
      <c r="F981" s="54" t="s">
        <v>1327</v>
      </c>
      <c r="G981" s="46"/>
      <c r="H981" s="54" t="s">
        <v>40</v>
      </c>
      <c r="I981" s="54"/>
      <c r="J981" s="55">
        <v>30023</v>
      </c>
      <c r="K981" s="46" t="s">
        <v>813</v>
      </c>
      <c r="L981" s="46" t="s">
        <v>4</v>
      </c>
      <c r="M981" s="46" t="s">
        <v>588</v>
      </c>
      <c r="N981" s="49">
        <v>1</v>
      </c>
      <c r="O981" s="49">
        <v>3</v>
      </c>
      <c r="P981" s="54" t="s">
        <v>1268</v>
      </c>
      <c r="Q981" s="54" t="s">
        <v>1017</v>
      </c>
      <c r="R981" s="54" t="s">
        <v>376</v>
      </c>
      <c r="S981" s="46"/>
      <c r="T981" s="46"/>
      <c r="U981" s="46"/>
      <c r="V981" s="46"/>
      <c r="W981" s="46"/>
      <c r="X981" s="46"/>
      <c r="Y981" s="46"/>
      <c r="Z981" s="46"/>
      <c r="AA981" s="46"/>
      <c r="AB981" s="46"/>
      <c r="AC981" s="46"/>
      <c r="AD981" s="46"/>
      <c r="AE981" s="50">
        <f>IF(L981="W",1,0)</f>
        <v>0</v>
      </c>
      <c r="AF981" s="50">
        <f>IF(L981="T",1,0)</f>
        <v>0</v>
      </c>
      <c r="AG981" s="50">
        <f>IF(L981="L",1,0)</f>
        <v>1</v>
      </c>
      <c r="AH981" s="46" t="s">
        <v>1017</v>
      </c>
      <c r="AI981" s="46" t="s">
        <v>1018</v>
      </c>
      <c r="AJ981" s="46" t="s">
        <v>376</v>
      </c>
      <c r="AK981" s="46" t="s">
        <v>658</v>
      </c>
      <c r="AL981" s="46" t="s">
        <v>588</v>
      </c>
      <c r="AM981" s="46" t="s">
        <v>1175</v>
      </c>
      <c r="AN981" s="46" t="s">
        <v>376</v>
      </c>
      <c r="AO981" s="46" t="s">
        <v>658</v>
      </c>
      <c r="AP981" s="46"/>
      <c r="AQ981" s="46">
        <v>1</v>
      </c>
      <c r="AR981" s="46"/>
      <c r="AS981" s="46"/>
      <c r="AT981" s="46"/>
      <c r="AU981" s="46" t="s">
        <v>376</v>
      </c>
      <c r="AV981" s="46"/>
      <c r="AW981" s="46" t="s">
        <v>30</v>
      </c>
      <c r="AX981" s="46"/>
      <c r="AY981" s="46"/>
      <c r="AZ981" s="46" t="s">
        <v>30</v>
      </c>
      <c r="BA981" s="54"/>
      <c r="BB981" s="51"/>
      <c r="BC981" s="46" t="s">
        <v>30</v>
      </c>
      <c r="BD981" s="46"/>
      <c r="BE981" s="46"/>
      <c r="BF981" s="46">
        <v>1</v>
      </c>
      <c r="BG981" s="46">
        <v>1</v>
      </c>
      <c r="BH981" s="46">
        <v>1</v>
      </c>
      <c r="BI981" s="46" t="s">
        <v>813</v>
      </c>
      <c r="BJ981" s="46" t="s">
        <v>588</v>
      </c>
      <c r="BK981" s="46">
        <v>1982</v>
      </c>
      <c r="BL981" s="46" t="str">
        <f>BK981&amp;BI981</f>
        <v>1982Tottenham Hotspur</v>
      </c>
      <c r="BM981" s="52" t="str">
        <f>IF(AD981="Home",BI981,IF(AD981="Away",BJ981,Q981))</f>
        <v>London</v>
      </c>
      <c r="BN981" s="46"/>
      <c r="BO981" s="46"/>
      <c r="BP981" s="46"/>
      <c r="BQ981" s="46"/>
      <c r="BR981" s="46"/>
      <c r="BS981" s="46"/>
      <c r="BT981" s="46"/>
      <c r="BU981" s="46"/>
      <c r="BV981" s="46" t="s">
        <v>376</v>
      </c>
      <c r="BW981" s="46" t="s">
        <v>376</v>
      </c>
      <c r="BX981" s="46"/>
      <c r="BZ981" s="53"/>
      <c r="CA981" s="53"/>
      <c r="CB981" s="93" t="str">
        <f>IF(OR(C981="",A981="",B981=""),"",TEXT(C981,"0000")&amp;TEXT(A981,"00")&amp;TEXT(B981,"00"))</f>
        <v>19820313</v>
      </c>
    </row>
    <row r="982" spans="1:80" s="52" customFormat="1" ht="12.95" customHeight="1" x14ac:dyDescent="0.2">
      <c r="A982" s="46">
        <v>4</v>
      </c>
      <c r="B982" s="46">
        <v>3</v>
      </c>
      <c r="C982" s="46">
        <v>1982</v>
      </c>
      <c r="D982" s="46" t="s">
        <v>658</v>
      </c>
      <c r="E982" s="46" t="s">
        <v>541</v>
      </c>
      <c r="F982" s="47" t="s">
        <v>1010</v>
      </c>
      <c r="G982" s="46"/>
      <c r="H982" s="47" t="s">
        <v>1011</v>
      </c>
      <c r="I982" s="47"/>
      <c r="J982" s="48">
        <v>30044</v>
      </c>
      <c r="K982" s="46" t="s">
        <v>1349</v>
      </c>
      <c r="L982" s="46" t="s">
        <v>3</v>
      </c>
      <c r="M982" s="46" t="s">
        <v>1124</v>
      </c>
      <c r="N982" s="49">
        <v>1</v>
      </c>
      <c r="O982" s="49">
        <v>0</v>
      </c>
      <c r="P982" s="47" t="s">
        <v>1281</v>
      </c>
      <c r="Q982" s="47" t="s">
        <v>1017</v>
      </c>
      <c r="R982" s="47" t="s">
        <v>376</v>
      </c>
      <c r="S982" s="46"/>
      <c r="T982" s="46"/>
      <c r="U982" s="46"/>
      <c r="V982" s="46"/>
      <c r="W982" s="46"/>
      <c r="X982" s="46"/>
      <c r="Y982" s="46"/>
      <c r="Z982" s="46"/>
      <c r="AA982" s="46"/>
      <c r="AB982" s="46"/>
      <c r="AC982" s="46"/>
      <c r="AD982" s="46"/>
      <c r="AE982" s="50">
        <f>IF(L982="W",1,0)</f>
        <v>1</v>
      </c>
      <c r="AF982" s="50">
        <f>IF(L982="T",1,0)</f>
        <v>0</v>
      </c>
      <c r="AG982" s="50">
        <f>IF(L982="L",1,0)</f>
        <v>0</v>
      </c>
      <c r="AH982" s="46" t="s">
        <v>1017</v>
      </c>
      <c r="AI982" s="46" t="s">
        <v>1018</v>
      </c>
      <c r="AJ982" s="46" t="s">
        <v>376</v>
      </c>
      <c r="AK982" s="46" t="s">
        <v>658</v>
      </c>
      <c r="AL982" s="46" t="s">
        <v>1111</v>
      </c>
      <c r="AM982" s="46" t="s">
        <v>1126</v>
      </c>
      <c r="AN982" s="46" t="s">
        <v>376</v>
      </c>
      <c r="AO982" s="46" t="s">
        <v>658</v>
      </c>
      <c r="AP982" s="46"/>
      <c r="AQ982" s="46">
        <v>2</v>
      </c>
      <c r="AR982" s="46"/>
      <c r="AS982" s="46"/>
      <c r="AT982" s="46"/>
      <c r="AU982" s="46" t="s">
        <v>376</v>
      </c>
      <c r="AV982" s="46"/>
      <c r="AW982" s="46" t="s">
        <v>30</v>
      </c>
      <c r="AX982" s="46"/>
      <c r="AY982" s="46" t="s">
        <v>30</v>
      </c>
      <c r="AZ982" s="46"/>
      <c r="BA982" s="47"/>
      <c r="BB982" s="51"/>
      <c r="BC982" s="46"/>
      <c r="BD982" s="46"/>
      <c r="BE982" s="46"/>
      <c r="BF982" s="46">
        <v>1</v>
      </c>
      <c r="BG982" s="46">
        <v>2</v>
      </c>
      <c r="BH982" s="46">
        <v>1</v>
      </c>
      <c r="BI982" s="46" t="s">
        <v>1349</v>
      </c>
      <c r="BJ982" s="46" t="s">
        <v>1124</v>
      </c>
      <c r="BK982" s="46">
        <v>1982</v>
      </c>
      <c r="BL982" s="46" t="str">
        <f>BK982&amp;BI982</f>
        <v>1982Queens Park Rangers</v>
      </c>
      <c r="BM982" s="52" t="str">
        <f>IF(AD982="Home",BI982,IF(AD982="Away",BJ982,Q982))</f>
        <v>London</v>
      </c>
      <c r="BN982" s="46"/>
      <c r="BO982" s="46"/>
      <c r="BP982" s="46"/>
      <c r="BQ982" s="46"/>
      <c r="BR982" s="46"/>
      <c r="BS982" s="46"/>
      <c r="BT982" s="46"/>
      <c r="BU982" s="46"/>
      <c r="BV982" s="46" t="s">
        <v>376</v>
      </c>
      <c r="BW982" s="46" t="s">
        <v>376</v>
      </c>
      <c r="BX982" s="46"/>
      <c r="BZ982" s="53"/>
      <c r="CA982" s="53"/>
      <c r="CB982" s="93" t="str">
        <f>IF(OR(C982="",A982="",B982=""),"",TEXT(C982,"0000")&amp;TEXT(A982,"00")&amp;TEXT(B982,"00"))</f>
        <v>19820403</v>
      </c>
    </row>
    <row r="983" spans="1:80" s="52" customFormat="1" ht="12.95" customHeight="1" x14ac:dyDescent="0.2">
      <c r="A983" s="46">
        <v>4</v>
      </c>
      <c r="B983" s="46">
        <v>3</v>
      </c>
      <c r="C983" s="46">
        <v>1982</v>
      </c>
      <c r="D983" s="46" t="s">
        <v>658</v>
      </c>
      <c r="E983" s="46" t="s">
        <v>541</v>
      </c>
      <c r="F983" s="47" t="s">
        <v>1010</v>
      </c>
      <c r="G983" s="46"/>
      <c r="H983" s="47" t="s">
        <v>1011</v>
      </c>
      <c r="I983" s="47"/>
      <c r="J983" s="48">
        <v>30044</v>
      </c>
      <c r="K983" s="46" t="s">
        <v>1124</v>
      </c>
      <c r="L983" s="46" t="s">
        <v>4</v>
      </c>
      <c r="M983" s="46" t="s">
        <v>1349</v>
      </c>
      <c r="N983" s="49">
        <v>0</v>
      </c>
      <c r="O983" s="49">
        <v>1</v>
      </c>
      <c r="P983" s="47" t="s">
        <v>1281</v>
      </c>
      <c r="Q983" s="47" t="s">
        <v>1017</v>
      </c>
      <c r="R983" s="47" t="s">
        <v>376</v>
      </c>
      <c r="S983" s="46"/>
      <c r="T983" s="46"/>
      <c r="U983" s="46"/>
      <c r="V983" s="46"/>
      <c r="W983" s="46"/>
      <c r="X983" s="46"/>
      <c r="Y983" s="46"/>
      <c r="Z983" s="46"/>
      <c r="AA983" s="46"/>
      <c r="AB983" s="46"/>
      <c r="AC983" s="46"/>
      <c r="AD983" s="46"/>
      <c r="AE983" s="50">
        <f>IF(L983="W",1,0)</f>
        <v>0</v>
      </c>
      <c r="AF983" s="50">
        <f>IF(L983="T",1,0)</f>
        <v>0</v>
      </c>
      <c r="AG983" s="50">
        <f>IF(L983="L",1,0)</f>
        <v>1</v>
      </c>
      <c r="AH983" s="46" t="s">
        <v>1111</v>
      </c>
      <c r="AI983" s="46" t="s">
        <v>1126</v>
      </c>
      <c r="AJ983" s="46" t="s">
        <v>376</v>
      </c>
      <c r="AK983" s="46" t="s">
        <v>658</v>
      </c>
      <c r="AL983" s="46" t="s">
        <v>1017</v>
      </c>
      <c r="AM983" s="46" t="s">
        <v>1018</v>
      </c>
      <c r="AN983" s="46" t="s">
        <v>376</v>
      </c>
      <c r="AO983" s="46" t="s">
        <v>658</v>
      </c>
      <c r="AP983" s="46"/>
      <c r="AQ983" s="46">
        <v>2</v>
      </c>
      <c r="AR983" s="46"/>
      <c r="AS983" s="46"/>
      <c r="AT983" s="46"/>
      <c r="AU983" s="46" t="s">
        <v>376</v>
      </c>
      <c r="AV983" s="46"/>
      <c r="AW983" s="46" t="s">
        <v>30</v>
      </c>
      <c r="AX983" s="46"/>
      <c r="AY983" s="46" t="s">
        <v>30</v>
      </c>
      <c r="AZ983" s="46"/>
      <c r="BA983" s="47"/>
      <c r="BB983" s="51"/>
      <c r="BC983" s="46"/>
      <c r="BD983" s="46"/>
      <c r="BE983" s="46"/>
      <c r="BF983" s="46">
        <v>1</v>
      </c>
      <c r="BG983" s="46">
        <v>1</v>
      </c>
      <c r="BH983" s="46">
        <v>2</v>
      </c>
      <c r="BI983" s="46" t="s">
        <v>1124</v>
      </c>
      <c r="BJ983" s="46" t="s">
        <v>1349</v>
      </c>
      <c r="BK983" s="46">
        <v>1982</v>
      </c>
      <c r="BL983" s="46" t="str">
        <f>BK983&amp;BI983</f>
        <v>1982West Bromwich Albion</v>
      </c>
      <c r="BM983" s="52" t="str">
        <f>IF(AD983="Home",BI983,IF(AD983="Away",BJ983,Q983))</f>
        <v>London</v>
      </c>
      <c r="BN983" s="46"/>
      <c r="BO983" s="46"/>
      <c r="BP983" s="46"/>
      <c r="BQ983" s="46"/>
      <c r="BR983" s="46"/>
      <c r="BS983" s="46"/>
      <c r="BT983" s="46"/>
      <c r="BU983" s="46"/>
      <c r="BV983" s="46" t="s">
        <v>376</v>
      </c>
      <c r="BW983" s="46" t="s">
        <v>376</v>
      </c>
      <c r="BX983" s="46"/>
      <c r="BZ983" s="53"/>
      <c r="CA983" s="53"/>
      <c r="CB983" s="93" t="str">
        <f>IF(OR(C983="",A983="",B983=""),"",TEXT(C983,"0000")&amp;TEXT(A983,"00")&amp;TEXT(B983,"00"))</f>
        <v>19820403</v>
      </c>
    </row>
    <row r="984" spans="1:80" s="52" customFormat="1" ht="12.95" customHeight="1" x14ac:dyDescent="0.2">
      <c r="A984" s="46">
        <v>4</v>
      </c>
      <c r="B984" s="46">
        <v>3</v>
      </c>
      <c r="C984" s="46">
        <v>1982</v>
      </c>
      <c r="D984" s="46" t="s">
        <v>658</v>
      </c>
      <c r="E984" s="46" t="s">
        <v>541</v>
      </c>
      <c r="F984" s="47" t="s">
        <v>1010</v>
      </c>
      <c r="G984" s="46"/>
      <c r="H984" s="47" t="s">
        <v>1011</v>
      </c>
      <c r="I984" s="47"/>
      <c r="J984" s="48">
        <v>30044</v>
      </c>
      <c r="K984" s="46" t="s">
        <v>813</v>
      </c>
      <c r="L984" s="46" t="s">
        <v>3</v>
      </c>
      <c r="M984" s="46" t="s">
        <v>1291</v>
      </c>
      <c r="N984" s="49">
        <v>2</v>
      </c>
      <c r="O984" s="49">
        <v>0</v>
      </c>
      <c r="P984" s="47" t="s">
        <v>1219</v>
      </c>
      <c r="Q984" s="47" t="s">
        <v>1111</v>
      </c>
      <c r="R984" s="47" t="s">
        <v>376</v>
      </c>
      <c r="S984" s="46"/>
      <c r="T984" s="46"/>
      <c r="U984" s="46"/>
      <c r="V984" s="46"/>
      <c r="W984" s="46"/>
      <c r="X984" s="46"/>
      <c r="Y984" s="46"/>
      <c r="Z984" s="46"/>
      <c r="AA984" s="46"/>
      <c r="AB984" s="46"/>
      <c r="AC984" s="46"/>
      <c r="AD984" s="46"/>
      <c r="AE984" s="50">
        <f>IF(L984="W",1,0)</f>
        <v>1</v>
      </c>
      <c r="AF984" s="50">
        <f>IF(L984="T",1,0)</f>
        <v>0</v>
      </c>
      <c r="AG984" s="50">
        <f>IF(L984="L",1,0)</f>
        <v>0</v>
      </c>
      <c r="AH984" s="46" t="s">
        <v>1017</v>
      </c>
      <c r="AI984" s="46" t="s">
        <v>1018</v>
      </c>
      <c r="AJ984" s="46" t="s">
        <v>376</v>
      </c>
      <c r="AK984" s="46" t="s">
        <v>658</v>
      </c>
      <c r="AL984" s="46" t="s">
        <v>1278</v>
      </c>
      <c r="AM984" s="46" t="s">
        <v>1292</v>
      </c>
      <c r="AN984" s="46" t="s">
        <v>376</v>
      </c>
      <c r="AO984" s="46" t="s">
        <v>658</v>
      </c>
      <c r="AP984" s="46"/>
      <c r="AQ984" s="46">
        <v>2</v>
      </c>
      <c r="AR984" s="46"/>
      <c r="AS984" s="46"/>
      <c r="AT984" s="46"/>
      <c r="AU984" s="46" t="s">
        <v>376</v>
      </c>
      <c r="AV984" s="46"/>
      <c r="AW984" s="46" t="s">
        <v>30</v>
      </c>
      <c r="AX984" s="46"/>
      <c r="AY984" s="46" t="s">
        <v>30</v>
      </c>
      <c r="AZ984" s="46"/>
      <c r="BA984" s="47"/>
      <c r="BB984" s="51"/>
      <c r="BC984" s="46"/>
      <c r="BD984" s="46"/>
      <c r="BE984" s="46"/>
      <c r="BF984" s="46">
        <v>1</v>
      </c>
      <c r="BG984" s="46">
        <v>1</v>
      </c>
      <c r="BH984" s="46">
        <v>2</v>
      </c>
      <c r="BI984" s="46" t="s">
        <v>813</v>
      </c>
      <c r="BJ984" s="46" t="s">
        <v>1291</v>
      </c>
      <c r="BK984" s="46">
        <v>1982</v>
      </c>
      <c r="BL984" s="46" t="str">
        <f>BK984&amp;BI984</f>
        <v>1982Tottenham Hotspur</v>
      </c>
      <c r="BM984" s="52" t="str">
        <f>IF(AD984="Home",BI984,IF(AD984="Away",BJ984,Q984))</f>
        <v>Birmingham</v>
      </c>
      <c r="BN984" s="46"/>
      <c r="BO984" s="46"/>
      <c r="BP984" s="46"/>
      <c r="BQ984" s="46"/>
      <c r="BR984" s="46"/>
      <c r="BS984" s="46"/>
      <c r="BT984" s="46"/>
      <c r="BU984" s="46"/>
      <c r="BV984" s="46" t="s">
        <v>376</v>
      </c>
      <c r="BW984" s="46" t="s">
        <v>376</v>
      </c>
      <c r="BX984" s="46"/>
      <c r="BZ984" s="53"/>
      <c r="CA984" s="53"/>
      <c r="CB984" s="93" t="str">
        <f>IF(OR(C984="",A984="",B984=""),"",TEXT(C984,"0000")&amp;TEXT(A984,"00")&amp;TEXT(B984,"00"))</f>
        <v>19820403</v>
      </c>
    </row>
    <row r="985" spans="1:80" s="52" customFormat="1" ht="12.95" customHeight="1" x14ac:dyDescent="0.2">
      <c r="A985" s="46">
        <v>4</v>
      </c>
      <c r="B985" s="46">
        <v>3</v>
      </c>
      <c r="C985" s="46">
        <v>1982</v>
      </c>
      <c r="D985" s="46" t="s">
        <v>658</v>
      </c>
      <c r="E985" s="46" t="s">
        <v>541</v>
      </c>
      <c r="F985" s="47" t="s">
        <v>1010</v>
      </c>
      <c r="G985" s="46"/>
      <c r="H985" s="47" t="s">
        <v>1011</v>
      </c>
      <c r="I985" s="47"/>
      <c r="J985" s="48">
        <v>30044</v>
      </c>
      <c r="K985" s="46" t="s">
        <v>1291</v>
      </c>
      <c r="L985" s="46" t="s">
        <v>4</v>
      </c>
      <c r="M985" s="46" t="s">
        <v>813</v>
      </c>
      <c r="N985" s="49">
        <v>0</v>
      </c>
      <c r="O985" s="49">
        <v>2</v>
      </c>
      <c r="P985" s="47" t="s">
        <v>1219</v>
      </c>
      <c r="Q985" s="47" t="s">
        <v>1111</v>
      </c>
      <c r="R985" s="47" t="s">
        <v>376</v>
      </c>
      <c r="S985" s="46"/>
      <c r="T985" s="46"/>
      <c r="U985" s="46"/>
      <c r="V985" s="46"/>
      <c r="W985" s="46"/>
      <c r="X985" s="46"/>
      <c r="Y985" s="46"/>
      <c r="Z985" s="46"/>
      <c r="AA985" s="46"/>
      <c r="AB985" s="46"/>
      <c r="AC985" s="46"/>
      <c r="AD985" s="46"/>
      <c r="AE985" s="50">
        <f>IF(L985="W",1,0)</f>
        <v>0</v>
      </c>
      <c r="AF985" s="50">
        <f>IF(L985="T",1,0)</f>
        <v>0</v>
      </c>
      <c r="AG985" s="50">
        <f>IF(L985="L",1,0)</f>
        <v>1</v>
      </c>
      <c r="AH985" s="46" t="s">
        <v>1278</v>
      </c>
      <c r="AI985" s="46" t="s">
        <v>1292</v>
      </c>
      <c r="AJ985" s="46" t="s">
        <v>376</v>
      </c>
      <c r="AK985" s="46" t="s">
        <v>658</v>
      </c>
      <c r="AL985" s="46" t="s">
        <v>1017</v>
      </c>
      <c r="AM985" s="46" t="s">
        <v>1018</v>
      </c>
      <c r="AN985" s="46" t="s">
        <v>376</v>
      </c>
      <c r="AO985" s="46" t="s">
        <v>658</v>
      </c>
      <c r="AP985" s="46"/>
      <c r="AQ985" s="46">
        <v>2</v>
      </c>
      <c r="AR985" s="46"/>
      <c r="AS985" s="46"/>
      <c r="AT985" s="46"/>
      <c r="AU985" s="46" t="s">
        <v>376</v>
      </c>
      <c r="AV985" s="46"/>
      <c r="AW985" s="46" t="s">
        <v>30</v>
      </c>
      <c r="AX985" s="46"/>
      <c r="AY985" s="46" t="s">
        <v>30</v>
      </c>
      <c r="AZ985" s="46"/>
      <c r="BA985" s="47"/>
      <c r="BB985" s="51"/>
      <c r="BC985" s="46"/>
      <c r="BD985" s="46"/>
      <c r="BE985" s="46"/>
      <c r="BF985" s="46">
        <v>1</v>
      </c>
      <c r="BG985" s="46">
        <v>2</v>
      </c>
      <c r="BH985" s="46">
        <v>1</v>
      </c>
      <c r="BI985" s="46" t="s">
        <v>1291</v>
      </c>
      <c r="BJ985" s="46" t="s">
        <v>813</v>
      </c>
      <c r="BK985" s="46">
        <v>1982</v>
      </c>
      <c r="BL985" s="46" t="str">
        <f>BK985&amp;BI985</f>
        <v>1982Leicester City</v>
      </c>
      <c r="BM985" s="52" t="str">
        <f>IF(AD985="Home",BI985,IF(AD985="Away",BJ985,Q985))</f>
        <v>Birmingham</v>
      </c>
      <c r="BN985" s="46"/>
      <c r="BO985" s="46"/>
      <c r="BP985" s="46"/>
      <c r="BQ985" s="46"/>
      <c r="BR985" s="46"/>
      <c r="BS985" s="46"/>
      <c r="BT985" s="46"/>
      <c r="BU985" s="46"/>
      <c r="BV985" s="46" t="s">
        <v>376</v>
      </c>
      <c r="BW985" s="46" t="s">
        <v>376</v>
      </c>
      <c r="BX985" s="46"/>
      <c r="BZ985" s="53"/>
      <c r="CA985" s="53"/>
      <c r="CB985" s="93" t="str">
        <f>IF(OR(C985="",A985="",B985=""),"",TEXT(C985,"0000")&amp;TEXT(A985,"00")&amp;TEXT(B985,"00"))</f>
        <v>19820403</v>
      </c>
    </row>
    <row r="986" spans="1:80" s="52" customFormat="1" ht="12.95" customHeight="1" x14ac:dyDescent="0.2">
      <c r="A986" s="46">
        <v>5</v>
      </c>
      <c r="B986" s="46">
        <v>22</v>
      </c>
      <c r="C986" s="46">
        <v>1982</v>
      </c>
      <c r="D986" s="46" t="s">
        <v>658</v>
      </c>
      <c r="E986" s="46" t="s">
        <v>541</v>
      </c>
      <c r="F986" s="47" t="s">
        <v>1010</v>
      </c>
      <c r="G986" s="46"/>
      <c r="H986" s="47" t="s">
        <v>1025</v>
      </c>
      <c r="I986" s="47"/>
      <c r="J986" s="48">
        <v>30093</v>
      </c>
      <c r="K986" s="46" t="s">
        <v>813</v>
      </c>
      <c r="L986" s="46" t="s">
        <v>1014</v>
      </c>
      <c r="M986" s="46" t="s">
        <v>1349</v>
      </c>
      <c r="N986" s="49">
        <v>1</v>
      </c>
      <c r="O986" s="49">
        <v>1</v>
      </c>
      <c r="P986" s="47" t="s">
        <v>1268</v>
      </c>
      <c r="Q986" s="47" t="s">
        <v>1017</v>
      </c>
      <c r="R986" s="47" t="s">
        <v>376</v>
      </c>
      <c r="S986" s="46"/>
      <c r="T986" s="46"/>
      <c r="U986" s="46"/>
      <c r="V986" s="46"/>
      <c r="W986" s="46"/>
      <c r="X986" s="46"/>
      <c r="Y986" s="46"/>
      <c r="Z986" s="46"/>
      <c r="AA986" s="46"/>
      <c r="AB986" s="46"/>
      <c r="AC986" s="46"/>
      <c r="AD986" s="46"/>
      <c r="AE986" s="50">
        <f>IF(L986="W",1,0)</f>
        <v>0</v>
      </c>
      <c r="AF986" s="50">
        <f>IF(L986="T",1,0)</f>
        <v>1</v>
      </c>
      <c r="AG986" s="50">
        <f>IF(L986="L",1,0)</f>
        <v>0</v>
      </c>
      <c r="AH986" s="46" t="s">
        <v>1017</v>
      </c>
      <c r="AI986" s="46" t="s">
        <v>1018</v>
      </c>
      <c r="AJ986" s="46" t="s">
        <v>376</v>
      </c>
      <c r="AK986" s="46" t="s">
        <v>658</v>
      </c>
      <c r="AL986" s="46" t="s">
        <v>1017</v>
      </c>
      <c r="AM986" s="46" t="s">
        <v>1018</v>
      </c>
      <c r="AN986" s="46" t="s">
        <v>376</v>
      </c>
      <c r="AO986" s="46" t="s">
        <v>658</v>
      </c>
      <c r="AP986" s="46"/>
      <c r="AQ986" s="46">
        <v>1</v>
      </c>
      <c r="AR986" s="46"/>
      <c r="AS986" s="46"/>
      <c r="AT986" s="46"/>
      <c r="AU986" s="46" t="s">
        <v>376</v>
      </c>
      <c r="AV986" s="46"/>
      <c r="AW986" s="46" t="s">
        <v>30</v>
      </c>
      <c r="AX986" s="46"/>
      <c r="AY986" s="46" t="s">
        <v>30</v>
      </c>
      <c r="AZ986" s="46"/>
      <c r="BA986" s="47"/>
      <c r="BB986" s="51"/>
      <c r="BC986" s="46" t="s">
        <v>30</v>
      </c>
      <c r="BD986" s="46"/>
      <c r="BE986" s="46"/>
      <c r="BF986" s="46">
        <v>1</v>
      </c>
      <c r="BG986" s="46">
        <v>1</v>
      </c>
      <c r="BH986" s="46">
        <v>2</v>
      </c>
      <c r="BI986" s="46" t="s">
        <v>813</v>
      </c>
      <c r="BJ986" s="46" t="s">
        <v>1349</v>
      </c>
      <c r="BK986" s="46">
        <v>1982</v>
      </c>
      <c r="BL986" s="46" t="str">
        <f>BK986&amp;BI986</f>
        <v>1982Tottenham Hotspur</v>
      </c>
      <c r="BM986" s="52" t="str">
        <f>IF(AD986="Home",BI986,IF(AD986="Away",BJ986,Q986))</f>
        <v>London</v>
      </c>
      <c r="BN986" s="46"/>
      <c r="BO986" s="46"/>
      <c r="BP986" s="46"/>
      <c r="BQ986" s="46"/>
      <c r="BR986" s="46"/>
      <c r="BS986" s="46"/>
      <c r="BT986" s="46"/>
      <c r="BU986" s="46"/>
      <c r="BV986" s="46" t="s">
        <v>376</v>
      </c>
      <c r="BW986" s="46" t="s">
        <v>376</v>
      </c>
      <c r="BX986" s="46"/>
      <c r="BZ986" s="53"/>
      <c r="CA986" s="53"/>
      <c r="CB986" s="93" t="str">
        <f>IF(OR(C986="",A986="",B986=""),"",TEXT(C986,"0000")&amp;TEXT(A986,"00")&amp;TEXT(B986,"00"))</f>
        <v>19820522</v>
      </c>
    </row>
    <row r="987" spans="1:80" s="52" customFormat="1" ht="12.95" customHeight="1" x14ac:dyDescent="0.2">
      <c r="A987" s="46">
        <v>5</v>
      </c>
      <c r="B987" s="46">
        <v>22</v>
      </c>
      <c r="C987" s="46">
        <v>1982</v>
      </c>
      <c r="D987" s="46" t="s">
        <v>658</v>
      </c>
      <c r="E987" s="46" t="s">
        <v>541</v>
      </c>
      <c r="F987" s="47" t="s">
        <v>1010</v>
      </c>
      <c r="G987" s="46"/>
      <c r="H987" s="47" t="s">
        <v>1025</v>
      </c>
      <c r="I987" s="47"/>
      <c r="J987" s="48">
        <v>30093</v>
      </c>
      <c r="K987" s="46" t="s">
        <v>1349</v>
      </c>
      <c r="L987" s="46" t="s">
        <v>1014</v>
      </c>
      <c r="M987" s="46" t="s">
        <v>813</v>
      </c>
      <c r="N987" s="49">
        <v>1</v>
      </c>
      <c r="O987" s="49">
        <v>1</v>
      </c>
      <c r="P987" s="47" t="s">
        <v>1268</v>
      </c>
      <c r="Q987" s="47" t="s">
        <v>1017</v>
      </c>
      <c r="R987" s="47" t="s">
        <v>376</v>
      </c>
      <c r="S987" s="46"/>
      <c r="T987" s="46"/>
      <c r="U987" s="46"/>
      <c r="V987" s="46"/>
      <c r="W987" s="46"/>
      <c r="X987" s="46"/>
      <c r="Y987" s="46"/>
      <c r="Z987" s="46"/>
      <c r="AA987" s="46"/>
      <c r="AB987" s="46"/>
      <c r="AC987" s="46"/>
      <c r="AD987" s="46"/>
      <c r="AE987" s="50">
        <f>IF(L987="W",1,0)</f>
        <v>0</v>
      </c>
      <c r="AF987" s="50">
        <f>IF(L987="T",1,0)</f>
        <v>1</v>
      </c>
      <c r="AG987" s="50">
        <f>IF(L987="L",1,0)</f>
        <v>0</v>
      </c>
      <c r="AH987" s="46" t="s">
        <v>1017</v>
      </c>
      <c r="AI987" s="46" t="s">
        <v>1018</v>
      </c>
      <c r="AJ987" s="46" t="s">
        <v>376</v>
      </c>
      <c r="AK987" s="46" t="s">
        <v>658</v>
      </c>
      <c r="AL987" s="46" t="s">
        <v>1017</v>
      </c>
      <c r="AM987" s="46" t="s">
        <v>1018</v>
      </c>
      <c r="AN987" s="46" t="s">
        <v>376</v>
      </c>
      <c r="AO987" s="46" t="s">
        <v>658</v>
      </c>
      <c r="AP987" s="46"/>
      <c r="AQ987" s="46">
        <v>1</v>
      </c>
      <c r="AR987" s="46"/>
      <c r="AS987" s="46"/>
      <c r="AT987" s="46"/>
      <c r="AU987" s="46" t="s">
        <v>376</v>
      </c>
      <c r="AV987" s="46"/>
      <c r="AW987" s="46" t="s">
        <v>30</v>
      </c>
      <c r="AX987" s="46"/>
      <c r="AY987" s="46" t="s">
        <v>30</v>
      </c>
      <c r="AZ987" s="46"/>
      <c r="BA987" s="47"/>
      <c r="BB987" s="51"/>
      <c r="BC987" s="46" t="s">
        <v>30</v>
      </c>
      <c r="BD987" s="46"/>
      <c r="BE987" s="46"/>
      <c r="BF987" s="46">
        <v>1</v>
      </c>
      <c r="BG987" s="46">
        <v>2</v>
      </c>
      <c r="BH987" s="46">
        <v>1</v>
      </c>
      <c r="BI987" s="46" t="s">
        <v>1349</v>
      </c>
      <c r="BJ987" s="46" t="s">
        <v>813</v>
      </c>
      <c r="BK987" s="46">
        <v>1982</v>
      </c>
      <c r="BL987" s="46" t="str">
        <f>BK987&amp;BI987</f>
        <v>1982Queens Park Rangers</v>
      </c>
      <c r="BM987" s="52" t="str">
        <f>IF(AD987="Home",BI987,IF(AD987="Away",BJ987,Q987))</f>
        <v>London</v>
      </c>
      <c r="BN987" s="46"/>
      <c r="BO987" s="46"/>
      <c r="BP987" s="46"/>
      <c r="BQ987" s="46"/>
      <c r="BR987" s="46"/>
      <c r="BS987" s="46"/>
      <c r="BT987" s="46"/>
      <c r="BU987" s="46"/>
      <c r="BV987" s="46" t="s">
        <v>376</v>
      </c>
      <c r="BW987" s="46" t="s">
        <v>376</v>
      </c>
      <c r="BX987" s="46"/>
      <c r="BZ987" s="53"/>
      <c r="CA987" s="53"/>
      <c r="CB987" s="93" t="str">
        <f>IF(OR(C987="",A987="",B987=""),"",TEXT(C987,"0000")&amp;TEXT(A987,"00")&amp;TEXT(B987,"00"))</f>
        <v>19820522</v>
      </c>
    </row>
    <row r="988" spans="1:80" s="52" customFormat="1" ht="12.95" customHeight="1" x14ac:dyDescent="0.2">
      <c r="A988" s="46">
        <v>5</v>
      </c>
      <c r="B988" s="46">
        <v>27</v>
      </c>
      <c r="C988" s="46">
        <v>1982</v>
      </c>
      <c r="D988" s="46" t="s">
        <v>658</v>
      </c>
      <c r="E988" s="46" t="s">
        <v>541</v>
      </c>
      <c r="F988" s="47" t="s">
        <v>1010</v>
      </c>
      <c r="G988" s="46"/>
      <c r="H988" s="47" t="s">
        <v>1025</v>
      </c>
      <c r="I988" s="47" t="s">
        <v>1023</v>
      </c>
      <c r="J988" s="48">
        <v>30098</v>
      </c>
      <c r="K988" s="46" t="s">
        <v>813</v>
      </c>
      <c r="L988" s="46" t="s">
        <v>3</v>
      </c>
      <c r="M988" s="46" t="s">
        <v>1349</v>
      </c>
      <c r="N988" s="49">
        <v>1</v>
      </c>
      <c r="O988" s="49">
        <v>0</v>
      </c>
      <c r="P988" s="47" t="s">
        <v>1268</v>
      </c>
      <c r="Q988" s="47" t="s">
        <v>1017</v>
      </c>
      <c r="R988" s="47" t="s">
        <v>376</v>
      </c>
      <c r="S988" s="46"/>
      <c r="T988" s="46"/>
      <c r="U988" s="46"/>
      <c r="V988" s="46"/>
      <c r="W988" s="46"/>
      <c r="X988" s="46"/>
      <c r="Y988" s="46"/>
      <c r="Z988" s="46"/>
      <c r="AA988" s="46"/>
      <c r="AB988" s="46"/>
      <c r="AC988" s="46"/>
      <c r="AD988" s="46"/>
      <c r="AE988" s="50">
        <f>IF(L988="W",1,0)</f>
        <v>1</v>
      </c>
      <c r="AF988" s="50">
        <f>IF(L988="T",1,0)</f>
        <v>0</v>
      </c>
      <c r="AG988" s="50">
        <f>IF(L988="L",1,0)</f>
        <v>0</v>
      </c>
      <c r="AH988" s="46" t="s">
        <v>1017</v>
      </c>
      <c r="AI988" s="46" t="s">
        <v>1018</v>
      </c>
      <c r="AJ988" s="46" t="s">
        <v>376</v>
      </c>
      <c r="AK988" s="46" t="s">
        <v>658</v>
      </c>
      <c r="AL988" s="46" t="s">
        <v>1017</v>
      </c>
      <c r="AM988" s="46" t="s">
        <v>1018</v>
      </c>
      <c r="AN988" s="46" t="s">
        <v>376</v>
      </c>
      <c r="AO988" s="46" t="s">
        <v>658</v>
      </c>
      <c r="AP988" s="46"/>
      <c r="AQ988" s="46">
        <v>1</v>
      </c>
      <c r="AR988" s="46"/>
      <c r="AS988" s="46"/>
      <c r="AT988" s="46"/>
      <c r="AU988" s="46" t="s">
        <v>376</v>
      </c>
      <c r="AV988" s="46"/>
      <c r="AW988" s="46" t="s">
        <v>30</v>
      </c>
      <c r="AX988" s="46"/>
      <c r="AY988" s="46" t="s">
        <v>30</v>
      </c>
      <c r="AZ988" s="46"/>
      <c r="BA988" s="47"/>
      <c r="BB988" s="51" t="s">
        <v>30</v>
      </c>
      <c r="BC988" s="46" t="s">
        <v>30</v>
      </c>
      <c r="BD988" s="46"/>
      <c r="BE988" s="46"/>
      <c r="BF988" s="46">
        <v>1</v>
      </c>
      <c r="BG988" s="46">
        <v>1</v>
      </c>
      <c r="BH988" s="46">
        <v>2</v>
      </c>
      <c r="BI988" s="46" t="s">
        <v>813</v>
      </c>
      <c r="BJ988" s="46" t="s">
        <v>1349</v>
      </c>
      <c r="BK988" s="46">
        <v>1982</v>
      </c>
      <c r="BL988" s="46" t="str">
        <f>BK988&amp;BI988</f>
        <v>1982Tottenham Hotspur</v>
      </c>
      <c r="BM988" s="52" t="str">
        <f>IF(AD988="Home",BI988,IF(AD988="Away",BJ988,Q988))</f>
        <v>London</v>
      </c>
      <c r="BN988" s="46"/>
      <c r="BO988" s="46"/>
      <c r="BP988" s="46"/>
      <c r="BQ988" s="46"/>
      <c r="BR988" s="46"/>
      <c r="BS988" s="46"/>
      <c r="BT988" s="46"/>
      <c r="BU988" s="46"/>
      <c r="BV988" s="46" t="s">
        <v>376</v>
      </c>
      <c r="BW988" s="46" t="s">
        <v>376</v>
      </c>
      <c r="BX988" s="46"/>
      <c r="BZ988" s="53"/>
      <c r="CA988" s="53"/>
      <c r="CB988" s="93" t="str">
        <f>IF(OR(C988="",A988="",B988=""),"",TEXT(C988,"0000")&amp;TEXT(A988,"00")&amp;TEXT(B988,"00"))</f>
        <v>19820527</v>
      </c>
    </row>
    <row r="989" spans="1:80" s="52" customFormat="1" ht="12.95" customHeight="1" x14ac:dyDescent="0.2">
      <c r="A989" s="46">
        <v>5</v>
      </c>
      <c r="B989" s="46">
        <v>27</v>
      </c>
      <c r="C989" s="46">
        <v>1982</v>
      </c>
      <c r="D989" s="46" t="s">
        <v>658</v>
      </c>
      <c r="E989" s="46" t="s">
        <v>541</v>
      </c>
      <c r="F989" s="47" t="s">
        <v>1010</v>
      </c>
      <c r="G989" s="46"/>
      <c r="H989" s="47" t="s">
        <v>1025</v>
      </c>
      <c r="I989" s="47" t="s">
        <v>1023</v>
      </c>
      <c r="J989" s="48">
        <v>30098</v>
      </c>
      <c r="K989" s="46" t="s">
        <v>1349</v>
      </c>
      <c r="L989" s="46" t="s">
        <v>4</v>
      </c>
      <c r="M989" s="46" t="s">
        <v>813</v>
      </c>
      <c r="N989" s="49">
        <v>0</v>
      </c>
      <c r="O989" s="49">
        <v>1</v>
      </c>
      <c r="P989" s="47" t="s">
        <v>1268</v>
      </c>
      <c r="Q989" s="47" t="s">
        <v>1017</v>
      </c>
      <c r="R989" s="47" t="s">
        <v>376</v>
      </c>
      <c r="S989" s="46"/>
      <c r="T989" s="46"/>
      <c r="U989" s="46"/>
      <c r="V989" s="46"/>
      <c r="W989" s="46"/>
      <c r="X989" s="46"/>
      <c r="Y989" s="46"/>
      <c r="Z989" s="46"/>
      <c r="AA989" s="46"/>
      <c r="AB989" s="46"/>
      <c r="AC989" s="46"/>
      <c r="AD989" s="46"/>
      <c r="AE989" s="50">
        <f>IF(L989="W",1,0)</f>
        <v>0</v>
      </c>
      <c r="AF989" s="50">
        <f>IF(L989="T",1,0)</f>
        <v>0</v>
      </c>
      <c r="AG989" s="50">
        <f>IF(L989="L",1,0)</f>
        <v>1</v>
      </c>
      <c r="AH989" s="46" t="s">
        <v>1017</v>
      </c>
      <c r="AI989" s="46" t="s">
        <v>1018</v>
      </c>
      <c r="AJ989" s="46" t="s">
        <v>376</v>
      </c>
      <c r="AK989" s="46" t="s">
        <v>658</v>
      </c>
      <c r="AL989" s="46" t="s">
        <v>1017</v>
      </c>
      <c r="AM989" s="46" t="s">
        <v>1018</v>
      </c>
      <c r="AN989" s="46" t="s">
        <v>376</v>
      </c>
      <c r="AO989" s="46" t="s">
        <v>658</v>
      </c>
      <c r="AP989" s="46"/>
      <c r="AQ989" s="46">
        <v>1</v>
      </c>
      <c r="AR989" s="46"/>
      <c r="AS989" s="46"/>
      <c r="AT989" s="46"/>
      <c r="AU989" s="46" t="s">
        <v>376</v>
      </c>
      <c r="AV989" s="46"/>
      <c r="AW989" s="46" t="s">
        <v>30</v>
      </c>
      <c r="AX989" s="46"/>
      <c r="AY989" s="46" t="s">
        <v>30</v>
      </c>
      <c r="AZ989" s="46"/>
      <c r="BA989" s="47"/>
      <c r="BB989" s="51"/>
      <c r="BC989" s="46" t="s">
        <v>30</v>
      </c>
      <c r="BD989" s="46"/>
      <c r="BE989" s="46"/>
      <c r="BF989" s="46">
        <v>1</v>
      </c>
      <c r="BG989" s="46">
        <v>2</v>
      </c>
      <c r="BH989" s="46">
        <v>1</v>
      </c>
      <c r="BI989" s="46" t="s">
        <v>1349</v>
      </c>
      <c r="BJ989" s="46" t="s">
        <v>813</v>
      </c>
      <c r="BK989" s="46">
        <v>1982</v>
      </c>
      <c r="BL989" s="46" t="str">
        <f>BK989&amp;BI989</f>
        <v>1982Queens Park Rangers</v>
      </c>
      <c r="BM989" s="52" t="str">
        <f>IF(AD989="Home",BI989,IF(AD989="Away",BJ989,Q989))</f>
        <v>London</v>
      </c>
      <c r="BN989" s="46"/>
      <c r="BO989" s="46"/>
      <c r="BP989" s="46"/>
      <c r="BQ989" s="46"/>
      <c r="BR989" s="46"/>
      <c r="BS989" s="46"/>
      <c r="BT989" s="46"/>
      <c r="BU989" s="46"/>
      <c r="BV989" s="46" t="s">
        <v>376</v>
      </c>
      <c r="BW989" s="46" t="s">
        <v>376</v>
      </c>
      <c r="BX989" s="46"/>
      <c r="BZ989" s="53"/>
      <c r="CA989" s="53"/>
      <c r="CB989" s="93" t="str">
        <f>IF(OR(C989="",A989="",B989=""),"",TEXT(C989,"0000")&amp;TEXT(A989,"00")&amp;TEXT(B989,"00"))</f>
        <v>19820527</v>
      </c>
    </row>
    <row r="990" spans="1:80" s="52" customFormat="1" ht="12.95" customHeight="1" x14ac:dyDescent="0.2">
      <c r="A990" s="46">
        <v>2</v>
      </c>
      <c r="B990" s="46">
        <v>8</v>
      </c>
      <c r="C990" s="46">
        <v>1983</v>
      </c>
      <c r="D990" s="46" t="s">
        <v>658</v>
      </c>
      <c r="E990" s="46" t="s">
        <v>538</v>
      </c>
      <c r="F990" s="54" t="s">
        <v>1327</v>
      </c>
      <c r="G990" s="46"/>
      <c r="H990" s="54" t="s">
        <v>1011</v>
      </c>
      <c r="I990" s="54">
        <v>1</v>
      </c>
      <c r="J990" s="55">
        <v>30355</v>
      </c>
      <c r="K990" s="46" t="s">
        <v>588</v>
      </c>
      <c r="L990" s="46" t="s">
        <v>3</v>
      </c>
      <c r="M990" s="46" t="s">
        <v>1255</v>
      </c>
      <c r="N990" s="49">
        <v>3</v>
      </c>
      <c r="O990" s="49">
        <v>0</v>
      </c>
      <c r="P990" s="54" t="s">
        <v>1141</v>
      </c>
      <c r="Q990" s="54" t="s">
        <v>588</v>
      </c>
      <c r="R990" s="54" t="s">
        <v>376</v>
      </c>
      <c r="S990" s="46"/>
      <c r="T990" s="46"/>
      <c r="U990" s="46"/>
      <c r="V990" s="46"/>
      <c r="W990" s="46"/>
      <c r="X990" s="46"/>
      <c r="Y990" s="46"/>
      <c r="Z990" s="46"/>
      <c r="AA990" s="46"/>
      <c r="AB990" s="46"/>
      <c r="AC990" s="46"/>
      <c r="AD990" s="46" t="s">
        <v>1033</v>
      </c>
      <c r="AE990" s="50">
        <f>IF(L990="W",1,0)</f>
        <v>1</v>
      </c>
      <c r="AF990" s="50">
        <f>IF(L990="T",1,0)</f>
        <v>0</v>
      </c>
      <c r="AG990" s="50">
        <f>IF(L990="L",1,0)</f>
        <v>0</v>
      </c>
      <c r="AH990" s="46" t="s">
        <v>588</v>
      </c>
      <c r="AI990" s="46" t="s">
        <v>1175</v>
      </c>
      <c r="AJ990" s="46" t="s">
        <v>376</v>
      </c>
      <c r="AK990" s="46" t="s">
        <v>658</v>
      </c>
      <c r="AL990" s="46" t="s">
        <v>1255</v>
      </c>
      <c r="AM990" s="46" t="s">
        <v>1086</v>
      </c>
      <c r="AN990" s="46" t="s">
        <v>376</v>
      </c>
      <c r="AO990" s="46" t="s">
        <v>658</v>
      </c>
      <c r="AP990" s="46"/>
      <c r="AQ990" s="46">
        <v>2</v>
      </c>
      <c r="AR990" s="46"/>
      <c r="AS990" s="46"/>
      <c r="AT990" s="46"/>
      <c r="AU990" s="46" t="s">
        <v>376</v>
      </c>
      <c r="AV990" s="46"/>
      <c r="AW990" s="46" t="s">
        <v>30</v>
      </c>
      <c r="AX990" s="46"/>
      <c r="AY990" s="46"/>
      <c r="AZ990" s="46" t="s">
        <v>30</v>
      </c>
      <c r="BA990" s="54"/>
      <c r="BB990" s="51"/>
      <c r="BC990" s="46"/>
      <c r="BD990" s="46"/>
      <c r="BE990" s="46"/>
      <c r="BF990" s="46">
        <v>1</v>
      </c>
      <c r="BG990" s="46">
        <v>1</v>
      </c>
      <c r="BH990" s="46">
        <v>2</v>
      </c>
      <c r="BI990" s="46" t="s">
        <v>588</v>
      </c>
      <c r="BJ990" s="46" t="s">
        <v>1255</v>
      </c>
      <c r="BK990" s="46">
        <v>1983</v>
      </c>
      <c r="BL990" s="46" t="str">
        <f>BK990&amp;BI990</f>
        <v>1983Liverpool</v>
      </c>
      <c r="BM990" s="52" t="str">
        <f>IF(AD990="Home",BI990,IF(AD990="Away",BJ990,Q990))</f>
        <v>Liverpool</v>
      </c>
      <c r="BN990" s="46"/>
      <c r="BO990" s="46"/>
      <c r="BP990" s="46"/>
      <c r="BQ990" s="46"/>
      <c r="BR990" s="46"/>
      <c r="BS990" s="46"/>
      <c r="BT990" s="46"/>
      <c r="BU990" s="46"/>
      <c r="BV990" s="46" t="s">
        <v>376</v>
      </c>
      <c r="BW990" s="46" t="s">
        <v>376</v>
      </c>
      <c r="BX990" s="46"/>
      <c r="BZ990" s="53"/>
      <c r="CA990" s="53"/>
      <c r="CB990" s="93" t="str">
        <f>IF(OR(C990="",A990="",B990=""),"",TEXT(C990,"0000")&amp;TEXT(A990,"00")&amp;TEXT(B990,"00"))</f>
        <v>19830208</v>
      </c>
    </row>
    <row r="991" spans="1:80" s="52" customFormat="1" ht="12.95" customHeight="1" x14ac:dyDescent="0.2">
      <c r="A991" s="46">
        <v>2</v>
      </c>
      <c r="B991" s="46">
        <v>8</v>
      </c>
      <c r="C991" s="46">
        <v>1983</v>
      </c>
      <c r="D991" s="46" t="s">
        <v>658</v>
      </c>
      <c r="E991" s="46" t="s">
        <v>538</v>
      </c>
      <c r="F991" s="54" t="s">
        <v>1327</v>
      </c>
      <c r="G991" s="46"/>
      <c r="H991" s="54" t="s">
        <v>1011</v>
      </c>
      <c r="I991" s="54">
        <v>1</v>
      </c>
      <c r="J991" s="55">
        <v>30355</v>
      </c>
      <c r="K991" s="46" t="s">
        <v>1255</v>
      </c>
      <c r="L991" s="46" t="s">
        <v>4</v>
      </c>
      <c r="M991" s="46" t="s">
        <v>588</v>
      </c>
      <c r="N991" s="49">
        <v>0</v>
      </c>
      <c r="O991" s="49">
        <v>3</v>
      </c>
      <c r="P991" s="54" t="s">
        <v>1141</v>
      </c>
      <c r="Q991" s="54" t="s">
        <v>588</v>
      </c>
      <c r="R991" s="54" t="s">
        <v>376</v>
      </c>
      <c r="S991" s="46"/>
      <c r="T991" s="46"/>
      <c r="U991" s="46"/>
      <c r="V991" s="46"/>
      <c r="W991" s="46"/>
      <c r="X991" s="46"/>
      <c r="Y991" s="46"/>
      <c r="Z991" s="46"/>
      <c r="AA991" s="46"/>
      <c r="AB991" s="46"/>
      <c r="AC991" s="46"/>
      <c r="AD991" s="46" t="s">
        <v>1037</v>
      </c>
      <c r="AE991" s="50">
        <f>IF(L991="W",1,0)</f>
        <v>0</v>
      </c>
      <c r="AF991" s="50">
        <f>IF(L991="T",1,0)</f>
        <v>0</v>
      </c>
      <c r="AG991" s="50">
        <f>IF(L991="L",1,0)</f>
        <v>1</v>
      </c>
      <c r="AH991" s="46" t="s">
        <v>1255</v>
      </c>
      <c r="AI991" s="46" t="s">
        <v>1086</v>
      </c>
      <c r="AJ991" s="46" t="s">
        <v>376</v>
      </c>
      <c r="AK991" s="46" t="s">
        <v>658</v>
      </c>
      <c r="AL991" s="46" t="s">
        <v>588</v>
      </c>
      <c r="AM991" s="46" t="s">
        <v>1175</v>
      </c>
      <c r="AN991" s="46" t="s">
        <v>376</v>
      </c>
      <c r="AO991" s="46" t="s">
        <v>658</v>
      </c>
      <c r="AP991" s="46"/>
      <c r="AQ991" s="46">
        <v>2</v>
      </c>
      <c r="AR991" s="46"/>
      <c r="AS991" s="46"/>
      <c r="AT991" s="46"/>
      <c r="AU991" s="46" t="s">
        <v>376</v>
      </c>
      <c r="AV991" s="46"/>
      <c r="AW991" s="46" t="s">
        <v>30</v>
      </c>
      <c r="AX991" s="46"/>
      <c r="AY991" s="46"/>
      <c r="AZ991" s="46" t="s">
        <v>30</v>
      </c>
      <c r="BA991" s="54"/>
      <c r="BB991" s="51"/>
      <c r="BC991" s="46"/>
      <c r="BD991" s="46"/>
      <c r="BE991" s="46"/>
      <c r="BF991" s="46">
        <v>1</v>
      </c>
      <c r="BG991" s="46">
        <v>2</v>
      </c>
      <c r="BH991" s="46">
        <v>1</v>
      </c>
      <c r="BI991" s="46" t="s">
        <v>1255</v>
      </c>
      <c r="BJ991" s="46" t="s">
        <v>588</v>
      </c>
      <c r="BK991" s="46">
        <v>1983</v>
      </c>
      <c r="BL991" s="46" t="str">
        <f>BK991&amp;BI991</f>
        <v>1983Burnley</v>
      </c>
      <c r="BM991" s="52" t="str">
        <f>IF(AD991="Home",BI991,IF(AD991="Away",BJ991,Q991))</f>
        <v>Liverpool</v>
      </c>
      <c r="BN991" s="46"/>
      <c r="BO991" s="46"/>
      <c r="BP991" s="46"/>
      <c r="BQ991" s="46"/>
      <c r="BR991" s="46"/>
      <c r="BS991" s="46"/>
      <c r="BT991" s="46"/>
      <c r="BU991" s="46"/>
      <c r="BV991" s="46" t="s">
        <v>376</v>
      </c>
      <c r="BW991" s="46" t="s">
        <v>376</v>
      </c>
      <c r="BX991" s="46"/>
      <c r="BZ991" s="53"/>
      <c r="CA991" s="53"/>
      <c r="CB991" s="93" t="str">
        <f>IF(OR(C991="",A991="",B991=""),"",TEXT(C991,"0000")&amp;TEXT(A991,"00")&amp;TEXT(B991,"00"))</f>
        <v>19830208</v>
      </c>
    </row>
    <row r="992" spans="1:80" s="52" customFormat="1" ht="12.95" customHeight="1" x14ac:dyDescent="0.2">
      <c r="A992" s="46">
        <v>2</v>
      </c>
      <c r="B992" s="46">
        <v>15</v>
      </c>
      <c r="C992" s="46">
        <v>1983</v>
      </c>
      <c r="D992" s="46" t="s">
        <v>658</v>
      </c>
      <c r="E992" s="46" t="s">
        <v>538</v>
      </c>
      <c r="F992" s="54" t="s">
        <v>1327</v>
      </c>
      <c r="G992" s="46"/>
      <c r="H992" s="54" t="s">
        <v>1011</v>
      </c>
      <c r="I992" s="54">
        <v>1</v>
      </c>
      <c r="J992" s="55">
        <v>30362</v>
      </c>
      <c r="K992" s="46" t="s">
        <v>587</v>
      </c>
      <c r="L992" s="46" t="s">
        <v>4</v>
      </c>
      <c r="M992" s="46" t="s">
        <v>821</v>
      </c>
      <c r="N992" s="49">
        <v>2</v>
      </c>
      <c r="O992" s="49">
        <v>4</v>
      </c>
      <c r="P992" s="54" t="s">
        <v>1281</v>
      </c>
      <c r="Q992" s="54" t="s">
        <v>1017</v>
      </c>
      <c r="R992" s="54" t="s">
        <v>376</v>
      </c>
      <c r="S992" s="46"/>
      <c r="T992" s="46"/>
      <c r="U992" s="46"/>
      <c r="V992" s="46"/>
      <c r="W992" s="46"/>
      <c r="X992" s="46"/>
      <c r="Y992" s="46"/>
      <c r="Z992" s="46"/>
      <c r="AA992" s="46"/>
      <c r="AB992" s="46"/>
      <c r="AC992" s="46"/>
      <c r="AD992" s="46" t="s">
        <v>1033</v>
      </c>
      <c r="AE992" s="50">
        <f>IF(L992="W",1,0)</f>
        <v>0</v>
      </c>
      <c r="AF992" s="50">
        <f>IF(L992="T",1,0)</f>
        <v>0</v>
      </c>
      <c r="AG992" s="50">
        <f>IF(L992="L",1,0)</f>
        <v>1</v>
      </c>
      <c r="AH992" s="46" t="s">
        <v>1017</v>
      </c>
      <c r="AI992" s="46" t="s">
        <v>1018</v>
      </c>
      <c r="AJ992" s="46" t="s">
        <v>376</v>
      </c>
      <c r="AK992" s="46" t="s">
        <v>658</v>
      </c>
      <c r="AL992" s="46" t="s">
        <v>1101</v>
      </c>
      <c r="AM992" s="46" t="s">
        <v>1159</v>
      </c>
      <c r="AN992" s="46" t="s">
        <v>376</v>
      </c>
      <c r="AO992" s="46" t="s">
        <v>658</v>
      </c>
      <c r="AP992" s="46"/>
      <c r="AQ992" s="46">
        <v>2</v>
      </c>
      <c r="AR992" s="46"/>
      <c r="AS992" s="46"/>
      <c r="AT992" s="46"/>
      <c r="AU992" s="46" t="s">
        <v>376</v>
      </c>
      <c r="AV992" s="46"/>
      <c r="AW992" s="46" t="s">
        <v>30</v>
      </c>
      <c r="AX992" s="46"/>
      <c r="AY992" s="46"/>
      <c r="AZ992" s="46" t="s">
        <v>30</v>
      </c>
      <c r="BA992" s="54"/>
      <c r="BB992" s="51"/>
      <c r="BC992" s="46"/>
      <c r="BD992" s="46"/>
      <c r="BE992" s="46"/>
      <c r="BF992" s="46">
        <v>1</v>
      </c>
      <c r="BG992" s="46">
        <v>1</v>
      </c>
      <c r="BH992" s="46">
        <v>1</v>
      </c>
      <c r="BI992" s="46" t="s">
        <v>587</v>
      </c>
      <c r="BJ992" s="46" t="s">
        <v>821</v>
      </c>
      <c r="BK992" s="46">
        <v>1983</v>
      </c>
      <c r="BL992" s="46" t="str">
        <f>BK992&amp;BI992</f>
        <v>1983Arsenal</v>
      </c>
      <c r="BM992" s="52" t="str">
        <f>IF(AD992="Home",BI992,IF(AD992="Away",BJ992,Q992))</f>
        <v>Arsenal</v>
      </c>
      <c r="BN992" s="46"/>
      <c r="BO992" s="46"/>
      <c r="BP992" s="46"/>
      <c r="BQ992" s="46"/>
      <c r="BR992" s="46"/>
      <c r="BS992" s="46"/>
      <c r="BT992" s="46"/>
      <c r="BU992" s="46"/>
      <c r="BV992" s="46" t="s">
        <v>376</v>
      </c>
      <c r="BW992" s="46" t="s">
        <v>376</v>
      </c>
      <c r="BX992" s="46"/>
      <c r="BZ992" s="53"/>
      <c r="CA992" s="53"/>
      <c r="CB992" s="93" t="str">
        <f>IF(OR(C992="",A992="",B992=""),"",TEXT(C992,"0000")&amp;TEXT(A992,"00")&amp;TEXT(B992,"00"))</f>
        <v>19830215</v>
      </c>
    </row>
    <row r="993" spans="1:80" s="52" customFormat="1" ht="12.95" customHeight="1" x14ac:dyDescent="0.2">
      <c r="A993" s="46">
        <v>2</v>
      </c>
      <c r="B993" s="46">
        <v>15</v>
      </c>
      <c r="C993" s="46">
        <v>1983</v>
      </c>
      <c r="D993" s="46" t="s">
        <v>658</v>
      </c>
      <c r="E993" s="46" t="s">
        <v>538</v>
      </c>
      <c r="F993" s="54" t="s">
        <v>1327</v>
      </c>
      <c r="G993" s="46"/>
      <c r="H993" s="54" t="s">
        <v>1011</v>
      </c>
      <c r="I993" s="54">
        <v>1</v>
      </c>
      <c r="J993" s="55">
        <v>30362</v>
      </c>
      <c r="K993" s="46" t="s">
        <v>821</v>
      </c>
      <c r="L993" s="46" t="s">
        <v>3</v>
      </c>
      <c r="M993" s="46" t="s">
        <v>587</v>
      </c>
      <c r="N993" s="49">
        <v>4</v>
      </c>
      <c r="O993" s="49">
        <v>2</v>
      </c>
      <c r="P993" s="54" t="s">
        <v>1281</v>
      </c>
      <c r="Q993" s="54" t="s">
        <v>1017</v>
      </c>
      <c r="R993" s="54" t="s">
        <v>376</v>
      </c>
      <c r="S993" s="46"/>
      <c r="T993" s="46"/>
      <c r="U993" s="46"/>
      <c r="V993" s="46"/>
      <c r="W993" s="46"/>
      <c r="X993" s="46"/>
      <c r="Y993" s="46"/>
      <c r="Z993" s="46"/>
      <c r="AA993" s="46"/>
      <c r="AB993" s="46"/>
      <c r="AC993" s="46"/>
      <c r="AD993" s="46" t="s">
        <v>1037</v>
      </c>
      <c r="AE993" s="50">
        <f>IF(L993="W",1,0)</f>
        <v>1</v>
      </c>
      <c r="AF993" s="50">
        <f>IF(L993="T",1,0)</f>
        <v>0</v>
      </c>
      <c r="AG993" s="50">
        <f>IF(L993="L",1,0)</f>
        <v>0</v>
      </c>
      <c r="AH993" s="46" t="s">
        <v>1101</v>
      </c>
      <c r="AI993" s="46" t="s">
        <v>1159</v>
      </c>
      <c r="AJ993" s="46" t="s">
        <v>376</v>
      </c>
      <c r="AK993" s="46" t="s">
        <v>658</v>
      </c>
      <c r="AL993" s="46" t="s">
        <v>1017</v>
      </c>
      <c r="AM993" s="46" t="s">
        <v>1018</v>
      </c>
      <c r="AN993" s="46" t="s">
        <v>376</v>
      </c>
      <c r="AO993" s="46" t="s">
        <v>658</v>
      </c>
      <c r="AP993" s="46"/>
      <c r="AQ993" s="46">
        <v>2</v>
      </c>
      <c r="AR993" s="46"/>
      <c r="AS993" s="46"/>
      <c r="AT993" s="46"/>
      <c r="AU993" s="46" t="s">
        <v>376</v>
      </c>
      <c r="AV993" s="46"/>
      <c r="AW993" s="46" t="s">
        <v>30</v>
      </c>
      <c r="AX993" s="46"/>
      <c r="AY993" s="46"/>
      <c r="AZ993" s="46" t="s">
        <v>30</v>
      </c>
      <c r="BA993" s="54"/>
      <c r="BB993" s="51"/>
      <c r="BC993" s="46"/>
      <c r="BD993" s="46"/>
      <c r="BE993" s="46"/>
      <c r="BF993" s="46">
        <v>1</v>
      </c>
      <c r="BG993" s="46">
        <v>1</v>
      </c>
      <c r="BH993" s="46">
        <v>1</v>
      </c>
      <c r="BI993" s="46" t="s">
        <v>821</v>
      </c>
      <c r="BJ993" s="46" t="s">
        <v>587</v>
      </c>
      <c r="BK993" s="46">
        <v>1983</v>
      </c>
      <c r="BL993" s="46" t="str">
        <f>BK993&amp;BI993</f>
        <v>1983Manchester United</v>
      </c>
      <c r="BM993" s="52" t="str">
        <f>IF(AD993="Home",BI993,IF(AD993="Away",BJ993,Q993))</f>
        <v>Arsenal</v>
      </c>
      <c r="BN993" s="46"/>
      <c r="BO993" s="46"/>
      <c r="BP993" s="46"/>
      <c r="BQ993" s="46"/>
      <c r="BR993" s="46"/>
      <c r="BS993" s="46"/>
      <c r="BT993" s="46"/>
      <c r="BU993" s="46"/>
      <c r="BV993" s="46" t="s">
        <v>376</v>
      </c>
      <c r="BW993" s="46" t="s">
        <v>376</v>
      </c>
      <c r="BX993" s="46"/>
      <c r="BZ993" s="53"/>
      <c r="CA993" s="53"/>
      <c r="CB993" s="93" t="str">
        <f>IF(OR(C993="",A993="",B993=""),"",TEXT(C993,"0000")&amp;TEXT(A993,"00")&amp;TEXT(B993,"00"))</f>
        <v>19830215</v>
      </c>
    </row>
    <row r="994" spans="1:80" s="52" customFormat="1" ht="12.95" customHeight="1" x14ac:dyDescent="0.2">
      <c r="A994" s="46">
        <v>2</v>
      </c>
      <c r="B994" s="46">
        <v>15</v>
      </c>
      <c r="C994" s="46">
        <v>1983</v>
      </c>
      <c r="D994" s="46" t="s">
        <v>658</v>
      </c>
      <c r="E994" s="46" t="s">
        <v>538</v>
      </c>
      <c r="F994" s="54" t="s">
        <v>1327</v>
      </c>
      <c r="G994" s="46"/>
      <c r="H994" s="54" t="s">
        <v>1011</v>
      </c>
      <c r="I994" s="54">
        <v>2</v>
      </c>
      <c r="J994" s="55">
        <v>30362</v>
      </c>
      <c r="K994" s="46" t="s">
        <v>1255</v>
      </c>
      <c r="L994" s="46" t="s">
        <v>3</v>
      </c>
      <c r="M994" s="46" t="s">
        <v>588</v>
      </c>
      <c r="N994" s="49">
        <v>1</v>
      </c>
      <c r="O994" s="49">
        <v>0</v>
      </c>
      <c r="P994" s="54" t="s">
        <v>1266</v>
      </c>
      <c r="Q994" s="54" t="s">
        <v>1255</v>
      </c>
      <c r="R994" s="54" t="s">
        <v>376</v>
      </c>
      <c r="S994" s="46"/>
      <c r="T994" s="46"/>
      <c r="U994" s="46"/>
      <c r="V994" s="46"/>
      <c r="W994" s="46"/>
      <c r="X994" s="46"/>
      <c r="Y994" s="46"/>
      <c r="Z994" s="46"/>
      <c r="AA994" s="46"/>
      <c r="AB994" s="46"/>
      <c r="AC994" s="46"/>
      <c r="AD994" s="46" t="s">
        <v>1033</v>
      </c>
      <c r="AE994" s="50">
        <f>IF(L994="W",1,0)</f>
        <v>1</v>
      </c>
      <c r="AF994" s="50">
        <f>IF(L994="T",1,0)</f>
        <v>0</v>
      </c>
      <c r="AG994" s="50">
        <f>IF(L994="L",1,0)</f>
        <v>0</v>
      </c>
      <c r="AH994" s="46" t="s">
        <v>1255</v>
      </c>
      <c r="AI994" s="46" t="s">
        <v>1086</v>
      </c>
      <c r="AJ994" s="46" t="s">
        <v>376</v>
      </c>
      <c r="AK994" s="46" t="s">
        <v>658</v>
      </c>
      <c r="AL994" s="46" t="s">
        <v>588</v>
      </c>
      <c r="AM994" s="46" t="s">
        <v>1175</v>
      </c>
      <c r="AN994" s="46" t="s">
        <v>376</v>
      </c>
      <c r="AO994" s="46" t="s">
        <v>658</v>
      </c>
      <c r="AP994" s="46"/>
      <c r="AQ994" s="46">
        <v>2</v>
      </c>
      <c r="AR994" s="46"/>
      <c r="AS994" s="46"/>
      <c r="AT994" s="46"/>
      <c r="AU994" s="46" t="s">
        <v>376</v>
      </c>
      <c r="AV994" s="46"/>
      <c r="AW994" s="46" t="s">
        <v>30</v>
      </c>
      <c r="AX994" s="46"/>
      <c r="AY994" s="46"/>
      <c r="AZ994" s="46" t="s">
        <v>30</v>
      </c>
      <c r="BA994" s="54"/>
      <c r="BB994" s="51"/>
      <c r="BC994" s="46"/>
      <c r="BD994" s="46"/>
      <c r="BE994" s="46"/>
      <c r="BF994" s="46">
        <v>1</v>
      </c>
      <c r="BG994" s="46">
        <v>2</v>
      </c>
      <c r="BH994" s="46">
        <v>1</v>
      </c>
      <c r="BI994" s="46" t="s">
        <v>1255</v>
      </c>
      <c r="BJ994" s="46" t="s">
        <v>588</v>
      </c>
      <c r="BK994" s="46">
        <v>1983</v>
      </c>
      <c r="BL994" s="46" t="str">
        <f>BK994&amp;BI994</f>
        <v>1983Burnley</v>
      </c>
      <c r="BM994" s="52" t="str">
        <f>IF(AD994="Home",BI994,IF(AD994="Away",BJ994,Q994))</f>
        <v>Burnley</v>
      </c>
      <c r="BN994" s="46"/>
      <c r="BO994" s="46"/>
      <c r="BP994" s="46"/>
      <c r="BQ994" s="46"/>
      <c r="BR994" s="46"/>
      <c r="BS994" s="46"/>
      <c r="BT994" s="46"/>
      <c r="BU994" s="46"/>
      <c r="BV994" s="46" t="s">
        <v>376</v>
      </c>
      <c r="BW994" s="46" t="s">
        <v>376</v>
      </c>
      <c r="BX994" s="46"/>
      <c r="BZ994" s="53"/>
      <c r="CA994" s="53"/>
      <c r="CB994" s="93" t="str">
        <f>IF(OR(C994="",A994="",B994=""),"",TEXT(C994,"0000")&amp;TEXT(A994,"00")&amp;TEXT(B994,"00"))</f>
        <v>19830215</v>
      </c>
    </row>
    <row r="995" spans="1:80" s="52" customFormat="1" ht="12.95" customHeight="1" x14ac:dyDescent="0.2">
      <c r="A995" s="46">
        <v>2</v>
      </c>
      <c r="B995" s="46">
        <v>15</v>
      </c>
      <c r="C995" s="46">
        <v>1983</v>
      </c>
      <c r="D995" s="46" t="s">
        <v>658</v>
      </c>
      <c r="E995" s="46" t="s">
        <v>538</v>
      </c>
      <c r="F995" s="54" t="s">
        <v>1327</v>
      </c>
      <c r="G995" s="46"/>
      <c r="H995" s="54" t="s">
        <v>1011</v>
      </c>
      <c r="I995" s="54">
        <v>2</v>
      </c>
      <c r="J995" s="55">
        <v>30362</v>
      </c>
      <c r="K995" s="46" t="s">
        <v>588</v>
      </c>
      <c r="L995" s="46" t="s">
        <v>4</v>
      </c>
      <c r="M995" s="46" t="s">
        <v>1255</v>
      </c>
      <c r="N995" s="49">
        <v>0</v>
      </c>
      <c r="O995" s="49">
        <v>1</v>
      </c>
      <c r="P995" s="54" t="s">
        <v>1266</v>
      </c>
      <c r="Q995" s="54" t="s">
        <v>1255</v>
      </c>
      <c r="R995" s="54" t="s">
        <v>376</v>
      </c>
      <c r="S995" s="46"/>
      <c r="T995" s="46"/>
      <c r="U995" s="46"/>
      <c r="V995" s="46"/>
      <c r="W995" s="46"/>
      <c r="X995" s="46"/>
      <c r="Y995" s="46"/>
      <c r="Z995" s="46"/>
      <c r="AA995" s="46"/>
      <c r="AB995" s="46"/>
      <c r="AC995" s="46"/>
      <c r="AD995" s="46" t="s">
        <v>1037</v>
      </c>
      <c r="AE995" s="50">
        <f>IF(L995="W",1,0)</f>
        <v>0</v>
      </c>
      <c r="AF995" s="50">
        <f>IF(L995="T",1,0)</f>
        <v>0</v>
      </c>
      <c r="AG995" s="50">
        <f>IF(L995="L",1,0)</f>
        <v>1</v>
      </c>
      <c r="AH995" s="46" t="s">
        <v>588</v>
      </c>
      <c r="AI995" s="46" t="s">
        <v>1175</v>
      </c>
      <c r="AJ995" s="46" t="s">
        <v>376</v>
      </c>
      <c r="AK995" s="46" t="s">
        <v>658</v>
      </c>
      <c r="AL995" s="46" t="s">
        <v>1255</v>
      </c>
      <c r="AM995" s="46" t="s">
        <v>1086</v>
      </c>
      <c r="AN995" s="46" t="s">
        <v>376</v>
      </c>
      <c r="AO995" s="46" t="s">
        <v>658</v>
      </c>
      <c r="AP995" s="46"/>
      <c r="AQ995" s="46">
        <v>2</v>
      </c>
      <c r="AR995" s="46"/>
      <c r="AS995" s="46"/>
      <c r="AT995" s="46"/>
      <c r="AU995" s="46" t="s">
        <v>376</v>
      </c>
      <c r="AV995" s="46"/>
      <c r="AW995" s="46" t="s">
        <v>30</v>
      </c>
      <c r="AX995" s="46"/>
      <c r="AY995" s="46"/>
      <c r="AZ995" s="46" t="s">
        <v>30</v>
      </c>
      <c r="BA995" s="54"/>
      <c r="BB995" s="51"/>
      <c r="BC995" s="46"/>
      <c r="BD995" s="46"/>
      <c r="BE995" s="46"/>
      <c r="BF995" s="46">
        <v>1</v>
      </c>
      <c r="BG995" s="46">
        <v>1</v>
      </c>
      <c r="BH995" s="46">
        <v>2</v>
      </c>
      <c r="BI995" s="46" t="s">
        <v>588</v>
      </c>
      <c r="BJ995" s="46" t="s">
        <v>1255</v>
      </c>
      <c r="BK995" s="46">
        <v>1983</v>
      </c>
      <c r="BL995" s="46" t="str">
        <f>BK995&amp;BI995</f>
        <v>1983Liverpool</v>
      </c>
      <c r="BM995" s="52" t="str">
        <f>IF(AD995="Home",BI995,IF(AD995="Away",BJ995,Q995))</f>
        <v>Burnley</v>
      </c>
      <c r="BN995" s="46"/>
      <c r="BO995" s="46"/>
      <c r="BP995" s="46"/>
      <c r="BQ995" s="46"/>
      <c r="BR995" s="46"/>
      <c r="BS995" s="46"/>
      <c r="BT995" s="46"/>
      <c r="BU995" s="46"/>
      <c r="BV995" s="46" t="s">
        <v>376</v>
      </c>
      <c r="BW995" s="46" t="s">
        <v>376</v>
      </c>
      <c r="BX995" s="46"/>
      <c r="BZ995" s="53"/>
      <c r="CA995" s="53"/>
      <c r="CB995" s="93" t="str">
        <f>IF(OR(C995="",A995="",B995=""),"",TEXT(C995,"0000")&amp;TEXT(A995,"00")&amp;TEXT(B995,"00"))</f>
        <v>19830215</v>
      </c>
    </row>
    <row r="996" spans="1:80" s="52" customFormat="1" ht="12.95" customHeight="1" x14ac:dyDescent="0.2">
      <c r="A996" s="46">
        <v>2</v>
      </c>
      <c r="B996" s="46">
        <v>23</v>
      </c>
      <c r="C996" s="46">
        <v>1983</v>
      </c>
      <c r="D996" s="46" t="s">
        <v>658</v>
      </c>
      <c r="E996" s="46" t="s">
        <v>538</v>
      </c>
      <c r="F996" s="54" t="s">
        <v>1327</v>
      </c>
      <c r="G996" s="46"/>
      <c r="H996" s="54" t="s">
        <v>1011</v>
      </c>
      <c r="I996" s="54">
        <v>2</v>
      </c>
      <c r="J996" s="55">
        <v>30370</v>
      </c>
      <c r="K996" s="46" t="s">
        <v>821</v>
      </c>
      <c r="L996" s="46" t="s">
        <v>3</v>
      </c>
      <c r="M996" s="46" t="s">
        <v>587</v>
      </c>
      <c r="N996" s="49">
        <v>2</v>
      </c>
      <c r="O996" s="49">
        <v>1</v>
      </c>
      <c r="P996" s="54" t="s">
        <v>1246</v>
      </c>
      <c r="Q996" s="54" t="s">
        <v>1101</v>
      </c>
      <c r="R996" s="54" t="s">
        <v>376</v>
      </c>
      <c r="S996" s="46"/>
      <c r="T996" s="46"/>
      <c r="U996" s="46"/>
      <c r="V996" s="46"/>
      <c r="W996" s="46"/>
      <c r="X996" s="46"/>
      <c r="Y996" s="46"/>
      <c r="Z996" s="46"/>
      <c r="AA996" s="46"/>
      <c r="AB996" s="46"/>
      <c r="AC996" s="46"/>
      <c r="AD996" s="46" t="s">
        <v>1033</v>
      </c>
      <c r="AE996" s="50">
        <f>IF(L996="W",1,0)</f>
        <v>1</v>
      </c>
      <c r="AF996" s="50">
        <f>IF(L996="T",1,0)</f>
        <v>0</v>
      </c>
      <c r="AG996" s="50">
        <f>IF(L996="L",1,0)</f>
        <v>0</v>
      </c>
      <c r="AH996" s="46" t="s">
        <v>1101</v>
      </c>
      <c r="AI996" s="46" t="s">
        <v>1159</v>
      </c>
      <c r="AJ996" s="46" t="s">
        <v>376</v>
      </c>
      <c r="AK996" s="46" t="s">
        <v>658</v>
      </c>
      <c r="AL996" s="46" t="s">
        <v>1017</v>
      </c>
      <c r="AM996" s="46" t="s">
        <v>1018</v>
      </c>
      <c r="AN996" s="46" t="s">
        <v>376</v>
      </c>
      <c r="AO996" s="46" t="s">
        <v>658</v>
      </c>
      <c r="AP996" s="46"/>
      <c r="AQ996" s="46">
        <v>2</v>
      </c>
      <c r="AR996" s="46"/>
      <c r="AS996" s="46"/>
      <c r="AT996" s="46"/>
      <c r="AU996" s="46" t="s">
        <v>376</v>
      </c>
      <c r="AV996" s="46"/>
      <c r="AW996" s="46" t="s">
        <v>30</v>
      </c>
      <c r="AX996" s="46"/>
      <c r="AY996" s="46"/>
      <c r="AZ996" s="46" t="s">
        <v>30</v>
      </c>
      <c r="BA996" s="54"/>
      <c r="BB996" s="51"/>
      <c r="BC996" s="46"/>
      <c r="BD996" s="46"/>
      <c r="BE996" s="46"/>
      <c r="BF996" s="46">
        <v>1</v>
      </c>
      <c r="BG996" s="46">
        <v>1</v>
      </c>
      <c r="BH996" s="46">
        <v>1</v>
      </c>
      <c r="BI996" s="46" t="s">
        <v>821</v>
      </c>
      <c r="BJ996" s="46" t="s">
        <v>587</v>
      </c>
      <c r="BK996" s="46">
        <v>1983</v>
      </c>
      <c r="BL996" s="46" t="str">
        <f>BK996&amp;BI996</f>
        <v>1983Manchester United</v>
      </c>
      <c r="BM996" s="52" t="str">
        <f>IF(AD996="Home",BI996,IF(AD996="Away",BJ996,Q996))</f>
        <v>Manchester United</v>
      </c>
      <c r="BN996" s="46"/>
      <c r="BO996" s="46"/>
      <c r="BP996" s="46"/>
      <c r="BQ996" s="46"/>
      <c r="BR996" s="46"/>
      <c r="BS996" s="46"/>
      <c r="BT996" s="46"/>
      <c r="BU996" s="46"/>
      <c r="BV996" s="46" t="s">
        <v>376</v>
      </c>
      <c r="BW996" s="46" t="s">
        <v>376</v>
      </c>
      <c r="BX996" s="46"/>
      <c r="BZ996" s="53"/>
      <c r="CA996" s="53"/>
      <c r="CB996" s="93" t="str">
        <f>IF(OR(C996="",A996="",B996=""),"",TEXT(C996,"0000")&amp;TEXT(A996,"00")&amp;TEXT(B996,"00"))</f>
        <v>19830223</v>
      </c>
    </row>
    <row r="997" spans="1:80" s="52" customFormat="1" ht="12.95" customHeight="1" x14ac:dyDescent="0.2">
      <c r="A997" s="46">
        <v>2</v>
      </c>
      <c r="B997" s="46">
        <v>23</v>
      </c>
      <c r="C997" s="46">
        <v>1983</v>
      </c>
      <c r="D997" s="46" t="s">
        <v>658</v>
      </c>
      <c r="E997" s="46" t="s">
        <v>538</v>
      </c>
      <c r="F997" s="54" t="s">
        <v>1327</v>
      </c>
      <c r="G997" s="46"/>
      <c r="H997" s="54" t="s">
        <v>1011</v>
      </c>
      <c r="I997" s="54">
        <v>2</v>
      </c>
      <c r="J997" s="55">
        <v>30370</v>
      </c>
      <c r="K997" s="46" t="s">
        <v>587</v>
      </c>
      <c r="L997" s="46" t="s">
        <v>4</v>
      </c>
      <c r="M997" s="46" t="s">
        <v>821</v>
      </c>
      <c r="N997" s="49">
        <v>1</v>
      </c>
      <c r="O997" s="49">
        <v>2</v>
      </c>
      <c r="P997" s="54" t="s">
        <v>1246</v>
      </c>
      <c r="Q997" s="54" t="s">
        <v>1101</v>
      </c>
      <c r="R997" s="54" t="s">
        <v>376</v>
      </c>
      <c r="S997" s="46"/>
      <c r="T997" s="46"/>
      <c r="U997" s="46"/>
      <c r="V997" s="46"/>
      <c r="W997" s="46"/>
      <c r="X997" s="46"/>
      <c r="Y997" s="46"/>
      <c r="Z997" s="46"/>
      <c r="AA997" s="46"/>
      <c r="AB997" s="46"/>
      <c r="AC997" s="46"/>
      <c r="AD997" s="46" t="s">
        <v>1037</v>
      </c>
      <c r="AE997" s="50">
        <f>IF(L997="W",1,0)</f>
        <v>0</v>
      </c>
      <c r="AF997" s="50">
        <f>IF(L997="T",1,0)</f>
        <v>0</v>
      </c>
      <c r="AG997" s="50">
        <f>IF(L997="L",1,0)</f>
        <v>1</v>
      </c>
      <c r="AH997" s="46" t="s">
        <v>1017</v>
      </c>
      <c r="AI997" s="46" t="s">
        <v>1018</v>
      </c>
      <c r="AJ997" s="46" t="s">
        <v>376</v>
      </c>
      <c r="AK997" s="46" t="s">
        <v>658</v>
      </c>
      <c r="AL997" s="46" t="s">
        <v>1101</v>
      </c>
      <c r="AM997" s="46" t="s">
        <v>1159</v>
      </c>
      <c r="AN997" s="46" t="s">
        <v>376</v>
      </c>
      <c r="AO997" s="46" t="s">
        <v>658</v>
      </c>
      <c r="AP997" s="46"/>
      <c r="AQ997" s="46">
        <v>2</v>
      </c>
      <c r="AR997" s="46"/>
      <c r="AS997" s="46"/>
      <c r="AT997" s="46"/>
      <c r="AU997" s="46" t="s">
        <v>376</v>
      </c>
      <c r="AV997" s="46"/>
      <c r="AW997" s="46" t="s">
        <v>30</v>
      </c>
      <c r="AX997" s="46"/>
      <c r="AY997" s="46"/>
      <c r="AZ997" s="46" t="s">
        <v>30</v>
      </c>
      <c r="BA997" s="54"/>
      <c r="BB997" s="51"/>
      <c r="BC997" s="46"/>
      <c r="BD997" s="46"/>
      <c r="BE997" s="46"/>
      <c r="BF997" s="46">
        <v>1</v>
      </c>
      <c r="BG997" s="46">
        <v>1</v>
      </c>
      <c r="BH997" s="46">
        <v>1</v>
      </c>
      <c r="BI997" s="46" t="s">
        <v>587</v>
      </c>
      <c r="BJ997" s="46" t="s">
        <v>821</v>
      </c>
      <c r="BK997" s="46">
        <v>1983</v>
      </c>
      <c r="BL997" s="46" t="str">
        <f>BK997&amp;BI997</f>
        <v>1983Arsenal</v>
      </c>
      <c r="BM997" s="52" t="str">
        <f>IF(AD997="Home",BI997,IF(AD997="Away",BJ997,Q997))</f>
        <v>Manchester United</v>
      </c>
      <c r="BN997" s="46"/>
      <c r="BO997" s="46"/>
      <c r="BP997" s="46"/>
      <c r="BQ997" s="46"/>
      <c r="BR997" s="46"/>
      <c r="BS997" s="46"/>
      <c r="BT997" s="46"/>
      <c r="BU997" s="46"/>
      <c r="BV997" s="46" t="s">
        <v>376</v>
      </c>
      <c r="BW997" s="46" t="s">
        <v>376</v>
      </c>
      <c r="BX997" s="46"/>
      <c r="BZ997" s="53"/>
      <c r="CA997" s="53"/>
      <c r="CB997" s="93" t="str">
        <f>IF(OR(C997="",A997="",B997=""),"",TEXT(C997,"0000")&amp;TEXT(A997,"00")&amp;TEXT(B997,"00"))</f>
        <v>19830223</v>
      </c>
    </row>
    <row r="998" spans="1:80" s="52" customFormat="1" ht="12.95" customHeight="1" x14ac:dyDescent="0.2">
      <c r="A998" s="46">
        <v>3</v>
      </c>
      <c r="B998" s="46">
        <v>26</v>
      </c>
      <c r="C998" s="46">
        <v>1983</v>
      </c>
      <c r="D998" s="46" t="s">
        <v>658</v>
      </c>
      <c r="E998" s="46" t="s">
        <v>538</v>
      </c>
      <c r="F998" s="54" t="s">
        <v>1327</v>
      </c>
      <c r="G998" s="46"/>
      <c r="H998" s="54" t="s">
        <v>40</v>
      </c>
      <c r="I998" s="54"/>
      <c r="J998" s="55">
        <v>30401</v>
      </c>
      <c r="K998" s="46" t="s">
        <v>588</v>
      </c>
      <c r="L998" s="46" t="s">
        <v>3</v>
      </c>
      <c r="M998" s="46" t="s">
        <v>821</v>
      </c>
      <c r="N998" s="49">
        <v>2</v>
      </c>
      <c r="O998" s="49">
        <v>1</v>
      </c>
      <c r="P998" s="54" t="s">
        <v>1268</v>
      </c>
      <c r="Q998" s="54" t="s">
        <v>1017</v>
      </c>
      <c r="R998" s="54" t="s">
        <v>376</v>
      </c>
      <c r="S998" s="46"/>
      <c r="T998" s="46"/>
      <c r="U998" s="46"/>
      <c r="V998" s="46"/>
      <c r="W998" s="46"/>
      <c r="X998" s="46"/>
      <c r="Y998" s="46"/>
      <c r="Z998" s="46"/>
      <c r="AA998" s="46"/>
      <c r="AB998" s="46"/>
      <c r="AC998" s="46"/>
      <c r="AD998" s="46"/>
      <c r="AE998" s="50">
        <f>IF(L998="W",1,0)</f>
        <v>1</v>
      </c>
      <c r="AF998" s="50">
        <f>IF(L998="T",1,0)</f>
        <v>0</v>
      </c>
      <c r="AG998" s="50">
        <f>IF(L998="L",1,0)</f>
        <v>0</v>
      </c>
      <c r="AH998" s="46" t="s">
        <v>588</v>
      </c>
      <c r="AI998" s="46" t="s">
        <v>1175</v>
      </c>
      <c r="AJ998" s="46" t="s">
        <v>376</v>
      </c>
      <c r="AK998" s="46" t="s">
        <v>658</v>
      </c>
      <c r="AL998" s="46" t="s">
        <v>1101</v>
      </c>
      <c r="AM998" s="46" t="s">
        <v>1159</v>
      </c>
      <c r="AN998" s="46" t="s">
        <v>376</v>
      </c>
      <c r="AO998" s="46" t="s">
        <v>658</v>
      </c>
      <c r="AP998" s="46"/>
      <c r="AQ998" s="46">
        <v>1</v>
      </c>
      <c r="AR998" s="46"/>
      <c r="AS998" s="46"/>
      <c r="AT998" s="46" t="s">
        <v>1369</v>
      </c>
      <c r="AU998" s="46" t="s">
        <v>376</v>
      </c>
      <c r="AV998" s="46"/>
      <c r="AW998" s="46" t="s">
        <v>30</v>
      </c>
      <c r="AX998" s="46"/>
      <c r="AY998" s="46"/>
      <c r="AZ998" s="46" t="s">
        <v>30</v>
      </c>
      <c r="BA998" s="54"/>
      <c r="BB998" s="51" t="s">
        <v>30</v>
      </c>
      <c r="BC998" s="46" t="s">
        <v>30</v>
      </c>
      <c r="BD998" s="46"/>
      <c r="BE998" s="46"/>
      <c r="BF998" s="46">
        <v>1</v>
      </c>
      <c r="BG998" s="46">
        <v>1</v>
      </c>
      <c r="BH998" s="46">
        <v>1</v>
      </c>
      <c r="BI998" s="46" t="s">
        <v>588</v>
      </c>
      <c r="BJ998" s="46" t="s">
        <v>821</v>
      </c>
      <c r="BK998" s="46">
        <v>1983</v>
      </c>
      <c r="BL998" s="46" t="str">
        <f>BK998&amp;BI998</f>
        <v>1983Liverpool</v>
      </c>
      <c r="BM998" s="52" t="str">
        <f>IF(AD998="Home",BI998,IF(AD998="Away",BJ998,Q998))</f>
        <v>London</v>
      </c>
      <c r="BN998" s="46"/>
      <c r="BO998" s="46"/>
      <c r="BP998" s="46"/>
      <c r="BQ998" s="46"/>
      <c r="BR998" s="46"/>
      <c r="BS998" s="46"/>
      <c r="BT998" s="46"/>
      <c r="BU998" s="46"/>
      <c r="BV998" s="46" t="s">
        <v>376</v>
      </c>
      <c r="BW998" s="46" t="s">
        <v>376</v>
      </c>
      <c r="BX998" s="46"/>
      <c r="BZ998" s="53"/>
      <c r="CA998" s="53"/>
      <c r="CB998" s="93" t="str">
        <f>IF(OR(C998="",A998="",B998=""),"",TEXT(C998,"0000")&amp;TEXT(A998,"00")&amp;TEXT(B998,"00"))</f>
        <v>19830326</v>
      </c>
    </row>
    <row r="999" spans="1:80" s="52" customFormat="1" ht="12.95" customHeight="1" x14ac:dyDescent="0.2">
      <c r="A999" s="46">
        <v>3</v>
      </c>
      <c r="B999" s="46">
        <v>26</v>
      </c>
      <c r="C999" s="46">
        <v>1983</v>
      </c>
      <c r="D999" s="46" t="s">
        <v>658</v>
      </c>
      <c r="E999" s="46" t="s">
        <v>538</v>
      </c>
      <c r="F999" s="54" t="s">
        <v>1327</v>
      </c>
      <c r="G999" s="46"/>
      <c r="H999" s="54" t="s">
        <v>40</v>
      </c>
      <c r="I999" s="54"/>
      <c r="J999" s="55">
        <v>30401</v>
      </c>
      <c r="K999" s="46" t="s">
        <v>821</v>
      </c>
      <c r="L999" s="46" t="s">
        <v>4</v>
      </c>
      <c r="M999" s="46" t="s">
        <v>588</v>
      </c>
      <c r="N999" s="49">
        <v>1</v>
      </c>
      <c r="O999" s="49">
        <v>2</v>
      </c>
      <c r="P999" s="54" t="s">
        <v>1268</v>
      </c>
      <c r="Q999" s="54" t="s">
        <v>1017</v>
      </c>
      <c r="R999" s="54" t="s">
        <v>376</v>
      </c>
      <c r="S999" s="46"/>
      <c r="T999" s="46"/>
      <c r="U999" s="46"/>
      <c r="V999" s="46"/>
      <c r="W999" s="46"/>
      <c r="X999" s="46"/>
      <c r="Y999" s="46"/>
      <c r="Z999" s="46"/>
      <c r="AA999" s="46"/>
      <c r="AB999" s="46"/>
      <c r="AC999" s="46"/>
      <c r="AD999" s="46"/>
      <c r="AE999" s="50">
        <f>IF(L999="W",1,0)</f>
        <v>0</v>
      </c>
      <c r="AF999" s="50">
        <f>IF(L999="T",1,0)</f>
        <v>0</v>
      </c>
      <c r="AG999" s="50">
        <f>IF(L999="L",1,0)</f>
        <v>1</v>
      </c>
      <c r="AH999" s="46" t="s">
        <v>1101</v>
      </c>
      <c r="AI999" s="46" t="s">
        <v>1159</v>
      </c>
      <c r="AJ999" s="46" t="s">
        <v>376</v>
      </c>
      <c r="AK999" s="46" t="s">
        <v>658</v>
      </c>
      <c r="AL999" s="46" t="s">
        <v>588</v>
      </c>
      <c r="AM999" s="46" t="s">
        <v>1175</v>
      </c>
      <c r="AN999" s="46" t="s">
        <v>376</v>
      </c>
      <c r="AO999" s="46" t="s">
        <v>658</v>
      </c>
      <c r="AP999" s="46"/>
      <c r="AQ999" s="46">
        <v>1</v>
      </c>
      <c r="AR999" s="46"/>
      <c r="AS999" s="46"/>
      <c r="AT999" s="46" t="s">
        <v>1369</v>
      </c>
      <c r="AU999" s="46" t="s">
        <v>376</v>
      </c>
      <c r="AV999" s="46"/>
      <c r="AW999" s="46" t="s">
        <v>30</v>
      </c>
      <c r="AX999" s="46"/>
      <c r="AY999" s="46"/>
      <c r="AZ999" s="46" t="s">
        <v>30</v>
      </c>
      <c r="BA999" s="54"/>
      <c r="BB999" s="51"/>
      <c r="BC999" s="46" t="s">
        <v>30</v>
      </c>
      <c r="BD999" s="46"/>
      <c r="BE999" s="46"/>
      <c r="BF999" s="46">
        <v>1</v>
      </c>
      <c r="BG999" s="46">
        <v>1</v>
      </c>
      <c r="BH999" s="46">
        <v>1</v>
      </c>
      <c r="BI999" s="46" t="s">
        <v>821</v>
      </c>
      <c r="BJ999" s="46" t="s">
        <v>588</v>
      </c>
      <c r="BK999" s="46">
        <v>1983</v>
      </c>
      <c r="BL999" s="46" t="str">
        <f>BK999&amp;BI999</f>
        <v>1983Manchester United</v>
      </c>
      <c r="BM999" s="52" t="str">
        <f>IF(AD999="Home",BI999,IF(AD999="Away",BJ999,Q999))</f>
        <v>London</v>
      </c>
      <c r="BN999" s="46"/>
      <c r="BO999" s="46"/>
      <c r="BP999" s="46"/>
      <c r="BQ999" s="46"/>
      <c r="BR999" s="46"/>
      <c r="BS999" s="46"/>
      <c r="BT999" s="46"/>
      <c r="BU999" s="46"/>
      <c r="BV999" s="46" t="s">
        <v>376</v>
      </c>
      <c r="BW999" s="46" t="s">
        <v>376</v>
      </c>
      <c r="BX999" s="46"/>
      <c r="BZ999" s="53"/>
      <c r="CA999" s="53"/>
      <c r="CB999" s="93" t="str">
        <f>IF(OR(C999="",A999="",B999=""),"",TEXT(C999,"0000")&amp;TEXT(A999,"00")&amp;TEXT(B999,"00"))</f>
        <v>19830326</v>
      </c>
    </row>
    <row r="1000" spans="1:80" s="52" customFormat="1" ht="12.95" customHeight="1" x14ac:dyDescent="0.2">
      <c r="A1000" s="46">
        <v>4</v>
      </c>
      <c r="B1000" s="46">
        <v>16</v>
      </c>
      <c r="C1000" s="46">
        <v>1983</v>
      </c>
      <c r="D1000" s="46" t="s">
        <v>658</v>
      </c>
      <c r="E1000" s="46" t="s">
        <v>538</v>
      </c>
      <c r="F1000" s="47" t="s">
        <v>1010</v>
      </c>
      <c r="G1000" s="46"/>
      <c r="H1000" s="47" t="s">
        <v>1011</v>
      </c>
      <c r="I1000" s="47"/>
      <c r="J1000" s="48">
        <v>30422</v>
      </c>
      <c r="K1000" s="46" t="s">
        <v>802</v>
      </c>
      <c r="L1000" s="46" t="s">
        <v>3</v>
      </c>
      <c r="M1000" s="46" t="s">
        <v>1093</v>
      </c>
      <c r="N1000" s="49">
        <v>2</v>
      </c>
      <c r="O1000" s="49">
        <v>1</v>
      </c>
      <c r="P1000" s="47" t="s">
        <v>1281</v>
      </c>
      <c r="Q1000" s="47" t="s">
        <v>1017</v>
      </c>
      <c r="R1000" s="47" t="s">
        <v>376</v>
      </c>
      <c r="S1000" s="46"/>
      <c r="T1000" s="46"/>
      <c r="U1000" s="46"/>
      <c r="V1000" s="46"/>
      <c r="W1000" s="46"/>
      <c r="X1000" s="46"/>
      <c r="Y1000" s="46"/>
      <c r="Z1000" s="46"/>
      <c r="AA1000" s="46"/>
      <c r="AB1000" s="46"/>
      <c r="AC1000" s="46"/>
      <c r="AD1000" s="46"/>
      <c r="AE1000" s="50">
        <f>IF(L1000="W",1,0)</f>
        <v>1</v>
      </c>
      <c r="AF1000" s="50">
        <f>IF(L1000="T",1,0)</f>
        <v>0</v>
      </c>
      <c r="AG1000" s="50">
        <f>IF(L1000="L",1,0)</f>
        <v>0</v>
      </c>
      <c r="AH1000" s="46" t="s">
        <v>1379</v>
      </c>
      <c r="AI1000" s="46" t="s">
        <v>1380</v>
      </c>
      <c r="AJ1000" s="46" t="s">
        <v>376</v>
      </c>
      <c r="AK1000" s="46" t="s">
        <v>658</v>
      </c>
      <c r="AL1000" s="46" t="s">
        <v>1097</v>
      </c>
      <c r="AM1000" s="46" t="s">
        <v>1098</v>
      </c>
      <c r="AN1000" s="46" t="s">
        <v>376</v>
      </c>
      <c r="AO1000" s="46" t="s">
        <v>658</v>
      </c>
      <c r="AP1000" s="46"/>
      <c r="AQ1000" s="46">
        <v>2</v>
      </c>
      <c r="AR1000" s="46"/>
      <c r="AS1000" s="46"/>
      <c r="AT1000" s="46"/>
      <c r="AU1000" s="46" t="s">
        <v>376</v>
      </c>
      <c r="AV1000" s="46"/>
      <c r="AW1000" s="46" t="s">
        <v>30</v>
      </c>
      <c r="AX1000" s="46"/>
      <c r="AY1000" s="46" t="s">
        <v>30</v>
      </c>
      <c r="AZ1000" s="46"/>
      <c r="BA1000" s="47"/>
      <c r="BB1000" s="51"/>
      <c r="BC1000" s="46"/>
      <c r="BD1000" s="46"/>
      <c r="BE1000" s="46"/>
      <c r="BF1000" s="46">
        <v>1</v>
      </c>
      <c r="BG1000" s="46">
        <v>1</v>
      </c>
      <c r="BH1000" s="46">
        <v>2</v>
      </c>
      <c r="BI1000" s="46" t="s">
        <v>802</v>
      </c>
      <c r="BJ1000" s="46" t="s">
        <v>1093</v>
      </c>
      <c r="BK1000" s="46">
        <v>1983</v>
      </c>
      <c r="BL1000" s="46" t="str">
        <f>BK1000&amp;BI1000</f>
        <v>1983Brighton &amp; Hove Albion</v>
      </c>
      <c r="BM1000" s="52" t="str">
        <f>IF(AD1000="Home",BI1000,IF(AD1000="Away",BJ1000,Q1000))</f>
        <v>London</v>
      </c>
      <c r="BN1000" s="46"/>
      <c r="BO1000" s="46"/>
      <c r="BP1000" s="46"/>
      <c r="BQ1000" s="46"/>
      <c r="BR1000" s="46"/>
      <c r="BS1000" s="46"/>
      <c r="BT1000" s="46"/>
      <c r="BU1000" s="46"/>
      <c r="BV1000" s="46" t="s">
        <v>376</v>
      </c>
      <c r="BW1000" s="46" t="s">
        <v>376</v>
      </c>
      <c r="BX1000" s="46"/>
      <c r="BZ1000" s="53"/>
      <c r="CA1000" s="53"/>
      <c r="CB1000" s="93" t="str">
        <f>IF(OR(C1000="",A1000="",B1000=""),"",TEXT(C1000,"0000")&amp;TEXT(A1000,"00")&amp;TEXT(B1000,"00"))</f>
        <v>19830416</v>
      </c>
    </row>
    <row r="1001" spans="1:80" s="52" customFormat="1" ht="12.95" customHeight="1" x14ac:dyDescent="0.2">
      <c r="A1001" s="46">
        <v>4</v>
      </c>
      <c r="B1001" s="46">
        <v>16</v>
      </c>
      <c r="C1001" s="46">
        <v>1983</v>
      </c>
      <c r="D1001" s="46" t="s">
        <v>658</v>
      </c>
      <c r="E1001" s="46" t="s">
        <v>538</v>
      </c>
      <c r="F1001" s="47" t="s">
        <v>1010</v>
      </c>
      <c r="G1001" s="46"/>
      <c r="H1001" s="47" t="s">
        <v>1011</v>
      </c>
      <c r="I1001" s="47"/>
      <c r="J1001" s="48">
        <v>30422</v>
      </c>
      <c r="K1001" s="46" t="s">
        <v>1093</v>
      </c>
      <c r="L1001" s="46" t="s">
        <v>4</v>
      </c>
      <c r="M1001" s="46" t="s">
        <v>802</v>
      </c>
      <c r="N1001" s="49">
        <v>1</v>
      </c>
      <c r="O1001" s="49">
        <v>2</v>
      </c>
      <c r="P1001" s="47" t="s">
        <v>1281</v>
      </c>
      <c r="Q1001" s="47" t="s">
        <v>1017</v>
      </c>
      <c r="R1001" s="47" t="s">
        <v>376</v>
      </c>
      <c r="S1001" s="46"/>
      <c r="T1001" s="46"/>
      <c r="U1001" s="46"/>
      <c r="V1001" s="46"/>
      <c r="W1001" s="46"/>
      <c r="X1001" s="46"/>
      <c r="Y1001" s="46"/>
      <c r="Z1001" s="46"/>
      <c r="AA1001" s="46"/>
      <c r="AB1001" s="46"/>
      <c r="AC1001" s="46"/>
      <c r="AD1001" s="46"/>
      <c r="AE1001" s="50">
        <f>IF(L1001="W",1,0)</f>
        <v>0</v>
      </c>
      <c r="AF1001" s="50">
        <f>IF(L1001="T",1,0)</f>
        <v>0</v>
      </c>
      <c r="AG1001" s="50">
        <f>IF(L1001="L",1,0)</f>
        <v>1</v>
      </c>
      <c r="AH1001" s="46" t="s">
        <v>1097</v>
      </c>
      <c r="AI1001" s="46" t="s">
        <v>1098</v>
      </c>
      <c r="AJ1001" s="46" t="s">
        <v>376</v>
      </c>
      <c r="AK1001" s="46" t="s">
        <v>658</v>
      </c>
      <c r="AL1001" s="46" t="s">
        <v>1379</v>
      </c>
      <c r="AM1001" s="46" t="s">
        <v>1380</v>
      </c>
      <c r="AN1001" s="46" t="s">
        <v>376</v>
      </c>
      <c r="AO1001" s="46" t="s">
        <v>658</v>
      </c>
      <c r="AP1001" s="46"/>
      <c r="AQ1001" s="46">
        <v>2</v>
      </c>
      <c r="AR1001" s="46"/>
      <c r="AS1001" s="46"/>
      <c r="AT1001" s="46"/>
      <c r="AU1001" s="46" t="s">
        <v>376</v>
      </c>
      <c r="AV1001" s="46"/>
      <c r="AW1001" s="46" t="s">
        <v>30</v>
      </c>
      <c r="AX1001" s="46"/>
      <c r="AY1001" s="46" t="s">
        <v>30</v>
      </c>
      <c r="AZ1001" s="46"/>
      <c r="BA1001" s="47"/>
      <c r="BB1001" s="51"/>
      <c r="BC1001" s="46"/>
      <c r="BD1001" s="46"/>
      <c r="BE1001" s="46"/>
      <c r="BF1001" s="46">
        <v>1</v>
      </c>
      <c r="BG1001" s="46">
        <v>2</v>
      </c>
      <c r="BH1001" s="46">
        <v>1</v>
      </c>
      <c r="BI1001" s="46" t="s">
        <v>1093</v>
      </c>
      <c r="BJ1001" s="46" t="s">
        <v>802</v>
      </c>
      <c r="BK1001" s="46">
        <v>1983</v>
      </c>
      <c r="BL1001" s="46" t="str">
        <f>BK1001&amp;BI1001</f>
        <v>1983Sheffield Wednesday</v>
      </c>
      <c r="BM1001" s="52" t="str">
        <f>IF(AD1001="Home",BI1001,IF(AD1001="Away",BJ1001,Q1001))</f>
        <v>London</v>
      </c>
      <c r="BN1001" s="46"/>
      <c r="BO1001" s="46"/>
      <c r="BP1001" s="46"/>
      <c r="BQ1001" s="46"/>
      <c r="BR1001" s="46"/>
      <c r="BS1001" s="46"/>
      <c r="BT1001" s="46"/>
      <c r="BU1001" s="46"/>
      <c r="BV1001" s="46" t="s">
        <v>376</v>
      </c>
      <c r="BW1001" s="46" t="s">
        <v>376</v>
      </c>
      <c r="BX1001" s="46"/>
      <c r="BZ1001" s="53"/>
      <c r="CA1001" s="53"/>
      <c r="CB1001" s="93" t="str">
        <f>IF(OR(C1001="",A1001="",B1001=""),"",TEXT(C1001,"0000")&amp;TEXT(A1001,"00")&amp;TEXT(B1001,"00"))</f>
        <v>19830416</v>
      </c>
    </row>
    <row r="1002" spans="1:80" s="52" customFormat="1" ht="12.95" customHeight="1" x14ac:dyDescent="0.2">
      <c r="A1002" s="46">
        <v>4</v>
      </c>
      <c r="B1002" s="46">
        <v>16</v>
      </c>
      <c r="C1002" s="46">
        <v>1983</v>
      </c>
      <c r="D1002" s="46" t="s">
        <v>658</v>
      </c>
      <c r="E1002" s="46" t="s">
        <v>538</v>
      </c>
      <c r="F1002" s="47" t="s">
        <v>1010</v>
      </c>
      <c r="G1002" s="46"/>
      <c r="H1002" s="47" t="s">
        <v>1011</v>
      </c>
      <c r="I1002" s="47"/>
      <c r="J1002" s="48">
        <v>30422</v>
      </c>
      <c r="K1002" s="46" t="s">
        <v>821</v>
      </c>
      <c r="L1002" s="46" t="s">
        <v>3</v>
      </c>
      <c r="M1002" s="46" t="s">
        <v>587</v>
      </c>
      <c r="N1002" s="49">
        <v>2</v>
      </c>
      <c r="O1002" s="49">
        <v>1</v>
      </c>
      <c r="P1002" s="47" t="s">
        <v>1219</v>
      </c>
      <c r="Q1002" s="47" t="s">
        <v>1111</v>
      </c>
      <c r="R1002" s="47" t="s">
        <v>376</v>
      </c>
      <c r="S1002" s="46"/>
      <c r="T1002" s="46"/>
      <c r="U1002" s="46"/>
      <c r="V1002" s="46"/>
      <c r="W1002" s="46"/>
      <c r="X1002" s="46"/>
      <c r="Y1002" s="46"/>
      <c r="Z1002" s="46"/>
      <c r="AA1002" s="46"/>
      <c r="AB1002" s="46"/>
      <c r="AC1002" s="46"/>
      <c r="AD1002" s="46"/>
      <c r="AE1002" s="50">
        <f>IF(L1002="W",1,0)</f>
        <v>1</v>
      </c>
      <c r="AF1002" s="50">
        <f>IF(L1002="T",1,0)</f>
        <v>0</v>
      </c>
      <c r="AG1002" s="50">
        <f>IF(L1002="L",1,0)</f>
        <v>0</v>
      </c>
      <c r="AH1002" s="46" t="s">
        <v>1101</v>
      </c>
      <c r="AI1002" s="46" t="s">
        <v>1159</v>
      </c>
      <c r="AJ1002" s="46" t="s">
        <v>376</v>
      </c>
      <c r="AK1002" s="46" t="s">
        <v>658</v>
      </c>
      <c r="AL1002" s="46" t="s">
        <v>1017</v>
      </c>
      <c r="AM1002" s="46" t="s">
        <v>1018</v>
      </c>
      <c r="AN1002" s="46" t="s">
        <v>376</v>
      </c>
      <c r="AO1002" s="46" t="s">
        <v>658</v>
      </c>
      <c r="AP1002" s="46"/>
      <c r="AQ1002" s="46">
        <v>2</v>
      </c>
      <c r="AR1002" s="46"/>
      <c r="AS1002" s="46"/>
      <c r="AT1002" s="46"/>
      <c r="AU1002" s="46" t="s">
        <v>376</v>
      </c>
      <c r="AV1002" s="46"/>
      <c r="AW1002" s="46" t="s">
        <v>30</v>
      </c>
      <c r="AX1002" s="46"/>
      <c r="AY1002" s="46" t="s">
        <v>30</v>
      </c>
      <c r="AZ1002" s="46"/>
      <c r="BA1002" s="47"/>
      <c r="BB1002" s="51"/>
      <c r="BC1002" s="46"/>
      <c r="BD1002" s="46"/>
      <c r="BE1002" s="46"/>
      <c r="BF1002" s="46">
        <v>1</v>
      </c>
      <c r="BG1002" s="46">
        <v>1</v>
      </c>
      <c r="BH1002" s="46">
        <v>1</v>
      </c>
      <c r="BI1002" s="46" t="s">
        <v>821</v>
      </c>
      <c r="BJ1002" s="46" t="s">
        <v>587</v>
      </c>
      <c r="BK1002" s="46">
        <v>1983</v>
      </c>
      <c r="BL1002" s="46" t="str">
        <f>BK1002&amp;BI1002</f>
        <v>1983Manchester United</v>
      </c>
      <c r="BM1002" s="52" t="str">
        <f>IF(AD1002="Home",BI1002,IF(AD1002="Away",BJ1002,Q1002))</f>
        <v>Birmingham</v>
      </c>
      <c r="BN1002" s="46"/>
      <c r="BO1002" s="46"/>
      <c r="BP1002" s="46"/>
      <c r="BQ1002" s="46"/>
      <c r="BR1002" s="46"/>
      <c r="BS1002" s="46"/>
      <c r="BT1002" s="46"/>
      <c r="BU1002" s="46"/>
      <c r="BV1002" s="46" t="s">
        <v>376</v>
      </c>
      <c r="BW1002" s="46" t="s">
        <v>376</v>
      </c>
      <c r="BX1002" s="46"/>
      <c r="BZ1002" s="53"/>
      <c r="CA1002" s="53"/>
      <c r="CB1002" s="93" t="str">
        <f>IF(OR(C1002="",A1002="",B1002=""),"",TEXT(C1002,"0000")&amp;TEXT(A1002,"00")&amp;TEXT(B1002,"00"))</f>
        <v>19830416</v>
      </c>
    </row>
    <row r="1003" spans="1:80" s="52" customFormat="1" ht="12.95" customHeight="1" x14ac:dyDescent="0.2">
      <c r="A1003" s="46">
        <v>4</v>
      </c>
      <c r="B1003" s="46">
        <v>16</v>
      </c>
      <c r="C1003" s="46">
        <v>1983</v>
      </c>
      <c r="D1003" s="46" t="s">
        <v>658</v>
      </c>
      <c r="E1003" s="46" t="s">
        <v>538</v>
      </c>
      <c r="F1003" s="47" t="s">
        <v>1010</v>
      </c>
      <c r="G1003" s="46"/>
      <c r="H1003" s="47" t="s">
        <v>1011</v>
      </c>
      <c r="I1003" s="47"/>
      <c r="J1003" s="48">
        <v>30422</v>
      </c>
      <c r="K1003" s="46" t="s">
        <v>587</v>
      </c>
      <c r="L1003" s="46" t="s">
        <v>4</v>
      </c>
      <c r="M1003" s="46" t="s">
        <v>821</v>
      </c>
      <c r="N1003" s="49">
        <v>1</v>
      </c>
      <c r="O1003" s="49">
        <v>2</v>
      </c>
      <c r="P1003" s="47" t="s">
        <v>1219</v>
      </c>
      <c r="Q1003" s="47" t="s">
        <v>1111</v>
      </c>
      <c r="R1003" s="47" t="s">
        <v>376</v>
      </c>
      <c r="S1003" s="46"/>
      <c r="T1003" s="46"/>
      <c r="U1003" s="46"/>
      <c r="V1003" s="46"/>
      <c r="W1003" s="46"/>
      <c r="X1003" s="46"/>
      <c r="Y1003" s="46"/>
      <c r="Z1003" s="46"/>
      <c r="AA1003" s="46"/>
      <c r="AB1003" s="46"/>
      <c r="AC1003" s="46"/>
      <c r="AD1003" s="46"/>
      <c r="AE1003" s="50">
        <f>IF(L1003="W",1,0)</f>
        <v>0</v>
      </c>
      <c r="AF1003" s="50">
        <f>IF(L1003="T",1,0)</f>
        <v>0</v>
      </c>
      <c r="AG1003" s="50">
        <f>IF(L1003="L",1,0)</f>
        <v>1</v>
      </c>
      <c r="AH1003" s="46" t="s">
        <v>1017</v>
      </c>
      <c r="AI1003" s="46" t="s">
        <v>1018</v>
      </c>
      <c r="AJ1003" s="46" t="s">
        <v>376</v>
      </c>
      <c r="AK1003" s="46" t="s">
        <v>658</v>
      </c>
      <c r="AL1003" s="46" t="s">
        <v>1101</v>
      </c>
      <c r="AM1003" s="46" t="s">
        <v>1159</v>
      </c>
      <c r="AN1003" s="46" t="s">
        <v>376</v>
      </c>
      <c r="AO1003" s="46" t="s">
        <v>658</v>
      </c>
      <c r="AP1003" s="46"/>
      <c r="AQ1003" s="46">
        <v>2</v>
      </c>
      <c r="AR1003" s="46"/>
      <c r="AS1003" s="46"/>
      <c r="AT1003" s="46"/>
      <c r="AU1003" s="46" t="s">
        <v>376</v>
      </c>
      <c r="AV1003" s="46"/>
      <c r="AW1003" s="46" t="s">
        <v>30</v>
      </c>
      <c r="AX1003" s="46"/>
      <c r="AY1003" s="46" t="s">
        <v>30</v>
      </c>
      <c r="AZ1003" s="46"/>
      <c r="BA1003" s="47"/>
      <c r="BB1003" s="51"/>
      <c r="BC1003" s="46"/>
      <c r="BD1003" s="46"/>
      <c r="BE1003" s="46"/>
      <c r="BF1003" s="46">
        <v>1</v>
      </c>
      <c r="BG1003" s="46">
        <v>1</v>
      </c>
      <c r="BH1003" s="46">
        <v>1</v>
      </c>
      <c r="BI1003" s="46" t="s">
        <v>587</v>
      </c>
      <c r="BJ1003" s="46" t="s">
        <v>821</v>
      </c>
      <c r="BK1003" s="46">
        <v>1983</v>
      </c>
      <c r="BL1003" s="46" t="str">
        <f>BK1003&amp;BI1003</f>
        <v>1983Arsenal</v>
      </c>
      <c r="BM1003" s="52" t="str">
        <f>IF(AD1003="Home",BI1003,IF(AD1003="Away",BJ1003,Q1003))</f>
        <v>Birmingham</v>
      </c>
      <c r="BN1003" s="46"/>
      <c r="BO1003" s="46"/>
      <c r="BP1003" s="46"/>
      <c r="BQ1003" s="46"/>
      <c r="BR1003" s="46"/>
      <c r="BS1003" s="46"/>
      <c r="BT1003" s="46"/>
      <c r="BU1003" s="46"/>
      <c r="BV1003" s="46" t="s">
        <v>376</v>
      </c>
      <c r="BW1003" s="46" t="s">
        <v>376</v>
      </c>
      <c r="BX1003" s="46"/>
      <c r="BZ1003" s="53"/>
      <c r="CA1003" s="53"/>
      <c r="CB1003" s="93" t="str">
        <f>IF(OR(C1003="",A1003="",B1003=""),"",TEXT(C1003,"0000")&amp;TEXT(A1003,"00")&amp;TEXT(B1003,"00"))</f>
        <v>19830416</v>
      </c>
    </row>
    <row r="1004" spans="1:80" s="52" customFormat="1" ht="12.95" customHeight="1" x14ac:dyDescent="0.2">
      <c r="A1004" s="46">
        <v>5</v>
      </c>
      <c r="B1004" s="46">
        <v>21</v>
      </c>
      <c r="C1004" s="46">
        <v>1983</v>
      </c>
      <c r="D1004" s="46" t="s">
        <v>658</v>
      </c>
      <c r="E1004" s="46" t="s">
        <v>538</v>
      </c>
      <c r="F1004" s="47" t="s">
        <v>1010</v>
      </c>
      <c r="G1004" s="46"/>
      <c r="H1004" s="47" t="s">
        <v>1025</v>
      </c>
      <c r="I1004" s="47"/>
      <c r="J1004" s="48">
        <v>30457</v>
      </c>
      <c r="K1004" s="46" t="s">
        <v>821</v>
      </c>
      <c r="L1004" s="46" t="s">
        <v>1014</v>
      </c>
      <c r="M1004" s="46" t="s">
        <v>802</v>
      </c>
      <c r="N1004" s="49">
        <v>2</v>
      </c>
      <c r="O1004" s="49">
        <v>2</v>
      </c>
      <c r="P1004" s="47" t="s">
        <v>1268</v>
      </c>
      <c r="Q1004" s="47" t="s">
        <v>1017</v>
      </c>
      <c r="R1004" s="47" t="s">
        <v>376</v>
      </c>
      <c r="S1004" s="46"/>
      <c r="T1004" s="46"/>
      <c r="U1004" s="46"/>
      <c r="V1004" s="46"/>
      <c r="W1004" s="46"/>
      <c r="X1004" s="46"/>
      <c r="Y1004" s="46"/>
      <c r="Z1004" s="46"/>
      <c r="AA1004" s="46"/>
      <c r="AB1004" s="46"/>
      <c r="AC1004" s="46"/>
      <c r="AD1004" s="46"/>
      <c r="AE1004" s="50">
        <f>IF(L1004="W",1,0)</f>
        <v>0</v>
      </c>
      <c r="AF1004" s="50">
        <f>IF(L1004="T",1,0)</f>
        <v>1</v>
      </c>
      <c r="AG1004" s="50">
        <f>IF(L1004="L",1,0)</f>
        <v>0</v>
      </c>
      <c r="AH1004" s="46" t="s">
        <v>1101</v>
      </c>
      <c r="AI1004" s="46" t="s">
        <v>1159</v>
      </c>
      <c r="AJ1004" s="46" t="s">
        <v>376</v>
      </c>
      <c r="AK1004" s="46" t="s">
        <v>658</v>
      </c>
      <c r="AL1004" s="46" t="s">
        <v>1379</v>
      </c>
      <c r="AM1004" s="46" t="s">
        <v>1380</v>
      </c>
      <c r="AN1004" s="46" t="s">
        <v>376</v>
      </c>
      <c r="AO1004" s="46" t="s">
        <v>658</v>
      </c>
      <c r="AP1004" s="46"/>
      <c r="AQ1004" s="46">
        <v>1</v>
      </c>
      <c r="AR1004" s="46"/>
      <c r="AS1004" s="46"/>
      <c r="AT1004" s="46"/>
      <c r="AU1004" s="46" t="s">
        <v>376</v>
      </c>
      <c r="AV1004" s="46"/>
      <c r="AW1004" s="46" t="s">
        <v>30</v>
      </c>
      <c r="AX1004" s="46"/>
      <c r="AY1004" s="46" t="s">
        <v>30</v>
      </c>
      <c r="AZ1004" s="46"/>
      <c r="BA1004" s="47"/>
      <c r="BB1004" s="51"/>
      <c r="BC1004" s="46" t="s">
        <v>30</v>
      </c>
      <c r="BD1004" s="46"/>
      <c r="BE1004" s="46"/>
      <c r="BF1004" s="46">
        <v>1</v>
      </c>
      <c r="BG1004" s="46">
        <v>1</v>
      </c>
      <c r="BH1004" s="46">
        <v>1</v>
      </c>
      <c r="BI1004" s="46" t="s">
        <v>821</v>
      </c>
      <c r="BJ1004" s="46" t="s">
        <v>802</v>
      </c>
      <c r="BK1004" s="46">
        <v>1983</v>
      </c>
      <c r="BL1004" s="46" t="str">
        <f>BK1004&amp;BI1004</f>
        <v>1983Manchester United</v>
      </c>
      <c r="BM1004" s="52" t="str">
        <f>IF(AD1004="Home",BI1004,IF(AD1004="Away",BJ1004,Q1004))</f>
        <v>London</v>
      </c>
      <c r="BN1004" s="46"/>
      <c r="BO1004" s="46"/>
      <c r="BP1004" s="46"/>
      <c r="BQ1004" s="46"/>
      <c r="BR1004" s="46"/>
      <c r="BS1004" s="46"/>
      <c r="BT1004" s="46"/>
      <c r="BU1004" s="46"/>
      <c r="BV1004" s="46" t="s">
        <v>376</v>
      </c>
      <c r="BW1004" s="46" t="s">
        <v>376</v>
      </c>
      <c r="BX1004" s="46"/>
      <c r="BZ1004" s="53"/>
      <c r="CA1004" s="53"/>
      <c r="CB1004" s="93" t="str">
        <f>IF(OR(C1004="",A1004="",B1004=""),"",TEXT(C1004,"0000")&amp;TEXT(A1004,"00")&amp;TEXT(B1004,"00"))</f>
        <v>19830521</v>
      </c>
    </row>
    <row r="1005" spans="1:80" s="52" customFormat="1" ht="12.95" customHeight="1" x14ac:dyDescent="0.2">
      <c r="A1005" s="46">
        <v>5</v>
      </c>
      <c r="B1005" s="46">
        <v>21</v>
      </c>
      <c r="C1005" s="46">
        <v>1983</v>
      </c>
      <c r="D1005" s="46" t="s">
        <v>658</v>
      </c>
      <c r="E1005" s="46" t="s">
        <v>538</v>
      </c>
      <c r="F1005" s="47" t="s">
        <v>1010</v>
      </c>
      <c r="G1005" s="46"/>
      <c r="H1005" s="47" t="s">
        <v>1025</v>
      </c>
      <c r="I1005" s="47"/>
      <c r="J1005" s="48">
        <v>30457</v>
      </c>
      <c r="K1005" s="46" t="s">
        <v>802</v>
      </c>
      <c r="L1005" s="46" t="s">
        <v>1014</v>
      </c>
      <c r="M1005" s="46" t="s">
        <v>821</v>
      </c>
      <c r="N1005" s="49">
        <v>2</v>
      </c>
      <c r="O1005" s="49">
        <v>2</v>
      </c>
      <c r="P1005" s="47" t="s">
        <v>1268</v>
      </c>
      <c r="Q1005" s="47" t="s">
        <v>1017</v>
      </c>
      <c r="R1005" s="47" t="s">
        <v>376</v>
      </c>
      <c r="S1005" s="46"/>
      <c r="T1005" s="46"/>
      <c r="U1005" s="46"/>
      <c r="V1005" s="46"/>
      <c r="W1005" s="46"/>
      <c r="X1005" s="46"/>
      <c r="Y1005" s="46"/>
      <c r="Z1005" s="46"/>
      <c r="AA1005" s="46"/>
      <c r="AB1005" s="46"/>
      <c r="AC1005" s="46"/>
      <c r="AD1005" s="46"/>
      <c r="AE1005" s="50">
        <f>IF(L1005="W",1,0)</f>
        <v>0</v>
      </c>
      <c r="AF1005" s="50">
        <f>IF(L1005="T",1,0)</f>
        <v>1</v>
      </c>
      <c r="AG1005" s="50">
        <f>IF(L1005="L",1,0)</f>
        <v>0</v>
      </c>
      <c r="AH1005" s="46" t="s">
        <v>1379</v>
      </c>
      <c r="AI1005" s="46" t="s">
        <v>1380</v>
      </c>
      <c r="AJ1005" s="46" t="s">
        <v>376</v>
      </c>
      <c r="AK1005" s="46" t="s">
        <v>658</v>
      </c>
      <c r="AL1005" s="46" t="s">
        <v>1101</v>
      </c>
      <c r="AM1005" s="46" t="s">
        <v>1159</v>
      </c>
      <c r="AN1005" s="46" t="s">
        <v>376</v>
      </c>
      <c r="AO1005" s="46" t="s">
        <v>658</v>
      </c>
      <c r="AP1005" s="46"/>
      <c r="AQ1005" s="46">
        <v>1</v>
      </c>
      <c r="AR1005" s="46"/>
      <c r="AS1005" s="46"/>
      <c r="AT1005" s="46"/>
      <c r="AU1005" s="46" t="s">
        <v>376</v>
      </c>
      <c r="AV1005" s="46"/>
      <c r="AW1005" s="46" t="s">
        <v>30</v>
      </c>
      <c r="AX1005" s="46"/>
      <c r="AY1005" s="46" t="s">
        <v>30</v>
      </c>
      <c r="AZ1005" s="46"/>
      <c r="BA1005" s="47"/>
      <c r="BB1005" s="51"/>
      <c r="BC1005" s="46" t="s">
        <v>30</v>
      </c>
      <c r="BD1005" s="46"/>
      <c r="BE1005" s="46"/>
      <c r="BF1005" s="46">
        <v>1</v>
      </c>
      <c r="BG1005" s="46">
        <v>1</v>
      </c>
      <c r="BH1005" s="46">
        <v>1</v>
      </c>
      <c r="BI1005" s="46" t="s">
        <v>802</v>
      </c>
      <c r="BJ1005" s="46" t="s">
        <v>821</v>
      </c>
      <c r="BK1005" s="46">
        <v>1983</v>
      </c>
      <c r="BL1005" s="46" t="str">
        <f>BK1005&amp;BI1005</f>
        <v>1983Brighton &amp; Hove Albion</v>
      </c>
      <c r="BM1005" s="52" t="str">
        <f>IF(AD1005="Home",BI1005,IF(AD1005="Away",BJ1005,Q1005))</f>
        <v>London</v>
      </c>
      <c r="BN1005" s="46"/>
      <c r="BO1005" s="46"/>
      <c r="BP1005" s="46"/>
      <c r="BQ1005" s="46"/>
      <c r="BR1005" s="46"/>
      <c r="BS1005" s="46"/>
      <c r="BT1005" s="46"/>
      <c r="BU1005" s="46"/>
      <c r="BV1005" s="46" t="s">
        <v>376</v>
      </c>
      <c r="BW1005" s="46" t="s">
        <v>376</v>
      </c>
      <c r="BX1005" s="46"/>
      <c r="BZ1005" s="53"/>
      <c r="CA1005" s="53"/>
      <c r="CB1005" s="93" t="str">
        <f>IF(OR(C1005="",A1005="",B1005=""),"",TEXT(C1005,"0000")&amp;TEXT(A1005,"00")&amp;TEXT(B1005,"00"))</f>
        <v>19830521</v>
      </c>
    </row>
    <row r="1006" spans="1:80" s="52" customFormat="1" ht="12.95" customHeight="1" x14ac:dyDescent="0.2">
      <c r="A1006" s="46">
        <v>5</v>
      </c>
      <c r="B1006" s="46">
        <v>26</v>
      </c>
      <c r="C1006" s="46">
        <v>1983</v>
      </c>
      <c r="D1006" s="46" t="s">
        <v>658</v>
      </c>
      <c r="E1006" s="46" t="s">
        <v>538</v>
      </c>
      <c r="F1006" s="47" t="s">
        <v>1010</v>
      </c>
      <c r="G1006" s="46"/>
      <c r="H1006" s="47" t="s">
        <v>1025</v>
      </c>
      <c r="I1006" s="47" t="s">
        <v>1023</v>
      </c>
      <c r="J1006" s="48">
        <v>30462</v>
      </c>
      <c r="K1006" s="46" t="s">
        <v>821</v>
      </c>
      <c r="L1006" s="46" t="s">
        <v>3</v>
      </c>
      <c r="M1006" s="46" t="s">
        <v>802</v>
      </c>
      <c r="N1006" s="49">
        <v>4</v>
      </c>
      <c r="O1006" s="49">
        <v>0</v>
      </c>
      <c r="P1006" s="47" t="s">
        <v>1268</v>
      </c>
      <c r="Q1006" s="47" t="s">
        <v>1017</v>
      </c>
      <c r="R1006" s="47" t="s">
        <v>376</v>
      </c>
      <c r="S1006" s="46"/>
      <c r="T1006" s="46"/>
      <c r="U1006" s="46"/>
      <c r="V1006" s="46"/>
      <c r="W1006" s="46"/>
      <c r="X1006" s="46"/>
      <c r="Y1006" s="46"/>
      <c r="Z1006" s="46"/>
      <c r="AA1006" s="46"/>
      <c r="AB1006" s="46"/>
      <c r="AC1006" s="46"/>
      <c r="AD1006" s="46"/>
      <c r="AE1006" s="50">
        <f>IF(L1006="W",1,0)</f>
        <v>1</v>
      </c>
      <c r="AF1006" s="50">
        <f>IF(L1006="T",1,0)</f>
        <v>0</v>
      </c>
      <c r="AG1006" s="50">
        <f>IF(L1006="L",1,0)</f>
        <v>0</v>
      </c>
      <c r="AH1006" s="46" t="s">
        <v>1101</v>
      </c>
      <c r="AI1006" s="46" t="s">
        <v>1159</v>
      </c>
      <c r="AJ1006" s="46" t="s">
        <v>376</v>
      </c>
      <c r="AK1006" s="46" t="s">
        <v>658</v>
      </c>
      <c r="AL1006" s="46" t="s">
        <v>1379</v>
      </c>
      <c r="AM1006" s="46" t="s">
        <v>1380</v>
      </c>
      <c r="AN1006" s="46" t="s">
        <v>376</v>
      </c>
      <c r="AO1006" s="46" t="s">
        <v>658</v>
      </c>
      <c r="AP1006" s="46"/>
      <c r="AQ1006" s="46">
        <v>1</v>
      </c>
      <c r="AR1006" s="46"/>
      <c r="AS1006" s="46"/>
      <c r="AT1006" s="46"/>
      <c r="AU1006" s="46" t="s">
        <v>376</v>
      </c>
      <c r="AV1006" s="46"/>
      <c r="AW1006" s="46" t="s">
        <v>30</v>
      </c>
      <c r="AX1006" s="46"/>
      <c r="AY1006" s="46" t="s">
        <v>30</v>
      </c>
      <c r="AZ1006" s="46"/>
      <c r="BA1006" s="47"/>
      <c r="BB1006" s="51" t="s">
        <v>30</v>
      </c>
      <c r="BC1006" s="46" t="s">
        <v>30</v>
      </c>
      <c r="BD1006" s="46"/>
      <c r="BE1006" s="46"/>
      <c r="BF1006" s="46">
        <v>1</v>
      </c>
      <c r="BG1006" s="46">
        <v>1</v>
      </c>
      <c r="BH1006" s="46">
        <v>1</v>
      </c>
      <c r="BI1006" s="46" t="s">
        <v>821</v>
      </c>
      <c r="BJ1006" s="46" t="s">
        <v>802</v>
      </c>
      <c r="BK1006" s="46">
        <v>1983</v>
      </c>
      <c r="BL1006" s="46" t="str">
        <f>BK1006&amp;BI1006</f>
        <v>1983Manchester United</v>
      </c>
      <c r="BM1006" s="52" t="str">
        <f>IF(AD1006="Home",BI1006,IF(AD1006="Away",BJ1006,Q1006))</f>
        <v>London</v>
      </c>
      <c r="BN1006" s="46"/>
      <c r="BO1006" s="46"/>
      <c r="BP1006" s="46"/>
      <c r="BQ1006" s="46"/>
      <c r="BR1006" s="46"/>
      <c r="BS1006" s="46"/>
      <c r="BT1006" s="46"/>
      <c r="BU1006" s="46"/>
      <c r="BV1006" s="46" t="s">
        <v>376</v>
      </c>
      <c r="BW1006" s="46" t="s">
        <v>376</v>
      </c>
      <c r="BX1006" s="46"/>
      <c r="BZ1006" s="53"/>
      <c r="CA1006" s="53"/>
      <c r="CB1006" s="93" t="str">
        <f>IF(OR(C1006="",A1006="",B1006=""),"",TEXT(C1006,"0000")&amp;TEXT(A1006,"00")&amp;TEXT(B1006,"00"))</f>
        <v>19830526</v>
      </c>
    </row>
    <row r="1007" spans="1:80" s="52" customFormat="1" ht="12.95" customHeight="1" x14ac:dyDescent="0.2">
      <c r="A1007" s="46">
        <v>5</v>
      </c>
      <c r="B1007" s="46">
        <v>26</v>
      </c>
      <c r="C1007" s="46">
        <v>1983</v>
      </c>
      <c r="D1007" s="46" t="s">
        <v>658</v>
      </c>
      <c r="E1007" s="46" t="s">
        <v>538</v>
      </c>
      <c r="F1007" s="47" t="s">
        <v>1010</v>
      </c>
      <c r="G1007" s="46"/>
      <c r="H1007" s="47" t="s">
        <v>1025</v>
      </c>
      <c r="I1007" s="47" t="s">
        <v>1023</v>
      </c>
      <c r="J1007" s="48">
        <v>30462</v>
      </c>
      <c r="K1007" s="46" t="s">
        <v>802</v>
      </c>
      <c r="L1007" s="46" t="s">
        <v>4</v>
      </c>
      <c r="M1007" s="46" t="s">
        <v>821</v>
      </c>
      <c r="N1007" s="49">
        <v>0</v>
      </c>
      <c r="O1007" s="49">
        <v>4</v>
      </c>
      <c r="P1007" s="47" t="s">
        <v>1268</v>
      </c>
      <c r="Q1007" s="47" t="s">
        <v>1017</v>
      </c>
      <c r="R1007" s="47" t="s">
        <v>376</v>
      </c>
      <c r="S1007" s="46"/>
      <c r="T1007" s="46"/>
      <c r="U1007" s="46"/>
      <c r="V1007" s="46"/>
      <c r="W1007" s="46"/>
      <c r="X1007" s="46"/>
      <c r="Y1007" s="46"/>
      <c r="Z1007" s="46"/>
      <c r="AA1007" s="46"/>
      <c r="AB1007" s="46"/>
      <c r="AC1007" s="46"/>
      <c r="AD1007" s="46"/>
      <c r="AE1007" s="50">
        <f>IF(L1007="W",1,0)</f>
        <v>0</v>
      </c>
      <c r="AF1007" s="50">
        <f>IF(L1007="T",1,0)</f>
        <v>0</v>
      </c>
      <c r="AG1007" s="50">
        <f>IF(L1007="L",1,0)</f>
        <v>1</v>
      </c>
      <c r="AH1007" s="46" t="s">
        <v>1379</v>
      </c>
      <c r="AI1007" s="46" t="s">
        <v>1380</v>
      </c>
      <c r="AJ1007" s="46" t="s">
        <v>376</v>
      </c>
      <c r="AK1007" s="46" t="s">
        <v>658</v>
      </c>
      <c r="AL1007" s="46" t="s">
        <v>1101</v>
      </c>
      <c r="AM1007" s="46" t="s">
        <v>1159</v>
      </c>
      <c r="AN1007" s="46" t="s">
        <v>376</v>
      </c>
      <c r="AO1007" s="46" t="s">
        <v>658</v>
      </c>
      <c r="AP1007" s="46"/>
      <c r="AQ1007" s="46">
        <v>1</v>
      </c>
      <c r="AR1007" s="46"/>
      <c r="AS1007" s="46"/>
      <c r="AT1007" s="46"/>
      <c r="AU1007" s="46" t="s">
        <v>376</v>
      </c>
      <c r="AV1007" s="46"/>
      <c r="AW1007" s="46" t="s">
        <v>30</v>
      </c>
      <c r="AX1007" s="46"/>
      <c r="AY1007" s="46" t="s">
        <v>30</v>
      </c>
      <c r="AZ1007" s="46"/>
      <c r="BA1007" s="47"/>
      <c r="BB1007" s="51"/>
      <c r="BC1007" s="46" t="s">
        <v>30</v>
      </c>
      <c r="BD1007" s="46"/>
      <c r="BE1007" s="46"/>
      <c r="BF1007" s="46">
        <v>1</v>
      </c>
      <c r="BG1007" s="46">
        <v>1</v>
      </c>
      <c r="BH1007" s="46">
        <v>1</v>
      </c>
      <c r="BI1007" s="46" t="s">
        <v>802</v>
      </c>
      <c r="BJ1007" s="46" t="s">
        <v>821</v>
      </c>
      <c r="BK1007" s="46">
        <v>1983</v>
      </c>
      <c r="BL1007" s="46" t="str">
        <f>BK1007&amp;BI1007</f>
        <v>1983Brighton &amp; Hove Albion</v>
      </c>
      <c r="BM1007" s="52" t="str">
        <f>IF(AD1007="Home",BI1007,IF(AD1007="Away",BJ1007,Q1007))</f>
        <v>London</v>
      </c>
      <c r="BN1007" s="46"/>
      <c r="BO1007" s="46"/>
      <c r="BP1007" s="46"/>
      <c r="BQ1007" s="46"/>
      <c r="BR1007" s="46"/>
      <c r="BS1007" s="46"/>
      <c r="BT1007" s="46"/>
      <c r="BU1007" s="46"/>
      <c r="BV1007" s="46" t="s">
        <v>376</v>
      </c>
      <c r="BW1007" s="46" t="s">
        <v>376</v>
      </c>
      <c r="BX1007" s="46"/>
      <c r="BZ1007" s="53"/>
      <c r="CA1007" s="53"/>
      <c r="CB1007" s="93" t="str">
        <f>IF(OR(C1007="",A1007="",B1007=""),"",TEXT(C1007,"0000")&amp;TEXT(A1007,"00")&amp;TEXT(B1007,"00"))</f>
        <v>19830526</v>
      </c>
    </row>
    <row r="1008" spans="1:80" s="52" customFormat="1" ht="12.95" customHeight="1" x14ac:dyDescent="0.2">
      <c r="A1008" s="46">
        <v>2</v>
      </c>
      <c r="B1008" s="46">
        <v>7</v>
      </c>
      <c r="C1008" s="46">
        <v>1984</v>
      </c>
      <c r="D1008" s="46" t="s">
        <v>658</v>
      </c>
      <c r="E1008" s="46" t="s">
        <v>535</v>
      </c>
      <c r="F1008" s="54" t="s">
        <v>1327</v>
      </c>
      <c r="G1008" s="46"/>
      <c r="H1008" s="54" t="s">
        <v>1011</v>
      </c>
      <c r="I1008" s="54">
        <v>1</v>
      </c>
      <c r="J1008" s="55">
        <v>30719</v>
      </c>
      <c r="K1008" s="46" t="s">
        <v>588</v>
      </c>
      <c r="L1008" s="46" t="s">
        <v>1014</v>
      </c>
      <c r="M1008" s="46" t="s">
        <v>1381</v>
      </c>
      <c r="N1008" s="49">
        <v>2</v>
      </c>
      <c r="O1008" s="49">
        <v>2</v>
      </c>
      <c r="P1008" s="54" t="s">
        <v>1141</v>
      </c>
      <c r="Q1008" s="54" t="s">
        <v>588</v>
      </c>
      <c r="R1008" s="54" t="s">
        <v>376</v>
      </c>
      <c r="S1008" s="46"/>
      <c r="T1008" s="46"/>
      <c r="U1008" s="46"/>
      <c r="V1008" s="46"/>
      <c r="W1008" s="46"/>
      <c r="X1008" s="46"/>
      <c r="Y1008" s="46"/>
      <c r="Z1008" s="46"/>
      <c r="AA1008" s="46"/>
      <c r="AB1008" s="46"/>
      <c r="AC1008" s="46"/>
      <c r="AD1008" s="46" t="s">
        <v>1033</v>
      </c>
      <c r="AE1008" s="50">
        <f>IF(L1008="W",1,0)</f>
        <v>0</v>
      </c>
      <c r="AF1008" s="50">
        <f>IF(L1008="T",1,0)</f>
        <v>1</v>
      </c>
      <c r="AG1008" s="50">
        <f>IF(L1008="L",1,0)</f>
        <v>0</v>
      </c>
      <c r="AH1008" s="46" t="s">
        <v>588</v>
      </c>
      <c r="AI1008" s="46" t="s">
        <v>1175</v>
      </c>
      <c r="AJ1008" s="46" t="s">
        <v>376</v>
      </c>
      <c r="AK1008" s="46" t="s">
        <v>658</v>
      </c>
      <c r="AL1008" s="46" t="s">
        <v>1111</v>
      </c>
      <c r="AM1008" s="46" t="s">
        <v>1126</v>
      </c>
      <c r="AN1008" s="46" t="s">
        <v>376</v>
      </c>
      <c r="AO1008" s="46" t="s">
        <v>658</v>
      </c>
      <c r="AP1008" s="46"/>
      <c r="AQ1008" s="46">
        <v>2</v>
      </c>
      <c r="AR1008" s="46"/>
      <c r="AS1008" s="46"/>
      <c r="AT1008" s="46"/>
      <c r="AU1008" s="46" t="s">
        <v>376</v>
      </c>
      <c r="AV1008" s="46"/>
      <c r="AW1008" s="46" t="s">
        <v>30</v>
      </c>
      <c r="AX1008" s="46"/>
      <c r="AY1008" s="46"/>
      <c r="AZ1008" s="46" t="s">
        <v>30</v>
      </c>
      <c r="BA1008" s="54"/>
      <c r="BB1008" s="51"/>
      <c r="BC1008" s="46"/>
      <c r="BD1008" s="46"/>
      <c r="BE1008" s="46"/>
      <c r="BF1008" s="46">
        <v>1</v>
      </c>
      <c r="BG1008" s="46">
        <v>1</v>
      </c>
      <c r="BH1008" s="46">
        <v>3</v>
      </c>
      <c r="BI1008" s="46" t="s">
        <v>588</v>
      </c>
      <c r="BJ1008" s="46" t="s">
        <v>1381</v>
      </c>
      <c r="BK1008" s="46">
        <v>1984</v>
      </c>
      <c r="BL1008" s="46" t="str">
        <f>BK1008&amp;BI1008</f>
        <v>1984Liverpool</v>
      </c>
      <c r="BM1008" s="52" t="str">
        <f>IF(AD1008="Home",BI1008,IF(AD1008="Away",BJ1008,Q1008))</f>
        <v>Liverpool</v>
      </c>
      <c r="BN1008" s="46"/>
      <c r="BO1008" s="46"/>
      <c r="BP1008" s="46"/>
      <c r="BQ1008" s="46"/>
      <c r="BR1008" s="46"/>
      <c r="BS1008" s="46"/>
      <c r="BT1008" s="46"/>
      <c r="BU1008" s="46"/>
      <c r="BV1008" s="46" t="s">
        <v>376</v>
      </c>
      <c r="BW1008" s="46" t="s">
        <v>376</v>
      </c>
      <c r="BX1008" s="46"/>
      <c r="BZ1008" s="53"/>
      <c r="CA1008" s="53"/>
      <c r="CB1008" s="93" t="str">
        <f>IF(OR(C1008="",A1008="",B1008=""),"",TEXT(C1008,"0000")&amp;TEXT(A1008,"00")&amp;TEXT(B1008,"00"))</f>
        <v>19840207</v>
      </c>
    </row>
    <row r="1009" spans="1:80" s="52" customFormat="1" ht="12.95" customHeight="1" x14ac:dyDescent="0.2">
      <c r="A1009" s="46">
        <v>2</v>
      </c>
      <c r="B1009" s="46">
        <v>7</v>
      </c>
      <c r="C1009" s="46">
        <v>1984</v>
      </c>
      <c r="D1009" s="46" t="s">
        <v>658</v>
      </c>
      <c r="E1009" s="46" t="s">
        <v>535</v>
      </c>
      <c r="F1009" s="54" t="s">
        <v>1327</v>
      </c>
      <c r="G1009" s="46"/>
      <c r="H1009" s="54" t="s">
        <v>1011</v>
      </c>
      <c r="I1009" s="54">
        <v>1</v>
      </c>
      <c r="J1009" s="55">
        <v>30719</v>
      </c>
      <c r="K1009" s="46" t="s">
        <v>1381</v>
      </c>
      <c r="L1009" s="46" t="s">
        <v>1014</v>
      </c>
      <c r="M1009" s="46" t="s">
        <v>588</v>
      </c>
      <c r="N1009" s="49">
        <v>2</v>
      </c>
      <c r="O1009" s="49">
        <v>2</v>
      </c>
      <c r="P1009" s="54" t="s">
        <v>1141</v>
      </c>
      <c r="Q1009" s="54" t="s">
        <v>588</v>
      </c>
      <c r="R1009" s="54" t="s">
        <v>376</v>
      </c>
      <c r="S1009" s="46"/>
      <c r="T1009" s="46"/>
      <c r="U1009" s="46"/>
      <c r="V1009" s="46"/>
      <c r="W1009" s="46"/>
      <c r="X1009" s="46"/>
      <c r="Y1009" s="46"/>
      <c r="Z1009" s="46"/>
      <c r="AA1009" s="46"/>
      <c r="AB1009" s="46"/>
      <c r="AC1009" s="46"/>
      <c r="AD1009" s="46" t="s">
        <v>1037</v>
      </c>
      <c r="AE1009" s="50">
        <f>IF(L1009="W",1,0)</f>
        <v>0</v>
      </c>
      <c r="AF1009" s="50">
        <f>IF(L1009="T",1,0)</f>
        <v>1</v>
      </c>
      <c r="AG1009" s="50">
        <f>IF(L1009="L",1,0)</f>
        <v>0</v>
      </c>
      <c r="AH1009" s="46" t="s">
        <v>1111</v>
      </c>
      <c r="AI1009" s="46" t="s">
        <v>1126</v>
      </c>
      <c r="AJ1009" s="46" t="s">
        <v>376</v>
      </c>
      <c r="AK1009" s="46" t="s">
        <v>658</v>
      </c>
      <c r="AL1009" s="46" t="s">
        <v>588</v>
      </c>
      <c r="AM1009" s="46" t="s">
        <v>1175</v>
      </c>
      <c r="AN1009" s="46" t="s">
        <v>376</v>
      </c>
      <c r="AO1009" s="46" t="s">
        <v>658</v>
      </c>
      <c r="AP1009" s="46"/>
      <c r="AQ1009" s="46">
        <v>2</v>
      </c>
      <c r="AR1009" s="46"/>
      <c r="AS1009" s="46"/>
      <c r="AT1009" s="46"/>
      <c r="AU1009" s="46" t="s">
        <v>376</v>
      </c>
      <c r="AV1009" s="46"/>
      <c r="AW1009" s="46" t="s">
        <v>30</v>
      </c>
      <c r="AX1009" s="46"/>
      <c r="AY1009" s="46"/>
      <c r="AZ1009" s="46" t="s">
        <v>30</v>
      </c>
      <c r="BA1009" s="54"/>
      <c r="BB1009" s="51"/>
      <c r="BC1009" s="46"/>
      <c r="BD1009" s="46"/>
      <c r="BE1009" s="46"/>
      <c r="BF1009" s="46">
        <v>1</v>
      </c>
      <c r="BG1009" s="46">
        <v>3</v>
      </c>
      <c r="BH1009" s="46">
        <v>1</v>
      </c>
      <c r="BI1009" s="46" t="s">
        <v>1381</v>
      </c>
      <c r="BJ1009" s="46" t="s">
        <v>588</v>
      </c>
      <c r="BK1009" s="46">
        <v>1984</v>
      </c>
      <c r="BL1009" s="46" t="str">
        <f>BK1009&amp;BI1009</f>
        <v>1984Walsall</v>
      </c>
      <c r="BM1009" s="52" t="str">
        <f>IF(AD1009="Home",BI1009,IF(AD1009="Away",BJ1009,Q1009))</f>
        <v>Liverpool</v>
      </c>
      <c r="BN1009" s="46"/>
      <c r="BO1009" s="46"/>
      <c r="BP1009" s="46"/>
      <c r="BQ1009" s="46"/>
      <c r="BR1009" s="46"/>
      <c r="BS1009" s="46"/>
      <c r="BT1009" s="46"/>
      <c r="BU1009" s="46"/>
      <c r="BV1009" s="46" t="s">
        <v>376</v>
      </c>
      <c r="BW1009" s="46" t="s">
        <v>376</v>
      </c>
      <c r="BX1009" s="46"/>
      <c r="BZ1009" s="53"/>
      <c r="CA1009" s="53"/>
      <c r="CB1009" s="93" t="str">
        <f>IF(OR(C1009="",A1009="",B1009=""),"",TEXT(C1009,"0000")&amp;TEXT(A1009,"00")&amp;TEXT(B1009,"00"))</f>
        <v>19840207</v>
      </c>
    </row>
    <row r="1010" spans="1:80" s="52" customFormat="1" ht="12.95" customHeight="1" x14ac:dyDescent="0.2">
      <c r="A1010" s="46">
        <v>2</v>
      </c>
      <c r="B1010" s="46">
        <v>14</v>
      </c>
      <c r="C1010" s="46">
        <v>1984</v>
      </c>
      <c r="D1010" s="46" t="s">
        <v>658</v>
      </c>
      <c r="E1010" s="46" t="s">
        <v>535</v>
      </c>
      <c r="F1010" s="54" t="s">
        <v>1327</v>
      </c>
      <c r="G1010" s="46"/>
      <c r="H1010" s="54" t="s">
        <v>1011</v>
      </c>
      <c r="I1010" s="54">
        <v>2</v>
      </c>
      <c r="J1010" s="55">
        <v>30726</v>
      </c>
      <c r="K1010" s="46" t="s">
        <v>1381</v>
      </c>
      <c r="L1010" s="46" t="s">
        <v>4</v>
      </c>
      <c r="M1010" s="46" t="s">
        <v>588</v>
      </c>
      <c r="N1010" s="49">
        <v>0</v>
      </c>
      <c r="O1010" s="49">
        <v>2</v>
      </c>
      <c r="P1010" s="54" t="s">
        <v>1382</v>
      </c>
      <c r="Q1010" s="54" t="s">
        <v>1111</v>
      </c>
      <c r="R1010" s="54" t="s">
        <v>376</v>
      </c>
      <c r="S1010" s="46"/>
      <c r="T1010" s="46"/>
      <c r="U1010" s="46"/>
      <c r="V1010" s="46"/>
      <c r="W1010" s="46"/>
      <c r="X1010" s="46"/>
      <c r="Y1010" s="46"/>
      <c r="Z1010" s="46"/>
      <c r="AA1010" s="46"/>
      <c r="AB1010" s="46"/>
      <c r="AC1010" s="46"/>
      <c r="AD1010" s="46" t="s">
        <v>1033</v>
      </c>
      <c r="AE1010" s="50">
        <f>IF(L1010="W",1,0)</f>
        <v>0</v>
      </c>
      <c r="AF1010" s="50">
        <f>IF(L1010="T",1,0)</f>
        <v>0</v>
      </c>
      <c r="AG1010" s="50">
        <f>IF(L1010="L",1,0)</f>
        <v>1</v>
      </c>
      <c r="AH1010" s="46" t="s">
        <v>1111</v>
      </c>
      <c r="AI1010" s="46" t="s">
        <v>1126</v>
      </c>
      <c r="AJ1010" s="46" t="s">
        <v>376</v>
      </c>
      <c r="AK1010" s="46" t="s">
        <v>658</v>
      </c>
      <c r="AL1010" s="46" t="s">
        <v>588</v>
      </c>
      <c r="AM1010" s="46" t="s">
        <v>1175</v>
      </c>
      <c r="AN1010" s="46" t="s">
        <v>376</v>
      </c>
      <c r="AO1010" s="46" t="s">
        <v>658</v>
      </c>
      <c r="AP1010" s="46"/>
      <c r="AQ1010" s="46">
        <v>2</v>
      </c>
      <c r="AR1010" s="46"/>
      <c r="AS1010" s="46"/>
      <c r="AT1010" s="46"/>
      <c r="AU1010" s="46" t="s">
        <v>376</v>
      </c>
      <c r="AV1010" s="46"/>
      <c r="AW1010" s="46" t="s">
        <v>30</v>
      </c>
      <c r="AX1010" s="46"/>
      <c r="AY1010" s="46"/>
      <c r="AZ1010" s="46" t="s">
        <v>30</v>
      </c>
      <c r="BA1010" s="54"/>
      <c r="BB1010" s="51"/>
      <c r="BC1010" s="46"/>
      <c r="BD1010" s="46"/>
      <c r="BE1010" s="46"/>
      <c r="BF1010" s="46">
        <v>1</v>
      </c>
      <c r="BG1010" s="46">
        <v>3</v>
      </c>
      <c r="BH1010" s="46">
        <v>1</v>
      </c>
      <c r="BI1010" s="46" t="s">
        <v>1381</v>
      </c>
      <c r="BJ1010" s="46" t="s">
        <v>588</v>
      </c>
      <c r="BK1010" s="46">
        <v>1984</v>
      </c>
      <c r="BL1010" s="46" t="str">
        <f>BK1010&amp;BI1010</f>
        <v>1984Walsall</v>
      </c>
      <c r="BM1010" s="52" t="str">
        <f>IF(AD1010="Home",BI1010,IF(AD1010="Away",BJ1010,Q1010))</f>
        <v>Walsall</v>
      </c>
      <c r="BN1010" s="46"/>
      <c r="BO1010" s="46"/>
      <c r="BP1010" s="46"/>
      <c r="BQ1010" s="46"/>
      <c r="BR1010" s="46"/>
      <c r="BS1010" s="46"/>
      <c r="BT1010" s="46"/>
      <c r="BU1010" s="46"/>
      <c r="BV1010" s="46" t="s">
        <v>376</v>
      </c>
      <c r="BW1010" s="46" t="s">
        <v>376</v>
      </c>
      <c r="BX1010" s="46"/>
      <c r="BZ1010" s="53"/>
      <c r="CA1010" s="53"/>
      <c r="CB1010" s="93" t="str">
        <f>IF(OR(C1010="",A1010="",B1010=""),"",TEXT(C1010,"0000")&amp;TEXT(A1010,"00")&amp;TEXT(B1010,"00"))</f>
        <v>19840214</v>
      </c>
    </row>
    <row r="1011" spans="1:80" s="52" customFormat="1" ht="12.95" customHeight="1" x14ac:dyDescent="0.2">
      <c r="A1011" s="46">
        <v>2</v>
      </c>
      <c r="B1011" s="46">
        <v>14</v>
      </c>
      <c r="C1011" s="46">
        <v>1984</v>
      </c>
      <c r="D1011" s="46" t="s">
        <v>658</v>
      </c>
      <c r="E1011" s="46" t="s">
        <v>535</v>
      </c>
      <c r="F1011" s="54" t="s">
        <v>1327</v>
      </c>
      <c r="G1011" s="46"/>
      <c r="H1011" s="54" t="s">
        <v>1011</v>
      </c>
      <c r="I1011" s="54">
        <v>2</v>
      </c>
      <c r="J1011" s="55">
        <v>30726</v>
      </c>
      <c r="K1011" s="46" t="s">
        <v>588</v>
      </c>
      <c r="L1011" s="46" t="s">
        <v>3</v>
      </c>
      <c r="M1011" s="46" t="s">
        <v>1381</v>
      </c>
      <c r="N1011" s="49">
        <v>2</v>
      </c>
      <c r="O1011" s="49">
        <v>0</v>
      </c>
      <c r="P1011" s="54" t="s">
        <v>1382</v>
      </c>
      <c r="Q1011" s="54" t="s">
        <v>1111</v>
      </c>
      <c r="R1011" s="54" t="s">
        <v>376</v>
      </c>
      <c r="S1011" s="46"/>
      <c r="T1011" s="46"/>
      <c r="U1011" s="46"/>
      <c r="V1011" s="46"/>
      <c r="W1011" s="46"/>
      <c r="X1011" s="46"/>
      <c r="Y1011" s="46"/>
      <c r="Z1011" s="46"/>
      <c r="AA1011" s="46"/>
      <c r="AB1011" s="46"/>
      <c r="AC1011" s="46"/>
      <c r="AD1011" s="46" t="s">
        <v>1037</v>
      </c>
      <c r="AE1011" s="50">
        <f>IF(L1011="W",1,0)</f>
        <v>1</v>
      </c>
      <c r="AF1011" s="50">
        <f>IF(L1011="T",1,0)</f>
        <v>0</v>
      </c>
      <c r="AG1011" s="50">
        <f>IF(L1011="L",1,0)</f>
        <v>0</v>
      </c>
      <c r="AH1011" s="46" t="s">
        <v>588</v>
      </c>
      <c r="AI1011" s="46" t="s">
        <v>1175</v>
      </c>
      <c r="AJ1011" s="46" t="s">
        <v>376</v>
      </c>
      <c r="AK1011" s="46" t="s">
        <v>658</v>
      </c>
      <c r="AL1011" s="46" t="s">
        <v>1111</v>
      </c>
      <c r="AM1011" s="46" t="s">
        <v>1126</v>
      </c>
      <c r="AN1011" s="46" t="s">
        <v>376</v>
      </c>
      <c r="AO1011" s="46" t="s">
        <v>658</v>
      </c>
      <c r="AP1011" s="46"/>
      <c r="AQ1011" s="46">
        <v>2</v>
      </c>
      <c r="AR1011" s="46"/>
      <c r="AS1011" s="46"/>
      <c r="AT1011" s="46"/>
      <c r="AU1011" s="46" t="s">
        <v>376</v>
      </c>
      <c r="AV1011" s="46"/>
      <c r="AW1011" s="46" t="s">
        <v>30</v>
      </c>
      <c r="AX1011" s="46"/>
      <c r="AY1011" s="46"/>
      <c r="AZ1011" s="46" t="s">
        <v>30</v>
      </c>
      <c r="BA1011" s="54"/>
      <c r="BB1011" s="51"/>
      <c r="BC1011" s="46"/>
      <c r="BD1011" s="46"/>
      <c r="BE1011" s="46"/>
      <c r="BF1011" s="46">
        <v>1</v>
      </c>
      <c r="BG1011" s="46">
        <v>1</v>
      </c>
      <c r="BH1011" s="46">
        <v>3</v>
      </c>
      <c r="BI1011" s="46" t="s">
        <v>588</v>
      </c>
      <c r="BJ1011" s="46" t="s">
        <v>1381</v>
      </c>
      <c r="BK1011" s="46">
        <v>1984</v>
      </c>
      <c r="BL1011" s="46" t="str">
        <f>BK1011&amp;BI1011</f>
        <v>1984Liverpool</v>
      </c>
      <c r="BM1011" s="52" t="str">
        <f>IF(AD1011="Home",BI1011,IF(AD1011="Away",BJ1011,Q1011))</f>
        <v>Walsall</v>
      </c>
      <c r="BN1011" s="46"/>
      <c r="BO1011" s="46"/>
      <c r="BP1011" s="46"/>
      <c r="BQ1011" s="46"/>
      <c r="BR1011" s="46"/>
      <c r="BS1011" s="46"/>
      <c r="BT1011" s="46"/>
      <c r="BU1011" s="46"/>
      <c r="BV1011" s="46" t="s">
        <v>376</v>
      </c>
      <c r="BW1011" s="46" t="s">
        <v>376</v>
      </c>
      <c r="BX1011" s="46"/>
      <c r="BZ1011" s="53"/>
      <c r="CA1011" s="53"/>
      <c r="CB1011" s="93" t="str">
        <f>IF(OR(C1011="",A1011="",B1011=""),"",TEXT(C1011,"0000")&amp;TEXT(A1011,"00")&amp;TEXT(B1011,"00"))</f>
        <v>19840214</v>
      </c>
    </row>
    <row r="1012" spans="1:80" s="52" customFormat="1" ht="12.95" customHeight="1" x14ac:dyDescent="0.2">
      <c r="A1012" s="46">
        <v>2</v>
      </c>
      <c r="B1012" s="46">
        <v>15</v>
      </c>
      <c r="C1012" s="46">
        <v>1984</v>
      </c>
      <c r="D1012" s="46" t="s">
        <v>658</v>
      </c>
      <c r="E1012" s="46" t="s">
        <v>535</v>
      </c>
      <c r="F1012" s="54" t="s">
        <v>1327</v>
      </c>
      <c r="G1012" s="46"/>
      <c r="H1012" s="54" t="s">
        <v>1011</v>
      </c>
      <c r="I1012" s="54">
        <v>1</v>
      </c>
      <c r="J1012" s="55">
        <v>30727</v>
      </c>
      <c r="K1012" s="46" t="s">
        <v>804</v>
      </c>
      <c r="L1012" s="46" t="s">
        <v>3</v>
      </c>
      <c r="M1012" s="46" t="s">
        <v>806</v>
      </c>
      <c r="N1012" s="49">
        <v>2</v>
      </c>
      <c r="O1012" s="49">
        <v>0</v>
      </c>
      <c r="P1012" s="54" t="s">
        <v>1184</v>
      </c>
      <c r="Q1012" s="54" t="s">
        <v>588</v>
      </c>
      <c r="R1012" s="54" t="s">
        <v>376</v>
      </c>
      <c r="S1012" s="46"/>
      <c r="T1012" s="46"/>
      <c r="U1012" s="46"/>
      <c r="V1012" s="46"/>
      <c r="W1012" s="46"/>
      <c r="X1012" s="46"/>
      <c r="Y1012" s="46"/>
      <c r="Z1012" s="46"/>
      <c r="AA1012" s="46"/>
      <c r="AB1012" s="46"/>
      <c r="AC1012" s="46"/>
      <c r="AD1012" s="46" t="s">
        <v>1033</v>
      </c>
      <c r="AE1012" s="50">
        <f>IF(L1012="W",1,0)</f>
        <v>1</v>
      </c>
      <c r="AF1012" s="50">
        <f>IF(L1012="T",1,0)</f>
        <v>0</v>
      </c>
      <c r="AG1012" s="50">
        <f>IF(L1012="L",1,0)</f>
        <v>0</v>
      </c>
      <c r="AH1012" s="46" t="s">
        <v>588</v>
      </c>
      <c r="AI1012" s="46" t="s">
        <v>1175</v>
      </c>
      <c r="AJ1012" s="46" t="s">
        <v>376</v>
      </c>
      <c r="AK1012" s="46" t="s">
        <v>658</v>
      </c>
      <c r="AL1012" s="46" t="s">
        <v>1111</v>
      </c>
      <c r="AM1012" s="46" t="s">
        <v>1126</v>
      </c>
      <c r="AN1012" s="46" t="s">
        <v>376</v>
      </c>
      <c r="AO1012" s="46" t="s">
        <v>658</v>
      </c>
      <c r="AP1012" s="46"/>
      <c r="AQ1012" s="46">
        <v>2</v>
      </c>
      <c r="AR1012" s="46"/>
      <c r="AS1012" s="46"/>
      <c r="AT1012" s="46"/>
      <c r="AU1012" s="46" t="s">
        <v>376</v>
      </c>
      <c r="AV1012" s="46"/>
      <c r="AW1012" s="46" t="s">
        <v>30</v>
      </c>
      <c r="AX1012" s="46"/>
      <c r="AY1012" s="46"/>
      <c r="AZ1012" s="46" t="s">
        <v>30</v>
      </c>
      <c r="BA1012" s="54"/>
      <c r="BB1012" s="51"/>
      <c r="BC1012" s="46"/>
      <c r="BD1012" s="46"/>
      <c r="BE1012" s="46"/>
      <c r="BF1012" s="46">
        <v>1</v>
      </c>
      <c r="BG1012" s="46">
        <v>1</v>
      </c>
      <c r="BH1012" s="46">
        <v>1</v>
      </c>
      <c r="BI1012" s="46" t="s">
        <v>804</v>
      </c>
      <c r="BJ1012" s="46" t="s">
        <v>806</v>
      </c>
      <c r="BK1012" s="46">
        <v>1984</v>
      </c>
      <c r="BL1012" s="46" t="str">
        <f>BK1012&amp;BI1012</f>
        <v>1984Everton</v>
      </c>
      <c r="BM1012" s="52" t="str">
        <f>IF(AD1012="Home",BI1012,IF(AD1012="Away",BJ1012,Q1012))</f>
        <v>Everton</v>
      </c>
      <c r="BN1012" s="46"/>
      <c r="BO1012" s="46"/>
      <c r="BP1012" s="46"/>
      <c r="BQ1012" s="46"/>
      <c r="BR1012" s="46"/>
      <c r="BS1012" s="46"/>
      <c r="BT1012" s="46"/>
      <c r="BU1012" s="46"/>
      <c r="BV1012" s="46" t="s">
        <v>376</v>
      </c>
      <c r="BW1012" s="46" t="s">
        <v>376</v>
      </c>
      <c r="BX1012" s="46"/>
      <c r="BZ1012" s="53"/>
      <c r="CA1012" s="53"/>
      <c r="CB1012" s="93" t="str">
        <f>IF(OR(C1012="",A1012="",B1012=""),"",TEXT(C1012,"0000")&amp;TEXT(A1012,"00")&amp;TEXT(B1012,"00"))</f>
        <v>19840215</v>
      </c>
    </row>
    <row r="1013" spans="1:80" s="52" customFormat="1" ht="12.95" customHeight="1" x14ac:dyDescent="0.2">
      <c r="A1013" s="46">
        <v>2</v>
      </c>
      <c r="B1013" s="46">
        <v>15</v>
      </c>
      <c r="C1013" s="46">
        <v>1984</v>
      </c>
      <c r="D1013" s="46" t="s">
        <v>658</v>
      </c>
      <c r="E1013" s="46" t="s">
        <v>535</v>
      </c>
      <c r="F1013" s="54" t="s">
        <v>1327</v>
      </c>
      <c r="G1013" s="46"/>
      <c r="H1013" s="54" t="s">
        <v>1011</v>
      </c>
      <c r="I1013" s="54">
        <v>1</v>
      </c>
      <c r="J1013" s="55">
        <v>30727</v>
      </c>
      <c r="K1013" s="46" t="s">
        <v>806</v>
      </c>
      <c r="L1013" s="46" t="s">
        <v>4</v>
      </c>
      <c r="M1013" s="46" t="s">
        <v>804</v>
      </c>
      <c r="N1013" s="49">
        <v>0</v>
      </c>
      <c r="O1013" s="49">
        <v>2</v>
      </c>
      <c r="P1013" s="54" t="s">
        <v>1184</v>
      </c>
      <c r="Q1013" s="54" t="s">
        <v>588</v>
      </c>
      <c r="R1013" s="54" t="s">
        <v>376</v>
      </c>
      <c r="S1013" s="46"/>
      <c r="T1013" s="46"/>
      <c r="U1013" s="46"/>
      <c r="V1013" s="46"/>
      <c r="W1013" s="46"/>
      <c r="X1013" s="46"/>
      <c r="Y1013" s="46"/>
      <c r="Z1013" s="46"/>
      <c r="AA1013" s="46"/>
      <c r="AB1013" s="46"/>
      <c r="AC1013" s="46"/>
      <c r="AD1013" s="46" t="s">
        <v>1037</v>
      </c>
      <c r="AE1013" s="50">
        <f>IF(L1013="W",1,0)</f>
        <v>0</v>
      </c>
      <c r="AF1013" s="50">
        <f>IF(L1013="T",1,0)</f>
        <v>0</v>
      </c>
      <c r="AG1013" s="50">
        <f>IF(L1013="L",1,0)</f>
        <v>1</v>
      </c>
      <c r="AH1013" s="46" t="s">
        <v>1111</v>
      </c>
      <c r="AI1013" s="46" t="s">
        <v>1126</v>
      </c>
      <c r="AJ1013" s="46" t="s">
        <v>376</v>
      </c>
      <c r="AK1013" s="46" t="s">
        <v>658</v>
      </c>
      <c r="AL1013" s="46" t="s">
        <v>588</v>
      </c>
      <c r="AM1013" s="46" t="s">
        <v>1175</v>
      </c>
      <c r="AN1013" s="46" t="s">
        <v>376</v>
      </c>
      <c r="AO1013" s="46" t="s">
        <v>658</v>
      </c>
      <c r="AP1013" s="46"/>
      <c r="AQ1013" s="46">
        <v>2</v>
      </c>
      <c r="AR1013" s="46"/>
      <c r="AS1013" s="46"/>
      <c r="AT1013" s="46"/>
      <c r="AU1013" s="46" t="s">
        <v>376</v>
      </c>
      <c r="AV1013" s="46"/>
      <c r="AW1013" s="46" t="s">
        <v>30</v>
      </c>
      <c r="AX1013" s="46"/>
      <c r="AY1013" s="46"/>
      <c r="AZ1013" s="46" t="s">
        <v>30</v>
      </c>
      <c r="BA1013" s="54"/>
      <c r="BB1013" s="51"/>
      <c r="BC1013" s="46"/>
      <c r="BD1013" s="46"/>
      <c r="BE1013" s="46"/>
      <c r="BF1013" s="46">
        <v>1</v>
      </c>
      <c r="BG1013" s="46">
        <v>1</v>
      </c>
      <c r="BH1013" s="46">
        <v>1</v>
      </c>
      <c r="BI1013" s="46" t="s">
        <v>806</v>
      </c>
      <c r="BJ1013" s="46" t="s">
        <v>804</v>
      </c>
      <c r="BK1013" s="46">
        <v>1984</v>
      </c>
      <c r="BL1013" s="46" t="str">
        <f>BK1013&amp;BI1013</f>
        <v>1984Aston Villa</v>
      </c>
      <c r="BM1013" s="52" t="str">
        <f>IF(AD1013="Home",BI1013,IF(AD1013="Away",BJ1013,Q1013))</f>
        <v>Everton</v>
      </c>
      <c r="BN1013" s="46"/>
      <c r="BO1013" s="46"/>
      <c r="BP1013" s="46"/>
      <c r="BQ1013" s="46"/>
      <c r="BR1013" s="46"/>
      <c r="BS1013" s="46"/>
      <c r="BT1013" s="46"/>
      <c r="BU1013" s="46"/>
      <c r="BV1013" s="46" t="s">
        <v>376</v>
      </c>
      <c r="BW1013" s="46" t="s">
        <v>376</v>
      </c>
      <c r="BX1013" s="46"/>
      <c r="BZ1013" s="53"/>
      <c r="CA1013" s="53"/>
      <c r="CB1013" s="93" t="str">
        <f>IF(OR(C1013="",A1013="",B1013=""),"",TEXT(C1013,"0000")&amp;TEXT(A1013,"00")&amp;TEXT(B1013,"00"))</f>
        <v>19840215</v>
      </c>
    </row>
    <row r="1014" spans="1:80" s="52" customFormat="1" ht="12.95" customHeight="1" x14ac:dyDescent="0.2">
      <c r="A1014" s="46">
        <v>2</v>
      </c>
      <c r="B1014" s="46">
        <v>22</v>
      </c>
      <c r="C1014" s="46">
        <v>1984</v>
      </c>
      <c r="D1014" s="46" t="s">
        <v>658</v>
      </c>
      <c r="E1014" s="46" t="s">
        <v>535</v>
      </c>
      <c r="F1014" s="54" t="s">
        <v>1327</v>
      </c>
      <c r="G1014" s="46"/>
      <c r="H1014" s="54" t="s">
        <v>1011</v>
      </c>
      <c r="I1014" s="54">
        <v>2</v>
      </c>
      <c r="J1014" s="55">
        <v>30734</v>
      </c>
      <c r="K1014" s="46" t="s">
        <v>806</v>
      </c>
      <c r="L1014" s="46" t="s">
        <v>3</v>
      </c>
      <c r="M1014" s="46" t="s">
        <v>804</v>
      </c>
      <c r="N1014" s="49">
        <v>1</v>
      </c>
      <c r="O1014" s="49">
        <v>0</v>
      </c>
      <c r="P1014" s="54" t="s">
        <v>1219</v>
      </c>
      <c r="Q1014" s="54" t="s">
        <v>1111</v>
      </c>
      <c r="R1014" s="54" t="s">
        <v>376</v>
      </c>
      <c r="S1014" s="46"/>
      <c r="T1014" s="46"/>
      <c r="U1014" s="46"/>
      <c r="V1014" s="46"/>
      <c r="W1014" s="46"/>
      <c r="X1014" s="46"/>
      <c r="Y1014" s="46"/>
      <c r="Z1014" s="46"/>
      <c r="AA1014" s="46"/>
      <c r="AB1014" s="46"/>
      <c r="AC1014" s="46"/>
      <c r="AD1014" s="46" t="s">
        <v>1033</v>
      </c>
      <c r="AE1014" s="50">
        <f>IF(L1014="W",1,0)</f>
        <v>1</v>
      </c>
      <c r="AF1014" s="50">
        <f>IF(L1014="T",1,0)</f>
        <v>0</v>
      </c>
      <c r="AG1014" s="50">
        <f>IF(L1014="L",1,0)</f>
        <v>0</v>
      </c>
      <c r="AH1014" s="46" t="s">
        <v>1111</v>
      </c>
      <c r="AI1014" s="46" t="s">
        <v>1126</v>
      </c>
      <c r="AJ1014" s="46" t="s">
        <v>376</v>
      </c>
      <c r="AK1014" s="46" t="s">
        <v>658</v>
      </c>
      <c r="AL1014" s="46" t="s">
        <v>588</v>
      </c>
      <c r="AM1014" s="46" t="s">
        <v>1175</v>
      </c>
      <c r="AN1014" s="46" t="s">
        <v>376</v>
      </c>
      <c r="AO1014" s="46" t="s">
        <v>658</v>
      </c>
      <c r="AP1014" s="46"/>
      <c r="AQ1014" s="46">
        <v>2</v>
      </c>
      <c r="AR1014" s="46"/>
      <c r="AS1014" s="46"/>
      <c r="AT1014" s="46"/>
      <c r="AU1014" s="46" t="s">
        <v>376</v>
      </c>
      <c r="AV1014" s="46"/>
      <c r="AW1014" s="46" t="s">
        <v>30</v>
      </c>
      <c r="AX1014" s="46"/>
      <c r="AY1014" s="46"/>
      <c r="AZ1014" s="46" t="s">
        <v>30</v>
      </c>
      <c r="BA1014" s="54"/>
      <c r="BB1014" s="51"/>
      <c r="BC1014" s="46"/>
      <c r="BD1014" s="46"/>
      <c r="BE1014" s="46"/>
      <c r="BF1014" s="46">
        <v>1</v>
      </c>
      <c r="BG1014" s="46">
        <v>1</v>
      </c>
      <c r="BH1014" s="46">
        <v>1</v>
      </c>
      <c r="BI1014" s="46" t="s">
        <v>806</v>
      </c>
      <c r="BJ1014" s="46" t="s">
        <v>804</v>
      </c>
      <c r="BK1014" s="46">
        <v>1984</v>
      </c>
      <c r="BL1014" s="46" t="str">
        <f>BK1014&amp;BI1014</f>
        <v>1984Aston Villa</v>
      </c>
      <c r="BM1014" s="52" t="str">
        <f>IF(AD1014="Home",BI1014,IF(AD1014="Away",BJ1014,Q1014))</f>
        <v>Aston Villa</v>
      </c>
      <c r="BN1014" s="46"/>
      <c r="BO1014" s="46"/>
      <c r="BP1014" s="46"/>
      <c r="BQ1014" s="46"/>
      <c r="BR1014" s="46"/>
      <c r="BS1014" s="46"/>
      <c r="BT1014" s="46"/>
      <c r="BU1014" s="46"/>
      <c r="BV1014" s="46" t="s">
        <v>376</v>
      </c>
      <c r="BW1014" s="46" t="s">
        <v>376</v>
      </c>
      <c r="BX1014" s="46"/>
      <c r="BZ1014" s="53"/>
      <c r="CA1014" s="53"/>
      <c r="CB1014" s="93" t="str">
        <f>IF(OR(C1014="",A1014="",B1014=""),"",TEXT(C1014,"0000")&amp;TEXT(A1014,"00")&amp;TEXT(B1014,"00"))</f>
        <v>19840222</v>
      </c>
    </row>
    <row r="1015" spans="1:80" s="52" customFormat="1" ht="12.95" customHeight="1" x14ac:dyDescent="0.2">
      <c r="A1015" s="46">
        <v>2</v>
      </c>
      <c r="B1015" s="46">
        <v>22</v>
      </c>
      <c r="C1015" s="46">
        <v>1984</v>
      </c>
      <c r="D1015" s="46" t="s">
        <v>658</v>
      </c>
      <c r="E1015" s="46" t="s">
        <v>535</v>
      </c>
      <c r="F1015" s="54" t="s">
        <v>1327</v>
      </c>
      <c r="G1015" s="46"/>
      <c r="H1015" s="54" t="s">
        <v>1011</v>
      </c>
      <c r="I1015" s="54">
        <v>2</v>
      </c>
      <c r="J1015" s="55">
        <v>30734</v>
      </c>
      <c r="K1015" s="46" t="s">
        <v>804</v>
      </c>
      <c r="L1015" s="46" t="s">
        <v>4</v>
      </c>
      <c r="M1015" s="46" t="s">
        <v>806</v>
      </c>
      <c r="N1015" s="49">
        <v>0</v>
      </c>
      <c r="O1015" s="49">
        <v>1</v>
      </c>
      <c r="P1015" s="54" t="s">
        <v>1219</v>
      </c>
      <c r="Q1015" s="54" t="s">
        <v>1111</v>
      </c>
      <c r="R1015" s="54" t="s">
        <v>376</v>
      </c>
      <c r="S1015" s="46"/>
      <c r="T1015" s="46"/>
      <c r="U1015" s="46"/>
      <c r="V1015" s="46"/>
      <c r="W1015" s="46"/>
      <c r="X1015" s="46"/>
      <c r="Y1015" s="46"/>
      <c r="Z1015" s="46"/>
      <c r="AA1015" s="46"/>
      <c r="AB1015" s="46"/>
      <c r="AC1015" s="46"/>
      <c r="AD1015" s="46" t="s">
        <v>1037</v>
      </c>
      <c r="AE1015" s="50">
        <f>IF(L1015="W",1,0)</f>
        <v>0</v>
      </c>
      <c r="AF1015" s="50">
        <f>IF(L1015="T",1,0)</f>
        <v>0</v>
      </c>
      <c r="AG1015" s="50">
        <f>IF(L1015="L",1,0)</f>
        <v>1</v>
      </c>
      <c r="AH1015" s="46" t="s">
        <v>588</v>
      </c>
      <c r="AI1015" s="46" t="s">
        <v>1175</v>
      </c>
      <c r="AJ1015" s="46" t="s">
        <v>376</v>
      </c>
      <c r="AK1015" s="46" t="s">
        <v>658</v>
      </c>
      <c r="AL1015" s="46" t="s">
        <v>1111</v>
      </c>
      <c r="AM1015" s="46" t="s">
        <v>1126</v>
      </c>
      <c r="AN1015" s="46" t="s">
        <v>376</v>
      </c>
      <c r="AO1015" s="46" t="s">
        <v>658</v>
      </c>
      <c r="AP1015" s="46"/>
      <c r="AQ1015" s="46">
        <v>2</v>
      </c>
      <c r="AR1015" s="46"/>
      <c r="AS1015" s="46"/>
      <c r="AT1015" s="46"/>
      <c r="AU1015" s="46" t="s">
        <v>376</v>
      </c>
      <c r="AV1015" s="46"/>
      <c r="AW1015" s="46" t="s">
        <v>30</v>
      </c>
      <c r="AX1015" s="46"/>
      <c r="AY1015" s="46"/>
      <c r="AZ1015" s="46" t="s">
        <v>30</v>
      </c>
      <c r="BA1015" s="54"/>
      <c r="BB1015" s="51"/>
      <c r="BC1015" s="46"/>
      <c r="BD1015" s="46"/>
      <c r="BE1015" s="46"/>
      <c r="BF1015" s="46">
        <v>1</v>
      </c>
      <c r="BG1015" s="46">
        <v>1</v>
      </c>
      <c r="BH1015" s="46">
        <v>1</v>
      </c>
      <c r="BI1015" s="46" t="s">
        <v>804</v>
      </c>
      <c r="BJ1015" s="46" t="s">
        <v>806</v>
      </c>
      <c r="BK1015" s="46">
        <v>1984</v>
      </c>
      <c r="BL1015" s="46" t="str">
        <f>BK1015&amp;BI1015</f>
        <v>1984Everton</v>
      </c>
      <c r="BM1015" s="52" t="str">
        <f>IF(AD1015="Home",BI1015,IF(AD1015="Away",BJ1015,Q1015))</f>
        <v>Aston Villa</v>
      </c>
      <c r="BN1015" s="46"/>
      <c r="BO1015" s="46"/>
      <c r="BP1015" s="46"/>
      <c r="BQ1015" s="46"/>
      <c r="BR1015" s="46"/>
      <c r="BS1015" s="46"/>
      <c r="BT1015" s="46"/>
      <c r="BU1015" s="46"/>
      <c r="BV1015" s="46" t="s">
        <v>376</v>
      </c>
      <c r="BW1015" s="46" t="s">
        <v>376</v>
      </c>
      <c r="BX1015" s="46"/>
      <c r="BZ1015" s="53"/>
      <c r="CA1015" s="53"/>
      <c r="CB1015" s="93" t="str">
        <f>IF(OR(C1015="",A1015="",B1015=""),"",TEXT(C1015,"0000")&amp;TEXT(A1015,"00")&amp;TEXT(B1015,"00"))</f>
        <v>19840222</v>
      </c>
    </row>
    <row r="1016" spans="1:80" s="52" customFormat="1" ht="12.95" customHeight="1" x14ac:dyDescent="0.2">
      <c r="A1016" s="46">
        <v>3</v>
      </c>
      <c r="B1016" s="46">
        <v>25</v>
      </c>
      <c r="C1016" s="46">
        <v>1984</v>
      </c>
      <c r="D1016" s="46" t="s">
        <v>658</v>
      </c>
      <c r="E1016" s="46" t="s">
        <v>535</v>
      </c>
      <c r="F1016" s="54" t="s">
        <v>1327</v>
      </c>
      <c r="G1016" s="46"/>
      <c r="H1016" s="54" t="s">
        <v>40</v>
      </c>
      <c r="I1016" s="54"/>
      <c r="J1016" s="55">
        <v>30766</v>
      </c>
      <c r="K1016" s="46" t="s">
        <v>588</v>
      </c>
      <c r="L1016" s="46" t="s">
        <v>1014</v>
      </c>
      <c r="M1016" s="46" t="s">
        <v>804</v>
      </c>
      <c r="N1016" s="49">
        <v>0</v>
      </c>
      <c r="O1016" s="49">
        <v>0</v>
      </c>
      <c r="P1016" s="54" t="s">
        <v>1268</v>
      </c>
      <c r="Q1016" s="54" t="s">
        <v>1017</v>
      </c>
      <c r="R1016" s="54" t="s">
        <v>376</v>
      </c>
      <c r="S1016" s="46" t="s">
        <v>1023</v>
      </c>
      <c r="T1016" s="46"/>
      <c r="U1016" s="46"/>
      <c r="V1016" s="46"/>
      <c r="W1016" s="46"/>
      <c r="X1016" s="46"/>
      <c r="Y1016" s="46"/>
      <c r="Z1016" s="46"/>
      <c r="AA1016" s="46"/>
      <c r="AB1016" s="46"/>
      <c r="AC1016" s="46"/>
      <c r="AD1016" s="46"/>
      <c r="AE1016" s="50">
        <f>IF(L1016="W",1,0)</f>
        <v>0</v>
      </c>
      <c r="AF1016" s="50">
        <f>IF(L1016="T",1,0)</f>
        <v>1</v>
      </c>
      <c r="AG1016" s="50">
        <f>IF(L1016="L",1,0)</f>
        <v>0</v>
      </c>
      <c r="AH1016" s="46" t="s">
        <v>588</v>
      </c>
      <c r="AI1016" s="46" t="s">
        <v>1175</v>
      </c>
      <c r="AJ1016" s="46" t="s">
        <v>376</v>
      </c>
      <c r="AK1016" s="46" t="s">
        <v>658</v>
      </c>
      <c r="AL1016" s="46" t="s">
        <v>588</v>
      </c>
      <c r="AM1016" s="46" t="s">
        <v>1175</v>
      </c>
      <c r="AN1016" s="46" t="s">
        <v>376</v>
      </c>
      <c r="AO1016" s="46" t="s">
        <v>658</v>
      </c>
      <c r="AP1016" s="46"/>
      <c r="AQ1016" s="46">
        <v>1</v>
      </c>
      <c r="AR1016" s="46"/>
      <c r="AS1016" s="46"/>
      <c r="AT1016" s="46" t="s">
        <v>1229</v>
      </c>
      <c r="AU1016" s="46" t="s">
        <v>376</v>
      </c>
      <c r="AV1016" s="46"/>
      <c r="AW1016" s="46" t="s">
        <v>30</v>
      </c>
      <c r="AX1016" s="46"/>
      <c r="AY1016" s="46"/>
      <c r="AZ1016" s="46" t="s">
        <v>30</v>
      </c>
      <c r="BA1016" s="54"/>
      <c r="BB1016" s="51"/>
      <c r="BC1016" s="46" t="s">
        <v>30</v>
      </c>
      <c r="BD1016" s="46"/>
      <c r="BE1016" s="46"/>
      <c r="BF1016" s="46">
        <v>1</v>
      </c>
      <c r="BG1016" s="46">
        <v>1</v>
      </c>
      <c r="BH1016" s="46">
        <v>1</v>
      </c>
      <c r="BI1016" s="46" t="s">
        <v>588</v>
      </c>
      <c r="BJ1016" s="46" t="s">
        <v>804</v>
      </c>
      <c r="BK1016" s="46">
        <v>1984</v>
      </c>
      <c r="BL1016" s="46" t="str">
        <f>BK1016&amp;BI1016</f>
        <v>1984Liverpool</v>
      </c>
      <c r="BM1016" s="52" t="str">
        <f>IF(AD1016="Home",BI1016,IF(AD1016="Away",BJ1016,Q1016))</f>
        <v>London</v>
      </c>
      <c r="BN1016" s="46"/>
      <c r="BO1016" s="46"/>
      <c r="BP1016" s="46"/>
      <c r="BQ1016" s="46"/>
      <c r="BR1016" s="46"/>
      <c r="BS1016" s="46"/>
      <c r="BT1016" s="46"/>
      <c r="BU1016" s="46"/>
      <c r="BV1016" s="46" t="s">
        <v>376</v>
      </c>
      <c r="BW1016" s="46" t="s">
        <v>376</v>
      </c>
      <c r="BX1016" s="46"/>
      <c r="BZ1016" s="53"/>
      <c r="CA1016" s="53"/>
      <c r="CB1016" s="93" t="str">
        <f>IF(OR(C1016="",A1016="",B1016=""),"",TEXT(C1016,"0000")&amp;TEXT(A1016,"00")&amp;TEXT(B1016,"00"))</f>
        <v>19840325</v>
      </c>
    </row>
    <row r="1017" spans="1:80" s="52" customFormat="1" ht="12.95" customHeight="1" x14ac:dyDescent="0.2">
      <c r="A1017" s="46">
        <v>3</v>
      </c>
      <c r="B1017" s="46">
        <v>25</v>
      </c>
      <c r="C1017" s="46">
        <v>1984</v>
      </c>
      <c r="D1017" s="46" t="s">
        <v>658</v>
      </c>
      <c r="E1017" s="46" t="s">
        <v>535</v>
      </c>
      <c r="F1017" s="54" t="s">
        <v>1327</v>
      </c>
      <c r="G1017" s="46"/>
      <c r="H1017" s="54" t="s">
        <v>40</v>
      </c>
      <c r="I1017" s="54"/>
      <c r="J1017" s="55">
        <v>30766</v>
      </c>
      <c r="K1017" s="46" t="s">
        <v>804</v>
      </c>
      <c r="L1017" s="46" t="s">
        <v>1014</v>
      </c>
      <c r="M1017" s="46" t="s">
        <v>588</v>
      </c>
      <c r="N1017" s="49">
        <v>0</v>
      </c>
      <c r="O1017" s="49">
        <v>0</v>
      </c>
      <c r="P1017" s="54" t="s">
        <v>1268</v>
      </c>
      <c r="Q1017" s="54" t="s">
        <v>1017</v>
      </c>
      <c r="R1017" s="54" t="s">
        <v>376</v>
      </c>
      <c r="S1017" s="46" t="s">
        <v>1023</v>
      </c>
      <c r="T1017" s="46"/>
      <c r="U1017" s="46"/>
      <c r="V1017" s="46"/>
      <c r="W1017" s="46"/>
      <c r="X1017" s="46"/>
      <c r="Y1017" s="46"/>
      <c r="Z1017" s="46"/>
      <c r="AA1017" s="46"/>
      <c r="AB1017" s="46"/>
      <c r="AC1017" s="46"/>
      <c r="AD1017" s="46"/>
      <c r="AE1017" s="50">
        <f>IF(L1017="W",1,0)</f>
        <v>0</v>
      </c>
      <c r="AF1017" s="50">
        <f>IF(L1017="T",1,0)</f>
        <v>1</v>
      </c>
      <c r="AG1017" s="50">
        <f>IF(L1017="L",1,0)</f>
        <v>0</v>
      </c>
      <c r="AH1017" s="46" t="s">
        <v>588</v>
      </c>
      <c r="AI1017" s="46" t="s">
        <v>1175</v>
      </c>
      <c r="AJ1017" s="46" t="s">
        <v>376</v>
      </c>
      <c r="AK1017" s="46" t="s">
        <v>658</v>
      </c>
      <c r="AL1017" s="46" t="s">
        <v>588</v>
      </c>
      <c r="AM1017" s="46" t="s">
        <v>1175</v>
      </c>
      <c r="AN1017" s="46" t="s">
        <v>376</v>
      </c>
      <c r="AO1017" s="46" t="s">
        <v>658</v>
      </c>
      <c r="AP1017" s="46"/>
      <c r="AQ1017" s="46">
        <v>1</v>
      </c>
      <c r="AR1017" s="46"/>
      <c r="AS1017" s="46"/>
      <c r="AT1017" s="46" t="s">
        <v>1229</v>
      </c>
      <c r="AU1017" s="46" t="s">
        <v>376</v>
      </c>
      <c r="AV1017" s="46"/>
      <c r="AW1017" s="46" t="s">
        <v>30</v>
      </c>
      <c r="AX1017" s="46"/>
      <c r="AY1017" s="46"/>
      <c r="AZ1017" s="46" t="s">
        <v>30</v>
      </c>
      <c r="BA1017" s="54"/>
      <c r="BB1017" s="51"/>
      <c r="BC1017" s="46" t="s">
        <v>30</v>
      </c>
      <c r="BD1017" s="46"/>
      <c r="BE1017" s="46"/>
      <c r="BF1017" s="46">
        <v>1</v>
      </c>
      <c r="BG1017" s="46">
        <v>1</v>
      </c>
      <c r="BH1017" s="46">
        <v>1</v>
      </c>
      <c r="BI1017" s="46" t="s">
        <v>804</v>
      </c>
      <c r="BJ1017" s="46" t="s">
        <v>588</v>
      </c>
      <c r="BK1017" s="46">
        <v>1984</v>
      </c>
      <c r="BL1017" s="46" t="str">
        <f>BK1017&amp;BI1017</f>
        <v>1984Everton</v>
      </c>
      <c r="BM1017" s="52" t="str">
        <f>IF(AD1017="Home",BI1017,IF(AD1017="Away",BJ1017,Q1017))</f>
        <v>London</v>
      </c>
      <c r="BN1017" s="46"/>
      <c r="BO1017" s="46"/>
      <c r="BP1017" s="46"/>
      <c r="BQ1017" s="46"/>
      <c r="BR1017" s="46"/>
      <c r="BS1017" s="46"/>
      <c r="BT1017" s="46"/>
      <c r="BU1017" s="46"/>
      <c r="BV1017" s="46" t="s">
        <v>376</v>
      </c>
      <c r="BW1017" s="46" t="s">
        <v>376</v>
      </c>
      <c r="BX1017" s="46"/>
      <c r="BZ1017" s="53"/>
      <c r="CA1017" s="53"/>
      <c r="CB1017" s="93" t="str">
        <f>IF(OR(C1017="",A1017="",B1017=""),"",TEXT(C1017,"0000")&amp;TEXT(A1017,"00")&amp;TEXT(B1017,"00"))</f>
        <v>19840325</v>
      </c>
    </row>
    <row r="1018" spans="1:80" s="52" customFormat="1" ht="12.95" customHeight="1" x14ac:dyDescent="0.2">
      <c r="A1018" s="46">
        <v>3</v>
      </c>
      <c r="B1018" s="46">
        <v>28</v>
      </c>
      <c r="C1018" s="46">
        <v>1984</v>
      </c>
      <c r="D1018" s="46" t="s">
        <v>658</v>
      </c>
      <c r="E1018" s="46" t="s">
        <v>535</v>
      </c>
      <c r="F1018" s="54" t="s">
        <v>1327</v>
      </c>
      <c r="G1018" s="46"/>
      <c r="H1018" s="54" t="s">
        <v>40</v>
      </c>
      <c r="I1018" s="54" t="s">
        <v>1023</v>
      </c>
      <c r="J1018" s="55">
        <v>30769</v>
      </c>
      <c r="K1018" s="46" t="s">
        <v>588</v>
      </c>
      <c r="L1018" s="46" t="s">
        <v>3</v>
      </c>
      <c r="M1018" s="46" t="s">
        <v>804</v>
      </c>
      <c r="N1018" s="49">
        <v>1</v>
      </c>
      <c r="O1018" s="49">
        <v>0</v>
      </c>
      <c r="P1018" s="54" t="s">
        <v>1226</v>
      </c>
      <c r="Q1018" s="54" t="s">
        <v>1101</v>
      </c>
      <c r="R1018" s="54" t="s">
        <v>376</v>
      </c>
      <c r="S1018" s="46"/>
      <c r="T1018" s="46"/>
      <c r="U1018" s="46"/>
      <c r="V1018" s="46"/>
      <c r="W1018" s="46"/>
      <c r="X1018" s="46"/>
      <c r="Y1018" s="46"/>
      <c r="Z1018" s="46"/>
      <c r="AA1018" s="46"/>
      <c r="AB1018" s="46"/>
      <c r="AC1018" s="46"/>
      <c r="AD1018" s="46"/>
      <c r="AE1018" s="50">
        <f>IF(L1018="W",1,0)</f>
        <v>1</v>
      </c>
      <c r="AF1018" s="50">
        <f>IF(L1018="T",1,0)</f>
        <v>0</v>
      </c>
      <c r="AG1018" s="50">
        <f>IF(L1018="L",1,0)</f>
        <v>0</v>
      </c>
      <c r="AH1018" s="46" t="s">
        <v>588</v>
      </c>
      <c r="AI1018" s="46" t="s">
        <v>1175</v>
      </c>
      <c r="AJ1018" s="46" t="s">
        <v>376</v>
      </c>
      <c r="AK1018" s="46" t="s">
        <v>658</v>
      </c>
      <c r="AL1018" s="46" t="s">
        <v>588</v>
      </c>
      <c r="AM1018" s="46" t="s">
        <v>1175</v>
      </c>
      <c r="AN1018" s="46" t="s">
        <v>376</v>
      </c>
      <c r="AO1018" s="46" t="s">
        <v>658</v>
      </c>
      <c r="AP1018" s="46"/>
      <c r="AQ1018" s="46">
        <v>1</v>
      </c>
      <c r="AR1018" s="46"/>
      <c r="AS1018" s="46"/>
      <c r="AT1018" s="46" t="s">
        <v>1229</v>
      </c>
      <c r="AU1018" s="46" t="s">
        <v>376</v>
      </c>
      <c r="AV1018" s="46"/>
      <c r="AW1018" s="46" t="s">
        <v>30</v>
      </c>
      <c r="AX1018" s="46"/>
      <c r="AY1018" s="46"/>
      <c r="AZ1018" s="46" t="s">
        <v>30</v>
      </c>
      <c r="BA1018" s="54"/>
      <c r="BB1018" s="51" t="s">
        <v>30</v>
      </c>
      <c r="BC1018" s="46" t="s">
        <v>30</v>
      </c>
      <c r="BD1018" s="46"/>
      <c r="BE1018" s="46"/>
      <c r="BF1018" s="46">
        <v>1</v>
      </c>
      <c r="BG1018" s="46">
        <v>1</v>
      </c>
      <c r="BH1018" s="46">
        <v>1</v>
      </c>
      <c r="BI1018" s="46" t="s">
        <v>588</v>
      </c>
      <c r="BJ1018" s="46" t="s">
        <v>804</v>
      </c>
      <c r="BK1018" s="46">
        <v>1984</v>
      </c>
      <c r="BL1018" s="46" t="str">
        <f>BK1018&amp;BI1018</f>
        <v>1984Liverpool</v>
      </c>
      <c r="BM1018" s="52" t="str">
        <f>IF(AD1018="Home",BI1018,IF(AD1018="Away",BJ1018,Q1018))</f>
        <v>Manchester</v>
      </c>
      <c r="BN1018" s="46"/>
      <c r="BO1018" s="46"/>
      <c r="BP1018" s="46"/>
      <c r="BQ1018" s="46"/>
      <c r="BR1018" s="46"/>
      <c r="BS1018" s="46"/>
      <c r="BT1018" s="46"/>
      <c r="BU1018" s="46"/>
      <c r="BV1018" s="46" t="s">
        <v>376</v>
      </c>
      <c r="BW1018" s="46" t="s">
        <v>376</v>
      </c>
      <c r="BX1018" s="46"/>
      <c r="BZ1018" s="53"/>
      <c r="CA1018" s="53"/>
      <c r="CB1018" s="93" t="str">
        <f>IF(OR(C1018="",A1018="",B1018=""),"",TEXT(C1018,"0000")&amp;TEXT(A1018,"00")&amp;TEXT(B1018,"00"))</f>
        <v>19840328</v>
      </c>
    </row>
    <row r="1019" spans="1:80" s="52" customFormat="1" ht="12.95" customHeight="1" x14ac:dyDescent="0.2">
      <c r="A1019" s="46">
        <v>3</v>
      </c>
      <c r="B1019" s="46">
        <v>28</v>
      </c>
      <c r="C1019" s="46">
        <v>1984</v>
      </c>
      <c r="D1019" s="46" t="s">
        <v>658</v>
      </c>
      <c r="E1019" s="46" t="s">
        <v>535</v>
      </c>
      <c r="F1019" s="54" t="s">
        <v>1327</v>
      </c>
      <c r="G1019" s="46"/>
      <c r="H1019" s="54" t="s">
        <v>40</v>
      </c>
      <c r="I1019" s="54" t="s">
        <v>1023</v>
      </c>
      <c r="J1019" s="55">
        <v>30769</v>
      </c>
      <c r="K1019" s="46" t="s">
        <v>804</v>
      </c>
      <c r="L1019" s="46" t="s">
        <v>4</v>
      </c>
      <c r="M1019" s="46" t="s">
        <v>588</v>
      </c>
      <c r="N1019" s="49">
        <v>0</v>
      </c>
      <c r="O1019" s="49">
        <v>1</v>
      </c>
      <c r="P1019" s="54" t="s">
        <v>1226</v>
      </c>
      <c r="Q1019" s="54" t="s">
        <v>1101</v>
      </c>
      <c r="R1019" s="54" t="s">
        <v>376</v>
      </c>
      <c r="S1019" s="46"/>
      <c r="T1019" s="46"/>
      <c r="U1019" s="46"/>
      <c r="V1019" s="46"/>
      <c r="W1019" s="46"/>
      <c r="X1019" s="46"/>
      <c r="Y1019" s="46"/>
      <c r="Z1019" s="46"/>
      <c r="AA1019" s="46"/>
      <c r="AB1019" s="46"/>
      <c r="AC1019" s="46"/>
      <c r="AD1019" s="46"/>
      <c r="AE1019" s="50">
        <f>IF(L1019="W",1,0)</f>
        <v>0</v>
      </c>
      <c r="AF1019" s="50">
        <f>IF(L1019="T",1,0)</f>
        <v>0</v>
      </c>
      <c r="AG1019" s="50">
        <f>IF(L1019="L",1,0)</f>
        <v>1</v>
      </c>
      <c r="AH1019" s="46" t="s">
        <v>588</v>
      </c>
      <c r="AI1019" s="46" t="s">
        <v>1175</v>
      </c>
      <c r="AJ1019" s="46" t="s">
        <v>376</v>
      </c>
      <c r="AK1019" s="46" t="s">
        <v>658</v>
      </c>
      <c r="AL1019" s="46" t="s">
        <v>588</v>
      </c>
      <c r="AM1019" s="46" t="s">
        <v>1175</v>
      </c>
      <c r="AN1019" s="46" t="s">
        <v>376</v>
      </c>
      <c r="AO1019" s="46" t="s">
        <v>658</v>
      </c>
      <c r="AP1019" s="46"/>
      <c r="AQ1019" s="46">
        <v>1</v>
      </c>
      <c r="AR1019" s="46"/>
      <c r="AS1019" s="46"/>
      <c r="AT1019" s="46" t="s">
        <v>1229</v>
      </c>
      <c r="AU1019" s="46" t="s">
        <v>376</v>
      </c>
      <c r="AV1019" s="46"/>
      <c r="AW1019" s="46" t="s">
        <v>30</v>
      </c>
      <c r="AX1019" s="46"/>
      <c r="AY1019" s="46"/>
      <c r="AZ1019" s="46" t="s">
        <v>30</v>
      </c>
      <c r="BA1019" s="54"/>
      <c r="BB1019" s="51"/>
      <c r="BC1019" s="46" t="s">
        <v>30</v>
      </c>
      <c r="BD1019" s="46"/>
      <c r="BE1019" s="46"/>
      <c r="BF1019" s="46">
        <v>1</v>
      </c>
      <c r="BG1019" s="46">
        <v>1</v>
      </c>
      <c r="BH1019" s="46">
        <v>1</v>
      </c>
      <c r="BI1019" s="46" t="s">
        <v>804</v>
      </c>
      <c r="BJ1019" s="46" t="s">
        <v>588</v>
      </c>
      <c r="BK1019" s="46">
        <v>1984</v>
      </c>
      <c r="BL1019" s="46" t="str">
        <f>BK1019&amp;BI1019</f>
        <v>1984Everton</v>
      </c>
      <c r="BM1019" s="52" t="str">
        <f>IF(AD1019="Home",BI1019,IF(AD1019="Away",BJ1019,Q1019))</f>
        <v>Manchester</v>
      </c>
      <c r="BN1019" s="46"/>
      <c r="BO1019" s="46"/>
      <c r="BP1019" s="46"/>
      <c r="BQ1019" s="46"/>
      <c r="BR1019" s="46"/>
      <c r="BS1019" s="46"/>
      <c r="BT1019" s="46"/>
      <c r="BU1019" s="46"/>
      <c r="BV1019" s="46" t="s">
        <v>376</v>
      </c>
      <c r="BW1019" s="46" t="s">
        <v>376</v>
      </c>
      <c r="BX1019" s="46"/>
      <c r="BZ1019" s="53"/>
      <c r="CA1019" s="53"/>
      <c r="CB1019" s="93" t="str">
        <f>IF(OR(C1019="",A1019="",B1019=""),"",TEXT(C1019,"0000")&amp;TEXT(A1019,"00")&amp;TEXT(B1019,"00"))</f>
        <v>19840328</v>
      </c>
    </row>
    <row r="1020" spans="1:80" s="52" customFormat="1" ht="12.95" customHeight="1" x14ac:dyDescent="0.2">
      <c r="A1020" s="46">
        <v>4</v>
      </c>
      <c r="B1020" s="46">
        <v>14</v>
      </c>
      <c r="C1020" s="46">
        <v>1984</v>
      </c>
      <c r="D1020" s="46" t="s">
        <v>658</v>
      </c>
      <c r="E1020" s="46" t="s">
        <v>535</v>
      </c>
      <c r="F1020" s="47" t="s">
        <v>1010</v>
      </c>
      <c r="G1020" s="46"/>
      <c r="H1020" s="47" t="s">
        <v>1011</v>
      </c>
      <c r="I1020" s="47"/>
      <c r="J1020" s="48">
        <v>30786</v>
      </c>
      <c r="K1020" s="46" t="s">
        <v>804</v>
      </c>
      <c r="L1020" s="46" t="s">
        <v>3</v>
      </c>
      <c r="M1020" s="46" t="s">
        <v>629</v>
      </c>
      <c r="N1020" s="49">
        <v>1</v>
      </c>
      <c r="O1020" s="49">
        <v>0</v>
      </c>
      <c r="P1020" s="47" t="s">
        <v>1281</v>
      </c>
      <c r="Q1020" s="47" t="s">
        <v>1017</v>
      </c>
      <c r="R1020" s="47" t="s">
        <v>376</v>
      </c>
      <c r="S1020" s="46"/>
      <c r="T1020" s="46"/>
      <c r="U1020" s="46"/>
      <c r="V1020" s="46"/>
      <c r="W1020" s="46"/>
      <c r="X1020" s="46"/>
      <c r="Y1020" s="46"/>
      <c r="Z1020" s="46"/>
      <c r="AA1020" s="46"/>
      <c r="AB1020" s="46"/>
      <c r="AC1020" s="46"/>
      <c r="AD1020" s="46"/>
      <c r="AE1020" s="50">
        <f>IF(L1020="W",1,0)</f>
        <v>1</v>
      </c>
      <c r="AF1020" s="50">
        <f>IF(L1020="T",1,0)</f>
        <v>0</v>
      </c>
      <c r="AG1020" s="50">
        <f>IF(L1020="L",1,0)</f>
        <v>0</v>
      </c>
      <c r="AH1020" s="46" t="s">
        <v>588</v>
      </c>
      <c r="AI1020" s="46" t="s">
        <v>1175</v>
      </c>
      <c r="AJ1020" s="46" t="s">
        <v>376</v>
      </c>
      <c r="AK1020" s="46" t="s">
        <v>658</v>
      </c>
      <c r="AL1020" s="46" t="s">
        <v>629</v>
      </c>
      <c r="AM1020" s="46" t="s">
        <v>1199</v>
      </c>
      <c r="AN1020" s="46" t="s">
        <v>376</v>
      </c>
      <c r="AO1020" s="46" t="s">
        <v>658</v>
      </c>
      <c r="AP1020" s="46"/>
      <c r="AQ1020" s="46">
        <v>2</v>
      </c>
      <c r="AR1020" s="46"/>
      <c r="AS1020" s="46"/>
      <c r="AT1020" s="46"/>
      <c r="AU1020" s="46" t="s">
        <v>376</v>
      </c>
      <c r="AV1020" s="46"/>
      <c r="AW1020" s="46" t="s">
        <v>30</v>
      </c>
      <c r="AX1020" s="46"/>
      <c r="AY1020" s="46" t="s">
        <v>30</v>
      </c>
      <c r="AZ1020" s="46"/>
      <c r="BA1020" s="47"/>
      <c r="BB1020" s="51"/>
      <c r="BC1020" s="46"/>
      <c r="BD1020" s="46"/>
      <c r="BE1020" s="46"/>
      <c r="BF1020" s="46">
        <v>1</v>
      </c>
      <c r="BG1020" s="46">
        <v>1</v>
      </c>
      <c r="BH1020" s="46">
        <v>1</v>
      </c>
      <c r="BI1020" s="46" t="s">
        <v>804</v>
      </c>
      <c r="BJ1020" s="46" t="s">
        <v>629</v>
      </c>
      <c r="BK1020" s="46">
        <v>1984</v>
      </c>
      <c r="BL1020" s="46" t="str">
        <f>BK1020&amp;BI1020</f>
        <v>1984Everton</v>
      </c>
      <c r="BM1020" s="52" t="str">
        <f>IF(AD1020="Home",BI1020,IF(AD1020="Away",BJ1020,Q1020))</f>
        <v>London</v>
      </c>
      <c r="BN1020" s="46"/>
      <c r="BO1020" s="46"/>
      <c r="BP1020" s="46"/>
      <c r="BQ1020" s="46"/>
      <c r="BR1020" s="46"/>
      <c r="BS1020" s="46"/>
      <c r="BT1020" s="46"/>
      <c r="BU1020" s="46"/>
      <c r="BV1020" s="46" t="s">
        <v>376</v>
      </c>
      <c r="BW1020" s="46" t="s">
        <v>376</v>
      </c>
      <c r="BX1020" s="46"/>
      <c r="BZ1020" s="53"/>
      <c r="CA1020" s="53"/>
      <c r="CB1020" s="93" t="str">
        <f>IF(OR(C1020="",A1020="",B1020=""),"",TEXT(C1020,"0000")&amp;TEXT(A1020,"00")&amp;TEXT(B1020,"00"))</f>
        <v>19840414</v>
      </c>
    </row>
    <row r="1021" spans="1:80" s="52" customFormat="1" ht="12.95" customHeight="1" x14ac:dyDescent="0.2">
      <c r="A1021" s="46">
        <v>4</v>
      </c>
      <c r="B1021" s="46">
        <v>14</v>
      </c>
      <c r="C1021" s="46">
        <v>1984</v>
      </c>
      <c r="D1021" s="46" t="s">
        <v>658</v>
      </c>
      <c r="E1021" s="46" t="s">
        <v>535</v>
      </c>
      <c r="F1021" s="47" t="s">
        <v>1010</v>
      </c>
      <c r="G1021" s="46"/>
      <c r="H1021" s="47" t="s">
        <v>1011</v>
      </c>
      <c r="I1021" s="47"/>
      <c r="J1021" s="48">
        <v>30786</v>
      </c>
      <c r="K1021" s="46" t="s">
        <v>629</v>
      </c>
      <c r="L1021" s="46" t="s">
        <v>4</v>
      </c>
      <c r="M1021" s="46" t="s">
        <v>804</v>
      </c>
      <c r="N1021" s="49">
        <v>0</v>
      </c>
      <c r="O1021" s="49">
        <v>1</v>
      </c>
      <c r="P1021" s="47" t="s">
        <v>1281</v>
      </c>
      <c r="Q1021" s="47" t="s">
        <v>1017</v>
      </c>
      <c r="R1021" s="47" t="s">
        <v>376</v>
      </c>
      <c r="S1021" s="46"/>
      <c r="T1021" s="46"/>
      <c r="U1021" s="46"/>
      <c r="V1021" s="46"/>
      <c r="W1021" s="46"/>
      <c r="X1021" s="46"/>
      <c r="Y1021" s="46"/>
      <c r="Z1021" s="46"/>
      <c r="AA1021" s="46"/>
      <c r="AB1021" s="46"/>
      <c r="AC1021" s="46"/>
      <c r="AD1021" s="46"/>
      <c r="AE1021" s="50">
        <f>IF(L1021="W",1,0)</f>
        <v>0</v>
      </c>
      <c r="AF1021" s="50">
        <f>IF(L1021="T",1,0)</f>
        <v>0</v>
      </c>
      <c r="AG1021" s="50">
        <f>IF(L1021="L",1,0)</f>
        <v>1</v>
      </c>
      <c r="AH1021" s="46" t="s">
        <v>629</v>
      </c>
      <c r="AI1021" s="46" t="s">
        <v>1199</v>
      </c>
      <c r="AJ1021" s="46" t="s">
        <v>376</v>
      </c>
      <c r="AK1021" s="46" t="s">
        <v>658</v>
      </c>
      <c r="AL1021" s="46" t="s">
        <v>588</v>
      </c>
      <c r="AM1021" s="46" t="s">
        <v>1175</v>
      </c>
      <c r="AN1021" s="46" t="s">
        <v>376</v>
      </c>
      <c r="AO1021" s="46" t="s">
        <v>658</v>
      </c>
      <c r="AP1021" s="46"/>
      <c r="AQ1021" s="46">
        <v>2</v>
      </c>
      <c r="AR1021" s="46"/>
      <c r="AS1021" s="46"/>
      <c r="AT1021" s="46"/>
      <c r="AU1021" s="46" t="s">
        <v>376</v>
      </c>
      <c r="AV1021" s="46"/>
      <c r="AW1021" s="46" t="s">
        <v>30</v>
      </c>
      <c r="AX1021" s="46"/>
      <c r="AY1021" s="46" t="s">
        <v>30</v>
      </c>
      <c r="AZ1021" s="46"/>
      <c r="BA1021" s="47"/>
      <c r="BB1021" s="51"/>
      <c r="BC1021" s="46"/>
      <c r="BD1021" s="46"/>
      <c r="BE1021" s="46"/>
      <c r="BF1021" s="46">
        <v>1</v>
      </c>
      <c r="BG1021" s="46">
        <v>1</v>
      </c>
      <c r="BH1021" s="46">
        <v>1</v>
      </c>
      <c r="BI1021" s="46" t="s">
        <v>629</v>
      </c>
      <c r="BJ1021" s="46" t="s">
        <v>804</v>
      </c>
      <c r="BK1021" s="46">
        <v>1984</v>
      </c>
      <c r="BL1021" s="46" t="str">
        <f>BK1021&amp;BI1021</f>
        <v>1984Southampton</v>
      </c>
      <c r="BM1021" s="52" t="str">
        <f>IF(AD1021="Home",BI1021,IF(AD1021="Away",BJ1021,Q1021))</f>
        <v>London</v>
      </c>
      <c r="BN1021" s="46"/>
      <c r="BO1021" s="46"/>
      <c r="BP1021" s="46"/>
      <c r="BQ1021" s="46"/>
      <c r="BR1021" s="46"/>
      <c r="BS1021" s="46"/>
      <c r="BT1021" s="46"/>
      <c r="BU1021" s="46"/>
      <c r="BV1021" s="46" t="s">
        <v>376</v>
      </c>
      <c r="BW1021" s="46" t="s">
        <v>376</v>
      </c>
      <c r="BX1021" s="46"/>
      <c r="BZ1021" s="53"/>
      <c r="CA1021" s="53"/>
      <c r="CB1021" s="93" t="str">
        <f>IF(OR(C1021="",A1021="",B1021=""),"",TEXT(C1021,"0000")&amp;TEXT(A1021,"00")&amp;TEXT(B1021,"00"))</f>
        <v>19840414</v>
      </c>
    </row>
    <row r="1022" spans="1:80" s="52" customFormat="1" ht="12.95" customHeight="1" x14ac:dyDescent="0.2">
      <c r="A1022" s="46">
        <v>4</v>
      </c>
      <c r="B1022" s="46">
        <v>14</v>
      </c>
      <c r="C1022" s="46">
        <v>1984</v>
      </c>
      <c r="D1022" s="46" t="s">
        <v>658</v>
      </c>
      <c r="E1022" s="46" t="s">
        <v>535</v>
      </c>
      <c r="F1022" s="47" t="s">
        <v>1010</v>
      </c>
      <c r="G1022" s="46"/>
      <c r="H1022" s="47" t="s">
        <v>1011</v>
      </c>
      <c r="I1022" s="47"/>
      <c r="J1022" s="48">
        <v>30786</v>
      </c>
      <c r="K1022" s="46" t="s">
        <v>1357</v>
      </c>
      <c r="L1022" s="46" t="s">
        <v>3</v>
      </c>
      <c r="M1022" s="46" t="s">
        <v>1342</v>
      </c>
      <c r="N1022" s="49">
        <v>1</v>
      </c>
      <c r="O1022" s="49">
        <v>0</v>
      </c>
      <c r="P1022" s="47" t="s">
        <v>1219</v>
      </c>
      <c r="Q1022" s="47" t="s">
        <v>1111</v>
      </c>
      <c r="R1022" s="47" t="s">
        <v>376</v>
      </c>
      <c r="S1022" s="46"/>
      <c r="T1022" s="46"/>
      <c r="U1022" s="46"/>
      <c r="V1022" s="46"/>
      <c r="W1022" s="46"/>
      <c r="X1022" s="46"/>
      <c r="Y1022" s="46"/>
      <c r="Z1022" s="46"/>
      <c r="AA1022" s="46"/>
      <c r="AB1022" s="46"/>
      <c r="AC1022" s="46"/>
      <c r="AD1022" s="46"/>
      <c r="AE1022" s="50">
        <f>IF(L1022="W",1,0)</f>
        <v>1</v>
      </c>
      <c r="AF1022" s="50">
        <f>IF(L1022="T",1,0)</f>
        <v>0</v>
      </c>
      <c r="AG1022" s="50">
        <f>IF(L1022="L",1,0)</f>
        <v>0</v>
      </c>
      <c r="AH1022" s="46" t="s">
        <v>1017</v>
      </c>
      <c r="AI1022" s="46" t="s">
        <v>1018</v>
      </c>
      <c r="AJ1022" s="46" t="s">
        <v>376</v>
      </c>
      <c r="AK1022" s="46" t="s">
        <v>658</v>
      </c>
      <c r="AL1022" s="46" t="s">
        <v>1344</v>
      </c>
      <c r="AM1022" s="46" t="s">
        <v>1359</v>
      </c>
      <c r="AN1022" s="46" t="s">
        <v>376</v>
      </c>
      <c r="AO1022" s="46" t="s">
        <v>658</v>
      </c>
      <c r="AP1022" s="46"/>
      <c r="AQ1022" s="46">
        <v>2</v>
      </c>
      <c r="AR1022" s="46"/>
      <c r="AS1022" s="46"/>
      <c r="AT1022" s="46"/>
      <c r="AU1022" s="46" t="s">
        <v>376</v>
      </c>
      <c r="AV1022" s="46"/>
      <c r="AW1022" s="46" t="s">
        <v>30</v>
      </c>
      <c r="AX1022" s="46"/>
      <c r="AY1022" s="46" t="s">
        <v>30</v>
      </c>
      <c r="AZ1022" s="46"/>
      <c r="BA1022" s="47"/>
      <c r="BB1022" s="51"/>
      <c r="BC1022" s="46"/>
      <c r="BD1022" s="46"/>
      <c r="BE1022" s="46"/>
      <c r="BF1022" s="46">
        <v>1</v>
      </c>
      <c r="BG1022" s="46">
        <v>1</v>
      </c>
      <c r="BH1022" s="46">
        <v>3</v>
      </c>
      <c r="BI1022" s="46" t="s">
        <v>1357</v>
      </c>
      <c r="BJ1022" s="46" t="s">
        <v>1342</v>
      </c>
      <c r="BK1022" s="46">
        <v>1984</v>
      </c>
      <c r="BL1022" s="46" t="str">
        <f>BK1022&amp;BI1022</f>
        <v>1984Watford</v>
      </c>
      <c r="BM1022" s="52" t="str">
        <f>IF(AD1022="Home",BI1022,IF(AD1022="Away",BJ1022,Q1022))</f>
        <v>Birmingham</v>
      </c>
      <c r="BN1022" s="46"/>
      <c r="BO1022" s="46"/>
      <c r="BP1022" s="46"/>
      <c r="BQ1022" s="46"/>
      <c r="BR1022" s="46"/>
      <c r="BS1022" s="46"/>
      <c r="BT1022" s="46"/>
      <c r="BU1022" s="46"/>
      <c r="BV1022" s="46" t="s">
        <v>376</v>
      </c>
      <c r="BW1022" s="46" t="s">
        <v>376</v>
      </c>
      <c r="BX1022" s="46"/>
      <c r="BZ1022" s="53"/>
      <c r="CA1022" s="53"/>
      <c r="CB1022" s="93" t="str">
        <f>IF(OR(C1022="",A1022="",B1022=""),"",TEXT(C1022,"0000")&amp;TEXT(A1022,"00")&amp;TEXT(B1022,"00"))</f>
        <v>19840414</v>
      </c>
    </row>
    <row r="1023" spans="1:80" s="52" customFormat="1" ht="12.95" customHeight="1" x14ac:dyDescent="0.2">
      <c r="A1023" s="46">
        <v>4</v>
      </c>
      <c r="B1023" s="46">
        <v>14</v>
      </c>
      <c r="C1023" s="46">
        <v>1984</v>
      </c>
      <c r="D1023" s="46" t="s">
        <v>658</v>
      </c>
      <c r="E1023" s="46" t="s">
        <v>535</v>
      </c>
      <c r="F1023" s="47" t="s">
        <v>1010</v>
      </c>
      <c r="G1023" s="46"/>
      <c r="H1023" s="47" t="s">
        <v>1011</v>
      </c>
      <c r="I1023" s="47"/>
      <c r="J1023" s="48">
        <v>30786</v>
      </c>
      <c r="K1023" s="46" t="s">
        <v>1342</v>
      </c>
      <c r="L1023" s="46" t="s">
        <v>4</v>
      </c>
      <c r="M1023" s="46" t="s">
        <v>1357</v>
      </c>
      <c r="N1023" s="49">
        <v>0</v>
      </c>
      <c r="O1023" s="49">
        <v>1</v>
      </c>
      <c r="P1023" s="47" t="s">
        <v>1219</v>
      </c>
      <c r="Q1023" s="47" t="s">
        <v>1111</v>
      </c>
      <c r="R1023" s="47" t="s">
        <v>376</v>
      </c>
      <c r="S1023" s="46"/>
      <c r="T1023" s="46"/>
      <c r="U1023" s="46"/>
      <c r="V1023" s="46"/>
      <c r="W1023" s="46"/>
      <c r="X1023" s="46"/>
      <c r="Y1023" s="46"/>
      <c r="Z1023" s="46"/>
      <c r="AA1023" s="46"/>
      <c r="AB1023" s="46"/>
      <c r="AC1023" s="46"/>
      <c r="AD1023" s="46"/>
      <c r="AE1023" s="50">
        <f>IF(L1023="W",1,0)</f>
        <v>0</v>
      </c>
      <c r="AF1023" s="50">
        <f>IF(L1023="T",1,0)</f>
        <v>0</v>
      </c>
      <c r="AG1023" s="50">
        <f>IF(L1023="L",1,0)</f>
        <v>1</v>
      </c>
      <c r="AH1023" s="46" t="s">
        <v>1344</v>
      </c>
      <c r="AI1023" s="46" t="s">
        <v>1359</v>
      </c>
      <c r="AJ1023" s="46" t="s">
        <v>376</v>
      </c>
      <c r="AK1023" s="46" t="s">
        <v>658</v>
      </c>
      <c r="AL1023" s="46" t="s">
        <v>1017</v>
      </c>
      <c r="AM1023" s="46" t="s">
        <v>1018</v>
      </c>
      <c r="AN1023" s="46" t="s">
        <v>376</v>
      </c>
      <c r="AO1023" s="46" t="s">
        <v>658</v>
      </c>
      <c r="AP1023" s="46"/>
      <c r="AQ1023" s="46">
        <v>2</v>
      </c>
      <c r="AR1023" s="46"/>
      <c r="AS1023" s="46"/>
      <c r="AT1023" s="46"/>
      <c r="AU1023" s="46" t="s">
        <v>376</v>
      </c>
      <c r="AV1023" s="46"/>
      <c r="AW1023" s="46" t="s">
        <v>30</v>
      </c>
      <c r="AX1023" s="46"/>
      <c r="AY1023" s="46" t="s">
        <v>30</v>
      </c>
      <c r="AZ1023" s="46"/>
      <c r="BA1023" s="47"/>
      <c r="BB1023" s="51"/>
      <c r="BC1023" s="46"/>
      <c r="BD1023" s="46"/>
      <c r="BE1023" s="46"/>
      <c r="BF1023" s="46">
        <v>1</v>
      </c>
      <c r="BG1023" s="46">
        <v>3</v>
      </c>
      <c r="BH1023" s="46">
        <v>1</v>
      </c>
      <c r="BI1023" s="46" t="s">
        <v>1342</v>
      </c>
      <c r="BJ1023" s="46" t="s">
        <v>1357</v>
      </c>
      <c r="BK1023" s="46">
        <v>1984</v>
      </c>
      <c r="BL1023" s="46" t="str">
        <f>BK1023&amp;BI1023</f>
        <v>1984Plymouth Argyle</v>
      </c>
      <c r="BM1023" s="52" t="str">
        <f>IF(AD1023="Home",BI1023,IF(AD1023="Away",BJ1023,Q1023))</f>
        <v>Birmingham</v>
      </c>
      <c r="BN1023" s="46"/>
      <c r="BO1023" s="46"/>
      <c r="BP1023" s="46"/>
      <c r="BQ1023" s="46"/>
      <c r="BR1023" s="46"/>
      <c r="BS1023" s="46"/>
      <c r="BT1023" s="46"/>
      <c r="BU1023" s="46"/>
      <c r="BV1023" s="46" t="s">
        <v>376</v>
      </c>
      <c r="BW1023" s="46" t="s">
        <v>376</v>
      </c>
      <c r="BX1023" s="46"/>
      <c r="BZ1023" s="53"/>
      <c r="CA1023" s="53"/>
      <c r="CB1023" s="93" t="str">
        <f>IF(OR(C1023="",A1023="",B1023=""),"",TEXT(C1023,"0000")&amp;TEXT(A1023,"00")&amp;TEXT(B1023,"00"))</f>
        <v>19840414</v>
      </c>
    </row>
    <row r="1024" spans="1:80" s="52" customFormat="1" ht="12.95" customHeight="1" x14ac:dyDescent="0.2">
      <c r="A1024" s="46">
        <v>5</v>
      </c>
      <c r="B1024" s="46">
        <v>19</v>
      </c>
      <c r="C1024" s="46">
        <v>1984</v>
      </c>
      <c r="D1024" s="46" t="s">
        <v>658</v>
      </c>
      <c r="E1024" s="46" t="s">
        <v>535</v>
      </c>
      <c r="F1024" s="47" t="s">
        <v>1010</v>
      </c>
      <c r="G1024" s="46"/>
      <c r="H1024" s="47" t="s">
        <v>1025</v>
      </c>
      <c r="I1024" s="47"/>
      <c r="J1024" s="48">
        <v>30821</v>
      </c>
      <c r="K1024" s="46" t="s">
        <v>804</v>
      </c>
      <c r="L1024" s="46" t="s">
        <v>3</v>
      </c>
      <c r="M1024" s="46" t="s">
        <v>1357</v>
      </c>
      <c r="N1024" s="49">
        <v>2</v>
      </c>
      <c r="O1024" s="49">
        <v>0</v>
      </c>
      <c r="P1024" s="47" t="s">
        <v>1268</v>
      </c>
      <c r="Q1024" s="47" t="s">
        <v>1017</v>
      </c>
      <c r="R1024" s="47" t="s">
        <v>376</v>
      </c>
      <c r="S1024" s="46"/>
      <c r="T1024" s="46"/>
      <c r="U1024" s="46"/>
      <c r="V1024" s="46"/>
      <c r="W1024" s="46"/>
      <c r="X1024" s="46"/>
      <c r="Y1024" s="46"/>
      <c r="Z1024" s="46"/>
      <c r="AA1024" s="46"/>
      <c r="AB1024" s="46"/>
      <c r="AC1024" s="46"/>
      <c r="AD1024" s="46"/>
      <c r="AE1024" s="50">
        <f>IF(L1024="W",1,0)</f>
        <v>1</v>
      </c>
      <c r="AF1024" s="50">
        <f>IF(L1024="T",1,0)</f>
        <v>0</v>
      </c>
      <c r="AG1024" s="50">
        <f>IF(L1024="L",1,0)</f>
        <v>0</v>
      </c>
      <c r="AH1024" s="46" t="s">
        <v>588</v>
      </c>
      <c r="AI1024" s="46" t="s">
        <v>1175</v>
      </c>
      <c r="AJ1024" s="46" t="s">
        <v>376</v>
      </c>
      <c r="AK1024" s="46" t="s">
        <v>658</v>
      </c>
      <c r="AL1024" s="46" t="s">
        <v>1017</v>
      </c>
      <c r="AM1024" s="46" t="s">
        <v>1018</v>
      </c>
      <c r="AN1024" s="46" t="s">
        <v>376</v>
      </c>
      <c r="AO1024" s="46" t="s">
        <v>658</v>
      </c>
      <c r="AP1024" s="46"/>
      <c r="AQ1024" s="46">
        <v>1</v>
      </c>
      <c r="AR1024" s="46"/>
      <c r="AS1024" s="46"/>
      <c r="AT1024" s="46"/>
      <c r="AU1024" s="46" t="s">
        <v>376</v>
      </c>
      <c r="AV1024" s="46"/>
      <c r="AW1024" s="46" t="s">
        <v>30</v>
      </c>
      <c r="AX1024" s="46"/>
      <c r="AY1024" s="46" t="s">
        <v>30</v>
      </c>
      <c r="AZ1024" s="46"/>
      <c r="BA1024" s="47"/>
      <c r="BB1024" s="51" t="s">
        <v>30</v>
      </c>
      <c r="BC1024" s="46" t="s">
        <v>30</v>
      </c>
      <c r="BD1024" s="46"/>
      <c r="BE1024" s="46"/>
      <c r="BF1024" s="46">
        <v>1</v>
      </c>
      <c r="BG1024" s="46">
        <v>1</v>
      </c>
      <c r="BH1024" s="46">
        <v>1</v>
      </c>
      <c r="BI1024" s="46" t="s">
        <v>804</v>
      </c>
      <c r="BJ1024" s="46" t="s">
        <v>1357</v>
      </c>
      <c r="BK1024" s="46">
        <v>1984</v>
      </c>
      <c r="BL1024" s="46" t="str">
        <f>BK1024&amp;BI1024</f>
        <v>1984Everton</v>
      </c>
      <c r="BM1024" s="52" t="str">
        <f>IF(AD1024="Home",BI1024,IF(AD1024="Away",BJ1024,Q1024))</f>
        <v>London</v>
      </c>
      <c r="BN1024" s="46"/>
      <c r="BO1024" s="46"/>
      <c r="BP1024" s="46"/>
      <c r="BQ1024" s="46"/>
      <c r="BR1024" s="46"/>
      <c r="BS1024" s="46"/>
      <c r="BT1024" s="46"/>
      <c r="BU1024" s="46"/>
      <c r="BV1024" s="46" t="s">
        <v>376</v>
      </c>
      <c r="BW1024" s="46" t="s">
        <v>376</v>
      </c>
      <c r="BX1024" s="46"/>
      <c r="BZ1024" s="53"/>
      <c r="CA1024" s="53"/>
      <c r="CB1024" s="93" t="str">
        <f>IF(OR(C1024="",A1024="",B1024=""),"",TEXT(C1024,"0000")&amp;TEXT(A1024,"00")&amp;TEXT(B1024,"00"))</f>
        <v>19840519</v>
      </c>
    </row>
    <row r="1025" spans="1:80" s="52" customFormat="1" ht="12.95" customHeight="1" x14ac:dyDescent="0.2">
      <c r="A1025" s="46">
        <v>5</v>
      </c>
      <c r="B1025" s="46">
        <v>19</v>
      </c>
      <c r="C1025" s="46">
        <v>1984</v>
      </c>
      <c r="D1025" s="46" t="s">
        <v>658</v>
      </c>
      <c r="E1025" s="46" t="s">
        <v>535</v>
      </c>
      <c r="F1025" s="47" t="s">
        <v>1010</v>
      </c>
      <c r="G1025" s="46"/>
      <c r="H1025" s="47" t="s">
        <v>1025</v>
      </c>
      <c r="I1025" s="47"/>
      <c r="J1025" s="48">
        <v>30821</v>
      </c>
      <c r="K1025" s="46" t="s">
        <v>1357</v>
      </c>
      <c r="L1025" s="46" t="s">
        <v>4</v>
      </c>
      <c r="M1025" s="46" t="s">
        <v>804</v>
      </c>
      <c r="N1025" s="49">
        <v>0</v>
      </c>
      <c r="O1025" s="49">
        <v>2</v>
      </c>
      <c r="P1025" s="47" t="s">
        <v>1268</v>
      </c>
      <c r="Q1025" s="47" t="s">
        <v>1017</v>
      </c>
      <c r="R1025" s="47" t="s">
        <v>376</v>
      </c>
      <c r="S1025" s="46"/>
      <c r="T1025" s="46"/>
      <c r="U1025" s="46"/>
      <c r="V1025" s="46"/>
      <c r="W1025" s="46"/>
      <c r="X1025" s="46"/>
      <c r="Y1025" s="46"/>
      <c r="Z1025" s="46"/>
      <c r="AA1025" s="46"/>
      <c r="AB1025" s="46"/>
      <c r="AC1025" s="46"/>
      <c r="AD1025" s="46"/>
      <c r="AE1025" s="50">
        <f>IF(L1025="W",1,0)</f>
        <v>0</v>
      </c>
      <c r="AF1025" s="50">
        <f>IF(L1025="T",1,0)</f>
        <v>0</v>
      </c>
      <c r="AG1025" s="50">
        <f>IF(L1025="L",1,0)</f>
        <v>1</v>
      </c>
      <c r="AH1025" s="46" t="s">
        <v>1017</v>
      </c>
      <c r="AI1025" s="46" t="s">
        <v>1018</v>
      </c>
      <c r="AJ1025" s="46" t="s">
        <v>376</v>
      </c>
      <c r="AK1025" s="46" t="s">
        <v>658</v>
      </c>
      <c r="AL1025" s="46" t="s">
        <v>588</v>
      </c>
      <c r="AM1025" s="46" t="s">
        <v>1175</v>
      </c>
      <c r="AN1025" s="46" t="s">
        <v>376</v>
      </c>
      <c r="AO1025" s="46" t="s">
        <v>658</v>
      </c>
      <c r="AP1025" s="46"/>
      <c r="AQ1025" s="46">
        <v>1</v>
      </c>
      <c r="AR1025" s="46"/>
      <c r="AS1025" s="46"/>
      <c r="AT1025" s="46"/>
      <c r="AU1025" s="46" t="s">
        <v>376</v>
      </c>
      <c r="AV1025" s="46"/>
      <c r="AW1025" s="46" t="s">
        <v>30</v>
      </c>
      <c r="AX1025" s="46"/>
      <c r="AY1025" s="46" t="s">
        <v>30</v>
      </c>
      <c r="AZ1025" s="46"/>
      <c r="BA1025" s="47"/>
      <c r="BB1025" s="51"/>
      <c r="BC1025" s="46" t="s">
        <v>30</v>
      </c>
      <c r="BD1025" s="46"/>
      <c r="BE1025" s="46"/>
      <c r="BF1025" s="46">
        <v>1</v>
      </c>
      <c r="BG1025" s="46">
        <v>1</v>
      </c>
      <c r="BH1025" s="46">
        <v>1</v>
      </c>
      <c r="BI1025" s="46" t="s">
        <v>1357</v>
      </c>
      <c r="BJ1025" s="46" t="s">
        <v>804</v>
      </c>
      <c r="BK1025" s="46">
        <v>1984</v>
      </c>
      <c r="BL1025" s="46" t="str">
        <f>BK1025&amp;BI1025</f>
        <v>1984Watford</v>
      </c>
      <c r="BM1025" s="52" t="str">
        <f>IF(AD1025="Home",BI1025,IF(AD1025="Away",BJ1025,Q1025))</f>
        <v>London</v>
      </c>
      <c r="BN1025" s="46"/>
      <c r="BO1025" s="46"/>
      <c r="BP1025" s="46"/>
      <c r="BQ1025" s="46"/>
      <c r="BR1025" s="46"/>
      <c r="BS1025" s="46"/>
      <c r="BT1025" s="46"/>
      <c r="BU1025" s="46"/>
      <c r="BV1025" s="46" t="s">
        <v>376</v>
      </c>
      <c r="BW1025" s="46" t="s">
        <v>376</v>
      </c>
      <c r="BX1025" s="46"/>
      <c r="BZ1025" s="53"/>
      <c r="CA1025" s="53"/>
      <c r="CB1025" s="93" t="str">
        <f>IF(OR(C1025="",A1025="",B1025=""),"",TEXT(C1025,"0000")&amp;TEXT(A1025,"00")&amp;TEXT(B1025,"00"))</f>
        <v>19840519</v>
      </c>
    </row>
    <row r="1026" spans="1:80" s="52" customFormat="1" ht="12.95" customHeight="1" x14ac:dyDescent="0.2">
      <c r="A1026" s="46">
        <v>2</v>
      </c>
      <c r="B1026" s="46">
        <v>13</v>
      </c>
      <c r="C1026" s="46">
        <v>1985</v>
      </c>
      <c r="D1026" s="46" t="s">
        <v>658</v>
      </c>
      <c r="E1026" s="46" t="s">
        <v>533</v>
      </c>
      <c r="F1026" s="54" t="s">
        <v>1327</v>
      </c>
      <c r="G1026" s="46"/>
      <c r="H1026" s="54" t="s">
        <v>1011</v>
      </c>
      <c r="I1026" s="54">
        <v>1</v>
      </c>
      <c r="J1026" s="55">
        <v>31091</v>
      </c>
      <c r="K1026" s="46" t="s">
        <v>793</v>
      </c>
      <c r="L1026" s="46" t="s">
        <v>3</v>
      </c>
      <c r="M1026" s="46" t="s">
        <v>816</v>
      </c>
      <c r="N1026" s="49">
        <v>2</v>
      </c>
      <c r="O1026" s="49">
        <v>0</v>
      </c>
      <c r="P1026" s="54" t="s">
        <v>1318</v>
      </c>
      <c r="Q1026" s="54" t="s">
        <v>793</v>
      </c>
      <c r="R1026" s="54" t="s">
        <v>376</v>
      </c>
      <c r="S1026" s="46"/>
      <c r="T1026" s="46"/>
      <c r="U1026" s="46"/>
      <c r="V1026" s="46"/>
      <c r="W1026" s="46"/>
      <c r="X1026" s="46"/>
      <c r="Y1026" s="46"/>
      <c r="Z1026" s="46"/>
      <c r="AA1026" s="46"/>
      <c r="AB1026" s="46"/>
      <c r="AC1026" s="46"/>
      <c r="AD1026" s="46" t="s">
        <v>1033</v>
      </c>
      <c r="AE1026" s="50">
        <f>IF(L1026="W",1,0)</f>
        <v>1</v>
      </c>
      <c r="AF1026" s="50">
        <f>IF(L1026="T",1,0)</f>
        <v>0</v>
      </c>
      <c r="AG1026" s="50">
        <f>IF(L1026="L",1,0)</f>
        <v>0</v>
      </c>
      <c r="AH1026" s="46" t="s">
        <v>793</v>
      </c>
      <c r="AI1026" s="46" t="s">
        <v>1164</v>
      </c>
      <c r="AJ1026" s="46" t="s">
        <v>376</v>
      </c>
      <c r="AK1026" s="46" t="s">
        <v>658</v>
      </c>
      <c r="AL1026" s="46" t="s">
        <v>1017</v>
      </c>
      <c r="AM1026" s="46" t="s">
        <v>1018</v>
      </c>
      <c r="AN1026" s="46" t="s">
        <v>376</v>
      </c>
      <c r="AO1026" s="46" t="s">
        <v>658</v>
      </c>
      <c r="AP1026" s="46"/>
      <c r="AQ1026" s="46">
        <v>2</v>
      </c>
      <c r="AR1026" s="46"/>
      <c r="AS1026" s="46"/>
      <c r="AT1026" s="46"/>
      <c r="AU1026" s="46" t="s">
        <v>376</v>
      </c>
      <c r="AV1026" s="46"/>
      <c r="AW1026" s="46" t="s">
        <v>30</v>
      </c>
      <c r="AX1026" s="46"/>
      <c r="AY1026" s="46"/>
      <c r="AZ1026" s="46" t="s">
        <v>30</v>
      </c>
      <c r="BA1026" s="54"/>
      <c r="BB1026" s="51"/>
      <c r="BC1026" s="46"/>
      <c r="BD1026" s="46"/>
      <c r="BE1026" s="46"/>
      <c r="BF1026" s="46">
        <v>1</v>
      </c>
      <c r="BG1026" s="46">
        <v>1</v>
      </c>
      <c r="BH1026" s="46">
        <v>1</v>
      </c>
      <c r="BI1026" s="46" t="s">
        <v>793</v>
      </c>
      <c r="BJ1026" s="46" t="s">
        <v>816</v>
      </c>
      <c r="BK1026" s="46">
        <v>1985</v>
      </c>
      <c r="BL1026" s="46" t="str">
        <f>BK1026&amp;BI1026</f>
        <v>1985Sunderland</v>
      </c>
      <c r="BM1026" s="52" t="str">
        <f>IF(AD1026="Home",BI1026,IF(AD1026="Away",BJ1026,Q1026))</f>
        <v>Sunderland</v>
      </c>
      <c r="BN1026" s="46"/>
      <c r="BO1026" s="46"/>
      <c r="BP1026" s="46"/>
      <c r="BQ1026" s="46"/>
      <c r="BR1026" s="46"/>
      <c r="BS1026" s="46"/>
      <c r="BT1026" s="46"/>
      <c r="BU1026" s="46"/>
      <c r="BV1026" s="46" t="s">
        <v>376</v>
      </c>
      <c r="BW1026" s="46" t="s">
        <v>376</v>
      </c>
      <c r="BX1026" s="46"/>
      <c r="BY1026" s="50"/>
      <c r="BZ1026" s="53"/>
      <c r="CA1026" s="53"/>
      <c r="CB1026" s="93" t="str">
        <f>IF(OR(C1026="",A1026="",B1026=""),"",TEXT(C1026,"0000")&amp;TEXT(A1026,"00")&amp;TEXT(B1026,"00"))</f>
        <v>19850213</v>
      </c>
    </row>
    <row r="1027" spans="1:80" s="52" customFormat="1" ht="12.95" customHeight="1" x14ac:dyDescent="0.2">
      <c r="A1027" s="46">
        <v>2</v>
      </c>
      <c r="B1027" s="46">
        <v>13</v>
      </c>
      <c r="C1027" s="46">
        <v>1985</v>
      </c>
      <c r="D1027" s="46" t="s">
        <v>658</v>
      </c>
      <c r="E1027" s="46" t="s">
        <v>533</v>
      </c>
      <c r="F1027" s="54" t="s">
        <v>1327</v>
      </c>
      <c r="G1027" s="46"/>
      <c r="H1027" s="54" t="s">
        <v>1011</v>
      </c>
      <c r="I1027" s="54">
        <v>1</v>
      </c>
      <c r="J1027" s="55">
        <v>31091</v>
      </c>
      <c r="K1027" s="46" t="s">
        <v>816</v>
      </c>
      <c r="L1027" s="46" t="s">
        <v>4</v>
      </c>
      <c r="M1027" s="46" t="s">
        <v>793</v>
      </c>
      <c r="N1027" s="49">
        <v>0</v>
      </c>
      <c r="O1027" s="49">
        <v>2</v>
      </c>
      <c r="P1027" s="54" t="s">
        <v>1318</v>
      </c>
      <c r="Q1027" s="54" t="s">
        <v>793</v>
      </c>
      <c r="R1027" s="54" t="s">
        <v>376</v>
      </c>
      <c r="S1027" s="46"/>
      <c r="T1027" s="46"/>
      <c r="U1027" s="46"/>
      <c r="V1027" s="46"/>
      <c r="W1027" s="46"/>
      <c r="X1027" s="46"/>
      <c r="Y1027" s="46"/>
      <c r="Z1027" s="46"/>
      <c r="AA1027" s="46"/>
      <c r="AB1027" s="46"/>
      <c r="AC1027" s="46"/>
      <c r="AD1027" s="46" t="s">
        <v>1037</v>
      </c>
      <c r="AE1027" s="50">
        <f>IF(L1027="W",1,0)</f>
        <v>0</v>
      </c>
      <c r="AF1027" s="50">
        <f>IF(L1027="T",1,0)</f>
        <v>0</v>
      </c>
      <c r="AG1027" s="50">
        <f>IF(L1027="L",1,0)</f>
        <v>1</v>
      </c>
      <c r="AH1027" s="46" t="s">
        <v>1017</v>
      </c>
      <c r="AI1027" s="46" t="s">
        <v>1018</v>
      </c>
      <c r="AJ1027" s="46" t="s">
        <v>376</v>
      </c>
      <c r="AK1027" s="46" t="s">
        <v>658</v>
      </c>
      <c r="AL1027" s="46" t="s">
        <v>793</v>
      </c>
      <c r="AM1027" s="46" t="s">
        <v>1164</v>
      </c>
      <c r="AN1027" s="46" t="s">
        <v>376</v>
      </c>
      <c r="AO1027" s="46" t="s">
        <v>658</v>
      </c>
      <c r="AP1027" s="46"/>
      <c r="AQ1027" s="46">
        <v>2</v>
      </c>
      <c r="AR1027" s="46"/>
      <c r="AS1027" s="46"/>
      <c r="AT1027" s="46"/>
      <c r="AU1027" s="46" t="s">
        <v>376</v>
      </c>
      <c r="AV1027" s="46"/>
      <c r="AW1027" s="46" t="s">
        <v>30</v>
      </c>
      <c r="AX1027" s="46"/>
      <c r="AY1027" s="46"/>
      <c r="AZ1027" s="46" t="s">
        <v>30</v>
      </c>
      <c r="BA1027" s="54"/>
      <c r="BB1027" s="51"/>
      <c r="BC1027" s="46"/>
      <c r="BD1027" s="46"/>
      <c r="BE1027" s="46"/>
      <c r="BF1027" s="46">
        <v>1</v>
      </c>
      <c r="BG1027" s="46">
        <v>1</v>
      </c>
      <c r="BH1027" s="46">
        <v>1</v>
      </c>
      <c r="BI1027" s="46" t="s">
        <v>816</v>
      </c>
      <c r="BJ1027" s="46" t="s">
        <v>793</v>
      </c>
      <c r="BK1027" s="46">
        <v>1985</v>
      </c>
      <c r="BL1027" s="46" t="str">
        <f>BK1027&amp;BI1027</f>
        <v>1985Chelsea</v>
      </c>
      <c r="BM1027" s="52" t="str">
        <f>IF(AD1027="Home",BI1027,IF(AD1027="Away",BJ1027,Q1027))</f>
        <v>Sunderland</v>
      </c>
      <c r="BN1027" s="46"/>
      <c r="BO1027" s="46"/>
      <c r="BP1027" s="46"/>
      <c r="BQ1027" s="46"/>
      <c r="BR1027" s="46"/>
      <c r="BS1027" s="46"/>
      <c r="BT1027" s="46"/>
      <c r="BU1027" s="46"/>
      <c r="BV1027" s="46" t="s">
        <v>376</v>
      </c>
      <c r="BW1027" s="46" t="s">
        <v>376</v>
      </c>
      <c r="BX1027" s="46"/>
      <c r="BY1027" s="50"/>
      <c r="BZ1027" s="53"/>
      <c r="CA1027" s="53"/>
      <c r="CB1027" s="93" t="str">
        <f>IF(OR(C1027="",A1027="",B1027=""),"",TEXT(C1027,"0000")&amp;TEXT(A1027,"00")&amp;TEXT(B1027,"00"))</f>
        <v>19850213</v>
      </c>
    </row>
    <row r="1028" spans="1:80" s="52" customFormat="1" ht="12.95" customHeight="1" x14ac:dyDescent="0.2">
      <c r="A1028" s="46">
        <v>2</v>
      </c>
      <c r="B1028" s="46">
        <v>23</v>
      </c>
      <c r="C1028" s="46">
        <v>1985</v>
      </c>
      <c r="D1028" s="46" t="s">
        <v>658</v>
      </c>
      <c r="E1028" s="46" t="s">
        <v>533</v>
      </c>
      <c r="F1028" s="54" t="s">
        <v>1327</v>
      </c>
      <c r="G1028" s="46"/>
      <c r="H1028" s="54" t="s">
        <v>1011</v>
      </c>
      <c r="I1028" s="54">
        <v>1</v>
      </c>
      <c r="J1028" s="55">
        <v>31101</v>
      </c>
      <c r="K1028" s="46" t="s">
        <v>1363</v>
      </c>
      <c r="L1028" s="46" t="s">
        <v>3</v>
      </c>
      <c r="M1028" s="46" t="s">
        <v>1321</v>
      </c>
      <c r="N1028" s="49">
        <v>1</v>
      </c>
      <c r="O1028" s="49">
        <v>0</v>
      </c>
      <c r="P1028" s="54" t="s">
        <v>1378</v>
      </c>
      <c r="Q1028" s="54" t="s">
        <v>1364</v>
      </c>
      <c r="R1028" s="54" t="s">
        <v>376</v>
      </c>
      <c r="S1028" s="46"/>
      <c r="T1028" s="46"/>
      <c r="U1028" s="46"/>
      <c r="V1028" s="46"/>
      <c r="W1028" s="46"/>
      <c r="X1028" s="46"/>
      <c r="Y1028" s="46"/>
      <c r="Z1028" s="46"/>
      <c r="AA1028" s="46"/>
      <c r="AB1028" s="46"/>
      <c r="AC1028" s="46"/>
      <c r="AD1028" s="46" t="s">
        <v>1033</v>
      </c>
      <c r="AE1028" s="50">
        <f>IF(L1028="W",1,0)</f>
        <v>1</v>
      </c>
      <c r="AF1028" s="50">
        <f>IF(L1028="T",1,0)</f>
        <v>0</v>
      </c>
      <c r="AG1028" s="50">
        <f>IF(L1028="L",1,0)</f>
        <v>0</v>
      </c>
      <c r="AH1028" s="46" t="s">
        <v>1364</v>
      </c>
      <c r="AI1028" s="46" t="s">
        <v>1365</v>
      </c>
      <c r="AJ1028" s="46" t="s">
        <v>376</v>
      </c>
      <c r="AK1028" s="46" t="s">
        <v>658</v>
      </c>
      <c r="AL1028" s="46" t="s">
        <v>1323</v>
      </c>
      <c r="AM1028" s="46" t="s">
        <v>1324</v>
      </c>
      <c r="AN1028" s="46" t="s">
        <v>376</v>
      </c>
      <c r="AO1028" s="46" t="s">
        <v>658</v>
      </c>
      <c r="AP1028" s="46"/>
      <c r="AQ1028" s="46">
        <v>2</v>
      </c>
      <c r="AR1028" s="46"/>
      <c r="AS1028" s="46"/>
      <c r="AT1028" s="46" t="s">
        <v>1383</v>
      </c>
      <c r="AU1028" s="46" t="s">
        <v>376</v>
      </c>
      <c r="AV1028" s="46"/>
      <c r="AW1028" s="46" t="s">
        <v>30</v>
      </c>
      <c r="AX1028" s="46"/>
      <c r="AY1028" s="46"/>
      <c r="AZ1028" s="46" t="s">
        <v>30</v>
      </c>
      <c r="BA1028" s="54"/>
      <c r="BB1028" s="51"/>
      <c r="BC1028" s="46"/>
      <c r="BD1028" s="46"/>
      <c r="BE1028" s="46"/>
      <c r="BF1028" s="46">
        <v>1</v>
      </c>
      <c r="BG1028" s="46">
        <v>1</v>
      </c>
      <c r="BH1028" s="46">
        <v>1</v>
      </c>
      <c r="BI1028" s="46" t="s">
        <v>1363</v>
      </c>
      <c r="BJ1028" s="46" t="s">
        <v>1321</v>
      </c>
      <c r="BK1028" s="46">
        <v>1985</v>
      </c>
      <c r="BL1028" s="46" t="str">
        <f>BK1028&amp;BI1028</f>
        <v>1985Ipswich Town</v>
      </c>
      <c r="BM1028" s="52" t="str">
        <f>IF(AD1028="Home",BI1028,IF(AD1028="Away",BJ1028,Q1028))</f>
        <v>Ipswich Town</v>
      </c>
      <c r="BN1028" s="46"/>
      <c r="BO1028" s="46"/>
      <c r="BP1028" s="46"/>
      <c r="BQ1028" s="46"/>
      <c r="BR1028" s="46"/>
      <c r="BS1028" s="46"/>
      <c r="BT1028" s="46"/>
      <c r="BU1028" s="46"/>
      <c r="BV1028" s="46" t="s">
        <v>376</v>
      </c>
      <c r="BW1028" s="46" t="s">
        <v>376</v>
      </c>
      <c r="BX1028" s="46"/>
      <c r="BZ1028" s="53"/>
      <c r="CA1028" s="53"/>
      <c r="CB1028" s="93" t="str">
        <f>IF(OR(C1028="",A1028="",B1028=""),"",TEXT(C1028,"0000")&amp;TEXT(A1028,"00")&amp;TEXT(B1028,"00"))</f>
        <v>19850223</v>
      </c>
    </row>
    <row r="1029" spans="1:80" s="52" customFormat="1" ht="12.95" customHeight="1" x14ac:dyDescent="0.2">
      <c r="A1029" s="46">
        <v>2</v>
      </c>
      <c r="B1029" s="46">
        <v>23</v>
      </c>
      <c r="C1029" s="46">
        <v>1985</v>
      </c>
      <c r="D1029" s="46" t="s">
        <v>658</v>
      </c>
      <c r="E1029" s="46" t="s">
        <v>533</v>
      </c>
      <c r="F1029" s="54" t="s">
        <v>1327</v>
      </c>
      <c r="G1029" s="46"/>
      <c r="H1029" s="54" t="s">
        <v>1011</v>
      </c>
      <c r="I1029" s="54">
        <v>1</v>
      </c>
      <c r="J1029" s="55">
        <v>31101</v>
      </c>
      <c r="K1029" s="46" t="s">
        <v>1321</v>
      </c>
      <c r="L1029" s="46" t="s">
        <v>4</v>
      </c>
      <c r="M1029" s="46" t="s">
        <v>1363</v>
      </c>
      <c r="N1029" s="49">
        <v>0</v>
      </c>
      <c r="O1029" s="49">
        <v>1</v>
      </c>
      <c r="P1029" s="54" t="s">
        <v>1378</v>
      </c>
      <c r="Q1029" s="54" t="s">
        <v>1364</v>
      </c>
      <c r="R1029" s="54" t="s">
        <v>376</v>
      </c>
      <c r="S1029" s="46"/>
      <c r="T1029" s="46"/>
      <c r="U1029" s="46"/>
      <c r="V1029" s="46"/>
      <c r="W1029" s="46"/>
      <c r="X1029" s="46"/>
      <c r="Y1029" s="46"/>
      <c r="Z1029" s="46"/>
      <c r="AA1029" s="46"/>
      <c r="AB1029" s="46"/>
      <c r="AC1029" s="46"/>
      <c r="AD1029" s="46" t="s">
        <v>1037</v>
      </c>
      <c r="AE1029" s="50">
        <f>IF(L1029="W",1,0)</f>
        <v>0</v>
      </c>
      <c r="AF1029" s="50">
        <f>IF(L1029="T",1,0)</f>
        <v>0</v>
      </c>
      <c r="AG1029" s="50">
        <f>IF(L1029="L",1,0)</f>
        <v>1</v>
      </c>
      <c r="AH1029" s="46" t="s">
        <v>1323</v>
      </c>
      <c r="AI1029" s="46" t="s">
        <v>1324</v>
      </c>
      <c r="AJ1029" s="46" t="s">
        <v>376</v>
      </c>
      <c r="AK1029" s="46" t="s">
        <v>658</v>
      </c>
      <c r="AL1029" s="46" t="s">
        <v>1364</v>
      </c>
      <c r="AM1029" s="46" t="s">
        <v>1365</v>
      </c>
      <c r="AN1029" s="46" t="s">
        <v>376</v>
      </c>
      <c r="AO1029" s="46" t="s">
        <v>658</v>
      </c>
      <c r="AP1029" s="46"/>
      <c r="AQ1029" s="46">
        <v>2</v>
      </c>
      <c r="AR1029" s="46"/>
      <c r="AS1029" s="46"/>
      <c r="AT1029" s="46" t="s">
        <v>1383</v>
      </c>
      <c r="AU1029" s="46" t="s">
        <v>376</v>
      </c>
      <c r="AV1029" s="46"/>
      <c r="AW1029" s="46" t="s">
        <v>30</v>
      </c>
      <c r="AX1029" s="46"/>
      <c r="AY1029" s="46"/>
      <c r="AZ1029" s="46" t="s">
        <v>30</v>
      </c>
      <c r="BA1029" s="54"/>
      <c r="BB1029" s="51"/>
      <c r="BC1029" s="46"/>
      <c r="BD1029" s="46"/>
      <c r="BE1029" s="46"/>
      <c r="BF1029" s="46">
        <v>1</v>
      </c>
      <c r="BG1029" s="46">
        <v>1</v>
      </c>
      <c r="BH1029" s="46">
        <v>1</v>
      </c>
      <c r="BI1029" s="46" t="s">
        <v>1321</v>
      </c>
      <c r="BJ1029" s="46" t="s">
        <v>1363</v>
      </c>
      <c r="BK1029" s="46">
        <v>1985</v>
      </c>
      <c r="BL1029" s="46" t="str">
        <f>BK1029&amp;BI1029</f>
        <v>1985Norwich City</v>
      </c>
      <c r="BM1029" s="52" t="str">
        <f>IF(AD1029="Home",BI1029,IF(AD1029="Away",BJ1029,Q1029))</f>
        <v>Ipswich Town</v>
      </c>
      <c r="BN1029" s="46"/>
      <c r="BO1029" s="46"/>
      <c r="BP1029" s="46"/>
      <c r="BQ1029" s="46"/>
      <c r="BR1029" s="46"/>
      <c r="BS1029" s="46"/>
      <c r="BT1029" s="46"/>
      <c r="BU1029" s="46"/>
      <c r="BV1029" s="46" t="s">
        <v>376</v>
      </c>
      <c r="BW1029" s="46" t="s">
        <v>376</v>
      </c>
      <c r="BX1029" s="46"/>
      <c r="BZ1029" s="53"/>
      <c r="CA1029" s="53"/>
      <c r="CB1029" s="93" t="str">
        <f>IF(OR(C1029="",A1029="",B1029=""),"",TEXT(C1029,"0000")&amp;TEXT(A1029,"00")&amp;TEXT(B1029,"00"))</f>
        <v>19850223</v>
      </c>
    </row>
    <row r="1030" spans="1:80" s="52" customFormat="1" ht="12.95" customHeight="1" x14ac:dyDescent="0.2">
      <c r="A1030" s="46">
        <v>3</v>
      </c>
      <c r="B1030" s="46">
        <v>4</v>
      </c>
      <c r="C1030" s="46">
        <v>1985</v>
      </c>
      <c r="D1030" s="46" t="s">
        <v>658</v>
      </c>
      <c r="E1030" s="46" t="s">
        <v>533</v>
      </c>
      <c r="F1030" s="54" t="s">
        <v>1327</v>
      </c>
      <c r="G1030" s="46"/>
      <c r="H1030" s="54" t="s">
        <v>1011</v>
      </c>
      <c r="I1030" s="54">
        <v>2</v>
      </c>
      <c r="J1030" s="55">
        <v>31110</v>
      </c>
      <c r="K1030" s="46" t="s">
        <v>816</v>
      </c>
      <c r="L1030" s="46" t="s">
        <v>4</v>
      </c>
      <c r="M1030" s="46" t="s">
        <v>793</v>
      </c>
      <c r="N1030" s="49">
        <v>2</v>
      </c>
      <c r="O1030" s="49">
        <v>3</v>
      </c>
      <c r="P1030" s="54" t="s">
        <v>1234</v>
      </c>
      <c r="Q1030" s="54" t="s">
        <v>1017</v>
      </c>
      <c r="R1030" s="54" t="s">
        <v>376</v>
      </c>
      <c r="S1030" s="46"/>
      <c r="T1030" s="46"/>
      <c r="U1030" s="46"/>
      <c r="V1030" s="46"/>
      <c r="W1030" s="46"/>
      <c r="X1030" s="46"/>
      <c r="Y1030" s="46"/>
      <c r="Z1030" s="46"/>
      <c r="AA1030" s="46"/>
      <c r="AB1030" s="46"/>
      <c r="AC1030" s="46"/>
      <c r="AD1030" s="46" t="s">
        <v>1033</v>
      </c>
      <c r="AE1030" s="50">
        <f>IF(L1030="W",1,0)</f>
        <v>0</v>
      </c>
      <c r="AF1030" s="50">
        <f>IF(L1030="T",1,0)</f>
        <v>0</v>
      </c>
      <c r="AG1030" s="50">
        <f>IF(L1030="L",1,0)</f>
        <v>1</v>
      </c>
      <c r="AH1030" s="46" t="s">
        <v>1017</v>
      </c>
      <c r="AI1030" s="46" t="s">
        <v>1018</v>
      </c>
      <c r="AJ1030" s="46" t="s">
        <v>376</v>
      </c>
      <c r="AK1030" s="46" t="s">
        <v>658</v>
      </c>
      <c r="AL1030" s="46" t="s">
        <v>793</v>
      </c>
      <c r="AM1030" s="46" t="s">
        <v>1164</v>
      </c>
      <c r="AN1030" s="46" t="s">
        <v>376</v>
      </c>
      <c r="AO1030" s="46" t="s">
        <v>658</v>
      </c>
      <c r="AP1030" s="46"/>
      <c r="AQ1030" s="46">
        <v>2</v>
      </c>
      <c r="AR1030" s="46"/>
      <c r="AS1030" s="46"/>
      <c r="AT1030" s="46"/>
      <c r="AU1030" s="46" t="s">
        <v>376</v>
      </c>
      <c r="AV1030" s="46"/>
      <c r="AW1030" s="46" t="s">
        <v>30</v>
      </c>
      <c r="AX1030" s="46"/>
      <c r="AY1030" s="46"/>
      <c r="AZ1030" s="46" t="s">
        <v>30</v>
      </c>
      <c r="BA1030" s="54"/>
      <c r="BB1030" s="51"/>
      <c r="BC1030" s="46"/>
      <c r="BD1030" s="46"/>
      <c r="BE1030" s="46"/>
      <c r="BF1030" s="46">
        <v>1</v>
      </c>
      <c r="BG1030" s="46">
        <v>1</v>
      </c>
      <c r="BH1030" s="46">
        <v>1</v>
      </c>
      <c r="BI1030" s="46" t="s">
        <v>816</v>
      </c>
      <c r="BJ1030" s="46" t="s">
        <v>793</v>
      </c>
      <c r="BK1030" s="46">
        <v>1985</v>
      </c>
      <c r="BL1030" s="46" t="str">
        <f>BK1030&amp;BI1030</f>
        <v>1985Chelsea</v>
      </c>
      <c r="BM1030" s="52" t="str">
        <f>IF(AD1030="Home",BI1030,IF(AD1030="Away",BJ1030,Q1030))</f>
        <v>Chelsea</v>
      </c>
      <c r="BN1030" s="46"/>
      <c r="BO1030" s="46"/>
      <c r="BP1030" s="46"/>
      <c r="BQ1030" s="46"/>
      <c r="BR1030" s="46"/>
      <c r="BS1030" s="46"/>
      <c r="BT1030" s="46"/>
      <c r="BU1030" s="46"/>
      <c r="BV1030" s="46" t="s">
        <v>376</v>
      </c>
      <c r="BW1030" s="46" t="s">
        <v>376</v>
      </c>
      <c r="BX1030" s="46"/>
      <c r="BZ1030" s="53"/>
      <c r="CA1030" s="53"/>
      <c r="CB1030" s="93" t="str">
        <f>IF(OR(C1030="",A1030="",B1030=""),"",TEXT(C1030,"0000")&amp;TEXT(A1030,"00")&amp;TEXT(B1030,"00"))</f>
        <v>19850304</v>
      </c>
    </row>
    <row r="1031" spans="1:80" s="52" customFormat="1" ht="12.95" customHeight="1" x14ac:dyDescent="0.2">
      <c r="A1031" s="46">
        <v>3</v>
      </c>
      <c r="B1031" s="46">
        <v>4</v>
      </c>
      <c r="C1031" s="46">
        <v>1985</v>
      </c>
      <c r="D1031" s="46" t="s">
        <v>658</v>
      </c>
      <c r="E1031" s="46" t="s">
        <v>533</v>
      </c>
      <c r="F1031" s="54" t="s">
        <v>1327</v>
      </c>
      <c r="G1031" s="46"/>
      <c r="H1031" s="54" t="s">
        <v>1011</v>
      </c>
      <c r="I1031" s="54">
        <v>2</v>
      </c>
      <c r="J1031" s="55">
        <v>31110</v>
      </c>
      <c r="K1031" s="46" t="s">
        <v>793</v>
      </c>
      <c r="L1031" s="46" t="s">
        <v>3</v>
      </c>
      <c r="M1031" s="46" t="s">
        <v>816</v>
      </c>
      <c r="N1031" s="49">
        <v>3</v>
      </c>
      <c r="O1031" s="49">
        <v>2</v>
      </c>
      <c r="P1031" s="54" t="s">
        <v>1234</v>
      </c>
      <c r="Q1031" s="54" t="s">
        <v>1017</v>
      </c>
      <c r="R1031" s="54" t="s">
        <v>376</v>
      </c>
      <c r="S1031" s="46"/>
      <c r="T1031" s="46"/>
      <c r="U1031" s="46"/>
      <c r="V1031" s="46"/>
      <c r="W1031" s="46"/>
      <c r="X1031" s="46"/>
      <c r="Y1031" s="46"/>
      <c r="Z1031" s="46"/>
      <c r="AA1031" s="46"/>
      <c r="AB1031" s="46"/>
      <c r="AC1031" s="46"/>
      <c r="AD1031" s="46" t="s">
        <v>1037</v>
      </c>
      <c r="AE1031" s="50">
        <f>IF(L1031="W",1,0)</f>
        <v>1</v>
      </c>
      <c r="AF1031" s="50">
        <f>IF(L1031="T",1,0)</f>
        <v>0</v>
      </c>
      <c r="AG1031" s="50">
        <f>IF(L1031="L",1,0)</f>
        <v>0</v>
      </c>
      <c r="AH1031" s="46" t="s">
        <v>793</v>
      </c>
      <c r="AI1031" s="46" t="s">
        <v>1164</v>
      </c>
      <c r="AJ1031" s="46" t="s">
        <v>376</v>
      </c>
      <c r="AK1031" s="46" t="s">
        <v>658</v>
      </c>
      <c r="AL1031" s="46" t="s">
        <v>1017</v>
      </c>
      <c r="AM1031" s="46" t="s">
        <v>1018</v>
      </c>
      <c r="AN1031" s="46" t="s">
        <v>376</v>
      </c>
      <c r="AO1031" s="46" t="s">
        <v>658</v>
      </c>
      <c r="AP1031" s="46"/>
      <c r="AQ1031" s="46">
        <v>2</v>
      </c>
      <c r="AR1031" s="46"/>
      <c r="AS1031" s="46"/>
      <c r="AT1031" s="46"/>
      <c r="AU1031" s="46" t="s">
        <v>376</v>
      </c>
      <c r="AV1031" s="46"/>
      <c r="AW1031" s="46" t="s">
        <v>30</v>
      </c>
      <c r="AX1031" s="46"/>
      <c r="AY1031" s="46"/>
      <c r="AZ1031" s="46" t="s">
        <v>30</v>
      </c>
      <c r="BA1031" s="54"/>
      <c r="BB1031" s="51"/>
      <c r="BC1031" s="46"/>
      <c r="BD1031" s="46"/>
      <c r="BE1031" s="46"/>
      <c r="BF1031" s="46">
        <v>1</v>
      </c>
      <c r="BG1031" s="46">
        <v>1</v>
      </c>
      <c r="BH1031" s="46">
        <v>1</v>
      </c>
      <c r="BI1031" s="46" t="s">
        <v>793</v>
      </c>
      <c r="BJ1031" s="46" t="s">
        <v>816</v>
      </c>
      <c r="BK1031" s="46">
        <v>1985</v>
      </c>
      <c r="BL1031" s="46" t="str">
        <f>BK1031&amp;BI1031</f>
        <v>1985Sunderland</v>
      </c>
      <c r="BM1031" s="52" t="str">
        <f>IF(AD1031="Home",BI1031,IF(AD1031="Away",BJ1031,Q1031))</f>
        <v>Chelsea</v>
      </c>
      <c r="BN1031" s="46"/>
      <c r="BO1031" s="46"/>
      <c r="BP1031" s="46"/>
      <c r="BQ1031" s="46"/>
      <c r="BR1031" s="46"/>
      <c r="BS1031" s="46"/>
      <c r="BT1031" s="46"/>
      <c r="BU1031" s="46"/>
      <c r="BV1031" s="46" t="s">
        <v>376</v>
      </c>
      <c r="BW1031" s="46" t="s">
        <v>376</v>
      </c>
      <c r="BX1031" s="46"/>
      <c r="BZ1031" s="53"/>
      <c r="CA1031" s="53"/>
      <c r="CB1031" s="93" t="str">
        <f>IF(OR(C1031="",A1031="",B1031=""),"",TEXT(C1031,"0000")&amp;TEXT(A1031,"00")&amp;TEXT(B1031,"00"))</f>
        <v>19850304</v>
      </c>
    </row>
    <row r="1032" spans="1:80" s="52" customFormat="1" ht="12.95" customHeight="1" x14ac:dyDescent="0.2">
      <c r="A1032" s="46">
        <v>3</v>
      </c>
      <c r="B1032" s="46">
        <v>6</v>
      </c>
      <c r="C1032" s="46">
        <v>1985</v>
      </c>
      <c r="D1032" s="46" t="s">
        <v>658</v>
      </c>
      <c r="E1032" s="46" t="s">
        <v>533</v>
      </c>
      <c r="F1032" s="54" t="s">
        <v>1327</v>
      </c>
      <c r="G1032" s="46"/>
      <c r="H1032" s="54" t="s">
        <v>1011</v>
      </c>
      <c r="I1032" s="54">
        <v>2</v>
      </c>
      <c r="J1032" s="55">
        <v>31112</v>
      </c>
      <c r="K1032" s="46" t="s">
        <v>1321</v>
      </c>
      <c r="L1032" s="46" t="s">
        <v>3</v>
      </c>
      <c r="M1032" s="46" t="s">
        <v>1363</v>
      </c>
      <c r="N1032" s="49">
        <v>2</v>
      </c>
      <c r="O1032" s="49">
        <v>0</v>
      </c>
      <c r="P1032" s="54" t="s">
        <v>1337</v>
      </c>
      <c r="Q1032" s="54" t="s">
        <v>1323</v>
      </c>
      <c r="R1032" s="54" t="s">
        <v>376</v>
      </c>
      <c r="S1032" s="46"/>
      <c r="T1032" s="46"/>
      <c r="U1032" s="46"/>
      <c r="V1032" s="46"/>
      <c r="W1032" s="46"/>
      <c r="X1032" s="46"/>
      <c r="Y1032" s="46"/>
      <c r="Z1032" s="46"/>
      <c r="AA1032" s="46"/>
      <c r="AB1032" s="46"/>
      <c r="AC1032" s="46"/>
      <c r="AD1032" s="46" t="s">
        <v>1033</v>
      </c>
      <c r="AE1032" s="50">
        <f>IF(L1032="W",1,0)</f>
        <v>1</v>
      </c>
      <c r="AF1032" s="50">
        <f>IF(L1032="T",1,0)</f>
        <v>0</v>
      </c>
      <c r="AG1032" s="50">
        <f>IF(L1032="L",1,0)</f>
        <v>0</v>
      </c>
      <c r="AH1032" s="46" t="s">
        <v>1323</v>
      </c>
      <c r="AI1032" s="46" t="s">
        <v>1324</v>
      </c>
      <c r="AJ1032" s="46" t="s">
        <v>376</v>
      </c>
      <c r="AK1032" s="46" t="s">
        <v>658</v>
      </c>
      <c r="AL1032" s="46" t="s">
        <v>1364</v>
      </c>
      <c r="AM1032" s="46" t="s">
        <v>1365</v>
      </c>
      <c r="AN1032" s="46" t="s">
        <v>376</v>
      </c>
      <c r="AO1032" s="46" t="s">
        <v>658</v>
      </c>
      <c r="AP1032" s="46"/>
      <c r="AQ1032" s="46">
        <v>2</v>
      </c>
      <c r="AR1032" s="46"/>
      <c r="AS1032" s="46"/>
      <c r="AT1032" s="46" t="s">
        <v>1383</v>
      </c>
      <c r="AU1032" s="46" t="s">
        <v>376</v>
      </c>
      <c r="AV1032" s="46"/>
      <c r="AW1032" s="46" t="s">
        <v>30</v>
      </c>
      <c r="AX1032" s="46"/>
      <c r="AY1032" s="46"/>
      <c r="AZ1032" s="46" t="s">
        <v>30</v>
      </c>
      <c r="BA1032" s="54"/>
      <c r="BB1032" s="51"/>
      <c r="BC1032" s="46"/>
      <c r="BD1032" s="46"/>
      <c r="BE1032" s="46"/>
      <c r="BF1032" s="46">
        <v>1</v>
      </c>
      <c r="BG1032" s="46">
        <v>1</v>
      </c>
      <c r="BH1032" s="46">
        <v>1</v>
      </c>
      <c r="BI1032" s="46" t="s">
        <v>1321</v>
      </c>
      <c r="BJ1032" s="46" t="s">
        <v>1363</v>
      </c>
      <c r="BK1032" s="46">
        <v>1985</v>
      </c>
      <c r="BL1032" s="46" t="str">
        <f>BK1032&amp;BI1032</f>
        <v>1985Norwich City</v>
      </c>
      <c r="BM1032" s="52" t="str">
        <f>IF(AD1032="Home",BI1032,IF(AD1032="Away",BJ1032,Q1032))</f>
        <v>Norwich City</v>
      </c>
      <c r="BN1032" s="46"/>
      <c r="BO1032" s="46"/>
      <c r="BP1032" s="46"/>
      <c r="BQ1032" s="46"/>
      <c r="BR1032" s="46"/>
      <c r="BS1032" s="46"/>
      <c r="BT1032" s="46"/>
      <c r="BU1032" s="46"/>
      <c r="BV1032" s="46" t="s">
        <v>376</v>
      </c>
      <c r="BW1032" s="46" t="s">
        <v>376</v>
      </c>
      <c r="BX1032" s="46"/>
      <c r="BY1032" s="35"/>
      <c r="BZ1032" s="53"/>
      <c r="CA1032" s="53"/>
      <c r="CB1032" s="93" t="str">
        <f>IF(OR(C1032="",A1032="",B1032=""),"",TEXT(C1032,"0000")&amp;TEXT(A1032,"00")&amp;TEXT(B1032,"00"))</f>
        <v>19850306</v>
      </c>
    </row>
    <row r="1033" spans="1:80" s="52" customFormat="1" ht="12.95" customHeight="1" x14ac:dyDescent="0.2">
      <c r="A1033" s="46">
        <v>3</v>
      </c>
      <c r="B1033" s="46">
        <v>6</v>
      </c>
      <c r="C1033" s="46">
        <v>1985</v>
      </c>
      <c r="D1033" s="46" t="s">
        <v>658</v>
      </c>
      <c r="E1033" s="46" t="s">
        <v>533</v>
      </c>
      <c r="F1033" s="54" t="s">
        <v>1327</v>
      </c>
      <c r="G1033" s="46"/>
      <c r="H1033" s="54" t="s">
        <v>1011</v>
      </c>
      <c r="I1033" s="54">
        <v>2</v>
      </c>
      <c r="J1033" s="55">
        <v>31112</v>
      </c>
      <c r="K1033" s="46" t="s">
        <v>1363</v>
      </c>
      <c r="L1033" s="46" t="s">
        <v>4</v>
      </c>
      <c r="M1033" s="46" t="s">
        <v>1321</v>
      </c>
      <c r="N1033" s="49">
        <v>0</v>
      </c>
      <c r="O1033" s="49">
        <v>2</v>
      </c>
      <c r="P1033" s="54" t="s">
        <v>1337</v>
      </c>
      <c r="Q1033" s="54" t="s">
        <v>1323</v>
      </c>
      <c r="R1033" s="54" t="s">
        <v>376</v>
      </c>
      <c r="S1033" s="46"/>
      <c r="T1033" s="46"/>
      <c r="U1033" s="46"/>
      <c r="V1033" s="46"/>
      <c r="W1033" s="46"/>
      <c r="X1033" s="46"/>
      <c r="Y1033" s="46"/>
      <c r="Z1033" s="46"/>
      <c r="AA1033" s="46"/>
      <c r="AB1033" s="46"/>
      <c r="AC1033" s="46"/>
      <c r="AD1033" s="46" t="s">
        <v>1037</v>
      </c>
      <c r="AE1033" s="50">
        <f>IF(L1033="W",1,0)</f>
        <v>0</v>
      </c>
      <c r="AF1033" s="50">
        <f>IF(L1033="T",1,0)</f>
        <v>0</v>
      </c>
      <c r="AG1033" s="50">
        <f>IF(L1033="L",1,0)</f>
        <v>1</v>
      </c>
      <c r="AH1033" s="46" t="s">
        <v>1364</v>
      </c>
      <c r="AI1033" s="46" t="s">
        <v>1365</v>
      </c>
      <c r="AJ1033" s="46" t="s">
        <v>376</v>
      </c>
      <c r="AK1033" s="46" t="s">
        <v>658</v>
      </c>
      <c r="AL1033" s="46" t="s">
        <v>1323</v>
      </c>
      <c r="AM1033" s="46" t="s">
        <v>1324</v>
      </c>
      <c r="AN1033" s="46" t="s">
        <v>376</v>
      </c>
      <c r="AO1033" s="46" t="s">
        <v>658</v>
      </c>
      <c r="AP1033" s="46"/>
      <c r="AQ1033" s="46">
        <v>2</v>
      </c>
      <c r="AR1033" s="46"/>
      <c r="AS1033" s="46"/>
      <c r="AT1033" s="46" t="s">
        <v>1383</v>
      </c>
      <c r="AU1033" s="46" t="s">
        <v>376</v>
      </c>
      <c r="AV1033" s="46"/>
      <c r="AW1033" s="46" t="s">
        <v>30</v>
      </c>
      <c r="AX1033" s="46"/>
      <c r="AY1033" s="46"/>
      <c r="AZ1033" s="46" t="s">
        <v>30</v>
      </c>
      <c r="BA1033" s="54"/>
      <c r="BB1033" s="51"/>
      <c r="BC1033" s="46"/>
      <c r="BD1033" s="46"/>
      <c r="BE1033" s="46"/>
      <c r="BF1033" s="46">
        <v>1</v>
      </c>
      <c r="BG1033" s="46">
        <v>1</v>
      </c>
      <c r="BH1033" s="46">
        <v>1</v>
      </c>
      <c r="BI1033" s="46" t="s">
        <v>1363</v>
      </c>
      <c r="BJ1033" s="46" t="s">
        <v>1321</v>
      </c>
      <c r="BK1033" s="46">
        <v>1985</v>
      </c>
      <c r="BL1033" s="46" t="str">
        <f>BK1033&amp;BI1033</f>
        <v>1985Ipswich Town</v>
      </c>
      <c r="BM1033" s="52" t="str">
        <f>IF(AD1033="Home",BI1033,IF(AD1033="Away",BJ1033,Q1033))</f>
        <v>Norwich City</v>
      </c>
      <c r="BN1033" s="46"/>
      <c r="BO1033" s="46"/>
      <c r="BP1033" s="46"/>
      <c r="BQ1033" s="46"/>
      <c r="BR1033" s="46"/>
      <c r="BS1033" s="46"/>
      <c r="BT1033" s="46"/>
      <c r="BU1033" s="46"/>
      <c r="BV1033" s="46" t="s">
        <v>376</v>
      </c>
      <c r="BW1033" s="46" t="s">
        <v>376</v>
      </c>
      <c r="BX1033" s="46"/>
      <c r="BY1033" s="35"/>
      <c r="BZ1033" s="53"/>
      <c r="CA1033" s="53"/>
      <c r="CB1033" s="93" t="str">
        <f>IF(OR(C1033="",A1033="",B1033=""),"",TEXT(C1033,"0000")&amp;TEXT(A1033,"00")&amp;TEXT(B1033,"00"))</f>
        <v>19850306</v>
      </c>
    </row>
    <row r="1034" spans="1:80" s="52" customFormat="1" ht="12.95" customHeight="1" x14ac:dyDescent="0.2">
      <c r="A1034" s="46">
        <v>3</v>
      </c>
      <c r="B1034" s="46">
        <v>24</v>
      </c>
      <c r="C1034" s="46">
        <v>1985</v>
      </c>
      <c r="D1034" s="46" t="s">
        <v>658</v>
      </c>
      <c r="E1034" s="46" t="s">
        <v>533</v>
      </c>
      <c r="F1034" s="54" t="s">
        <v>1327</v>
      </c>
      <c r="G1034" s="46"/>
      <c r="H1034" s="54" t="s">
        <v>40</v>
      </c>
      <c r="I1034" s="54"/>
      <c r="J1034" s="55">
        <v>31130</v>
      </c>
      <c r="K1034" s="46" t="s">
        <v>1321</v>
      </c>
      <c r="L1034" s="46" t="s">
        <v>3</v>
      </c>
      <c r="M1034" s="46" t="s">
        <v>793</v>
      </c>
      <c r="N1034" s="49">
        <v>1</v>
      </c>
      <c r="O1034" s="49">
        <v>0</v>
      </c>
      <c r="P1034" s="54" t="s">
        <v>1268</v>
      </c>
      <c r="Q1034" s="54" t="s">
        <v>1017</v>
      </c>
      <c r="R1034" s="54" t="s">
        <v>376</v>
      </c>
      <c r="S1034" s="46"/>
      <c r="T1034" s="46"/>
      <c r="U1034" s="46"/>
      <c r="V1034" s="46"/>
      <c r="W1034" s="46"/>
      <c r="X1034" s="46"/>
      <c r="Y1034" s="46"/>
      <c r="Z1034" s="46"/>
      <c r="AA1034" s="46"/>
      <c r="AB1034" s="46"/>
      <c r="AC1034" s="46"/>
      <c r="AD1034" s="46"/>
      <c r="AE1034" s="50">
        <f>IF(L1034="W",1,0)</f>
        <v>1</v>
      </c>
      <c r="AF1034" s="50">
        <f>IF(L1034="T",1,0)</f>
        <v>0</v>
      </c>
      <c r="AG1034" s="50">
        <f>IF(L1034="L",1,0)</f>
        <v>0</v>
      </c>
      <c r="AH1034" s="46" t="s">
        <v>1323</v>
      </c>
      <c r="AI1034" s="46" t="s">
        <v>1324</v>
      </c>
      <c r="AJ1034" s="46" t="s">
        <v>376</v>
      </c>
      <c r="AK1034" s="46" t="s">
        <v>658</v>
      </c>
      <c r="AL1034" s="46" t="s">
        <v>793</v>
      </c>
      <c r="AM1034" s="46" t="s">
        <v>1164</v>
      </c>
      <c r="AN1034" s="46" t="s">
        <v>376</v>
      </c>
      <c r="AO1034" s="46" t="s">
        <v>658</v>
      </c>
      <c r="AP1034" s="46"/>
      <c r="AQ1034" s="46">
        <v>1</v>
      </c>
      <c r="AR1034" s="46"/>
      <c r="AS1034" s="46"/>
      <c r="AT1034" s="46"/>
      <c r="AU1034" s="46" t="s">
        <v>376</v>
      </c>
      <c r="AV1034" s="46"/>
      <c r="AW1034" s="46" t="s">
        <v>30</v>
      </c>
      <c r="AX1034" s="46"/>
      <c r="AY1034" s="46"/>
      <c r="AZ1034" s="46" t="s">
        <v>30</v>
      </c>
      <c r="BA1034" s="54"/>
      <c r="BB1034" s="51" t="s">
        <v>30</v>
      </c>
      <c r="BC1034" s="46" t="s">
        <v>30</v>
      </c>
      <c r="BD1034" s="46"/>
      <c r="BE1034" s="46"/>
      <c r="BF1034" s="46">
        <v>1</v>
      </c>
      <c r="BG1034" s="46">
        <v>1</v>
      </c>
      <c r="BH1034" s="46">
        <v>1</v>
      </c>
      <c r="BI1034" s="46" t="s">
        <v>1321</v>
      </c>
      <c r="BJ1034" s="46" t="s">
        <v>793</v>
      </c>
      <c r="BK1034" s="46">
        <v>1985</v>
      </c>
      <c r="BL1034" s="46" t="str">
        <f>BK1034&amp;BI1034</f>
        <v>1985Norwich City</v>
      </c>
      <c r="BM1034" s="52" t="str">
        <f>IF(AD1034="Home",BI1034,IF(AD1034="Away",BJ1034,Q1034))</f>
        <v>London</v>
      </c>
      <c r="BN1034" s="46"/>
      <c r="BO1034" s="46"/>
      <c r="BP1034" s="46"/>
      <c r="BQ1034" s="46"/>
      <c r="BR1034" s="46"/>
      <c r="BS1034" s="46"/>
      <c r="BT1034" s="46"/>
      <c r="BU1034" s="46"/>
      <c r="BV1034" s="46" t="s">
        <v>376</v>
      </c>
      <c r="BW1034" s="46" t="s">
        <v>376</v>
      </c>
      <c r="BX1034" s="46"/>
      <c r="BZ1034" s="53"/>
      <c r="CA1034" s="53"/>
      <c r="CB1034" s="93" t="str">
        <f>IF(OR(C1034="",A1034="",B1034=""),"",TEXT(C1034,"0000")&amp;TEXT(A1034,"00")&amp;TEXT(B1034,"00"))</f>
        <v>19850324</v>
      </c>
    </row>
    <row r="1035" spans="1:80" s="52" customFormat="1" ht="12.95" customHeight="1" x14ac:dyDescent="0.2">
      <c r="A1035" s="46">
        <v>3</v>
      </c>
      <c r="B1035" s="46">
        <v>24</v>
      </c>
      <c r="C1035" s="46">
        <v>1985</v>
      </c>
      <c r="D1035" s="46" t="s">
        <v>658</v>
      </c>
      <c r="E1035" s="46" t="s">
        <v>533</v>
      </c>
      <c r="F1035" s="54" t="s">
        <v>1327</v>
      </c>
      <c r="G1035" s="46"/>
      <c r="H1035" s="54" t="s">
        <v>40</v>
      </c>
      <c r="I1035" s="54"/>
      <c r="J1035" s="55">
        <v>31130</v>
      </c>
      <c r="K1035" s="46" t="s">
        <v>793</v>
      </c>
      <c r="L1035" s="46" t="s">
        <v>4</v>
      </c>
      <c r="M1035" s="46" t="s">
        <v>1321</v>
      </c>
      <c r="N1035" s="49">
        <v>0</v>
      </c>
      <c r="O1035" s="49">
        <v>1</v>
      </c>
      <c r="P1035" s="54" t="s">
        <v>1268</v>
      </c>
      <c r="Q1035" s="54" t="s">
        <v>1017</v>
      </c>
      <c r="R1035" s="54" t="s">
        <v>376</v>
      </c>
      <c r="S1035" s="46"/>
      <c r="T1035" s="46"/>
      <c r="U1035" s="46"/>
      <c r="V1035" s="46"/>
      <c r="W1035" s="46"/>
      <c r="X1035" s="46"/>
      <c r="Y1035" s="46"/>
      <c r="Z1035" s="46"/>
      <c r="AA1035" s="46"/>
      <c r="AB1035" s="46"/>
      <c r="AC1035" s="46"/>
      <c r="AD1035" s="46"/>
      <c r="AE1035" s="50">
        <f>IF(L1035="W",1,0)</f>
        <v>0</v>
      </c>
      <c r="AF1035" s="50">
        <f>IF(L1035="T",1,0)</f>
        <v>0</v>
      </c>
      <c r="AG1035" s="50">
        <f>IF(L1035="L",1,0)</f>
        <v>1</v>
      </c>
      <c r="AH1035" s="46" t="s">
        <v>793</v>
      </c>
      <c r="AI1035" s="46" t="s">
        <v>1164</v>
      </c>
      <c r="AJ1035" s="46" t="s">
        <v>376</v>
      </c>
      <c r="AK1035" s="46" t="s">
        <v>658</v>
      </c>
      <c r="AL1035" s="46" t="s">
        <v>1323</v>
      </c>
      <c r="AM1035" s="46" t="s">
        <v>1324</v>
      </c>
      <c r="AN1035" s="46" t="s">
        <v>376</v>
      </c>
      <c r="AO1035" s="46" t="s">
        <v>658</v>
      </c>
      <c r="AP1035" s="46"/>
      <c r="AQ1035" s="46">
        <v>1</v>
      </c>
      <c r="AR1035" s="46"/>
      <c r="AS1035" s="46"/>
      <c r="AT1035" s="46"/>
      <c r="AU1035" s="46" t="s">
        <v>376</v>
      </c>
      <c r="AV1035" s="46"/>
      <c r="AW1035" s="46" t="s">
        <v>30</v>
      </c>
      <c r="AX1035" s="46"/>
      <c r="AY1035" s="46"/>
      <c r="AZ1035" s="46" t="s">
        <v>30</v>
      </c>
      <c r="BA1035" s="54"/>
      <c r="BB1035" s="51"/>
      <c r="BC1035" s="46" t="s">
        <v>30</v>
      </c>
      <c r="BD1035" s="46"/>
      <c r="BE1035" s="46"/>
      <c r="BF1035" s="46">
        <v>1</v>
      </c>
      <c r="BG1035" s="46">
        <v>1</v>
      </c>
      <c r="BH1035" s="46">
        <v>1</v>
      </c>
      <c r="BI1035" s="46" t="s">
        <v>793</v>
      </c>
      <c r="BJ1035" s="46" t="s">
        <v>1321</v>
      </c>
      <c r="BK1035" s="46">
        <v>1985</v>
      </c>
      <c r="BL1035" s="46" t="str">
        <f>BK1035&amp;BI1035</f>
        <v>1985Sunderland</v>
      </c>
      <c r="BM1035" s="52" t="str">
        <f>IF(AD1035="Home",BI1035,IF(AD1035="Away",BJ1035,Q1035))</f>
        <v>London</v>
      </c>
      <c r="BN1035" s="46"/>
      <c r="BO1035" s="46"/>
      <c r="BP1035" s="46"/>
      <c r="BQ1035" s="46"/>
      <c r="BR1035" s="46"/>
      <c r="BS1035" s="46"/>
      <c r="BT1035" s="46"/>
      <c r="BU1035" s="46"/>
      <c r="BV1035" s="46" t="s">
        <v>376</v>
      </c>
      <c r="BW1035" s="46" t="s">
        <v>376</v>
      </c>
      <c r="BX1035" s="46"/>
      <c r="BZ1035" s="53"/>
      <c r="CA1035" s="53"/>
      <c r="CB1035" s="93" t="str">
        <f>IF(OR(C1035="",A1035="",B1035=""),"",TEXT(C1035,"0000")&amp;TEXT(A1035,"00")&amp;TEXT(B1035,"00"))</f>
        <v>19850324</v>
      </c>
    </row>
    <row r="1036" spans="1:80" s="52" customFormat="1" ht="12.95" customHeight="1" x14ac:dyDescent="0.2">
      <c r="A1036" s="46">
        <v>4</v>
      </c>
      <c r="B1036" s="46">
        <v>13</v>
      </c>
      <c r="C1036" s="46">
        <v>1985</v>
      </c>
      <c r="D1036" s="46" t="s">
        <v>658</v>
      </c>
      <c r="E1036" s="46" t="s">
        <v>533</v>
      </c>
      <c r="F1036" s="47" t="s">
        <v>1010</v>
      </c>
      <c r="G1036" s="46"/>
      <c r="H1036" s="47" t="s">
        <v>1011</v>
      </c>
      <c r="I1036" s="47"/>
      <c r="J1036" s="48">
        <v>31150</v>
      </c>
      <c r="K1036" s="46" t="s">
        <v>821</v>
      </c>
      <c r="L1036" s="46" t="s">
        <v>1014</v>
      </c>
      <c r="M1036" s="46" t="s">
        <v>588</v>
      </c>
      <c r="N1036" s="49">
        <v>2</v>
      </c>
      <c r="O1036" s="49">
        <v>2</v>
      </c>
      <c r="P1036" s="47" t="s">
        <v>1184</v>
      </c>
      <c r="Q1036" s="47" t="s">
        <v>588</v>
      </c>
      <c r="R1036" s="47" t="s">
        <v>376</v>
      </c>
      <c r="S1036" s="46"/>
      <c r="T1036" s="46"/>
      <c r="U1036" s="46"/>
      <c r="V1036" s="46"/>
      <c r="W1036" s="46"/>
      <c r="X1036" s="46"/>
      <c r="Y1036" s="46"/>
      <c r="Z1036" s="46"/>
      <c r="AA1036" s="46"/>
      <c r="AB1036" s="46"/>
      <c r="AC1036" s="46"/>
      <c r="AD1036" s="46"/>
      <c r="AE1036" s="50">
        <f>IF(L1036="W",1,0)</f>
        <v>0</v>
      </c>
      <c r="AF1036" s="50">
        <f>IF(L1036="T",1,0)</f>
        <v>1</v>
      </c>
      <c r="AG1036" s="50">
        <f>IF(L1036="L",1,0)</f>
        <v>0</v>
      </c>
      <c r="AH1036" s="46" t="s">
        <v>1101</v>
      </c>
      <c r="AI1036" s="46" t="s">
        <v>1159</v>
      </c>
      <c r="AJ1036" s="46" t="s">
        <v>376</v>
      </c>
      <c r="AK1036" s="46" t="s">
        <v>658</v>
      </c>
      <c r="AL1036" s="46" t="s">
        <v>588</v>
      </c>
      <c r="AM1036" s="46" t="s">
        <v>1175</v>
      </c>
      <c r="AN1036" s="46" t="s">
        <v>376</v>
      </c>
      <c r="AO1036" s="46" t="s">
        <v>658</v>
      </c>
      <c r="AP1036" s="46"/>
      <c r="AQ1036" s="46">
        <v>2</v>
      </c>
      <c r="AR1036" s="46"/>
      <c r="AS1036" s="46"/>
      <c r="AT1036" s="46" t="s">
        <v>1369</v>
      </c>
      <c r="AU1036" s="46" t="s">
        <v>376</v>
      </c>
      <c r="AV1036" s="46"/>
      <c r="AW1036" s="46" t="s">
        <v>30</v>
      </c>
      <c r="AX1036" s="46"/>
      <c r="AY1036" s="46" t="s">
        <v>30</v>
      </c>
      <c r="AZ1036" s="46"/>
      <c r="BA1036" s="47"/>
      <c r="BB1036" s="51"/>
      <c r="BC1036" s="46"/>
      <c r="BD1036" s="46"/>
      <c r="BE1036" s="46"/>
      <c r="BF1036" s="46">
        <v>1</v>
      </c>
      <c r="BG1036" s="46">
        <v>1</v>
      </c>
      <c r="BH1036" s="46">
        <v>1</v>
      </c>
      <c r="BI1036" s="46" t="s">
        <v>821</v>
      </c>
      <c r="BJ1036" s="46" t="s">
        <v>588</v>
      </c>
      <c r="BK1036" s="46">
        <v>1985</v>
      </c>
      <c r="BL1036" s="46" t="str">
        <f>BK1036&amp;BI1036</f>
        <v>1985Manchester United</v>
      </c>
      <c r="BM1036" s="52" t="str">
        <f>IF(AD1036="Home",BI1036,IF(AD1036="Away",BJ1036,Q1036))</f>
        <v>Liverpool</v>
      </c>
      <c r="BN1036" s="46"/>
      <c r="BO1036" s="46"/>
      <c r="BP1036" s="46"/>
      <c r="BQ1036" s="46"/>
      <c r="BR1036" s="46"/>
      <c r="BS1036" s="46"/>
      <c r="BT1036" s="46"/>
      <c r="BU1036" s="46"/>
      <c r="BV1036" s="46" t="s">
        <v>376</v>
      </c>
      <c r="BW1036" s="46" t="s">
        <v>376</v>
      </c>
      <c r="BX1036" s="46"/>
      <c r="BZ1036" s="53"/>
      <c r="CA1036" s="53"/>
      <c r="CB1036" s="93" t="str">
        <f>IF(OR(C1036="",A1036="",B1036=""),"",TEXT(C1036,"0000")&amp;TEXT(A1036,"00")&amp;TEXT(B1036,"00"))</f>
        <v>19850413</v>
      </c>
    </row>
    <row r="1037" spans="1:80" s="52" customFormat="1" ht="12.95" customHeight="1" x14ac:dyDescent="0.2">
      <c r="A1037" s="46">
        <v>4</v>
      </c>
      <c r="B1037" s="46">
        <v>13</v>
      </c>
      <c r="C1037" s="46">
        <v>1985</v>
      </c>
      <c r="D1037" s="46" t="s">
        <v>658</v>
      </c>
      <c r="E1037" s="46" t="s">
        <v>533</v>
      </c>
      <c r="F1037" s="47" t="s">
        <v>1010</v>
      </c>
      <c r="G1037" s="46"/>
      <c r="H1037" s="47" t="s">
        <v>1011</v>
      </c>
      <c r="I1037" s="47"/>
      <c r="J1037" s="48">
        <v>31150</v>
      </c>
      <c r="K1037" s="46" t="s">
        <v>588</v>
      </c>
      <c r="L1037" s="46" t="s">
        <v>1014</v>
      </c>
      <c r="M1037" s="46" t="s">
        <v>821</v>
      </c>
      <c r="N1037" s="49">
        <v>2</v>
      </c>
      <c r="O1037" s="49">
        <v>2</v>
      </c>
      <c r="P1037" s="47" t="s">
        <v>1184</v>
      </c>
      <c r="Q1037" s="47" t="s">
        <v>588</v>
      </c>
      <c r="R1037" s="47" t="s">
        <v>376</v>
      </c>
      <c r="S1037" s="46"/>
      <c r="T1037" s="46"/>
      <c r="U1037" s="46"/>
      <c r="V1037" s="46"/>
      <c r="W1037" s="46"/>
      <c r="X1037" s="46"/>
      <c r="Y1037" s="46"/>
      <c r="Z1037" s="46"/>
      <c r="AA1037" s="46"/>
      <c r="AB1037" s="46"/>
      <c r="AC1037" s="46"/>
      <c r="AD1037" s="46"/>
      <c r="AE1037" s="50">
        <f>IF(L1037="W",1,0)</f>
        <v>0</v>
      </c>
      <c r="AF1037" s="50">
        <f>IF(L1037="T",1,0)</f>
        <v>1</v>
      </c>
      <c r="AG1037" s="50">
        <f>IF(L1037="L",1,0)</f>
        <v>0</v>
      </c>
      <c r="AH1037" s="46" t="s">
        <v>588</v>
      </c>
      <c r="AI1037" s="46" t="s">
        <v>1175</v>
      </c>
      <c r="AJ1037" s="46" t="s">
        <v>376</v>
      </c>
      <c r="AK1037" s="46" t="s">
        <v>658</v>
      </c>
      <c r="AL1037" s="46" t="s">
        <v>1101</v>
      </c>
      <c r="AM1037" s="46" t="s">
        <v>1159</v>
      </c>
      <c r="AN1037" s="46" t="s">
        <v>376</v>
      </c>
      <c r="AO1037" s="46" t="s">
        <v>658</v>
      </c>
      <c r="AP1037" s="46"/>
      <c r="AQ1037" s="46">
        <v>2</v>
      </c>
      <c r="AR1037" s="46"/>
      <c r="AS1037" s="46"/>
      <c r="AT1037" s="46" t="s">
        <v>1369</v>
      </c>
      <c r="AU1037" s="46" t="s">
        <v>376</v>
      </c>
      <c r="AV1037" s="46"/>
      <c r="AW1037" s="46" t="s">
        <v>30</v>
      </c>
      <c r="AX1037" s="46"/>
      <c r="AY1037" s="46" t="s">
        <v>30</v>
      </c>
      <c r="AZ1037" s="46"/>
      <c r="BA1037" s="47"/>
      <c r="BB1037" s="51"/>
      <c r="BC1037" s="46"/>
      <c r="BD1037" s="46"/>
      <c r="BE1037" s="46"/>
      <c r="BF1037" s="46">
        <v>1</v>
      </c>
      <c r="BG1037" s="46">
        <v>1</v>
      </c>
      <c r="BH1037" s="46">
        <v>1</v>
      </c>
      <c r="BI1037" s="46" t="s">
        <v>588</v>
      </c>
      <c r="BJ1037" s="46" t="s">
        <v>821</v>
      </c>
      <c r="BK1037" s="46">
        <v>1985</v>
      </c>
      <c r="BL1037" s="46" t="str">
        <f>BK1037&amp;BI1037</f>
        <v>1985Liverpool</v>
      </c>
      <c r="BM1037" s="52" t="str">
        <f>IF(AD1037="Home",BI1037,IF(AD1037="Away",BJ1037,Q1037))</f>
        <v>Liverpool</v>
      </c>
      <c r="BN1037" s="46"/>
      <c r="BO1037" s="46"/>
      <c r="BP1037" s="46"/>
      <c r="BQ1037" s="46"/>
      <c r="BR1037" s="46"/>
      <c r="BS1037" s="46"/>
      <c r="BT1037" s="46"/>
      <c r="BU1037" s="46"/>
      <c r="BV1037" s="46" t="s">
        <v>376</v>
      </c>
      <c r="BW1037" s="46" t="s">
        <v>376</v>
      </c>
      <c r="BX1037" s="46"/>
      <c r="BZ1037" s="53"/>
      <c r="CA1037" s="53"/>
      <c r="CB1037" s="93" t="str">
        <f>IF(OR(C1037="",A1037="",B1037=""),"",TEXT(C1037,"0000")&amp;TEXT(A1037,"00")&amp;TEXT(B1037,"00"))</f>
        <v>19850413</v>
      </c>
    </row>
    <row r="1038" spans="1:80" s="52" customFormat="1" ht="12.95" customHeight="1" x14ac:dyDescent="0.2">
      <c r="A1038" s="46">
        <v>4</v>
      </c>
      <c r="B1038" s="46">
        <v>13</v>
      </c>
      <c r="C1038" s="46">
        <v>1985</v>
      </c>
      <c r="D1038" s="46" t="s">
        <v>658</v>
      </c>
      <c r="E1038" s="46" t="s">
        <v>533</v>
      </c>
      <c r="F1038" s="47" t="s">
        <v>1010</v>
      </c>
      <c r="G1038" s="46"/>
      <c r="H1038" s="47" t="s">
        <v>1011</v>
      </c>
      <c r="I1038" s="47"/>
      <c r="J1038" s="48">
        <v>31150</v>
      </c>
      <c r="K1038" s="46" t="s">
        <v>804</v>
      </c>
      <c r="L1038" s="46" t="s">
        <v>3</v>
      </c>
      <c r="M1038" s="46" t="s">
        <v>1322</v>
      </c>
      <c r="N1038" s="49">
        <v>2</v>
      </c>
      <c r="O1038" s="49">
        <v>1</v>
      </c>
      <c r="P1038" s="47" t="s">
        <v>1219</v>
      </c>
      <c r="Q1038" s="47" t="s">
        <v>1111</v>
      </c>
      <c r="R1038" s="47" t="s">
        <v>376</v>
      </c>
      <c r="S1038" s="46"/>
      <c r="T1038" s="46"/>
      <c r="U1038" s="46"/>
      <c r="V1038" s="46"/>
      <c r="W1038" s="46"/>
      <c r="X1038" s="46"/>
      <c r="Y1038" s="46"/>
      <c r="Z1038" s="46"/>
      <c r="AA1038" s="46"/>
      <c r="AB1038" s="46"/>
      <c r="AC1038" s="46"/>
      <c r="AD1038" s="46"/>
      <c r="AE1038" s="50">
        <f>IF(L1038="W",1,0)</f>
        <v>1</v>
      </c>
      <c r="AF1038" s="50">
        <f>IF(L1038="T",1,0)</f>
        <v>0</v>
      </c>
      <c r="AG1038" s="50">
        <f>IF(L1038="L",1,0)</f>
        <v>0</v>
      </c>
      <c r="AH1038" s="46" t="s">
        <v>588</v>
      </c>
      <c r="AI1038" s="46" t="s">
        <v>1175</v>
      </c>
      <c r="AJ1038" s="46" t="s">
        <v>376</v>
      </c>
      <c r="AK1038" s="46" t="s">
        <v>658</v>
      </c>
      <c r="AL1038" s="46" t="s">
        <v>1325</v>
      </c>
      <c r="AM1038" s="46" t="s">
        <v>1326</v>
      </c>
      <c r="AN1038" s="46" t="s">
        <v>376</v>
      </c>
      <c r="AO1038" s="46" t="s">
        <v>658</v>
      </c>
      <c r="AP1038" s="46"/>
      <c r="AQ1038" s="46">
        <v>2</v>
      </c>
      <c r="AR1038" s="46"/>
      <c r="AS1038" s="46"/>
      <c r="AT1038" s="46"/>
      <c r="AU1038" s="46" t="s">
        <v>376</v>
      </c>
      <c r="AV1038" s="46"/>
      <c r="AW1038" s="46" t="s">
        <v>30</v>
      </c>
      <c r="AX1038" s="46"/>
      <c r="AY1038" s="46" t="s">
        <v>30</v>
      </c>
      <c r="AZ1038" s="46"/>
      <c r="BA1038" s="47"/>
      <c r="BB1038" s="51"/>
      <c r="BC1038" s="46"/>
      <c r="BD1038" s="46"/>
      <c r="BE1038" s="46"/>
      <c r="BF1038" s="46">
        <v>1</v>
      </c>
      <c r="BG1038" s="46">
        <v>1</v>
      </c>
      <c r="BH1038" s="46">
        <v>1</v>
      </c>
      <c r="BI1038" s="46" t="s">
        <v>804</v>
      </c>
      <c r="BJ1038" s="46" t="s">
        <v>1322</v>
      </c>
      <c r="BK1038" s="46">
        <v>1985</v>
      </c>
      <c r="BL1038" s="46" t="str">
        <f>BK1038&amp;BI1038</f>
        <v>1985Everton</v>
      </c>
      <c r="BM1038" s="52" t="str">
        <f>IF(AD1038="Home",BI1038,IF(AD1038="Away",BJ1038,Q1038))</f>
        <v>Birmingham</v>
      </c>
      <c r="BN1038" s="46"/>
      <c r="BO1038" s="46"/>
      <c r="BP1038" s="46"/>
      <c r="BQ1038" s="46"/>
      <c r="BR1038" s="46"/>
      <c r="BS1038" s="46"/>
      <c r="BT1038" s="46"/>
      <c r="BU1038" s="46"/>
      <c r="BV1038" s="46" t="s">
        <v>376</v>
      </c>
      <c r="BW1038" s="46" t="s">
        <v>376</v>
      </c>
      <c r="BX1038" s="46"/>
      <c r="BZ1038" s="53"/>
      <c r="CA1038" s="53"/>
      <c r="CB1038" s="93" t="str">
        <f>IF(OR(C1038="",A1038="",B1038=""),"",TEXT(C1038,"0000")&amp;TEXT(A1038,"00")&amp;TEXT(B1038,"00"))</f>
        <v>19850413</v>
      </c>
    </row>
    <row r="1039" spans="1:80" s="52" customFormat="1" ht="12.95" customHeight="1" x14ac:dyDescent="0.2">
      <c r="A1039" s="46">
        <v>4</v>
      </c>
      <c r="B1039" s="46">
        <v>13</v>
      </c>
      <c r="C1039" s="46">
        <v>1985</v>
      </c>
      <c r="D1039" s="46" t="s">
        <v>658</v>
      </c>
      <c r="E1039" s="46" t="s">
        <v>533</v>
      </c>
      <c r="F1039" s="47" t="s">
        <v>1010</v>
      </c>
      <c r="G1039" s="46"/>
      <c r="H1039" s="47" t="s">
        <v>1011</v>
      </c>
      <c r="I1039" s="47"/>
      <c r="J1039" s="48">
        <v>31150</v>
      </c>
      <c r="K1039" s="46" t="s">
        <v>1322</v>
      </c>
      <c r="L1039" s="46" t="s">
        <v>4</v>
      </c>
      <c r="M1039" s="46" t="s">
        <v>804</v>
      </c>
      <c r="N1039" s="49">
        <v>1</v>
      </c>
      <c r="O1039" s="49">
        <v>2</v>
      </c>
      <c r="P1039" s="47" t="s">
        <v>1219</v>
      </c>
      <c r="Q1039" s="47" t="s">
        <v>1111</v>
      </c>
      <c r="R1039" s="47" t="s">
        <v>376</v>
      </c>
      <c r="S1039" s="46"/>
      <c r="T1039" s="46"/>
      <c r="U1039" s="46"/>
      <c r="V1039" s="46"/>
      <c r="W1039" s="46"/>
      <c r="X1039" s="46"/>
      <c r="Y1039" s="46"/>
      <c r="Z1039" s="46"/>
      <c r="AA1039" s="46"/>
      <c r="AB1039" s="46"/>
      <c r="AC1039" s="46"/>
      <c r="AD1039" s="46"/>
      <c r="AE1039" s="50">
        <f>IF(L1039="W",1,0)</f>
        <v>0</v>
      </c>
      <c r="AF1039" s="50">
        <f>IF(L1039="T",1,0)</f>
        <v>0</v>
      </c>
      <c r="AG1039" s="50">
        <f>IF(L1039="L",1,0)</f>
        <v>1</v>
      </c>
      <c r="AH1039" s="46" t="s">
        <v>1325</v>
      </c>
      <c r="AI1039" s="46" t="s">
        <v>1326</v>
      </c>
      <c r="AJ1039" s="46" t="s">
        <v>376</v>
      </c>
      <c r="AK1039" s="46" t="s">
        <v>658</v>
      </c>
      <c r="AL1039" s="46" t="s">
        <v>588</v>
      </c>
      <c r="AM1039" s="46" t="s">
        <v>1175</v>
      </c>
      <c r="AN1039" s="46" t="s">
        <v>376</v>
      </c>
      <c r="AO1039" s="46" t="s">
        <v>658</v>
      </c>
      <c r="AP1039" s="46"/>
      <c r="AQ1039" s="46">
        <v>2</v>
      </c>
      <c r="AR1039" s="46"/>
      <c r="AS1039" s="46"/>
      <c r="AT1039" s="46"/>
      <c r="AU1039" s="46" t="s">
        <v>376</v>
      </c>
      <c r="AV1039" s="46"/>
      <c r="AW1039" s="46" t="s">
        <v>30</v>
      </c>
      <c r="AX1039" s="46"/>
      <c r="AY1039" s="46" t="s">
        <v>30</v>
      </c>
      <c r="AZ1039" s="46"/>
      <c r="BA1039" s="47"/>
      <c r="BB1039" s="51"/>
      <c r="BC1039" s="46"/>
      <c r="BD1039" s="46"/>
      <c r="BE1039" s="46"/>
      <c r="BF1039" s="46">
        <v>1</v>
      </c>
      <c r="BG1039" s="46">
        <v>1</v>
      </c>
      <c r="BH1039" s="46">
        <v>1</v>
      </c>
      <c r="BI1039" s="46" t="s">
        <v>1322</v>
      </c>
      <c r="BJ1039" s="46" t="s">
        <v>804</v>
      </c>
      <c r="BK1039" s="46">
        <v>1985</v>
      </c>
      <c r="BL1039" s="46" t="str">
        <f>BK1039&amp;BI1039</f>
        <v>1985Luton Town</v>
      </c>
      <c r="BM1039" s="52" t="str">
        <f>IF(AD1039="Home",BI1039,IF(AD1039="Away",BJ1039,Q1039))</f>
        <v>Birmingham</v>
      </c>
      <c r="BN1039" s="46"/>
      <c r="BO1039" s="46"/>
      <c r="BP1039" s="46"/>
      <c r="BQ1039" s="46"/>
      <c r="BR1039" s="46"/>
      <c r="BS1039" s="46"/>
      <c r="BT1039" s="46"/>
      <c r="BU1039" s="46"/>
      <c r="BV1039" s="46" t="s">
        <v>376</v>
      </c>
      <c r="BW1039" s="46" t="s">
        <v>376</v>
      </c>
      <c r="BX1039" s="46"/>
      <c r="BZ1039" s="53"/>
      <c r="CA1039" s="53"/>
      <c r="CB1039" s="93" t="str">
        <f>IF(OR(C1039="",A1039="",B1039=""),"",TEXT(C1039,"0000")&amp;TEXT(A1039,"00")&amp;TEXT(B1039,"00"))</f>
        <v>19850413</v>
      </c>
    </row>
    <row r="1040" spans="1:80" s="52" customFormat="1" ht="12.95" customHeight="1" x14ac:dyDescent="0.2">
      <c r="A1040" s="46">
        <v>4</v>
      </c>
      <c r="B1040" s="46">
        <v>17</v>
      </c>
      <c r="C1040" s="46">
        <v>1985</v>
      </c>
      <c r="D1040" s="46" t="s">
        <v>658</v>
      </c>
      <c r="E1040" s="46" t="s">
        <v>533</v>
      </c>
      <c r="F1040" s="47" t="s">
        <v>1010</v>
      </c>
      <c r="G1040" s="46"/>
      <c r="H1040" s="47" t="s">
        <v>1011</v>
      </c>
      <c r="I1040" s="47" t="s">
        <v>1023</v>
      </c>
      <c r="J1040" s="48">
        <v>31154</v>
      </c>
      <c r="K1040" s="46" t="s">
        <v>821</v>
      </c>
      <c r="L1040" s="46" t="s">
        <v>3</v>
      </c>
      <c r="M1040" s="46" t="s">
        <v>588</v>
      </c>
      <c r="N1040" s="49">
        <v>2</v>
      </c>
      <c r="O1040" s="49">
        <v>1</v>
      </c>
      <c r="P1040" s="47" t="s">
        <v>1226</v>
      </c>
      <c r="Q1040" s="47" t="s">
        <v>1101</v>
      </c>
      <c r="R1040" s="47" t="s">
        <v>376</v>
      </c>
      <c r="S1040" s="46"/>
      <c r="T1040" s="46"/>
      <c r="U1040" s="46"/>
      <c r="V1040" s="46"/>
      <c r="W1040" s="46"/>
      <c r="X1040" s="46"/>
      <c r="Y1040" s="46"/>
      <c r="Z1040" s="46"/>
      <c r="AA1040" s="46"/>
      <c r="AB1040" s="46"/>
      <c r="AC1040" s="46"/>
      <c r="AD1040" s="46"/>
      <c r="AE1040" s="50">
        <f>IF(L1040="W",1,0)</f>
        <v>1</v>
      </c>
      <c r="AF1040" s="50">
        <f>IF(L1040="T",1,0)</f>
        <v>0</v>
      </c>
      <c r="AG1040" s="50">
        <f>IF(L1040="L",1,0)</f>
        <v>0</v>
      </c>
      <c r="AH1040" s="46" t="s">
        <v>1101</v>
      </c>
      <c r="AI1040" s="46" t="s">
        <v>1159</v>
      </c>
      <c r="AJ1040" s="46" t="s">
        <v>376</v>
      </c>
      <c r="AK1040" s="46" t="s">
        <v>658</v>
      </c>
      <c r="AL1040" s="46" t="s">
        <v>588</v>
      </c>
      <c r="AM1040" s="46" t="s">
        <v>1175</v>
      </c>
      <c r="AN1040" s="46" t="s">
        <v>376</v>
      </c>
      <c r="AO1040" s="46" t="s">
        <v>658</v>
      </c>
      <c r="AP1040" s="46"/>
      <c r="AQ1040" s="46">
        <v>2</v>
      </c>
      <c r="AR1040" s="46"/>
      <c r="AS1040" s="46"/>
      <c r="AT1040" s="46" t="s">
        <v>1369</v>
      </c>
      <c r="AU1040" s="46" t="s">
        <v>376</v>
      </c>
      <c r="AV1040" s="46"/>
      <c r="AW1040" s="46" t="s">
        <v>30</v>
      </c>
      <c r="AX1040" s="46"/>
      <c r="AY1040" s="46" t="s">
        <v>30</v>
      </c>
      <c r="AZ1040" s="46"/>
      <c r="BA1040" s="47"/>
      <c r="BB1040" s="51"/>
      <c r="BC1040" s="46"/>
      <c r="BD1040" s="46"/>
      <c r="BE1040" s="46"/>
      <c r="BF1040" s="46">
        <v>1</v>
      </c>
      <c r="BG1040" s="46">
        <v>1</v>
      </c>
      <c r="BH1040" s="46">
        <v>1</v>
      </c>
      <c r="BI1040" s="46" t="s">
        <v>821</v>
      </c>
      <c r="BJ1040" s="46" t="s">
        <v>588</v>
      </c>
      <c r="BK1040" s="46">
        <v>1985</v>
      </c>
      <c r="BL1040" s="46" t="str">
        <f>BK1040&amp;BI1040</f>
        <v>1985Manchester United</v>
      </c>
      <c r="BM1040" s="52" t="str">
        <f>IF(AD1040="Home",BI1040,IF(AD1040="Away",BJ1040,Q1040))</f>
        <v>Manchester</v>
      </c>
      <c r="BN1040" s="46"/>
      <c r="BO1040" s="46"/>
      <c r="BP1040" s="46"/>
      <c r="BQ1040" s="46"/>
      <c r="BR1040" s="46"/>
      <c r="BS1040" s="46"/>
      <c r="BT1040" s="46"/>
      <c r="BU1040" s="46"/>
      <c r="BV1040" s="46" t="s">
        <v>376</v>
      </c>
      <c r="BW1040" s="46" t="s">
        <v>376</v>
      </c>
      <c r="BX1040" s="46"/>
      <c r="BZ1040" s="53"/>
      <c r="CA1040" s="53"/>
      <c r="CB1040" s="93" t="str">
        <f>IF(OR(C1040="",A1040="",B1040=""),"",TEXT(C1040,"0000")&amp;TEXT(A1040,"00")&amp;TEXT(B1040,"00"))</f>
        <v>19850417</v>
      </c>
    </row>
    <row r="1041" spans="1:80" s="52" customFormat="1" ht="12.95" customHeight="1" x14ac:dyDescent="0.2">
      <c r="A1041" s="46">
        <v>4</v>
      </c>
      <c r="B1041" s="46">
        <v>17</v>
      </c>
      <c r="C1041" s="46">
        <v>1985</v>
      </c>
      <c r="D1041" s="46" t="s">
        <v>658</v>
      </c>
      <c r="E1041" s="46" t="s">
        <v>533</v>
      </c>
      <c r="F1041" s="47" t="s">
        <v>1010</v>
      </c>
      <c r="G1041" s="46"/>
      <c r="H1041" s="47" t="s">
        <v>1011</v>
      </c>
      <c r="I1041" s="47" t="s">
        <v>1023</v>
      </c>
      <c r="J1041" s="48">
        <v>31154</v>
      </c>
      <c r="K1041" s="46" t="s">
        <v>588</v>
      </c>
      <c r="L1041" s="46" t="s">
        <v>4</v>
      </c>
      <c r="M1041" s="46" t="s">
        <v>821</v>
      </c>
      <c r="N1041" s="49">
        <v>1</v>
      </c>
      <c r="O1041" s="49">
        <v>2</v>
      </c>
      <c r="P1041" s="47" t="s">
        <v>1226</v>
      </c>
      <c r="Q1041" s="47" t="s">
        <v>1101</v>
      </c>
      <c r="R1041" s="47" t="s">
        <v>376</v>
      </c>
      <c r="S1041" s="46"/>
      <c r="T1041" s="46"/>
      <c r="U1041" s="46"/>
      <c r="V1041" s="46"/>
      <c r="W1041" s="46"/>
      <c r="X1041" s="46"/>
      <c r="Y1041" s="46"/>
      <c r="Z1041" s="46"/>
      <c r="AA1041" s="46"/>
      <c r="AB1041" s="46"/>
      <c r="AC1041" s="46"/>
      <c r="AD1041" s="46"/>
      <c r="AE1041" s="50">
        <f>IF(L1041="W",1,0)</f>
        <v>0</v>
      </c>
      <c r="AF1041" s="50">
        <f>IF(L1041="T",1,0)</f>
        <v>0</v>
      </c>
      <c r="AG1041" s="50">
        <f>IF(L1041="L",1,0)</f>
        <v>1</v>
      </c>
      <c r="AH1041" s="46" t="s">
        <v>588</v>
      </c>
      <c r="AI1041" s="46" t="s">
        <v>1175</v>
      </c>
      <c r="AJ1041" s="46" t="s">
        <v>376</v>
      </c>
      <c r="AK1041" s="46" t="s">
        <v>658</v>
      </c>
      <c r="AL1041" s="46" t="s">
        <v>1101</v>
      </c>
      <c r="AM1041" s="46" t="s">
        <v>1159</v>
      </c>
      <c r="AN1041" s="46" t="s">
        <v>376</v>
      </c>
      <c r="AO1041" s="46" t="s">
        <v>658</v>
      </c>
      <c r="AP1041" s="46"/>
      <c r="AQ1041" s="46">
        <v>2</v>
      </c>
      <c r="AR1041" s="46"/>
      <c r="AS1041" s="46"/>
      <c r="AT1041" s="46" t="s">
        <v>1369</v>
      </c>
      <c r="AU1041" s="46" t="s">
        <v>376</v>
      </c>
      <c r="AV1041" s="46"/>
      <c r="AW1041" s="46" t="s">
        <v>30</v>
      </c>
      <c r="AX1041" s="46"/>
      <c r="AY1041" s="46" t="s">
        <v>30</v>
      </c>
      <c r="AZ1041" s="46"/>
      <c r="BA1041" s="47"/>
      <c r="BB1041" s="51"/>
      <c r="BC1041" s="46"/>
      <c r="BD1041" s="46"/>
      <c r="BE1041" s="46"/>
      <c r="BF1041" s="46">
        <v>1</v>
      </c>
      <c r="BG1041" s="46">
        <v>1</v>
      </c>
      <c r="BH1041" s="46">
        <v>1</v>
      </c>
      <c r="BI1041" s="46" t="s">
        <v>588</v>
      </c>
      <c r="BJ1041" s="46" t="s">
        <v>821</v>
      </c>
      <c r="BK1041" s="46">
        <v>1985</v>
      </c>
      <c r="BL1041" s="46" t="str">
        <f>BK1041&amp;BI1041</f>
        <v>1985Liverpool</v>
      </c>
      <c r="BM1041" s="52" t="str">
        <f>IF(AD1041="Home",BI1041,IF(AD1041="Away",BJ1041,Q1041))</f>
        <v>Manchester</v>
      </c>
      <c r="BN1041" s="46"/>
      <c r="BO1041" s="46"/>
      <c r="BP1041" s="46"/>
      <c r="BQ1041" s="46"/>
      <c r="BR1041" s="46"/>
      <c r="BS1041" s="46"/>
      <c r="BT1041" s="46"/>
      <c r="BU1041" s="46"/>
      <c r="BV1041" s="46" t="s">
        <v>376</v>
      </c>
      <c r="BW1041" s="46" t="s">
        <v>376</v>
      </c>
      <c r="BX1041" s="46"/>
      <c r="BZ1041" s="53"/>
      <c r="CA1041" s="53"/>
      <c r="CB1041" s="93" t="str">
        <f>IF(OR(C1041="",A1041="",B1041=""),"",TEXT(C1041,"0000")&amp;TEXT(A1041,"00")&amp;TEXT(B1041,"00"))</f>
        <v>19850417</v>
      </c>
    </row>
    <row r="1042" spans="1:80" s="52" customFormat="1" ht="12.95" customHeight="1" x14ac:dyDescent="0.2">
      <c r="A1042" s="46">
        <v>5</v>
      </c>
      <c r="B1042" s="46">
        <v>18</v>
      </c>
      <c r="C1042" s="46">
        <v>1985</v>
      </c>
      <c r="D1042" s="46" t="s">
        <v>658</v>
      </c>
      <c r="E1042" s="46" t="s">
        <v>533</v>
      </c>
      <c r="F1042" s="47" t="s">
        <v>1010</v>
      </c>
      <c r="G1042" s="46"/>
      <c r="H1042" s="47" t="s">
        <v>1025</v>
      </c>
      <c r="I1042" s="47"/>
      <c r="J1042" s="48">
        <v>31185</v>
      </c>
      <c r="K1042" s="46" t="s">
        <v>821</v>
      </c>
      <c r="L1042" s="46" t="s">
        <v>3</v>
      </c>
      <c r="M1042" s="46" t="s">
        <v>804</v>
      </c>
      <c r="N1042" s="49">
        <v>1</v>
      </c>
      <c r="O1042" s="49">
        <v>0</v>
      </c>
      <c r="P1042" s="47" t="s">
        <v>1268</v>
      </c>
      <c r="Q1042" s="47" t="s">
        <v>1017</v>
      </c>
      <c r="R1042" s="47" t="s">
        <v>376</v>
      </c>
      <c r="S1042" s="46"/>
      <c r="T1042" s="46"/>
      <c r="U1042" s="46"/>
      <c r="V1042" s="46"/>
      <c r="W1042" s="46"/>
      <c r="X1042" s="46"/>
      <c r="Y1042" s="46"/>
      <c r="Z1042" s="46"/>
      <c r="AA1042" s="46"/>
      <c r="AB1042" s="46"/>
      <c r="AC1042" s="46"/>
      <c r="AD1042" s="46"/>
      <c r="AE1042" s="50">
        <f>IF(L1042="W",1,0)</f>
        <v>1</v>
      </c>
      <c r="AF1042" s="50">
        <f>IF(L1042="T",1,0)</f>
        <v>0</v>
      </c>
      <c r="AG1042" s="50">
        <f>IF(L1042="L",1,0)</f>
        <v>0</v>
      </c>
      <c r="AH1042" s="46" t="s">
        <v>1101</v>
      </c>
      <c r="AI1042" s="46" t="s">
        <v>1159</v>
      </c>
      <c r="AJ1042" s="46" t="s">
        <v>376</v>
      </c>
      <c r="AK1042" s="46" t="s">
        <v>658</v>
      </c>
      <c r="AL1042" s="46" t="s">
        <v>588</v>
      </c>
      <c r="AM1042" s="46" t="s">
        <v>1175</v>
      </c>
      <c r="AN1042" s="46" t="s">
        <v>376</v>
      </c>
      <c r="AO1042" s="46" t="s">
        <v>658</v>
      </c>
      <c r="AP1042" s="46"/>
      <c r="AQ1042" s="46">
        <v>1</v>
      </c>
      <c r="AR1042" s="46"/>
      <c r="AS1042" s="46"/>
      <c r="AT1042" s="46"/>
      <c r="AU1042" s="46" t="s">
        <v>376</v>
      </c>
      <c r="AV1042" s="46"/>
      <c r="AW1042" s="46" t="s">
        <v>30</v>
      </c>
      <c r="AX1042" s="46"/>
      <c r="AY1042" s="46" t="s">
        <v>30</v>
      </c>
      <c r="AZ1042" s="46"/>
      <c r="BA1042" s="47"/>
      <c r="BB1042" s="51" t="s">
        <v>30</v>
      </c>
      <c r="BC1042" s="46" t="s">
        <v>30</v>
      </c>
      <c r="BD1042" s="46"/>
      <c r="BE1042" s="46"/>
      <c r="BF1042" s="46">
        <v>1</v>
      </c>
      <c r="BG1042" s="46">
        <v>1</v>
      </c>
      <c r="BH1042" s="46">
        <v>1</v>
      </c>
      <c r="BI1042" s="46" t="s">
        <v>821</v>
      </c>
      <c r="BJ1042" s="46" t="s">
        <v>804</v>
      </c>
      <c r="BK1042" s="46">
        <v>1985</v>
      </c>
      <c r="BL1042" s="46" t="str">
        <f>BK1042&amp;BI1042</f>
        <v>1985Manchester United</v>
      </c>
      <c r="BM1042" s="52" t="str">
        <f>IF(AD1042="Home",BI1042,IF(AD1042="Away",BJ1042,Q1042))</f>
        <v>London</v>
      </c>
      <c r="BN1042" s="46"/>
      <c r="BO1042" s="46"/>
      <c r="BP1042" s="46"/>
      <c r="BQ1042" s="46"/>
      <c r="BR1042" s="46"/>
      <c r="BS1042" s="46"/>
      <c r="BT1042" s="46"/>
      <c r="BU1042" s="46"/>
      <c r="BV1042" s="46" t="s">
        <v>376</v>
      </c>
      <c r="BW1042" s="46" t="s">
        <v>376</v>
      </c>
      <c r="BX1042" s="46"/>
      <c r="BZ1042" s="53"/>
      <c r="CA1042" s="53"/>
      <c r="CB1042" s="93" t="str">
        <f>IF(OR(C1042="",A1042="",B1042=""),"",TEXT(C1042,"0000")&amp;TEXT(A1042,"00")&amp;TEXT(B1042,"00"))</f>
        <v>19850518</v>
      </c>
    </row>
    <row r="1043" spans="1:80" s="52" customFormat="1" ht="12.95" customHeight="1" x14ac:dyDescent="0.2">
      <c r="A1043" s="46">
        <v>5</v>
      </c>
      <c r="B1043" s="46">
        <v>18</v>
      </c>
      <c r="C1043" s="46">
        <v>1985</v>
      </c>
      <c r="D1043" s="46" t="s">
        <v>658</v>
      </c>
      <c r="E1043" s="46" t="s">
        <v>533</v>
      </c>
      <c r="F1043" s="47" t="s">
        <v>1010</v>
      </c>
      <c r="G1043" s="46"/>
      <c r="H1043" s="47" t="s">
        <v>1025</v>
      </c>
      <c r="I1043" s="47"/>
      <c r="J1043" s="48">
        <v>31185</v>
      </c>
      <c r="K1043" s="46" t="s">
        <v>804</v>
      </c>
      <c r="L1043" s="46" t="s">
        <v>4</v>
      </c>
      <c r="M1043" s="46" t="s">
        <v>821</v>
      </c>
      <c r="N1043" s="49">
        <v>0</v>
      </c>
      <c r="O1043" s="49">
        <v>1</v>
      </c>
      <c r="P1043" s="47" t="s">
        <v>1268</v>
      </c>
      <c r="Q1043" s="47" t="s">
        <v>1017</v>
      </c>
      <c r="R1043" s="47" t="s">
        <v>376</v>
      </c>
      <c r="S1043" s="46"/>
      <c r="T1043" s="46"/>
      <c r="U1043" s="46"/>
      <c r="V1043" s="46"/>
      <c r="W1043" s="46"/>
      <c r="X1043" s="46"/>
      <c r="Y1043" s="46"/>
      <c r="Z1043" s="46"/>
      <c r="AA1043" s="46"/>
      <c r="AB1043" s="46"/>
      <c r="AC1043" s="46"/>
      <c r="AD1043" s="46"/>
      <c r="AE1043" s="50">
        <f>IF(L1043="W",1,0)</f>
        <v>0</v>
      </c>
      <c r="AF1043" s="50">
        <f>IF(L1043="T",1,0)</f>
        <v>0</v>
      </c>
      <c r="AG1043" s="50">
        <f>IF(L1043="L",1,0)</f>
        <v>1</v>
      </c>
      <c r="AH1043" s="46" t="s">
        <v>588</v>
      </c>
      <c r="AI1043" s="46" t="s">
        <v>1175</v>
      </c>
      <c r="AJ1043" s="46" t="s">
        <v>376</v>
      </c>
      <c r="AK1043" s="46" t="s">
        <v>658</v>
      </c>
      <c r="AL1043" s="46" t="s">
        <v>1101</v>
      </c>
      <c r="AM1043" s="46" t="s">
        <v>1159</v>
      </c>
      <c r="AN1043" s="46" t="s">
        <v>376</v>
      </c>
      <c r="AO1043" s="46" t="s">
        <v>658</v>
      </c>
      <c r="AP1043" s="46"/>
      <c r="AQ1043" s="46">
        <v>1</v>
      </c>
      <c r="AR1043" s="46"/>
      <c r="AS1043" s="46"/>
      <c r="AT1043" s="46"/>
      <c r="AU1043" s="46" t="s">
        <v>376</v>
      </c>
      <c r="AV1043" s="46"/>
      <c r="AW1043" s="46" t="s">
        <v>30</v>
      </c>
      <c r="AX1043" s="46"/>
      <c r="AY1043" s="46" t="s">
        <v>30</v>
      </c>
      <c r="AZ1043" s="46"/>
      <c r="BA1043" s="47"/>
      <c r="BB1043" s="51"/>
      <c r="BC1043" s="46" t="s">
        <v>30</v>
      </c>
      <c r="BD1043" s="46"/>
      <c r="BE1043" s="46"/>
      <c r="BF1043" s="46">
        <v>1</v>
      </c>
      <c r="BG1043" s="46">
        <v>1</v>
      </c>
      <c r="BH1043" s="46">
        <v>1</v>
      </c>
      <c r="BI1043" s="46" t="s">
        <v>804</v>
      </c>
      <c r="BJ1043" s="46" t="s">
        <v>821</v>
      </c>
      <c r="BK1043" s="46">
        <v>1985</v>
      </c>
      <c r="BL1043" s="46" t="str">
        <f>BK1043&amp;BI1043</f>
        <v>1985Everton</v>
      </c>
      <c r="BM1043" s="52" t="str">
        <f>IF(AD1043="Home",BI1043,IF(AD1043="Away",BJ1043,Q1043))</f>
        <v>London</v>
      </c>
      <c r="BN1043" s="46"/>
      <c r="BO1043" s="46"/>
      <c r="BP1043" s="46"/>
      <c r="BQ1043" s="46"/>
      <c r="BR1043" s="46"/>
      <c r="BS1043" s="46"/>
      <c r="BT1043" s="46"/>
      <c r="BU1043" s="46"/>
      <c r="BV1043" s="46" t="s">
        <v>376</v>
      </c>
      <c r="BW1043" s="46" t="s">
        <v>376</v>
      </c>
      <c r="BX1043" s="46"/>
      <c r="BZ1043" s="53"/>
      <c r="CA1043" s="53"/>
      <c r="CB1043" s="93" t="str">
        <f>IF(OR(C1043="",A1043="",B1043=""),"",TEXT(C1043,"0000")&amp;TEXT(A1043,"00")&amp;TEXT(B1043,"00"))</f>
        <v>19850518</v>
      </c>
    </row>
    <row r="1044" spans="1:80" s="52" customFormat="1" ht="12.95" customHeight="1" x14ac:dyDescent="0.2">
      <c r="A1044" s="46">
        <v>2</v>
      </c>
      <c r="B1044" s="46">
        <v>12</v>
      </c>
      <c r="C1044" s="46">
        <v>1986</v>
      </c>
      <c r="D1044" s="46" t="s">
        <v>658</v>
      </c>
      <c r="E1044" s="46" t="s">
        <v>532</v>
      </c>
      <c r="F1044" s="54" t="s">
        <v>1327</v>
      </c>
      <c r="G1044" s="46"/>
      <c r="H1044" s="54" t="s">
        <v>1011</v>
      </c>
      <c r="I1044" s="54">
        <v>1</v>
      </c>
      <c r="J1044" s="55">
        <v>31455</v>
      </c>
      <c r="K1044" s="46" t="s">
        <v>1349</v>
      </c>
      <c r="L1044" s="46" t="s">
        <v>3</v>
      </c>
      <c r="M1044" s="46" t="s">
        <v>588</v>
      </c>
      <c r="N1044" s="49">
        <v>1</v>
      </c>
      <c r="O1044" s="49">
        <v>0</v>
      </c>
      <c r="P1044" s="54" t="s">
        <v>1350</v>
      </c>
      <c r="Q1044" s="54" t="s">
        <v>1017</v>
      </c>
      <c r="R1044" s="54" t="s">
        <v>376</v>
      </c>
      <c r="S1044" s="46"/>
      <c r="T1044" s="46"/>
      <c r="U1044" s="46"/>
      <c r="V1044" s="46"/>
      <c r="W1044" s="46"/>
      <c r="X1044" s="46"/>
      <c r="Y1044" s="46"/>
      <c r="Z1044" s="46"/>
      <c r="AA1044" s="46"/>
      <c r="AB1044" s="46"/>
      <c r="AC1044" s="46"/>
      <c r="AD1044" s="46" t="s">
        <v>1033</v>
      </c>
      <c r="AE1044" s="50">
        <f>IF(L1044="W",1,0)</f>
        <v>1</v>
      </c>
      <c r="AF1044" s="50">
        <f>IF(L1044="T",1,0)</f>
        <v>0</v>
      </c>
      <c r="AG1044" s="50">
        <f>IF(L1044="L",1,0)</f>
        <v>0</v>
      </c>
      <c r="AH1044" s="46" t="s">
        <v>1017</v>
      </c>
      <c r="AI1044" s="46" t="s">
        <v>1018</v>
      </c>
      <c r="AJ1044" s="46" t="s">
        <v>376</v>
      </c>
      <c r="AK1044" s="46" t="s">
        <v>658</v>
      </c>
      <c r="AL1044" s="46" t="s">
        <v>588</v>
      </c>
      <c r="AM1044" s="46" t="s">
        <v>1175</v>
      </c>
      <c r="AN1044" s="46" t="s">
        <v>376</v>
      </c>
      <c r="AO1044" s="46" t="s">
        <v>658</v>
      </c>
      <c r="AP1044" s="46"/>
      <c r="AQ1044" s="46">
        <v>2</v>
      </c>
      <c r="AR1044" s="46"/>
      <c r="AS1044" s="46"/>
      <c r="AT1044" s="46"/>
      <c r="AU1044" s="46" t="s">
        <v>376</v>
      </c>
      <c r="AV1044" s="46"/>
      <c r="AW1044" s="46" t="s">
        <v>30</v>
      </c>
      <c r="AX1044" s="46"/>
      <c r="AY1044" s="46"/>
      <c r="AZ1044" s="46" t="s">
        <v>30</v>
      </c>
      <c r="BA1044" s="54"/>
      <c r="BB1044" s="51"/>
      <c r="BC1044" s="46"/>
      <c r="BD1044" s="46"/>
      <c r="BE1044" s="46"/>
      <c r="BF1044" s="46">
        <v>1</v>
      </c>
      <c r="BG1044" s="46">
        <v>1</v>
      </c>
      <c r="BH1044" s="46">
        <v>1</v>
      </c>
      <c r="BI1044" s="46" t="s">
        <v>1349</v>
      </c>
      <c r="BJ1044" s="46" t="s">
        <v>588</v>
      </c>
      <c r="BK1044" s="46">
        <v>1986</v>
      </c>
      <c r="BL1044" s="46" t="str">
        <f>BK1044&amp;BI1044</f>
        <v>1986Queens Park Rangers</v>
      </c>
      <c r="BM1044" s="52" t="str">
        <f>IF(AD1044="Home",BI1044,IF(AD1044="Away",BJ1044,Q1044))</f>
        <v>Queens Park Rangers</v>
      </c>
      <c r="BN1044" s="46"/>
      <c r="BO1044" s="46"/>
      <c r="BP1044" s="46"/>
      <c r="BQ1044" s="46"/>
      <c r="BR1044" s="46"/>
      <c r="BS1044" s="46"/>
      <c r="BT1044" s="46"/>
      <c r="BU1044" s="46"/>
      <c r="BV1044" s="46" t="s">
        <v>376</v>
      </c>
      <c r="BW1044" s="46" t="s">
        <v>376</v>
      </c>
      <c r="BX1044" s="46"/>
      <c r="BZ1044" s="53"/>
      <c r="CA1044" s="53"/>
      <c r="CB1044" s="93" t="str">
        <f>IF(OR(C1044="",A1044="",B1044=""),"",TEXT(C1044,"0000")&amp;TEXT(A1044,"00")&amp;TEXT(B1044,"00"))</f>
        <v>19860212</v>
      </c>
    </row>
    <row r="1045" spans="1:80" s="52" customFormat="1" ht="12.95" customHeight="1" x14ac:dyDescent="0.2">
      <c r="A1045" s="46">
        <v>2</v>
      </c>
      <c r="B1045" s="46">
        <v>12</v>
      </c>
      <c r="C1045" s="46">
        <v>1986</v>
      </c>
      <c r="D1045" s="46" t="s">
        <v>658</v>
      </c>
      <c r="E1045" s="46" t="s">
        <v>532</v>
      </c>
      <c r="F1045" s="54" t="s">
        <v>1327</v>
      </c>
      <c r="G1045" s="46"/>
      <c r="H1045" s="54" t="s">
        <v>1011</v>
      </c>
      <c r="I1045" s="54">
        <v>1</v>
      </c>
      <c r="J1045" s="55">
        <v>31455</v>
      </c>
      <c r="K1045" s="46" t="s">
        <v>588</v>
      </c>
      <c r="L1045" s="46" t="s">
        <v>4</v>
      </c>
      <c r="M1045" s="46" t="s">
        <v>1349</v>
      </c>
      <c r="N1045" s="49">
        <v>0</v>
      </c>
      <c r="O1045" s="49">
        <v>1</v>
      </c>
      <c r="P1045" s="54" t="s">
        <v>1350</v>
      </c>
      <c r="Q1045" s="54" t="s">
        <v>1017</v>
      </c>
      <c r="R1045" s="54" t="s">
        <v>376</v>
      </c>
      <c r="S1045" s="46"/>
      <c r="T1045" s="46"/>
      <c r="U1045" s="46"/>
      <c r="V1045" s="46"/>
      <c r="W1045" s="46"/>
      <c r="X1045" s="46"/>
      <c r="Y1045" s="46"/>
      <c r="Z1045" s="46"/>
      <c r="AA1045" s="46"/>
      <c r="AB1045" s="46"/>
      <c r="AC1045" s="46"/>
      <c r="AD1045" s="46" t="s">
        <v>1037</v>
      </c>
      <c r="AE1045" s="50">
        <f>IF(L1045="W",1,0)</f>
        <v>0</v>
      </c>
      <c r="AF1045" s="50">
        <f>IF(L1045="T",1,0)</f>
        <v>0</v>
      </c>
      <c r="AG1045" s="50">
        <f>IF(L1045="L",1,0)</f>
        <v>1</v>
      </c>
      <c r="AH1045" s="46" t="s">
        <v>588</v>
      </c>
      <c r="AI1045" s="46" t="s">
        <v>1175</v>
      </c>
      <c r="AJ1045" s="46" t="s">
        <v>376</v>
      </c>
      <c r="AK1045" s="46" t="s">
        <v>658</v>
      </c>
      <c r="AL1045" s="46" t="s">
        <v>1017</v>
      </c>
      <c r="AM1045" s="46" t="s">
        <v>1018</v>
      </c>
      <c r="AN1045" s="46" t="s">
        <v>376</v>
      </c>
      <c r="AO1045" s="46" t="s">
        <v>658</v>
      </c>
      <c r="AP1045" s="46"/>
      <c r="AQ1045" s="46">
        <v>2</v>
      </c>
      <c r="AR1045" s="46"/>
      <c r="AS1045" s="46"/>
      <c r="AT1045" s="46"/>
      <c r="AU1045" s="46" t="s">
        <v>376</v>
      </c>
      <c r="AV1045" s="46"/>
      <c r="AW1045" s="46" t="s">
        <v>30</v>
      </c>
      <c r="AX1045" s="46"/>
      <c r="AY1045" s="46"/>
      <c r="AZ1045" s="46" t="s">
        <v>30</v>
      </c>
      <c r="BA1045" s="54"/>
      <c r="BB1045" s="51"/>
      <c r="BC1045" s="46"/>
      <c r="BD1045" s="46"/>
      <c r="BE1045" s="46"/>
      <c r="BF1045" s="46">
        <v>1</v>
      </c>
      <c r="BG1045" s="46">
        <v>1</v>
      </c>
      <c r="BH1045" s="46">
        <v>1</v>
      </c>
      <c r="BI1045" s="46" t="s">
        <v>588</v>
      </c>
      <c r="BJ1045" s="46" t="s">
        <v>1349</v>
      </c>
      <c r="BK1045" s="46">
        <v>1986</v>
      </c>
      <c r="BL1045" s="46" t="str">
        <f>BK1045&amp;BI1045</f>
        <v>1986Liverpool</v>
      </c>
      <c r="BM1045" s="52" t="str">
        <f>IF(AD1045="Home",BI1045,IF(AD1045="Away",BJ1045,Q1045))</f>
        <v>Queens Park Rangers</v>
      </c>
      <c r="BN1045" s="46"/>
      <c r="BO1045" s="46"/>
      <c r="BP1045" s="46"/>
      <c r="BQ1045" s="46"/>
      <c r="BR1045" s="46"/>
      <c r="BS1045" s="46"/>
      <c r="BT1045" s="46"/>
      <c r="BU1045" s="46"/>
      <c r="BV1045" s="46" t="s">
        <v>376</v>
      </c>
      <c r="BW1045" s="46" t="s">
        <v>376</v>
      </c>
      <c r="BX1045" s="46"/>
      <c r="BZ1045" s="53"/>
      <c r="CA1045" s="53"/>
      <c r="CB1045" s="93" t="str">
        <f>IF(OR(C1045="",A1045="",B1045=""),"",TEXT(C1045,"0000")&amp;TEXT(A1045,"00")&amp;TEXT(B1045,"00"))</f>
        <v>19860212</v>
      </c>
    </row>
    <row r="1046" spans="1:80" s="52" customFormat="1" ht="12.95" customHeight="1" x14ac:dyDescent="0.2">
      <c r="A1046" s="46">
        <v>2</v>
      </c>
      <c r="B1046" s="46">
        <v>12</v>
      </c>
      <c r="C1046" s="46">
        <v>1986</v>
      </c>
      <c r="D1046" s="46" t="s">
        <v>658</v>
      </c>
      <c r="E1046" s="46" t="s">
        <v>532</v>
      </c>
      <c r="F1046" s="54" t="s">
        <v>1327</v>
      </c>
      <c r="G1046" s="46"/>
      <c r="H1046" s="54" t="s">
        <v>1011</v>
      </c>
      <c r="I1046" s="54">
        <v>1</v>
      </c>
      <c r="J1046" s="55">
        <v>31455</v>
      </c>
      <c r="K1046" s="46" t="s">
        <v>806</v>
      </c>
      <c r="L1046" s="46" t="s">
        <v>1014</v>
      </c>
      <c r="M1046" s="46" t="s">
        <v>1384</v>
      </c>
      <c r="N1046" s="49">
        <v>2</v>
      </c>
      <c r="O1046" s="49">
        <v>2</v>
      </c>
      <c r="P1046" s="54" t="s">
        <v>1219</v>
      </c>
      <c r="Q1046" s="54" t="s">
        <v>1111</v>
      </c>
      <c r="R1046" s="54" t="s">
        <v>376</v>
      </c>
      <c r="S1046" s="46"/>
      <c r="T1046" s="46"/>
      <c r="U1046" s="46"/>
      <c r="V1046" s="46"/>
      <c r="W1046" s="46"/>
      <c r="X1046" s="46"/>
      <c r="Y1046" s="46"/>
      <c r="Z1046" s="46"/>
      <c r="AA1046" s="46"/>
      <c r="AB1046" s="46"/>
      <c r="AC1046" s="46"/>
      <c r="AD1046" s="46" t="s">
        <v>1033</v>
      </c>
      <c r="AE1046" s="50">
        <f>IF(L1046="W",1,0)</f>
        <v>0</v>
      </c>
      <c r="AF1046" s="50">
        <f>IF(L1046="T",1,0)</f>
        <v>1</v>
      </c>
      <c r="AG1046" s="50">
        <f>IF(L1046="L",1,0)</f>
        <v>0</v>
      </c>
      <c r="AH1046" s="46" t="s">
        <v>1111</v>
      </c>
      <c r="AI1046" s="46" t="s">
        <v>1126</v>
      </c>
      <c r="AJ1046" s="46" t="s">
        <v>376</v>
      </c>
      <c r="AK1046" s="46" t="s">
        <v>658</v>
      </c>
      <c r="AL1046" s="46" t="s">
        <v>1032</v>
      </c>
      <c r="AM1046" s="46" t="s">
        <v>1034</v>
      </c>
      <c r="AN1046" s="46" t="s">
        <v>376</v>
      </c>
      <c r="AO1046" s="46" t="s">
        <v>658</v>
      </c>
      <c r="AP1046" s="46"/>
      <c r="AQ1046" s="46">
        <v>2</v>
      </c>
      <c r="AR1046" s="46"/>
      <c r="AS1046" s="46"/>
      <c r="AT1046" s="46"/>
      <c r="AU1046" s="46" t="s">
        <v>376</v>
      </c>
      <c r="AV1046" s="46"/>
      <c r="AW1046" s="46" t="s">
        <v>30</v>
      </c>
      <c r="AX1046" s="46"/>
      <c r="AY1046" s="46"/>
      <c r="AZ1046" s="46" t="s">
        <v>30</v>
      </c>
      <c r="BA1046" s="54"/>
      <c r="BB1046" s="51"/>
      <c r="BC1046" s="46"/>
      <c r="BD1046" s="46"/>
      <c r="BE1046" s="46"/>
      <c r="BF1046" s="46">
        <v>1</v>
      </c>
      <c r="BG1046" s="46">
        <v>1</v>
      </c>
      <c r="BH1046" s="46">
        <v>1</v>
      </c>
      <c r="BI1046" s="46" t="s">
        <v>806</v>
      </c>
      <c r="BJ1046" s="46" t="s">
        <v>1384</v>
      </c>
      <c r="BK1046" s="46">
        <v>1986</v>
      </c>
      <c r="BL1046" s="46" t="str">
        <f>BK1046&amp;BI1046</f>
        <v>1986Aston Villa</v>
      </c>
      <c r="BM1046" s="52" t="str">
        <f>IF(AD1046="Home",BI1046,IF(AD1046="Away",BJ1046,Q1046))</f>
        <v>Aston Villa</v>
      </c>
      <c r="BN1046" s="46"/>
      <c r="BO1046" s="46"/>
      <c r="BP1046" s="46"/>
      <c r="BQ1046" s="46"/>
      <c r="BR1046" s="46"/>
      <c r="BS1046" s="46"/>
      <c r="BT1046" s="46"/>
      <c r="BU1046" s="46"/>
      <c r="BV1046" s="46" t="s">
        <v>376</v>
      </c>
      <c r="BW1046" s="46" t="s">
        <v>376</v>
      </c>
      <c r="BX1046" s="46"/>
      <c r="BZ1046" s="53"/>
      <c r="CA1046" s="53"/>
      <c r="CB1046" s="93" t="str">
        <f>IF(OR(C1046="",A1046="",B1046=""),"",TEXT(C1046,"0000")&amp;TEXT(A1046,"00")&amp;TEXT(B1046,"00"))</f>
        <v>19860212</v>
      </c>
    </row>
    <row r="1047" spans="1:80" s="52" customFormat="1" ht="12.95" customHeight="1" x14ac:dyDescent="0.2">
      <c r="A1047" s="46">
        <v>2</v>
      </c>
      <c r="B1047" s="46">
        <v>12</v>
      </c>
      <c r="C1047" s="46">
        <v>1986</v>
      </c>
      <c r="D1047" s="46" t="s">
        <v>658</v>
      </c>
      <c r="E1047" s="46" t="s">
        <v>532</v>
      </c>
      <c r="F1047" s="54" t="s">
        <v>1327</v>
      </c>
      <c r="G1047" s="46"/>
      <c r="H1047" s="54" t="s">
        <v>1011</v>
      </c>
      <c r="I1047" s="54">
        <v>1</v>
      </c>
      <c r="J1047" s="55">
        <v>31455</v>
      </c>
      <c r="K1047" s="46" t="s">
        <v>1384</v>
      </c>
      <c r="L1047" s="46" t="s">
        <v>1014</v>
      </c>
      <c r="M1047" s="46" t="s">
        <v>806</v>
      </c>
      <c r="N1047" s="49">
        <v>2</v>
      </c>
      <c r="O1047" s="49">
        <v>2</v>
      </c>
      <c r="P1047" s="54" t="s">
        <v>1219</v>
      </c>
      <c r="Q1047" s="54" t="s">
        <v>1111</v>
      </c>
      <c r="R1047" s="54" t="s">
        <v>376</v>
      </c>
      <c r="S1047" s="46"/>
      <c r="T1047" s="46"/>
      <c r="U1047" s="46"/>
      <c r="V1047" s="46"/>
      <c r="W1047" s="46"/>
      <c r="X1047" s="46"/>
      <c r="Y1047" s="46"/>
      <c r="Z1047" s="46"/>
      <c r="AA1047" s="46"/>
      <c r="AB1047" s="46"/>
      <c r="AC1047" s="46"/>
      <c r="AD1047" s="46" t="s">
        <v>1037</v>
      </c>
      <c r="AE1047" s="50">
        <f>IF(L1047="W",1,0)</f>
        <v>0</v>
      </c>
      <c r="AF1047" s="50">
        <f>IF(L1047="T",1,0)</f>
        <v>1</v>
      </c>
      <c r="AG1047" s="50">
        <f>IF(L1047="L",1,0)</f>
        <v>0</v>
      </c>
      <c r="AH1047" s="46" t="s">
        <v>1032</v>
      </c>
      <c r="AI1047" s="46" t="s">
        <v>1034</v>
      </c>
      <c r="AJ1047" s="46" t="s">
        <v>376</v>
      </c>
      <c r="AK1047" s="46" t="s">
        <v>658</v>
      </c>
      <c r="AL1047" s="46" t="s">
        <v>1111</v>
      </c>
      <c r="AM1047" s="46" t="s">
        <v>1126</v>
      </c>
      <c r="AN1047" s="46" t="s">
        <v>376</v>
      </c>
      <c r="AO1047" s="46" t="s">
        <v>658</v>
      </c>
      <c r="AP1047" s="46"/>
      <c r="AQ1047" s="46">
        <v>2</v>
      </c>
      <c r="AR1047" s="46"/>
      <c r="AS1047" s="46"/>
      <c r="AT1047" s="46"/>
      <c r="AU1047" s="46" t="s">
        <v>376</v>
      </c>
      <c r="AV1047" s="46"/>
      <c r="AW1047" s="46" t="s">
        <v>30</v>
      </c>
      <c r="AX1047" s="46"/>
      <c r="AY1047" s="46"/>
      <c r="AZ1047" s="46" t="s">
        <v>30</v>
      </c>
      <c r="BA1047" s="54"/>
      <c r="BB1047" s="51"/>
      <c r="BC1047" s="46"/>
      <c r="BD1047" s="46"/>
      <c r="BE1047" s="46"/>
      <c r="BF1047" s="46">
        <v>1</v>
      </c>
      <c r="BG1047" s="46">
        <v>1</v>
      </c>
      <c r="BH1047" s="46">
        <v>1</v>
      </c>
      <c r="BI1047" s="46" t="s">
        <v>1384</v>
      </c>
      <c r="BJ1047" s="46" t="s">
        <v>806</v>
      </c>
      <c r="BK1047" s="46">
        <v>1986</v>
      </c>
      <c r="BL1047" s="46" t="str">
        <f>BK1047&amp;BI1047</f>
        <v>1986Oxford United</v>
      </c>
      <c r="BM1047" s="52" t="str">
        <f>IF(AD1047="Home",BI1047,IF(AD1047="Away",BJ1047,Q1047))</f>
        <v>Aston Villa</v>
      </c>
      <c r="BN1047" s="46"/>
      <c r="BO1047" s="46"/>
      <c r="BP1047" s="46"/>
      <c r="BQ1047" s="46"/>
      <c r="BR1047" s="46"/>
      <c r="BS1047" s="46"/>
      <c r="BT1047" s="46"/>
      <c r="BU1047" s="46"/>
      <c r="BV1047" s="46" t="s">
        <v>376</v>
      </c>
      <c r="BW1047" s="46" t="s">
        <v>376</v>
      </c>
      <c r="BX1047" s="46"/>
      <c r="BZ1047" s="53"/>
      <c r="CA1047" s="53"/>
      <c r="CB1047" s="93" t="str">
        <f>IF(OR(C1047="",A1047="",B1047=""),"",TEXT(C1047,"0000")&amp;TEXT(A1047,"00")&amp;TEXT(B1047,"00"))</f>
        <v>19860212</v>
      </c>
    </row>
    <row r="1048" spans="1:80" s="52" customFormat="1" ht="12.95" customHeight="1" x14ac:dyDescent="0.2">
      <c r="A1048" s="46">
        <v>3</v>
      </c>
      <c r="B1048" s="46">
        <v>5</v>
      </c>
      <c r="C1048" s="46">
        <v>1986</v>
      </c>
      <c r="D1048" s="46" t="s">
        <v>658</v>
      </c>
      <c r="E1048" s="46" t="s">
        <v>532</v>
      </c>
      <c r="F1048" s="54" t="s">
        <v>1327</v>
      </c>
      <c r="G1048" s="46"/>
      <c r="H1048" s="54" t="s">
        <v>1011</v>
      </c>
      <c r="I1048" s="54">
        <v>2</v>
      </c>
      <c r="J1048" s="55">
        <v>31476</v>
      </c>
      <c r="K1048" s="46" t="s">
        <v>588</v>
      </c>
      <c r="L1048" s="46" t="s">
        <v>1014</v>
      </c>
      <c r="M1048" s="46" t="s">
        <v>1349</v>
      </c>
      <c r="N1048" s="49">
        <v>2</v>
      </c>
      <c r="O1048" s="49">
        <v>2</v>
      </c>
      <c r="P1048" s="54" t="s">
        <v>1141</v>
      </c>
      <c r="Q1048" s="54" t="s">
        <v>588</v>
      </c>
      <c r="R1048" s="54" t="s">
        <v>376</v>
      </c>
      <c r="S1048" s="46"/>
      <c r="T1048" s="46"/>
      <c r="U1048" s="46"/>
      <c r="V1048" s="46"/>
      <c r="W1048" s="46"/>
      <c r="X1048" s="46"/>
      <c r="Y1048" s="46"/>
      <c r="Z1048" s="46"/>
      <c r="AA1048" s="46"/>
      <c r="AB1048" s="46"/>
      <c r="AC1048" s="46"/>
      <c r="AD1048" s="46" t="s">
        <v>1033</v>
      </c>
      <c r="AE1048" s="50">
        <f>IF(L1048="W",1,0)</f>
        <v>0</v>
      </c>
      <c r="AF1048" s="50">
        <f>IF(L1048="T",1,0)</f>
        <v>1</v>
      </c>
      <c r="AG1048" s="50">
        <f>IF(L1048="L",1,0)</f>
        <v>0</v>
      </c>
      <c r="AH1048" s="46" t="s">
        <v>588</v>
      </c>
      <c r="AI1048" s="46" t="s">
        <v>1175</v>
      </c>
      <c r="AJ1048" s="46" t="s">
        <v>376</v>
      </c>
      <c r="AK1048" s="46" t="s">
        <v>658</v>
      </c>
      <c r="AL1048" s="46" t="s">
        <v>1017</v>
      </c>
      <c r="AM1048" s="46" t="s">
        <v>1018</v>
      </c>
      <c r="AN1048" s="46" t="s">
        <v>376</v>
      </c>
      <c r="AO1048" s="46" t="s">
        <v>658</v>
      </c>
      <c r="AP1048" s="46"/>
      <c r="AQ1048" s="46">
        <v>2</v>
      </c>
      <c r="AR1048" s="46"/>
      <c r="AS1048" s="46"/>
      <c r="AT1048" s="46"/>
      <c r="AU1048" s="46" t="s">
        <v>376</v>
      </c>
      <c r="AV1048" s="46"/>
      <c r="AW1048" s="46" t="s">
        <v>30</v>
      </c>
      <c r="AX1048" s="46"/>
      <c r="AY1048" s="46"/>
      <c r="AZ1048" s="46" t="s">
        <v>30</v>
      </c>
      <c r="BA1048" s="54"/>
      <c r="BB1048" s="51"/>
      <c r="BC1048" s="46"/>
      <c r="BD1048" s="46"/>
      <c r="BE1048" s="46"/>
      <c r="BF1048" s="46">
        <v>1</v>
      </c>
      <c r="BG1048" s="46">
        <v>1</v>
      </c>
      <c r="BH1048" s="46">
        <v>1</v>
      </c>
      <c r="BI1048" s="46" t="s">
        <v>588</v>
      </c>
      <c r="BJ1048" s="46" t="s">
        <v>1349</v>
      </c>
      <c r="BK1048" s="46">
        <v>1986</v>
      </c>
      <c r="BL1048" s="46" t="str">
        <f>BK1048&amp;BI1048</f>
        <v>1986Liverpool</v>
      </c>
      <c r="BM1048" s="52" t="str">
        <f>IF(AD1048="Home",BI1048,IF(AD1048="Away",BJ1048,Q1048))</f>
        <v>Liverpool</v>
      </c>
      <c r="BN1048" s="46"/>
      <c r="BO1048" s="46"/>
      <c r="BP1048" s="46"/>
      <c r="BQ1048" s="46"/>
      <c r="BR1048" s="46"/>
      <c r="BS1048" s="46"/>
      <c r="BT1048" s="46"/>
      <c r="BU1048" s="46"/>
      <c r="BV1048" s="46" t="s">
        <v>376</v>
      </c>
      <c r="BW1048" s="46" t="s">
        <v>376</v>
      </c>
      <c r="BX1048" s="46"/>
      <c r="BZ1048" s="53"/>
      <c r="CA1048" s="53"/>
      <c r="CB1048" s="93" t="str">
        <f>IF(OR(C1048="",A1048="",B1048=""),"",TEXT(C1048,"0000")&amp;TEXT(A1048,"00")&amp;TEXT(B1048,"00"))</f>
        <v>19860305</v>
      </c>
    </row>
    <row r="1049" spans="1:80" s="52" customFormat="1" ht="12.95" customHeight="1" x14ac:dyDescent="0.2">
      <c r="A1049" s="46">
        <v>3</v>
      </c>
      <c r="B1049" s="46">
        <v>5</v>
      </c>
      <c r="C1049" s="46">
        <v>1986</v>
      </c>
      <c r="D1049" s="46" t="s">
        <v>658</v>
      </c>
      <c r="E1049" s="46" t="s">
        <v>532</v>
      </c>
      <c r="F1049" s="54" t="s">
        <v>1327</v>
      </c>
      <c r="G1049" s="46"/>
      <c r="H1049" s="54" t="s">
        <v>1011</v>
      </c>
      <c r="I1049" s="54">
        <v>2</v>
      </c>
      <c r="J1049" s="55">
        <v>31476</v>
      </c>
      <c r="K1049" s="46" t="s">
        <v>1349</v>
      </c>
      <c r="L1049" s="46" t="s">
        <v>1014</v>
      </c>
      <c r="M1049" s="46" t="s">
        <v>588</v>
      </c>
      <c r="N1049" s="49">
        <v>2</v>
      </c>
      <c r="O1049" s="49">
        <v>2</v>
      </c>
      <c r="P1049" s="54" t="s">
        <v>1141</v>
      </c>
      <c r="Q1049" s="54" t="s">
        <v>588</v>
      </c>
      <c r="R1049" s="54" t="s">
        <v>376</v>
      </c>
      <c r="S1049" s="46"/>
      <c r="T1049" s="46"/>
      <c r="U1049" s="46"/>
      <c r="V1049" s="46"/>
      <c r="W1049" s="46"/>
      <c r="X1049" s="46"/>
      <c r="Y1049" s="46"/>
      <c r="Z1049" s="46"/>
      <c r="AA1049" s="46"/>
      <c r="AB1049" s="46"/>
      <c r="AC1049" s="46"/>
      <c r="AD1049" s="46" t="s">
        <v>1037</v>
      </c>
      <c r="AE1049" s="50">
        <f>IF(L1049="W",1,0)</f>
        <v>0</v>
      </c>
      <c r="AF1049" s="50">
        <f>IF(L1049="T",1,0)</f>
        <v>1</v>
      </c>
      <c r="AG1049" s="50">
        <f>IF(L1049="L",1,0)</f>
        <v>0</v>
      </c>
      <c r="AH1049" s="46" t="s">
        <v>1017</v>
      </c>
      <c r="AI1049" s="46" t="s">
        <v>1018</v>
      </c>
      <c r="AJ1049" s="46" t="s">
        <v>376</v>
      </c>
      <c r="AK1049" s="46" t="s">
        <v>658</v>
      </c>
      <c r="AL1049" s="46" t="s">
        <v>588</v>
      </c>
      <c r="AM1049" s="46" t="s">
        <v>1175</v>
      </c>
      <c r="AN1049" s="46" t="s">
        <v>376</v>
      </c>
      <c r="AO1049" s="46" t="s">
        <v>658</v>
      </c>
      <c r="AP1049" s="46"/>
      <c r="AQ1049" s="46">
        <v>2</v>
      </c>
      <c r="AR1049" s="46"/>
      <c r="AS1049" s="46"/>
      <c r="AT1049" s="46"/>
      <c r="AU1049" s="46" t="s">
        <v>376</v>
      </c>
      <c r="AV1049" s="46"/>
      <c r="AW1049" s="46" t="s">
        <v>30</v>
      </c>
      <c r="AX1049" s="46"/>
      <c r="AY1049" s="46"/>
      <c r="AZ1049" s="46" t="s">
        <v>30</v>
      </c>
      <c r="BA1049" s="54"/>
      <c r="BB1049" s="51"/>
      <c r="BC1049" s="46"/>
      <c r="BD1049" s="46"/>
      <c r="BE1049" s="46"/>
      <c r="BF1049" s="46">
        <v>1</v>
      </c>
      <c r="BG1049" s="46">
        <v>1</v>
      </c>
      <c r="BH1049" s="46">
        <v>1</v>
      </c>
      <c r="BI1049" s="46" t="s">
        <v>1349</v>
      </c>
      <c r="BJ1049" s="46" t="s">
        <v>588</v>
      </c>
      <c r="BK1049" s="46">
        <v>1986</v>
      </c>
      <c r="BL1049" s="46" t="str">
        <f>BK1049&amp;BI1049</f>
        <v>1986Queens Park Rangers</v>
      </c>
      <c r="BM1049" s="52" t="str">
        <f>IF(AD1049="Home",BI1049,IF(AD1049="Away",BJ1049,Q1049))</f>
        <v>Liverpool</v>
      </c>
      <c r="BN1049" s="46"/>
      <c r="BO1049" s="46"/>
      <c r="BP1049" s="46"/>
      <c r="BQ1049" s="46"/>
      <c r="BR1049" s="46"/>
      <c r="BS1049" s="46"/>
      <c r="BT1049" s="46"/>
      <c r="BU1049" s="46"/>
      <c r="BV1049" s="46" t="s">
        <v>376</v>
      </c>
      <c r="BW1049" s="46" t="s">
        <v>376</v>
      </c>
      <c r="BX1049" s="46"/>
      <c r="BZ1049" s="53"/>
      <c r="CA1049" s="53"/>
      <c r="CB1049" s="93" t="str">
        <f>IF(OR(C1049="",A1049="",B1049=""),"",TEXT(C1049,"0000")&amp;TEXT(A1049,"00")&amp;TEXT(B1049,"00"))</f>
        <v>19860305</v>
      </c>
    </row>
    <row r="1050" spans="1:80" s="52" customFormat="1" ht="12.95" customHeight="1" x14ac:dyDescent="0.2">
      <c r="A1050" s="46">
        <v>3</v>
      </c>
      <c r="B1050" s="46">
        <v>12</v>
      </c>
      <c r="C1050" s="46">
        <v>1986</v>
      </c>
      <c r="D1050" s="46" t="s">
        <v>658</v>
      </c>
      <c r="E1050" s="46" t="s">
        <v>532</v>
      </c>
      <c r="F1050" s="54" t="s">
        <v>1327</v>
      </c>
      <c r="G1050" s="46"/>
      <c r="H1050" s="54" t="s">
        <v>1011</v>
      </c>
      <c r="I1050" s="54">
        <v>2</v>
      </c>
      <c r="J1050" s="55">
        <v>31483</v>
      </c>
      <c r="K1050" s="46" t="s">
        <v>1384</v>
      </c>
      <c r="L1050" s="46" t="s">
        <v>3</v>
      </c>
      <c r="M1050" s="46" t="s">
        <v>806</v>
      </c>
      <c r="N1050" s="49">
        <v>2</v>
      </c>
      <c r="O1050" s="49">
        <v>1</v>
      </c>
      <c r="P1050" s="54" t="s">
        <v>1385</v>
      </c>
      <c r="Q1050" s="54" t="s">
        <v>1032</v>
      </c>
      <c r="R1050" s="54" t="s">
        <v>376</v>
      </c>
      <c r="S1050" s="46"/>
      <c r="T1050" s="46"/>
      <c r="U1050" s="46"/>
      <c r="V1050" s="46"/>
      <c r="W1050" s="46"/>
      <c r="X1050" s="46"/>
      <c r="Y1050" s="46"/>
      <c r="Z1050" s="46"/>
      <c r="AA1050" s="46"/>
      <c r="AB1050" s="46"/>
      <c r="AC1050" s="46"/>
      <c r="AD1050" s="46" t="s">
        <v>1033</v>
      </c>
      <c r="AE1050" s="50">
        <f>IF(L1050="W",1,0)</f>
        <v>1</v>
      </c>
      <c r="AF1050" s="50">
        <f>IF(L1050="T",1,0)</f>
        <v>0</v>
      </c>
      <c r="AG1050" s="50">
        <f>IF(L1050="L",1,0)</f>
        <v>0</v>
      </c>
      <c r="AH1050" s="46" t="s">
        <v>1032</v>
      </c>
      <c r="AI1050" s="46" t="s">
        <v>1034</v>
      </c>
      <c r="AJ1050" s="46" t="s">
        <v>376</v>
      </c>
      <c r="AK1050" s="46" t="s">
        <v>658</v>
      </c>
      <c r="AL1050" s="46" t="s">
        <v>1111</v>
      </c>
      <c r="AM1050" s="46" t="s">
        <v>1126</v>
      </c>
      <c r="AN1050" s="46" t="s">
        <v>376</v>
      </c>
      <c r="AO1050" s="46" t="s">
        <v>658</v>
      </c>
      <c r="AP1050" s="46"/>
      <c r="AQ1050" s="46">
        <v>2</v>
      </c>
      <c r="AR1050" s="46"/>
      <c r="AS1050" s="46"/>
      <c r="AT1050" s="46"/>
      <c r="AU1050" s="46" t="s">
        <v>376</v>
      </c>
      <c r="AV1050" s="46"/>
      <c r="AW1050" s="46" t="s">
        <v>30</v>
      </c>
      <c r="AX1050" s="46"/>
      <c r="AY1050" s="46"/>
      <c r="AZ1050" s="46" t="s">
        <v>30</v>
      </c>
      <c r="BA1050" s="54"/>
      <c r="BB1050" s="51"/>
      <c r="BC1050" s="46"/>
      <c r="BD1050" s="46"/>
      <c r="BE1050" s="46"/>
      <c r="BF1050" s="46">
        <v>1</v>
      </c>
      <c r="BG1050" s="46">
        <v>1</v>
      </c>
      <c r="BH1050" s="46">
        <v>1</v>
      </c>
      <c r="BI1050" s="46" t="s">
        <v>1384</v>
      </c>
      <c r="BJ1050" s="46" t="s">
        <v>806</v>
      </c>
      <c r="BK1050" s="46">
        <v>1986</v>
      </c>
      <c r="BL1050" s="46" t="str">
        <f>BK1050&amp;BI1050</f>
        <v>1986Oxford United</v>
      </c>
      <c r="BM1050" s="52" t="str">
        <f>IF(AD1050="Home",BI1050,IF(AD1050="Away",BJ1050,Q1050))</f>
        <v>Oxford United</v>
      </c>
      <c r="BN1050" s="46"/>
      <c r="BO1050" s="46"/>
      <c r="BP1050" s="46"/>
      <c r="BQ1050" s="46"/>
      <c r="BR1050" s="46"/>
      <c r="BS1050" s="46"/>
      <c r="BT1050" s="46"/>
      <c r="BU1050" s="46"/>
      <c r="BV1050" s="46" t="s">
        <v>376</v>
      </c>
      <c r="BW1050" s="46" t="s">
        <v>376</v>
      </c>
      <c r="BX1050" s="46"/>
      <c r="BY1050" s="35"/>
      <c r="BZ1050" s="53"/>
      <c r="CA1050" s="53"/>
      <c r="CB1050" s="93" t="str">
        <f>IF(OR(C1050="",A1050="",B1050=""),"",TEXT(C1050,"0000")&amp;TEXT(A1050,"00")&amp;TEXT(B1050,"00"))</f>
        <v>19860312</v>
      </c>
    </row>
    <row r="1051" spans="1:80" s="52" customFormat="1" ht="12.95" customHeight="1" x14ac:dyDescent="0.2">
      <c r="A1051" s="46">
        <v>3</v>
      </c>
      <c r="B1051" s="46">
        <v>12</v>
      </c>
      <c r="C1051" s="46">
        <v>1986</v>
      </c>
      <c r="D1051" s="46" t="s">
        <v>658</v>
      </c>
      <c r="E1051" s="46" t="s">
        <v>532</v>
      </c>
      <c r="F1051" s="54" t="s">
        <v>1327</v>
      </c>
      <c r="G1051" s="46"/>
      <c r="H1051" s="54" t="s">
        <v>1011</v>
      </c>
      <c r="I1051" s="54">
        <v>2</v>
      </c>
      <c r="J1051" s="55">
        <v>31483</v>
      </c>
      <c r="K1051" s="46" t="s">
        <v>806</v>
      </c>
      <c r="L1051" s="46" t="s">
        <v>4</v>
      </c>
      <c r="M1051" s="46" t="s">
        <v>1384</v>
      </c>
      <c r="N1051" s="49">
        <v>1</v>
      </c>
      <c r="O1051" s="49">
        <v>2</v>
      </c>
      <c r="P1051" s="54" t="s">
        <v>1385</v>
      </c>
      <c r="Q1051" s="54" t="s">
        <v>1032</v>
      </c>
      <c r="R1051" s="54" t="s">
        <v>376</v>
      </c>
      <c r="S1051" s="46"/>
      <c r="T1051" s="46"/>
      <c r="U1051" s="46"/>
      <c r="V1051" s="46"/>
      <c r="W1051" s="46"/>
      <c r="X1051" s="46"/>
      <c r="Y1051" s="46"/>
      <c r="Z1051" s="46"/>
      <c r="AA1051" s="46"/>
      <c r="AB1051" s="46"/>
      <c r="AC1051" s="46"/>
      <c r="AD1051" s="46" t="s">
        <v>1037</v>
      </c>
      <c r="AE1051" s="50">
        <f>IF(L1051="W",1,0)</f>
        <v>0</v>
      </c>
      <c r="AF1051" s="50">
        <f>IF(L1051="T",1,0)</f>
        <v>0</v>
      </c>
      <c r="AG1051" s="50">
        <f>IF(L1051="L",1,0)</f>
        <v>1</v>
      </c>
      <c r="AH1051" s="46" t="s">
        <v>1111</v>
      </c>
      <c r="AI1051" s="46" t="s">
        <v>1126</v>
      </c>
      <c r="AJ1051" s="46" t="s">
        <v>376</v>
      </c>
      <c r="AK1051" s="46" t="s">
        <v>658</v>
      </c>
      <c r="AL1051" s="46" t="s">
        <v>1032</v>
      </c>
      <c r="AM1051" s="46" t="s">
        <v>1034</v>
      </c>
      <c r="AN1051" s="46" t="s">
        <v>376</v>
      </c>
      <c r="AO1051" s="46" t="s">
        <v>658</v>
      </c>
      <c r="AP1051" s="46"/>
      <c r="AQ1051" s="46">
        <v>2</v>
      </c>
      <c r="AR1051" s="46"/>
      <c r="AS1051" s="46"/>
      <c r="AT1051" s="46"/>
      <c r="AU1051" s="46" t="s">
        <v>376</v>
      </c>
      <c r="AV1051" s="46"/>
      <c r="AW1051" s="46" t="s">
        <v>30</v>
      </c>
      <c r="AX1051" s="46"/>
      <c r="AY1051" s="46"/>
      <c r="AZ1051" s="46" t="s">
        <v>30</v>
      </c>
      <c r="BA1051" s="54"/>
      <c r="BB1051" s="51"/>
      <c r="BC1051" s="46"/>
      <c r="BD1051" s="46"/>
      <c r="BE1051" s="46"/>
      <c r="BF1051" s="46">
        <v>1</v>
      </c>
      <c r="BG1051" s="46">
        <v>1</v>
      </c>
      <c r="BH1051" s="46">
        <v>1</v>
      </c>
      <c r="BI1051" s="46" t="s">
        <v>806</v>
      </c>
      <c r="BJ1051" s="46" t="s">
        <v>1384</v>
      </c>
      <c r="BK1051" s="46">
        <v>1986</v>
      </c>
      <c r="BL1051" s="46" t="str">
        <f>BK1051&amp;BI1051</f>
        <v>1986Aston Villa</v>
      </c>
      <c r="BM1051" s="52" t="str">
        <f>IF(AD1051="Home",BI1051,IF(AD1051="Away",BJ1051,Q1051))</f>
        <v>Oxford United</v>
      </c>
      <c r="BN1051" s="46"/>
      <c r="BO1051" s="46"/>
      <c r="BP1051" s="46"/>
      <c r="BQ1051" s="46"/>
      <c r="BR1051" s="46"/>
      <c r="BS1051" s="46"/>
      <c r="BT1051" s="46"/>
      <c r="BU1051" s="46"/>
      <c r="BV1051" s="46" t="s">
        <v>376</v>
      </c>
      <c r="BW1051" s="46" t="s">
        <v>376</v>
      </c>
      <c r="BX1051" s="46"/>
      <c r="BY1051" s="35"/>
      <c r="BZ1051" s="53"/>
      <c r="CA1051" s="53"/>
      <c r="CB1051" s="93" t="str">
        <f>IF(OR(C1051="",A1051="",B1051=""),"",TEXT(C1051,"0000")&amp;TEXT(A1051,"00")&amp;TEXT(B1051,"00"))</f>
        <v>19860312</v>
      </c>
    </row>
    <row r="1052" spans="1:80" s="52" customFormat="1" ht="12.95" customHeight="1" x14ac:dyDescent="0.2">
      <c r="A1052" s="46">
        <v>4</v>
      </c>
      <c r="B1052" s="46">
        <v>5</v>
      </c>
      <c r="C1052" s="46">
        <v>1986</v>
      </c>
      <c r="D1052" s="46" t="s">
        <v>658</v>
      </c>
      <c r="E1052" s="46" t="s">
        <v>532</v>
      </c>
      <c r="F1052" s="47" t="s">
        <v>1010</v>
      </c>
      <c r="G1052" s="46"/>
      <c r="H1052" s="47" t="s">
        <v>1011</v>
      </c>
      <c r="I1052" s="47"/>
      <c r="J1052" s="48">
        <v>31507</v>
      </c>
      <c r="K1052" s="46" t="s">
        <v>804</v>
      </c>
      <c r="L1052" s="46" t="s">
        <v>3</v>
      </c>
      <c r="M1052" s="46" t="s">
        <v>1093</v>
      </c>
      <c r="N1052" s="49">
        <v>2</v>
      </c>
      <c r="O1052" s="49">
        <v>1</v>
      </c>
      <c r="P1052" s="47" t="s">
        <v>1219</v>
      </c>
      <c r="Q1052" s="47" t="s">
        <v>1111</v>
      </c>
      <c r="R1052" s="47" t="s">
        <v>376</v>
      </c>
      <c r="S1052" s="46"/>
      <c r="T1052" s="46"/>
      <c r="U1052" s="46"/>
      <c r="V1052" s="46"/>
      <c r="W1052" s="46"/>
      <c r="X1052" s="46"/>
      <c r="Y1052" s="46"/>
      <c r="Z1052" s="46"/>
      <c r="AA1052" s="46"/>
      <c r="AB1052" s="46"/>
      <c r="AC1052" s="46"/>
      <c r="AD1052" s="46"/>
      <c r="AE1052" s="50">
        <f>IF(L1052="W",1,0)</f>
        <v>1</v>
      </c>
      <c r="AF1052" s="50">
        <f>IF(L1052="T",1,0)</f>
        <v>0</v>
      </c>
      <c r="AG1052" s="50">
        <f>IF(L1052="L",1,0)</f>
        <v>0</v>
      </c>
      <c r="AH1052" s="46" t="s">
        <v>588</v>
      </c>
      <c r="AI1052" s="46" t="s">
        <v>1175</v>
      </c>
      <c r="AJ1052" s="46" t="s">
        <v>376</v>
      </c>
      <c r="AK1052" s="46" t="s">
        <v>658</v>
      </c>
      <c r="AL1052" s="46" t="s">
        <v>1097</v>
      </c>
      <c r="AM1052" s="46" t="s">
        <v>1098</v>
      </c>
      <c r="AN1052" s="46" t="s">
        <v>376</v>
      </c>
      <c r="AO1052" s="46" t="s">
        <v>658</v>
      </c>
      <c r="AP1052" s="46"/>
      <c r="AQ1052" s="46">
        <v>2</v>
      </c>
      <c r="AR1052" s="46"/>
      <c r="AS1052" s="46"/>
      <c r="AT1052" s="46"/>
      <c r="AU1052" s="46" t="s">
        <v>376</v>
      </c>
      <c r="AV1052" s="46"/>
      <c r="AW1052" s="46" t="s">
        <v>30</v>
      </c>
      <c r="AX1052" s="46"/>
      <c r="AY1052" s="46" t="s">
        <v>30</v>
      </c>
      <c r="AZ1052" s="46"/>
      <c r="BA1052" s="47"/>
      <c r="BB1052" s="51"/>
      <c r="BC1052" s="46"/>
      <c r="BD1052" s="46"/>
      <c r="BE1052" s="46"/>
      <c r="BF1052" s="46">
        <v>1</v>
      </c>
      <c r="BG1052" s="46">
        <v>1</v>
      </c>
      <c r="BH1052" s="46">
        <v>1</v>
      </c>
      <c r="BI1052" s="46" t="s">
        <v>804</v>
      </c>
      <c r="BJ1052" s="46" t="s">
        <v>1093</v>
      </c>
      <c r="BK1052" s="46">
        <v>1986</v>
      </c>
      <c r="BL1052" s="46" t="str">
        <f>BK1052&amp;BI1052</f>
        <v>1986Everton</v>
      </c>
      <c r="BM1052" s="52" t="str">
        <f>IF(AD1052="Home",BI1052,IF(AD1052="Away",BJ1052,Q1052))</f>
        <v>Birmingham</v>
      </c>
      <c r="BN1052" s="46"/>
      <c r="BO1052" s="46"/>
      <c r="BP1052" s="46"/>
      <c r="BQ1052" s="46"/>
      <c r="BR1052" s="46"/>
      <c r="BS1052" s="46"/>
      <c r="BT1052" s="46"/>
      <c r="BU1052" s="46"/>
      <c r="BV1052" s="46" t="s">
        <v>376</v>
      </c>
      <c r="BW1052" s="46" t="s">
        <v>376</v>
      </c>
      <c r="BX1052" s="46"/>
      <c r="BZ1052" s="53"/>
      <c r="CA1052" s="53"/>
      <c r="CB1052" s="93" t="str">
        <f>IF(OR(C1052="",A1052="",B1052=""),"",TEXT(C1052,"0000")&amp;TEXT(A1052,"00")&amp;TEXT(B1052,"00"))</f>
        <v>19860405</v>
      </c>
    </row>
    <row r="1053" spans="1:80" s="52" customFormat="1" ht="12.95" customHeight="1" x14ac:dyDescent="0.2">
      <c r="A1053" s="46">
        <v>4</v>
      </c>
      <c r="B1053" s="46">
        <v>5</v>
      </c>
      <c r="C1053" s="46">
        <v>1986</v>
      </c>
      <c r="D1053" s="46" t="s">
        <v>658</v>
      </c>
      <c r="E1053" s="46" t="s">
        <v>532</v>
      </c>
      <c r="F1053" s="47" t="s">
        <v>1010</v>
      </c>
      <c r="G1053" s="46"/>
      <c r="H1053" s="47" t="s">
        <v>1011</v>
      </c>
      <c r="I1053" s="47"/>
      <c r="J1053" s="48">
        <v>31507</v>
      </c>
      <c r="K1053" s="46" t="s">
        <v>1093</v>
      </c>
      <c r="L1053" s="46" t="s">
        <v>4</v>
      </c>
      <c r="M1053" s="46" t="s">
        <v>804</v>
      </c>
      <c r="N1053" s="49">
        <v>1</v>
      </c>
      <c r="O1053" s="49">
        <v>2</v>
      </c>
      <c r="P1053" s="47" t="s">
        <v>1219</v>
      </c>
      <c r="Q1053" s="47" t="s">
        <v>1111</v>
      </c>
      <c r="R1053" s="47" t="s">
        <v>376</v>
      </c>
      <c r="S1053" s="46"/>
      <c r="T1053" s="46"/>
      <c r="U1053" s="46"/>
      <c r="V1053" s="46"/>
      <c r="W1053" s="46"/>
      <c r="X1053" s="46"/>
      <c r="Y1053" s="46"/>
      <c r="Z1053" s="46"/>
      <c r="AA1053" s="46"/>
      <c r="AB1053" s="46"/>
      <c r="AC1053" s="46"/>
      <c r="AD1053" s="46"/>
      <c r="AE1053" s="50">
        <f>IF(L1053="W",1,0)</f>
        <v>0</v>
      </c>
      <c r="AF1053" s="50">
        <f>IF(L1053="T",1,0)</f>
        <v>0</v>
      </c>
      <c r="AG1053" s="50">
        <f>IF(L1053="L",1,0)</f>
        <v>1</v>
      </c>
      <c r="AH1053" s="46" t="s">
        <v>1097</v>
      </c>
      <c r="AI1053" s="46" t="s">
        <v>1098</v>
      </c>
      <c r="AJ1053" s="46" t="s">
        <v>376</v>
      </c>
      <c r="AK1053" s="46" t="s">
        <v>658</v>
      </c>
      <c r="AL1053" s="46" t="s">
        <v>588</v>
      </c>
      <c r="AM1053" s="46" t="s">
        <v>1175</v>
      </c>
      <c r="AN1053" s="46" t="s">
        <v>376</v>
      </c>
      <c r="AO1053" s="46" t="s">
        <v>658</v>
      </c>
      <c r="AP1053" s="46"/>
      <c r="AQ1053" s="46">
        <v>2</v>
      </c>
      <c r="AR1053" s="46"/>
      <c r="AS1053" s="46"/>
      <c r="AT1053" s="46"/>
      <c r="AU1053" s="46" t="s">
        <v>376</v>
      </c>
      <c r="AV1053" s="46"/>
      <c r="AW1053" s="46" t="s">
        <v>30</v>
      </c>
      <c r="AX1053" s="46"/>
      <c r="AY1053" s="46" t="s">
        <v>30</v>
      </c>
      <c r="AZ1053" s="46"/>
      <c r="BA1053" s="47"/>
      <c r="BB1053" s="51"/>
      <c r="BC1053" s="46"/>
      <c r="BD1053" s="46"/>
      <c r="BE1053" s="46"/>
      <c r="BF1053" s="46">
        <v>1</v>
      </c>
      <c r="BG1053" s="46">
        <v>1</v>
      </c>
      <c r="BH1053" s="46">
        <v>1</v>
      </c>
      <c r="BI1053" s="46" t="s">
        <v>1093</v>
      </c>
      <c r="BJ1053" s="46" t="s">
        <v>804</v>
      </c>
      <c r="BK1053" s="46">
        <v>1986</v>
      </c>
      <c r="BL1053" s="46" t="str">
        <f>BK1053&amp;BI1053</f>
        <v>1986Sheffield Wednesday</v>
      </c>
      <c r="BM1053" s="52" t="str">
        <f>IF(AD1053="Home",BI1053,IF(AD1053="Away",BJ1053,Q1053))</f>
        <v>Birmingham</v>
      </c>
      <c r="BN1053" s="46"/>
      <c r="BO1053" s="46"/>
      <c r="BP1053" s="46"/>
      <c r="BQ1053" s="46"/>
      <c r="BR1053" s="46"/>
      <c r="BS1053" s="46"/>
      <c r="BT1053" s="46"/>
      <c r="BU1053" s="46"/>
      <c r="BV1053" s="46" t="s">
        <v>376</v>
      </c>
      <c r="BW1053" s="46" t="s">
        <v>376</v>
      </c>
      <c r="BX1053" s="46"/>
      <c r="BZ1053" s="53"/>
      <c r="CA1053" s="53"/>
      <c r="CB1053" s="93" t="str">
        <f>IF(OR(C1053="",A1053="",B1053=""),"",TEXT(C1053,"0000")&amp;TEXT(A1053,"00")&amp;TEXT(B1053,"00"))</f>
        <v>19860405</v>
      </c>
    </row>
    <row r="1054" spans="1:80" s="52" customFormat="1" ht="12.95" customHeight="1" x14ac:dyDescent="0.2">
      <c r="A1054" s="46">
        <v>4</v>
      </c>
      <c r="B1054" s="46">
        <v>5</v>
      </c>
      <c r="C1054" s="46">
        <v>1986</v>
      </c>
      <c r="D1054" s="46" t="s">
        <v>658</v>
      </c>
      <c r="E1054" s="46" t="s">
        <v>532</v>
      </c>
      <c r="F1054" s="47" t="s">
        <v>1010</v>
      </c>
      <c r="G1054" s="46"/>
      <c r="H1054" s="47" t="s">
        <v>1011</v>
      </c>
      <c r="I1054" s="47"/>
      <c r="J1054" s="48">
        <v>31507</v>
      </c>
      <c r="K1054" s="46" t="s">
        <v>588</v>
      </c>
      <c r="L1054" s="46" t="s">
        <v>3</v>
      </c>
      <c r="M1054" s="46" t="s">
        <v>629</v>
      </c>
      <c r="N1054" s="49">
        <v>2</v>
      </c>
      <c r="O1054" s="49">
        <v>0</v>
      </c>
      <c r="P1054" s="47" t="s">
        <v>1222</v>
      </c>
      <c r="Q1054" s="47" t="s">
        <v>1017</v>
      </c>
      <c r="R1054" s="47" t="s">
        <v>376</v>
      </c>
      <c r="S1054" s="46"/>
      <c r="T1054" s="46"/>
      <c r="U1054" s="46"/>
      <c r="V1054" s="46"/>
      <c r="W1054" s="46"/>
      <c r="X1054" s="46"/>
      <c r="Y1054" s="46"/>
      <c r="Z1054" s="46"/>
      <c r="AA1054" s="46"/>
      <c r="AB1054" s="46"/>
      <c r="AC1054" s="46"/>
      <c r="AD1054" s="46"/>
      <c r="AE1054" s="50">
        <f>IF(L1054="W",1,0)</f>
        <v>1</v>
      </c>
      <c r="AF1054" s="50">
        <f>IF(L1054="T",1,0)</f>
        <v>0</v>
      </c>
      <c r="AG1054" s="50">
        <f>IF(L1054="L",1,0)</f>
        <v>0</v>
      </c>
      <c r="AH1054" s="46" t="s">
        <v>588</v>
      </c>
      <c r="AI1054" s="46" t="s">
        <v>1175</v>
      </c>
      <c r="AJ1054" s="46" t="s">
        <v>376</v>
      </c>
      <c r="AK1054" s="46" t="s">
        <v>658</v>
      </c>
      <c r="AL1054" s="46" t="s">
        <v>629</v>
      </c>
      <c r="AM1054" s="46" t="s">
        <v>1199</v>
      </c>
      <c r="AN1054" s="46" t="s">
        <v>376</v>
      </c>
      <c r="AO1054" s="46" t="s">
        <v>658</v>
      </c>
      <c r="AP1054" s="46"/>
      <c r="AQ1054" s="46">
        <v>2</v>
      </c>
      <c r="AR1054" s="46"/>
      <c r="AS1054" s="46"/>
      <c r="AT1054" s="46"/>
      <c r="AU1054" s="46" t="s">
        <v>376</v>
      </c>
      <c r="AV1054" s="46"/>
      <c r="AW1054" s="46" t="s">
        <v>30</v>
      </c>
      <c r="AX1054" s="46"/>
      <c r="AY1054" s="46" t="s">
        <v>30</v>
      </c>
      <c r="AZ1054" s="46"/>
      <c r="BA1054" s="47"/>
      <c r="BB1054" s="51"/>
      <c r="BC1054" s="46"/>
      <c r="BD1054" s="46"/>
      <c r="BE1054" s="46"/>
      <c r="BF1054" s="46">
        <v>1</v>
      </c>
      <c r="BG1054" s="46">
        <v>1</v>
      </c>
      <c r="BH1054" s="46">
        <v>1</v>
      </c>
      <c r="BI1054" s="46" t="s">
        <v>588</v>
      </c>
      <c r="BJ1054" s="46" t="s">
        <v>629</v>
      </c>
      <c r="BK1054" s="46">
        <v>1986</v>
      </c>
      <c r="BL1054" s="46" t="str">
        <f>BK1054&amp;BI1054</f>
        <v>1986Liverpool</v>
      </c>
      <c r="BM1054" s="52" t="str">
        <f>IF(AD1054="Home",BI1054,IF(AD1054="Away",BJ1054,Q1054))</f>
        <v>London</v>
      </c>
      <c r="BN1054" s="46"/>
      <c r="BO1054" s="46"/>
      <c r="BP1054" s="46"/>
      <c r="BQ1054" s="46"/>
      <c r="BR1054" s="46"/>
      <c r="BS1054" s="46"/>
      <c r="BT1054" s="46"/>
      <c r="BU1054" s="46"/>
      <c r="BV1054" s="46" t="s">
        <v>376</v>
      </c>
      <c r="BW1054" s="46" t="s">
        <v>376</v>
      </c>
      <c r="BX1054" s="46"/>
      <c r="BZ1054" s="53"/>
      <c r="CA1054" s="53"/>
      <c r="CB1054" s="93" t="str">
        <f>IF(OR(C1054="",A1054="",B1054=""),"",TEXT(C1054,"0000")&amp;TEXT(A1054,"00")&amp;TEXT(B1054,"00"))</f>
        <v>19860405</v>
      </c>
    </row>
    <row r="1055" spans="1:80" s="52" customFormat="1" ht="12.95" customHeight="1" x14ac:dyDescent="0.2">
      <c r="A1055" s="46">
        <v>4</v>
      </c>
      <c r="B1055" s="46">
        <v>5</v>
      </c>
      <c r="C1055" s="46">
        <v>1986</v>
      </c>
      <c r="D1055" s="46" t="s">
        <v>658</v>
      </c>
      <c r="E1055" s="46" t="s">
        <v>532</v>
      </c>
      <c r="F1055" s="47" t="s">
        <v>1010</v>
      </c>
      <c r="G1055" s="46"/>
      <c r="H1055" s="47" t="s">
        <v>1011</v>
      </c>
      <c r="I1055" s="47"/>
      <c r="J1055" s="48">
        <v>31507</v>
      </c>
      <c r="K1055" s="46" t="s">
        <v>629</v>
      </c>
      <c r="L1055" s="46" t="s">
        <v>4</v>
      </c>
      <c r="M1055" s="46" t="s">
        <v>588</v>
      </c>
      <c r="N1055" s="49">
        <v>0</v>
      </c>
      <c r="O1055" s="49">
        <v>2</v>
      </c>
      <c r="P1055" s="47" t="s">
        <v>1222</v>
      </c>
      <c r="Q1055" s="47" t="s">
        <v>1017</v>
      </c>
      <c r="R1055" s="47" t="s">
        <v>376</v>
      </c>
      <c r="S1055" s="46"/>
      <c r="T1055" s="46"/>
      <c r="U1055" s="46"/>
      <c r="V1055" s="46"/>
      <c r="W1055" s="46"/>
      <c r="X1055" s="46"/>
      <c r="Y1055" s="46"/>
      <c r="Z1055" s="46"/>
      <c r="AA1055" s="46"/>
      <c r="AB1055" s="46"/>
      <c r="AC1055" s="46"/>
      <c r="AD1055" s="46"/>
      <c r="AE1055" s="50">
        <f>IF(L1055="W",1,0)</f>
        <v>0</v>
      </c>
      <c r="AF1055" s="50">
        <f>IF(L1055="T",1,0)</f>
        <v>0</v>
      </c>
      <c r="AG1055" s="50">
        <f>IF(L1055="L",1,0)</f>
        <v>1</v>
      </c>
      <c r="AH1055" s="46" t="s">
        <v>629</v>
      </c>
      <c r="AI1055" s="46" t="s">
        <v>1199</v>
      </c>
      <c r="AJ1055" s="46" t="s">
        <v>376</v>
      </c>
      <c r="AK1055" s="46" t="s">
        <v>658</v>
      </c>
      <c r="AL1055" s="46" t="s">
        <v>588</v>
      </c>
      <c r="AM1055" s="46" t="s">
        <v>1175</v>
      </c>
      <c r="AN1055" s="46" t="s">
        <v>376</v>
      </c>
      <c r="AO1055" s="46" t="s">
        <v>658</v>
      </c>
      <c r="AP1055" s="46"/>
      <c r="AQ1055" s="46">
        <v>2</v>
      </c>
      <c r="AR1055" s="46"/>
      <c r="AS1055" s="46"/>
      <c r="AT1055" s="46"/>
      <c r="AU1055" s="46" t="s">
        <v>376</v>
      </c>
      <c r="AV1055" s="46"/>
      <c r="AW1055" s="46" t="s">
        <v>30</v>
      </c>
      <c r="AX1055" s="46"/>
      <c r="AY1055" s="46" t="s">
        <v>30</v>
      </c>
      <c r="AZ1055" s="46"/>
      <c r="BA1055" s="47"/>
      <c r="BB1055" s="51"/>
      <c r="BC1055" s="46"/>
      <c r="BD1055" s="46"/>
      <c r="BE1055" s="46"/>
      <c r="BF1055" s="46">
        <v>1</v>
      </c>
      <c r="BG1055" s="46">
        <v>1</v>
      </c>
      <c r="BH1055" s="46">
        <v>1</v>
      </c>
      <c r="BI1055" s="46" t="s">
        <v>629</v>
      </c>
      <c r="BJ1055" s="46" t="s">
        <v>588</v>
      </c>
      <c r="BK1055" s="46">
        <v>1986</v>
      </c>
      <c r="BL1055" s="46" t="str">
        <f>BK1055&amp;BI1055</f>
        <v>1986Southampton</v>
      </c>
      <c r="BM1055" s="52" t="str">
        <f>IF(AD1055="Home",BI1055,IF(AD1055="Away",BJ1055,Q1055))</f>
        <v>London</v>
      </c>
      <c r="BN1055" s="46"/>
      <c r="BO1055" s="46"/>
      <c r="BP1055" s="46"/>
      <c r="BQ1055" s="46"/>
      <c r="BR1055" s="46"/>
      <c r="BS1055" s="46"/>
      <c r="BT1055" s="46"/>
      <c r="BU1055" s="46"/>
      <c r="BV1055" s="46" t="s">
        <v>376</v>
      </c>
      <c r="BW1055" s="46" t="s">
        <v>376</v>
      </c>
      <c r="BX1055" s="46"/>
      <c r="BZ1055" s="53"/>
      <c r="CA1055" s="53"/>
      <c r="CB1055" s="93" t="str">
        <f>IF(OR(C1055="",A1055="",B1055=""),"",TEXT(C1055,"0000")&amp;TEXT(A1055,"00")&amp;TEXT(B1055,"00"))</f>
        <v>19860405</v>
      </c>
    </row>
    <row r="1056" spans="1:80" s="52" customFormat="1" ht="12.95" customHeight="1" x14ac:dyDescent="0.2">
      <c r="A1056" s="46">
        <v>4</v>
      </c>
      <c r="B1056" s="46">
        <v>20</v>
      </c>
      <c r="C1056" s="46">
        <v>1986</v>
      </c>
      <c r="D1056" s="46" t="s">
        <v>658</v>
      </c>
      <c r="E1056" s="46" t="s">
        <v>532</v>
      </c>
      <c r="F1056" s="54" t="s">
        <v>1327</v>
      </c>
      <c r="G1056" s="46"/>
      <c r="H1056" s="54" t="s">
        <v>40</v>
      </c>
      <c r="I1056" s="54"/>
      <c r="J1056" s="55">
        <v>31522</v>
      </c>
      <c r="K1056" s="46" t="s">
        <v>1384</v>
      </c>
      <c r="L1056" s="46" t="s">
        <v>3</v>
      </c>
      <c r="M1056" s="46" t="s">
        <v>1349</v>
      </c>
      <c r="N1056" s="49">
        <v>3</v>
      </c>
      <c r="O1056" s="49">
        <v>0</v>
      </c>
      <c r="P1056" s="54" t="s">
        <v>1268</v>
      </c>
      <c r="Q1056" s="54" t="s">
        <v>1017</v>
      </c>
      <c r="R1056" s="54" t="s">
        <v>376</v>
      </c>
      <c r="S1056" s="46"/>
      <c r="T1056" s="46"/>
      <c r="U1056" s="46"/>
      <c r="V1056" s="46"/>
      <c r="W1056" s="46"/>
      <c r="X1056" s="46"/>
      <c r="Y1056" s="46"/>
      <c r="Z1056" s="46"/>
      <c r="AA1056" s="46"/>
      <c r="AB1056" s="46"/>
      <c r="AC1056" s="46"/>
      <c r="AD1056" s="46"/>
      <c r="AE1056" s="50">
        <f>IF(L1056="W",1,0)</f>
        <v>1</v>
      </c>
      <c r="AF1056" s="50">
        <f>IF(L1056="T",1,0)</f>
        <v>0</v>
      </c>
      <c r="AG1056" s="50">
        <f>IF(L1056="L",1,0)</f>
        <v>0</v>
      </c>
      <c r="AH1056" s="46" t="s">
        <v>1032</v>
      </c>
      <c r="AI1056" s="46" t="s">
        <v>1034</v>
      </c>
      <c r="AJ1056" s="46" t="s">
        <v>376</v>
      </c>
      <c r="AK1056" s="46" t="s">
        <v>658</v>
      </c>
      <c r="AL1056" s="46" t="s">
        <v>1017</v>
      </c>
      <c r="AM1056" s="46" t="s">
        <v>1018</v>
      </c>
      <c r="AN1056" s="46" t="s">
        <v>376</v>
      </c>
      <c r="AO1056" s="46" t="s">
        <v>658</v>
      </c>
      <c r="AP1056" s="46"/>
      <c r="AQ1056" s="46">
        <v>1</v>
      </c>
      <c r="AR1056" s="46"/>
      <c r="AS1056" s="46"/>
      <c r="AT1056" s="46"/>
      <c r="AU1056" s="46" t="s">
        <v>376</v>
      </c>
      <c r="AV1056" s="46"/>
      <c r="AW1056" s="46" t="s">
        <v>30</v>
      </c>
      <c r="AX1056" s="46"/>
      <c r="AY1056" s="46"/>
      <c r="AZ1056" s="46" t="s">
        <v>30</v>
      </c>
      <c r="BA1056" s="54"/>
      <c r="BB1056" s="51" t="s">
        <v>30</v>
      </c>
      <c r="BC1056" s="46" t="s">
        <v>30</v>
      </c>
      <c r="BD1056" s="46"/>
      <c r="BE1056" s="46"/>
      <c r="BF1056" s="46">
        <v>1</v>
      </c>
      <c r="BG1056" s="46">
        <v>1</v>
      </c>
      <c r="BH1056" s="46">
        <v>1</v>
      </c>
      <c r="BI1056" s="46" t="s">
        <v>1384</v>
      </c>
      <c r="BJ1056" s="46" t="s">
        <v>1349</v>
      </c>
      <c r="BK1056" s="46">
        <v>1986</v>
      </c>
      <c r="BL1056" s="46" t="str">
        <f>BK1056&amp;BI1056</f>
        <v>1986Oxford United</v>
      </c>
      <c r="BM1056" s="52" t="str">
        <f>IF(AD1056="Home",BI1056,IF(AD1056="Away",BJ1056,Q1056))</f>
        <v>London</v>
      </c>
      <c r="BN1056" s="46"/>
      <c r="BO1056" s="46"/>
      <c r="BP1056" s="46"/>
      <c r="BQ1056" s="46"/>
      <c r="BR1056" s="46"/>
      <c r="BS1056" s="46"/>
      <c r="BT1056" s="46"/>
      <c r="BU1056" s="46"/>
      <c r="BV1056" s="46" t="s">
        <v>376</v>
      </c>
      <c r="BW1056" s="46" t="s">
        <v>376</v>
      </c>
      <c r="BX1056" s="46"/>
      <c r="BZ1056" s="53"/>
      <c r="CA1056" s="53"/>
      <c r="CB1056" s="93" t="str">
        <f>IF(OR(C1056="",A1056="",B1056=""),"",TEXT(C1056,"0000")&amp;TEXT(A1056,"00")&amp;TEXT(B1056,"00"))</f>
        <v>19860420</v>
      </c>
    </row>
    <row r="1057" spans="1:80" s="52" customFormat="1" ht="12.95" customHeight="1" x14ac:dyDescent="0.2">
      <c r="A1057" s="46">
        <v>4</v>
      </c>
      <c r="B1057" s="46">
        <v>20</v>
      </c>
      <c r="C1057" s="46">
        <v>1986</v>
      </c>
      <c r="D1057" s="46" t="s">
        <v>658</v>
      </c>
      <c r="E1057" s="46" t="s">
        <v>532</v>
      </c>
      <c r="F1057" s="54" t="s">
        <v>1327</v>
      </c>
      <c r="G1057" s="46"/>
      <c r="H1057" s="54" t="s">
        <v>40</v>
      </c>
      <c r="I1057" s="54"/>
      <c r="J1057" s="55">
        <v>31522</v>
      </c>
      <c r="K1057" s="46" t="s">
        <v>1349</v>
      </c>
      <c r="L1057" s="46" t="s">
        <v>4</v>
      </c>
      <c r="M1057" s="46" t="s">
        <v>1384</v>
      </c>
      <c r="N1057" s="49">
        <v>0</v>
      </c>
      <c r="O1057" s="49">
        <v>3</v>
      </c>
      <c r="P1057" s="54" t="s">
        <v>1268</v>
      </c>
      <c r="Q1057" s="54" t="s">
        <v>1017</v>
      </c>
      <c r="R1057" s="54" t="s">
        <v>376</v>
      </c>
      <c r="S1057" s="46"/>
      <c r="T1057" s="46"/>
      <c r="U1057" s="46"/>
      <c r="V1057" s="46"/>
      <c r="W1057" s="46"/>
      <c r="X1057" s="46"/>
      <c r="Y1057" s="46"/>
      <c r="Z1057" s="46"/>
      <c r="AA1057" s="46"/>
      <c r="AB1057" s="46"/>
      <c r="AC1057" s="46"/>
      <c r="AD1057" s="46"/>
      <c r="AE1057" s="50">
        <f>IF(L1057="W",1,0)</f>
        <v>0</v>
      </c>
      <c r="AF1057" s="50">
        <f>IF(L1057="T",1,0)</f>
        <v>0</v>
      </c>
      <c r="AG1057" s="50">
        <f>IF(L1057="L",1,0)</f>
        <v>1</v>
      </c>
      <c r="AH1057" s="46" t="s">
        <v>1017</v>
      </c>
      <c r="AI1057" s="46" t="s">
        <v>1018</v>
      </c>
      <c r="AJ1057" s="46" t="s">
        <v>376</v>
      </c>
      <c r="AK1057" s="46" t="s">
        <v>658</v>
      </c>
      <c r="AL1057" s="46" t="s">
        <v>1032</v>
      </c>
      <c r="AM1057" s="46" t="s">
        <v>1034</v>
      </c>
      <c r="AN1057" s="46" t="s">
        <v>376</v>
      </c>
      <c r="AO1057" s="46" t="s">
        <v>658</v>
      </c>
      <c r="AP1057" s="46"/>
      <c r="AQ1057" s="46">
        <v>1</v>
      </c>
      <c r="AR1057" s="46"/>
      <c r="AS1057" s="46"/>
      <c r="AT1057" s="46"/>
      <c r="AU1057" s="46" t="s">
        <v>376</v>
      </c>
      <c r="AV1057" s="46"/>
      <c r="AW1057" s="46" t="s">
        <v>30</v>
      </c>
      <c r="AX1057" s="46"/>
      <c r="AY1057" s="46"/>
      <c r="AZ1057" s="46" t="s">
        <v>30</v>
      </c>
      <c r="BA1057" s="54"/>
      <c r="BB1057" s="51"/>
      <c r="BC1057" s="46" t="s">
        <v>30</v>
      </c>
      <c r="BD1057" s="46"/>
      <c r="BE1057" s="46"/>
      <c r="BF1057" s="46">
        <v>1</v>
      </c>
      <c r="BG1057" s="46">
        <v>1</v>
      </c>
      <c r="BH1057" s="46">
        <v>1</v>
      </c>
      <c r="BI1057" s="46" t="s">
        <v>1349</v>
      </c>
      <c r="BJ1057" s="46" t="s">
        <v>1384</v>
      </c>
      <c r="BK1057" s="46">
        <v>1986</v>
      </c>
      <c r="BL1057" s="46" t="str">
        <f>BK1057&amp;BI1057</f>
        <v>1986Queens Park Rangers</v>
      </c>
      <c r="BM1057" s="52" t="str">
        <f>IF(AD1057="Home",BI1057,IF(AD1057="Away",BJ1057,Q1057))</f>
        <v>London</v>
      </c>
      <c r="BN1057" s="46"/>
      <c r="BO1057" s="46"/>
      <c r="BP1057" s="46"/>
      <c r="BQ1057" s="46"/>
      <c r="BR1057" s="46"/>
      <c r="BS1057" s="46"/>
      <c r="BT1057" s="46"/>
      <c r="BU1057" s="46"/>
      <c r="BV1057" s="46" t="s">
        <v>376</v>
      </c>
      <c r="BW1057" s="46" t="s">
        <v>376</v>
      </c>
      <c r="BX1057" s="46"/>
      <c r="BZ1057" s="53"/>
      <c r="CA1057" s="53"/>
      <c r="CB1057" s="93" t="str">
        <f>IF(OR(C1057="",A1057="",B1057=""),"",TEXT(C1057,"0000")&amp;TEXT(A1057,"00")&amp;TEXT(B1057,"00"))</f>
        <v>19860420</v>
      </c>
    </row>
    <row r="1058" spans="1:80" s="52" customFormat="1" ht="12.95" customHeight="1" x14ac:dyDescent="0.2">
      <c r="A1058" s="46">
        <v>5</v>
      </c>
      <c r="B1058" s="46">
        <v>10</v>
      </c>
      <c r="C1058" s="46">
        <v>1986</v>
      </c>
      <c r="D1058" s="46" t="s">
        <v>658</v>
      </c>
      <c r="E1058" s="46" t="s">
        <v>532</v>
      </c>
      <c r="F1058" s="47" t="s">
        <v>1010</v>
      </c>
      <c r="G1058" s="46"/>
      <c r="H1058" s="47" t="s">
        <v>1025</v>
      </c>
      <c r="I1058" s="47"/>
      <c r="J1058" s="48">
        <v>31542</v>
      </c>
      <c r="K1058" s="46" t="s">
        <v>588</v>
      </c>
      <c r="L1058" s="46" t="s">
        <v>3</v>
      </c>
      <c r="M1058" s="46" t="s">
        <v>804</v>
      </c>
      <c r="N1058" s="49">
        <v>3</v>
      </c>
      <c r="O1058" s="49">
        <v>1</v>
      </c>
      <c r="P1058" s="47" t="s">
        <v>1268</v>
      </c>
      <c r="Q1058" s="47" t="s">
        <v>1017</v>
      </c>
      <c r="R1058" s="47" t="s">
        <v>376</v>
      </c>
      <c r="S1058" s="46"/>
      <c r="T1058" s="46"/>
      <c r="U1058" s="46"/>
      <c r="V1058" s="46"/>
      <c r="W1058" s="46"/>
      <c r="X1058" s="46"/>
      <c r="Y1058" s="46"/>
      <c r="Z1058" s="46"/>
      <c r="AA1058" s="46"/>
      <c r="AB1058" s="46"/>
      <c r="AC1058" s="46"/>
      <c r="AD1058" s="46"/>
      <c r="AE1058" s="50">
        <f>IF(L1058="W",1,0)</f>
        <v>1</v>
      </c>
      <c r="AF1058" s="50">
        <f>IF(L1058="T",1,0)</f>
        <v>0</v>
      </c>
      <c r="AG1058" s="50">
        <f>IF(L1058="L",1,0)</f>
        <v>0</v>
      </c>
      <c r="AH1058" s="46" t="s">
        <v>588</v>
      </c>
      <c r="AI1058" s="46" t="s">
        <v>1175</v>
      </c>
      <c r="AJ1058" s="46" t="s">
        <v>376</v>
      </c>
      <c r="AK1058" s="46" t="s">
        <v>658</v>
      </c>
      <c r="AL1058" s="46" t="s">
        <v>588</v>
      </c>
      <c r="AM1058" s="46" t="s">
        <v>1175</v>
      </c>
      <c r="AN1058" s="46" t="s">
        <v>376</v>
      </c>
      <c r="AO1058" s="46" t="s">
        <v>658</v>
      </c>
      <c r="AP1058" s="46"/>
      <c r="AQ1058" s="46">
        <v>1</v>
      </c>
      <c r="AR1058" s="46"/>
      <c r="AS1058" s="46"/>
      <c r="AT1058" s="46" t="s">
        <v>1229</v>
      </c>
      <c r="AU1058" s="46" t="s">
        <v>376</v>
      </c>
      <c r="AV1058" s="46"/>
      <c r="AW1058" s="46" t="s">
        <v>30</v>
      </c>
      <c r="AX1058" s="46"/>
      <c r="AY1058" s="46" t="s">
        <v>30</v>
      </c>
      <c r="AZ1058" s="46"/>
      <c r="BA1058" s="47"/>
      <c r="BB1058" s="51" t="s">
        <v>30</v>
      </c>
      <c r="BC1058" s="46" t="s">
        <v>30</v>
      </c>
      <c r="BD1058" s="46"/>
      <c r="BE1058" s="46"/>
      <c r="BF1058" s="46">
        <v>1</v>
      </c>
      <c r="BG1058" s="46">
        <v>1</v>
      </c>
      <c r="BH1058" s="46">
        <v>1</v>
      </c>
      <c r="BI1058" s="46" t="s">
        <v>588</v>
      </c>
      <c r="BJ1058" s="46" t="s">
        <v>804</v>
      </c>
      <c r="BK1058" s="46">
        <v>1986</v>
      </c>
      <c r="BL1058" s="46" t="str">
        <f>BK1058&amp;BI1058</f>
        <v>1986Liverpool</v>
      </c>
      <c r="BM1058" s="52" t="str">
        <f>IF(AD1058="Home",BI1058,IF(AD1058="Away",BJ1058,Q1058))</f>
        <v>London</v>
      </c>
      <c r="BN1058" s="46"/>
      <c r="BO1058" s="46"/>
      <c r="BP1058" s="46"/>
      <c r="BQ1058" s="46"/>
      <c r="BR1058" s="46"/>
      <c r="BS1058" s="46"/>
      <c r="BT1058" s="46"/>
      <c r="BU1058" s="46"/>
      <c r="BV1058" s="46" t="s">
        <v>376</v>
      </c>
      <c r="BW1058" s="46" t="s">
        <v>376</v>
      </c>
      <c r="BX1058" s="46"/>
      <c r="BZ1058" s="53"/>
      <c r="CA1058" s="53"/>
      <c r="CB1058" s="93" t="str">
        <f>IF(OR(C1058="",A1058="",B1058=""),"",TEXT(C1058,"0000")&amp;TEXT(A1058,"00")&amp;TEXT(B1058,"00"))</f>
        <v>19860510</v>
      </c>
    </row>
    <row r="1059" spans="1:80" s="52" customFormat="1" ht="12.95" customHeight="1" x14ac:dyDescent="0.2">
      <c r="A1059" s="46">
        <v>5</v>
      </c>
      <c r="B1059" s="46">
        <v>10</v>
      </c>
      <c r="C1059" s="46">
        <v>1986</v>
      </c>
      <c r="D1059" s="46" t="s">
        <v>658</v>
      </c>
      <c r="E1059" s="46" t="s">
        <v>532</v>
      </c>
      <c r="F1059" s="47" t="s">
        <v>1010</v>
      </c>
      <c r="G1059" s="46"/>
      <c r="H1059" s="47" t="s">
        <v>1025</v>
      </c>
      <c r="I1059" s="47"/>
      <c r="J1059" s="48">
        <v>31542</v>
      </c>
      <c r="K1059" s="46" t="s">
        <v>804</v>
      </c>
      <c r="L1059" s="46" t="s">
        <v>4</v>
      </c>
      <c r="M1059" s="46" t="s">
        <v>588</v>
      </c>
      <c r="N1059" s="49">
        <v>1</v>
      </c>
      <c r="O1059" s="49">
        <v>3</v>
      </c>
      <c r="P1059" s="47" t="s">
        <v>1268</v>
      </c>
      <c r="Q1059" s="47" t="s">
        <v>1017</v>
      </c>
      <c r="R1059" s="47" t="s">
        <v>376</v>
      </c>
      <c r="S1059" s="46"/>
      <c r="T1059" s="46"/>
      <c r="U1059" s="46"/>
      <c r="V1059" s="46"/>
      <c r="W1059" s="46"/>
      <c r="X1059" s="46"/>
      <c r="Y1059" s="46"/>
      <c r="Z1059" s="46"/>
      <c r="AA1059" s="46"/>
      <c r="AB1059" s="46"/>
      <c r="AC1059" s="46"/>
      <c r="AD1059" s="46"/>
      <c r="AE1059" s="50">
        <f>IF(L1059="W",1,0)</f>
        <v>0</v>
      </c>
      <c r="AF1059" s="50">
        <f>IF(L1059="T",1,0)</f>
        <v>0</v>
      </c>
      <c r="AG1059" s="50">
        <f>IF(L1059="L",1,0)</f>
        <v>1</v>
      </c>
      <c r="AH1059" s="46" t="s">
        <v>588</v>
      </c>
      <c r="AI1059" s="46" t="s">
        <v>1175</v>
      </c>
      <c r="AJ1059" s="46" t="s">
        <v>376</v>
      </c>
      <c r="AK1059" s="46" t="s">
        <v>658</v>
      </c>
      <c r="AL1059" s="46" t="s">
        <v>588</v>
      </c>
      <c r="AM1059" s="46" t="s">
        <v>1175</v>
      </c>
      <c r="AN1059" s="46" t="s">
        <v>376</v>
      </c>
      <c r="AO1059" s="46" t="s">
        <v>658</v>
      </c>
      <c r="AP1059" s="46"/>
      <c r="AQ1059" s="46">
        <v>1</v>
      </c>
      <c r="AR1059" s="46"/>
      <c r="AS1059" s="46"/>
      <c r="AT1059" s="46" t="s">
        <v>1229</v>
      </c>
      <c r="AU1059" s="46" t="s">
        <v>376</v>
      </c>
      <c r="AV1059" s="46"/>
      <c r="AW1059" s="46" t="s">
        <v>30</v>
      </c>
      <c r="AX1059" s="46"/>
      <c r="AY1059" s="46" t="s">
        <v>30</v>
      </c>
      <c r="AZ1059" s="46"/>
      <c r="BA1059" s="47"/>
      <c r="BB1059" s="51"/>
      <c r="BC1059" s="46" t="s">
        <v>30</v>
      </c>
      <c r="BD1059" s="46"/>
      <c r="BE1059" s="46"/>
      <c r="BF1059" s="46">
        <v>1</v>
      </c>
      <c r="BG1059" s="46">
        <v>1</v>
      </c>
      <c r="BH1059" s="46">
        <v>1</v>
      </c>
      <c r="BI1059" s="46" t="s">
        <v>804</v>
      </c>
      <c r="BJ1059" s="46" t="s">
        <v>588</v>
      </c>
      <c r="BK1059" s="46">
        <v>1986</v>
      </c>
      <c r="BL1059" s="46" t="str">
        <f>BK1059&amp;BI1059</f>
        <v>1986Everton</v>
      </c>
      <c r="BM1059" s="52" t="str">
        <f>IF(AD1059="Home",BI1059,IF(AD1059="Away",BJ1059,Q1059))</f>
        <v>London</v>
      </c>
      <c r="BN1059" s="46"/>
      <c r="BO1059" s="46"/>
      <c r="BP1059" s="46"/>
      <c r="BQ1059" s="46"/>
      <c r="BR1059" s="46"/>
      <c r="BS1059" s="46"/>
      <c r="BT1059" s="46"/>
      <c r="BU1059" s="46"/>
      <c r="BV1059" s="46" t="s">
        <v>376</v>
      </c>
      <c r="BW1059" s="46" t="s">
        <v>376</v>
      </c>
      <c r="BX1059" s="46"/>
      <c r="BZ1059" s="53"/>
      <c r="CA1059" s="53"/>
      <c r="CB1059" s="93" t="str">
        <f>IF(OR(C1059="",A1059="",B1059=""),"",TEXT(C1059,"0000")&amp;TEXT(A1059,"00")&amp;TEXT(B1059,"00"))</f>
        <v>19860510</v>
      </c>
    </row>
    <row r="1060" spans="1:80" s="52" customFormat="1" ht="12.95" customHeight="1" x14ac:dyDescent="0.2">
      <c r="A1060" s="46">
        <v>2</v>
      </c>
      <c r="B1060" s="46">
        <v>8</v>
      </c>
      <c r="C1060" s="46">
        <v>1987</v>
      </c>
      <c r="D1060" s="46" t="s">
        <v>658</v>
      </c>
      <c r="E1060" s="46" t="s">
        <v>530</v>
      </c>
      <c r="F1060" s="54" t="s">
        <v>1327</v>
      </c>
      <c r="G1060" s="46"/>
      <c r="H1060" s="54" t="s">
        <v>1011</v>
      </c>
      <c r="I1060" s="54">
        <v>1</v>
      </c>
      <c r="J1060" s="55">
        <v>31816</v>
      </c>
      <c r="K1060" s="46" t="s">
        <v>587</v>
      </c>
      <c r="L1060" s="46" t="s">
        <v>4</v>
      </c>
      <c r="M1060" s="46" t="s">
        <v>813</v>
      </c>
      <c r="N1060" s="49">
        <v>0</v>
      </c>
      <c r="O1060" s="49">
        <v>1</v>
      </c>
      <c r="P1060" s="54" t="s">
        <v>1281</v>
      </c>
      <c r="Q1060" s="54" t="s">
        <v>1017</v>
      </c>
      <c r="R1060" s="54" t="s">
        <v>376</v>
      </c>
      <c r="S1060" s="46"/>
      <c r="T1060" s="46"/>
      <c r="U1060" s="46"/>
      <c r="V1060" s="46"/>
      <c r="W1060" s="46"/>
      <c r="X1060" s="46"/>
      <c r="Y1060" s="46"/>
      <c r="Z1060" s="46"/>
      <c r="AA1060" s="46"/>
      <c r="AB1060" s="46"/>
      <c r="AC1060" s="46"/>
      <c r="AD1060" s="46" t="s">
        <v>1033</v>
      </c>
      <c r="AE1060" s="50">
        <f>IF(L1060="W",1,0)</f>
        <v>0</v>
      </c>
      <c r="AF1060" s="50">
        <f>IF(L1060="T",1,0)</f>
        <v>0</v>
      </c>
      <c r="AG1060" s="50">
        <f>IF(L1060="L",1,0)</f>
        <v>1</v>
      </c>
      <c r="AH1060" s="46" t="s">
        <v>1017</v>
      </c>
      <c r="AI1060" s="46" t="s">
        <v>1018</v>
      </c>
      <c r="AJ1060" s="46" t="s">
        <v>376</v>
      </c>
      <c r="AK1060" s="46" t="s">
        <v>658</v>
      </c>
      <c r="AL1060" s="46" t="s">
        <v>1017</v>
      </c>
      <c r="AM1060" s="46" t="s">
        <v>1018</v>
      </c>
      <c r="AN1060" s="46" t="s">
        <v>376</v>
      </c>
      <c r="AO1060" s="46" t="s">
        <v>658</v>
      </c>
      <c r="AP1060" s="46"/>
      <c r="AQ1060" s="46">
        <v>2</v>
      </c>
      <c r="AR1060" s="46"/>
      <c r="AS1060" s="46"/>
      <c r="AT1060" s="46" t="s">
        <v>1351</v>
      </c>
      <c r="AU1060" s="46" t="s">
        <v>376</v>
      </c>
      <c r="AV1060" s="46"/>
      <c r="AW1060" s="46" t="s">
        <v>30</v>
      </c>
      <c r="AX1060" s="46"/>
      <c r="AY1060" s="46"/>
      <c r="AZ1060" s="46" t="s">
        <v>30</v>
      </c>
      <c r="BA1060" s="54"/>
      <c r="BB1060" s="51"/>
      <c r="BC1060" s="46"/>
      <c r="BD1060" s="46"/>
      <c r="BE1060" s="46"/>
      <c r="BF1060" s="46">
        <v>1</v>
      </c>
      <c r="BG1060" s="46">
        <v>1</v>
      </c>
      <c r="BH1060" s="46">
        <v>1</v>
      </c>
      <c r="BI1060" s="46" t="s">
        <v>587</v>
      </c>
      <c r="BJ1060" s="46" t="s">
        <v>813</v>
      </c>
      <c r="BK1060" s="46">
        <v>1987</v>
      </c>
      <c r="BL1060" s="46" t="str">
        <f>BK1060&amp;BI1060</f>
        <v>1987Arsenal</v>
      </c>
      <c r="BM1060" s="52" t="str">
        <f>IF(AD1060="Home",BI1060,IF(AD1060="Away",BJ1060,Q1060))</f>
        <v>Arsenal</v>
      </c>
      <c r="BN1060" s="46"/>
      <c r="BO1060" s="46"/>
      <c r="BP1060" s="46"/>
      <c r="BQ1060" s="46"/>
      <c r="BR1060" s="46"/>
      <c r="BS1060" s="46"/>
      <c r="BT1060" s="46"/>
      <c r="BU1060" s="46"/>
      <c r="BV1060" s="46" t="s">
        <v>376</v>
      </c>
      <c r="BW1060" s="46" t="s">
        <v>376</v>
      </c>
      <c r="BX1060" s="46"/>
      <c r="BZ1060" s="53"/>
      <c r="CA1060" s="53"/>
      <c r="CB1060" s="93" t="str">
        <f>IF(OR(C1060="",A1060="",B1060=""),"",TEXT(C1060,"0000")&amp;TEXT(A1060,"00")&amp;TEXT(B1060,"00"))</f>
        <v>19870208</v>
      </c>
    </row>
    <row r="1061" spans="1:80" s="52" customFormat="1" ht="12.95" customHeight="1" x14ac:dyDescent="0.2">
      <c r="A1061" s="46">
        <v>2</v>
      </c>
      <c r="B1061" s="46">
        <v>8</v>
      </c>
      <c r="C1061" s="46">
        <v>1987</v>
      </c>
      <c r="D1061" s="46" t="s">
        <v>658</v>
      </c>
      <c r="E1061" s="46" t="s">
        <v>530</v>
      </c>
      <c r="F1061" s="54" t="s">
        <v>1327</v>
      </c>
      <c r="G1061" s="46"/>
      <c r="H1061" s="54" t="s">
        <v>1011</v>
      </c>
      <c r="I1061" s="54">
        <v>1</v>
      </c>
      <c r="J1061" s="55">
        <v>31816</v>
      </c>
      <c r="K1061" s="46" t="s">
        <v>813</v>
      </c>
      <c r="L1061" s="46" t="s">
        <v>3</v>
      </c>
      <c r="M1061" s="46" t="s">
        <v>587</v>
      </c>
      <c r="N1061" s="49">
        <v>1</v>
      </c>
      <c r="O1061" s="49">
        <v>0</v>
      </c>
      <c r="P1061" s="54" t="s">
        <v>1281</v>
      </c>
      <c r="Q1061" s="54" t="s">
        <v>1017</v>
      </c>
      <c r="R1061" s="54" t="s">
        <v>376</v>
      </c>
      <c r="S1061" s="46"/>
      <c r="T1061" s="46"/>
      <c r="U1061" s="46"/>
      <c r="V1061" s="46"/>
      <c r="W1061" s="46"/>
      <c r="X1061" s="46"/>
      <c r="Y1061" s="46"/>
      <c r="Z1061" s="46"/>
      <c r="AA1061" s="46"/>
      <c r="AB1061" s="46"/>
      <c r="AC1061" s="46"/>
      <c r="AD1061" s="46" t="s">
        <v>1037</v>
      </c>
      <c r="AE1061" s="50">
        <f>IF(L1061="W",1,0)</f>
        <v>1</v>
      </c>
      <c r="AF1061" s="50">
        <f>IF(L1061="T",1,0)</f>
        <v>0</v>
      </c>
      <c r="AG1061" s="50">
        <f>IF(L1061="L",1,0)</f>
        <v>0</v>
      </c>
      <c r="AH1061" s="46" t="s">
        <v>1017</v>
      </c>
      <c r="AI1061" s="46" t="s">
        <v>1018</v>
      </c>
      <c r="AJ1061" s="46" t="s">
        <v>376</v>
      </c>
      <c r="AK1061" s="46" t="s">
        <v>658</v>
      </c>
      <c r="AL1061" s="46" t="s">
        <v>1017</v>
      </c>
      <c r="AM1061" s="46" t="s">
        <v>1018</v>
      </c>
      <c r="AN1061" s="46" t="s">
        <v>376</v>
      </c>
      <c r="AO1061" s="46" t="s">
        <v>658</v>
      </c>
      <c r="AP1061" s="46"/>
      <c r="AQ1061" s="46">
        <v>2</v>
      </c>
      <c r="AR1061" s="46"/>
      <c r="AS1061" s="46"/>
      <c r="AT1061" s="46" t="s">
        <v>1351</v>
      </c>
      <c r="AU1061" s="46" t="s">
        <v>376</v>
      </c>
      <c r="AV1061" s="46"/>
      <c r="AW1061" s="46" t="s">
        <v>30</v>
      </c>
      <c r="AX1061" s="46"/>
      <c r="AY1061" s="46"/>
      <c r="AZ1061" s="46" t="s">
        <v>30</v>
      </c>
      <c r="BA1061" s="54"/>
      <c r="BB1061" s="51"/>
      <c r="BC1061" s="46"/>
      <c r="BD1061" s="46"/>
      <c r="BE1061" s="46"/>
      <c r="BF1061" s="46">
        <v>1</v>
      </c>
      <c r="BG1061" s="46">
        <v>1</v>
      </c>
      <c r="BH1061" s="46">
        <v>1</v>
      </c>
      <c r="BI1061" s="46" t="s">
        <v>813</v>
      </c>
      <c r="BJ1061" s="46" t="s">
        <v>587</v>
      </c>
      <c r="BK1061" s="46">
        <v>1987</v>
      </c>
      <c r="BL1061" s="46" t="str">
        <f>BK1061&amp;BI1061</f>
        <v>1987Tottenham Hotspur</v>
      </c>
      <c r="BM1061" s="52" t="str">
        <f>IF(AD1061="Home",BI1061,IF(AD1061="Away",BJ1061,Q1061))</f>
        <v>Arsenal</v>
      </c>
      <c r="BN1061" s="46"/>
      <c r="BO1061" s="46"/>
      <c r="BP1061" s="46"/>
      <c r="BQ1061" s="46"/>
      <c r="BR1061" s="46"/>
      <c r="BS1061" s="46"/>
      <c r="BT1061" s="46"/>
      <c r="BU1061" s="46"/>
      <c r="BV1061" s="46" t="s">
        <v>376</v>
      </c>
      <c r="BW1061" s="46" t="s">
        <v>376</v>
      </c>
      <c r="BX1061" s="46"/>
      <c r="BZ1061" s="53"/>
      <c r="CA1061" s="53"/>
      <c r="CB1061" s="93" t="str">
        <f>IF(OR(C1061="",A1061="",B1061=""),"",TEXT(C1061,"0000")&amp;TEXT(A1061,"00")&amp;TEXT(B1061,"00"))</f>
        <v>19870208</v>
      </c>
    </row>
    <row r="1062" spans="1:80" s="52" customFormat="1" ht="12.95" customHeight="1" x14ac:dyDescent="0.2">
      <c r="A1062" s="46">
        <v>2</v>
      </c>
      <c r="B1062" s="46">
        <v>11</v>
      </c>
      <c r="C1062" s="46">
        <v>1987</v>
      </c>
      <c r="D1062" s="46" t="s">
        <v>658</v>
      </c>
      <c r="E1062" s="46" t="s">
        <v>530</v>
      </c>
      <c r="F1062" s="54" t="s">
        <v>1327</v>
      </c>
      <c r="G1062" s="46"/>
      <c r="H1062" s="54" t="s">
        <v>1011</v>
      </c>
      <c r="I1062" s="54">
        <v>1</v>
      </c>
      <c r="J1062" s="55">
        <v>31819</v>
      </c>
      <c r="K1062" s="46" t="s">
        <v>629</v>
      </c>
      <c r="L1062" s="46" t="s">
        <v>1014</v>
      </c>
      <c r="M1062" s="46" t="s">
        <v>588</v>
      </c>
      <c r="N1062" s="49">
        <v>0</v>
      </c>
      <c r="O1062" s="49">
        <v>0</v>
      </c>
      <c r="P1062" s="54" t="s">
        <v>1372</v>
      </c>
      <c r="Q1062" s="54" t="s">
        <v>629</v>
      </c>
      <c r="R1062" s="54" t="s">
        <v>376</v>
      </c>
      <c r="S1062" s="46"/>
      <c r="T1062" s="46"/>
      <c r="U1062" s="46"/>
      <c r="V1062" s="46"/>
      <c r="W1062" s="46"/>
      <c r="X1062" s="46"/>
      <c r="Y1062" s="46"/>
      <c r="Z1062" s="46"/>
      <c r="AA1062" s="46"/>
      <c r="AB1062" s="46"/>
      <c r="AC1062" s="46"/>
      <c r="AD1062" s="46" t="s">
        <v>1033</v>
      </c>
      <c r="AE1062" s="50">
        <f>IF(L1062="W",1,0)</f>
        <v>0</v>
      </c>
      <c r="AF1062" s="50">
        <f>IF(L1062="T",1,0)</f>
        <v>1</v>
      </c>
      <c r="AG1062" s="50">
        <f>IF(L1062="L",1,0)</f>
        <v>0</v>
      </c>
      <c r="AH1062" s="46" t="s">
        <v>629</v>
      </c>
      <c r="AI1062" s="46" t="s">
        <v>1199</v>
      </c>
      <c r="AJ1062" s="46" t="s">
        <v>376</v>
      </c>
      <c r="AK1062" s="46" t="s">
        <v>658</v>
      </c>
      <c r="AL1062" s="46" t="s">
        <v>588</v>
      </c>
      <c r="AM1062" s="46" t="s">
        <v>1175</v>
      </c>
      <c r="AN1062" s="46" t="s">
        <v>376</v>
      </c>
      <c r="AO1062" s="46" t="s">
        <v>658</v>
      </c>
      <c r="AP1062" s="46"/>
      <c r="AQ1062" s="46">
        <v>2</v>
      </c>
      <c r="AR1062" s="46"/>
      <c r="AS1062" s="46"/>
      <c r="AT1062" s="46"/>
      <c r="AU1062" s="46" t="s">
        <v>376</v>
      </c>
      <c r="AV1062" s="46"/>
      <c r="AW1062" s="46" t="s">
        <v>30</v>
      </c>
      <c r="AX1062" s="46"/>
      <c r="AY1062" s="46"/>
      <c r="AZ1062" s="46" t="s">
        <v>30</v>
      </c>
      <c r="BA1062" s="54"/>
      <c r="BB1062" s="51"/>
      <c r="BC1062" s="46"/>
      <c r="BD1062" s="46"/>
      <c r="BE1062" s="46"/>
      <c r="BF1062" s="46">
        <v>1</v>
      </c>
      <c r="BG1062" s="46">
        <v>1</v>
      </c>
      <c r="BH1062" s="46">
        <v>1</v>
      </c>
      <c r="BI1062" s="46" t="s">
        <v>629</v>
      </c>
      <c r="BJ1062" s="46" t="s">
        <v>588</v>
      </c>
      <c r="BK1062" s="46">
        <v>1987</v>
      </c>
      <c r="BL1062" s="46" t="str">
        <f>BK1062&amp;BI1062</f>
        <v>1987Southampton</v>
      </c>
      <c r="BM1062" s="52" t="str">
        <f>IF(AD1062="Home",BI1062,IF(AD1062="Away",BJ1062,Q1062))</f>
        <v>Southampton</v>
      </c>
      <c r="BN1062" s="46"/>
      <c r="BO1062" s="46"/>
      <c r="BP1062" s="46"/>
      <c r="BQ1062" s="46"/>
      <c r="BR1062" s="46"/>
      <c r="BS1062" s="46"/>
      <c r="BT1062" s="46"/>
      <c r="BU1062" s="46"/>
      <c r="BV1062" s="46" t="s">
        <v>376</v>
      </c>
      <c r="BW1062" s="46" t="s">
        <v>376</v>
      </c>
      <c r="BX1062" s="46"/>
      <c r="BY1062" s="50"/>
      <c r="BZ1062" s="53"/>
      <c r="CA1062" s="53"/>
      <c r="CB1062" s="93" t="str">
        <f>IF(OR(C1062="",A1062="",B1062=""),"",TEXT(C1062,"0000")&amp;TEXT(A1062,"00")&amp;TEXT(B1062,"00"))</f>
        <v>19870211</v>
      </c>
    </row>
    <row r="1063" spans="1:80" s="52" customFormat="1" ht="12.95" customHeight="1" x14ac:dyDescent="0.2">
      <c r="A1063" s="46">
        <v>2</v>
      </c>
      <c r="B1063" s="46">
        <v>11</v>
      </c>
      <c r="C1063" s="46">
        <v>1987</v>
      </c>
      <c r="D1063" s="46" t="s">
        <v>658</v>
      </c>
      <c r="E1063" s="46" t="s">
        <v>530</v>
      </c>
      <c r="F1063" s="54" t="s">
        <v>1327</v>
      </c>
      <c r="G1063" s="46"/>
      <c r="H1063" s="54" t="s">
        <v>1011</v>
      </c>
      <c r="I1063" s="54">
        <v>1</v>
      </c>
      <c r="J1063" s="55">
        <v>31819</v>
      </c>
      <c r="K1063" s="46" t="s">
        <v>588</v>
      </c>
      <c r="L1063" s="46" t="s">
        <v>1014</v>
      </c>
      <c r="M1063" s="46" t="s">
        <v>629</v>
      </c>
      <c r="N1063" s="49">
        <v>0</v>
      </c>
      <c r="O1063" s="49">
        <v>0</v>
      </c>
      <c r="P1063" s="54" t="s">
        <v>1372</v>
      </c>
      <c r="Q1063" s="54" t="s">
        <v>629</v>
      </c>
      <c r="R1063" s="54" t="s">
        <v>376</v>
      </c>
      <c r="S1063" s="46"/>
      <c r="T1063" s="46"/>
      <c r="U1063" s="46"/>
      <c r="V1063" s="46"/>
      <c r="W1063" s="46"/>
      <c r="X1063" s="46"/>
      <c r="Y1063" s="46"/>
      <c r="Z1063" s="46"/>
      <c r="AA1063" s="46"/>
      <c r="AB1063" s="46"/>
      <c r="AC1063" s="46"/>
      <c r="AD1063" s="46" t="s">
        <v>1037</v>
      </c>
      <c r="AE1063" s="50">
        <f>IF(L1063="W",1,0)</f>
        <v>0</v>
      </c>
      <c r="AF1063" s="50">
        <f>IF(L1063="T",1,0)</f>
        <v>1</v>
      </c>
      <c r="AG1063" s="50">
        <f>IF(L1063="L",1,0)</f>
        <v>0</v>
      </c>
      <c r="AH1063" s="46" t="s">
        <v>588</v>
      </c>
      <c r="AI1063" s="46" t="s">
        <v>1175</v>
      </c>
      <c r="AJ1063" s="46" t="s">
        <v>376</v>
      </c>
      <c r="AK1063" s="46" t="s">
        <v>658</v>
      </c>
      <c r="AL1063" s="46" t="s">
        <v>629</v>
      </c>
      <c r="AM1063" s="46" t="s">
        <v>1199</v>
      </c>
      <c r="AN1063" s="46" t="s">
        <v>376</v>
      </c>
      <c r="AO1063" s="46" t="s">
        <v>658</v>
      </c>
      <c r="AP1063" s="46"/>
      <c r="AQ1063" s="46">
        <v>2</v>
      </c>
      <c r="AR1063" s="46"/>
      <c r="AS1063" s="46"/>
      <c r="AT1063" s="46"/>
      <c r="AU1063" s="46" t="s">
        <v>376</v>
      </c>
      <c r="AV1063" s="46"/>
      <c r="AW1063" s="46" t="s">
        <v>30</v>
      </c>
      <c r="AX1063" s="46"/>
      <c r="AY1063" s="46"/>
      <c r="AZ1063" s="46" t="s">
        <v>30</v>
      </c>
      <c r="BA1063" s="54"/>
      <c r="BB1063" s="51"/>
      <c r="BC1063" s="46"/>
      <c r="BD1063" s="46"/>
      <c r="BE1063" s="46"/>
      <c r="BF1063" s="46">
        <v>1</v>
      </c>
      <c r="BG1063" s="46">
        <v>1</v>
      </c>
      <c r="BH1063" s="46">
        <v>1</v>
      </c>
      <c r="BI1063" s="46" t="s">
        <v>588</v>
      </c>
      <c r="BJ1063" s="46" t="s">
        <v>629</v>
      </c>
      <c r="BK1063" s="46">
        <v>1987</v>
      </c>
      <c r="BL1063" s="46" t="str">
        <f>BK1063&amp;BI1063</f>
        <v>1987Liverpool</v>
      </c>
      <c r="BM1063" s="52" t="str">
        <f>IF(AD1063="Home",BI1063,IF(AD1063="Away",BJ1063,Q1063))</f>
        <v>Southampton</v>
      </c>
      <c r="BN1063" s="46"/>
      <c r="BO1063" s="46"/>
      <c r="BP1063" s="46"/>
      <c r="BQ1063" s="46"/>
      <c r="BR1063" s="46"/>
      <c r="BS1063" s="46"/>
      <c r="BT1063" s="46"/>
      <c r="BU1063" s="46"/>
      <c r="BV1063" s="46" t="s">
        <v>376</v>
      </c>
      <c r="BW1063" s="46" t="s">
        <v>376</v>
      </c>
      <c r="BX1063" s="46"/>
      <c r="BY1063" s="50"/>
      <c r="BZ1063" s="53"/>
      <c r="CA1063" s="53"/>
      <c r="CB1063" s="93" t="str">
        <f>IF(OR(C1063="",A1063="",B1063=""),"",TEXT(C1063,"0000")&amp;TEXT(A1063,"00")&amp;TEXT(B1063,"00"))</f>
        <v>19870211</v>
      </c>
    </row>
    <row r="1064" spans="1:80" s="52" customFormat="1" ht="12.95" customHeight="1" x14ac:dyDescent="0.2">
      <c r="A1064" s="46">
        <v>2</v>
      </c>
      <c r="B1064" s="46">
        <v>25</v>
      </c>
      <c r="C1064" s="46">
        <v>1987</v>
      </c>
      <c r="D1064" s="46" t="s">
        <v>658</v>
      </c>
      <c r="E1064" s="46" t="s">
        <v>530</v>
      </c>
      <c r="F1064" s="54" t="s">
        <v>1327</v>
      </c>
      <c r="G1064" s="46"/>
      <c r="H1064" s="54" t="s">
        <v>1011</v>
      </c>
      <c r="I1064" s="54">
        <v>2</v>
      </c>
      <c r="J1064" s="55">
        <v>31833</v>
      </c>
      <c r="K1064" s="46" t="s">
        <v>588</v>
      </c>
      <c r="L1064" s="46" t="s">
        <v>3</v>
      </c>
      <c r="M1064" s="46" t="s">
        <v>629</v>
      </c>
      <c r="N1064" s="49">
        <v>3</v>
      </c>
      <c r="O1064" s="49">
        <v>0</v>
      </c>
      <c r="P1064" s="54" t="s">
        <v>1141</v>
      </c>
      <c r="Q1064" s="54" t="s">
        <v>588</v>
      </c>
      <c r="R1064" s="54" t="s">
        <v>376</v>
      </c>
      <c r="S1064" s="46"/>
      <c r="T1064" s="46"/>
      <c r="U1064" s="46"/>
      <c r="V1064" s="46"/>
      <c r="W1064" s="46"/>
      <c r="X1064" s="46"/>
      <c r="Y1064" s="46"/>
      <c r="Z1064" s="46"/>
      <c r="AA1064" s="46"/>
      <c r="AB1064" s="46"/>
      <c r="AC1064" s="46"/>
      <c r="AD1064" s="46" t="s">
        <v>1033</v>
      </c>
      <c r="AE1064" s="50">
        <f>IF(L1064="W",1,0)</f>
        <v>1</v>
      </c>
      <c r="AF1064" s="50">
        <f>IF(L1064="T",1,0)</f>
        <v>0</v>
      </c>
      <c r="AG1064" s="50">
        <f>IF(L1064="L",1,0)</f>
        <v>0</v>
      </c>
      <c r="AH1064" s="46" t="s">
        <v>588</v>
      </c>
      <c r="AI1064" s="46" t="s">
        <v>1175</v>
      </c>
      <c r="AJ1064" s="46" t="s">
        <v>376</v>
      </c>
      <c r="AK1064" s="46" t="s">
        <v>658</v>
      </c>
      <c r="AL1064" s="46" t="s">
        <v>629</v>
      </c>
      <c r="AM1064" s="46" t="s">
        <v>1199</v>
      </c>
      <c r="AN1064" s="46" t="s">
        <v>376</v>
      </c>
      <c r="AO1064" s="46" t="s">
        <v>658</v>
      </c>
      <c r="AP1064" s="46"/>
      <c r="AQ1064" s="46">
        <v>2</v>
      </c>
      <c r="AR1064" s="46"/>
      <c r="AS1064" s="46"/>
      <c r="AT1064" s="46"/>
      <c r="AU1064" s="46" t="s">
        <v>376</v>
      </c>
      <c r="AV1064" s="46"/>
      <c r="AW1064" s="46" t="s">
        <v>30</v>
      </c>
      <c r="AX1064" s="46"/>
      <c r="AY1064" s="46"/>
      <c r="AZ1064" s="46" t="s">
        <v>30</v>
      </c>
      <c r="BA1064" s="54"/>
      <c r="BB1064" s="51"/>
      <c r="BC1064" s="46"/>
      <c r="BD1064" s="46"/>
      <c r="BE1064" s="46"/>
      <c r="BF1064" s="46">
        <v>1</v>
      </c>
      <c r="BG1064" s="46">
        <v>1</v>
      </c>
      <c r="BH1064" s="46">
        <v>1</v>
      </c>
      <c r="BI1064" s="46" t="s">
        <v>588</v>
      </c>
      <c r="BJ1064" s="46" t="s">
        <v>629</v>
      </c>
      <c r="BK1064" s="46">
        <v>1987</v>
      </c>
      <c r="BL1064" s="46" t="str">
        <f>BK1064&amp;BI1064</f>
        <v>1987Liverpool</v>
      </c>
      <c r="BM1064" s="52" t="str">
        <f>IF(AD1064="Home",BI1064,IF(AD1064="Away",BJ1064,Q1064))</f>
        <v>Liverpool</v>
      </c>
      <c r="BN1064" s="46"/>
      <c r="BO1064" s="46"/>
      <c r="BP1064" s="46"/>
      <c r="BQ1064" s="46"/>
      <c r="BR1064" s="46"/>
      <c r="BS1064" s="46"/>
      <c r="BT1064" s="46"/>
      <c r="BU1064" s="46"/>
      <c r="BV1064" s="46" t="s">
        <v>376</v>
      </c>
      <c r="BW1064" s="46" t="s">
        <v>376</v>
      </c>
      <c r="BX1064" s="46"/>
      <c r="BZ1064" s="53"/>
      <c r="CA1064" s="53"/>
      <c r="CB1064" s="93" t="str">
        <f>IF(OR(C1064="",A1064="",B1064=""),"",TEXT(C1064,"0000")&amp;TEXT(A1064,"00")&amp;TEXT(B1064,"00"))</f>
        <v>19870225</v>
      </c>
    </row>
    <row r="1065" spans="1:80" s="52" customFormat="1" ht="12.95" customHeight="1" x14ac:dyDescent="0.2">
      <c r="A1065" s="46">
        <v>2</v>
      </c>
      <c r="B1065" s="46">
        <v>25</v>
      </c>
      <c r="C1065" s="46">
        <v>1987</v>
      </c>
      <c r="D1065" s="46" t="s">
        <v>658</v>
      </c>
      <c r="E1065" s="46" t="s">
        <v>530</v>
      </c>
      <c r="F1065" s="54" t="s">
        <v>1327</v>
      </c>
      <c r="G1065" s="46"/>
      <c r="H1065" s="54" t="s">
        <v>1011</v>
      </c>
      <c r="I1065" s="54">
        <v>2</v>
      </c>
      <c r="J1065" s="55">
        <v>31833</v>
      </c>
      <c r="K1065" s="46" t="s">
        <v>629</v>
      </c>
      <c r="L1065" s="46" t="s">
        <v>4</v>
      </c>
      <c r="M1065" s="46" t="s">
        <v>588</v>
      </c>
      <c r="N1065" s="49">
        <v>0</v>
      </c>
      <c r="O1065" s="49">
        <v>3</v>
      </c>
      <c r="P1065" s="54" t="s">
        <v>1141</v>
      </c>
      <c r="Q1065" s="54" t="s">
        <v>588</v>
      </c>
      <c r="R1065" s="54" t="s">
        <v>376</v>
      </c>
      <c r="S1065" s="46"/>
      <c r="T1065" s="46"/>
      <c r="U1065" s="46"/>
      <c r="V1065" s="46"/>
      <c r="W1065" s="46"/>
      <c r="X1065" s="46"/>
      <c r="Y1065" s="46"/>
      <c r="Z1065" s="46"/>
      <c r="AA1065" s="46"/>
      <c r="AB1065" s="46"/>
      <c r="AC1065" s="46"/>
      <c r="AD1065" s="46" t="s">
        <v>1037</v>
      </c>
      <c r="AE1065" s="50">
        <f>IF(L1065="W",1,0)</f>
        <v>0</v>
      </c>
      <c r="AF1065" s="50">
        <f>IF(L1065="T",1,0)</f>
        <v>0</v>
      </c>
      <c r="AG1065" s="50">
        <f>IF(L1065="L",1,0)</f>
        <v>1</v>
      </c>
      <c r="AH1065" s="46" t="s">
        <v>629</v>
      </c>
      <c r="AI1065" s="46" t="s">
        <v>1199</v>
      </c>
      <c r="AJ1065" s="46" t="s">
        <v>376</v>
      </c>
      <c r="AK1065" s="46" t="s">
        <v>658</v>
      </c>
      <c r="AL1065" s="46" t="s">
        <v>588</v>
      </c>
      <c r="AM1065" s="46" t="s">
        <v>1175</v>
      </c>
      <c r="AN1065" s="46" t="s">
        <v>376</v>
      </c>
      <c r="AO1065" s="46" t="s">
        <v>658</v>
      </c>
      <c r="AP1065" s="46"/>
      <c r="AQ1065" s="46">
        <v>2</v>
      </c>
      <c r="AR1065" s="46"/>
      <c r="AS1065" s="46"/>
      <c r="AT1065" s="46"/>
      <c r="AU1065" s="46" t="s">
        <v>376</v>
      </c>
      <c r="AV1065" s="46"/>
      <c r="AW1065" s="46" t="s">
        <v>30</v>
      </c>
      <c r="AX1065" s="46"/>
      <c r="AY1065" s="46"/>
      <c r="AZ1065" s="46" t="s">
        <v>30</v>
      </c>
      <c r="BA1065" s="54"/>
      <c r="BB1065" s="51"/>
      <c r="BC1065" s="46"/>
      <c r="BD1065" s="46"/>
      <c r="BE1065" s="46"/>
      <c r="BF1065" s="46">
        <v>1</v>
      </c>
      <c r="BG1065" s="46">
        <v>1</v>
      </c>
      <c r="BH1065" s="46">
        <v>1</v>
      </c>
      <c r="BI1065" s="46" t="s">
        <v>629</v>
      </c>
      <c r="BJ1065" s="46" t="s">
        <v>588</v>
      </c>
      <c r="BK1065" s="46">
        <v>1987</v>
      </c>
      <c r="BL1065" s="46" t="str">
        <f>BK1065&amp;BI1065</f>
        <v>1987Southampton</v>
      </c>
      <c r="BM1065" s="52" t="str">
        <f>IF(AD1065="Home",BI1065,IF(AD1065="Away",BJ1065,Q1065))</f>
        <v>Liverpool</v>
      </c>
      <c r="BN1065" s="46"/>
      <c r="BO1065" s="46"/>
      <c r="BP1065" s="46"/>
      <c r="BQ1065" s="46"/>
      <c r="BR1065" s="46"/>
      <c r="BS1065" s="46"/>
      <c r="BT1065" s="46"/>
      <c r="BU1065" s="46"/>
      <c r="BV1065" s="46" t="s">
        <v>376</v>
      </c>
      <c r="BW1065" s="46" t="s">
        <v>376</v>
      </c>
      <c r="BX1065" s="46"/>
      <c r="BZ1065" s="53"/>
      <c r="CA1065" s="53"/>
      <c r="CB1065" s="93" t="str">
        <f>IF(OR(C1065="",A1065="",B1065=""),"",TEXT(C1065,"0000")&amp;TEXT(A1065,"00")&amp;TEXT(B1065,"00"))</f>
        <v>19870225</v>
      </c>
    </row>
    <row r="1066" spans="1:80" s="52" customFormat="1" ht="12.95" customHeight="1" x14ac:dyDescent="0.2">
      <c r="A1066" s="46">
        <v>3</v>
      </c>
      <c r="B1066" s="46">
        <v>1</v>
      </c>
      <c r="C1066" s="46">
        <v>1987</v>
      </c>
      <c r="D1066" s="46" t="s">
        <v>658</v>
      </c>
      <c r="E1066" s="46" t="s">
        <v>530</v>
      </c>
      <c r="F1066" s="54" t="s">
        <v>1327</v>
      </c>
      <c r="G1066" s="46"/>
      <c r="H1066" s="54" t="s">
        <v>1011</v>
      </c>
      <c r="I1066" s="54">
        <v>2</v>
      </c>
      <c r="J1066" s="55">
        <v>31837</v>
      </c>
      <c r="K1066" s="46" t="s">
        <v>813</v>
      </c>
      <c r="L1066" s="46" t="s">
        <v>4</v>
      </c>
      <c r="M1066" s="46" t="s">
        <v>587</v>
      </c>
      <c r="N1066" s="49">
        <v>1</v>
      </c>
      <c r="O1066" s="49">
        <v>2</v>
      </c>
      <c r="P1066" s="54" t="s">
        <v>1222</v>
      </c>
      <c r="Q1066" s="54" t="s">
        <v>1017</v>
      </c>
      <c r="R1066" s="54" t="s">
        <v>376</v>
      </c>
      <c r="S1066" s="46" t="s">
        <v>1023</v>
      </c>
      <c r="T1066" s="46"/>
      <c r="U1066" s="46"/>
      <c r="V1066" s="46"/>
      <c r="W1066" s="46"/>
      <c r="X1066" s="46"/>
      <c r="Y1066" s="46"/>
      <c r="Z1066" s="46"/>
      <c r="AA1066" s="46"/>
      <c r="AB1066" s="46"/>
      <c r="AC1066" s="46"/>
      <c r="AD1066" s="46" t="s">
        <v>1033</v>
      </c>
      <c r="AE1066" s="50">
        <f>IF(L1066="W",1,0)</f>
        <v>0</v>
      </c>
      <c r="AF1066" s="50">
        <f>IF(L1066="T",1,0)</f>
        <v>0</v>
      </c>
      <c r="AG1066" s="50">
        <f>IF(L1066="L",1,0)</f>
        <v>1</v>
      </c>
      <c r="AH1066" s="46" t="s">
        <v>1017</v>
      </c>
      <c r="AI1066" s="46" t="s">
        <v>1018</v>
      </c>
      <c r="AJ1066" s="46" t="s">
        <v>376</v>
      </c>
      <c r="AK1066" s="46" t="s">
        <v>658</v>
      </c>
      <c r="AL1066" s="46" t="s">
        <v>1017</v>
      </c>
      <c r="AM1066" s="46" t="s">
        <v>1018</v>
      </c>
      <c r="AN1066" s="46" t="s">
        <v>376</v>
      </c>
      <c r="AO1066" s="46" t="s">
        <v>658</v>
      </c>
      <c r="AP1066" s="46"/>
      <c r="AQ1066" s="46">
        <v>2</v>
      </c>
      <c r="AR1066" s="46"/>
      <c r="AS1066" s="46"/>
      <c r="AT1066" s="46" t="s">
        <v>1351</v>
      </c>
      <c r="AU1066" s="46" t="s">
        <v>376</v>
      </c>
      <c r="AV1066" s="46"/>
      <c r="AW1066" s="46" t="s">
        <v>30</v>
      </c>
      <c r="AX1066" s="46"/>
      <c r="AY1066" s="46"/>
      <c r="AZ1066" s="46" t="s">
        <v>30</v>
      </c>
      <c r="BA1066" s="54"/>
      <c r="BB1066" s="51"/>
      <c r="BC1066" s="46"/>
      <c r="BD1066" s="46"/>
      <c r="BE1066" s="46"/>
      <c r="BF1066" s="46">
        <v>1</v>
      </c>
      <c r="BG1066" s="46">
        <v>1</v>
      </c>
      <c r="BH1066" s="46">
        <v>1</v>
      </c>
      <c r="BI1066" s="46" t="s">
        <v>813</v>
      </c>
      <c r="BJ1066" s="46" t="s">
        <v>587</v>
      </c>
      <c r="BK1066" s="46">
        <v>1987</v>
      </c>
      <c r="BL1066" s="46" t="str">
        <f>BK1066&amp;BI1066</f>
        <v>1987Tottenham Hotspur</v>
      </c>
      <c r="BM1066" s="52" t="str">
        <f>IF(AD1066="Home",BI1066,IF(AD1066="Away",BJ1066,Q1066))</f>
        <v>Tottenham Hotspur</v>
      </c>
      <c r="BN1066" s="46"/>
      <c r="BO1066" s="46"/>
      <c r="BP1066" s="46"/>
      <c r="BQ1066" s="46"/>
      <c r="BR1066" s="46"/>
      <c r="BS1066" s="46"/>
      <c r="BT1066" s="46"/>
      <c r="BU1066" s="46"/>
      <c r="BV1066" s="46" t="s">
        <v>376</v>
      </c>
      <c r="BW1066" s="46" t="s">
        <v>376</v>
      </c>
      <c r="BX1066" s="46"/>
      <c r="BZ1066" s="53"/>
      <c r="CA1066" s="53"/>
      <c r="CB1066" s="93" t="str">
        <f>IF(OR(C1066="",A1066="",B1066=""),"",TEXT(C1066,"0000")&amp;TEXT(A1066,"00")&amp;TEXT(B1066,"00"))</f>
        <v>19870301</v>
      </c>
    </row>
    <row r="1067" spans="1:80" s="52" customFormat="1" ht="12.95" customHeight="1" x14ac:dyDescent="0.2">
      <c r="A1067" s="46">
        <v>3</v>
      </c>
      <c r="B1067" s="46">
        <v>1</v>
      </c>
      <c r="C1067" s="46">
        <v>1987</v>
      </c>
      <c r="D1067" s="46" t="s">
        <v>658</v>
      </c>
      <c r="E1067" s="46" t="s">
        <v>530</v>
      </c>
      <c r="F1067" s="54" t="s">
        <v>1327</v>
      </c>
      <c r="G1067" s="46"/>
      <c r="H1067" s="54" t="s">
        <v>1011</v>
      </c>
      <c r="I1067" s="54">
        <v>2</v>
      </c>
      <c r="J1067" s="55">
        <v>31837</v>
      </c>
      <c r="K1067" s="46" t="s">
        <v>587</v>
      </c>
      <c r="L1067" s="46" t="s">
        <v>3</v>
      </c>
      <c r="M1067" s="46" t="s">
        <v>813</v>
      </c>
      <c r="N1067" s="49">
        <v>2</v>
      </c>
      <c r="O1067" s="49">
        <v>1</v>
      </c>
      <c r="P1067" s="54" t="s">
        <v>1222</v>
      </c>
      <c r="Q1067" s="54" t="s">
        <v>1017</v>
      </c>
      <c r="R1067" s="54" t="s">
        <v>376</v>
      </c>
      <c r="S1067" s="46" t="s">
        <v>1023</v>
      </c>
      <c r="T1067" s="46"/>
      <c r="U1067" s="46"/>
      <c r="V1067" s="46"/>
      <c r="W1067" s="46"/>
      <c r="X1067" s="46"/>
      <c r="Y1067" s="46"/>
      <c r="Z1067" s="46"/>
      <c r="AA1067" s="46"/>
      <c r="AB1067" s="46"/>
      <c r="AC1067" s="46"/>
      <c r="AD1067" s="46" t="s">
        <v>1037</v>
      </c>
      <c r="AE1067" s="50">
        <f>IF(L1067="W",1,0)</f>
        <v>1</v>
      </c>
      <c r="AF1067" s="50">
        <f>IF(L1067="T",1,0)</f>
        <v>0</v>
      </c>
      <c r="AG1067" s="50">
        <f>IF(L1067="L",1,0)</f>
        <v>0</v>
      </c>
      <c r="AH1067" s="46" t="s">
        <v>1017</v>
      </c>
      <c r="AI1067" s="46" t="s">
        <v>1018</v>
      </c>
      <c r="AJ1067" s="46" t="s">
        <v>376</v>
      </c>
      <c r="AK1067" s="46" t="s">
        <v>658</v>
      </c>
      <c r="AL1067" s="46" t="s">
        <v>1017</v>
      </c>
      <c r="AM1067" s="46" t="s">
        <v>1018</v>
      </c>
      <c r="AN1067" s="46" t="s">
        <v>376</v>
      </c>
      <c r="AO1067" s="46" t="s">
        <v>658</v>
      </c>
      <c r="AP1067" s="46"/>
      <c r="AQ1067" s="46">
        <v>2</v>
      </c>
      <c r="AR1067" s="46"/>
      <c r="AS1067" s="46"/>
      <c r="AT1067" s="46" t="s">
        <v>1351</v>
      </c>
      <c r="AU1067" s="46" t="s">
        <v>376</v>
      </c>
      <c r="AV1067" s="46"/>
      <c r="AW1067" s="46" t="s">
        <v>30</v>
      </c>
      <c r="AX1067" s="46"/>
      <c r="AY1067" s="46"/>
      <c r="AZ1067" s="46" t="s">
        <v>30</v>
      </c>
      <c r="BA1067" s="54"/>
      <c r="BB1067" s="51"/>
      <c r="BC1067" s="46"/>
      <c r="BD1067" s="46"/>
      <c r="BE1067" s="46"/>
      <c r="BF1067" s="46">
        <v>1</v>
      </c>
      <c r="BG1067" s="46">
        <v>1</v>
      </c>
      <c r="BH1067" s="46">
        <v>1</v>
      </c>
      <c r="BI1067" s="46" t="s">
        <v>587</v>
      </c>
      <c r="BJ1067" s="46" t="s">
        <v>813</v>
      </c>
      <c r="BK1067" s="46">
        <v>1987</v>
      </c>
      <c r="BL1067" s="46" t="str">
        <f>BK1067&amp;BI1067</f>
        <v>1987Arsenal</v>
      </c>
      <c r="BM1067" s="52" t="str">
        <f>IF(AD1067="Home",BI1067,IF(AD1067="Away",BJ1067,Q1067))</f>
        <v>Tottenham Hotspur</v>
      </c>
      <c r="BN1067" s="46"/>
      <c r="BO1067" s="46"/>
      <c r="BP1067" s="46"/>
      <c r="BQ1067" s="46"/>
      <c r="BR1067" s="46"/>
      <c r="BS1067" s="46"/>
      <c r="BT1067" s="46"/>
      <c r="BU1067" s="46"/>
      <c r="BV1067" s="46" t="s">
        <v>376</v>
      </c>
      <c r="BW1067" s="46" t="s">
        <v>376</v>
      </c>
      <c r="BX1067" s="46"/>
      <c r="BZ1067" s="53"/>
      <c r="CA1067" s="53"/>
      <c r="CB1067" s="93" t="str">
        <f>IF(OR(C1067="",A1067="",B1067=""),"",TEXT(C1067,"0000")&amp;TEXT(A1067,"00")&amp;TEXT(B1067,"00"))</f>
        <v>19870301</v>
      </c>
    </row>
    <row r="1068" spans="1:80" s="52" customFormat="1" ht="12.95" customHeight="1" x14ac:dyDescent="0.2">
      <c r="A1068" s="46">
        <v>3</v>
      </c>
      <c r="B1068" s="46">
        <v>4</v>
      </c>
      <c r="C1068" s="46">
        <v>1987</v>
      </c>
      <c r="D1068" s="46" t="s">
        <v>658</v>
      </c>
      <c r="E1068" s="46" t="s">
        <v>530</v>
      </c>
      <c r="F1068" s="54" t="s">
        <v>1327</v>
      </c>
      <c r="G1068" s="46"/>
      <c r="H1068" s="54" t="s">
        <v>1011</v>
      </c>
      <c r="I1068" s="54" t="s">
        <v>1023</v>
      </c>
      <c r="J1068" s="55">
        <v>31840</v>
      </c>
      <c r="K1068" s="46" t="s">
        <v>813</v>
      </c>
      <c r="L1068" s="46" t="s">
        <v>4</v>
      </c>
      <c r="M1068" s="46" t="s">
        <v>587</v>
      </c>
      <c r="N1068" s="49">
        <v>1</v>
      </c>
      <c r="O1068" s="49">
        <v>2</v>
      </c>
      <c r="P1068" s="54" t="s">
        <v>1222</v>
      </c>
      <c r="Q1068" s="54" t="s">
        <v>1017</v>
      </c>
      <c r="R1068" s="54" t="s">
        <v>376</v>
      </c>
      <c r="S1068" s="46"/>
      <c r="T1068" s="46"/>
      <c r="U1068" s="46"/>
      <c r="V1068" s="46"/>
      <c r="W1068" s="46"/>
      <c r="X1068" s="46"/>
      <c r="Y1068" s="46"/>
      <c r="Z1068" s="46"/>
      <c r="AA1068" s="46"/>
      <c r="AB1068" s="46"/>
      <c r="AC1068" s="46"/>
      <c r="AD1068" s="46" t="s">
        <v>1033</v>
      </c>
      <c r="AE1068" s="50">
        <f>IF(L1068="W",1,0)</f>
        <v>0</v>
      </c>
      <c r="AF1068" s="50">
        <f>IF(L1068="T",1,0)</f>
        <v>0</v>
      </c>
      <c r="AG1068" s="50">
        <f>IF(L1068="L",1,0)</f>
        <v>1</v>
      </c>
      <c r="AH1068" s="46" t="s">
        <v>1017</v>
      </c>
      <c r="AI1068" s="46" t="s">
        <v>1018</v>
      </c>
      <c r="AJ1068" s="46" t="s">
        <v>376</v>
      </c>
      <c r="AK1068" s="46" t="s">
        <v>658</v>
      </c>
      <c r="AL1068" s="46" t="s">
        <v>1017</v>
      </c>
      <c r="AM1068" s="46" t="s">
        <v>1018</v>
      </c>
      <c r="AN1068" s="46" t="s">
        <v>376</v>
      </c>
      <c r="AO1068" s="46" t="s">
        <v>658</v>
      </c>
      <c r="AP1068" s="46"/>
      <c r="AQ1068" s="46">
        <v>2</v>
      </c>
      <c r="AR1068" s="46"/>
      <c r="AS1068" s="46"/>
      <c r="AT1068" s="46" t="s">
        <v>1351</v>
      </c>
      <c r="AU1068" s="46" t="s">
        <v>376</v>
      </c>
      <c r="AV1068" s="46"/>
      <c r="AW1068" s="46" t="s">
        <v>30</v>
      </c>
      <c r="AX1068" s="46"/>
      <c r="AY1068" s="46"/>
      <c r="AZ1068" s="46" t="s">
        <v>30</v>
      </c>
      <c r="BA1068" s="54"/>
      <c r="BB1068" s="51"/>
      <c r="BC1068" s="46"/>
      <c r="BD1068" s="46"/>
      <c r="BE1068" s="46"/>
      <c r="BF1068" s="46">
        <v>1</v>
      </c>
      <c r="BG1068" s="46">
        <v>1</v>
      </c>
      <c r="BH1068" s="46">
        <v>1</v>
      </c>
      <c r="BI1068" s="46" t="s">
        <v>813</v>
      </c>
      <c r="BJ1068" s="46" t="s">
        <v>587</v>
      </c>
      <c r="BK1068" s="46">
        <v>1987</v>
      </c>
      <c r="BL1068" s="46" t="str">
        <f>BK1068&amp;BI1068</f>
        <v>1987Tottenham Hotspur</v>
      </c>
      <c r="BM1068" s="52" t="str">
        <f>IF(AD1068="Home",BI1068,IF(AD1068="Away",BJ1068,Q1068))</f>
        <v>Tottenham Hotspur</v>
      </c>
      <c r="BN1068" s="46"/>
      <c r="BO1068" s="46"/>
      <c r="BP1068" s="46"/>
      <c r="BQ1068" s="46"/>
      <c r="BR1068" s="46"/>
      <c r="BS1068" s="46"/>
      <c r="BT1068" s="46"/>
      <c r="BU1068" s="46"/>
      <c r="BV1068" s="46" t="s">
        <v>376</v>
      </c>
      <c r="BW1068" s="46" t="s">
        <v>376</v>
      </c>
      <c r="BX1068" s="46"/>
      <c r="BZ1068" s="53"/>
      <c r="CA1068" s="53"/>
      <c r="CB1068" s="93" t="str">
        <f>IF(OR(C1068="",A1068="",B1068=""),"",TEXT(C1068,"0000")&amp;TEXT(A1068,"00")&amp;TEXT(B1068,"00"))</f>
        <v>19870304</v>
      </c>
    </row>
    <row r="1069" spans="1:80" s="52" customFormat="1" ht="12.95" customHeight="1" x14ac:dyDescent="0.2">
      <c r="A1069" s="46">
        <v>3</v>
      </c>
      <c r="B1069" s="46">
        <v>4</v>
      </c>
      <c r="C1069" s="46">
        <v>1987</v>
      </c>
      <c r="D1069" s="46" t="s">
        <v>658</v>
      </c>
      <c r="E1069" s="46" t="s">
        <v>530</v>
      </c>
      <c r="F1069" s="54" t="s">
        <v>1327</v>
      </c>
      <c r="G1069" s="46"/>
      <c r="H1069" s="54" t="s">
        <v>1011</v>
      </c>
      <c r="I1069" s="54" t="s">
        <v>1023</v>
      </c>
      <c r="J1069" s="55">
        <v>31840</v>
      </c>
      <c r="K1069" s="46" t="s">
        <v>587</v>
      </c>
      <c r="L1069" s="46" t="s">
        <v>3</v>
      </c>
      <c r="M1069" s="46" t="s">
        <v>813</v>
      </c>
      <c r="N1069" s="49">
        <v>2</v>
      </c>
      <c r="O1069" s="49">
        <v>1</v>
      </c>
      <c r="P1069" s="54" t="s">
        <v>1222</v>
      </c>
      <c r="Q1069" s="54" t="s">
        <v>1017</v>
      </c>
      <c r="R1069" s="54" t="s">
        <v>376</v>
      </c>
      <c r="S1069" s="46"/>
      <c r="T1069" s="46"/>
      <c r="U1069" s="46"/>
      <c r="V1069" s="46"/>
      <c r="W1069" s="46"/>
      <c r="X1069" s="46"/>
      <c r="Y1069" s="46"/>
      <c r="Z1069" s="46"/>
      <c r="AA1069" s="46"/>
      <c r="AB1069" s="46"/>
      <c r="AC1069" s="46"/>
      <c r="AD1069" s="46" t="s">
        <v>1037</v>
      </c>
      <c r="AE1069" s="50">
        <f>IF(L1069="W",1,0)</f>
        <v>1</v>
      </c>
      <c r="AF1069" s="50">
        <f>IF(L1069="T",1,0)</f>
        <v>0</v>
      </c>
      <c r="AG1069" s="50">
        <f>IF(L1069="L",1,0)</f>
        <v>0</v>
      </c>
      <c r="AH1069" s="46" t="s">
        <v>1017</v>
      </c>
      <c r="AI1069" s="46" t="s">
        <v>1018</v>
      </c>
      <c r="AJ1069" s="46" t="s">
        <v>376</v>
      </c>
      <c r="AK1069" s="46" t="s">
        <v>658</v>
      </c>
      <c r="AL1069" s="46" t="s">
        <v>1017</v>
      </c>
      <c r="AM1069" s="46" t="s">
        <v>1018</v>
      </c>
      <c r="AN1069" s="46" t="s">
        <v>376</v>
      </c>
      <c r="AO1069" s="46" t="s">
        <v>658</v>
      </c>
      <c r="AP1069" s="46"/>
      <c r="AQ1069" s="46">
        <v>2</v>
      </c>
      <c r="AR1069" s="46"/>
      <c r="AS1069" s="46"/>
      <c r="AT1069" s="46" t="s">
        <v>1351</v>
      </c>
      <c r="AU1069" s="46" t="s">
        <v>376</v>
      </c>
      <c r="AV1069" s="46"/>
      <c r="AW1069" s="46" t="s">
        <v>30</v>
      </c>
      <c r="AX1069" s="46"/>
      <c r="AY1069" s="46"/>
      <c r="AZ1069" s="46" t="s">
        <v>30</v>
      </c>
      <c r="BA1069" s="54"/>
      <c r="BB1069" s="51"/>
      <c r="BC1069" s="46"/>
      <c r="BD1069" s="46"/>
      <c r="BE1069" s="46"/>
      <c r="BF1069" s="46">
        <v>1</v>
      </c>
      <c r="BG1069" s="46">
        <v>1</v>
      </c>
      <c r="BH1069" s="46">
        <v>1</v>
      </c>
      <c r="BI1069" s="46" t="s">
        <v>587</v>
      </c>
      <c r="BJ1069" s="46" t="s">
        <v>813</v>
      </c>
      <c r="BK1069" s="46">
        <v>1987</v>
      </c>
      <c r="BL1069" s="46" t="str">
        <f>BK1069&amp;BI1069</f>
        <v>1987Arsenal</v>
      </c>
      <c r="BM1069" s="52" t="str">
        <f>IF(AD1069="Home",BI1069,IF(AD1069="Away",BJ1069,Q1069))</f>
        <v>Tottenham Hotspur</v>
      </c>
      <c r="BN1069" s="46"/>
      <c r="BO1069" s="46"/>
      <c r="BP1069" s="46"/>
      <c r="BQ1069" s="46"/>
      <c r="BR1069" s="46"/>
      <c r="BS1069" s="46"/>
      <c r="BT1069" s="46"/>
      <c r="BU1069" s="46"/>
      <c r="BV1069" s="46" t="s">
        <v>376</v>
      </c>
      <c r="BW1069" s="46" t="s">
        <v>376</v>
      </c>
      <c r="BX1069" s="46"/>
      <c r="BZ1069" s="53"/>
      <c r="CA1069" s="53"/>
      <c r="CB1069" s="93" t="str">
        <f>IF(OR(C1069="",A1069="",B1069=""),"",TEXT(C1069,"0000")&amp;TEXT(A1069,"00")&amp;TEXT(B1069,"00"))</f>
        <v>19870304</v>
      </c>
    </row>
    <row r="1070" spans="1:80" s="52" customFormat="1" ht="12.95" customHeight="1" x14ac:dyDescent="0.2">
      <c r="A1070" s="46">
        <v>4</v>
      </c>
      <c r="B1070" s="46">
        <v>5</v>
      </c>
      <c r="C1070" s="46">
        <v>1987</v>
      </c>
      <c r="D1070" s="46" t="s">
        <v>658</v>
      </c>
      <c r="E1070" s="46" t="s">
        <v>530</v>
      </c>
      <c r="F1070" s="54" t="s">
        <v>1327</v>
      </c>
      <c r="G1070" s="46"/>
      <c r="H1070" s="54" t="s">
        <v>40</v>
      </c>
      <c r="I1070" s="54"/>
      <c r="J1070" s="55">
        <v>31872</v>
      </c>
      <c r="K1070" s="46" t="s">
        <v>587</v>
      </c>
      <c r="L1070" s="46" t="s">
        <v>3</v>
      </c>
      <c r="M1070" s="46" t="s">
        <v>588</v>
      </c>
      <c r="N1070" s="49">
        <v>2</v>
      </c>
      <c r="O1070" s="49">
        <v>1</v>
      </c>
      <c r="P1070" s="54" t="s">
        <v>1268</v>
      </c>
      <c r="Q1070" s="54" t="s">
        <v>1017</v>
      </c>
      <c r="R1070" s="54" t="s">
        <v>376</v>
      </c>
      <c r="S1070" s="46"/>
      <c r="T1070" s="46"/>
      <c r="U1070" s="46"/>
      <c r="V1070" s="46"/>
      <c r="W1070" s="46"/>
      <c r="X1070" s="46"/>
      <c r="Y1070" s="46"/>
      <c r="Z1070" s="46"/>
      <c r="AA1070" s="46"/>
      <c r="AB1070" s="46"/>
      <c r="AC1070" s="46"/>
      <c r="AD1070" s="46"/>
      <c r="AE1070" s="50">
        <f>IF(L1070="W",1,0)</f>
        <v>1</v>
      </c>
      <c r="AF1070" s="50">
        <f>IF(L1070="T",1,0)</f>
        <v>0</v>
      </c>
      <c r="AG1070" s="50">
        <f>IF(L1070="L",1,0)</f>
        <v>0</v>
      </c>
      <c r="AH1070" s="46" t="s">
        <v>1017</v>
      </c>
      <c r="AI1070" s="46" t="s">
        <v>1018</v>
      </c>
      <c r="AJ1070" s="46" t="s">
        <v>376</v>
      </c>
      <c r="AK1070" s="46" t="s">
        <v>658</v>
      </c>
      <c r="AL1070" s="46" t="s">
        <v>588</v>
      </c>
      <c r="AM1070" s="46" t="s">
        <v>1175</v>
      </c>
      <c r="AN1070" s="46" t="s">
        <v>376</v>
      </c>
      <c r="AO1070" s="46" t="s">
        <v>658</v>
      </c>
      <c r="AP1070" s="46"/>
      <c r="AQ1070" s="46">
        <v>1</v>
      </c>
      <c r="AR1070" s="46"/>
      <c r="AS1070" s="46"/>
      <c r="AT1070" s="46"/>
      <c r="AU1070" s="46" t="s">
        <v>376</v>
      </c>
      <c r="AV1070" s="46"/>
      <c r="AW1070" s="46" t="s">
        <v>30</v>
      </c>
      <c r="AX1070" s="46"/>
      <c r="AY1070" s="46"/>
      <c r="AZ1070" s="46" t="s">
        <v>30</v>
      </c>
      <c r="BA1070" s="54"/>
      <c r="BB1070" s="51" t="s">
        <v>30</v>
      </c>
      <c r="BC1070" s="46" t="s">
        <v>30</v>
      </c>
      <c r="BD1070" s="46"/>
      <c r="BE1070" s="46"/>
      <c r="BF1070" s="46">
        <v>1</v>
      </c>
      <c r="BG1070" s="46">
        <v>1</v>
      </c>
      <c r="BH1070" s="46">
        <v>1</v>
      </c>
      <c r="BI1070" s="46" t="s">
        <v>587</v>
      </c>
      <c r="BJ1070" s="46" t="s">
        <v>588</v>
      </c>
      <c r="BK1070" s="46">
        <v>1987</v>
      </c>
      <c r="BL1070" s="46" t="str">
        <f>BK1070&amp;BI1070</f>
        <v>1987Arsenal</v>
      </c>
      <c r="BM1070" s="52" t="str">
        <f>IF(AD1070="Home",BI1070,IF(AD1070="Away",BJ1070,Q1070))</f>
        <v>London</v>
      </c>
      <c r="BN1070" s="46"/>
      <c r="BO1070" s="46"/>
      <c r="BP1070" s="46"/>
      <c r="BQ1070" s="46"/>
      <c r="BR1070" s="46"/>
      <c r="BS1070" s="46"/>
      <c r="BT1070" s="46"/>
      <c r="BU1070" s="46"/>
      <c r="BV1070" s="46" t="s">
        <v>376</v>
      </c>
      <c r="BW1070" s="46" t="s">
        <v>376</v>
      </c>
      <c r="BX1070" s="46"/>
      <c r="BZ1070" s="53"/>
      <c r="CA1070" s="53"/>
      <c r="CB1070" s="93" t="str">
        <f>IF(OR(C1070="",A1070="",B1070=""),"",TEXT(C1070,"0000")&amp;TEXT(A1070,"00")&amp;TEXT(B1070,"00"))</f>
        <v>19870405</v>
      </c>
    </row>
    <row r="1071" spans="1:80" s="52" customFormat="1" ht="12.95" customHeight="1" x14ac:dyDescent="0.2">
      <c r="A1071" s="46">
        <v>4</v>
      </c>
      <c r="B1071" s="46">
        <v>5</v>
      </c>
      <c r="C1071" s="46">
        <v>1987</v>
      </c>
      <c r="D1071" s="46" t="s">
        <v>658</v>
      </c>
      <c r="E1071" s="46" t="s">
        <v>530</v>
      </c>
      <c r="F1071" s="54" t="s">
        <v>1327</v>
      </c>
      <c r="G1071" s="46"/>
      <c r="H1071" s="54" t="s">
        <v>40</v>
      </c>
      <c r="I1071" s="54"/>
      <c r="J1071" s="55">
        <v>31872</v>
      </c>
      <c r="K1071" s="46" t="s">
        <v>588</v>
      </c>
      <c r="L1071" s="46" t="s">
        <v>4</v>
      </c>
      <c r="M1071" s="46" t="s">
        <v>587</v>
      </c>
      <c r="N1071" s="49">
        <v>1</v>
      </c>
      <c r="O1071" s="49">
        <v>2</v>
      </c>
      <c r="P1071" s="54" t="s">
        <v>1268</v>
      </c>
      <c r="Q1071" s="54" t="s">
        <v>1017</v>
      </c>
      <c r="R1071" s="54" t="s">
        <v>376</v>
      </c>
      <c r="S1071" s="46"/>
      <c r="T1071" s="46"/>
      <c r="U1071" s="46"/>
      <c r="V1071" s="46"/>
      <c r="W1071" s="46"/>
      <c r="X1071" s="46"/>
      <c r="Y1071" s="46"/>
      <c r="Z1071" s="46"/>
      <c r="AA1071" s="46"/>
      <c r="AB1071" s="46"/>
      <c r="AC1071" s="46"/>
      <c r="AD1071" s="46"/>
      <c r="AE1071" s="50">
        <f>IF(L1071="W",1,0)</f>
        <v>0</v>
      </c>
      <c r="AF1071" s="50">
        <f>IF(L1071="T",1,0)</f>
        <v>0</v>
      </c>
      <c r="AG1071" s="50">
        <f>IF(L1071="L",1,0)</f>
        <v>1</v>
      </c>
      <c r="AH1071" s="46" t="s">
        <v>588</v>
      </c>
      <c r="AI1071" s="46" t="s">
        <v>1175</v>
      </c>
      <c r="AJ1071" s="46" t="s">
        <v>376</v>
      </c>
      <c r="AK1071" s="46" t="s">
        <v>658</v>
      </c>
      <c r="AL1071" s="46" t="s">
        <v>1017</v>
      </c>
      <c r="AM1071" s="46" t="s">
        <v>1018</v>
      </c>
      <c r="AN1071" s="46" t="s">
        <v>376</v>
      </c>
      <c r="AO1071" s="46" t="s">
        <v>658</v>
      </c>
      <c r="AP1071" s="46"/>
      <c r="AQ1071" s="46">
        <v>1</v>
      </c>
      <c r="AR1071" s="46"/>
      <c r="AS1071" s="46"/>
      <c r="AT1071" s="46"/>
      <c r="AU1071" s="46" t="s">
        <v>376</v>
      </c>
      <c r="AV1071" s="46"/>
      <c r="AW1071" s="46" t="s">
        <v>30</v>
      </c>
      <c r="AX1071" s="46"/>
      <c r="AY1071" s="46"/>
      <c r="AZ1071" s="46" t="s">
        <v>30</v>
      </c>
      <c r="BA1071" s="54"/>
      <c r="BB1071" s="51"/>
      <c r="BC1071" s="46" t="s">
        <v>30</v>
      </c>
      <c r="BD1071" s="46"/>
      <c r="BE1071" s="46"/>
      <c r="BF1071" s="46">
        <v>1</v>
      </c>
      <c r="BG1071" s="46">
        <v>1</v>
      </c>
      <c r="BH1071" s="46">
        <v>1</v>
      </c>
      <c r="BI1071" s="46" t="s">
        <v>588</v>
      </c>
      <c r="BJ1071" s="46" t="s">
        <v>587</v>
      </c>
      <c r="BK1071" s="46">
        <v>1987</v>
      </c>
      <c r="BL1071" s="46" t="str">
        <f>BK1071&amp;BI1071</f>
        <v>1987Liverpool</v>
      </c>
      <c r="BM1071" s="52" t="str">
        <f>IF(AD1071="Home",BI1071,IF(AD1071="Away",BJ1071,Q1071))</f>
        <v>London</v>
      </c>
      <c r="BN1071" s="46"/>
      <c r="BO1071" s="46"/>
      <c r="BP1071" s="46"/>
      <c r="BQ1071" s="46"/>
      <c r="BR1071" s="46"/>
      <c r="BS1071" s="46"/>
      <c r="BT1071" s="46"/>
      <c r="BU1071" s="46"/>
      <c r="BV1071" s="46" t="s">
        <v>376</v>
      </c>
      <c r="BW1071" s="46" t="s">
        <v>376</v>
      </c>
      <c r="BX1071" s="46"/>
      <c r="BZ1071" s="53"/>
      <c r="CA1071" s="53"/>
      <c r="CB1071" s="93" t="str">
        <f>IF(OR(C1071="",A1071="",B1071=""),"",TEXT(C1071,"0000")&amp;TEXT(A1071,"00")&amp;TEXT(B1071,"00"))</f>
        <v>19870405</v>
      </c>
    </row>
    <row r="1072" spans="1:80" s="52" customFormat="1" ht="12.95" customHeight="1" x14ac:dyDescent="0.2">
      <c r="A1072" s="46">
        <v>4</v>
      </c>
      <c r="B1072" s="46">
        <v>11</v>
      </c>
      <c r="C1072" s="46">
        <v>1987</v>
      </c>
      <c r="D1072" s="46" t="s">
        <v>658</v>
      </c>
      <c r="E1072" s="46" t="s">
        <v>530</v>
      </c>
      <c r="F1072" s="47" t="s">
        <v>1010</v>
      </c>
      <c r="G1072" s="46"/>
      <c r="H1072" s="47" t="s">
        <v>1011</v>
      </c>
      <c r="I1072" s="47"/>
      <c r="J1072" s="48">
        <v>31878</v>
      </c>
      <c r="K1072" s="46" t="s">
        <v>813</v>
      </c>
      <c r="L1072" s="46" t="s">
        <v>3</v>
      </c>
      <c r="M1072" s="46" t="s">
        <v>1357</v>
      </c>
      <c r="N1072" s="49">
        <v>4</v>
      </c>
      <c r="O1072" s="49">
        <v>1</v>
      </c>
      <c r="P1072" s="47" t="s">
        <v>1219</v>
      </c>
      <c r="Q1072" s="47" t="s">
        <v>1111</v>
      </c>
      <c r="R1072" s="47" t="s">
        <v>376</v>
      </c>
      <c r="S1072" s="46"/>
      <c r="T1072" s="46"/>
      <c r="U1072" s="46"/>
      <c r="V1072" s="46"/>
      <c r="W1072" s="46"/>
      <c r="X1072" s="46"/>
      <c r="Y1072" s="46"/>
      <c r="Z1072" s="46"/>
      <c r="AA1072" s="46"/>
      <c r="AB1072" s="46"/>
      <c r="AC1072" s="46"/>
      <c r="AD1072" s="46"/>
      <c r="AE1072" s="50">
        <f>IF(L1072="W",1,0)</f>
        <v>1</v>
      </c>
      <c r="AF1072" s="50">
        <f>IF(L1072="T",1,0)</f>
        <v>0</v>
      </c>
      <c r="AG1072" s="50">
        <f>IF(L1072="L",1,0)</f>
        <v>0</v>
      </c>
      <c r="AH1072" s="46" t="s">
        <v>1017</v>
      </c>
      <c r="AI1072" s="46" t="s">
        <v>1018</v>
      </c>
      <c r="AJ1072" s="46" t="s">
        <v>376</v>
      </c>
      <c r="AK1072" s="46" t="s">
        <v>658</v>
      </c>
      <c r="AL1072" s="46" t="s">
        <v>1017</v>
      </c>
      <c r="AM1072" s="46" t="s">
        <v>1018</v>
      </c>
      <c r="AN1072" s="46" t="s">
        <v>376</v>
      </c>
      <c r="AO1072" s="46" t="s">
        <v>658</v>
      </c>
      <c r="AP1072" s="46"/>
      <c r="AQ1072" s="46">
        <v>2</v>
      </c>
      <c r="AR1072" s="46"/>
      <c r="AS1072" s="46"/>
      <c r="AT1072" s="46"/>
      <c r="AU1072" s="46" t="s">
        <v>376</v>
      </c>
      <c r="AV1072" s="46"/>
      <c r="AW1072" s="46" t="s">
        <v>30</v>
      </c>
      <c r="AX1072" s="46"/>
      <c r="AY1072" s="46" t="s">
        <v>30</v>
      </c>
      <c r="AZ1072" s="46"/>
      <c r="BA1072" s="47"/>
      <c r="BB1072" s="51"/>
      <c r="BC1072" s="46"/>
      <c r="BD1072" s="46"/>
      <c r="BE1072" s="46"/>
      <c r="BF1072" s="46">
        <v>1</v>
      </c>
      <c r="BG1072" s="46">
        <v>1</v>
      </c>
      <c r="BH1072" s="46">
        <v>1</v>
      </c>
      <c r="BI1072" s="46" t="s">
        <v>813</v>
      </c>
      <c r="BJ1072" s="46" t="s">
        <v>1357</v>
      </c>
      <c r="BK1072" s="46">
        <v>1987</v>
      </c>
      <c r="BL1072" s="46" t="str">
        <f>BK1072&amp;BI1072</f>
        <v>1987Tottenham Hotspur</v>
      </c>
      <c r="BM1072" s="52" t="str">
        <f>IF(AD1072="Home",BI1072,IF(AD1072="Away",BJ1072,Q1072))</f>
        <v>Birmingham</v>
      </c>
      <c r="BN1072" s="46"/>
      <c r="BO1072" s="46"/>
      <c r="BP1072" s="46"/>
      <c r="BQ1072" s="46"/>
      <c r="BR1072" s="46"/>
      <c r="BS1072" s="46"/>
      <c r="BT1072" s="46"/>
      <c r="BU1072" s="46"/>
      <c r="BV1072" s="46" t="s">
        <v>376</v>
      </c>
      <c r="BW1072" s="46" t="s">
        <v>376</v>
      </c>
      <c r="BX1072" s="46"/>
      <c r="BZ1072" s="53"/>
      <c r="CA1072" s="53"/>
      <c r="CB1072" s="93" t="str">
        <f>IF(OR(C1072="",A1072="",B1072=""),"",TEXT(C1072,"0000")&amp;TEXT(A1072,"00")&amp;TEXT(B1072,"00"))</f>
        <v>19870411</v>
      </c>
    </row>
    <row r="1073" spans="1:80" s="52" customFormat="1" ht="12.95" customHeight="1" x14ac:dyDescent="0.2">
      <c r="A1073" s="46">
        <v>4</v>
      </c>
      <c r="B1073" s="46">
        <v>11</v>
      </c>
      <c r="C1073" s="46">
        <v>1987</v>
      </c>
      <c r="D1073" s="46" t="s">
        <v>658</v>
      </c>
      <c r="E1073" s="46" t="s">
        <v>530</v>
      </c>
      <c r="F1073" s="47" t="s">
        <v>1010</v>
      </c>
      <c r="G1073" s="46"/>
      <c r="H1073" s="47" t="s">
        <v>1011</v>
      </c>
      <c r="I1073" s="47"/>
      <c r="J1073" s="48">
        <v>31878</v>
      </c>
      <c r="K1073" s="46" t="s">
        <v>1357</v>
      </c>
      <c r="L1073" s="46" t="s">
        <v>4</v>
      </c>
      <c r="M1073" s="46" t="s">
        <v>813</v>
      </c>
      <c r="N1073" s="49">
        <v>1</v>
      </c>
      <c r="O1073" s="49">
        <v>4</v>
      </c>
      <c r="P1073" s="47" t="s">
        <v>1219</v>
      </c>
      <c r="Q1073" s="47" t="s">
        <v>1111</v>
      </c>
      <c r="R1073" s="47" t="s">
        <v>376</v>
      </c>
      <c r="S1073" s="46"/>
      <c r="T1073" s="46"/>
      <c r="U1073" s="46"/>
      <c r="V1073" s="46"/>
      <c r="W1073" s="46"/>
      <c r="X1073" s="46"/>
      <c r="Y1073" s="46"/>
      <c r="Z1073" s="46"/>
      <c r="AA1073" s="46"/>
      <c r="AB1073" s="46"/>
      <c r="AC1073" s="46"/>
      <c r="AD1073" s="46"/>
      <c r="AE1073" s="50">
        <f>IF(L1073="W",1,0)</f>
        <v>0</v>
      </c>
      <c r="AF1073" s="50">
        <f>IF(L1073="T",1,0)</f>
        <v>0</v>
      </c>
      <c r="AG1073" s="50">
        <f>IF(L1073="L",1,0)</f>
        <v>1</v>
      </c>
      <c r="AH1073" s="46" t="s">
        <v>1017</v>
      </c>
      <c r="AI1073" s="46" t="s">
        <v>1018</v>
      </c>
      <c r="AJ1073" s="46" t="s">
        <v>376</v>
      </c>
      <c r="AK1073" s="46" t="s">
        <v>658</v>
      </c>
      <c r="AL1073" s="46" t="s">
        <v>1017</v>
      </c>
      <c r="AM1073" s="46" t="s">
        <v>1018</v>
      </c>
      <c r="AN1073" s="46" t="s">
        <v>376</v>
      </c>
      <c r="AO1073" s="46" t="s">
        <v>658</v>
      </c>
      <c r="AP1073" s="46"/>
      <c r="AQ1073" s="46">
        <v>2</v>
      </c>
      <c r="AR1073" s="46"/>
      <c r="AS1073" s="46"/>
      <c r="AT1073" s="46"/>
      <c r="AU1073" s="46" t="s">
        <v>376</v>
      </c>
      <c r="AV1073" s="46"/>
      <c r="AW1073" s="46" t="s">
        <v>30</v>
      </c>
      <c r="AX1073" s="46"/>
      <c r="AY1073" s="46" t="s">
        <v>30</v>
      </c>
      <c r="AZ1073" s="46"/>
      <c r="BA1073" s="47"/>
      <c r="BB1073" s="51"/>
      <c r="BC1073" s="46"/>
      <c r="BD1073" s="46"/>
      <c r="BE1073" s="46"/>
      <c r="BF1073" s="46">
        <v>1</v>
      </c>
      <c r="BG1073" s="46">
        <v>1</v>
      </c>
      <c r="BH1073" s="46">
        <v>1</v>
      </c>
      <c r="BI1073" s="46" t="s">
        <v>1357</v>
      </c>
      <c r="BJ1073" s="46" t="s">
        <v>813</v>
      </c>
      <c r="BK1073" s="46">
        <v>1987</v>
      </c>
      <c r="BL1073" s="46" t="str">
        <f>BK1073&amp;BI1073</f>
        <v>1987Watford</v>
      </c>
      <c r="BM1073" s="52" t="str">
        <f>IF(AD1073="Home",BI1073,IF(AD1073="Away",BJ1073,Q1073))</f>
        <v>Birmingham</v>
      </c>
      <c r="BN1073" s="46"/>
      <c r="BO1073" s="46"/>
      <c r="BP1073" s="46"/>
      <c r="BQ1073" s="46"/>
      <c r="BR1073" s="46"/>
      <c r="BS1073" s="46"/>
      <c r="BT1073" s="46"/>
      <c r="BU1073" s="46"/>
      <c r="BV1073" s="46" t="s">
        <v>376</v>
      </c>
      <c r="BW1073" s="46" t="s">
        <v>376</v>
      </c>
      <c r="BX1073" s="46"/>
      <c r="BZ1073" s="53"/>
      <c r="CA1073" s="53"/>
      <c r="CB1073" s="93" t="str">
        <f>IF(OR(C1073="",A1073="",B1073=""),"",TEXT(C1073,"0000")&amp;TEXT(A1073,"00")&amp;TEXT(B1073,"00"))</f>
        <v>19870411</v>
      </c>
    </row>
    <row r="1074" spans="1:80" s="52" customFormat="1" ht="12.95" customHeight="1" x14ac:dyDescent="0.2">
      <c r="A1074" s="46">
        <v>4</v>
      </c>
      <c r="B1074" s="46">
        <v>12</v>
      </c>
      <c r="C1074" s="46">
        <v>1987</v>
      </c>
      <c r="D1074" s="46" t="s">
        <v>658</v>
      </c>
      <c r="E1074" s="46" t="s">
        <v>530</v>
      </c>
      <c r="F1074" s="47" t="s">
        <v>1010</v>
      </c>
      <c r="G1074" s="46"/>
      <c r="H1074" s="47" t="s">
        <v>1011</v>
      </c>
      <c r="I1074" s="47"/>
      <c r="J1074" s="48">
        <v>31879</v>
      </c>
      <c r="K1074" s="46" t="s">
        <v>1377</v>
      </c>
      <c r="L1074" s="46" t="s">
        <v>3</v>
      </c>
      <c r="M1074" s="46" t="s">
        <v>794</v>
      </c>
      <c r="N1074" s="49">
        <v>3</v>
      </c>
      <c r="O1074" s="49">
        <v>2</v>
      </c>
      <c r="P1074" s="47" t="s">
        <v>1252</v>
      </c>
      <c r="Q1074" s="47" t="s">
        <v>1097</v>
      </c>
      <c r="R1074" s="47" t="s">
        <v>376</v>
      </c>
      <c r="S1074" s="46"/>
      <c r="T1074" s="46"/>
      <c r="U1074" s="46"/>
      <c r="V1074" s="46"/>
      <c r="W1074" s="46"/>
      <c r="X1074" s="46"/>
      <c r="Y1074" s="46"/>
      <c r="Z1074" s="46"/>
      <c r="AA1074" s="46"/>
      <c r="AB1074" s="46"/>
      <c r="AC1074" s="46"/>
      <c r="AD1074" s="46"/>
      <c r="AE1074" s="50">
        <f>IF(L1074="W",1,0)</f>
        <v>1</v>
      </c>
      <c r="AF1074" s="50">
        <f>IF(L1074="T",1,0)</f>
        <v>0</v>
      </c>
      <c r="AG1074" s="50">
        <f>IF(L1074="L",1,0)</f>
        <v>0</v>
      </c>
      <c r="AH1074" s="46" t="s">
        <v>1376</v>
      </c>
      <c r="AI1074" s="46" t="s">
        <v>1126</v>
      </c>
      <c r="AJ1074" s="46" t="s">
        <v>376</v>
      </c>
      <c r="AK1074" s="46" t="s">
        <v>658</v>
      </c>
      <c r="AL1074" s="46" t="s">
        <v>1241</v>
      </c>
      <c r="AM1074" s="46" t="s">
        <v>1260</v>
      </c>
      <c r="AN1074" s="46" t="s">
        <v>376</v>
      </c>
      <c r="AO1074" s="46" t="s">
        <v>658</v>
      </c>
      <c r="AP1074" s="46"/>
      <c r="AQ1074" s="46">
        <v>2</v>
      </c>
      <c r="AR1074" s="46"/>
      <c r="AS1074" s="46"/>
      <c r="AT1074" s="46"/>
      <c r="AU1074" s="46" t="s">
        <v>376</v>
      </c>
      <c r="AV1074" s="46"/>
      <c r="AW1074" s="46" t="s">
        <v>30</v>
      </c>
      <c r="AX1074" s="46"/>
      <c r="AY1074" s="46" t="s">
        <v>30</v>
      </c>
      <c r="AZ1074" s="46"/>
      <c r="BA1074" s="47"/>
      <c r="BB1074" s="51"/>
      <c r="BC1074" s="46"/>
      <c r="BD1074" s="46"/>
      <c r="BE1074" s="46"/>
      <c r="BF1074" s="46">
        <v>1</v>
      </c>
      <c r="BG1074" s="46">
        <v>1</v>
      </c>
      <c r="BH1074" s="46">
        <v>2</v>
      </c>
      <c r="BI1074" s="46" t="s">
        <v>1377</v>
      </c>
      <c r="BJ1074" s="46" t="s">
        <v>794</v>
      </c>
      <c r="BK1074" s="46">
        <v>1987</v>
      </c>
      <c r="BL1074" s="46" t="str">
        <f>BK1074&amp;BI1074</f>
        <v>1987Coventry City</v>
      </c>
      <c r="BM1074" s="52" t="str">
        <f>IF(AD1074="Home",BI1074,IF(AD1074="Away",BJ1074,Q1074))</f>
        <v>Sheffield</v>
      </c>
      <c r="BN1074" s="46"/>
      <c r="BO1074" s="46"/>
      <c r="BP1074" s="46"/>
      <c r="BQ1074" s="46"/>
      <c r="BR1074" s="46"/>
      <c r="BS1074" s="46"/>
      <c r="BT1074" s="46"/>
      <c r="BU1074" s="46"/>
      <c r="BV1074" s="46" t="s">
        <v>376</v>
      </c>
      <c r="BW1074" s="46" t="s">
        <v>376</v>
      </c>
      <c r="BX1074" s="46"/>
      <c r="BY1074" s="50"/>
      <c r="BZ1074" s="53"/>
      <c r="CA1074" s="53"/>
      <c r="CB1074" s="93" t="str">
        <f>IF(OR(C1074="",A1074="",B1074=""),"",TEXT(C1074,"0000")&amp;TEXT(A1074,"00")&amp;TEXT(B1074,"00"))</f>
        <v>19870412</v>
      </c>
    </row>
    <row r="1075" spans="1:80" s="52" customFormat="1" ht="12.95" customHeight="1" x14ac:dyDescent="0.2">
      <c r="A1075" s="46">
        <v>4</v>
      </c>
      <c r="B1075" s="46">
        <v>12</v>
      </c>
      <c r="C1075" s="46">
        <v>1987</v>
      </c>
      <c r="D1075" s="46" t="s">
        <v>658</v>
      </c>
      <c r="E1075" s="46" t="s">
        <v>530</v>
      </c>
      <c r="F1075" s="47" t="s">
        <v>1010</v>
      </c>
      <c r="G1075" s="46"/>
      <c r="H1075" s="47" t="s">
        <v>1011</v>
      </c>
      <c r="I1075" s="47"/>
      <c r="J1075" s="48">
        <v>31879</v>
      </c>
      <c r="K1075" s="46" t="s">
        <v>794</v>
      </c>
      <c r="L1075" s="46" t="s">
        <v>4</v>
      </c>
      <c r="M1075" s="46" t="s">
        <v>1377</v>
      </c>
      <c r="N1075" s="49">
        <v>2</v>
      </c>
      <c r="O1075" s="49">
        <v>3</v>
      </c>
      <c r="P1075" s="47" t="s">
        <v>1252</v>
      </c>
      <c r="Q1075" s="47" t="s">
        <v>1097</v>
      </c>
      <c r="R1075" s="47" t="s">
        <v>376</v>
      </c>
      <c r="S1075" s="46"/>
      <c r="T1075" s="46"/>
      <c r="U1075" s="46"/>
      <c r="V1075" s="46"/>
      <c r="W1075" s="46"/>
      <c r="X1075" s="46"/>
      <c r="Y1075" s="46"/>
      <c r="Z1075" s="46"/>
      <c r="AA1075" s="46"/>
      <c r="AB1075" s="46"/>
      <c r="AC1075" s="46"/>
      <c r="AD1075" s="46"/>
      <c r="AE1075" s="50">
        <f>IF(L1075="W",1,0)</f>
        <v>0</v>
      </c>
      <c r="AF1075" s="50">
        <f>IF(L1075="T",1,0)</f>
        <v>0</v>
      </c>
      <c r="AG1075" s="50">
        <f>IF(L1075="L",1,0)</f>
        <v>1</v>
      </c>
      <c r="AH1075" s="46" t="s">
        <v>1241</v>
      </c>
      <c r="AI1075" s="46" t="s">
        <v>1260</v>
      </c>
      <c r="AJ1075" s="46" t="s">
        <v>376</v>
      </c>
      <c r="AK1075" s="46" t="s">
        <v>658</v>
      </c>
      <c r="AL1075" s="46" t="s">
        <v>1376</v>
      </c>
      <c r="AM1075" s="46" t="s">
        <v>1126</v>
      </c>
      <c r="AN1075" s="46" t="s">
        <v>376</v>
      </c>
      <c r="AO1075" s="46" t="s">
        <v>658</v>
      </c>
      <c r="AP1075" s="46"/>
      <c r="AQ1075" s="46">
        <v>2</v>
      </c>
      <c r="AR1075" s="46"/>
      <c r="AS1075" s="46"/>
      <c r="AT1075" s="46"/>
      <c r="AU1075" s="46" t="s">
        <v>376</v>
      </c>
      <c r="AV1075" s="46"/>
      <c r="AW1075" s="46" t="s">
        <v>30</v>
      </c>
      <c r="AX1075" s="46"/>
      <c r="AY1075" s="46" t="s">
        <v>30</v>
      </c>
      <c r="AZ1075" s="46"/>
      <c r="BA1075" s="47"/>
      <c r="BB1075" s="51"/>
      <c r="BC1075" s="46"/>
      <c r="BD1075" s="46"/>
      <c r="BE1075" s="46"/>
      <c r="BF1075" s="46">
        <v>1</v>
      </c>
      <c r="BG1075" s="46">
        <v>2</v>
      </c>
      <c r="BH1075" s="46">
        <v>1</v>
      </c>
      <c r="BI1075" s="46" t="s">
        <v>794</v>
      </c>
      <c r="BJ1075" s="46" t="s">
        <v>1377</v>
      </c>
      <c r="BK1075" s="46">
        <v>1987</v>
      </c>
      <c r="BL1075" s="46" t="str">
        <f>BK1075&amp;BI1075</f>
        <v>1987Leeds United</v>
      </c>
      <c r="BM1075" s="52" t="str">
        <f>IF(AD1075="Home",BI1075,IF(AD1075="Away",BJ1075,Q1075))</f>
        <v>Sheffield</v>
      </c>
      <c r="BN1075" s="46"/>
      <c r="BO1075" s="46"/>
      <c r="BP1075" s="46"/>
      <c r="BQ1075" s="46"/>
      <c r="BR1075" s="46"/>
      <c r="BS1075" s="46"/>
      <c r="BT1075" s="46"/>
      <c r="BU1075" s="46"/>
      <c r="BV1075" s="46" t="s">
        <v>376</v>
      </c>
      <c r="BW1075" s="46" t="s">
        <v>376</v>
      </c>
      <c r="BX1075" s="46"/>
      <c r="BY1075" s="50"/>
      <c r="BZ1075" s="53"/>
      <c r="CA1075" s="53"/>
      <c r="CB1075" s="93" t="str">
        <f>IF(OR(C1075="",A1075="",B1075=""),"",TEXT(C1075,"0000")&amp;TEXT(A1075,"00")&amp;TEXT(B1075,"00"))</f>
        <v>19870412</v>
      </c>
    </row>
    <row r="1076" spans="1:80" s="52" customFormat="1" ht="12.95" customHeight="1" x14ac:dyDescent="0.2">
      <c r="A1076" s="46">
        <v>5</v>
      </c>
      <c r="B1076" s="46">
        <v>16</v>
      </c>
      <c r="C1076" s="46">
        <v>1987</v>
      </c>
      <c r="D1076" s="46" t="s">
        <v>658</v>
      </c>
      <c r="E1076" s="46" t="s">
        <v>530</v>
      </c>
      <c r="F1076" s="47" t="s">
        <v>1010</v>
      </c>
      <c r="G1076" s="46"/>
      <c r="H1076" s="47" t="s">
        <v>1025</v>
      </c>
      <c r="I1076" s="47"/>
      <c r="J1076" s="48">
        <v>31913</v>
      </c>
      <c r="K1076" s="46" t="s">
        <v>1377</v>
      </c>
      <c r="L1076" s="46" t="s">
        <v>3</v>
      </c>
      <c r="M1076" s="46" t="s">
        <v>813</v>
      </c>
      <c r="N1076" s="49">
        <v>3</v>
      </c>
      <c r="O1076" s="49">
        <v>2</v>
      </c>
      <c r="P1076" s="47" t="s">
        <v>1268</v>
      </c>
      <c r="Q1076" s="47" t="s">
        <v>1017</v>
      </c>
      <c r="R1076" s="47" t="s">
        <v>376</v>
      </c>
      <c r="S1076" s="46"/>
      <c r="T1076" s="46"/>
      <c r="U1076" s="46"/>
      <c r="V1076" s="46"/>
      <c r="W1076" s="46"/>
      <c r="X1076" s="46"/>
      <c r="Y1076" s="46"/>
      <c r="Z1076" s="46"/>
      <c r="AA1076" s="46"/>
      <c r="AB1076" s="46"/>
      <c r="AC1076" s="46"/>
      <c r="AD1076" s="46"/>
      <c r="AE1076" s="50">
        <f>IF(L1076="W",1,0)</f>
        <v>1</v>
      </c>
      <c r="AF1076" s="50">
        <f>IF(L1076="T",1,0)</f>
        <v>0</v>
      </c>
      <c r="AG1076" s="50">
        <f>IF(L1076="L",1,0)</f>
        <v>0</v>
      </c>
      <c r="AH1076" s="46" t="s">
        <v>1376</v>
      </c>
      <c r="AI1076" s="46" t="s">
        <v>1126</v>
      </c>
      <c r="AJ1076" s="46" t="s">
        <v>376</v>
      </c>
      <c r="AK1076" s="46" t="s">
        <v>658</v>
      </c>
      <c r="AL1076" s="46" t="s">
        <v>1017</v>
      </c>
      <c r="AM1076" s="46" t="s">
        <v>1018</v>
      </c>
      <c r="AN1076" s="46" t="s">
        <v>376</v>
      </c>
      <c r="AO1076" s="46" t="s">
        <v>658</v>
      </c>
      <c r="AP1076" s="46"/>
      <c r="AQ1076" s="46">
        <v>1</v>
      </c>
      <c r="AR1076" s="46"/>
      <c r="AS1076" s="46"/>
      <c r="AT1076" s="46"/>
      <c r="AU1076" s="46" t="s">
        <v>376</v>
      </c>
      <c r="AV1076" s="46"/>
      <c r="AW1076" s="46" t="s">
        <v>30</v>
      </c>
      <c r="AX1076" s="46"/>
      <c r="AY1076" s="46" t="s">
        <v>30</v>
      </c>
      <c r="AZ1076" s="46"/>
      <c r="BA1076" s="47"/>
      <c r="BB1076" s="51" t="s">
        <v>30</v>
      </c>
      <c r="BC1076" s="46" t="s">
        <v>30</v>
      </c>
      <c r="BD1076" s="46"/>
      <c r="BE1076" s="46"/>
      <c r="BF1076" s="46">
        <v>1</v>
      </c>
      <c r="BG1076" s="46">
        <v>1</v>
      </c>
      <c r="BH1076" s="46">
        <v>1</v>
      </c>
      <c r="BI1076" s="46" t="s">
        <v>1377</v>
      </c>
      <c r="BJ1076" s="46" t="s">
        <v>813</v>
      </c>
      <c r="BK1076" s="46">
        <v>1987</v>
      </c>
      <c r="BL1076" s="46" t="str">
        <f>BK1076&amp;BI1076</f>
        <v>1987Coventry City</v>
      </c>
      <c r="BM1076" s="52" t="str">
        <f>IF(AD1076="Home",BI1076,IF(AD1076="Away",BJ1076,Q1076))</f>
        <v>London</v>
      </c>
      <c r="BN1076" s="46"/>
      <c r="BO1076" s="46"/>
      <c r="BP1076" s="46"/>
      <c r="BQ1076" s="46"/>
      <c r="BR1076" s="46"/>
      <c r="BS1076" s="46"/>
      <c r="BT1076" s="46"/>
      <c r="BU1076" s="46"/>
      <c r="BV1076" s="46" t="s">
        <v>376</v>
      </c>
      <c r="BW1076" s="46" t="s">
        <v>376</v>
      </c>
      <c r="BX1076" s="46"/>
      <c r="BZ1076" s="53"/>
      <c r="CA1076" s="53"/>
      <c r="CB1076" s="93" t="str">
        <f>IF(OR(C1076="",A1076="",B1076=""),"",TEXT(C1076,"0000")&amp;TEXT(A1076,"00")&amp;TEXT(B1076,"00"))</f>
        <v>19870516</v>
      </c>
    </row>
    <row r="1077" spans="1:80" s="52" customFormat="1" ht="12.95" customHeight="1" x14ac:dyDescent="0.2">
      <c r="A1077" s="46">
        <v>5</v>
      </c>
      <c r="B1077" s="46">
        <v>16</v>
      </c>
      <c r="C1077" s="46">
        <v>1987</v>
      </c>
      <c r="D1077" s="46" t="s">
        <v>658</v>
      </c>
      <c r="E1077" s="46" t="s">
        <v>530</v>
      </c>
      <c r="F1077" s="47" t="s">
        <v>1010</v>
      </c>
      <c r="G1077" s="46"/>
      <c r="H1077" s="47" t="s">
        <v>1025</v>
      </c>
      <c r="I1077" s="47"/>
      <c r="J1077" s="48">
        <v>31913</v>
      </c>
      <c r="K1077" s="46" t="s">
        <v>813</v>
      </c>
      <c r="L1077" s="46" t="s">
        <v>4</v>
      </c>
      <c r="M1077" s="46" t="s">
        <v>1377</v>
      </c>
      <c r="N1077" s="49">
        <v>2</v>
      </c>
      <c r="O1077" s="49">
        <v>3</v>
      </c>
      <c r="P1077" s="47" t="s">
        <v>1268</v>
      </c>
      <c r="Q1077" s="47" t="s">
        <v>1017</v>
      </c>
      <c r="R1077" s="47" t="s">
        <v>376</v>
      </c>
      <c r="S1077" s="46"/>
      <c r="T1077" s="46"/>
      <c r="U1077" s="46"/>
      <c r="V1077" s="46"/>
      <c r="W1077" s="46"/>
      <c r="X1077" s="46"/>
      <c r="Y1077" s="46"/>
      <c r="Z1077" s="46"/>
      <c r="AA1077" s="46"/>
      <c r="AB1077" s="46"/>
      <c r="AC1077" s="46"/>
      <c r="AD1077" s="46"/>
      <c r="AE1077" s="50">
        <f>IF(L1077="W",1,0)</f>
        <v>0</v>
      </c>
      <c r="AF1077" s="50">
        <f>IF(L1077="T",1,0)</f>
        <v>0</v>
      </c>
      <c r="AG1077" s="50">
        <f>IF(L1077="L",1,0)</f>
        <v>1</v>
      </c>
      <c r="AH1077" s="46" t="s">
        <v>1017</v>
      </c>
      <c r="AI1077" s="46" t="s">
        <v>1018</v>
      </c>
      <c r="AJ1077" s="46" t="s">
        <v>376</v>
      </c>
      <c r="AK1077" s="46" t="s">
        <v>658</v>
      </c>
      <c r="AL1077" s="46" t="s">
        <v>1376</v>
      </c>
      <c r="AM1077" s="46" t="s">
        <v>1126</v>
      </c>
      <c r="AN1077" s="46" t="s">
        <v>376</v>
      </c>
      <c r="AO1077" s="46" t="s">
        <v>658</v>
      </c>
      <c r="AP1077" s="46"/>
      <c r="AQ1077" s="46">
        <v>1</v>
      </c>
      <c r="AR1077" s="46"/>
      <c r="AS1077" s="46"/>
      <c r="AT1077" s="46"/>
      <c r="AU1077" s="46" t="s">
        <v>376</v>
      </c>
      <c r="AV1077" s="46"/>
      <c r="AW1077" s="46" t="s">
        <v>30</v>
      </c>
      <c r="AX1077" s="46"/>
      <c r="AY1077" s="46" t="s">
        <v>30</v>
      </c>
      <c r="AZ1077" s="46"/>
      <c r="BA1077" s="47"/>
      <c r="BB1077" s="51"/>
      <c r="BC1077" s="46" t="s">
        <v>30</v>
      </c>
      <c r="BD1077" s="46"/>
      <c r="BE1077" s="46"/>
      <c r="BF1077" s="46">
        <v>1</v>
      </c>
      <c r="BG1077" s="46">
        <v>1</v>
      </c>
      <c r="BH1077" s="46">
        <v>1</v>
      </c>
      <c r="BI1077" s="46" t="s">
        <v>813</v>
      </c>
      <c r="BJ1077" s="46" t="s">
        <v>1377</v>
      </c>
      <c r="BK1077" s="46">
        <v>1987</v>
      </c>
      <c r="BL1077" s="46" t="str">
        <f>BK1077&amp;BI1077</f>
        <v>1987Tottenham Hotspur</v>
      </c>
      <c r="BM1077" s="52" t="str">
        <f>IF(AD1077="Home",BI1077,IF(AD1077="Away",BJ1077,Q1077))</f>
        <v>London</v>
      </c>
      <c r="BN1077" s="46"/>
      <c r="BO1077" s="46"/>
      <c r="BP1077" s="46"/>
      <c r="BQ1077" s="46"/>
      <c r="BR1077" s="46"/>
      <c r="BS1077" s="46"/>
      <c r="BT1077" s="46"/>
      <c r="BU1077" s="46"/>
      <c r="BV1077" s="46" t="s">
        <v>376</v>
      </c>
      <c r="BW1077" s="46" t="s">
        <v>376</v>
      </c>
      <c r="BX1077" s="46"/>
      <c r="BZ1077" s="53"/>
      <c r="CA1077" s="53"/>
      <c r="CB1077" s="93" t="str">
        <f>IF(OR(C1077="",A1077="",B1077=""),"",TEXT(C1077,"0000")&amp;TEXT(A1077,"00")&amp;TEXT(B1077,"00"))</f>
        <v>19870516</v>
      </c>
    </row>
    <row r="1078" spans="1:80" s="52" customFormat="1" ht="12.95" customHeight="1" x14ac:dyDescent="0.2">
      <c r="A1078" s="46">
        <v>2</v>
      </c>
      <c r="B1078" s="46">
        <v>7</v>
      </c>
      <c r="C1078" s="46">
        <v>1988</v>
      </c>
      <c r="D1078" s="46" t="s">
        <v>658</v>
      </c>
      <c r="E1078" s="46" t="s">
        <v>523</v>
      </c>
      <c r="F1078" s="54" t="s">
        <v>1327</v>
      </c>
      <c r="G1078" s="46"/>
      <c r="H1078" s="54" t="s">
        <v>1011</v>
      </c>
      <c r="I1078" s="54">
        <v>1</v>
      </c>
      <c r="J1078" s="55">
        <v>32180</v>
      </c>
      <c r="K1078" s="46" t="s">
        <v>804</v>
      </c>
      <c r="L1078" s="46" t="s">
        <v>4</v>
      </c>
      <c r="M1078" s="46" t="s">
        <v>587</v>
      </c>
      <c r="N1078" s="49">
        <v>0</v>
      </c>
      <c r="O1078" s="49">
        <v>1</v>
      </c>
      <c r="P1078" s="54" t="s">
        <v>1184</v>
      </c>
      <c r="Q1078" s="54" t="s">
        <v>588</v>
      </c>
      <c r="R1078" s="54" t="s">
        <v>376</v>
      </c>
      <c r="S1078" s="46"/>
      <c r="T1078" s="46"/>
      <c r="U1078" s="46"/>
      <c r="V1078" s="46"/>
      <c r="W1078" s="46"/>
      <c r="X1078" s="46"/>
      <c r="Y1078" s="46"/>
      <c r="Z1078" s="46"/>
      <c r="AA1078" s="46"/>
      <c r="AB1078" s="46"/>
      <c r="AC1078" s="46"/>
      <c r="AD1078" s="46" t="s">
        <v>1033</v>
      </c>
      <c r="AE1078" s="50">
        <f>IF(L1078="W",1,0)</f>
        <v>0</v>
      </c>
      <c r="AF1078" s="50">
        <f>IF(L1078="T",1,0)</f>
        <v>0</v>
      </c>
      <c r="AG1078" s="50">
        <f>IF(L1078="L",1,0)</f>
        <v>1</v>
      </c>
      <c r="AH1078" s="46" t="s">
        <v>588</v>
      </c>
      <c r="AI1078" s="46" t="s">
        <v>1175</v>
      </c>
      <c r="AJ1078" s="46" t="s">
        <v>376</v>
      </c>
      <c r="AK1078" s="46" t="s">
        <v>658</v>
      </c>
      <c r="AL1078" s="46" t="s">
        <v>1017</v>
      </c>
      <c r="AM1078" s="46" t="s">
        <v>1018</v>
      </c>
      <c r="AN1078" s="46" t="s">
        <v>376</v>
      </c>
      <c r="AO1078" s="46" t="s">
        <v>658</v>
      </c>
      <c r="AP1078" s="46"/>
      <c r="AQ1078" s="46">
        <v>2</v>
      </c>
      <c r="AR1078" s="46"/>
      <c r="AS1078" s="46"/>
      <c r="AT1078" s="46"/>
      <c r="AU1078" s="46" t="s">
        <v>376</v>
      </c>
      <c r="AV1078" s="46"/>
      <c r="AW1078" s="46" t="s">
        <v>30</v>
      </c>
      <c r="AX1078" s="46"/>
      <c r="AY1078" s="46"/>
      <c r="AZ1078" s="46" t="s">
        <v>30</v>
      </c>
      <c r="BA1078" s="54"/>
      <c r="BB1078" s="51"/>
      <c r="BC1078" s="46"/>
      <c r="BD1078" s="46"/>
      <c r="BE1078" s="46"/>
      <c r="BF1078" s="46">
        <v>1</v>
      </c>
      <c r="BG1078" s="46">
        <v>1</v>
      </c>
      <c r="BH1078" s="46">
        <v>1</v>
      </c>
      <c r="BI1078" s="46" t="s">
        <v>804</v>
      </c>
      <c r="BJ1078" s="46" t="s">
        <v>587</v>
      </c>
      <c r="BK1078" s="46">
        <v>1988</v>
      </c>
      <c r="BL1078" s="46" t="str">
        <f>BK1078&amp;BI1078</f>
        <v>1988Everton</v>
      </c>
      <c r="BM1078" s="52" t="str">
        <f>IF(AD1078="Home",BI1078,IF(AD1078="Away",BJ1078,Q1078))</f>
        <v>Everton</v>
      </c>
      <c r="BN1078" s="46"/>
      <c r="BO1078" s="46"/>
      <c r="BP1078" s="46"/>
      <c r="BQ1078" s="46"/>
      <c r="BR1078" s="46"/>
      <c r="BS1078" s="46"/>
      <c r="BT1078" s="46"/>
      <c r="BU1078" s="46"/>
      <c r="BV1078" s="46" t="s">
        <v>376</v>
      </c>
      <c r="BW1078" s="46" t="s">
        <v>376</v>
      </c>
      <c r="BX1078" s="46"/>
      <c r="BZ1078" s="53"/>
      <c r="CA1078" s="53"/>
      <c r="CB1078" s="93" t="str">
        <f>IF(OR(C1078="",A1078="",B1078=""),"",TEXT(C1078,"0000")&amp;TEXT(A1078,"00")&amp;TEXT(B1078,"00"))</f>
        <v>19880207</v>
      </c>
    </row>
    <row r="1079" spans="1:80" s="52" customFormat="1" ht="12.95" customHeight="1" x14ac:dyDescent="0.2">
      <c r="A1079" s="46">
        <v>2</v>
      </c>
      <c r="B1079" s="46">
        <v>7</v>
      </c>
      <c r="C1079" s="46">
        <v>1988</v>
      </c>
      <c r="D1079" s="46" t="s">
        <v>658</v>
      </c>
      <c r="E1079" s="46" t="s">
        <v>523</v>
      </c>
      <c r="F1079" s="54" t="s">
        <v>1327</v>
      </c>
      <c r="G1079" s="46"/>
      <c r="H1079" s="54" t="s">
        <v>1011</v>
      </c>
      <c r="I1079" s="54">
        <v>1</v>
      </c>
      <c r="J1079" s="55">
        <v>32180</v>
      </c>
      <c r="K1079" s="46" t="s">
        <v>587</v>
      </c>
      <c r="L1079" s="46" t="s">
        <v>3</v>
      </c>
      <c r="M1079" s="46" t="s">
        <v>804</v>
      </c>
      <c r="N1079" s="49">
        <v>1</v>
      </c>
      <c r="O1079" s="49">
        <v>0</v>
      </c>
      <c r="P1079" s="54" t="s">
        <v>1184</v>
      </c>
      <c r="Q1079" s="54" t="s">
        <v>588</v>
      </c>
      <c r="R1079" s="54" t="s">
        <v>376</v>
      </c>
      <c r="S1079" s="46"/>
      <c r="T1079" s="46"/>
      <c r="U1079" s="46"/>
      <c r="V1079" s="46"/>
      <c r="W1079" s="46"/>
      <c r="X1079" s="46"/>
      <c r="Y1079" s="46"/>
      <c r="Z1079" s="46"/>
      <c r="AA1079" s="46"/>
      <c r="AB1079" s="46"/>
      <c r="AC1079" s="46"/>
      <c r="AD1079" s="46" t="s">
        <v>1037</v>
      </c>
      <c r="AE1079" s="50">
        <f>IF(L1079="W",1,0)</f>
        <v>1</v>
      </c>
      <c r="AF1079" s="50">
        <f>IF(L1079="T",1,0)</f>
        <v>0</v>
      </c>
      <c r="AG1079" s="50">
        <f>IF(L1079="L",1,0)</f>
        <v>0</v>
      </c>
      <c r="AH1079" s="46" t="s">
        <v>1017</v>
      </c>
      <c r="AI1079" s="46" t="s">
        <v>1018</v>
      </c>
      <c r="AJ1079" s="46" t="s">
        <v>376</v>
      </c>
      <c r="AK1079" s="46" t="s">
        <v>658</v>
      </c>
      <c r="AL1079" s="46" t="s">
        <v>588</v>
      </c>
      <c r="AM1079" s="46" t="s">
        <v>1175</v>
      </c>
      <c r="AN1079" s="46" t="s">
        <v>376</v>
      </c>
      <c r="AO1079" s="46" t="s">
        <v>658</v>
      </c>
      <c r="AP1079" s="46"/>
      <c r="AQ1079" s="46">
        <v>2</v>
      </c>
      <c r="AR1079" s="46"/>
      <c r="AS1079" s="46"/>
      <c r="AT1079" s="46"/>
      <c r="AU1079" s="46" t="s">
        <v>376</v>
      </c>
      <c r="AV1079" s="46"/>
      <c r="AW1079" s="46" t="s">
        <v>30</v>
      </c>
      <c r="AX1079" s="46"/>
      <c r="AY1079" s="46"/>
      <c r="AZ1079" s="46" t="s">
        <v>30</v>
      </c>
      <c r="BA1079" s="54"/>
      <c r="BB1079" s="51"/>
      <c r="BC1079" s="46"/>
      <c r="BD1079" s="46"/>
      <c r="BE1079" s="46"/>
      <c r="BF1079" s="46">
        <v>1</v>
      </c>
      <c r="BG1079" s="46">
        <v>1</v>
      </c>
      <c r="BH1079" s="46">
        <v>1</v>
      </c>
      <c r="BI1079" s="46" t="s">
        <v>587</v>
      </c>
      <c r="BJ1079" s="46" t="s">
        <v>804</v>
      </c>
      <c r="BK1079" s="46">
        <v>1988</v>
      </c>
      <c r="BL1079" s="46" t="str">
        <f>BK1079&amp;BI1079</f>
        <v>1988Arsenal</v>
      </c>
      <c r="BM1079" s="52" t="str">
        <f>IF(AD1079="Home",BI1079,IF(AD1079="Away",BJ1079,Q1079))</f>
        <v>Everton</v>
      </c>
      <c r="BN1079" s="46"/>
      <c r="BO1079" s="46"/>
      <c r="BP1079" s="46"/>
      <c r="BQ1079" s="46"/>
      <c r="BR1079" s="46"/>
      <c r="BS1079" s="46"/>
      <c r="BT1079" s="46"/>
      <c r="BU1079" s="46"/>
      <c r="BV1079" s="46" t="s">
        <v>376</v>
      </c>
      <c r="BW1079" s="46" t="s">
        <v>376</v>
      </c>
      <c r="BX1079" s="46"/>
      <c r="BZ1079" s="53"/>
      <c r="CA1079" s="53"/>
      <c r="CB1079" s="93" t="str">
        <f>IF(OR(C1079="",A1079="",B1079=""),"",TEXT(C1079,"0000")&amp;TEXT(A1079,"00")&amp;TEXT(B1079,"00"))</f>
        <v>19880207</v>
      </c>
    </row>
    <row r="1080" spans="1:80" s="52" customFormat="1" ht="12.95" customHeight="1" x14ac:dyDescent="0.2">
      <c r="A1080" s="46">
        <v>2</v>
      </c>
      <c r="B1080" s="46">
        <v>10</v>
      </c>
      <c r="C1080" s="46">
        <v>1988</v>
      </c>
      <c r="D1080" s="46" t="s">
        <v>658</v>
      </c>
      <c r="E1080" s="46" t="s">
        <v>523</v>
      </c>
      <c r="F1080" s="54" t="s">
        <v>1327</v>
      </c>
      <c r="G1080" s="46"/>
      <c r="H1080" s="54" t="s">
        <v>1011</v>
      </c>
      <c r="I1080" s="54">
        <v>1</v>
      </c>
      <c r="J1080" s="55">
        <v>32183</v>
      </c>
      <c r="K1080" s="46" t="s">
        <v>1384</v>
      </c>
      <c r="L1080" s="46" t="s">
        <v>1014</v>
      </c>
      <c r="M1080" s="46" t="s">
        <v>1322</v>
      </c>
      <c r="N1080" s="49">
        <v>1</v>
      </c>
      <c r="O1080" s="49">
        <v>1</v>
      </c>
      <c r="P1080" s="54" t="s">
        <v>1385</v>
      </c>
      <c r="Q1080" s="54" t="s">
        <v>1032</v>
      </c>
      <c r="R1080" s="54" t="s">
        <v>376</v>
      </c>
      <c r="S1080" s="46"/>
      <c r="T1080" s="46"/>
      <c r="U1080" s="46"/>
      <c r="V1080" s="46"/>
      <c r="W1080" s="46"/>
      <c r="X1080" s="46"/>
      <c r="Y1080" s="46"/>
      <c r="Z1080" s="46"/>
      <c r="AA1080" s="46"/>
      <c r="AB1080" s="46"/>
      <c r="AC1080" s="46"/>
      <c r="AD1080" s="46" t="s">
        <v>1033</v>
      </c>
      <c r="AE1080" s="50">
        <f>IF(L1080="W",1,0)</f>
        <v>0</v>
      </c>
      <c r="AF1080" s="50">
        <f>IF(L1080="T",1,0)</f>
        <v>1</v>
      </c>
      <c r="AG1080" s="50">
        <f>IF(L1080="L",1,0)</f>
        <v>0</v>
      </c>
      <c r="AH1080" s="46" t="s">
        <v>1032</v>
      </c>
      <c r="AI1080" s="46" t="s">
        <v>1034</v>
      </c>
      <c r="AJ1080" s="46" t="s">
        <v>376</v>
      </c>
      <c r="AK1080" s="46" t="s">
        <v>658</v>
      </c>
      <c r="AL1080" s="46" t="s">
        <v>1325</v>
      </c>
      <c r="AM1080" s="46" t="s">
        <v>1326</v>
      </c>
      <c r="AN1080" s="46" t="s">
        <v>376</v>
      </c>
      <c r="AO1080" s="46" t="s">
        <v>658</v>
      </c>
      <c r="AP1080" s="46"/>
      <c r="AQ1080" s="46">
        <v>2</v>
      </c>
      <c r="AR1080" s="46"/>
      <c r="AS1080" s="46"/>
      <c r="AT1080" s="46"/>
      <c r="AU1080" s="46" t="s">
        <v>376</v>
      </c>
      <c r="AV1080" s="46"/>
      <c r="AW1080" s="46" t="s">
        <v>30</v>
      </c>
      <c r="AX1080" s="46"/>
      <c r="AY1080" s="46"/>
      <c r="AZ1080" s="46" t="s">
        <v>30</v>
      </c>
      <c r="BA1080" s="54"/>
      <c r="BB1080" s="51"/>
      <c r="BC1080" s="46"/>
      <c r="BD1080" s="46"/>
      <c r="BE1080" s="46"/>
      <c r="BF1080" s="46">
        <v>1</v>
      </c>
      <c r="BG1080" s="46">
        <v>1</v>
      </c>
      <c r="BH1080" s="46">
        <v>1</v>
      </c>
      <c r="BI1080" s="46" t="s">
        <v>1384</v>
      </c>
      <c r="BJ1080" s="46" t="s">
        <v>1322</v>
      </c>
      <c r="BK1080" s="46">
        <v>1988</v>
      </c>
      <c r="BL1080" s="46" t="str">
        <f>BK1080&amp;BI1080</f>
        <v>1988Oxford United</v>
      </c>
      <c r="BM1080" s="52" t="str">
        <f>IF(AD1080="Home",BI1080,IF(AD1080="Away",BJ1080,Q1080))</f>
        <v>Oxford United</v>
      </c>
      <c r="BN1080" s="46"/>
      <c r="BO1080" s="46"/>
      <c r="BP1080" s="46"/>
      <c r="BQ1080" s="46"/>
      <c r="BR1080" s="46"/>
      <c r="BS1080" s="46"/>
      <c r="BT1080" s="46"/>
      <c r="BU1080" s="46"/>
      <c r="BV1080" s="46" t="s">
        <v>376</v>
      </c>
      <c r="BW1080" s="46" t="s">
        <v>376</v>
      </c>
      <c r="BX1080" s="46"/>
      <c r="BY1080" s="35"/>
      <c r="BZ1080" s="53"/>
      <c r="CA1080" s="53"/>
      <c r="CB1080" s="93" t="str">
        <f>IF(OR(C1080="",A1080="",B1080=""),"",TEXT(C1080,"0000")&amp;TEXT(A1080,"00")&amp;TEXT(B1080,"00"))</f>
        <v>19880210</v>
      </c>
    </row>
    <row r="1081" spans="1:80" s="52" customFormat="1" ht="12.95" customHeight="1" x14ac:dyDescent="0.2">
      <c r="A1081" s="46">
        <v>2</v>
      </c>
      <c r="B1081" s="46">
        <v>10</v>
      </c>
      <c r="C1081" s="46">
        <v>1988</v>
      </c>
      <c r="D1081" s="46" t="s">
        <v>658</v>
      </c>
      <c r="E1081" s="46" t="s">
        <v>523</v>
      </c>
      <c r="F1081" s="54" t="s">
        <v>1327</v>
      </c>
      <c r="G1081" s="46"/>
      <c r="H1081" s="54" t="s">
        <v>1011</v>
      </c>
      <c r="I1081" s="54">
        <v>1</v>
      </c>
      <c r="J1081" s="55">
        <v>32183</v>
      </c>
      <c r="K1081" s="46" t="s">
        <v>1322</v>
      </c>
      <c r="L1081" s="46" t="s">
        <v>1014</v>
      </c>
      <c r="M1081" s="46" t="s">
        <v>1384</v>
      </c>
      <c r="N1081" s="49">
        <v>1</v>
      </c>
      <c r="O1081" s="49">
        <v>1</v>
      </c>
      <c r="P1081" s="54" t="s">
        <v>1385</v>
      </c>
      <c r="Q1081" s="54" t="s">
        <v>1032</v>
      </c>
      <c r="R1081" s="54" t="s">
        <v>376</v>
      </c>
      <c r="S1081" s="46"/>
      <c r="T1081" s="46"/>
      <c r="U1081" s="46"/>
      <c r="V1081" s="46"/>
      <c r="W1081" s="46"/>
      <c r="X1081" s="46"/>
      <c r="Y1081" s="46"/>
      <c r="Z1081" s="46"/>
      <c r="AA1081" s="46"/>
      <c r="AB1081" s="46"/>
      <c r="AC1081" s="46"/>
      <c r="AD1081" s="46" t="s">
        <v>1037</v>
      </c>
      <c r="AE1081" s="50">
        <f>IF(L1081="W",1,0)</f>
        <v>0</v>
      </c>
      <c r="AF1081" s="50">
        <f>IF(L1081="T",1,0)</f>
        <v>1</v>
      </c>
      <c r="AG1081" s="50">
        <f>IF(L1081="L",1,0)</f>
        <v>0</v>
      </c>
      <c r="AH1081" s="46" t="s">
        <v>1325</v>
      </c>
      <c r="AI1081" s="46" t="s">
        <v>1326</v>
      </c>
      <c r="AJ1081" s="46" t="s">
        <v>376</v>
      </c>
      <c r="AK1081" s="46" t="s">
        <v>658</v>
      </c>
      <c r="AL1081" s="46" t="s">
        <v>1032</v>
      </c>
      <c r="AM1081" s="46" t="s">
        <v>1034</v>
      </c>
      <c r="AN1081" s="46" t="s">
        <v>376</v>
      </c>
      <c r="AO1081" s="46" t="s">
        <v>658</v>
      </c>
      <c r="AP1081" s="46"/>
      <c r="AQ1081" s="46">
        <v>2</v>
      </c>
      <c r="AR1081" s="46"/>
      <c r="AS1081" s="46"/>
      <c r="AT1081" s="46"/>
      <c r="AU1081" s="46" t="s">
        <v>376</v>
      </c>
      <c r="AV1081" s="46"/>
      <c r="AW1081" s="46" t="s">
        <v>30</v>
      </c>
      <c r="AX1081" s="46"/>
      <c r="AY1081" s="46"/>
      <c r="AZ1081" s="46" t="s">
        <v>30</v>
      </c>
      <c r="BA1081" s="54"/>
      <c r="BB1081" s="51"/>
      <c r="BC1081" s="46"/>
      <c r="BD1081" s="46"/>
      <c r="BE1081" s="46"/>
      <c r="BF1081" s="46">
        <v>1</v>
      </c>
      <c r="BG1081" s="46">
        <v>1</v>
      </c>
      <c r="BH1081" s="46">
        <v>1</v>
      </c>
      <c r="BI1081" s="46" t="s">
        <v>1322</v>
      </c>
      <c r="BJ1081" s="46" t="s">
        <v>1384</v>
      </c>
      <c r="BK1081" s="46">
        <v>1988</v>
      </c>
      <c r="BL1081" s="46" t="str">
        <f>BK1081&amp;BI1081</f>
        <v>1988Luton Town</v>
      </c>
      <c r="BM1081" s="52" t="str">
        <f>IF(AD1081="Home",BI1081,IF(AD1081="Away",BJ1081,Q1081))</f>
        <v>Oxford United</v>
      </c>
      <c r="BN1081" s="46"/>
      <c r="BO1081" s="46"/>
      <c r="BP1081" s="46"/>
      <c r="BQ1081" s="46"/>
      <c r="BR1081" s="46"/>
      <c r="BS1081" s="46"/>
      <c r="BT1081" s="46"/>
      <c r="BU1081" s="46"/>
      <c r="BV1081" s="46" t="s">
        <v>376</v>
      </c>
      <c r="BW1081" s="46" t="s">
        <v>376</v>
      </c>
      <c r="BX1081" s="46"/>
      <c r="BY1081" s="35"/>
      <c r="BZ1081" s="53"/>
      <c r="CA1081" s="53"/>
      <c r="CB1081" s="93" t="str">
        <f>IF(OR(C1081="",A1081="",B1081=""),"",TEXT(C1081,"0000")&amp;TEXT(A1081,"00")&amp;TEXT(B1081,"00"))</f>
        <v>19880210</v>
      </c>
    </row>
    <row r="1082" spans="1:80" s="52" customFormat="1" ht="12.95" customHeight="1" x14ac:dyDescent="0.2">
      <c r="A1082" s="46">
        <v>2</v>
      </c>
      <c r="B1082" s="46">
        <v>24</v>
      </c>
      <c r="C1082" s="46">
        <v>1988</v>
      </c>
      <c r="D1082" s="46" t="s">
        <v>658</v>
      </c>
      <c r="E1082" s="46" t="s">
        <v>523</v>
      </c>
      <c r="F1082" s="54" t="s">
        <v>1327</v>
      </c>
      <c r="G1082" s="46"/>
      <c r="H1082" s="54" t="s">
        <v>1011</v>
      </c>
      <c r="I1082" s="54">
        <v>2</v>
      </c>
      <c r="J1082" s="55">
        <v>32197</v>
      </c>
      <c r="K1082" s="46" t="s">
        <v>587</v>
      </c>
      <c r="L1082" s="46" t="s">
        <v>3</v>
      </c>
      <c r="M1082" s="46" t="s">
        <v>804</v>
      </c>
      <c r="N1082" s="49">
        <v>3</v>
      </c>
      <c r="O1082" s="49">
        <v>1</v>
      </c>
      <c r="P1082" s="54" t="s">
        <v>1281</v>
      </c>
      <c r="Q1082" s="54" t="s">
        <v>1017</v>
      </c>
      <c r="R1082" s="54" t="s">
        <v>376</v>
      </c>
      <c r="S1082" s="46"/>
      <c r="T1082" s="46"/>
      <c r="U1082" s="46"/>
      <c r="V1082" s="46"/>
      <c r="W1082" s="46"/>
      <c r="X1082" s="46"/>
      <c r="Y1082" s="46"/>
      <c r="Z1082" s="46"/>
      <c r="AA1082" s="46"/>
      <c r="AB1082" s="46"/>
      <c r="AC1082" s="46"/>
      <c r="AD1082" s="46" t="s">
        <v>1033</v>
      </c>
      <c r="AE1082" s="50">
        <f>IF(L1082="W",1,0)</f>
        <v>1</v>
      </c>
      <c r="AF1082" s="50">
        <f>IF(L1082="T",1,0)</f>
        <v>0</v>
      </c>
      <c r="AG1082" s="50">
        <f>IF(L1082="L",1,0)</f>
        <v>0</v>
      </c>
      <c r="AH1082" s="46" t="s">
        <v>1017</v>
      </c>
      <c r="AI1082" s="46" t="s">
        <v>1018</v>
      </c>
      <c r="AJ1082" s="46" t="s">
        <v>376</v>
      </c>
      <c r="AK1082" s="46" t="s">
        <v>658</v>
      </c>
      <c r="AL1082" s="46" t="s">
        <v>588</v>
      </c>
      <c r="AM1082" s="46" t="s">
        <v>1175</v>
      </c>
      <c r="AN1082" s="46" t="s">
        <v>376</v>
      </c>
      <c r="AO1082" s="46" t="s">
        <v>658</v>
      </c>
      <c r="AP1082" s="46"/>
      <c r="AQ1082" s="46">
        <v>2</v>
      </c>
      <c r="AR1082" s="46"/>
      <c r="AS1082" s="46"/>
      <c r="AT1082" s="46"/>
      <c r="AU1082" s="46" t="s">
        <v>376</v>
      </c>
      <c r="AV1082" s="46"/>
      <c r="AW1082" s="46" t="s">
        <v>30</v>
      </c>
      <c r="AX1082" s="46"/>
      <c r="AY1082" s="46"/>
      <c r="AZ1082" s="46" t="s">
        <v>30</v>
      </c>
      <c r="BA1082" s="54"/>
      <c r="BB1082" s="51"/>
      <c r="BC1082" s="46"/>
      <c r="BD1082" s="46"/>
      <c r="BE1082" s="46"/>
      <c r="BF1082" s="46">
        <v>1</v>
      </c>
      <c r="BG1082" s="46">
        <v>1</v>
      </c>
      <c r="BH1082" s="46">
        <v>1</v>
      </c>
      <c r="BI1082" s="46" t="s">
        <v>587</v>
      </c>
      <c r="BJ1082" s="46" t="s">
        <v>804</v>
      </c>
      <c r="BK1082" s="46">
        <v>1988</v>
      </c>
      <c r="BL1082" s="46" t="str">
        <f>BK1082&amp;BI1082</f>
        <v>1988Arsenal</v>
      </c>
      <c r="BM1082" s="52" t="str">
        <f>IF(AD1082="Home",BI1082,IF(AD1082="Away",BJ1082,Q1082))</f>
        <v>Arsenal</v>
      </c>
      <c r="BN1082" s="46"/>
      <c r="BO1082" s="46"/>
      <c r="BP1082" s="46"/>
      <c r="BQ1082" s="46"/>
      <c r="BR1082" s="46"/>
      <c r="BS1082" s="46"/>
      <c r="BT1082" s="46"/>
      <c r="BU1082" s="46"/>
      <c r="BV1082" s="46" t="s">
        <v>376</v>
      </c>
      <c r="BW1082" s="46" t="s">
        <v>376</v>
      </c>
      <c r="BX1082" s="46"/>
      <c r="BZ1082" s="53"/>
      <c r="CA1082" s="53"/>
      <c r="CB1082" s="93" t="str">
        <f>IF(OR(C1082="",A1082="",B1082=""),"",TEXT(C1082,"0000")&amp;TEXT(A1082,"00")&amp;TEXT(B1082,"00"))</f>
        <v>19880224</v>
      </c>
    </row>
    <row r="1083" spans="1:80" s="52" customFormat="1" ht="12.95" customHeight="1" x14ac:dyDescent="0.2">
      <c r="A1083" s="46">
        <v>2</v>
      </c>
      <c r="B1083" s="46">
        <v>24</v>
      </c>
      <c r="C1083" s="46">
        <v>1988</v>
      </c>
      <c r="D1083" s="46" t="s">
        <v>658</v>
      </c>
      <c r="E1083" s="46" t="s">
        <v>523</v>
      </c>
      <c r="F1083" s="54" t="s">
        <v>1327</v>
      </c>
      <c r="G1083" s="46"/>
      <c r="H1083" s="54" t="s">
        <v>1011</v>
      </c>
      <c r="I1083" s="54">
        <v>2</v>
      </c>
      <c r="J1083" s="55">
        <v>32197</v>
      </c>
      <c r="K1083" s="46" t="s">
        <v>804</v>
      </c>
      <c r="L1083" s="46" t="s">
        <v>4</v>
      </c>
      <c r="M1083" s="46" t="s">
        <v>587</v>
      </c>
      <c r="N1083" s="49">
        <v>1</v>
      </c>
      <c r="O1083" s="49">
        <v>3</v>
      </c>
      <c r="P1083" s="54" t="s">
        <v>1281</v>
      </c>
      <c r="Q1083" s="54" t="s">
        <v>1017</v>
      </c>
      <c r="R1083" s="54" t="s">
        <v>376</v>
      </c>
      <c r="S1083" s="46"/>
      <c r="T1083" s="46"/>
      <c r="U1083" s="46"/>
      <c r="V1083" s="46"/>
      <c r="W1083" s="46"/>
      <c r="X1083" s="46"/>
      <c r="Y1083" s="46"/>
      <c r="Z1083" s="46"/>
      <c r="AA1083" s="46"/>
      <c r="AB1083" s="46"/>
      <c r="AC1083" s="46"/>
      <c r="AD1083" s="46" t="s">
        <v>1037</v>
      </c>
      <c r="AE1083" s="50">
        <f>IF(L1083="W",1,0)</f>
        <v>0</v>
      </c>
      <c r="AF1083" s="50">
        <f>IF(L1083="T",1,0)</f>
        <v>0</v>
      </c>
      <c r="AG1083" s="50">
        <f>IF(L1083="L",1,0)</f>
        <v>1</v>
      </c>
      <c r="AH1083" s="46" t="s">
        <v>588</v>
      </c>
      <c r="AI1083" s="46" t="s">
        <v>1175</v>
      </c>
      <c r="AJ1083" s="46" t="s">
        <v>376</v>
      </c>
      <c r="AK1083" s="46" t="s">
        <v>658</v>
      </c>
      <c r="AL1083" s="46" t="s">
        <v>1017</v>
      </c>
      <c r="AM1083" s="46" t="s">
        <v>1018</v>
      </c>
      <c r="AN1083" s="46" t="s">
        <v>376</v>
      </c>
      <c r="AO1083" s="46" t="s">
        <v>658</v>
      </c>
      <c r="AP1083" s="46"/>
      <c r="AQ1083" s="46">
        <v>2</v>
      </c>
      <c r="AR1083" s="46"/>
      <c r="AS1083" s="46"/>
      <c r="AT1083" s="46"/>
      <c r="AU1083" s="46" t="s">
        <v>376</v>
      </c>
      <c r="AV1083" s="46"/>
      <c r="AW1083" s="46" t="s">
        <v>30</v>
      </c>
      <c r="AX1083" s="46"/>
      <c r="AY1083" s="46"/>
      <c r="AZ1083" s="46" t="s">
        <v>30</v>
      </c>
      <c r="BA1083" s="54"/>
      <c r="BB1083" s="51"/>
      <c r="BC1083" s="46"/>
      <c r="BD1083" s="46"/>
      <c r="BE1083" s="46"/>
      <c r="BF1083" s="46">
        <v>1</v>
      </c>
      <c r="BG1083" s="46">
        <v>1</v>
      </c>
      <c r="BH1083" s="46">
        <v>1</v>
      </c>
      <c r="BI1083" s="46" t="s">
        <v>804</v>
      </c>
      <c r="BJ1083" s="46" t="s">
        <v>587</v>
      </c>
      <c r="BK1083" s="46">
        <v>1988</v>
      </c>
      <c r="BL1083" s="46" t="str">
        <f>BK1083&amp;BI1083</f>
        <v>1988Everton</v>
      </c>
      <c r="BM1083" s="52" t="str">
        <f>IF(AD1083="Home",BI1083,IF(AD1083="Away",BJ1083,Q1083))</f>
        <v>Arsenal</v>
      </c>
      <c r="BN1083" s="46"/>
      <c r="BO1083" s="46"/>
      <c r="BP1083" s="46"/>
      <c r="BQ1083" s="46"/>
      <c r="BR1083" s="46"/>
      <c r="BS1083" s="46"/>
      <c r="BT1083" s="46"/>
      <c r="BU1083" s="46"/>
      <c r="BV1083" s="46" t="s">
        <v>376</v>
      </c>
      <c r="BW1083" s="46" t="s">
        <v>376</v>
      </c>
      <c r="BX1083" s="46"/>
      <c r="BZ1083" s="53"/>
      <c r="CA1083" s="53"/>
      <c r="CB1083" s="93" t="str">
        <f>IF(OR(C1083="",A1083="",B1083=""),"",TEXT(C1083,"0000")&amp;TEXT(A1083,"00")&amp;TEXT(B1083,"00"))</f>
        <v>19880224</v>
      </c>
    </row>
    <row r="1084" spans="1:80" s="52" customFormat="1" ht="12.95" customHeight="1" x14ac:dyDescent="0.2">
      <c r="A1084" s="46">
        <v>2</v>
      </c>
      <c r="B1084" s="46">
        <v>28</v>
      </c>
      <c r="C1084" s="46">
        <v>1988</v>
      </c>
      <c r="D1084" s="46" t="s">
        <v>658</v>
      </c>
      <c r="E1084" s="46" t="s">
        <v>523</v>
      </c>
      <c r="F1084" s="54" t="s">
        <v>1327</v>
      </c>
      <c r="G1084" s="46"/>
      <c r="H1084" s="54" t="s">
        <v>1011</v>
      </c>
      <c r="I1084" s="54">
        <v>2</v>
      </c>
      <c r="J1084" s="55">
        <v>32201</v>
      </c>
      <c r="K1084" s="46" t="s">
        <v>1322</v>
      </c>
      <c r="L1084" s="46" t="s">
        <v>3</v>
      </c>
      <c r="M1084" s="46" t="s">
        <v>1384</v>
      </c>
      <c r="N1084" s="49">
        <v>2</v>
      </c>
      <c r="O1084" s="49">
        <v>0</v>
      </c>
      <c r="P1084" s="54" t="s">
        <v>1386</v>
      </c>
      <c r="Q1084" s="54" t="s">
        <v>1325</v>
      </c>
      <c r="R1084" s="54" t="s">
        <v>376</v>
      </c>
      <c r="S1084" s="46"/>
      <c r="T1084" s="46"/>
      <c r="U1084" s="46"/>
      <c r="V1084" s="46"/>
      <c r="W1084" s="46"/>
      <c r="X1084" s="46"/>
      <c r="Y1084" s="46"/>
      <c r="Z1084" s="46"/>
      <c r="AA1084" s="46"/>
      <c r="AB1084" s="46"/>
      <c r="AC1084" s="46"/>
      <c r="AD1084" s="46" t="s">
        <v>1033</v>
      </c>
      <c r="AE1084" s="50">
        <f>IF(L1084="W",1,0)</f>
        <v>1</v>
      </c>
      <c r="AF1084" s="50">
        <f>IF(L1084="T",1,0)</f>
        <v>0</v>
      </c>
      <c r="AG1084" s="50">
        <f>IF(L1084="L",1,0)</f>
        <v>0</v>
      </c>
      <c r="AH1084" s="46" t="s">
        <v>1325</v>
      </c>
      <c r="AI1084" s="46" t="s">
        <v>1326</v>
      </c>
      <c r="AJ1084" s="46" t="s">
        <v>376</v>
      </c>
      <c r="AK1084" s="46" t="s">
        <v>658</v>
      </c>
      <c r="AL1084" s="46" t="s">
        <v>1032</v>
      </c>
      <c r="AM1084" s="46" t="s">
        <v>1034</v>
      </c>
      <c r="AN1084" s="46" t="s">
        <v>376</v>
      </c>
      <c r="AO1084" s="46" t="s">
        <v>658</v>
      </c>
      <c r="AP1084" s="46"/>
      <c r="AQ1084" s="46">
        <v>2</v>
      </c>
      <c r="AR1084" s="46"/>
      <c r="AS1084" s="46"/>
      <c r="AT1084" s="46"/>
      <c r="AU1084" s="46" t="s">
        <v>376</v>
      </c>
      <c r="AV1084" s="46"/>
      <c r="AW1084" s="46" t="s">
        <v>30</v>
      </c>
      <c r="AX1084" s="46"/>
      <c r="AY1084" s="46"/>
      <c r="AZ1084" s="46" t="s">
        <v>30</v>
      </c>
      <c r="BA1084" s="54"/>
      <c r="BB1084" s="51"/>
      <c r="BC1084" s="46"/>
      <c r="BD1084" s="46"/>
      <c r="BE1084" s="46"/>
      <c r="BF1084" s="46">
        <v>1</v>
      </c>
      <c r="BG1084" s="46">
        <v>1</v>
      </c>
      <c r="BH1084" s="46">
        <v>1</v>
      </c>
      <c r="BI1084" s="46" t="s">
        <v>1322</v>
      </c>
      <c r="BJ1084" s="46" t="s">
        <v>1384</v>
      </c>
      <c r="BK1084" s="46">
        <v>1988</v>
      </c>
      <c r="BL1084" s="46" t="str">
        <f>BK1084&amp;BI1084</f>
        <v>1988Luton Town</v>
      </c>
      <c r="BM1084" s="52" t="str">
        <f>IF(AD1084="Home",BI1084,IF(AD1084="Away",BJ1084,Q1084))</f>
        <v>Luton Town</v>
      </c>
      <c r="BN1084" s="46"/>
      <c r="BO1084" s="46"/>
      <c r="BP1084" s="46"/>
      <c r="BQ1084" s="46"/>
      <c r="BR1084" s="46"/>
      <c r="BS1084" s="46"/>
      <c r="BT1084" s="46"/>
      <c r="BU1084" s="46"/>
      <c r="BV1084" s="46" t="s">
        <v>376</v>
      </c>
      <c r="BW1084" s="46" t="s">
        <v>376</v>
      </c>
      <c r="BX1084" s="46"/>
      <c r="BZ1084" s="53"/>
      <c r="CA1084" s="53"/>
      <c r="CB1084" s="93" t="str">
        <f>IF(OR(C1084="",A1084="",B1084=""),"",TEXT(C1084,"0000")&amp;TEXT(A1084,"00")&amp;TEXT(B1084,"00"))</f>
        <v>19880228</v>
      </c>
    </row>
    <row r="1085" spans="1:80" s="52" customFormat="1" ht="12.95" customHeight="1" x14ac:dyDescent="0.2">
      <c r="A1085" s="46">
        <v>2</v>
      </c>
      <c r="B1085" s="46">
        <v>28</v>
      </c>
      <c r="C1085" s="46">
        <v>1988</v>
      </c>
      <c r="D1085" s="46" t="s">
        <v>658</v>
      </c>
      <c r="E1085" s="46" t="s">
        <v>523</v>
      </c>
      <c r="F1085" s="54" t="s">
        <v>1327</v>
      </c>
      <c r="G1085" s="46"/>
      <c r="H1085" s="54" t="s">
        <v>1011</v>
      </c>
      <c r="I1085" s="54">
        <v>2</v>
      </c>
      <c r="J1085" s="55">
        <v>32201</v>
      </c>
      <c r="K1085" s="46" t="s">
        <v>1384</v>
      </c>
      <c r="L1085" s="46" t="s">
        <v>4</v>
      </c>
      <c r="M1085" s="46" t="s">
        <v>1322</v>
      </c>
      <c r="N1085" s="49">
        <v>0</v>
      </c>
      <c r="O1085" s="49">
        <v>2</v>
      </c>
      <c r="P1085" s="54" t="s">
        <v>1386</v>
      </c>
      <c r="Q1085" s="54" t="s">
        <v>1325</v>
      </c>
      <c r="R1085" s="54" t="s">
        <v>376</v>
      </c>
      <c r="S1085" s="46"/>
      <c r="T1085" s="46"/>
      <c r="U1085" s="46"/>
      <c r="V1085" s="46"/>
      <c r="W1085" s="46"/>
      <c r="X1085" s="46"/>
      <c r="Y1085" s="46"/>
      <c r="Z1085" s="46"/>
      <c r="AA1085" s="46"/>
      <c r="AB1085" s="46"/>
      <c r="AC1085" s="46"/>
      <c r="AD1085" s="46" t="s">
        <v>1037</v>
      </c>
      <c r="AE1085" s="50">
        <f>IF(L1085="W",1,0)</f>
        <v>0</v>
      </c>
      <c r="AF1085" s="50">
        <f>IF(L1085="T",1,0)</f>
        <v>0</v>
      </c>
      <c r="AG1085" s="50">
        <f>IF(L1085="L",1,0)</f>
        <v>1</v>
      </c>
      <c r="AH1085" s="46" t="s">
        <v>1032</v>
      </c>
      <c r="AI1085" s="46" t="s">
        <v>1034</v>
      </c>
      <c r="AJ1085" s="46" t="s">
        <v>376</v>
      </c>
      <c r="AK1085" s="46" t="s">
        <v>658</v>
      </c>
      <c r="AL1085" s="46" t="s">
        <v>1325</v>
      </c>
      <c r="AM1085" s="46" t="s">
        <v>1326</v>
      </c>
      <c r="AN1085" s="46" t="s">
        <v>376</v>
      </c>
      <c r="AO1085" s="46" t="s">
        <v>658</v>
      </c>
      <c r="AP1085" s="46"/>
      <c r="AQ1085" s="46">
        <v>2</v>
      </c>
      <c r="AR1085" s="46"/>
      <c r="AS1085" s="46"/>
      <c r="AT1085" s="46"/>
      <c r="AU1085" s="46" t="s">
        <v>376</v>
      </c>
      <c r="AV1085" s="46"/>
      <c r="AW1085" s="46" t="s">
        <v>30</v>
      </c>
      <c r="AX1085" s="46"/>
      <c r="AY1085" s="46"/>
      <c r="AZ1085" s="46" t="s">
        <v>30</v>
      </c>
      <c r="BA1085" s="54"/>
      <c r="BB1085" s="51"/>
      <c r="BC1085" s="46"/>
      <c r="BD1085" s="46"/>
      <c r="BE1085" s="46"/>
      <c r="BF1085" s="46">
        <v>1</v>
      </c>
      <c r="BG1085" s="46">
        <v>1</v>
      </c>
      <c r="BH1085" s="46">
        <v>1</v>
      </c>
      <c r="BI1085" s="46" t="s">
        <v>1384</v>
      </c>
      <c r="BJ1085" s="46" t="s">
        <v>1322</v>
      </c>
      <c r="BK1085" s="46">
        <v>1988</v>
      </c>
      <c r="BL1085" s="46" t="str">
        <f>BK1085&amp;BI1085</f>
        <v>1988Oxford United</v>
      </c>
      <c r="BM1085" s="52" t="str">
        <f>IF(AD1085="Home",BI1085,IF(AD1085="Away",BJ1085,Q1085))</f>
        <v>Luton Town</v>
      </c>
      <c r="BN1085" s="46"/>
      <c r="BO1085" s="46"/>
      <c r="BP1085" s="46"/>
      <c r="BQ1085" s="46"/>
      <c r="BR1085" s="46"/>
      <c r="BS1085" s="46"/>
      <c r="BT1085" s="46"/>
      <c r="BU1085" s="46"/>
      <c r="BV1085" s="46" t="s">
        <v>376</v>
      </c>
      <c r="BW1085" s="46" t="s">
        <v>376</v>
      </c>
      <c r="BX1085" s="46"/>
      <c r="BZ1085" s="53"/>
      <c r="CA1085" s="53"/>
      <c r="CB1085" s="93" t="str">
        <f>IF(OR(C1085="",A1085="",B1085=""),"",TEXT(C1085,"0000")&amp;TEXT(A1085,"00")&amp;TEXT(B1085,"00"))</f>
        <v>19880228</v>
      </c>
    </row>
    <row r="1086" spans="1:80" s="52" customFormat="1" ht="12.95" customHeight="1" x14ac:dyDescent="0.2">
      <c r="A1086" s="46">
        <v>4</v>
      </c>
      <c r="B1086" s="46">
        <v>9</v>
      </c>
      <c r="C1086" s="46">
        <v>1988</v>
      </c>
      <c r="D1086" s="46" t="s">
        <v>658</v>
      </c>
      <c r="E1086" s="46" t="s">
        <v>523</v>
      </c>
      <c r="F1086" s="47" t="s">
        <v>1010</v>
      </c>
      <c r="G1086" s="46"/>
      <c r="H1086" s="47" t="s">
        <v>1011</v>
      </c>
      <c r="I1086" s="47"/>
      <c r="J1086" s="48">
        <v>32242</v>
      </c>
      <c r="K1086" s="46" t="s">
        <v>588</v>
      </c>
      <c r="L1086" s="46" t="s">
        <v>3</v>
      </c>
      <c r="M1086" s="46" t="s">
        <v>1072</v>
      </c>
      <c r="N1086" s="49">
        <v>2</v>
      </c>
      <c r="O1086" s="49">
        <v>1</v>
      </c>
      <c r="P1086" s="47" t="s">
        <v>1252</v>
      </c>
      <c r="Q1086" s="47" t="s">
        <v>1097</v>
      </c>
      <c r="R1086" s="47" t="s">
        <v>376</v>
      </c>
      <c r="S1086" s="46"/>
      <c r="T1086" s="46"/>
      <c r="U1086" s="46"/>
      <c r="V1086" s="46"/>
      <c r="W1086" s="46"/>
      <c r="X1086" s="46"/>
      <c r="Y1086" s="46"/>
      <c r="Z1086" s="46"/>
      <c r="AA1086" s="46"/>
      <c r="AB1086" s="46"/>
      <c r="AC1086" s="46"/>
      <c r="AD1086" s="46"/>
      <c r="AE1086" s="50">
        <f>IF(L1086="W",1,0)</f>
        <v>1</v>
      </c>
      <c r="AF1086" s="50">
        <f>IF(L1086="T",1,0)</f>
        <v>0</v>
      </c>
      <c r="AG1086" s="50">
        <f>IF(L1086="L",1,0)</f>
        <v>0</v>
      </c>
      <c r="AH1086" s="46" t="s">
        <v>588</v>
      </c>
      <c r="AI1086" s="46" t="s">
        <v>1175</v>
      </c>
      <c r="AJ1086" s="46" t="s">
        <v>376</v>
      </c>
      <c r="AK1086" s="46" t="s">
        <v>658</v>
      </c>
      <c r="AL1086" s="46" t="s">
        <v>1073</v>
      </c>
      <c r="AM1086" s="46" t="s">
        <v>1074</v>
      </c>
      <c r="AN1086" s="46" t="s">
        <v>376</v>
      </c>
      <c r="AO1086" s="46" t="s">
        <v>658</v>
      </c>
      <c r="AP1086" s="46"/>
      <c r="AQ1086" s="46">
        <v>2</v>
      </c>
      <c r="AR1086" s="46"/>
      <c r="AS1086" s="46"/>
      <c r="AT1086" s="46"/>
      <c r="AU1086" s="46" t="s">
        <v>376</v>
      </c>
      <c r="AV1086" s="46"/>
      <c r="AW1086" s="46" t="s">
        <v>30</v>
      </c>
      <c r="AX1086" s="46"/>
      <c r="AY1086" s="46" t="s">
        <v>30</v>
      </c>
      <c r="AZ1086" s="46"/>
      <c r="BA1086" s="47"/>
      <c r="BB1086" s="51"/>
      <c r="BC1086" s="46"/>
      <c r="BD1086" s="46"/>
      <c r="BE1086" s="46"/>
      <c r="BF1086" s="46">
        <v>1</v>
      </c>
      <c r="BG1086" s="46">
        <v>1</v>
      </c>
      <c r="BH1086" s="46">
        <v>1</v>
      </c>
      <c r="BI1086" s="46" t="s">
        <v>588</v>
      </c>
      <c r="BJ1086" s="46" t="s">
        <v>1072</v>
      </c>
      <c r="BK1086" s="46">
        <v>1988</v>
      </c>
      <c r="BL1086" s="46" t="str">
        <f>BK1086&amp;BI1086</f>
        <v>1988Liverpool</v>
      </c>
      <c r="BM1086" s="52" t="str">
        <f>IF(AD1086="Home",BI1086,IF(AD1086="Away",BJ1086,Q1086))</f>
        <v>Sheffield</v>
      </c>
      <c r="BN1086" s="46"/>
      <c r="BO1086" s="46"/>
      <c r="BP1086" s="46"/>
      <c r="BQ1086" s="46"/>
      <c r="BR1086" s="46"/>
      <c r="BS1086" s="46"/>
      <c r="BT1086" s="46"/>
      <c r="BU1086" s="46"/>
      <c r="BV1086" s="46" t="s">
        <v>376</v>
      </c>
      <c r="BW1086" s="46" t="s">
        <v>376</v>
      </c>
      <c r="BX1086" s="46"/>
      <c r="BY1086" s="50"/>
      <c r="BZ1086" s="53"/>
      <c r="CA1086" s="53"/>
      <c r="CB1086" s="93" t="str">
        <f>IF(OR(C1086="",A1086="",B1086=""),"",TEXT(C1086,"0000")&amp;TEXT(A1086,"00")&amp;TEXT(B1086,"00"))</f>
        <v>19880409</v>
      </c>
    </row>
    <row r="1087" spans="1:80" s="52" customFormat="1" ht="12.95" customHeight="1" x14ac:dyDescent="0.2">
      <c r="A1087" s="46">
        <v>4</v>
      </c>
      <c r="B1087" s="46">
        <v>9</v>
      </c>
      <c r="C1087" s="46">
        <v>1988</v>
      </c>
      <c r="D1087" s="46" t="s">
        <v>658</v>
      </c>
      <c r="E1087" s="46" t="s">
        <v>523</v>
      </c>
      <c r="F1087" s="47" t="s">
        <v>1010</v>
      </c>
      <c r="G1087" s="46"/>
      <c r="H1087" s="47" t="s">
        <v>1011</v>
      </c>
      <c r="I1087" s="47"/>
      <c r="J1087" s="48">
        <v>32242</v>
      </c>
      <c r="K1087" s="46" t="s">
        <v>1072</v>
      </c>
      <c r="L1087" s="46" t="s">
        <v>4</v>
      </c>
      <c r="M1087" s="46" t="s">
        <v>588</v>
      </c>
      <c r="N1087" s="49">
        <v>1</v>
      </c>
      <c r="O1087" s="49">
        <v>2</v>
      </c>
      <c r="P1087" s="47" t="s">
        <v>1252</v>
      </c>
      <c r="Q1087" s="47" t="s">
        <v>1097</v>
      </c>
      <c r="R1087" s="47" t="s">
        <v>376</v>
      </c>
      <c r="S1087" s="46"/>
      <c r="T1087" s="46"/>
      <c r="U1087" s="46"/>
      <c r="V1087" s="46"/>
      <c r="W1087" s="46"/>
      <c r="X1087" s="46"/>
      <c r="Y1087" s="46"/>
      <c r="Z1087" s="46"/>
      <c r="AA1087" s="46"/>
      <c r="AB1087" s="46"/>
      <c r="AC1087" s="46"/>
      <c r="AD1087" s="46"/>
      <c r="AE1087" s="50">
        <f>IF(L1087="W",1,0)</f>
        <v>0</v>
      </c>
      <c r="AF1087" s="50">
        <f>IF(L1087="T",1,0)</f>
        <v>0</v>
      </c>
      <c r="AG1087" s="50">
        <f>IF(L1087="L",1,0)</f>
        <v>1</v>
      </c>
      <c r="AH1087" s="46" t="s">
        <v>1073</v>
      </c>
      <c r="AI1087" s="46" t="s">
        <v>1074</v>
      </c>
      <c r="AJ1087" s="46" t="s">
        <v>376</v>
      </c>
      <c r="AK1087" s="46" t="s">
        <v>658</v>
      </c>
      <c r="AL1087" s="46" t="s">
        <v>588</v>
      </c>
      <c r="AM1087" s="46" t="s">
        <v>1175</v>
      </c>
      <c r="AN1087" s="46" t="s">
        <v>376</v>
      </c>
      <c r="AO1087" s="46" t="s">
        <v>658</v>
      </c>
      <c r="AP1087" s="46"/>
      <c r="AQ1087" s="46">
        <v>2</v>
      </c>
      <c r="AR1087" s="46"/>
      <c r="AS1087" s="46"/>
      <c r="AT1087" s="46"/>
      <c r="AU1087" s="46" t="s">
        <v>376</v>
      </c>
      <c r="AV1087" s="46"/>
      <c r="AW1087" s="46" t="s">
        <v>30</v>
      </c>
      <c r="AX1087" s="46"/>
      <c r="AY1087" s="46" t="s">
        <v>30</v>
      </c>
      <c r="AZ1087" s="46"/>
      <c r="BA1087" s="47"/>
      <c r="BB1087" s="51"/>
      <c r="BC1087" s="46"/>
      <c r="BD1087" s="46"/>
      <c r="BE1087" s="46"/>
      <c r="BF1087" s="46">
        <v>1</v>
      </c>
      <c r="BG1087" s="46">
        <v>1</v>
      </c>
      <c r="BH1087" s="46">
        <v>1</v>
      </c>
      <c r="BI1087" s="46" t="s">
        <v>1072</v>
      </c>
      <c r="BJ1087" s="46" t="s">
        <v>588</v>
      </c>
      <c r="BK1087" s="46">
        <v>1988</v>
      </c>
      <c r="BL1087" s="46" t="str">
        <f>BK1087&amp;BI1087</f>
        <v>1988Nottingham Forest</v>
      </c>
      <c r="BM1087" s="52" t="str">
        <f>IF(AD1087="Home",BI1087,IF(AD1087="Away",BJ1087,Q1087))</f>
        <v>Sheffield</v>
      </c>
      <c r="BN1087" s="46"/>
      <c r="BO1087" s="46"/>
      <c r="BP1087" s="46"/>
      <c r="BQ1087" s="46"/>
      <c r="BR1087" s="46"/>
      <c r="BS1087" s="46"/>
      <c r="BT1087" s="46"/>
      <c r="BU1087" s="46"/>
      <c r="BV1087" s="46" t="s">
        <v>376</v>
      </c>
      <c r="BW1087" s="46" t="s">
        <v>376</v>
      </c>
      <c r="BX1087" s="46"/>
      <c r="BY1087" s="50"/>
      <c r="BZ1087" s="53"/>
      <c r="CA1087" s="53"/>
      <c r="CB1087" s="93" t="str">
        <f>IF(OR(C1087="",A1087="",B1087=""),"",TEXT(C1087,"0000")&amp;TEXT(A1087,"00")&amp;TEXT(B1087,"00"))</f>
        <v>19880409</v>
      </c>
    </row>
    <row r="1088" spans="1:80" s="52" customFormat="1" ht="12.95" customHeight="1" x14ac:dyDescent="0.2">
      <c r="A1088" s="46">
        <v>4</v>
      </c>
      <c r="B1088" s="46">
        <v>9</v>
      </c>
      <c r="C1088" s="46">
        <v>1988</v>
      </c>
      <c r="D1088" s="46" t="s">
        <v>658</v>
      </c>
      <c r="E1088" s="46" t="s">
        <v>523</v>
      </c>
      <c r="F1088" s="47" t="s">
        <v>1010</v>
      </c>
      <c r="G1088" s="46"/>
      <c r="H1088" s="47" t="s">
        <v>1011</v>
      </c>
      <c r="I1088" s="47"/>
      <c r="J1088" s="48">
        <v>32242</v>
      </c>
      <c r="K1088" s="46" t="s">
        <v>1387</v>
      </c>
      <c r="L1088" s="46" t="s">
        <v>3</v>
      </c>
      <c r="M1088" s="46" t="s">
        <v>1322</v>
      </c>
      <c r="N1088" s="49">
        <v>2</v>
      </c>
      <c r="O1088" s="49">
        <v>1</v>
      </c>
      <c r="P1088" s="47" t="s">
        <v>1222</v>
      </c>
      <c r="Q1088" s="47" t="s">
        <v>1017</v>
      </c>
      <c r="R1088" s="47" t="s">
        <v>376</v>
      </c>
      <c r="S1088" s="46"/>
      <c r="T1088" s="46"/>
      <c r="U1088" s="46"/>
      <c r="V1088" s="46"/>
      <c r="W1088" s="46"/>
      <c r="X1088" s="46"/>
      <c r="Y1088" s="46"/>
      <c r="Z1088" s="46"/>
      <c r="AA1088" s="46"/>
      <c r="AB1088" s="46"/>
      <c r="AC1088" s="46"/>
      <c r="AD1088" s="46"/>
      <c r="AE1088" s="50">
        <f>IF(L1088="W",1,0)</f>
        <v>1</v>
      </c>
      <c r="AF1088" s="50">
        <f>IF(L1088="T",1,0)</f>
        <v>0</v>
      </c>
      <c r="AG1088" s="50">
        <f>IF(L1088="L",1,0)</f>
        <v>0</v>
      </c>
      <c r="AH1088" s="46" t="s">
        <v>1017</v>
      </c>
      <c r="AI1088" s="46" t="s">
        <v>1018</v>
      </c>
      <c r="AJ1088" s="46" t="s">
        <v>376</v>
      </c>
      <c r="AK1088" s="46" t="s">
        <v>658</v>
      </c>
      <c r="AL1088" s="46" t="s">
        <v>1325</v>
      </c>
      <c r="AM1088" s="46" t="s">
        <v>1326</v>
      </c>
      <c r="AN1088" s="46" t="s">
        <v>376</v>
      </c>
      <c r="AO1088" s="46" t="s">
        <v>658</v>
      </c>
      <c r="AP1088" s="46"/>
      <c r="AQ1088" s="46">
        <v>2</v>
      </c>
      <c r="AR1088" s="46"/>
      <c r="AS1088" s="46"/>
      <c r="AT1088" s="46"/>
      <c r="AU1088" s="46" t="s">
        <v>376</v>
      </c>
      <c r="AV1088" s="46"/>
      <c r="AW1088" s="46" t="s">
        <v>30</v>
      </c>
      <c r="AX1088" s="46"/>
      <c r="AY1088" s="46" t="s">
        <v>30</v>
      </c>
      <c r="AZ1088" s="46"/>
      <c r="BA1088" s="47"/>
      <c r="BB1088" s="51"/>
      <c r="BC1088" s="46"/>
      <c r="BD1088" s="46"/>
      <c r="BE1088" s="46"/>
      <c r="BF1088" s="46">
        <v>1</v>
      </c>
      <c r="BG1088" s="46">
        <v>1</v>
      </c>
      <c r="BH1088" s="46">
        <v>1</v>
      </c>
      <c r="BI1088" s="46" t="s">
        <v>1388</v>
      </c>
      <c r="BJ1088" s="46" t="s">
        <v>1322</v>
      </c>
      <c r="BK1088" s="46">
        <v>1988</v>
      </c>
      <c r="BL1088" s="46" t="str">
        <f>BK1088&amp;BI1088</f>
        <v>1988Milton Keynes Dons</v>
      </c>
      <c r="BM1088" s="52" t="str">
        <f>IF(AD1088="Home",BI1088,IF(AD1088="Away",BJ1088,Q1088))</f>
        <v>London</v>
      </c>
      <c r="BN1088" s="46"/>
      <c r="BO1088" s="46"/>
      <c r="BP1088" s="46"/>
      <c r="BQ1088" s="46"/>
      <c r="BR1088" s="46"/>
      <c r="BS1088" s="46"/>
      <c r="BT1088" s="46"/>
      <c r="BU1088" s="46"/>
      <c r="BV1088" s="46" t="s">
        <v>376</v>
      </c>
      <c r="BW1088" s="46" t="s">
        <v>376</v>
      </c>
      <c r="BX1088" s="46"/>
      <c r="BZ1088" s="53"/>
      <c r="CA1088" s="53"/>
      <c r="CB1088" s="93" t="str">
        <f>IF(OR(C1088="",A1088="",B1088=""),"",TEXT(C1088,"0000")&amp;TEXT(A1088,"00")&amp;TEXT(B1088,"00"))</f>
        <v>19880409</v>
      </c>
    </row>
    <row r="1089" spans="1:80" s="52" customFormat="1" ht="12.95" customHeight="1" x14ac:dyDescent="0.2">
      <c r="A1089" s="46">
        <v>4</v>
      </c>
      <c r="B1089" s="46">
        <v>9</v>
      </c>
      <c r="C1089" s="46">
        <v>1988</v>
      </c>
      <c r="D1089" s="46" t="s">
        <v>658</v>
      </c>
      <c r="E1089" s="46" t="s">
        <v>523</v>
      </c>
      <c r="F1089" s="47" t="s">
        <v>1010</v>
      </c>
      <c r="G1089" s="46"/>
      <c r="H1089" s="47" t="s">
        <v>1011</v>
      </c>
      <c r="I1089" s="47"/>
      <c r="J1089" s="48">
        <v>32242</v>
      </c>
      <c r="K1089" s="46" t="s">
        <v>1322</v>
      </c>
      <c r="L1089" s="46" t="s">
        <v>4</v>
      </c>
      <c r="M1089" s="46" t="s">
        <v>1387</v>
      </c>
      <c r="N1089" s="49">
        <v>1</v>
      </c>
      <c r="O1089" s="49">
        <v>2</v>
      </c>
      <c r="P1089" s="47" t="s">
        <v>1222</v>
      </c>
      <c r="Q1089" s="47" t="s">
        <v>1017</v>
      </c>
      <c r="R1089" s="47" t="s">
        <v>376</v>
      </c>
      <c r="S1089" s="46"/>
      <c r="T1089" s="46"/>
      <c r="U1089" s="46"/>
      <c r="V1089" s="46"/>
      <c r="W1089" s="46"/>
      <c r="X1089" s="46"/>
      <c r="Y1089" s="46"/>
      <c r="Z1089" s="46"/>
      <c r="AA1089" s="46"/>
      <c r="AB1089" s="46"/>
      <c r="AC1089" s="46"/>
      <c r="AD1089" s="46"/>
      <c r="AE1089" s="50">
        <f>IF(L1089="W",1,0)</f>
        <v>0</v>
      </c>
      <c r="AF1089" s="50">
        <f>IF(L1089="T",1,0)</f>
        <v>0</v>
      </c>
      <c r="AG1089" s="50">
        <f>IF(L1089="L",1,0)</f>
        <v>1</v>
      </c>
      <c r="AH1089" s="46" t="s">
        <v>1325</v>
      </c>
      <c r="AI1089" s="46" t="s">
        <v>1326</v>
      </c>
      <c r="AJ1089" s="46" t="s">
        <v>376</v>
      </c>
      <c r="AK1089" s="46" t="s">
        <v>658</v>
      </c>
      <c r="AL1089" s="46" t="s">
        <v>1017</v>
      </c>
      <c r="AM1089" s="46" t="s">
        <v>1018</v>
      </c>
      <c r="AN1089" s="46" t="s">
        <v>376</v>
      </c>
      <c r="AO1089" s="46" t="s">
        <v>658</v>
      </c>
      <c r="AP1089" s="46"/>
      <c r="AQ1089" s="46">
        <v>2</v>
      </c>
      <c r="AR1089" s="46"/>
      <c r="AS1089" s="46"/>
      <c r="AT1089" s="46"/>
      <c r="AU1089" s="46" t="s">
        <v>376</v>
      </c>
      <c r="AV1089" s="46"/>
      <c r="AW1089" s="46" t="s">
        <v>30</v>
      </c>
      <c r="AX1089" s="46"/>
      <c r="AY1089" s="46" t="s">
        <v>30</v>
      </c>
      <c r="AZ1089" s="46"/>
      <c r="BA1089" s="47"/>
      <c r="BB1089" s="51"/>
      <c r="BC1089" s="46"/>
      <c r="BD1089" s="46"/>
      <c r="BE1089" s="46"/>
      <c r="BF1089" s="46">
        <v>1</v>
      </c>
      <c r="BG1089" s="46">
        <v>1</v>
      </c>
      <c r="BH1089" s="46">
        <v>1</v>
      </c>
      <c r="BI1089" s="46" t="s">
        <v>1322</v>
      </c>
      <c r="BJ1089" s="46" t="s">
        <v>1388</v>
      </c>
      <c r="BK1089" s="46">
        <v>1988</v>
      </c>
      <c r="BL1089" s="46" t="str">
        <f>BK1089&amp;BI1089</f>
        <v>1988Luton Town</v>
      </c>
      <c r="BM1089" s="52" t="str">
        <f>IF(AD1089="Home",BI1089,IF(AD1089="Away",BJ1089,Q1089))</f>
        <v>London</v>
      </c>
      <c r="BN1089" s="46"/>
      <c r="BO1089" s="46"/>
      <c r="BP1089" s="46"/>
      <c r="BQ1089" s="46"/>
      <c r="BR1089" s="46"/>
      <c r="BS1089" s="46"/>
      <c r="BT1089" s="46"/>
      <c r="BU1089" s="46"/>
      <c r="BV1089" s="46" t="s">
        <v>376</v>
      </c>
      <c r="BW1089" s="46" t="s">
        <v>376</v>
      </c>
      <c r="BX1089" s="46"/>
      <c r="BZ1089" s="53"/>
      <c r="CA1089" s="53"/>
      <c r="CB1089" s="93" t="str">
        <f>IF(OR(C1089="",A1089="",B1089=""),"",TEXT(C1089,"0000")&amp;TEXT(A1089,"00")&amp;TEXT(B1089,"00"))</f>
        <v>19880409</v>
      </c>
    </row>
    <row r="1090" spans="1:80" s="52" customFormat="1" ht="12.95" customHeight="1" x14ac:dyDescent="0.2">
      <c r="A1090" s="46">
        <v>4</v>
      </c>
      <c r="B1090" s="46">
        <v>24</v>
      </c>
      <c r="C1090" s="46">
        <v>1988</v>
      </c>
      <c r="D1090" s="46" t="s">
        <v>658</v>
      </c>
      <c r="E1090" s="46" t="s">
        <v>523</v>
      </c>
      <c r="F1090" s="54" t="s">
        <v>1327</v>
      </c>
      <c r="G1090" s="46"/>
      <c r="H1090" s="54" t="s">
        <v>40</v>
      </c>
      <c r="I1090" s="54"/>
      <c r="J1090" s="55">
        <v>32257</v>
      </c>
      <c r="K1090" s="46" t="s">
        <v>1322</v>
      </c>
      <c r="L1090" s="46" t="s">
        <v>3</v>
      </c>
      <c r="M1090" s="46" t="s">
        <v>587</v>
      </c>
      <c r="N1090" s="49">
        <v>3</v>
      </c>
      <c r="O1090" s="49">
        <v>2</v>
      </c>
      <c r="P1090" s="54" t="s">
        <v>1268</v>
      </c>
      <c r="Q1090" s="54" t="s">
        <v>1017</v>
      </c>
      <c r="R1090" s="54" t="s">
        <v>376</v>
      </c>
      <c r="S1090" s="46"/>
      <c r="T1090" s="46"/>
      <c r="U1090" s="46"/>
      <c r="V1090" s="46"/>
      <c r="W1090" s="46"/>
      <c r="X1090" s="46"/>
      <c r="Y1090" s="46"/>
      <c r="Z1090" s="46"/>
      <c r="AA1090" s="46"/>
      <c r="AB1090" s="46"/>
      <c r="AC1090" s="46"/>
      <c r="AD1090" s="46"/>
      <c r="AE1090" s="50">
        <f>IF(L1090="W",1,0)</f>
        <v>1</v>
      </c>
      <c r="AF1090" s="50">
        <f>IF(L1090="T",1,0)</f>
        <v>0</v>
      </c>
      <c r="AG1090" s="50">
        <f>IF(L1090="L",1,0)</f>
        <v>0</v>
      </c>
      <c r="AH1090" s="46" t="s">
        <v>1325</v>
      </c>
      <c r="AI1090" s="46" t="s">
        <v>1326</v>
      </c>
      <c r="AJ1090" s="46" t="s">
        <v>376</v>
      </c>
      <c r="AK1090" s="46" t="s">
        <v>658</v>
      </c>
      <c r="AL1090" s="46" t="s">
        <v>1017</v>
      </c>
      <c r="AM1090" s="46" t="s">
        <v>1018</v>
      </c>
      <c r="AN1090" s="46" t="s">
        <v>376</v>
      </c>
      <c r="AO1090" s="46" t="s">
        <v>658</v>
      </c>
      <c r="AP1090" s="46"/>
      <c r="AQ1090" s="46">
        <v>1</v>
      </c>
      <c r="AR1090" s="46"/>
      <c r="AS1090" s="46"/>
      <c r="AT1090" s="46"/>
      <c r="AU1090" s="46" t="s">
        <v>376</v>
      </c>
      <c r="AV1090" s="46"/>
      <c r="AW1090" s="46" t="s">
        <v>30</v>
      </c>
      <c r="AX1090" s="46"/>
      <c r="AY1090" s="46"/>
      <c r="AZ1090" s="46" t="s">
        <v>30</v>
      </c>
      <c r="BA1090" s="54"/>
      <c r="BB1090" s="51" t="s">
        <v>30</v>
      </c>
      <c r="BC1090" s="46" t="s">
        <v>30</v>
      </c>
      <c r="BD1090" s="46"/>
      <c r="BE1090" s="46"/>
      <c r="BF1090" s="46">
        <v>1</v>
      </c>
      <c r="BG1090" s="46">
        <v>1</v>
      </c>
      <c r="BH1090" s="46">
        <v>1</v>
      </c>
      <c r="BI1090" s="46" t="s">
        <v>1322</v>
      </c>
      <c r="BJ1090" s="46" t="s">
        <v>587</v>
      </c>
      <c r="BK1090" s="46">
        <v>1988</v>
      </c>
      <c r="BL1090" s="46" t="str">
        <f>BK1090&amp;BI1090</f>
        <v>1988Luton Town</v>
      </c>
      <c r="BM1090" s="52" t="str">
        <f>IF(AD1090="Home",BI1090,IF(AD1090="Away",BJ1090,Q1090))</f>
        <v>London</v>
      </c>
      <c r="BN1090" s="46"/>
      <c r="BO1090" s="46"/>
      <c r="BP1090" s="46"/>
      <c r="BQ1090" s="46"/>
      <c r="BR1090" s="46"/>
      <c r="BS1090" s="46"/>
      <c r="BT1090" s="46"/>
      <c r="BU1090" s="46"/>
      <c r="BV1090" s="46" t="s">
        <v>376</v>
      </c>
      <c r="BW1090" s="46" t="s">
        <v>376</v>
      </c>
      <c r="BX1090" s="46"/>
      <c r="BZ1090" s="53"/>
      <c r="CA1090" s="53"/>
      <c r="CB1090" s="93" t="str">
        <f>IF(OR(C1090="",A1090="",B1090=""),"",TEXT(C1090,"0000")&amp;TEXT(A1090,"00")&amp;TEXT(B1090,"00"))</f>
        <v>19880424</v>
      </c>
    </row>
    <row r="1091" spans="1:80" s="52" customFormat="1" ht="12.95" customHeight="1" x14ac:dyDescent="0.2">
      <c r="A1091" s="46">
        <v>4</v>
      </c>
      <c r="B1091" s="46">
        <v>24</v>
      </c>
      <c r="C1091" s="46">
        <v>1988</v>
      </c>
      <c r="D1091" s="46" t="s">
        <v>658</v>
      </c>
      <c r="E1091" s="46" t="s">
        <v>523</v>
      </c>
      <c r="F1091" s="54" t="s">
        <v>1327</v>
      </c>
      <c r="G1091" s="46"/>
      <c r="H1091" s="54" t="s">
        <v>40</v>
      </c>
      <c r="I1091" s="54"/>
      <c r="J1091" s="55">
        <v>32257</v>
      </c>
      <c r="K1091" s="46" t="s">
        <v>587</v>
      </c>
      <c r="L1091" s="46" t="s">
        <v>4</v>
      </c>
      <c r="M1091" s="46" t="s">
        <v>1322</v>
      </c>
      <c r="N1091" s="49">
        <v>2</v>
      </c>
      <c r="O1091" s="49">
        <v>3</v>
      </c>
      <c r="P1091" s="54" t="s">
        <v>1268</v>
      </c>
      <c r="Q1091" s="54" t="s">
        <v>1017</v>
      </c>
      <c r="R1091" s="54" t="s">
        <v>376</v>
      </c>
      <c r="S1091" s="46"/>
      <c r="T1091" s="46"/>
      <c r="U1091" s="46"/>
      <c r="V1091" s="46"/>
      <c r="W1091" s="46"/>
      <c r="X1091" s="46"/>
      <c r="Y1091" s="46"/>
      <c r="Z1091" s="46"/>
      <c r="AA1091" s="46"/>
      <c r="AB1091" s="46"/>
      <c r="AC1091" s="46"/>
      <c r="AD1091" s="46"/>
      <c r="AE1091" s="50">
        <f>IF(L1091="W",1,0)</f>
        <v>0</v>
      </c>
      <c r="AF1091" s="50">
        <f>IF(L1091="T",1,0)</f>
        <v>0</v>
      </c>
      <c r="AG1091" s="50">
        <f>IF(L1091="L",1,0)</f>
        <v>1</v>
      </c>
      <c r="AH1091" s="46" t="s">
        <v>1017</v>
      </c>
      <c r="AI1091" s="46" t="s">
        <v>1018</v>
      </c>
      <c r="AJ1091" s="46" t="s">
        <v>376</v>
      </c>
      <c r="AK1091" s="46" t="s">
        <v>658</v>
      </c>
      <c r="AL1091" s="46" t="s">
        <v>1325</v>
      </c>
      <c r="AM1091" s="46" t="s">
        <v>1326</v>
      </c>
      <c r="AN1091" s="46" t="s">
        <v>376</v>
      </c>
      <c r="AO1091" s="46" t="s">
        <v>658</v>
      </c>
      <c r="AP1091" s="46"/>
      <c r="AQ1091" s="46">
        <v>1</v>
      </c>
      <c r="AR1091" s="46"/>
      <c r="AS1091" s="46"/>
      <c r="AT1091" s="46"/>
      <c r="AU1091" s="46" t="s">
        <v>376</v>
      </c>
      <c r="AV1091" s="46"/>
      <c r="AW1091" s="46" t="s">
        <v>30</v>
      </c>
      <c r="AX1091" s="46"/>
      <c r="AY1091" s="46"/>
      <c r="AZ1091" s="46" t="s">
        <v>30</v>
      </c>
      <c r="BA1091" s="54"/>
      <c r="BB1091" s="51"/>
      <c r="BC1091" s="46" t="s">
        <v>30</v>
      </c>
      <c r="BD1091" s="46"/>
      <c r="BE1091" s="46"/>
      <c r="BF1091" s="46">
        <v>1</v>
      </c>
      <c r="BG1091" s="46">
        <v>1</v>
      </c>
      <c r="BH1091" s="46">
        <v>1</v>
      </c>
      <c r="BI1091" s="46" t="s">
        <v>587</v>
      </c>
      <c r="BJ1091" s="46" t="s">
        <v>1322</v>
      </c>
      <c r="BK1091" s="46">
        <v>1988</v>
      </c>
      <c r="BL1091" s="46" t="str">
        <f>BK1091&amp;BI1091</f>
        <v>1988Arsenal</v>
      </c>
      <c r="BM1091" s="52" t="str">
        <f>IF(AD1091="Home",BI1091,IF(AD1091="Away",BJ1091,Q1091))</f>
        <v>London</v>
      </c>
      <c r="BN1091" s="46"/>
      <c r="BO1091" s="46"/>
      <c r="BP1091" s="46"/>
      <c r="BQ1091" s="46"/>
      <c r="BR1091" s="46"/>
      <c r="BS1091" s="46"/>
      <c r="BT1091" s="46"/>
      <c r="BU1091" s="46"/>
      <c r="BV1091" s="46" t="s">
        <v>376</v>
      </c>
      <c r="BW1091" s="46" t="s">
        <v>376</v>
      </c>
      <c r="BX1091" s="46"/>
      <c r="BZ1091" s="53"/>
      <c r="CA1091" s="53"/>
      <c r="CB1091" s="93" t="str">
        <f>IF(OR(C1091="",A1091="",B1091=""),"",TEXT(C1091,"0000")&amp;TEXT(A1091,"00")&amp;TEXT(B1091,"00"))</f>
        <v>19880424</v>
      </c>
    </row>
    <row r="1092" spans="1:80" s="52" customFormat="1" ht="12.95" customHeight="1" x14ac:dyDescent="0.2">
      <c r="A1092" s="46">
        <v>5</v>
      </c>
      <c r="B1092" s="46">
        <v>14</v>
      </c>
      <c r="C1092" s="46">
        <v>1988</v>
      </c>
      <c r="D1092" s="46" t="s">
        <v>658</v>
      </c>
      <c r="E1092" s="46" t="s">
        <v>523</v>
      </c>
      <c r="F1092" s="47" t="s">
        <v>1010</v>
      </c>
      <c r="G1092" s="46"/>
      <c r="H1092" s="47" t="s">
        <v>1025</v>
      </c>
      <c r="I1092" s="47"/>
      <c r="J1092" s="48">
        <v>32277</v>
      </c>
      <c r="K1092" s="46" t="s">
        <v>1387</v>
      </c>
      <c r="L1092" s="46" t="s">
        <v>3</v>
      </c>
      <c r="M1092" s="46" t="s">
        <v>588</v>
      </c>
      <c r="N1092" s="49">
        <v>1</v>
      </c>
      <c r="O1092" s="49">
        <v>0</v>
      </c>
      <c r="P1092" s="47" t="s">
        <v>1268</v>
      </c>
      <c r="Q1092" s="47" t="s">
        <v>1017</v>
      </c>
      <c r="R1092" s="47" t="s">
        <v>376</v>
      </c>
      <c r="S1092" s="46"/>
      <c r="T1092" s="46"/>
      <c r="U1092" s="46"/>
      <c r="V1092" s="46"/>
      <c r="W1092" s="46"/>
      <c r="X1092" s="46"/>
      <c r="Y1092" s="46"/>
      <c r="Z1092" s="46"/>
      <c r="AA1092" s="46"/>
      <c r="AB1092" s="46"/>
      <c r="AC1092" s="46"/>
      <c r="AD1092" s="46"/>
      <c r="AE1092" s="50">
        <f>IF(L1092="W",1,0)</f>
        <v>1</v>
      </c>
      <c r="AF1092" s="50">
        <f>IF(L1092="T",1,0)</f>
        <v>0</v>
      </c>
      <c r="AG1092" s="50">
        <f>IF(L1092="L",1,0)</f>
        <v>0</v>
      </c>
      <c r="AH1092" s="46" t="s">
        <v>1017</v>
      </c>
      <c r="AI1092" s="46" t="s">
        <v>1018</v>
      </c>
      <c r="AJ1092" s="46" t="s">
        <v>376</v>
      </c>
      <c r="AK1092" s="46" t="s">
        <v>658</v>
      </c>
      <c r="AL1092" s="46" t="s">
        <v>588</v>
      </c>
      <c r="AM1092" s="46" t="s">
        <v>1175</v>
      </c>
      <c r="AN1092" s="46" t="s">
        <v>376</v>
      </c>
      <c r="AO1092" s="46" t="s">
        <v>658</v>
      </c>
      <c r="AP1092" s="46"/>
      <c r="AQ1092" s="46">
        <v>1</v>
      </c>
      <c r="AR1092" s="46"/>
      <c r="AS1092" s="46"/>
      <c r="AT1092" s="46"/>
      <c r="AU1092" s="46" t="s">
        <v>376</v>
      </c>
      <c r="AV1092" s="46"/>
      <c r="AW1092" s="46" t="s">
        <v>30</v>
      </c>
      <c r="AX1092" s="46"/>
      <c r="AY1092" s="46" t="s">
        <v>30</v>
      </c>
      <c r="AZ1092" s="46"/>
      <c r="BA1092" s="47"/>
      <c r="BB1092" s="51" t="s">
        <v>30</v>
      </c>
      <c r="BC1092" s="46" t="s">
        <v>30</v>
      </c>
      <c r="BD1092" s="46"/>
      <c r="BE1092" s="46"/>
      <c r="BF1092" s="46">
        <v>1</v>
      </c>
      <c r="BG1092" s="46">
        <v>1</v>
      </c>
      <c r="BH1092" s="46">
        <v>1</v>
      </c>
      <c r="BI1092" s="46" t="s">
        <v>1388</v>
      </c>
      <c r="BJ1092" s="46" t="s">
        <v>588</v>
      </c>
      <c r="BK1092" s="46">
        <v>1988</v>
      </c>
      <c r="BL1092" s="46" t="str">
        <f>BK1092&amp;BI1092</f>
        <v>1988Milton Keynes Dons</v>
      </c>
      <c r="BM1092" s="52" t="str">
        <f>IF(AD1092="Home",BI1092,IF(AD1092="Away",BJ1092,Q1092))</f>
        <v>London</v>
      </c>
      <c r="BN1092" s="46"/>
      <c r="BO1092" s="46"/>
      <c r="BP1092" s="46"/>
      <c r="BQ1092" s="46"/>
      <c r="BR1092" s="46"/>
      <c r="BS1092" s="46"/>
      <c r="BT1092" s="46"/>
      <c r="BU1092" s="46"/>
      <c r="BV1092" s="46" t="s">
        <v>376</v>
      </c>
      <c r="BW1092" s="46" t="s">
        <v>376</v>
      </c>
      <c r="BX1092" s="46"/>
      <c r="BZ1092" s="53"/>
      <c r="CA1092" s="53"/>
      <c r="CB1092" s="93" t="str">
        <f>IF(OR(C1092="",A1092="",B1092=""),"",TEXT(C1092,"0000")&amp;TEXT(A1092,"00")&amp;TEXT(B1092,"00"))</f>
        <v>19880514</v>
      </c>
    </row>
    <row r="1093" spans="1:80" s="52" customFormat="1" ht="12.95" customHeight="1" x14ac:dyDescent="0.2">
      <c r="A1093" s="46">
        <v>5</v>
      </c>
      <c r="B1093" s="46">
        <v>14</v>
      </c>
      <c r="C1093" s="46">
        <v>1988</v>
      </c>
      <c r="D1093" s="46" t="s">
        <v>658</v>
      </c>
      <c r="E1093" s="46" t="s">
        <v>523</v>
      </c>
      <c r="F1093" s="47" t="s">
        <v>1010</v>
      </c>
      <c r="G1093" s="46"/>
      <c r="H1093" s="47" t="s">
        <v>1025</v>
      </c>
      <c r="I1093" s="47"/>
      <c r="J1093" s="48">
        <v>32277</v>
      </c>
      <c r="K1093" s="46" t="s">
        <v>588</v>
      </c>
      <c r="L1093" s="46" t="s">
        <v>4</v>
      </c>
      <c r="M1093" s="46" t="s">
        <v>1387</v>
      </c>
      <c r="N1093" s="49">
        <v>0</v>
      </c>
      <c r="O1093" s="49">
        <v>1</v>
      </c>
      <c r="P1093" s="47" t="s">
        <v>1268</v>
      </c>
      <c r="Q1093" s="47" t="s">
        <v>1017</v>
      </c>
      <c r="R1093" s="47" t="s">
        <v>376</v>
      </c>
      <c r="S1093" s="46"/>
      <c r="T1093" s="46"/>
      <c r="U1093" s="46"/>
      <c r="V1093" s="46"/>
      <c r="W1093" s="46"/>
      <c r="X1093" s="46"/>
      <c r="Y1093" s="46"/>
      <c r="Z1093" s="46"/>
      <c r="AA1093" s="46"/>
      <c r="AB1093" s="46"/>
      <c r="AC1093" s="46"/>
      <c r="AD1093" s="46"/>
      <c r="AE1093" s="50">
        <f>IF(L1093="W",1,0)</f>
        <v>0</v>
      </c>
      <c r="AF1093" s="50">
        <f>IF(L1093="T",1,0)</f>
        <v>0</v>
      </c>
      <c r="AG1093" s="50">
        <f>IF(L1093="L",1,0)</f>
        <v>1</v>
      </c>
      <c r="AH1093" s="46" t="s">
        <v>588</v>
      </c>
      <c r="AI1093" s="46" t="s">
        <v>1175</v>
      </c>
      <c r="AJ1093" s="46" t="s">
        <v>376</v>
      </c>
      <c r="AK1093" s="46" t="s">
        <v>658</v>
      </c>
      <c r="AL1093" s="46" t="s">
        <v>1017</v>
      </c>
      <c r="AM1093" s="46" t="s">
        <v>1018</v>
      </c>
      <c r="AN1093" s="46" t="s">
        <v>376</v>
      </c>
      <c r="AO1093" s="46" t="s">
        <v>658</v>
      </c>
      <c r="AP1093" s="46"/>
      <c r="AQ1093" s="46">
        <v>1</v>
      </c>
      <c r="AR1093" s="46"/>
      <c r="AS1093" s="46"/>
      <c r="AT1093" s="46"/>
      <c r="AU1093" s="46" t="s">
        <v>376</v>
      </c>
      <c r="AV1093" s="46"/>
      <c r="AW1093" s="46" t="s">
        <v>30</v>
      </c>
      <c r="AX1093" s="46"/>
      <c r="AY1093" s="46" t="s">
        <v>30</v>
      </c>
      <c r="AZ1093" s="46"/>
      <c r="BA1093" s="47"/>
      <c r="BB1093" s="51"/>
      <c r="BC1093" s="46" t="s">
        <v>30</v>
      </c>
      <c r="BD1093" s="46"/>
      <c r="BE1093" s="46"/>
      <c r="BF1093" s="46">
        <v>1</v>
      </c>
      <c r="BG1093" s="46">
        <v>1</v>
      </c>
      <c r="BH1093" s="46">
        <v>1</v>
      </c>
      <c r="BI1093" s="46" t="s">
        <v>588</v>
      </c>
      <c r="BJ1093" s="46" t="s">
        <v>1388</v>
      </c>
      <c r="BK1093" s="46">
        <v>1988</v>
      </c>
      <c r="BL1093" s="46" t="str">
        <f>BK1093&amp;BI1093</f>
        <v>1988Liverpool</v>
      </c>
      <c r="BM1093" s="52" t="str">
        <f>IF(AD1093="Home",BI1093,IF(AD1093="Away",BJ1093,Q1093))</f>
        <v>London</v>
      </c>
      <c r="BN1093" s="46"/>
      <c r="BO1093" s="46"/>
      <c r="BP1093" s="46"/>
      <c r="BQ1093" s="46"/>
      <c r="BR1093" s="46"/>
      <c r="BS1093" s="46"/>
      <c r="BT1093" s="46"/>
      <c r="BU1093" s="46"/>
      <c r="BV1093" s="46" t="s">
        <v>376</v>
      </c>
      <c r="BW1093" s="46" t="s">
        <v>376</v>
      </c>
      <c r="BX1093" s="46"/>
      <c r="BZ1093" s="53"/>
      <c r="CA1093" s="53"/>
      <c r="CB1093" s="93" t="str">
        <f>IF(OR(C1093="",A1093="",B1093=""),"",TEXT(C1093,"0000")&amp;TEXT(A1093,"00")&amp;TEXT(B1093,"00"))</f>
        <v>19880514</v>
      </c>
    </row>
    <row r="1094" spans="1:80" s="52" customFormat="1" ht="12.95" customHeight="1" x14ac:dyDescent="0.2">
      <c r="A1094" s="46">
        <v>2</v>
      </c>
      <c r="B1094" s="46">
        <v>12</v>
      </c>
      <c r="C1094" s="46">
        <v>1989</v>
      </c>
      <c r="D1094" s="46" t="s">
        <v>658</v>
      </c>
      <c r="E1094" s="46" t="s">
        <v>514</v>
      </c>
      <c r="F1094" s="54" t="s">
        <v>1327</v>
      </c>
      <c r="G1094" s="46"/>
      <c r="H1094" s="54" t="s">
        <v>1011</v>
      </c>
      <c r="I1094" s="54">
        <v>1</v>
      </c>
      <c r="J1094" s="55">
        <v>32551</v>
      </c>
      <c r="K1094" s="46" t="s">
        <v>803</v>
      </c>
      <c r="L1094" s="46" t="s">
        <v>4</v>
      </c>
      <c r="M1094" s="46" t="s">
        <v>1322</v>
      </c>
      <c r="N1094" s="49">
        <v>0</v>
      </c>
      <c r="O1094" s="49">
        <v>3</v>
      </c>
      <c r="P1094" s="54" t="s">
        <v>1341</v>
      </c>
      <c r="Q1094" s="54" t="s">
        <v>1017</v>
      </c>
      <c r="R1094" s="54" t="s">
        <v>376</v>
      </c>
      <c r="S1094" s="46"/>
      <c r="T1094" s="46"/>
      <c r="U1094" s="46"/>
      <c r="V1094" s="46"/>
      <c r="W1094" s="46"/>
      <c r="X1094" s="46"/>
      <c r="Y1094" s="46"/>
      <c r="Z1094" s="46"/>
      <c r="AA1094" s="46"/>
      <c r="AB1094" s="46"/>
      <c r="AC1094" s="46"/>
      <c r="AD1094" s="46" t="s">
        <v>1033</v>
      </c>
      <c r="AE1094" s="50">
        <f>IF(L1094="W",1,0)</f>
        <v>0</v>
      </c>
      <c r="AF1094" s="50">
        <f>IF(L1094="T",1,0)</f>
        <v>0</v>
      </c>
      <c r="AG1094" s="50">
        <f>IF(L1094="L",1,0)</f>
        <v>1</v>
      </c>
      <c r="AH1094" s="46" t="s">
        <v>1017</v>
      </c>
      <c r="AI1094" s="46" t="s">
        <v>1018</v>
      </c>
      <c r="AJ1094" s="46" t="s">
        <v>376</v>
      </c>
      <c r="AK1094" s="46" t="s">
        <v>658</v>
      </c>
      <c r="AL1094" s="46" t="s">
        <v>1325</v>
      </c>
      <c r="AM1094" s="46" t="s">
        <v>1326</v>
      </c>
      <c r="AN1094" s="46" t="s">
        <v>376</v>
      </c>
      <c r="AO1094" s="46" t="s">
        <v>658</v>
      </c>
      <c r="AP1094" s="46"/>
      <c r="AQ1094" s="46">
        <v>2</v>
      </c>
      <c r="AR1094" s="46"/>
      <c r="AS1094" s="46"/>
      <c r="AT1094" s="46"/>
      <c r="AU1094" s="46" t="s">
        <v>376</v>
      </c>
      <c r="AV1094" s="46"/>
      <c r="AW1094" s="46" t="s">
        <v>30</v>
      </c>
      <c r="AX1094" s="46"/>
      <c r="AY1094" s="46"/>
      <c r="AZ1094" s="46" t="s">
        <v>30</v>
      </c>
      <c r="BA1094" s="54"/>
      <c r="BB1094" s="51"/>
      <c r="BC1094" s="46"/>
      <c r="BD1094" s="46"/>
      <c r="BE1094" s="46"/>
      <c r="BF1094" s="46">
        <v>1</v>
      </c>
      <c r="BG1094" s="46">
        <v>1</v>
      </c>
      <c r="BH1094" s="46">
        <v>1</v>
      </c>
      <c r="BI1094" s="46" t="s">
        <v>803</v>
      </c>
      <c r="BJ1094" s="46" t="s">
        <v>1322</v>
      </c>
      <c r="BK1094" s="46">
        <v>1989</v>
      </c>
      <c r="BL1094" s="46" t="str">
        <f>BK1094&amp;BI1094</f>
        <v>1989West Ham United</v>
      </c>
      <c r="BM1094" s="52" t="str">
        <f>IF(AD1094="Home",BI1094,IF(AD1094="Away",BJ1094,Q1094))</f>
        <v>West Ham United</v>
      </c>
      <c r="BN1094" s="46"/>
      <c r="BO1094" s="46"/>
      <c r="BP1094" s="46"/>
      <c r="BQ1094" s="46"/>
      <c r="BR1094" s="46"/>
      <c r="BS1094" s="46"/>
      <c r="BT1094" s="46"/>
      <c r="BU1094" s="46"/>
      <c r="BV1094" s="46" t="s">
        <v>376</v>
      </c>
      <c r="BW1094" s="46" t="s">
        <v>376</v>
      </c>
      <c r="BX1094" s="46"/>
      <c r="BZ1094" s="53"/>
      <c r="CA1094" s="53"/>
      <c r="CB1094" s="93" t="str">
        <f>IF(OR(C1094="",A1094="",B1094=""),"",TEXT(C1094,"0000")&amp;TEXT(A1094,"00")&amp;TEXT(B1094,"00"))</f>
        <v>19890212</v>
      </c>
    </row>
    <row r="1095" spans="1:80" s="52" customFormat="1" ht="12.95" customHeight="1" x14ac:dyDescent="0.2">
      <c r="A1095" s="46">
        <v>2</v>
      </c>
      <c r="B1095" s="46">
        <v>12</v>
      </c>
      <c r="C1095" s="46">
        <v>1989</v>
      </c>
      <c r="D1095" s="46" t="s">
        <v>658</v>
      </c>
      <c r="E1095" s="46" t="s">
        <v>514</v>
      </c>
      <c r="F1095" s="54" t="s">
        <v>1327</v>
      </c>
      <c r="G1095" s="46"/>
      <c r="H1095" s="54" t="s">
        <v>1011</v>
      </c>
      <c r="I1095" s="54">
        <v>1</v>
      </c>
      <c r="J1095" s="55">
        <v>32551</v>
      </c>
      <c r="K1095" s="46" t="s">
        <v>1322</v>
      </c>
      <c r="L1095" s="46" t="s">
        <v>3</v>
      </c>
      <c r="M1095" s="46" t="s">
        <v>803</v>
      </c>
      <c r="N1095" s="49">
        <v>3</v>
      </c>
      <c r="O1095" s="49">
        <v>0</v>
      </c>
      <c r="P1095" s="54" t="s">
        <v>1341</v>
      </c>
      <c r="Q1095" s="54" t="s">
        <v>1017</v>
      </c>
      <c r="R1095" s="54" t="s">
        <v>376</v>
      </c>
      <c r="S1095" s="46"/>
      <c r="T1095" s="46"/>
      <c r="U1095" s="46"/>
      <c r="V1095" s="46"/>
      <c r="W1095" s="46"/>
      <c r="X1095" s="46"/>
      <c r="Y1095" s="46"/>
      <c r="Z1095" s="46"/>
      <c r="AA1095" s="46"/>
      <c r="AB1095" s="46"/>
      <c r="AC1095" s="46"/>
      <c r="AD1095" s="46" t="s">
        <v>1037</v>
      </c>
      <c r="AE1095" s="50">
        <f>IF(L1095="W",1,0)</f>
        <v>1</v>
      </c>
      <c r="AF1095" s="50">
        <f>IF(L1095="T",1,0)</f>
        <v>0</v>
      </c>
      <c r="AG1095" s="50">
        <f>IF(L1095="L",1,0)</f>
        <v>0</v>
      </c>
      <c r="AH1095" s="46" t="s">
        <v>1325</v>
      </c>
      <c r="AI1095" s="46" t="s">
        <v>1326</v>
      </c>
      <c r="AJ1095" s="46" t="s">
        <v>376</v>
      </c>
      <c r="AK1095" s="46" t="s">
        <v>658</v>
      </c>
      <c r="AL1095" s="46" t="s">
        <v>1017</v>
      </c>
      <c r="AM1095" s="46" t="s">
        <v>1018</v>
      </c>
      <c r="AN1095" s="46" t="s">
        <v>376</v>
      </c>
      <c r="AO1095" s="46" t="s">
        <v>658</v>
      </c>
      <c r="AP1095" s="46"/>
      <c r="AQ1095" s="46">
        <v>2</v>
      </c>
      <c r="AR1095" s="46"/>
      <c r="AS1095" s="46"/>
      <c r="AT1095" s="46"/>
      <c r="AU1095" s="46" t="s">
        <v>376</v>
      </c>
      <c r="AV1095" s="46"/>
      <c r="AW1095" s="46" t="s">
        <v>30</v>
      </c>
      <c r="AX1095" s="46"/>
      <c r="AY1095" s="46"/>
      <c r="AZ1095" s="46" t="s">
        <v>30</v>
      </c>
      <c r="BA1095" s="54"/>
      <c r="BB1095" s="51"/>
      <c r="BC1095" s="46"/>
      <c r="BD1095" s="46"/>
      <c r="BE1095" s="46"/>
      <c r="BF1095" s="46">
        <v>1</v>
      </c>
      <c r="BG1095" s="46">
        <v>1</v>
      </c>
      <c r="BH1095" s="46">
        <v>1</v>
      </c>
      <c r="BI1095" s="46" t="s">
        <v>1322</v>
      </c>
      <c r="BJ1095" s="46" t="s">
        <v>803</v>
      </c>
      <c r="BK1095" s="46">
        <v>1989</v>
      </c>
      <c r="BL1095" s="46" t="str">
        <f>BK1095&amp;BI1095</f>
        <v>1989Luton Town</v>
      </c>
      <c r="BM1095" s="52" t="str">
        <f>IF(AD1095="Home",BI1095,IF(AD1095="Away",BJ1095,Q1095))</f>
        <v>West Ham United</v>
      </c>
      <c r="BN1095" s="46"/>
      <c r="BO1095" s="46"/>
      <c r="BP1095" s="46"/>
      <c r="BQ1095" s="46"/>
      <c r="BR1095" s="46"/>
      <c r="BS1095" s="46"/>
      <c r="BT1095" s="46"/>
      <c r="BU1095" s="46"/>
      <c r="BV1095" s="46" t="s">
        <v>376</v>
      </c>
      <c r="BW1095" s="46" t="s">
        <v>376</v>
      </c>
      <c r="BX1095" s="46"/>
      <c r="BZ1095" s="53"/>
      <c r="CA1095" s="53"/>
      <c r="CB1095" s="93" t="str">
        <f>IF(OR(C1095="",A1095="",B1095=""),"",TEXT(C1095,"0000")&amp;TEXT(A1095,"00")&amp;TEXT(B1095,"00"))</f>
        <v>19890212</v>
      </c>
    </row>
    <row r="1096" spans="1:80" s="52" customFormat="1" ht="12.95" customHeight="1" x14ac:dyDescent="0.2">
      <c r="A1096" s="46">
        <v>2</v>
      </c>
      <c r="B1096" s="46">
        <v>15</v>
      </c>
      <c r="C1096" s="46">
        <v>1989</v>
      </c>
      <c r="D1096" s="46" t="s">
        <v>658</v>
      </c>
      <c r="E1096" s="46" t="s">
        <v>514</v>
      </c>
      <c r="F1096" s="54" t="s">
        <v>1327</v>
      </c>
      <c r="G1096" s="46"/>
      <c r="H1096" s="54" t="s">
        <v>1011</v>
      </c>
      <c r="I1096" s="54">
        <v>1</v>
      </c>
      <c r="J1096" s="55">
        <v>32554</v>
      </c>
      <c r="K1096" s="46" t="s">
        <v>1072</v>
      </c>
      <c r="L1096" s="46" t="s">
        <v>1014</v>
      </c>
      <c r="M1096" s="46" t="s">
        <v>1236</v>
      </c>
      <c r="N1096" s="49">
        <v>1</v>
      </c>
      <c r="O1096" s="49">
        <v>1</v>
      </c>
      <c r="P1096" s="54" t="s">
        <v>1135</v>
      </c>
      <c r="Q1096" s="54" t="s">
        <v>1073</v>
      </c>
      <c r="R1096" s="54" t="s">
        <v>376</v>
      </c>
      <c r="S1096" s="46"/>
      <c r="T1096" s="46"/>
      <c r="U1096" s="46"/>
      <c r="V1096" s="46"/>
      <c r="W1096" s="46"/>
      <c r="X1096" s="46"/>
      <c r="Y1096" s="46"/>
      <c r="Z1096" s="46"/>
      <c r="AA1096" s="46"/>
      <c r="AB1096" s="46"/>
      <c r="AC1096" s="46"/>
      <c r="AD1096" s="46" t="s">
        <v>1033</v>
      </c>
      <c r="AE1096" s="50">
        <f>IF(L1096="W",1,0)</f>
        <v>0</v>
      </c>
      <c r="AF1096" s="50">
        <f>IF(L1096="T",1,0)</f>
        <v>1</v>
      </c>
      <c r="AG1096" s="50">
        <f>IF(L1096="L",1,0)</f>
        <v>0</v>
      </c>
      <c r="AH1096" s="46" t="s">
        <v>1073</v>
      </c>
      <c r="AI1096" s="46" t="s">
        <v>1074</v>
      </c>
      <c r="AJ1096" s="46" t="s">
        <v>376</v>
      </c>
      <c r="AK1096" s="46" t="s">
        <v>658</v>
      </c>
      <c r="AL1096" s="46" t="s">
        <v>1237</v>
      </c>
      <c r="AM1096" s="46" t="s">
        <v>1237</v>
      </c>
      <c r="AN1096" s="46" t="s">
        <v>376</v>
      </c>
      <c r="AO1096" s="46" t="s">
        <v>658</v>
      </c>
      <c r="AP1096" s="46"/>
      <c r="AQ1096" s="46">
        <v>2</v>
      </c>
      <c r="AR1096" s="46"/>
      <c r="AS1096" s="46"/>
      <c r="AT1096" s="46"/>
      <c r="AU1096" s="46" t="s">
        <v>376</v>
      </c>
      <c r="AV1096" s="46"/>
      <c r="AW1096" s="46" t="s">
        <v>30</v>
      </c>
      <c r="AX1096" s="46"/>
      <c r="AY1096" s="46"/>
      <c r="AZ1096" s="46" t="s">
        <v>30</v>
      </c>
      <c r="BA1096" s="54"/>
      <c r="BB1096" s="51"/>
      <c r="BC1096" s="46"/>
      <c r="BD1096" s="46"/>
      <c r="BE1096" s="46"/>
      <c r="BF1096" s="46">
        <v>1</v>
      </c>
      <c r="BG1096" s="46">
        <v>1</v>
      </c>
      <c r="BH1096" s="46">
        <v>3</v>
      </c>
      <c r="BI1096" s="46" t="s">
        <v>1072</v>
      </c>
      <c r="BJ1096" s="46" t="s">
        <v>1236</v>
      </c>
      <c r="BK1096" s="46">
        <v>1989</v>
      </c>
      <c r="BL1096" s="46" t="str">
        <f>BK1096&amp;BI1096</f>
        <v>1989Nottingham Forest</v>
      </c>
      <c r="BM1096" s="52" t="str">
        <f>IF(AD1096="Home",BI1096,IF(AD1096="Away",BJ1096,Q1096))</f>
        <v>Nottingham Forest</v>
      </c>
      <c r="BN1096" s="46"/>
      <c r="BO1096" s="46"/>
      <c r="BP1096" s="46"/>
      <c r="BQ1096" s="46"/>
      <c r="BR1096" s="46"/>
      <c r="BS1096" s="46"/>
      <c r="BT1096" s="46"/>
      <c r="BU1096" s="46"/>
      <c r="BV1096" s="46" t="s">
        <v>376</v>
      </c>
      <c r="BW1096" s="46" t="s">
        <v>376</v>
      </c>
      <c r="BX1096" s="46"/>
      <c r="BY1096" s="35"/>
      <c r="BZ1096" s="53"/>
      <c r="CA1096" s="53"/>
      <c r="CB1096" s="93" t="str">
        <f>IF(OR(C1096="",A1096="",B1096=""),"",TEXT(C1096,"0000")&amp;TEXT(A1096,"00")&amp;TEXT(B1096,"00"))</f>
        <v>19890215</v>
      </c>
    </row>
    <row r="1097" spans="1:80" s="52" customFormat="1" ht="12.95" customHeight="1" x14ac:dyDescent="0.2">
      <c r="A1097" s="46">
        <v>2</v>
      </c>
      <c r="B1097" s="46">
        <v>15</v>
      </c>
      <c r="C1097" s="46">
        <v>1989</v>
      </c>
      <c r="D1097" s="46" t="s">
        <v>658</v>
      </c>
      <c r="E1097" s="46" t="s">
        <v>514</v>
      </c>
      <c r="F1097" s="54" t="s">
        <v>1327</v>
      </c>
      <c r="G1097" s="46"/>
      <c r="H1097" s="54" t="s">
        <v>1011</v>
      </c>
      <c r="I1097" s="54">
        <v>1</v>
      </c>
      <c r="J1097" s="55">
        <v>32554</v>
      </c>
      <c r="K1097" s="46" t="s">
        <v>1236</v>
      </c>
      <c r="L1097" s="46" t="s">
        <v>1014</v>
      </c>
      <c r="M1097" s="46" t="s">
        <v>1072</v>
      </c>
      <c r="N1097" s="49">
        <v>1</v>
      </c>
      <c r="O1097" s="49">
        <v>1</v>
      </c>
      <c r="P1097" s="54" t="s">
        <v>1135</v>
      </c>
      <c r="Q1097" s="54" t="s">
        <v>1073</v>
      </c>
      <c r="R1097" s="54" t="s">
        <v>376</v>
      </c>
      <c r="S1097" s="46"/>
      <c r="T1097" s="46"/>
      <c r="U1097" s="46"/>
      <c r="V1097" s="46"/>
      <c r="W1097" s="46"/>
      <c r="X1097" s="46"/>
      <c r="Y1097" s="46"/>
      <c r="Z1097" s="46"/>
      <c r="AA1097" s="46"/>
      <c r="AB1097" s="46"/>
      <c r="AC1097" s="46"/>
      <c r="AD1097" s="46" t="s">
        <v>1037</v>
      </c>
      <c r="AE1097" s="50">
        <f>IF(L1097="W",1,0)</f>
        <v>0</v>
      </c>
      <c r="AF1097" s="50">
        <f>IF(L1097="T",1,0)</f>
        <v>1</v>
      </c>
      <c r="AG1097" s="50">
        <f>IF(L1097="L",1,0)</f>
        <v>0</v>
      </c>
      <c r="AH1097" s="46" t="s">
        <v>1237</v>
      </c>
      <c r="AI1097" s="46" t="s">
        <v>1237</v>
      </c>
      <c r="AJ1097" s="46" t="s">
        <v>376</v>
      </c>
      <c r="AK1097" s="46" t="s">
        <v>658</v>
      </c>
      <c r="AL1097" s="46" t="s">
        <v>1073</v>
      </c>
      <c r="AM1097" s="46" t="s">
        <v>1074</v>
      </c>
      <c r="AN1097" s="46" t="s">
        <v>376</v>
      </c>
      <c r="AO1097" s="46" t="s">
        <v>658</v>
      </c>
      <c r="AP1097" s="46"/>
      <c r="AQ1097" s="46">
        <v>2</v>
      </c>
      <c r="AR1097" s="46"/>
      <c r="AS1097" s="46"/>
      <c r="AT1097" s="46"/>
      <c r="AU1097" s="46" t="s">
        <v>376</v>
      </c>
      <c r="AV1097" s="46"/>
      <c r="AW1097" s="46" t="s">
        <v>30</v>
      </c>
      <c r="AX1097" s="46"/>
      <c r="AY1097" s="46"/>
      <c r="AZ1097" s="46" t="s">
        <v>30</v>
      </c>
      <c r="BA1097" s="54"/>
      <c r="BB1097" s="51"/>
      <c r="BC1097" s="46"/>
      <c r="BD1097" s="46"/>
      <c r="BE1097" s="46"/>
      <c r="BF1097" s="46">
        <v>1</v>
      </c>
      <c r="BG1097" s="46">
        <v>3</v>
      </c>
      <c r="BH1097" s="46">
        <v>1</v>
      </c>
      <c r="BI1097" s="46" t="s">
        <v>1236</v>
      </c>
      <c r="BJ1097" s="46" t="s">
        <v>1072</v>
      </c>
      <c r="BK1097" s="46">
        <v>1989</v>
      </c>
      <c r="BL1097" s="46" t="str">
        <f>BK1097&amp;BI1097</f>
        <v>1989Bristol City</v>
      </c>
      <c r="BM1097" s="52" t="str">
        <f>IF(AD1097="Home",BI1097,IF(AD1097="Away",BJ1097,Q1097))</f>
        <v>Nottingham Forest</v>
      </c>
      <c r="BN1097" s="46"/>
      <c r="BO1097" s="46"/>
      <c r="BP1097" s="46"/>
      <c r="BQ1097" s="46"/>
      <c r="BR1097" s="46"/>
      <c r="BS1097" s="46"/>
      <c r="BT1097" s="46"/>
      <c r="BU1097" s="46"/>
      <c r="BV1097" s="46" t="s">
        <v>376</v>
      </c>
      <c r="BW1097" s="46" t="s">
        <v>376</v>
      </c>
      <c r="BX1097" s="46"/>
      <c r="BY1097" s="35"/>
      <c r="BZ1097" s="53"/>
      <c r="CA1097" s="53"/>
      <c r="CB1097" s="93" t="str">
        <f>IF(OR(C1097="",A1097="",B1097=""),"",TEXT(C1097,"0000")&amp;TEXT(A1097,"00")&amp;TEXT(B1097,"00"))</f>
        <v>19890215</v>
      </c>
    </row>
    <row r="1098" spans="1:80" s="52" customFormat="1" ht="12.95" customHeight="1" x14ac:dyDescent="0.2">
      <c r="A1098" s="46">
        <v>2</v>
      </c>
      <c r="B1098" s="46">
        <v>26</v>
      </c>
      <c r="C1098" s="46">
        <v>1989</v>
      </c>
      <c r="D1098" s="46" t="s">
        <v>658</v>
      </c>
      <c r="E1098" s="46" t="s">
        <v>514</v>
      </c>
      <c r="F1098" s="54" t="s">
        <v>1327</v>
      </c>
      <c r="G1098" s="46"/>
      <c r="H1098" s="54" t="s">
        <v>1011</v>
      </c>
      <c r="I1098" s="54">
        <v>2</v>
      </c>
      <c r="J1098" s="55">
        <v>32565</v>
      </c>
      <c r="K1098" s="46" t="s">
        <v>1236</v>
      </c>
      <c r="L1098" s="46" t="s">
        <v>4</v>
      </c>
      <c r="M1098" s="46" t="s">
        <v>1072</v>
      </c>
      <c r="N1098" s="49">
        <v>0</v>
      </c>
      <c r="O1098" s="49">
        <v>1</v>
      </c>
      <c r="P1098" s="54" t="s">
        <v>1358</v>
      </c>
      <c r="Q1098" s="54" t="s">
        <v>1237</v>
      </c>
      <c r="R1098" s="54" t="s">
        <v>376</v>
      </c>
      <c r="S1098" s="46"/>
      <c r="T1098" s="46"/>
      <c r="U1098" s="46"/>
      <c r="V1098" s="46"/>
      <c r="W1098" s="46"/>
      <c r="X1098" s="46"/>
      <c r="Y1098" s="46"/>
      <c r="Z1098" s="46"/>
      <c r="AA1098" s="46"/>
      <c r="AB1098" s="46"/>
      <c r="AC1098" s="46"/>
      <c r="AD1098" s="46" t="s">
        <v>1033</v>
      </c>
      <c r="AE1098" s="50">
        <f>IF(L1098="W",1,0)</f>
        <v>0</v>
      </c>
      <c r="AF1098" s="50">
        <f>IF(L1098="T",1,0)</f>
        <v>0</v>
      </c>
      <c r="AG1098" s="50">
        <f>IF(L1098="L",1,0)</f>
        <v>1</v>
      </c>
      <c r="AH1098" s="46" t="s">
        <v>1237</v>
      </c>
      <c r="AI1098" s="46" t="s">
        <v>1237</v>
      </c>
      <c r="AJ1098" s="46" t="s">
        <v>376</v>
      </c>
      <c r="AK1098" s="46" t="s">
        <v>658</v>
      </c>
      <c r="AL1098" s="46" t="s">
        <v>1073</v>
      </c>
      <c r="AM1098" s="46" t="s">
        <v>1074</v>
      </c>
      <c r="AN1098" s="46" t="s">
        <v>376</v>
      </c>
      <c r="AO1098" s="46" t="s">
        <v>658</v>
      </c>
      <c r="AP1098" s="46"/>
      <c r="AQ1098" s="46">
        <v>2</v>
      </c>
      <c r="AR1098" s="46"/>
      <c r="AS1098" s="46"/>
      <c r="AT1098" s="46"/>
      <c r="AU1098" s="46" t="s">
        <v>376</v>
      </c>
      <c r="AV1098" s="46"/>
      <c r="AW1098" s="46" t="s">
        <v>30</v>
      </c>
      <c r="AX1098" s="46"/>
      <c r="AY1098" s="46"/>
      <c r="AZ1098" s="46" t="s">
        <v>30</v>
      </c>
      <c r="BA1098" s="54"/>
      <c r="BB1098" s="51"/>
      <c r="BC1098" s="46"/>
      <c r="BD1098" s="46"/>
      <c r="BE1098" s="46"/>
      <c r="BF1098" s="46">
        <v>1</v>
      </c>
      <c r="BG1098" s="46">
        <v>3</v>
      </c>
      <c r="BH1098" s="46">
        <v>1</v>
      </c>
      <c r="BI1098" s="46" t="s">
        <v>1236</v>
      </c>
      <c r="BJ1098" s="46" t="s">
        <v>1072</v>
      </c>
      <c r="BK1098" s="46">
        <v>1989</v>
      </c>
      <c r="BL1098" s="46" t="str">
        <f>BK1098&amp;BI1098</f>
        <v>1989Bristol City</v>
      </c>
      <c r="BM1098" s="52" t="str">
        <f>IF(AD1098="Home",BI1098,IF(AD1098="Away",BJ1098,Q1098))</f>
        <v>Bristol City</v>
      </c>
      <c r="BN1098" s="46"/>
      <c r="BO1098" s="46"/>
      <c r="BP1098" s="46"/>
      <c r="BQ1098" s="46"/>
      <c r="BR1098" s="46"/>
      <c r="BS1098" s="46"/>
      <c r="BT1098" s="46"/>
      <c r="BU1098" s="46"/>
      <c r="BV1098" s="46" t="s">
        <v>376</v>
      </c>
      <c r="BW1098" s="46" t="s">
        <v>376</v>
      </c>
      <c r="BX1098" s="46"/>
      <c r="BZ1098" s="53"/>
      <c r="CA1098" s="53"/>
      <c r="CB1098" s="93" t="str">
        <f>IF(OR(C1098="",A1098="",B1098=""),"",TEXT(C1098,"0000")&amp;TEXT(A1098,"00")&amp;TEXT(B1098,"00"))</f>
        <v>19890226</v>
      </c>
    </row>
    <row r="1099" spans="1:80" s="52" customFormat="1" ht="12.95" customHeight="1" x14ac:dyDescent="0.2">
      <c r="A1099" s="46">
        <v>2</v>
      </c>
      <c r="B1099" s="46">
        <v>26</v>
      </c>
      <c r="C1099" s="46">
        <v>1989</v>
      </c>
      <c r="D1099" s="46" t="s">
        <v>658</v>
      </c>
      <c r="E1099" s="46" t="s">
        <v>514</v>
      </c>
      <c r="F1099" s="54" t="s">
        <v>1327</v>
      </c>
      <c r="G1099" s="46"/>
      <c r="H1099" s="54" t="s">
        <v>1011</v>
      </c>
      <c r="I1099" s="54">
        <v>2</v>
      </c>
      <c r="J1099" s="55">
        <v>32565</v>
      </c>
      <c r="K1099" s="46" t="s">
        <v>1072</v>
      </c>
      <c r="L1099" s="46" t="s">
        <v>3</v>
      </c>
      <c r="M1099" s="46" t="s">
        <v>1236</v>
      </c>
      <c r="N1099" s="49">
        <v>1</v>
      </c>
      <c r="O1099" s="49">
        <v>0</v>
      </c>
      <c r="P1099" s="54" t="s">
        <v>1358</v>
      </c>
      <c r="Q1099" s="54" t="s">
        <v>1237</v>
      </c>
      <c r="R1099" s="54" t="s">
        <v>376</v>
      </c>
      <c r="S1099" s="46"/>
      <c r="T1099" s="46"/>
      <c r="U1099" s="46"/>
      <c r="V1099" s="46"/>
      <c r="W1099" s="46"/>
      <c r="X1099" s="46"/>
      <c r="Y1099" s="46"/>
      <c r="Z1099" s="46"/>
      <c r="AA1099" s="46"/>
      <c r="AB1099" s="46"/>
      <c r="AC1099" s="46"/>
      <c r="AD1099" s="46" t="s">
        <v>1037</v>
      </c>
      <c r="AE1099" s="50">
        <f>IF(L1099="W",1,0)</f>
        <v>1</v>
      </c>
      <c r="AF1099" s="50">
        <f>IF(L1099="T",1,0)</f>
        <v>0</v>
      </c>
      <c r="AG1099" s="50">
        <f>IF(L1099="L",1,0)</f>
        <v>0</v>
      </c>
      <c r="AH1099" s="46" t="s">
        <v>1073</v>
      </c>
      <c r="AI1099" s="46" t="s">
        <v>1074</v>
      </c>
      <c r="AJ1099" s="46" t="s">
        <v>376</v>
      </c>
      <c r="AK1099" s="46" t="s">
        <v>658</v>
      </c>
      <c r="AL1099" s="46" t="s">
        <v>1237</v>
      </c>
      <c r="AM1099" s="46" t="s">
        <v>1237</v>
      </c>
      <c r="AN1099" s="46" t="s">
        <v>376</v>
      </c>
      <c r="AO1099" s="46" t="s">
        <v>658</v>
      </c>
      <c r="AP1099" s="46"/>
      <c r="AQ1099" s="46">
        <v>2</v>
      </c>
      <c r="AR1099" s="46"/>
      <c r="AS1099" s="46"/>
      <c r="AT1099" s="46"/>
      <c r="AU1099" s="46" t="s">
        <v>376</v>
      </c>
      <c r="AV1099" s="46"/>
      <c r="AW1099" s="46" t="s">
        <v>30</v>
      </c>
      <c r="AX1099" s="46"/>
      <c r="AY1099" s="46"/>
      <c r="AZ1099" s="46" t="s">
        <v>30</v>
      </c>
      <c r="BA1099" s="54"/>
      <c r="BB1099" s="51"/>
      <c r="BC1099" s="46"/>
      <c r="BD1099" s="46"/>
      <c r="BE1099" s="46"/>
      <c r="BF1099" s="46">
        <v>1</v>
      </c>
      <c r="BG1099" s="46">
        <v>1</v>
      </c>
      <c r="BH1099" s="46">
        <v>3</v>
      </c>
      <c r="BI1099" s="46" t="s">
        <v>1072</v>
      </c>
      <c r="BJ1099" s="46" t="s">
        <v>1236</v>
      </c>
      <c r="BK1099" s="46">
        <v>1989</v>
      </c>
      <c r="BL1099" s="46" t="str">
        <f>BK1099&amp;BI1099</f>
        <v>1989Nottingham Forest</v>
      </c>
      <c r="BM1099" s="52" t="str">
        <f>IF(AD1099="Home",BI1099,IF(AD1099="Away",BJ1099,Q1099))</f>
        <v>Bristol City</v>
      </c>
      <c r="BN1099" s="46"/>
      <c r="BO1099" s="46"/>
      <c r="BP1099" s="46"/>
      <c r="BQ1099" s="46"/>
      <c r="BR1099" s="46"/>
      <c r="BS1099" s="46"/>
      <c r="BT1099" s="46"/>
      <c r="BU1099" s="46"/>
      <c r="BV1099" s="46" t="s">
        <v>376</v>
      </c>
      <c r="BW1099" s="46" t="s">
        <v>376</v>
      </c>
      <c r="BX1099" s="46"/>
      <c r="BZ1099" s="53"/>
      <c r="CA1099" s="53"/>
      <c r="CB1099" s="93" t="str">
        <f>IF(OR(C1099="",A1099="",B1099=""),"",TEXT(C1099,"0000")&amp;TEXT(A1099,"00")&amp;TEXT(B1099,"00"))</f>
        <v>19890226</v>
      </c>
    </row>
    <row r="1100" spans="1:80" s="52" customFormat="1" ht="12.95" customHeight="1" x14ac:dyDescent="0.2">
      <c r="A1100" s="46">
        <v>3</v>
      </c>
      <c r="B1100" s="46">
        <v>1</v>
      </c>
      <c r="C1100" s="46">
        <v>1989</v>
      </c>
      <c r="D1100" s="46" t="s">
        <v>658</v>
      </c>
      <c r="E1100" s="46" t="s">
        <v>514</v>
      </c>
      <c r="F1100" s="54" t="s">
        <v>1327</v>
      </c>
      <c r="G1100" s="46"/>
      <c r="H1100" s="54" t="s">
        <v>1011</v>
      </c>
      <c r="I1100" s="54">
        <v>2</v>
      </c>
      <c r="J1100" s="55">
        <v>32568</v>
      </c>
      <c r="K1100" s="46" t="s">
        <v>1322</v>
      </c>
      <c r="L1100" s="46" t="s">
        <v>3</v>
      </c>
      <c r="M1100" s="46" t="s">
        <v>803</v>
      </c>
      <c r="N1100" s="49">
        <v>2</v>
      </c>
      <c r="O1100" s="49">
        <v>0</v>
      </c>
      <c r="P1100" s="54" t="s">
        <v>1386</v>
      </c>
      <c r="Q1100" s="54" t="s">
        <v>1325</v>
      </c>
      <c r="R1100" s="54" t="s">
        <v>376</v>
      </c>
      <c r="S1100" s="46"/>
      <c r="T1100" s="46"/>
      <c r="U1100" s="46"/>
      <c r="V1100" s="46"/>
      <c r="W1100" s="46"/>
      <c r="X1100" s="46"/>
      <c r="Y1100" s="46"/>
      <c r="Z1100" s="46"/>
      <c r="AA1100" s="46"/>
      <c r="AB1100" s="46"/>
      <c r="AC1100" s="46"/>
      <c r="AD1100" s="46" t="s">
        <v>1033</v>
      </c>
      <c r="AE1100" s="50">
        <f>IF(L1100="W",1,0)</f>
        <v>1</v>
      </c>
      <c r="AF1100" s="50">
        <f>IF(L1100="T",1,0)</f>
        <v>0</v>
      </c>
      <c r="AG1100" s="50">
        <f>IF(L1100="L",1,0)</f>
        <v>0</v>
      </c>
      <c r="AH1100" s="46" t="s">
        <v>1325</v>
      </c>
      <c r="AI1100" s="46" t="s">
        <v>1326</v>
      </c>
      <c r="AJ1100" s="46" t="s">
        <v>376</v>
      </c>
      <c r="AK1100" s="46" t="s">
        <v>658</v>
      </c>
      <c r="AL1100" s="46" t="s">
        <v>1017</v>
      </c>
      <c r="AM1100" s="46" t="s">
        <v>1018</v>
      </c>
      <c r="AN1100" s="46" t="s">
        <v>376</v>
      </c>
      <c r="AO1100" s="46" t="s">
        <v>658</v>
      </c>
      <c r="AP1100" s="46"/>
      <c r="AQ1100" s="46">
        <v>2</v>
      </c>
      <c r="AR1100" s="46"/>
      <c r="AS1100" s="46"/>
      <c r="AT1100" s="46"/>
      <c r="AU1100" s="46" t="s">
        <v>376</v>
      </c>
      <c r="AV1100" s="46"/>
      <c r="AW1100" s="46" t="s">
        <v>30</v>
      </c>
      <c r="AX1100" s="46"/>
      <c r="AY1100" s="46"/>
      <c r="AZ1100" s="46" t="s">
        <v>30</v>
      </c>
      <c r="BA1100" s="54"/>
      <c r="BB1100" s="51"/>
      <c r="BC1100" s="46"/>
      <c r="BD1100" s="46"/>
      <c r="BE1100" s="46"/>
      <c r="BF1100" s="46">
        <v>1</v>
      </c>
      <c r="BG1100" s="46">
        <v>1</v>
      </c>
      <c r="BH1100" s="46">
        <v>1</v>
      </c>
      <c r="BI1100" s="46" t="s">
        <v>1322</v>
      </c>
      <c r="BJ1100" s="46" t="s">
        <v>803</v>
      </c>
      <c r="BK1100" s="46">
        <v>1989</v>
      </c>
      <c r="BL1100" s="46" t="str">
        <f>BK1100&amp;BI1100</f>
        <v>1989Luton Town</v>
      </c>
      <c r="BM1100" s="52" t="str">
        <f>IF(AD1100="Home",BI1100,IF(AD1100="Away",BJ1100,Q1100))</f>
        <v>Luton Town</v>
      </c>
      <c r="BN1100" s="46"/>
      <c r="BO1100" s="46"/>
      <c r="BP1100" s="46"/>
      <c r="BQ1100" s="46"/>
      <c r="BR1100" s="46"/>
      <c r="BS1100" s="46"/>
      <c r="BT1100" s="46"/>
      <c r="BU1100" s="46"/>
      <c r="BV1100" s="46" t="s">
        <v>376</v>
      </c>
      <c r="BW1100" s="46" t="s">
        <v>376</v>
      </c>
      <c r="BX1100" s="46"/>
      <c r="BZ1100" s="53"/>
      <c r="CA1100" s="53"/>
      <c r="CB1100" s="93" t="str">
        <f>IF(OR(C1100="",A1100="",B1100=""),"",TEXT(C1100,"0000")&amp;TEXT(A1100,"00")&amp;TEXT(B1100,"00"))</f>
        <v>19890301</v>
      </c>
    </row>
    <row r="1101" spans="1:80" s="52" customFormat="1" ht="12.95" customHeight="1" x14ac:dyDescent="0.2">
      <c r="A1101" s="46">
        <v>3</v>
      </c>
      <c r="B1101" s="46">
        <v>1</v>
      </c>
      <c r="C1101" s="46">
        <v>1989</v>
      </c>
      <c r="D1101" s="46" t="s">
        <v>658</v>
      </c>
      <c r="E1101" s="46" t="s">
        <v>514</v>
      </c>
      <c r="F1101" s="54" t="s">
        <v>1327</v>
      </c>
      <c r="G1101" s="46"/>
      <c r="H1101" s="54" t="s">
        <v>1011</v>
      </c>
      <c r="I1101" s="54">
        <v>2</v>
      </c>
      <c r="J1101" s="55">
        <v>32568</v>
      </c>
      <c r="K1101" s="46" t="s">
        <v>803</v>
      </c>
      <c r="L1101" s="46" t="s">
        <v>4</v>
      </c>
      <c r="M1101" s="46" t="s">
        <v>1322</v>
      </c>
      <c r="N1101" s="49">
        <v>0</v>
      </c>
      <c r="O1101" s="49">
        <v>2</v>
      </c>
      <c r="P1101" s="54" t="s">
        <v>1386</v>
      </c>
      <c r="Q1101" s="54" t="s">
        <v>1325</v>
      </c>
      <c r="R1101" s="54" t="s">
        <v>376</v>
      </c>
      <c r="S1101" s="46"/>
      <c r="T1101" s="46"/>
      <c r="U1101" s="46"/>
      <c r="V1101" s="46"/>
      <c r="W1101" s="46"/>
      <c r="X1101" s="46"/>
      <c r="Y1101" s="46"/>
      <c r="Z1101" s="46"/>
      <c r="AA1101" s="46"/>
      <c r="AB1101" s="46"/>
      <c r="AC1101" s="46"/>
      <c r="AD1101" s="46" t="s">
        <v>1037</v>
      </c>
      <c r="AE1101" s="50">
        <f>IF(L1101="W",1,0)</f>
        <v>0</v>
      </c>
      <c r="AF1101" s="50">
        <f>IF(L1101="T",1,0)</f>
        <v>0</v>
      </c>
      <c r="AG1101" s="50">
        <f>IF(L1101="L",1,0)</f>
        <v>1</v>
      </c>
      <c r="AH1101" s="46" t="s">
        <v>1017</v>
      </c>
      <c r="AI1101" s="46" t="s">
        <v>1018</v>
      </c>
      <c r="AJ1101" s="46" t="s">
        <v>376</v>
      </c>
      <c r="AK1101" s="46" t="s">
        <v>658</v>
      </c>
      <c r="AL1101" s="46" t="s">
        <v>1325</v>
      </c>
      <c r="AM1101" s="46" t="s">
        <v>1326</v>
      </c>
      <c r="AN1101" s="46" t="s">
        <v>376</v>
      </c>
      <c r="AO1101" s="46" t="s">
        <v>658</v>
      </c>
      <c r="AP1101" s="46"/>
      <c r="AQ1101" s="46">
        <v>2</v>
      </c>
      <c r="AR1101" s="46"/>
      <c r="AS1101" s="46"/>
      <c r="AT1101" s="46"/>
      <c r="AU1101" s="46" t="s">
        <v>376</v>
      </c>
      <c r="AV1101" s="46"/>
      <c r="AW1101" s="46" t="s">
        <v>30</v>
      </c>
      <c r="AX1101" s="46"/>
      <c r="AY1101" s="46"/>
      <c r="AZ1101" s="46" t="s">
        <v>30</v>
      </c>
      <c r="BA1101" s="54"/>
      <c r="BB1101" s="51"/>
      <c r="BC1101" s="46"/>
      <c r="BD1101" s="46"/>
      <c r="BE1101" s="46"/>
      <c r="BF1101" s="46">
        <v>1</v>
      </c>
      <c r="BG1101" s="46">
        <v>1</v>
      </c>
      <c r="BH1101" s="46">
        <v>1</v>
      </c>
      <c r="BI1101" s="46" t="s">
        <v>803</v>
      </c>
      <c r="BJ1101" s="46" t="s">
        <v>1322</v>
      </c>
      <c r="BK1101" s="46">
        <v>1989</v>
      </c>
      <c r="BL1101" s="46" t="str">
        <f>BK1101&amp;BI1101</f>
        <v>1989West Ham United</v>
      </c>
      <c r="BM1101" s="52" t="str">
        <f>IF(AD1101="Home",BI1101,IF(AD1101="Away",BJ1101,Q1101))</f>
        <v>Luton Town</v>
      </c>
      <c r="BN1101" s="46"/>
      <c r="BO1101" s="46"/>
      <c r="BP1101" s="46"/>
      <c r="BQ1101" s="46"/>
      <c r="BR1101" s="46"/>
      <c r="BS1101" s="46"/>
      <c r="BT1101" s="46"/>
      <c r="BU1101" s="46"/>
      <c r="BV1101" s="46" t="s">
        <v>376</v>
      </c>
      <c r="BW1101" s="46" t="s">
        <v>376</v>
      </c>
      <c r="BX1101" s="46"/>
      <c r="BZ1101" s="53"/>
      <c r="CA1101" s="53"/>
      <c r="CB1101" s="93" t="str">
        <f>IF(OR(C1101="",A1101="",B1101=""),"",TEXT(C1101,"0000")&amp;TEXT(A1101,"00")&amp;TEXT(B1101,"00"))</f>
        <v>19890301</v>
      </c>
    </row>
    <row r="1102" spans="1:80" s="35" customFormat="1" ht="12.95" customHeight="1" x14ac:dyDescent="0.2">
      <c r="A1102" s="46">
        <v>4</v>
      </c>
      <c r="B1102" s="46">
        <v>9</v>
      </c>
      <c r="C1102" s="46">
        <v>1989</v>
      </c>
      <c r="D1102" s="46" t="s">
        <v>658</v>
      </c>
      <c r="E1102" s="46" t="s">
        <v>514</v>
      </c>
      <c r="F1102" s="54" t="s">
        <v>1327</v>
      </c>
      <c r="G1102" s="46"/>
      <c r="H1102" s="54" t="s">
        <v>40</v>
      </c>
      <c r="I1102" s="54"/>
      <c r="J1102" s="55">
        <v>32607</v>
      </c>
      <c r="K1102" s="46" t="s">
        <v>1072</v>
      </c>
      <c r="L1102" s="46" t="s">
        <v>3</v>
      </c>
      <c r="M1102" s="46" t="s">
        <v>1322</v>
      </c>
      <c r="N1102" s="49">
        <v>3</v>
      </c>
      <c r="O1102" s="49">
        <v>1</v>
      </c>
      <c r="P1102" s="54" t="s">
        <v>1268</v>
      </c>
      <c r="Q1102" s="54" t="s">
        <v>1017</v>
      </c>
      <c r="R1102" s="54" t="s">
        <v>376</v>
      </c>
      <c r="S1102" s="46"/>
      <c r="T1102" s="46"/>
      <c r="U1102" s="46"/>
      <c r="V1102" s="46"/>
      <c r="W1102" s="46"/>
      <c r="X1102" s="46"/>
      <c r="Y1102" s="46"/>
      <c r="Z1102" s="46"/>
      <c r="AA1102" s="46"/>
      <c r="AB1102" s="46"/>
      <c r="AC1102" s="46"/>
      <c r="AD1102" s="46"/>
      <c r="AE1102" s="50">
        <f>IF(L1102="W",1,0)</f>
        <v>1</v>
      </c>
      <c r="AF1102" s="50">
        <f>IF(L1102="T",1,0)</f>
        <v>0</v>
      </c>
      <c r="AG1102" s="50">
        <f>IF(L1102="L",1,0)</f>
        <v>0</v>
      </c>
      <c r="AH1102" s="46" t="s">
        <v>1073</v>
      </c>
      <c r="AI1102" s="46" t="s">
        <v>1074</v>
      </c>
      <c r="AJ1102" s="46" t="s">
        <v>376</v>
      </c>
      <c r="AK1102" s="46" t="s">
        <v>658</v>
      </c>
      <c r="AL1102" s="46" t="s">
        <v>1325</v>
      </c>
      <c r="AM1102" s="46" t="s">
        <v>1326</v>
      </c>
      <c r="AN1102" s="46" t="s">
        <v>376</v>
      </c>
      <c r="AO1102" s="46" t="s">
        <v>658</v>
      </c>
      <c r="AP1102" s="46"/>
      <c r="AQ1102" s="46">
        <v>1</v>
      </c>
      <c r="AR1102" s="46"/>
      <c r="AS1102" s="46"/>
      <c r="AT1102" s="46"/>
      <c r="AU1102" s="46" t="s">
        <v>376</v>
      </c>
      <c r="AV1102" s="46"/>
      <c r="AW1102" s="46" t="s">
        <v>30</v>
      </c>
      <c r="AX1102" s="46"/>
      <c r="AY1102" s="46"/>
      <c r="AZ1102" s="46" t="s">
        <v>30</v>
      </c>
      <c r="BA1102" s="54"/>
      <c r="BB1102" s="51" t="s">
        <v>30</v>
      </c>
      <c r="BC1102" s="46" t="s">
        <v>30</v>
      </c>
      <c r="BD1102" s="46"/>
      <c r="BE1102" s="46"/>
      <c r="BF1102" s="46">
        <v>1</v>
      </c>
      <c r="BG1102" s="46">
        <v>1</v>
      </c>
      <c r="BH1102" s="46">
        <v>1</v>
      </c>
      <c r="BI1102" s="46" t="s">
        <v>1072</v>
      </c>
      <c r="BJ1102" s="46" t="s">
        <v>1322</v>
      </c>
      <c r="BK1102" s="46">
        <v>1989</v>
      </c>
      <c r="BL1102" s="46" t="str">
        <f>BK1102&amp;BI1102</f>
        <v>1989Nottingham Forest</v>
      </c>
      <c r="BM1102" s="52" t="str">
        <f>IF(AD1102="Home",BI1102,IF(AD1102="Away",BJ1102,Q1102))</f>
        <v>London</v>
      </c>
      <c r="BN1102" s="46"/>
      <c r="BO1102" s="46"/>
      <c r="BP1102" s="46"/>
      <c r="BQ1102" s="46"/>
      <c r="BR1102" s="46"/>
      <c r="BS1102" s="46"/>
      <c r="BT1102" s="46"/>
      <c r="BU1102" s="46"/>
      <c r="BV1102" s="46" t="s">
        <v>376</v>
      </c>
      <c r="BW1102" s="46" t="s">
        <v>376</v>
      </c>
      <c r="BX1102" s="46"/>
      <c r="BY1102" s="52"/>
      <c r="BZ1102" s="53"/>
      <c r="CA1102" s="53"/>
      <c r="CB1102" s="93" t="str">
        <f>IF(OR(C1102="",A1102="",B1102=""),"",TEXT(C1102,"0000")&amp;TEXT(A1102,"00")&amp;TEXT(B1102,"00"))</f>
        <v>19890409</v>
      </c>
    </row>
    <row r="1103" spans="1:80" s="35" customFormat="1" ht="12.95" customHeight="1" x14ac:dyDescent="0.2">
      <c r="A1103" s="46">
        <v>4</v>
      </c>
      <c r="B1103" s="46">
        <v>9</v>
      </c>
      <c r="C1103" s="46">
        <v>1989</v>
      </c>
      <c r="D1103" s="46" t="s">
        <v>658</v>
      </c>
      <c r="E1103" s="46" t="s">
        <v>514</v>
      </c>
      <c r="F1103" s="54" t="s">
        <v>1327</v>
      </c>
      <c r="G1103" s="46"/>
      <c r="H1103" s="54" t="s">
        <v>40</v>
      </c>
      <c r="I1103" s="54"/>
      <c r="J1103" s="55">
        <v>32607</v>
      </c>
      <c r="K1103" s="46" t="s">
        <v>1322</v>
      </c>
      <c r="L1103" s="46" t="s">
        <v>4</v>
      </c>
      <c r="M1103" s="46" t="s">
        <v>1072</v>
      </c>
      <c r="N1103" s="49">
        <v>1</v>
      </c>
      <c r="O1103" s="49">
        <v>3</v>
      </c>
      <c r="P1103" s="54" t="s">
        <v>1268</v>
      </c>
      <c r="Q1103" s="54" t="s">
        <v>1017</v>
      </c>
      <c r="R1103" s="54" t="s">
        <v>376</v>
      </c>
      <c r="S1103" s="46"/>
      <c r="T1103" s="46"/>
      <c r="U1103" s="46"/>
      <c r="V1103" s="46"/>
      <c r="W1103" s="46"/>
      <c r="X1103" s="46"/>
      <c r="Y1103" s="46"/>
      <c r="Z1103" s="46"/>
      <c r="AA1103" s="46"/>
      <c r="AB1103" s="46"/>
      <c r="AC1103" s="46"/>
      <c r="AD1103" s="46"/>
      <c r="AE1103" s="50">
        <f>IF(L1103="W",1,0)</f>
        <v>0</v>
      </c>
      <c r="AF1103" s="50">
        <f>IF(L1103="T",1,0)</f>
        <v>0</v>
      </c>
      <c r="AG1103" s="50">
        <f>IF(L1103="L",1,0)</f>
        <v>1</v>
      </c>
      <c r="AH1103" s="46" t="s">
        <v>1325</v>
      </c>
      <c r="AI1103" s="46" t="s">
        <v>1326</v>
      </c>
      <c r="AJ1103" s="46" t="s">
        <v>376</v>
      </c>
      <c r="AK1103" s="46" t="s">
        <v>658</v>
      </c>
      <c r="AL1103" s="46" t="s">
        <v>1073</v>
      </c>
      <c r="AM1103" s="46" t="s">
        <v>1074</v>
      </c>
      <c r="AN1103" s="46" t="s">
        <v>376</v>
      </c>
      <c r="AO1103" s="46" t="s">
        <v>658</v>
      </c>
      <c r="AP1103" s="46"/>
      <c r="AQ1103" s="46">
        <v>1</v>
      </c>
      <c r="AR1103" s="46"/>
      <c r="AS1103" s="46"/>
      <c r="AT1103" s="46"/>
      <c r="AU1103" s="46" t="s">
        <v>376</v>
      </c>
      <c r="AV1103" s="46"/>
      <c r="AW1103" s="46" t="s">
        <v>30</v>
      </c>
      <c r="AX1103" s="46"/>
      <c r="AY1103" s="46"/>
      <c r="AZ1103" s="46" t="s">
        <v>30</v>
      </c>
      <c r="BA1103" s="54"/>
      <c r="BB1103" s="51"/>
      <c r="BC1103" s="46" t="s">
        <v>30</v>
      </c>
      <c r="BD1103" s="46"/>
      <c r="BE1103" s="46"/>
      <c r="BF1103" s="46">
        <v>1</v>
      </c>
      <c r="BG1103" s="46">
        <v>1</v>
      </c>
      <c r="BH1103" s="46">
        <v>1</v>
      </c>
      <c r="BI1103" s="46" t="s">
        <v>1322</v>
      </c>
      <c r="BJ1103" s="46" t="s">
        <v>1072</v>
      </c>
      <c r="BK1103" s="46">
        <v>1989</v>
      </c>
      <c r="BL1103" s="46" t="str">
        <f>BK1103&amp;BI1103</f>
        <v>1989Luton Town</v>
      </c>
      <c r="BM1103" s="52" t="str">
        <f>IF(AD1103="Home",BI1103,IF(AD1103="Away",BJ1103,Q1103))</f>
        <v>London</v>
      </c>
      <c r="BN1103" s="46"/>
      <c r="BO1103" s="46"/>
      <c r="BP1103" s="46"/>
      <c r="BQ1103" s="46"/>
      <c r="BR1103" s="46"/>
      <c r="BS1103" s="46"/>
      <c r="BT1103" s="46"/>
      <c r="BU1103" s="46"/>
      <c r="BV1103" s="46" t="s">
        <v>376</v>
      </c>
      <c r="BW1103" s="46" t="s">
        <v>376</v>
      </c>
      <c r="BX1103" s="46"/>
      <c r="BY1103" s="52"/>
      <c r="BZ1103" s="53"/>
      <c r="CA1103" s="53"/>
      <c r="CB1103" s="93" t="str">
        <f>IF(OR(C1103="",A1103="",B1103=""),"",TEXT(C1103,"0000")&amp;TEXT(A1103,"00")&amp;TEXT(B1103,"00"))</f>
        <v>19890409</v>
      </c>
    </row>
    <row r="1104" spans="1:80" s="35" customFormat="1" ht="12.95" customHeight="1" x14ac:dyDescent="0.2">
      <c r="A1104" s="46">
        <v>4</v>
      </c>
      <c r="B1104" s="46">
        <v>15</v>
      </c>
      <c r="C1104" s="46">
        <v>1989</v>
      </c>
      <c r="D1104" s="46" t="s">
        <v>658</v>
      </c>
      <c r="E1104" s="46" t="s">
        <v>514</v>
      </c>
      <c r="F1104" s="47" t="s">
        <v>1010</v>
      </c>
      <c r="G1104" s="46"/>
      <c r="H1104" s="47" t="s">
        <v>1011</v>
      </c>
      <c r="I1104" s="47"/>
      <c r="J1104" s="48">
        <v>32613</v>
      </c>
      <c r="K1104" s="46" t="s">
        <v>804</v>
      </c>
      <c r="L1104" s="46" t="s">
        <v>3</v>
      </c>
      <c r="M1104" s="46" t="s">
        <v>1321</v>
      </c>
      <c r="N1104" s="49">
        <v>1</v>
      </c>
      <c r="O1104" s="49">
        <v>0</v>
      </c>
      <c r="P1104" s="47" t="s">
        <v>1219</v>
      </c>
      <c r="Q1104" s="47" t="s">
        <v>1111</v>
      </c>
      <c r="R1104" s="47" t="s">
        <v>376</v>
      </c>
      <c r="S1104" s="46"/>
      <c r="T1104" s="46"/>
      <c r="U1104" s="46"/>
      <c r="V1104" s="46"/>
      <c r="W1104" s="46"/>
      <c r="X1104" s="46"/>
      <c r="Y1104" s="46"/>
      <c r="Z1104" s="46"/>
      <c r="AA1104" s="46"/>
      <c r="AB1104" s="46"/>
      <c r="AC1104" s="46"/>
      <c r="AD1104" s="46"/>
      <c r="AE1104" s="50">
        <f>IF(L1104="W",1,0)</f>
        <v>1</v>
      </c>
      <c r="AF1104" s="50">
        <f>IF(L1104="T",1,0)</f>
        <v>0</v>
      </c>
      <c r="AG1104" s="50">
        <f>IF(L1104="L",1,0)</f>
        <v>0</v>
      </c>
      <c r="AH1104" s="46" t="s">
        <v>588</v>
      </c>
      <c r="AI1104" s="46" t="s">
        <v>1175</v>
      </c>
      <c r="AJ1104" s="46" t="s">
        <v>376</v>
      </c>
      <c r="AK1104" s="46" t="s">
        <v>658</v>
      </c>
      <c r="AL1104" s="46" t="s">
        <v>1323</v>
      </c>
      <c r="AM1104" s="46" t="s">
        <v>1324</v>
      </c>
      <c r="AN1104" s="46" t="s">
        <v>376</v>
      </c>
      <c r="AO1104" s="46" t="s">
        <v>658</v>
      </c>
      <c r="AP1104" s="46"/>
      <c r="AQ1104" s="46">
        <v>2</v>
      </c>
      <c r="AR1104" s="46"/>
      <c r="AS1104" s="46"/>
      <c r="AT1104" s="46"/>
      <c r="AU1104" s="46" t="s">
        <v>376</v>
      </c>
      <c r="AV1104" s="46"/>
      <c r="AW1104" s="46" t="s">
        <v>30</v>
      </c>
      <c r="AX1104" s="46"/>
      <c r="AY1104" s="46" t="s">
        <v>30</v>
      </c>
      <c r="AZ1104" s="46"/>
      <c r="BA1104" s="47"/>
      <c r="BB1104" s="51"/>
      <c r="BC1104" s="46"/>
      <c r="BD1104" s="46"/>
      <c r="BE1104" s="46"/>
      <c r="BF1104" s="46">
        <v>1</v>
      </c>
      <c r="BG1104" s="46">
        <v>1</v>
      </c>
      <c r="BH1104" s="46">
        <v>1</v>
      </c>
      <c r="BI1104" s="46" t="s">
        <v>804</v>
      </c>
      <c r="BJ1104" s="46" t="s">
        <v>1321</v>
      </c>
      <c r="BK1104" s="46">
        <v>1989</v>
      </c>
      <c r="BL1104" s="46" t="str">
        <f>BK1104&amp;BI1104</f>
        <v>1989Everton</v>
      </c>
      <c r="BM1104" s="52" t="str">
        <f>IF(AD1104="Home",BI1104,IF(AD1104="Away",BJ1104,Q1104))</f>
        <v>Birmingham</v>
      </c>
      <c r="BN1104" s="46"/>
      <c r="BO1104" s="46"/>
      <c r="BP1104" s="46"/>
      <c r="BQ1104" s="46"/>
      <c r="BR1104" s="46"/>
      <c r="BS1104" s="46"/>
      <c r="BT1104" s="46"/>
      <c r="BU1104" s="46"/>
      <c r="BV1104" s="46" t="s">
        <v>376</v>
      </c>
      <c r="BW1104" s="46" t="s">
        <v>376</v>
      </c>
      <c r="BX1104" s="46"/>
      <c r="BY1104" s="52"/>
      <c r="BZ1104" s="53"/>
      <c r="CA1104" s="53"/>
      <c r="CB1104" s="93" t="str">
        <f>IF(OR(C1104="",A1104="",B1104=""),"",TEXT(C1104,"0000")&amp;TEXT(A1104,"00")&amp;TEXT(B1104,"00"))</f>
        <v>19890415</v>
      </c>
    </row>
    <row r="1105" spans="1:80" s="35" customFormat="1" ht="12.95" customHeight="1" x14ac:dyDescent="0.2">
      <c r="A1105" s="46">
        <v>4</v>
      </c>
      <c r="B1105" s="46">
        <v>15</v>
      </c>
      <c r="C1105" s="46">
        <v>1989</v>
      </c>
      <c r="D1105" s="46" t="s">
        <v>658</v>
      </c>
      <c r="E1105" s="46" t="s">
        <v>514</v>
      </c>
      <c r="F1105" s="47" t="s">
        <v>1010</v>
      </c>
      <c r="G1105" s="46"/>
      <c r="H1105" s="47" t="s">
        <v>1011</v>
      </c>
      <c r="I1105" s="47"/>
      <c r="J1105" s="48">
        <v>32613</v>
      </c>
      <c r="K1105" s="46" t="s">
        <v>1321</v>
      </c>
      <c r="L1105" s="46" t="s">
        <v>4</v>
      </c>
      <c r="M1105" s="46" t="s">
        <v>804</v>
      </c>
      <c r="N1105" s="49">
        <v>0</v>
      </c>
      <c r="O1105" s="49">
        <v>1</v>
      </c>
      <c r="P1105" s="47" t="s">
        <v>1219</v>
      </c>
      <c r="Q1105" s="47" t="s">
        <v>1111</v>
      </c>
      <c r="R1105" s="47" t="s">
        <v>376</v>
      </c>
      <c r="S1105" s="46"/>
      <c r="T1105" s="46"/>
      <c r="U1105" s="46"/>
      <c r="V1105" s="46"/>
      <c r="W1105" s="46"/>
      <c r="X1105" s="46"/>
      <c r="Y1105" s="46"/>
      <c r="Z1105" s="46"/>
      <c r="AA1105" s="46"/>
      <c r="AB1105" s="46"/>
      <c r="AC1105" s="46"/>
      <c r="AD1105" s="46"/>
      <c r="AE1105" s="50">
        <f>IF(L1105="W",1,0)</f>
        <v>0</v>
      </c>
      <c r="AF1105" s="50">
        <f>IF(L1105="T",1,0)</f>
        <v>0</v>
      </c>
      <c r="AG1105" s="50">
        <f>IF(L1105="L",1,0)</f>
        <v>1</v>
      </c>
      <c r="AH1105" s="46" t="s">
        <v>1323</v>
      </c>
      <c r="AI1105" s="46" t="s">
        <v>1324</v>
      </c>
      <c r="AJ1105" s="46" t="s">
        <v>376</v>
      </c>
      <c r="AK1105" s="46" t="s">
        <v>658</v>
      </c>
      <c r="AL1105" s="46" t="s">
        <v>588</v>
      </c>
      <c r="AM1105" s="46" t="s">
        <v>1175</v>
      </c>
      <c r="AN1105" s="46" t="s">
        <v>376</v>
      </c>
      <c r="AO1105" s="46" t="s">
        <v>658</v>
      </c>
      <c r="AP1105" s="46"/>
      <c r="AQ1105" s="46">
        <v>2</v>
      </c>
      <c r="AR1105" s="46"/>
      <c r="AS1105" s="46"/>
      <c r="AT1105" s="46"/>
      <c r="AU1105" s="46" t="s">
        <v>376</v>
      </c>
      <c r="AV1105" s="46"/>
      <c r="AW1105" s="46" t="s">
        <v>30</v>
      </c>
      <c r="AX1105" s="46"/>
      <c r="AY1105" s="46" t="s">
        <v>30</v>
      </c>
      <c r="AZ1105" s="46"/>
      <c r="BA1105" s="47"/>
      <c r="BB1105" s="51"/>
      <c r="BC1105" s="46"/>
      <c r="BD1105" s="46"/>
      <c r="BE1105" s="46"/>
      <c r="BF1105" s="46">
        <v>1</v>
      </c>
      <c r="BG1105" s="46">
        <v>1</v>
      </c>
      <c r="BH1105" s="46">
        <v>1</v>
      </c>
      <c r="BI1105" s="46" t="s">
        <v>1321</v>
      </c>
      <c r="BJ1105" s="46" t="s">
        <v>804</v>
      </c>
      <c r="BK1105" s="46">
        <v>1989</v>
      </c>
      <c r="BL1105" s="46" t="str">
        <f>BK1105&amp;BI1105</f>
        <v>1989Norwich City</v>
      </c>
      <c r="BM1105" s="52" t="str">
        <f>IF(AD1105="Home",BI1105,IF(AD1105="Away",BJ1105,Q1105))</f>
        <v>Birmingham</v>
      </c>
      <c r="BN1105" s="46"/>
      <c r="BO1105" s="46"/>
      <c r="BP1105" s="46"/>
      <c r="BQ1105" s="46"/>
      <c r="BR1105" s="46"/>
      <c r="BS1105" s="46"/>
      <c r="BT1105" s="46"/>
      <c r="BU1105" s="46"/>
      <c r="BV1105" s="46" t="s">
        <v>376</v>
      </c>
      <c r="BW1105" s="46" t="s">
        <v>376</v>
      </c>
      <c r="BX1105" s="46"/>
      <c r="BY1105" s="52"/>
      <c r="BZ1105" s="53"/>
      <c r="CA1105" s="53"/>
      <c r="CB1105" s="93" t="str">
        <f>IF(OR(C1105="",A1105="",B1105=""),"",TEXT(C1105,"0000")&amp;TEXT(A1105,"00")&amp;TEXT(B1105,"00"))</f>
        <v>19890415</v>
      </c>
    </row>
    <row r="1106" spans="1:80" s="35" customFormat="1" ht="12.95" customHeight="1" x14ac:dyDescent="0.2">
      <c r="A1106" s="46">
        <v>5</v>
      </c>
      <c r="B1106" s="46">
        <v>7</v>
      </c>
      <c r="C1106" s="46">
        <v>1989</v>
      </c>
      <c r="D1106" s="46" t="s">
        <v>658</v>
      </c>
      <c r="E1106" s="46" t="s">
        <v>514</v>
      </c>
      <c r="F1106" s="47" t="s">
        <v>1010</v>
      </c>
      <c r="G1106" s="46"/>
      <c r="H1106" s="47" t="s">
        <v>1011</v>
      </c>
      <c r="I1106" s="47"/>
      <c r="J1106" s="48">
        <v>32635</v>
      </c>
      <c r="K1106" s="46" t="s">
        <v>588</v>
      </c>
      <c r="L1106" s="46" t="s">
        <v>3</v>
      </c>
      <c r="M1106" s="46" t="s">
        <v>1072</v>
      </c>
      <c r="N1106" s="49">
        <v>3</v>
      </c>
      <c r="O1106" s="49">
        <v>1</v>
      </c>
      <c r="P1106" s="47" t="s">
        <v>1246</v>
      </c>
      <c r="Q1106" s="47" t="s">
        <v>1101</v>
      </c>
      <c r="R1106" s="47" t="s">
        <v>376</v>
      </c>
      <c r="S1106" s="46"/>
      <c r="T1106" s="46"/>
      <c r="U1106" s="46"/>
      <c r="V1106" s="46"/>
      <c r="W1106" s="46"/>
      <c r="X1106" s="46"/>
      <c r="Y1106" s="46"/>
      <c r="Z1106" s="46"/>
      <c r="AA1106" s="46"/>
      <c r="AB1106" s="46"/>
      <c r="AC1106" s="46"/>
      <c r="AD1106" s="46"/>
      <c r="AE1106" s="50">
        <f>IF(L1106="W",1,0)</f>
        <v>1</v>
      </c>
      <c r="AF1106" s="50">
        <f>IF(L1106="T",1,0)</f>
        <v>0</v>
      </c>
      <c r="AG1106" s="50">
        <f>IF(L1106="L",1,0)</f>
        <v>0</v>
      </c>
      <c r="AH1106" s="46" t="s">
        <v>588</v>
      </c>
      <c r="AI1106" s="46" t="s">
        <v>1175</v>
      </c>
      <c r="AJ1106" s="46" t="s">
        <v>376</v>
      </c>
      <c r="AK1106" s="46" t="s">
        <v>658</v>
      </c>
      <c r="AL1106" s="46" t="s">
        <v>1073</v>
      </c>
      <c r="AM1106" s="46" t="s">
        <v>1074</v>
      </c>
      <c r="AN1106" s="46" t="s">
        <v>376</v>
      </c>
      <c r="AO1106" s="46" t="s">
        <v>658</v>
      </c>
      <c r="AP1106" s="46"/>
      <c r="AQ1106" s="46">
        <v>2</v>
      </c>
      <c r="AR1106" s="46"/>
      <c r="AS1106" s="46"/>
      <c r="AT1106" s="46"/>
      <c r="AU1106" s="46" t="s">
        <v>376</v>
      </c>
      <c r="AV1106" s="46"/>
      <c r="AW1106" s="46" t="s">
        <v>30</v>
      </c>
      <c r="AX1106" s="46"/>
      <c r="AY1106" s="46" t="s">
        <v>30</v>
      </c>
      <c r="AZ1106" s="46"/>
      <c r="BA1106" s="47"/>
      <c r="BB1106" s="51"/>
      <c r="BC1106" s="46"/>
      <c r="BD1106" s="46"/>
      <c r="BE1106" s="46"/>
      <c r="BF1106" s="46">
        <v>1</v>
      </c>
      <c r="BG1106" s="46">
        <v>1</v>
      </c>
      <c r="BH1106" s="46">
        <v>1</v>
      </c>
      <c r="BI1106" s="46" t="s">
        <v>588</v>
      </c>
      <c r="BJ1106" s="46" t="s">
        <v>1072</v>
      </c>
      <c r="BK1106" s="46">
        <v>1989</v>
      </c>
      <c r="BL1106" s="46" t="str">
        <f>BK1106&amp;BI1106</f>
        <v>1989Liverpool</v>
      </c>
      <c r="BM1106" s="52" t="str">
        <f>IF(AD1106="Home",BI1106,IF(AD1106="Away",BJ1106,Q1106))</f>
        <v>Manchester</v>
      </c>
      <c r="BN1106" s="46"/>
      <c r="BO1106" s="46"/>
      <c r="BP1106" s="46"/>
      <c r="BQ1106" s="46"/>
      <c r="BR1106" s="46"/>
      <c r="BS1106" s="46"/>
      <c r="BT1106" s="46"/>
      <c r="BU1106" s="46"/>
      <c r="BV1106" s="46" t="s">
        <v>376</v>
      </c>
      <c r="BW1106" s="46" t="s">
        <v>376</v>
      </c>
      <c r="BX1106" s="46"/>
      <c r="BY1106" s="52"/>
      <c r="BZ1106" s="53"/>
      <c r="CA1106" s="53"/>
      <c r="CB1106" s="93" t="str">
        <f>IF(OR(C1106="",A1106="",B1106=""),"",TEXT(C1106,"0000")&amp;TEXT(A1106,"00")&amp;TEXT(B1106,"00"))</f>
        <v>19890507</v>
      </c>
    </row>
    <row r="1107" spans="1:80" s="35" customFormat="1" ht="12.95" customHeight="1" x14ac:dyDescent="0.2">
      <c r="A1107" s="46">
        <v>5</v>
      </c>
      <c r="B1107" s="46">
        <v>7</v>
      </c>
      <c r="C1107" s="46">
        <v>1989</v>
      </c>
      <c r="D1107" s="46" t="s">
        <v>658</v>
      </c>
      <c r="E1107" s="46" t="s">
        <v>514</v>
      </c>
      <c r="F1107" s="47" t="s">
        <v>1010</v>
      </c>
      <c r="G1107" s="46"/>
      <c r="H1107" s="47" t="s">
        <v>1011</v>
      </c>
      <c r="I1107" s="47"/>
      <c r="J1107" s="48">
        <v>32635</v>
      </c>
      <c r="K1107" s="46" t="s">
        <v>1072</v>
      </c>
      <c r="L1107" s="46" t="s">
        <v>4</v>
      </c>
      <c r="M1107" s="46" t="s">
        <v>588</v>
      </c>
      <c r="N1107" s="49">
        <v>1</v>
      </c>
      <c r="O1107" s="49">
        <v>3</v>
      </c>
      <c r="P1107" s="47" t="s">
        <v>1246</v>
      </c>
      <c r="Q1107" s="47" t="s">
        <v>1101</v>
      </c>
      <c r="R1107" s="47" t="s">
        <v>376</v>
      </c>
      <c r="S1107" s="46"/>
      <c r="T1107" s="46"/>
      <c r="U1107" s="46"/>
      <c r="V1107" s="46"/>
      <c r="W1107" s="46"/>
      <c r="X1107" s="46"/>
      <c r="Y1107" s="46"/>
      <c r="Z1107" s="46"/>
      <c r="AA1107" s="46"/>
      <c r="AB1107" s="46"/>
      <c r="AC1107" s="46"/>
      <c r="AD1107" s="46"/>
      <c r="AE1107" s="50">
        <f>IF(L1107="W",1,0)</f>
        <v>0</v>
      </c>
      <c r="AF1107" s="50">
        <f>IF(L1107="T",1,0)</f>
        <v>0</v>
      </c>
      <c r="AG1107" s="50">
        <f>IF(L1107="L",1,0)</f>
        <v>1</v>
      </c>
      <c r="AH1107" s="46" t="s">
        <v>1073</v>
      </c>
      <c r="AI1107" s="46" t="s">
        <v>1074</v>
      </c>
      <c r="AJ1107" s="46" t="s">
        <v>376</v>
      </c>
      <c r="AK1107" s="46" t="s">
        <v>658</v>
      </c>
      <c r="AL1107" s="46" t="s">
        <v>588</v>
      </c>
      <c r="AM1107" s="46" t="s">
        <v>1175</v>
      </c>
      <c r="AN1107" s="46" t="s">
        <v>376</v>
      </c>
      <c r="AO1107" s="46" t="s">
        <v>658</v>
      </c>
      <c r="AP1107" s="46"/>
      <c r="AQ1107" s="46">
        <v>2</v>
      </c>
      <c r="AR1107" s="46"/>
      <c r="AS1107" s="46"/>
      <c r="AT1107" s="46"/>
      <c r="AU1107" s="46" t="s">
        <v>376</v>
      </c>
      <c r="AV1107" s="46"/>
      <c r="AW1107" s="46" t="s">
        <v>30</v>
      </c>
      <c r="AX1107" s="46"/>
      <c r="AY1107" s="46" t="s">
        <v>30</v>
      </c>
      <c r="AZ1107" s="46"/>
      <c r="BA1107" s="47"/>
      <c r="BB1107" s="51"/>
      <c r="BC1107" s="46"/>
      <c r="BD1107" s="46"/>
      <c r="BE1107" s="46"/>
      <c r="BF1107" s="46">
        <v>1</v>
      </c>
      <c r="BG1107" s="46">
        <v>1</v>
      </c>
      <c r="BH1107" s="46">
        <v>1</v>
      </c>
      <c r="BI1107" s="46" t="s">
        <v>1072</v>
      </c>
      <c r="BJ1107" s="46" t="s">
        <v>588</v>
      </c>
      <c r="BK1107" s="46">
        <v>1989</v>
      </c>
      <c r="BL1107" s="46" t="str">
        <f>BK1107&amp;BI1107</f>
        <v>1989Nottingham Forest</v>
      </c>
      <c r="BM1107" s="52" t="str">
        <f>IF(AD1107="Home",BI1107,IF(AD1107="Away",BJ1107,Q1107))</f>
        <v>Manchester</v>
      </c>
      <c r="BN1107" s="46"/>
      <c r="BO1107" s="46"/>
      <c r="BP1107" s="46"/>
      <c r="BQ1107" s="46"/>
      <c r="BR1107" s="46"/>
      <c r="BS1107" s="46"/>
      <c r="BT1107" s="46"/>
      <c r="BU1107" s="46"/>
      <c r="BV1107" s="46" t="s">
        <v>376</v>
      </c>
      <c r="BW1107" s="46" t="s">
        <v>376</v>
      </c>
      <c r="BX1107" s="46"/>
      <c r="BY1107" s="52"/>
      <c r="BZ1107" s="53"/>
      <c r="CA1107" s="53"/>
      <c r="CB1107" s="93" t="str">
        <f>IF(OR(C1107="",A1107="",B1107=""),"",TEXT(C1107,"0000")&amp;TEXT(A1107,"00")&amp;TEXT(B1107,"00"))</f>
        <v>19890507</v>
      </c>
    </row>
    <row r="1108" spans="1:80" s="35" customFormat="1" ht="12.95" customHeight="1" x14ac:dyDescent="0.2">
      <c r="A1108" s="46">
        <v>5</v>
      </c>
      <c r="B1108" s="46">
        <v>20</v>
      </c>
      <c r="C1108" s="46">
        <v>1989</v>
      </c>
      <c r="D1108" s="46" t="s">
        <v>658</v>
      </c>
      <c r="E1108" s="46" t="s">
        <v>514</v>
      </c>
      <c r="F1108" s="47" t="s">
        <v>1010</v>
      </c>
      <c r="G1108" s="46"/>
      <c r="H1108" s="47" t="s">
        <v>1025</v>
      </c>
      <c r="I1108" s="47"/>
      <c r="J1108" s="48">
        <v>32648</v>
      </c>
      <c r="K1108" s="46" t="s">
        <v>588</v>
      </c>
      <c r="L1108" s="46" t="s">
        <v>3</v>
      </c>
      <c r="M1108" s="46" t="s">
        <v>804</v>
      </c>
      <c r="N1108" s="49">
        <v>3</v>
      </c>
      <c r="O1108" s="49">
        <v>2</v>
      </c>
      <c r="P1108" s="47" t="s">
        <v>1268</v>
      </c>
      <c r="Q1108" s="47" t="s">
        <v>1017</v>
      </c>
      <c r="R1108" s="47" t="s">
        <v>376</v>
      </c>
      <c r="S1108" s="46"/>
      <c r="T1108" s="46"/>
      <c r="U1108" s="46"/>
      <c r="V1108" s="46"/>
      <c r="W1108" s="46"/>
      <c r="X1108" s="46"/>
      <c r="Y1108" s="46"/>
      <c r="Z1108" s="46"/>
      <c r="AA1108" s="46"/>
      <c r="AB1108" s="46"/>
      <c r="AC1108" s="46"/>
      <c r="AD1108" s="46"/>
      <c r="AE1108" s="50">
        <f>IF(L1108="W",1,0)</f>
        <v>1</v>
      </c>
      <c r="AF1108" s="50">
        <f>IF(L1108="T",1,0)</f>
        <v>0</v>
      </c>
      <c r="AG1108" s="50">
        <f>IF(L1108="L",1,0)</f>
        <v>0</v>
      </c>
      <c r="AH1108" s="46" t="s">
        <v>588</v>
      </c>
      <c r="AI1108" s="46" t="s">
        <v>1175</v>
      </c>
      <c r="AJ1108" s="46" t="s">
        <v>376</v>
      </c>
      <c r="AK1108" s="46" t="s">
        <v>658</v>
      </c>
      <c r="AL1108" s="46" t="s">
        <v>588</v>
      </c>
      <c r="AM1108" s="46" t="s">
        <v>1175</v>
      </c>
      <c r="AN1108" s="46" t="s">
        <v>376</v>
      </c>
      <c r="AO1108" s="46" t="s">
        <v>658</v>
      </c>
      <c r="AP1108" s="46"/>
      <c r="AQ1108" s="46">
        <v>1</v>
      </c>
      <c r="AR1108" s="46"/>
      <c r="AS1108" s="46"/>
      <c r="AT1108" s="46" t="s">
        <v>1229</v>
      </c>
      <c r="AU1108" s="46" t="s">
        <v>376</v>
      </c>
      <c r="AV1108" s="46"/>
      <c r="AW1108" s="46" t="s">
        <v>30</v>
      </c>
      <c r="AX1108" s="46"/>
      <c r="AY1108" s="46" t="s">
        <v>30</v>
      </c>
      <c r="AZ1108" s="46"/>
      <c r="BA1108" s="47"/>
      <c r="BB1108" s="51" t="s">
        <v>30</v>
      </c>
      <c r="BC1108" s="46" t="s">
        <v>30</v>
      </c>
      <c r="BD1108" s="46"/>
      <c r="BE1108" s="46"/>
      <c r="BF1108" s="46">
        <v>1</v>
      </c>
      <c r="BG1108" s="46">
        <v>1</v>
      </c>
      <c r="BH1108" s="46">
        <v>1</v>
      </c>
      <c r="BI1108" s="46" t="s">
        <v>588</v>
      </c>
      <c r="BJ1108" s="46" t="s">
        <v>804</v>
      </c>
      <c r="BK1108" s="46">
        <v>1989</v>
      </c>
      <c r="BL1108" s="46" t="str">
        <f>BK1108&amp;BI1108</f>
        <v>1989Liverpool</v>
      </c>
      <c r="BM1108" s="52" t="str">
        <f>IF(AD1108="Home",BI1108,IF(AD1108="Away",BJ1108,Q1108))</f>
        <v>London</v>
      </c>
      <c r="BN1108" s="46"/>
      <c r="BO1108" s="46"/>
      <c r="BP1108" s="46"/>
      <c r="BQ1108" s="46"/>
      <c r="BR1108" s="46"/>
      <c r="BS1108" s="46"/>
      <c r="BT1108" s="46"/>
      <c r="BU1108" s="46"/>
      <c r="BV1108" s="46" t="s">
        <v>376</v>
      </c>
      <c r="BW1108" s="46" t="s">
        <v>376</v>
      </c>
      <c r="BX1108" s="46"/>
      <c r="BY1108" s="52"/>
      <c r="BZ1108" s="53"/>
      <c r="CA1108" s="53"/>
      <c r="CB1108" s="93" t="str">
        <f>IF(OR(C1108="",A1108="",B1108=""),"",TEXT(C1108,"0000")&amp;TEXT(A1108,"00")&amp;TEXT(B1108,"00"))</f>
        <v>19890520</v>
      </c>
    </row>
    <row r="1109" spans="1:80" s="35" customFormat="1" ht="12.95" customHeight="1" x14ac:dyDescent="0.2">
      <c r="A1109" s="46">
        <v>5</v>
      </c>
      <c r="B1109" s="46">
        <v>20</v>
      </c>
      <c r="C1109" s="46">
        <v>1989</v>
      </c>
      <c r="D1109" s="46" t="s">
        <v>658</v>
      </c>
      <c r="E1109" s="46" t="s">
        <v>514</v>
      </c>
      <c r="F1109" s="47" t="s">
        <v>1010</v>
      </c>
      <c r="G1109" s="46"/>
      <c r="H1109" s="47" t="s">
        <v>1025</v>
      </c>
      <c r="I1109" s="47"/>
      <c r="J1109" s="48">
        <v>32648</v>
      </c>
      <c r="K1109" s="46" t="s">
        <v>804</v>
      </c>
      <c r="L1109" s="46" t="s">
        <v>4</v>
      </c>
      <c r="M1109" s="46" t="s">
        <v>588</v>
      </c>
      <c r="N1109" s="49">
        <v>2</v>
      </c>
      <c r="O1109" s="49">
        <v>3</v>
      </c>
      <c r="P1109" s="47" t="s">
        <v>1268</v>
      </c>
      <c r="Q1109" s="47" t="s">
        <v>1017</v>
      </c>
      <c r="R1109" s="47" t="s">
        <v>376</v>
      </c>
      <c r="S1109" s="46"/>
      <c r="T1109" s="46"/>
      <c r="U1109" s="46"/>
      <c r="V1109" s="46"/>
      <c r="W1109" s="46"/>
      <c r="X1109" s="46"/>
      <c r="Y1109" s="46"/>
      <c r="Z1109" s="46"/>
      <c r="AA1109" s="46"/>
      <c r="AB1109" s="46"/>
      <c r="AC1109" s="46"/>
      <c r="AD1109" s="46"/>
      <c r="AE1109" s="50">
        <f>IF(L1109="W",1,0)</f>
        <v>0</v>
      </c>
      <c r="AF1109" s="50">
        <f>IF(L1109="T",1,0)</f>
        <v>0</v>
      </c>
      <c r="AG1109" s="50">
        <f>IF(L1109="L",1,0)</f>
        <v>1</v>
      </c>
      <c r="AH1109" s="46" t="s">
        <v>588</v>
      </c>
      <c r="AI1109" s="46" t="s">
        <v>1175</v>
      </c>
      <c r="AJ1109" s="46" t="s">
        <v>376</v>
      </c>
      <c r="AK1109" s="46" t="s">
        <v>658</v>
      </c>
      <c r="AL1109" s="46" t="s">
        <v>588</v>
      </c>
      <c r="AM1109" s="46" t="s">
        <v>1175</v>
      </c>
      <c r="AN1109" s="46" t="s">
        <v>376</v>
      </c>
      <c r="AO1109" s="46" t="s">
        <v>658</v>
      </c>
      <c r="AP1109" s="46"/>
      <c r="AQ1109" s="46">
        <v>1</v>
      </c>
      <c r="AR1109" s="46"/>
      <c r="AS1109" s="46"/>
      <c r="AT1109" s="46" t="s">
        <v>1229</v>
      </c>
      <c r="AU1109" s="46" t="s">
        <v>376</v>
      </c>
      <c r="AV1109" s="46"/>
      <c r="AW1109" s="46" t="s">
        <v>30</v>
      </c>
      <c r="AX1109" s="46"/>
      <c r="AY1109" s="46" t="s">
        <v>30</v>
      </c>
      <c r="AZ1109" s="46"/>
      <c r="BA1109" s="47"/>
      <c r="BB1109" s="51"/>
      <c r="BC1109" s="46" t="s">
        <v>30</v>
      </c>
      <c r="BD1109" s="46"/>
      <c r="BE1109" s="46"/>
      <c r="BF1109" s="46">
        <v>1</v>
      </c>
      <c r="BG1109" s="46">
        <v>1</v>
      </c>
      <c r="BH1109" s="46">
        <v>1</v>
      </c>
      <c r="BI1109" s="46" t="s">
        <v>804</v>
      </c>
      <c r="BJ1109" s="46" t="s">
        <v>588</v>
      </c>
      <c r="BK1109" s="46">
        <v>1989</v>
      </c>
      <c r="BL1109" s="46" t="str">
        <f>BK1109&amp;BI1109</f>
        <v>1989Everton</v>
      </c>
      <c r="BM1109" s="52" t="str">
        <f>IF(AD1109="Home",BI1109,IF(AD1109="Away",BJ1109,Q1109))</f>
        <v>London</v>
      </c>
      <c r="BN1109" s="46"/>
      <c r="BO1109" s="46"/>
      <c r="BP1109" s="46"/>
      <c r="BQ1109" s="46"/>
      <c r="BR1109" s="46"/>
      <c r="BS1109" s="46"/>
      <c r="BT1109" s="46"/>
      <c r="BU1109" s="46"/>
      <c r="BV1109" s="46" t="s">
        <v>376</v>
      </c>
      <c r="BW1109" s="46" t="s">
        <v>376</v>
      </c>
      <c r="BX1109" s="46"/>
      <c r="BY1109" s="52"/>
      <c r="BZ1109" s="53"/>
      <c r="CA1109" s="53"/>
      <c r="CB1109" s="93" t="str">
        <f>IF(OR(C1109="",A1109="",B1109=""),"",TEXT(C1109,"0000")&amp;TEXT(A1109,"00")&amp;TEXT(B1109,"00"))</f>
        <v>19890520</v>
      </c>
    </row>
    <row r="1110" spans="1:80" s="35" customFormat="1" ht="12.95" customHeight="1" x14ac:dyDescent="0.2">
      <c r="A1110" s="46">
        <v>2</v>
      </c>
      <c r="B1110" s="46">
        <v>11</v>
      </c>
      <c r="C1110" s="46">
        <v>1990</v>
      </c>
      <c r="D1110" s="46" t="s">
        <v>658</v>
      </c>
      <c r="E1110" s="46" t="s">
        <v>497</v>
      </c>
      <c r="F1110" s="54" t="s">
        <v>1327</v>
      </c>
      <c r="G1110" s="46"/>
      <c r="H1110" s="54" t="s">
        <v>1011</v>
      </c>
      <c r="I1110" s="54">
        <v>1</v>
      </c>
      <c r="J1110" s="55">
        <v>32915</v>
      </c>
      <c r="K1110" s="46" t="s">
        <v>1072</v>
      </c>
      <c r="L1110" s="46" t="s">
        <v>3</v>
      </c>
      <c r="M1110" s="46" t="s">
        <v>1377</v>
      </c>
      <c r="N1110" s="49">
        <v>2</v>
      </c>
      <c r="O1110" s="49">
        <v>1</v>
      </c>
      <c r="P1110" s="54" t="s">
        <v>1135</v>
      </c>
      <c r="Q1110" s="54" t="s">
        <v>1073</v>
      </c>
      <c r="R1110" s="54" t="s">
        <v>376</v>
      </c>
      <c r="S1110" s="46"/>
      <c r="T1110" s="46"/>
      <c r="U1110" s="46"/>
      <c r="V1110" s="46"/>
      <c r="W1110" s="46"/>
      <c r="X1110" s="46"/>
      <c r="Y1110" s="46"/>
      <c r="Z1110" s="46"/>
      <c r="AA1110" s="46"/>
      <c r="AB1110" s="46"/>
      <c r="AC1110" s="46"/>
      <c r="AD1110" s="46" t="s">
        <v>1033</v>
      </c>
      <c r="AE1110" s="50">
        <f>IF(L1110="W",1,0)</f>
        <v>1</v>
      </c>
      <c r="AF1110" s="50">
        <f>IF(L1110="T",1,0)</f>
        <v>0</v>
      </c>
      <c r="AG1110" s="50">
        <f>IF(L1110="L",1,0)</f>
        <v>0</v>
      </c>
      <c r="AH1110" s="46" t="s">
        <v>1073</v>
      </c>
      <c r="AI1110" s="46" t="s">
        <v>1074</v>
      </c>
      <c r="AJ1110" s="46" t="s">
        <v>376</v>
      </c>
      <c r="AK1110" s="46" t="s">
        <v>658</v>
      </c>
      <c r="AL1110" s="46" t="s">
        <v>1376</v>
      </c>
      <c r="AM1110" s="46" t="s">
        <v>1126</v>
      </c>
      <c r="AN1110" s="46" t="s">
        <v>376</v>
      </c>
      <c r="AO1110" s="46" t="s">
        <v>658</v>
      </c>
      <c r="AP1110" s="46"/>
      <c r="AQ1110" s="46">
        <v>2</v>
      </c>
      <c r="AR1110" s="46"/>
      <c r="AS1110" s="46"/>
      <c r="AT1110" s="46"/>
      <c r="AU1110" s="46" t="s">
        <v>376</v>
      </c>
      <c r="AV1110" s="46"/>
      <c r="AW1110" s="46" t="s">
        <v>30</v>
      </c>
      <c r="AX1110" s="46"/>
      <c r="AY1110" s="46"/>
      <c r="AZ1110" s="46" t="s">
        <v>30</v>
      </c>
      <c r="BA1110" s="54"/>
      <c r="BB1110" s="51"/>
      <c r="BC1110" s="46"/>
      <c r="BD1110" s="46"/>
      <c r="BE1110" s="46"/>
      <c r="BF1110" s="46">
        <v>1</v>
      </c>
      <c r="BG1110" s="46">
        <v>1</v>
      </c>
      <c r="BH1110" s="46">
        <v>1</v>
      </c>
      <c r="BI1110" s="46" t="s">
        <v>1072</v>
      </c>
      <c r="BJ1110" s="46" t="s">
        <v>1377</v>
      </c>
      <c r="BK1110" s="46">
        <v>1990</v>
      </c>
      <c r="BL1110" s="46" t="str">
        <f>BK1110&amp;BI1110</f>
        <v>1990Nottingham Forest</v>
      </c>
      <c r="BM1110" s="52" t="str">
        <f>IF(AD1110="Home",BI1110,IF(AD1110="Away",BJ1110,Q1110))</f>
        <v>Nottingham Forest</v>
      </c>
      <c r="BN1110" s="46"/>
      <c r="BO1110" s="46"/>
      <c r="BP1110" s="46"/>
      <c r="BQ1110" s="46"/>
      <c r="BR1110" s="46"/>
      <c r="BS1110" s="46"/>
      <c r="BT1110" s="46"/>
      <c r="BU1110" s="46"/>
      <c r="BV1110" s="46" t="s">
        <v>376</v>
      </c>
      <c r="BW1110" s="46" t="s">
        <v>376</v>
      </c>
      <c r="BX1110" s="46"/>
      <c r="BZ1110" s="53"/>
      <c r="CA1110" s="53"/>
      <c r="CB1110" s="93" t="str">
        <f>IF(OR(C1110="",A1110="",B1110=""),"",TEXT(C1110,"0000")&amp;TEXT(A1110,"00")&amp;TEXT(B1110,"00"))</f>
        <v>19900211</v>
      </c>
    </row>
    <row r="1111" spans="1:80" s="35" customFormat="1" ht="12.95" customHeight="1" x14ac:dyDescent="0.2">
      <c r="A1111" s="46">
        <v>2</v>
      </c>
      <c r="B1111" s="46">
        <v>11</v>
      </c>
      <c r="C1111" s="46">
        <v>1990</v>
      </c>
      <c r="D1111" s="46" t="s">
        <v>658</v>
      </c>
      <c r="E1111" s="46" t="s">
        <v>497</v>
      </c>
      <c r="F1111" s="54" t="s">
        <v>1327</v>
      </c>
      <c r="G1111" s="46"/>
      <c r="H1111" s="54" t="s">
        <v>1011</v>
      </c>
      <c r="I1111" s="54">
        <v>1</v>
      </c>
      <c r="J1111" s="55">
        <v>32915</v>
      </c>
      <c r="K1111" s="46" t="s">
        <v>1377</v>
      </c>
      <c r="L1111" s="46" t="s">
        <v>4</v>
      </c>
      <c r="M1111" s="46" t="s">
        <v>1072</v>
      </c>
      <c r="N1111" s="49">
        <v>1</v>
      </c>
      <c r="O1111" s="49">
        <v>2</v>
      </c>
      <c r="P1111" s="54" t="s">
        <v>1135</v>
      </c>
      <c r="Q1111" s="54" t="s">
        <v>1073</v>
      </c>
      <c r="R1111" s="54" t="s">
        <v>376</v>
      </c>
      <c r="S1111" s="46"/>
      <c r="T1111" s="46"/>
      <c r="U1111" s="46"/>
      <c r="V1111" s="46"/>
      <c r="W1111" s="46"/>
      <c r="X1111" s="46"/>
      <c r="Y1111" s="46"/>
      <c r="Z1111" s="46"/>
      <c r="AA1111" s="46"/>
      <c r="AB1111" s="46"/>
      <c r="AC1111" s="46"/>
      <c r="AD1111" s="46" t="s">
        <v>1037</v>
      </c>
      <c r="AE1111" s="50">
        <f>IF(L1111="W",1,0)</f>
        <v>0</v>
      </c>
      <c r="AF1111" s="50">
        <f>IF(L1111="T",1,0)</f>
        <v>0</v>
      </c>
      <c r="AG1111" s="50">
        <f>IF(L1111="L",1,0)</f>
        <v>1</v>
      </c>
      <c r="AH1111" s="46" t="s">
        <v>1376</v>
      </c>
      <c r="AI1111" s="46" t="s">
        <v>1126</v>
      </c>
      <c r="AJ1111" s="46" t="s">
        <v>376</v>
      </c>
      <c r="AK1111" s="46" t="s">
        <v>658</v>
      </c>
      <c r="AL1111" s="46" t="s">
        <v>1073</v>
      </c>
      <c r="AM1111" s="46" t="s">
        <v>1074</v>
      </c>
      <c r="AN1111" s="46" t="s">
        <v>376</v>
      </c>
      <c r="AO1111" s="46" t="s">
        <v>658</v>
      </c>
      <c r="AP1111" s="46"/>
      <c r="AQ1111" s="46">
        <v>2</v>
      </c>
      <c r="AR1111" s="46"/>
      <c r="AS1111" s="46"/>
      <c r="AT1111" s="46"/>
      <c r="AU1111" s="46" t="s">
        <v>376</v>
      </c>
      <c r="AV1111" s="46"/>
      <c r="AW1111" s="46" t="s">
        <v>30</v>
      </c>
      <c r="AX1111" s="46"/>
      <c r="AY1111" s="46"/>
      <c r="AZ1111" s="46" t="s">
        <v>30</v>
      </c>
      <c r="BA1111" s="54"/>
      <c r="BB1111" s="51"/>
      <c r="BC1111" s="46"/>
      <c r="BD1111" s="46"/>
      <c r="BE1111" s="46"/>
      <c r="BF1111" s="46">
        <v>1</v>
      </c>
      <c r="BG1111" s="46">
        <v>1</v>
      </c>
      <c r="BH1111" s="46">
        <v>1</v>
      </c>
      <c r="BI1111" s="46" t="s">
        <v>1377</v>
      </c>
      <c r="BJ1111" s="46" t="s">
        <v>1072</v>
      </c>
      <c r="BK1111" s="46">
        <v>1990</v>
      </c>
      <c r="BL1111" s="46" t="str">
        <f>BK1111&amp;BI1111</f>
        <v>1990Coventry City</v>
      </c>
      <c r="BM1111" s="52" t="str">
        <f>IF(AD1111="Home",BI1111,IF(AD1111="Away",BJ1111,Q1111))</f>
        <v>Nottingham Forest</v>
      </c>
      <c r="BN1111" s="46"/>
      <c r="BO1111" s="46"/>
      <c r="BP1111" s="46"/>
      <c r="BQ1111" s="46"/>
      <c r="BR1111" s="46"/>
      <c r="BS1111" s="46"/>
      <c r="BT1111" s="46"/>
      <c r="BU1111" s="46"/>
      <c r="BV1111" s="46" t="s">
        <v>376</v>
      </c>
      <c r="BW1111" s="46" t="s">
        <v>376</v>
      </c>
      <c r="BX1111" s="46"/>
      <c r="BZ1111" s="53"/>
      <c r="CA1111" s="53"/>
      <c r="CB1111" s="93" t="str">
        <f>IF(OR(C1111="",A1111="",B1111=""),"",TEXT(C1111,"0000")&amp;TEXT(A1111,"00")&amp;TEXT(B1111,"00"))</f>
        <v>19900211</v>
      </c>
    </row>
    <row r="1112" spans="1:80" s="35" customFormat="1" ht="12.95" customHeight="1" x14ac:dyDescent="0.2">
      <c r="A1112" s="46">
        <v>2</v>
      </c>
      <c r="B1112" s="46">
        <v>14</v>
      </c>
      <c r="C1112" s="46">
        <v>1990</v>
      </c>
      <c r="D1112" s="46" t="s">
        <v>658</v>
      </c>
      <c r="E1112" s="46" t="s">
        <v>497</v>
      </c>
      <c r="F1112" s="54" t="s">
        <v>1327</v>
      </c>
      <c r="G1112" s="46"/>
      <c r="H1112" s="54" t="s">
        <v>1011</v>
      </c>
      <c r="I1112" s="54">
        <v>1</v>
      </c>
      <c r="J1112" s="55">
        <v>32918</v>
      </c>
      <c r="K1112" s="46" t="s">
        <v>1254</v>
      </c>
      <c r="L1112" s="46" t="s">
        <v>3</v>
      </c>
      <c r="M1112" s="46" t="s">
        <v>803</v>
      </c>
      <c r="N1112" s="49">
        <v>6</v>
      </c>
      <c r="O1112" s="49">
        <v>0</v>
      </c>
      <c r="P1112" s="54" t="s">
        <v>1389</v>
      </c>
      <c r="Q1112" s="54" t="s">
        <v>1101</v>
      </c>
      <c r="R1112" s="54" t="s">
        <v>376</v>
      </c>
      <c r="S1112" s="46"/>
      <c r="T1112" s="46"/>
      <c r="U1112" s="46"/>
      <c r="V1112" s="46"/>
      <c r="W1112" s="46"/>
      <c r="X1112" s="46"/>
      <c r="Y1112" s="46"/>
      <c r="Z1112" s="46"/>
      <c r="AA1112" s="46"/>
      <c r="AB1112" s="46"/>
      <c r="AC1112" s="46"/>
      <c r="AD1112" s="46" t="s">
        <v>1033</v>
      </c>
      <c r="AE1112" s="50">
        <f>IF(L1112="W",1,0)</f>
        <v>1</v>
      </c>
      <c r="AF1112" s="50">
        <f>IF(L1112="T",1,0)</f>
        <v>0</v>
      </c>
      <c r="AG1112" s="50">
        <f>IF(L1112="L",1,0)</f>
        <v>0</v>
      </c>
      <c r="AH1112" s="46" t="s">
        <v>1101</v>
      </c>
      <c r="AI1112" s="46" t="s">
        <v>1159</v>
      </c>
      <c r="AJ1112" s="46" t="s">
        <v>376</v>
      </c>
      <c r="AK1112" s="46" t="s">
        <v>658</v>
      </c>
      <c r="AL1112" s="46" t="s">
        <v>1017</v>
      </c>
      <c r="AM1112" s="46" t="s">
        <v>1018</v>
      </c>
      <c r="AN1112" s="46" t="s">
        <v>376</v>
      </c>
      <c r="AO1112" s="46" t="s">
        <v>658</v>
      </c>
      <c r="AP1112" s="46"/>
      <c r="AQ1112" s="46">
        <v>2</v>
      </c>
      <c r="AR1112" s="46"/>
      <c r="AS1112" s="46"/>
      <c r="AT1112" s="46"/>
      <c r="AU1112" s="46" t="s">
        <v>376</v>
      </c>
      <c r="AV1112" s="46"/>
      <c r="AW1112" s="46" t="s">
        <v>30</v>
      </c>
      <c r="AX1112" s="46"/>
      <c r="AY1112" s="46"/>
      <c r="AZ1112" s="46" t="s">
        <v>30</v>
      </c>
      <c r="BA1112" s="54"/>
      <c r="BB1112" s="51"/>
      <c r="BC1112" s="46"/>
      <c r="BD1112" s="46"/>
      <c r="BE1112" s="46"/>
      <c r="BF1112" s="46">
        <v>1</v>
      </c>
      <c r="BG1112" s="46">
        <v>2</v>
      </c>
      <c r="BH1112" s="46">
        <v>2</v>
      </c>
      <c r="BI1112" s="46" t="s">
        <v>1254</v>
      </c>
      <c r="BJ1112" s="46" t="s">
        <v>803</v>
      </c>
      <c r="BK1112" s="46">
        <v>1990</v>
      </c>
      <c r="BL1112" s="46" t="str">
        <f>BK1112&amp;BI1112</f>
        <v>1990Oldham Athletic</v>
      </c>
      <c r="BM1112" s="52" t="str">
        <f>IF(AD1112="Home",BI1112,IF(AD1112="Away",BJ1112,Q1112))</f>
        <v>Oldham Athletic</v>
      </c>
      <c r="BN1112" s="46"/>
      <c r="BO1112" s="46"/>
      <c r="BP1112" s="46"/>
      <c r="BQ1112" s="46"/>
      <c r="BR1112" s="46"/>
      <c r="BS1112" s="46"/>
      <c r="BT1112" s="46"/>
      <c r="BU1112" s="46"/>
      <c r="BV1112" s="46" t="s">
        <v>376</v>
      </c>
      <c r="BW1112" s="46" t="s">
        <v>376</v>
      </c>
      <c r="BX1112" s="46"/>
      <c r="BY1112" s="52"/>
      <c r="BZ1112" s="53"/>
      <c r="CA1112" s="53"/>
      <c r="CB1112" s="93" t="str">
        <f>IF(OR(C1112="",A1112="",B1112=""),"",TEXT(C1112,"0000")&amp;TEXT(A1112,"00")&amp;TEXT(B1112,"00"))</f>
        <v>19900214</v>
      </c>
    </row>
    <row r="1113" spans="1:80" s="35" customFormat="1" ht="12.95" customHeight="1" x14ac:dyDescent="0.2">
      <c r="A1113" s="46">
        <v>2</v>
      </c>
      <c r="B1113" s="46">
        <v>14</v>
      </c>
      <c r="C1113" s="46">
        <v>1990</v>
      </c>
      <c r="D1113" s="46" t="s">
        <v>658</v>
      </c>
      <c r="E1113" s="46" t="s">
        <v>497</v>
      </c>
      <c r="F1113" s="54" t="s">
        <v>1327</v>
      </c>
      <c r="G1113" s="46"/>
      <c r="H1113" s="54" t="s">
        <v>1011</v>
      </c>
      <c r="I1113" s="54">
        <v>1</v>
      </c>
      <c r="J1113" s="55">
        <v>32918</v>
      </c>
      <c r="K1113" s="46" t="s">
        <v>803</v>
      </c>
      <c r="L1113" s="46" t="s">
        <v>4</v>
      </c>
      <c r="M1113" s="46" t="s">
        <v>1254</v>
      </c>
      <c r="N1113" s="49">
        <v>0</v>
      </c>
      <c r="O1113" s="49">
        <v>6</v>
      </c>
      <c r="P1113" s="54" t="s">
        <v>1389</v>
      </c>
      <c r="Q1113" s="54" t="s">
        <v>1101</v>
      </c>
      <c r="R1113" s="54" t="s">
        <v>376</v>
      </c>
      <c r="S1113" s="46"/>
      <c r="T1113" s="46"/>
      <c r="U1113" s="46"/>
      <c r="V1113" s="46"/>
      <c r="W1113" s="46"/>
      <c r="X1113" s="46"/>
      <c r="Y1113" s="46"/>
      <c r="Z1113" s="46"/>
      <c r="AA1113" s="46"/>
      <c r="AB1113" s="46"/>
      <c r="AC1113" s="46"/>
      <c r="AD1113" s="46" t="s">
        <v>1037</v>
      </c>
      <c r="AE1113" s="50">
        <f>IF(L1113="W",1,0)</f>
        <v>0</v>
      </c>
      <c r="AF1113" s="50">
        <f>IF(L1113="T",1,0)</f>
        <v>0</v>
      </c>
      <c r="AG1113" s="50">
        <f>IF(L1113="L",1,0)</f>
        <v>1</v>
      </c>
      <c r="AH1113" s="46" t="s">
        <v>1017</v>
      </c>
      <c r="AI1113" s="46" t="s">
        <v>1018</v>
      </c>
      <c r="AJ1113" s="46" t="s">
        <v>376</v>
      </c>
      <c r="AK1113" s="46" t="s">
        <v>658</v>
      </c>
      <c r="AL1113" s="46" t="s">
        <v>1101</v>
      </c>
      <c r="AM1113" s="46" t="s">
        <v>1159</v>
      </c>
      <c r="AN1113" s="46" t="s">
        <v>376</v>
      </c>
      <c r="AO1113" s="46" t="s">
        <v>658</v>
      </c>
      <c r="AP1113" s="46"/>
      <c r="AQ1113" s="46">
        <v>2</v>
      </c>
      <c r="AR1113" s="46"/>
      <c r="AS1113" s="46"/>
      <c r="AT1113" s="46"/>
      <c r="AU1113" s="46" t="s">
        <v>376</v>
      </c>
      <c r="AV1113" s="46"/>
      <c r="AW1113" s="46" t="s">
        <v>30</v>
      </c>
      <c r="AX1113" s="46"/>
      <c r="AY1113" s="46"/>
      <c r="AZ1113" s="46" t="s">
        <v>30</v>
      </c>
      <c r="BA1113" s="54"/>
      <c r="BB1113" s="51"/>
      <c r="BC1113" s="46"/>
      <c r="BD1113" s="46"/>
      <c r="BE1113" s="46"/>
      <c r="BF1113" s="46">
        <v>1</v>
      </c>
      <c r="BG1113" s="46">
        <v>2</v>
      </c>
      <c r="BH1113" s="46">
        <v>2</v>
      </c>
      <c r="BI1113" s="46" t="s">
        <v>803</v>
      </c>
      <c r="BJ1113" s="46" t="s">
        <v>1254</v>
      </c>
      <c r="BK1113" s="46">
        <v>1990</v>
      </c>
      <c r="BL1113" s="46" t="str">
        <f>BK1113&amp;BI1113</f>
        <v>1990West Ham United</v>
      </c>
      <c r="BM1113" s="52" t="str">
        <f>IF(AD1113="Home",BI1113,IF(AD1113="Away",BJ1113,Q1113))</f>
        <v>Oldham Athletic</v>
      </c>
      <c r="BN1113" s="46"/>
      <c r="BO1113" s="46"/>
      <c r="BP1113" s="46"/>
      <c r="BQ1113" s="46"/>
      <c r="BR1113" s="46"/>
      <c r="BS1113" s="46"/>
      <c r="BT1113" s="46"/>
      <c r="BU1113" s="46"/>
      <c r="BV1113" s="46" t="s">
        <v>376</v>
      </c>
      <c r="BW1113" s="46" t="s">
        <v>376</v>
      </c>
      <c r="BX1113" s="46"/>
      <c r="BY1113" s="52"/>
      <c r="BZ1113" s="53"/>
      <c r="CA1113" s="53"/>
      <c r="CB1113" s="93" t="str">
        <f>IF(OR(C1113="",A1113="",B1113=""),"",TEXT(C1113,"0000")&amp;TEXT(A1113,"00")&amp;TEXT(B1113,"00"))</f>
        <v>19900214</v>
      </c>
    </row>
    <row r="1114" spans="1:80" s="35" customFormat="1" ht="12.95" customHeight="1" x14ac:dyDescent="0.2">
      <c r="A1114" s="46">
        <v>2</v>
      </c>
      <c r="B1114" s="46">
        <v>25</v>
      </c>
      <c r="C1114" s="46">
        <v>1990</v>
      </c>
      <c r="D1114" s="46" t="s">
        <v>658</v>
      </c>
      <c r="E1114" s="46" t="s">
        <v>497</v>
      </c>
      <c r="F1114" s="54" t="s">
        <v>1327</v>
      </c>
      <c r="G1114" s="46"/>
      <c r="H1114" s="54" t="s">
        <v>1011</v>
      </c>
      <c r="I1114" s="54">
        <v>2</v>
      </c>
      <c r="J1114" s="55">
        <v>32929</v>
      </c>
      <c r="K1114" s="46" t="s">
        <v>1377</v>
      </c>
      <c r="L1114" s="46" t="s">
        <v>1014</v>
      </c>
      <c r="M1114" s="46" t="s">
        <v>1072</v>
      </c>
      <c r="N1114" s="49">
        <v>0</v>
      </c>
      <c r="O1114" s="49">
        <v>0</v>
      </c>
      <c r="P1114" s="54" t="s">
        <v>1375</v>
      </c>
      <c r="Q1114" s="54" t="s">
        <v>1376</v>
      </c>
      <c r="R1114" s="54" t="s">
        <v>376</v>
      </c>
      <c r="S1114" s="46"/>
      <c r="T1114" s="46"/>
      <c r="U1114" s="46"/>
      <c r="V1114" s="46"/>
      <c r="W1114" s="46"/>
      <c r="X1114" s="46"/>
      <c r="Y1114" s="46"/>
      <c r="Z1114" s="46"/>
      <c r="AA1114" s="46"/>
      <c r="AB1114" s="46"/>
      <c r="AC1114" s="46"/>
      <c r="AD1114" s="46" t="s">
        <v>1033</v>
      </c>
      <c r="AE1114" s="50">
        <f>IF(L1114="W",1,0)</f>
        <v>0</v>
      </c>
      <c r="AF1114" s="50">
        <f>IF(L1114="T",1,0)</f>
        <v>1</v>
      </c>
      <c r="AG1114" s="50">
        <f>IF(L1114="L",1,0)</f>
        <v>0</v>
      </c>
      <c r="AH1114" s="46" t="s">
        <v>1376</v>
      </c>
      <c r="AI1114" s="46" t="s">
        <v>1126</v>
      </c>
      <c r="AJ1114" s="46" t="s">
        <v>376</v>
      </c>
      <c r="AK1114" s="46" t="s">
        <v>658</v>
      </c>
      <c r="AL1114" s="46" t="s">
        <v>1073</v>
      </c>
      <c r="AM1114" s="46" t="s">
        <v>1074</v>
      </c>
      <c r="AN1114" s="46" t="s">
        <v>376</v>
      </c>
      <c r="AO1114" s="46" t="s">
        <v>658</v>
      </c>
      <c r="AP1114" s="46"/>
      <c r="AQ1114" s="46">
        <v>2</v>
      </c>
      <c r="AR1114" s="46"/>
      <c r="AS1114" s="46"/>
      <c r="AT1114" s="46"/>
      <c r="AU1114" s="46" t="s">
        <v>376</v>
      </c>
      <c r="AV1114" s="46"/>
      <c r="AW1114" s="46" t="s">
        <v>30</v>
      </c>
      <c r="AX1114" s="46"/>
      <c r="AY1114" s="46"/>
      <c r="AZ1114" s="46" t="s">
        <v>30</v>
      </c>
      <c r="BA1114" s="54"/>
      <c r="BB1114" s="51"/>
      <c r="BC1114" s="46"/>
      <c r="BD1114" s="46"/>
      <c r="BE1114" s="46"/>
      <c r="BF1114" s="46">
        <v>1</v>
      </c>
      <c r="BG1114" s="46">
        <v>1</v>
      </c>
      <c r="BH1114" s="46">
        <v>1</v>
      </c>
      <c r="BI1114" s="46" t="s">
        <v>1377</v>
      </c>
      <c r="BJ1114" s="46" t="s">
        <v>1072</v>
      </c>
      <c r="BK1114" s="46">
        <v>1990</v>
      </c>
      <c r="BL1114" s="46" t="str">
        <f>BK1114&amp;BI1114</f>
        <v>1990Coventry City</v>
      </c>
      <c r="BM1114" s="52" t="str">
        <f>IF(AD1114="Home",BI1114,IF(AD1114="Away",BJ1114,Q1114))</f>
        <v>Coventry City</v>
      </c>
      <c r="BN1114" s="46"/>
      <c r="BO1114" s="46"/>
      <c r="BP1114" s="46"/>
      <c r="BQ1114" s="46"/>
      <c r="BR1114" s="46"/>
      <c r="BS1114" s="46"/>
      <c r="BT1114" s="46"/>
      <c r="BU1114" s="46"/>
      <c r="BV1114" s="46" t="s">
        <v>376</v>
      </c>
      <c r="BW1114" s="46" t="s">
        <v>376</v>
      </c>
      <c r="BX1114" s="46"/>
      <c r="BY1114" s="52"/>
      <c r="BZ1114" s="53"/>
      <c r="CA1114" s="53"/>
      <c r="CB1114" s="93" t="str">
        <f>IF(OR(C1114="",A1114="",B1114=""),"",TEXT(C1114,"0000")&amp;TEXT(A1114,"00")&amp;TEXT(B1114,"00"))</f>
        <v>19900225</v>
      </c>
    </row>
    <row r="1115" spans="1:80" s="35" customFormat="1" ht="12.95" customHeight="1" x14ac:dyDescent="0.2">
      <c r="A1115" s="46">
        <v>2</v>
      </c>
      <c r="B1115" s="46">
        <v>25</v>
      </c>
      <c r="C1115" s="46">
        <v>1990</v>
      </c>
      <c r="D1115" s="46" t="s">
        <v>658</v>
      </c>
      <c r="E1115" s="46" t="s">
        <v>497</v>
      </c>
      <c r="F1115" s="54" t="s">
        <v>1327</v>
      </c>
      <c r="G1115" s="46"/>
      <c r="H1115" s="54" t="s">
        <v>1011</v>
      </c>
      <c r="I1115" s="54">
        <v>2</v>
      </c>
      <c r="J1115" s="55">
        <v>32929</v>
      </c>
      <c r="K1115" s="46" t="s">
        <v>1072</v>
      </c>
      <c r="L1115" s="46" t="s">
        <v>1014</v>
      </c>
      <c r="M1115" s="46" t="s">
        <v>1377</v>
      </c>
      <c r="N1115" s="49">
        <v>0</v>
      </c>
      <c r="O1115" s="49">
        <v>0</v>
      </c>
      <c r="P1115" s="54" t="s">
        <v>1375</v>
      </c>
      <c r="Q1115" s="54" t="s">
        <v>1376</v>
      </c>
      <c r="R1115" s="54" t="s">
        <v>376</v>
      </c>
      <c r="S1115" s="46"/>
      <c r="T1115" s="46"/>
      <c r="U1115" s="46"/>
      <c r="V1115" s="46"/>
      <c r="W1115" s="46"/>
      <c r="X1115" s="46"/>
      <c r="Y1115" s="46"/>
      <c r="Z1115" s="46"/>
      <c r="AA1115" s="46"/>
      <c r="AB1115" s="46"/>
      <c r="AC1115" s="46"/>
      <c r="AD1115" s="46" t="s">
        <v>1037</v>
      </c>
      <c r="AE1115" s="50">
        <f>IF(L1115="W",1,0)</f>
        <v>0</v>
      </c>
      <c r="AF1115" s="50">
        <f>IF(L1115="T",1,0)</f>
        <v>1</v>
      </c>
      <c r="AG1115" s="50">
        <f>IF(L1115="L",1,0)</f>
        <v>0</v>
      </c>
      <c r="AH1115" s="46" t="s">
        <v>1073</v>
      </c>
      <c r="AI1115" s="46" t="s">
        <v>1074</v>
      </c>
      <c r="AJ1115" s="46" t="s">
        <v>376</v>
      </c>
      <c r="AK1115" s="46" t="s">
        <v>658</v>
      </c>
      <c r="AL1115" s="46" t="s">
        <v>1376</v>
      </c>
      <c r="AM1115" s="46" t="s">
        <v>1126</v>
      </c>
      <c r="AN1115" s="46" t="s">
        <v>376</v>
      </c>
      <c r="AO1115" s="46" t="s">
        <v>658</v>
      </c>
      <c r="AP1115" s="46"/>
      <c r="AQ1115" s="46">
        <v>2</v>
      </c>
      <c r="AR1115" s="46"/>
      <c r="AS1115" s="46"/>
      <c r="AT1115" s="46"/>
      <c r="AU1115" s="46" t="s">
        <v>376</v>
      </c>
      <c r="AV1115" s="46"/>
      <c r="AW1115" s="46" t="s">
        <v>30</v>
      </c>
      <c r="AX1115" s="46"/>
      <c r="AY1115" s="46"/>
      <c r="AZ1115" s="46" t="s">
        <v>30</v>
      </c>
      <c r="BA1115" s="54"/>
      <c r="BB1115" s="51"/>
      <c r="BC1115" s="46"/>
      <c r="BD1115" s="46"/>
      <c r="BE1115" s="46"/>
      <c r="BF1115" s="46">
        <v>1</v>
      </c>
      <c r="BG1115" s="46">
        <v>1</v>
      </c>
      <c r="BH1115" s="46">
        <v>1</v>
      </c>
      <c r="BI1115" s="46" t="s">
        <v>1072</v>
      </c>
      <c r="BJ1115" s="46" t="s">
        <v>1377</v>
      </c>
      <c r="BK1115" s="46">
        <v>1990</v>
      </c>
      <c r="BL1115" s="46" t="str">
        <f>BK1115&amp;BI1115</f>
        <v>1990Nottingham Forest</v>
      </c>
      <c r="BM1115" s="52" t="str">
        <f>IF(AD1115="Home",BI1115,IF(AD1115="Away",BJ1115,Q1115))</f>
        <v>Coventry City</v>
      </c>
      <c r="BN1115" s="46"/>
      <c r="BO1115" s="46"/>
      <c r="BP1115" s="46"/>
      <c r="BQ1115" s="46"/>
      <c r="BR1115" s="46"/>
      <c r="BS1115" s="46"/>
      <c r="BT1115" s="46"/>
      <c r="BU1115" s="46"/>
      <c r="BV1115" s="46" t="s">
        <v>376</v>
      </c>
      <c r="BW1115" s="46" t="s">
        <v>376</v>
      </c>
      <c r="BX1115" s="46"/>
      <c r="BY1115" s="52"/>
      <c r="BZ1115" s="53"/>
      <c r="CA1115" s="53"/>
      <c r="CB1115" s="93" t="str">
        <f>IF(OR(C1115="",A1115="",B1115=""),"",TEXT(C1115,"0000")&amp;TEXT(A1115,"00")&amp;TEXT(B1115,"00"))</f>
        <v>19900225</v>
      </c>
    </row>
    <row r="1116" spans="1:80" s="35" customFormat="1" ht="12.95" customHeight="1" x14ac:dyDescent="0.2">
      <c r="A1116" s="46">
        <v>3</v>
      </c>
      <c r="B1116" s="46">
        <v>7</v>
      </c>
      <c r="C1116" s="46">
        <v>1990</v>
      </c>
      <c r="D1116" s="46" t="s">
        <v>658</v>
      </c>
      <c r="E1116" s="46" t="s">
        <v>497</v>
      </c>
      <c r="F1116" s="54" t="s">
        <v>1327</v>
      </c>
      <c r="G1116" s="46"/>
      <c r="H1116" s="54" t="s">
        <v>1011</v>
      </c>
      <c r="I1116" s="54">
        <v>2</v>
      </c>
      <c r="J1116" s="55">
        <v>32939</v>
      </c>
      <c r="K1116" s="46" t="s">
        <v>803</v>
      </c>
      <c r="L1116" s="46" t="s">
        <v>3</v>
      </c>
      <c r="M1116" s="46" t="s">
        <v>1254</v>
      </c>
      <c r="N1116" s="49">
        <v>3</v>
      </c>
      <c r="O1116" s="49">
        <v>0</v>
      </c>
      <c r="P1116" s="54" t="s">
        <v>1341</v>
      </c>
      <c r="Q1116" s="54" t="s">
        <v>1017</v>
      </c>
      <c r="R1116" s="54" t="s">
        <v>376</v>
      </c>
      <c r="S1116" s="46"/>
      <c r="T1116" s="46"/>
      <c r="U1116" s="46"/>
      <c r="V1116" s="46"/>
      <c r="W1116" s="46"/>
      <c r="X1116" s="46"/>
      <c r="Y1116" s="46"/>
      <c r="Z1116" s="46"/>
      <c r="AA1116" s="46"/>
      <c r="AB1116" s="46"/>
      <c r="AC1116" s="46"/>
      <c r="AD1116" s="46" t="s">
        <v>1033</v>
      </c>
      <c r="AE1116" s="50">
        <f>IF(L1116="W",1,0)</f>
        <v>1</v>
      </c>
      <c r="AF1116" s="50">
        <f>IF(L1116="T",1,0)</f>
        <v>0</v>
      </c>
      <c r="AG1116" s="50">
        <f>IF(L1116="L",1,0)</f>
        <v>0</v>
      </c>
      <c r="AH1116" s="46" t="s">
        <v>1017</v>
      </c>
      <c r="AI1116" s="46" t="s">
        <v>1018</v>
      </c>
      <c r="AJ1116" s="46" t="s">
        <v>376</v>
      </c>
      <c r="AK1116" s="46" t="s">
        <v>658</v>
      </c>
      <c r="AL1116" s="46" t="s">
        <v>1101</v>
      </c>
      <c r="AM1116" s="46" t="s">
        <v>1159</v>
      </c>
      <c r="AN1116" s="46" t="s">
        <v>376</v>
      </c>
      <c r="AO1116" s="46" t="s">
        <v>658</v>
      </c>
      <c r="AP1116" s="46"/>
      <c r="AQ1116" s="46">
        <v>2</v>
      </c>
      <c r="AR1116" s="46"/>
      <c r="AS1116" s="46"/>
      <c r="AT1116" s="46"/>
      <c r="AU1116" s="46" t="s">
        <v>376</v>
      </c>
      <c r="AV1116" s="46"/>
      <c r="AW1116" s="46" t="s">
        <v>30</v>
      </c>
      <c r="AX1116" s="46"/>
      <c r="AY1116" s="46"/>
      <c r="AZ1116" s="46" t="s">
        <v>30</v>
      </c>
      <c r="BA1116" s="54"/>
      <c r="BB1116" s="51"/>
      <c r="BC1116" s="46"/>
      <c r="BD1116" s="46"/>
      <c r="BE1116" s="46"/>
      <c r="BF1116" s="46">
        <v>1</v>
      </c>
      <c r="BG1116" s="46">
        <v>2</v>
      </c>
      <c r="BH1116" s="46">
        <v>2</v>
      </c>
      <c r="BI1116" s="46" t="s">
        <v>803</v>
      </c>
      <c r="BJ1116" s="46" t="s">
        <v>1254</v>
      </c>
      <c r="BK1116" s="46">
        <v>1990</v>
      </c>
      <c r="BL1116" s="46" t="str">
        <f>BK1116&amp;BI1116</f>
        <v>1990West Ham United</v>
      </c>
      <c r="BM1116" s="52" t="str">
        <f>IF(AD1116="Home",BI1116,IF(AD1116="Away",BJ1116,Q1116))</f>
        <v>West Ham United</v>
      </c>
      <c r="BN1116" s="46"/>
      <c r="BO1116" s="46"/>
      <c r="BP1116" s="46"/>
      <c r="BQ1116" s="46"/>
      <c r="BR1116" s="46"/>
      <c r="BS1116" s="46"/>
      <c r="BT1116" s="46"/>
      <c r="BU1116" s="46"/>
      <c r="BV1116" s="46" t="s">
        <v>376</v>
      </c>
      <c r="BW1116" s="46" t="s">
        <v>376</v>
      </c>
      <c r="BX1116" s="46"/>
      <c r="BY1116" s="52"/>
      <c r="BZ1116" s="53"/>
      <c r="CA1116" s="53"/>
      <c r="CB1116" s="93" t="str">
        <f>IF(OR(C1116="",A1116="",B1116=""),"",TEXT(C1116,"0000")&amp;TEXT(A1116,"00")&amp;TEXT(B1116,"00"))</f>
        <v>19900307</v>
      </c>
    </row>
    <row r="1117" spans="1:80" s="35" customFormat="1" ht="12.95" customHeight="1" x14ac:dyDescent="0.2">
      <c r="A1117" s="46">
        <v>3</v>
      </c>
      <c r="B1117" s="46">
        <v>7</v>
      </c>
      <c r="C1117" s="46">
        <v>1990</v>
      </c>
      <c r="D1117" s="46" t="s">
        <v>658</v>
      </c>
      <c r="E1117" s="46" t="s">
        <v>497</v>
      </c>
      <c r="F1117" s="54" t="s">
        <v>1327</v>
      </c>
      <c r="G1117" s="46"/>
      <c r="H1117" s="54" t="s">
        <v>1011</v>
      </c>
      <c r="I1117" s="54">
        <v>2</v>
      </c>
      <c r="J1117" s="55">
        <v>32939</v>
      </c>
      <c r="K1117" s="46" t="s">
        <v>1254</v>
      </c>
      <c r="L1117" s="46" t="s">
        <v>4</v>
      </c>
      <c r="M1117" s="46" t="s">
        <v>803</v>
      </c>
      <c r="N1117" s="49">
        <v>0</v>
      </c>
      <c r="O1117" s="49">
        <v>3</v>
      </c>
      <c r="P1117" s="54" t="s">
        <v>1341</v>
      </c>
      <c r="Q1117" s="54" t="s">
        <v>1017</v>
      </c>
      <c r="R1117" s="54" t="s">
        <v>376</v>
      </c>
      <c r="S1117" s="46"/>
      <c r="T1117" s="46"/>
      <c r="U1117" s="46"/>
      <c r="V1117" s="46"/>
      <c r="W1117" s="46"/>
      <c r="X1117" s="46"/>
      <c r="Y1117" s="46"/>
      <c r="Z1117" s="46"/>
      <c r="AA1117" s="46"/>
      <c r="AB1117" s="46"/>
      <c r="AC1117" s="46"/>
      <c r="AD1117" s="46" t="s">
        <v>1037</v>
      </c>
      <c r="AE1117" s="50">
        <f>IF(L1117="W",1,0)</f>
        <v>0</v>
      </c>
      <c r="AF1117" s="50">
        <f>IF(L1117="T",1,0)</f>
        <v>0</v>
      </c>
      <c r="AG1117" s="50">
        <f>IF(L1117="L",1,0)</f>
        <v>1</v>
      </c>
      <c r="AH1117" s="46" t="s">
        <v>1101</v>
      </c>
      <c r="AI1117" s="46" t="s">
        <v>1159</v>
      </c>
      <c r="AJ1117" s="46" t="s">
        <v>376</v>
      </c>
      <c r="AK1117" s="46" t="s">
        <v>658</v>
      </c>
      <c r="AL1117" s="46" t="s">
        <v>1017</v>
      </c>
      <c r="AM1117" s="46" t="s">
        <v>1018</v>
      </c>
      <c r="AN1117" s="46" t="s">
        <v>376</v>
      </c>
      <c r="AO1117" s="46" t="s">
        <v>658</v>
      </c>
      <c r="AP1117" s="46"/>
      <c r="AQ1117" s="46">
        <v>2</v>
      </c>
      <c r="AR1117" s="46"/>
      <c r="AS1117" s="46"/>
      <c r="AT1117" s="46"/>
      <c r="AU1117" s="46" t="s">
        <v>376</v>
      </c>
      <c r="AV1117" s="46"/>
      <c r="AW1117" s="46" t="s">
        <v>30</v>
      </c>
      <c r="AX1117" s="46"/>
      <c r="AY1117" s="46"/>
      <c r="AZ1117" s="46" t="s">
        <v>30</v>
      </c>
      <c r="BA1117" s="54"/>
      <c r="BB1117" s="51"/>
      <c r="BC1117" s="46"/>
      <c r="BD1117" s="46"/>
      <c r="BE1117" s="46"/>
      <c r="BF1117" s="46">
        <v>1</v>
      </c>
      <c r="BG1117" s="46">
        <v>2</v>
      </c>
      <c r="BH1117" s="46">
        <v>2</v>
      </c>
      <c r="BI1117" s="46" t="s">
        <v>1254</v>
      </c>
      <c r="BJ1117" s="46" t="s">
        <v>803</v>
      </c>
      <c r="BK1117" s="46">
        <v>1990</v>
      </c>
      <c r="BL1117" s="46" t="str">
        <f>BK1117&amp;BI1117</f>
        <v>1990Oldham Athletic</v>
      </c>
      <c r="BM1117" s="52" t="str">
        <f>IF(AD1117="Home",BI1117,IF(AD1117="Away",BJ1117,Q1117))</f>
        <v>West Ham United</v>
      </c>
      <c r="BN1117" s="46"/>
      <c r="BO1117" s="46"/>
      <c r="BP1117" s="46"/>
      <c r="BQ1117" s="46"/>
      <c r="BR1117" s="46"/>
      <c r="BS1117" s="46"/>
      <c r="BT1117" s="46"/>
      <c r="BU1117" s="46"/>
      <c r="BV1117" s="46" t="s">
        <v>376</v>
      </c>
      <c r="BW1117" s="46" t="s">
        <v>376</v>
      </c>
      <c r="BX1117" s="46"/>
      <c r="BY1117" s="52"/>
      <c r="BZ1117" s="53"/>
      <c r="CA1117" s="53"/>
      <c r="CB1117" s="93" t="str">
        <f>IF(OR(C1117="",A1117="",B1117=""),"",TEXT(C1117,"0000")&amp;TEXT(A1117,"00")&amp;TEXT(B1117,"00"))</f>
        <v>19900307</v>
      </c>
    </row>
    <row r="1118" spans="1:80" s="35" customFormat="1" ht="12.95" customHeight="1" x14ac:dyDescent="0.2">
      <c r="A1118" s="46">
        <v>4</v>
      </c>
      <c r="B1118" s="46">
        <v>8</v>
      </c>
      <c r="C1118" s="46">
        <v>1990</v>
      </c>
      <c r="D1118" s="46" t="s">
        <v>658</v>
      </c>
      <c r="E1118" s="46" t="s">
        <v>497</v>
      </c>
      <c r="F1118" s="47" t="s">
        <v>1010</v>
      </c>
      <c r="G1118" s="46"/>
      <c r="H1118" s="47" t="s">
        <v>1011</v>
      </c>
      <c r="I1118" s="47"/>
      <c r="J1118" s="48">
        <v>32971</v>
      </c>
      <c r="K1118" s="46" t="s">
        <v>1254</v>
      </c>
      <c r="L1118" s="46" t="s">
        <v>1014</v>
      </c>
      <c r="M1118" s="46" t="s">
        <v>821</v>
      </c>
      <c r="N1118" s="49">
        <v>3</v>
      </c>
      <c r="O1118" s="49">
        <v>3</v>
      </c>
      <c r="P1118" s="47" t="s">
        <v>1226</v>
      </c>
      <c r="Q1118" s="47" t="s">
        <v>1101</v>
      </c>
      <c r="R1118" s="47" t="s">
        <v>376</v>
      </c>
      <c r="S1118" s="46"/>
      <c r="T1118" s="46"/>
      <c r="U1118" s="46"/>
      <c r="V1118" s="46"/>
      <c r="W1118" s="46"/>
      <c r="X1118" s="46"/>
      <c r="Y1118" s="46"/>
      <c r="Z1118" s="46"/>
      <c r="AA1118" s="46"/>
      <c r="AB1118" s="46"/>
      <c r="AC1118" s="46"/>
      <c r="AD1118" s="46"/>
      <c r="AE1118" s="50">
        <f>IF(L1118="W",1,0)</f>
        <v>0</v>
      </c>
      <c r="AF1118" s="50">
        <f>IF(L1118="T",1,0)</f>
        <v>1</v>
      </c>
      <c r="AG1118" s="50">
        <f>IF(L1118="L",1,0)</f>
        <v>0</v>
      </c>
      <c r="AH1118" s="46" t="s">
        <v>1101</v>
      </c>
      <c r="AI1118" s="46" t="s">
        <v>1159</v>
      </c>
      <c r="AJ1118" s="46" t="s">
        <v>376</v>
      </c>
      <c r="AK1118" s="46" t="s">
        <v>658</v>
      </c>
      <c r="AL1118" s="46" t="s">
        <v>1101</v>
      </c>
      <c r="AM1118" s="46" t="s">
        <v>1159</v>
      </c>
      <c r="AN1118" s="46" t="s">
        <v>376</v>
      </c>
      <c r="AO1118" s="46" t="s">
        <v>658</v>
      </c>
      <c r="AP1118" s="46"/>
      <c r="AQ1118" s="46">
        <v>2</v>
      </c>
      <c r="AR1118" s="46"/>
      <c r="AS1118" s="46"/>
      <c r="AT1118" s="46"/>
      <c r="AU1118" s="46" t="s">
        <v>376</v>
      </c>
      <c r="AV1118" s="46"/>
      <c r="AW1118" s="46" t="s">
        <v>30</v>
      </c>
      <c r="AX1118" s="46"/>
      <c r="AY1118" s="46" t="s">
        <v>30</v>
      </c>
      <c r="AZ1118" s="46"/>
      <c r="BA1118" s="47"/>
      <c r="BB1118" s="51"/>
      <c r="BC1118" s="46"/>
      <c r="BD1118" s="46"/>
      <c r="BE1118" s="46"/>
      <c r="BF1118" s="46">
        <v>1</v>
      </c>
      <c r="BG1118" s="46">
        <v>2</v>
      </c>
      <c r="BH1118" s="46">
        <v>1</v>
      </c>
      <c r="BI1118" s="46" t="s">
        <v>1254</v>
      </c>
      <c r="BJ1118" s="46" t="s">
        <v>821</v>
      </c>
      <c r="BK1118" s="46">
        <v>1990</v>
      </c>
      <c r="BL1118" s="46" t="str">
        <f>BK1118&amp;BI1118</f>
        <v>1990Oldham Athletic</v>
      </c>
      <c r="BM1118" s="52" t="str">
        <f>IF(AD1118="Home",BI1118,IF(AD1118="Away",BJ1118,Q1118))</f>
        <v>Manchester</v>
      </c>
      <c r="BN1118" s="46"/>
      <c r="BO1118" s="46"/>
      <c r="BP1118" s="46"/>
      <c r="BQ1118" s="46"/>
      <c r="BR1118" s="46"/>
      <c r="BS1118" s="46"/>
      <c r="BT1118" s="46"/>
      <c r="BU1118" s="46"/>
      <c r="BV1118" s="46" t="s">
        <v>376</v>
      </c>
      <c r="BW1118" s="46" t="s">
        <v>376</v>
      </c>
      <c r="BX1118" s="46"/>
      <c r="BY1118" s="52"/>
      <c r="BZ1118" s="53"/>
      <c r="CA1118" s="53"/>
      <c r="CB1118" s="93" t="str">
        <f>IF(OR(C1118="",A1118="",B1118=""),"",TEXT(C1118,"0000")&amp;TEXT(A1118,"00")&amp;TEXT(B1118,"00"))</f>
        <v>19900408</v>
      </c>
    </row>
    <row r="1119" spans="1:80" s="35" customFormat="1" ht="12.95" customHeight="1" x14ac:dyDescent="0.2">
      <c r="A1119" s="46">
        <v>4</v>
      </c>
      <c r="B1119" s="46">
        <v>8</v>
      </c>
      <c r="C1119" s="46">
        <v>1990</v>
      </c>
      <c r="D1119" s="46" t="s">
        <v>658</v>
      </c>
      <c r="E1119" s="46" t="s">
        <v>497</v>
      </c>
      <c r="F1119" s="47" t="s">
        <v>1010</v>
      </c>
      <c r="G1119" s="46"/>
      <c r="H1119" s="47" t="s">
        <v>1011</v>
      </c>
      <c r="I1119" s="47"/>
      <c r="J1119" s="48">
        <v>32971</v>
      </c>
      <c r="K1119" s="46" t="s">
        <v>821</v>
      </c>
      <c r="L1119" s="46" t="s">
        <v>1014</v>
      </c>
      <c r="M1119" s="46" t="s">
        <v>1254</v>
      </c>
      <c r="N1119" s="49">
        <v>3</v>
      </c>
      <c r="O1119" s="49">
        <v>3</v>
      </c>
      <c r="P1119" s="47" t="s">
        <v>1226</v>
      </c>
      <c r="Q1119" s="47" t="s">
        <v>1101</v>
      </c>
      <c r="R1119" s="47" t="s">
        <v>376</v>
      </c>
      <c r="S1119" s="46"/>
      <c r="T1119" s="46"/>
      <c r="U1119" s="46"/>
      <c r="V1119" s="46"/>
      <c r="W1119" s="46"/>
      <c r="X1119" s="46"/>
      <c r="Y1119" s="46"/>
      <c r="Z1119" s="46"/>
      <c r="AA1119" s="46"/>
      <c r="AB1119" s="46"/>
      <c r="AC1119" s="46"/>
      <c r="AD1119" s="46"/>
      <c r="AE1119" s="50">
        <f>IF(L1119="W",1,0)</f>
        <v>0</v>
      </c>
      <c r="AF1119" s="50">
        <f>IF(L1119="T",1,0)</f>
        <v>1</v>
      </c>
      <c r="AG1119" s="50">
        <f>IF(L1119="L",1,0)</f>
        <v>0</v>
      </c>
      <c r="AH1119" s="46" t="s">
        <v>1101</v>
      </c>
      <c r="AI1119" s="46" t="s">
        <v>1159</v>
      </c>
      <c r="AJ1119" s="46" t="s">
        <v>376</v>
      </c>
      <c r="AK1119" s="46" t="s">
        <v>658</v>
      </c>
      <c r="AL1119" s="46" t="s">
        <v>1101</v>
      </c>
      <c r="AM1119" s="46" t="s">
        <v>1159</v>
      </c>
      <c r="AN1119" s="46" t="s">
        <v>376</v>
      </c>
      <c r="AO1119" s="46" t="s">
        <v>658</v>
      </c>
      <c r="AP1119" s="46"/>
      <c r="AQ1119" s="46">
        <v>2</v>
      </c>
      <c r="AR1119" s="46"/>
      <c r="AS1119" s="46"/>
      <c r="AT1119" s="46"/>
      <c r="AU1119" s="46" t="s">
        <v>376</v>
      </c>
      <c r="AV1119" s="46"/>
      <c r="AW1119" s="46" t="s">
        <v>30</v>
      </c>
      <c r="AX1119" s="46"/>
      <c r="AY1119" s="46" t="s">
        <v>30</v>
      </c>
      <c r="AZ1119" s="46"/>
      <c r="BA1119" s="47"/>
      <c r="BB1119" s="51"/>
      <c r="BC1119" s="46"/>
      <c r="BD1119" s="46"/>
      <c r="BE1119" s="46"/>
      <c r="BF1119" s="46">
        <v>1</v>
      </c>
      <c r="BG1119" s="46">
        <v>1</v>
      </c>
      <c r="BH1119" s="46">
        <v>2</v>
      </c>
      <c r="BI1119" s="46" t="s">
        <v>821</v>
      </c>
      <c r="BJ1119" s="46" t="s">
        <v>1254</v>
      </c>
      <c r="BK1119" s="46">
        <v>1990</v>
      </c>
      <c r="BL1119" s="46" t="str">
        <f>BK1119&amp;BI1119</f>
        <v>1990Manchester United</v>
      </c>
      <c r="BM1119" s="52" t="str">
        <f>IF(AD1119="Home",BI1119,IF(AD1119="Away",BJ1119,Q1119))</f>
        <v>Manchester</v>
      </c>
      <c r="BN1119" s="46"/>
      <c r="BO1119" s="46"/>
      <c r="BP1119" s="46"/>
      <c r="BQ1119" s="46"/>
      <c r="BR1119" s="46"/>
      <c r="BS1119" s="46"/>
      <c r="BT1119" s="46"/>
      <c r="BU1119" s="46"/>
      <c r="BV1119" s="46" t="s">
        <v>376</v>
      </c>
      <c r="BW1119" s="46" t="s">
        <v>376</v>
      </c>
      <c r="BX1119" s="46"/>
      <c r="BY1119" s="52"/>
      <c r="BZ1119" s="53"/>
      <c r="CA1119" s="53"/>
      <c r="CB1119" s="93" t="str">
        <f>IF(OR(C1119="",A1119="",B1119=""),"",TEXT(C1119,"0000")&amp;TEXT(A1119,"00")&amp;TEXT(B1119,"00"))</f>
        <v>19900408</v>
      </c>
    </row>
    <row r="1120" spans="1:80" s="35" customFormat="1" ht="12.95" customHeight="1" x14ac:dyDescent="0.2">
      <c r="A1120" s="46">
        <v>4</v>
      </c>
      <c r="B1120" s="46">
        <v>8</v>
      </c>
      <c r="C1120" s="46">
        <v>1990</v>
      </c>
      <c r="D1120" s="46" t="s">
        <v>658</v>
      </c>
      <c r="E1120" s="46" t="s">
        <v>497</v>
      </c>
      <c r="F1120" s="47" t="s">
        <v>1010</v>
      </c>
      <c r="G1120" s="46"/>
      <c r="H1120" s="47" t="s">
        <v>1011</v>
      </c>
      <c r="I1120" s="47"/>
      <c r="J1120" s="48">
        <v>32971</v>
      </c>
      <c r="K1120" s="46" t="s">
        <v>798</v>
      </c>
      <c r="L1120" s="46" t="s">
        <v>3</v>
      </c>
      <c r="M1120" s="46" t="s">
        <v>588</v>
      </c>
      <c r="N1120" s="49">
        <v>4</v>
      </c>
      <c r="O1120" s="49">
        <v>3</v>
      </c>
      <c r="P1120" s="47" t="s">
        <v>1219</v>
      </c>
      <c r="Q1120" s="47" t="s">
        <v>1111</v>
      </c>
      <c r="R1120" s="47" t="s">
        <v>376</v>
      </c>
      <c r="S1120" s="46"/>
      <c r="T1120" s="46"/>
      <c r="U1120" s="46"/>
      <c r="V1120" s="46"/>
      <c r="W1120" s="46"/>
      <c r="X1120" s="46"/>
      <c r="Y1120" s="46"/>
      <c r="Z1120" s="46"/>
      <c r="AA1120" s="46"/>
      <c r="AB1120" s="46"/>
      <c r="AC1120" s="46"/>
      <c r="AD1120" s="46"/>
      <c r="AE1120" s="50">
        <f>IF(L1120="W",1,0)</f>
        <v>1</v>
      </c>
      <c r="AF1120" s="50">
        <f>IF(L1120="T",1,0)</f>
        <v>0</v>
      </c>
      <c r="AG1120" s="50">
        <f>IF(L1120="L",1,0)</f>
        <v>0</v>
      </c>
      <c r="AH1120" s="46" t="s">
        <v>1017</v>
      </c>
      <c r="AI1120" s="46" t="s">
        <v>1018</v>
      </c>
      <c r="AJ1120" s="46" t="s">
        <v>376</v>
      </c>
      <c r="AK1120" s="46" t="s">
        <v>658</v>
      </c>
      <c r="AL1120" s="46" t="s">
        <v>588</v>
      </c>
      <c r="AM1120" s="46" t="s">
        <v>1175</v>
      </c>
      <c r="AN1120" s="46" t="s">
        <v>376</v>
      </c>
      <c r="AO1120" s="46" t="s">
        <v>658</v>
      </c>
      <c r="AP1120" s="46"/>
      <c r="AQ1120" s="46">
        <v>2</v>
      </c>
      <c r="AR1120" s="46"/>
      <c r="AS1120" s="46"/>
      <c r="AT1120" s="46"/>
      <c r="AU1120" s="46" t="s">
        <v>376</v>
      </c>
      <c r="AV1120" s="46"/>
      <c r="AW1120" s="46" t="s">
        <v>30</v>
      </c>
      <c r="AX1120" s="46"/>
      <c r="AY1120" s="46" t="s">
        <v>30</v>
      </c>
      <c r="AZ1120" s="46"/>
      <c r="BA1120" s="47"/>
      <c r="BB1120" s="51"/>
      <c r="BC1120" s="46"/>
      <c r="BD1120" s="46"/>
      <c r="BE1120" s="46"/>
      <c r="BF1120" s="46">
        <v>1</v>
      </c>
      <c r="BG1120" s="46">
        <v>1</v>
      </c>
      <c r="BH1120" s="46">
        <v>1</v>
      </c>
      <c r="BI1120" s="46" t="s">
        <v>798</v>
      </c>
      <c r="BJ1120" s="46" t="s">
        <v>588</v>
      </c>
      <c r="BK1120" s="46">
        <v>1990</v>
      </c>
      <c r="BL1120" s="46" t="str">
        <f>BK1120&amp;BI1120</f>
        <v>1990Crystal Palace</v>
      </c>
      <c r="BM1120" s="52" t="str">
        <f>IF(AD1120="Home",BI1120,IF(AD1120="Away",BJ1120,Q1120))</f>
        <v>Birmingham</v>
      </c>
      <c r="BN1120" s="46"/>
      <c r="BO1120" s="46"/>
      <c r="BP1120" s="46"/>
      <c r="BQ1120" s="46"/>
      <c r="BR1120" s="46"/>
      <c r="BS1120" s="46"/>
      <c r="BT1120" s="46"/>
      <c r="BU1120" s="46"/>
      <c r="BV1120" s="46" t="s">
        <v>376</v>
      </c>
      <c r="BW1120" s="46" t="s">
        <v>376</v>
      </c>
      <c r="BX1120" s="46"/>
      <c r="BY1120" s="52"/>
      <c r="BZ1120" s="53"/>
      <c r="CA1120" s="53"/>
      <c r="CB1120" s="93" t="str">
        <f>IF(OR(C1120="",A1120="",B1120=""),"",TEXT(C1120,"0000")&amp;TEXT(A1120,"00")&amp;TEXT(B1120,"00"))</f>
        <v>19900408</v>
      </c>
    </row>
    <row r="1121" spans="1:80" s="35" customFormat="1" ht="12.95" customHeight="1" x14ac:dyDescent="0.2">
      <c r="A1121" s="46">
        <v>4</v>
      </c>
      <c r="B1121" s="46">
        <v>8</v>
      </c>
      <c r="C1121" s="46">
        <v>1990</v>
      </c>
      <c r="D1121" s="46" t="s">
        <v>658</v>
      </c>
      <c r="E1121" s="46" t="s">
        <v>497</v>
      </c>
      <c r="F1121" s="47" t="s">
        <v>1010</v>
      </c>
      <c r="G1121" s="46"/>
      <c r="H1121" s="47" t="s">
        <v>1011</v>
      </c>
      <c r="I1121" s="47"/>
      <c r="J1121" s="48">
        <v>32971</v>
      </c>
      <c r="K1121" s="46" t="s">
        <v>588</v>
      </c>
      <c r="L1121" s="46" t="s">
        <v>4</v>
      </c>
      <c r="M1121" s="46" t="s">
        <v>798</v>
      </c>
      <c r="N1121" s="49">
        <v>3</v>
      </c>
      <c r="O1121" s="49">
        <v>4</v>
      </c>
      <c r="P1121" s="47" t="s">
        <v>1219</v>
      </c>
      <c r="Q1121" s="47" t="s">
        <v>1111</v>
      </c>
      <c r="R1121" s="47" t="s">
        <v>376</v>
      </c>
      <c r="S1121" s="46"/>
      <c r="T1121" s="46"/>
      <c r="U1121" s="46"/>
      <c r="V1121" s="46"/>
      <c r="W1121" s="46"/>
      <c r="X1121" s="46"/>
      <c r="Y1121" s="46"/>
      <c r="Z1121" s="46"/>
      <c r="AA1121" s="46"/>
      <c r="AB1121" s="46"/>
      <c r="AC1121" s="46"/>
      <c r="AD1121" s="46"/>
      <c r="AE1121" s="50">
        <f>IF(L1121="W",1,0)</f>
        <v>0</v>
      </c>
      <c r="AF1121" s="50">
        <f>IF(L1121="T",1,0)</f>
        <v>0</v>
      </c>
      <c r="AG1121" s="50">
        <f>IF(L1121="L",1,0)</f>
        <v>1</v>
      </c>
      <c r="AH1121" s="46" t="s">
        <v>588</v>
      </c>
      <c r="AI1121" s="46" t="s">
        <v>1175</v>
      </c>
      <c r="AJ1121" s="46" t="s">
        <v>376</v>
      </c>
      <c r="AK1121" s="46" t="s">
        <v>658</v>
      </c>
      <c r="AL1121" s="46" t="s">
        <v>1017</v>
      </c>
      <c r="AM1121" s="46" t="s">
        <v>1018</v>
      </c>
      <c r="AN1121" s="46" t="s">
        <v>376</v>
      </c>
      <c r="AO1121" s="46" t="s">
        <v>658</v>
      </c>
      <c r="AP1121" s="46"/>
      <c r="AQ1121" s="46">
        <v>2</v>
      </c>
      <c r="AR1121" s="46"/>
      <c r="AS1121" s="46"/>
      <c r="AT1121" s="46"/>
      <c r="AU1121" s="46" t="s">
        <v>376</v>
      </c>
      <c r="AV1121" s="46"/>
      <c r="AW1121" s="46" t="s">
        <v>30</v>
      </c>
      <c r="AX1121" s="46"/>
      <c r="AY1121" s="46" t="s">
        <v>30</v>
      </c>
      <c r="AZ1121" s="46"/>
      <c r="BA1121" s="47"/>
      <c r="BB1121" s="51"/>
      <c r="BC1121" s="46"/>
      <c r="BD1121" s="46"/>
      <c r="BE1121" s="46"/>
      <c r="BF1121" s="46">
        <v>1</v>
      </c>
      <c r="BG1121" s="46">
        <v>1</v>
      </c>
      <c r="BH1121" s="46">
        <v>1</v>
      </c>
      <c r="BI1121" s="46" t="s">
        <v>588</v>
      </c>
      <c r="BJ1121" s="46" t="s">
        <v>798</v>
      </c>
      <c r="BK1121" s="46">
        <v>1990</v>
      </c>
      <c r="BL1121" s="46" t="str">
        <f>BK1121&amp;BI1121</f>
        <v>1990Liverpool</v>
      </c>
      <c r="BM1121" s="52" t="str">
        <f>IF(AD1121="Home",BI1121,IF(AD1121="Away",BJ1121,Q1121))</f>
        <v>Birmingham</v>
      </c>
      <c r="BN1121" s="46"/>
      <c r="BO1121" s="46"/>
      <c r="BP1121" s="46"/>
      <c r="BQ1121" s="46"/>
      <c r="BR1121" s="46"/>
      <c r="BS1121" s="46"/>
      <c r="BT1121" s="46"/>
      <c r="BU1121" s="46"/>
      <c r="BV1121" s="46" t="s">
        <v>376</v>
      </c>
      <c r="BW1121" s="46" t="s">
        <v>376</v>
      </c>
      <c r="BX1121" s="46"/>
      <c r="BY1121" s="52"/>
      <c r="BZ1121" s="53"/>
      <c r="CA1121" s="53"/>
      <c r="CB1121" s="93" t="str">
        <f>IF(OR(C1121="",A1121="",B1121=""),"",TEXT(C1121,"0000")&amp;TEXT(A1121,"00")&amp;TEXT(B1121,"00"))</f>
        <v>19900408</v>
      </c>
    </row>
    <row r="1122" spans="1:80" s="35" customFormat="1" ht="12.95" customHeight="1" x14ac:dyDescent="0.2">
      <c r="A1122" s="46">
        <v>4</v>
      </c>
      <c r="B1122" s="46">
        <v>11</v>
      </c>
      <c r="C1122" s="46">
        <v>1990</v>
      </c>
      <c r="D1122" s="46" t="s">
        <v>658</v>
      </c>
      <c r="E1122" s="46" t="s">
        <v>497</v>
      </c>
      <c r="F1122" s="47" t="s">
        <v>1010</v>
      </c>
      <c r="G1122" s="46"/>
      <c r="H1122" s="47" t="s">
        <v>1011</v>
      </c>
      <c r="I1122" s="47" t="s">
        <v>1023</v>
      </c>
      <c r="J1122" s="48">
        <v>32974</v>
      </c>
      <c r="K1122" s="46" t="s">
        <v>821</v>
      </c>
      <c r="L1122" s="46" t="s">
        <v>3</v>
      </c>
      <c r="M1122" s="46" t="s">
        <v>1254</v>
      </c>
      <c r="N1122" s="49">
        <v>2</v>
      </c>
      <c r="O1122" s="49">
        <v>1</v>
      </c>
      <c r="P1122" s="47" t="s">
        <v>1226</v>
      </c>
      <c r="Q1122" s="47" t="s">
        <v>1101</v>
      </c>
      <c r="R1122" s="47" t="s">
        <v>376</v>
      </c>
      <c r="S1122" s="46"/>
      <c r="T1122" s="46"/>
      <c r="U1122" s="46"/>
      <c r="V1122" s="46"/>
      <c r="W1122" s="46"/>
      <c r="X1122" s="46"/>
      <c r="Y1122" s="46"/>
      <c r="Z1122" s="46"/>
      <c r="AA1122" s="46"/>
      <c r="AB1122" s="46"/>
      <c r="AC1122" s="46"/>
      <c r="AD1122" s="46"/>
      <c r="AE1122" s="50">
        <f>IF(L1122="W",1,0)</f>
        <v>1</v>
      </c>
      <c r="AF1122" s="50">
        <f>IF(L1122="T",1,0)</f>
        <v>0</v>
      </c>
      <c r="AG1122" s="50">
        <f>IF(L1122="L",1,0)</f>
        <v>0</v>
      </c>
      <c r="AH1122" s="46" t="s">
        <v>1101</v>
      </c>
      <c r="AI1122" s="46" t="s">
        <v>1159</v>
      </c>
      <c r="AJ1122" s="46" t="s">
        <v>376</v>
      </c>
      <c r="AK1122" s="46" t="s">
        <v>658</v>
      </c>
      <c r="AL1122" s="46" t="s">
        <v>1101</v>
      </c>
      <c r="AM1122" s="46" t="s">
        <v>1159</v>
      </c>
      <c r="AN1122" s="46" t="s">
        <v>376</v>
      </c>
      <c r="AO1122" s="46" t="s">
        <v>658</v>
      </c>
      <c r="AP1122" s="46"/>
      <c r="AQ1122" s="46">
        <v>2</v>
      </c>
      <c r="AR1122" s="46"/>
      <c r="AS1122" s="46"/>
      <c r="AT1122" s="46"/>
      <c r="AU1122" s="46" t="s">
        <v>376</v>
      </c>
      <c r="AV1122" s="46"/>
      <c r="AW1122" s="46" t="s">
        <v>30</v>
      </c>
      <c r="AX1122" s="46"/>
      <c r="AY1122" s="46" t="s">
        <v>30</v>
      </c>
      <c r="AZ1122" s="46"/>
      <c r="BA1122" s="47"/>
      <c r="BB1122" s="51"/>
      <c r="BC1122" s="46"/>
      <c r="BD1122" s="46"/>
      <c r="BE1122" s="46"/>
      <c r="BF1122" s="46">
        <v>1</v>
      </c>
      <c r="BG1122" s="46">
        <v>1</v>
      </c>
      <c r="BH1122" s="46">
        <v>2</v>
      </c>
      <c r="BI1122" s="46" t="s">
        <v>821</v>
      </c>
      <c r="BJ1122" s="46" t="s">
        <v>1254</v>
      </c>
      <c r="BK1122" s="46">
        <v>1990</v>
      </c>
      <c r="BL1122" s="46" t="str">
        <f>BK1122&amp;BI1122</f>
        <v>1990Manchester United</v>
      </c>
      <c r="BM1122" s="52" t="str">
        <f>IF(AD1122="Home",BI1122,IF(AD1122="Away",BJ1122,Q1122))</f>
        <v>Manchester</v>
      </c>
      <c r="BN1122" s="46"/>
      <c r="BO1122" s="46"/>
      <c r="BP1122" s="46"/>
      <c r="BQ1122" s="46"/>
      <c r="BR1122" s="46"/>
      <c r="BS1122" s="46"/>
      <c r="BT1122" s="46"/>
      <c r="BU1122" s="46"/>
      <c r="BV1122" s="46" t="s">
        <v>376</v>
      </c>
      <c r="BW1122" s="46" t="s">
        <v>376</v>
      </c>
      <c r="BX1122" s="46"/>
      <c r="BY1122" s="52"/>
      <c r="BZ1122" s="53"/>
      <c r="CA1122" s="53"/>
      <c r="CB1122" s="93" t="str">
        <f>IF(OR(C1122="",A1122="",B1122=""),"",TEXT(C1122,"0000")&amp;TEXT(A1122,"00")&amp;TEXT(B1122,"00"))</f>
        <v>19900411</v>
      </c>
    </row>
    <row r="1123" spans="1:80" s="35" customFormat="1" ht="12.95" customHeight="1" x14ac:dyDescent="0.2">
      <c r="A1123" s="46">
        <v>4</v>
      </c>
      <c r="B1123" s="46">
        <v>11</v>
      </c>
      <c r="C1123" s="46">
        <v>1990</v>
      </c>
      <c r="D1123" s="46" t="s">
        <v>658</v>
      </c>
      <c r="E1123" s="46" t="s">
        <v>497</v>
      </c>
      <c r="F1123" s="47" t="s">
        <v>1010</v>
      </c>
      <c r="G1123" s="46"/>
      <c r="H1123" s="47" t="s">
        <v>1011</v>
      </c>
      <c r="I1123" s="47" t="s">
        <v>1023</v>
      </c>
      <c r="J1123" s="48">
        <v>32974</v>
      </c>
      <c r="K1123" s="46" t="s">
        <v>1254</v>
      </c>
      <c r="L1123" s="46" t="s">
        <v>4</v>
      </c>
      <c r="M1123" s="46" t="s">
        <v>821</v>
      </c>
      <c r="N1123" s="49">
        <v>1</v>
      </c>
      <c r="O1123" s="49">
        <v>2</v>
      </c>
      <c r="P1123" s="47" t="s">
        <v>1226</v>
      </c>
      <c r="Q1123" s="47" t="s">
        <v>1101</v>
      </c>
      <c r="R1123" s="47" t="s">
        <v>376</v>
      </c>
      <c r="S1123" s="46"/>
      <c r="T1123" s="46"/>
      <c r="U1123" s="46"/>
      <c r="V1123" s="46"/>
      <c r="W1123" s="46"/>
      <c r="X1123" s="46"/>
      <c r="Y1123" s="46"/>
      <c r="Z1123" s="46"/>
      <c r="AA1123" s="46"/>
      <c r="AB1123" s="46"/>
      <c r="AC1123" s="46"/>
      <c r="AD1123" s="46"/>
      <c r="AE1123" s="50">
        <f>IF(L1123="W",1,0)</f>
        <v>0</v>
      </c>
      <c r="AF1123" s="50">
        <f>IF(L1123="T",1,0)</f>
        <v>0</v>
      </c>
      <c r="AG1123" s="50">
        <f>IF(L1123="L",1,0)</f>
        <v>1</v>
      </c>
      <c r="AH1123" s="46" t="s">
        <v>1101</v>
      </c>
      <c r="AI1123" s="46" t="s">
        <v>1159</v>
      </c>
      <c r="AJ1123" s="46" t="s">
        <v>376</v>
      </c>
      <c r="AK1123" s="46" t="s">
        <v>658</v>
      </c>
      <c r="AL1123" s="46" t="s">
        <v>1101</v>
      </c>
      <c r="AM1123" s="46" t="s">
        <v>1159</v>
      </c>
      <c r="AN1123" s="46" t="s">
        <v>376</v>
      </c>
      <c r="AO1123" s="46" t="s">
        <v>658</v>
      </c>
      <c r="AP1123" s="46"/>
      <c r="AQ1123" s="46">
        <v>2</v>
      </c>
      <c r="AR1123" s="46"/>
      <c r="AS1123" s="46"/>
      <c r="AT1123" s="46"/>
      <c r="AU1123" s="46" t="s">
        <v>376</v>
      </c>
      <c r="AV1123" s="46"/>
      <c r="AW1123" s="46" t="s">
        <v>30</v>
      </c>
      <c r="AX1123" s="46"/>
      <c r="AY1123" s="46" t="s">
        <v>30</v>
      </c>
      <c r="AZ1123" s="46"/>
      <c r="BA1123" s="47"/>
      <c r="BB1123" s="51"/>
      <c r="BC1123" s="46"/>
      <c r="BD1123" s="46"/>
      <c r="BE1123" s="46"/>
      <c r="BF1123" s="46">
        <v>1</v>
      </c>
      <c r="BG1123" s="46">
        <v>2</v>
      </c>
      <c r="BH1123" s="46">
        <v>1</v>
      </c>
      <c r="BI1123" s="46" t="s">
        <v>1254</v>
      </c>
      <c r="BJ1123" s="46" t="s">
        <v>821</v>
      </c>
      <c r="BK1123" s="46">
        <v>1990</v>
      </c>
      <c r="BL1123" s="46" t="str">
        <f>BK1123&amp;BI1123</f>
        <v>1990Oldham Athletic</v>
      </c>
      <c r="BM1123" s="52" t="str">
        <f>IF(AD1123="Home",BI1123,IF(AD1123="Away",BJ1123,Q1123))</f>
        <v>Manchester</v>
      </c>
      <c r="BN1123" s="46"/>
      <c r="BO1123" s="46"/>
      <c r="BP1123" s="46"/>
      <c r="BQ1123" s="46"/>
      <c r="BR1123" s="46"/>
      <c r="BS1123" s="46"/>
      <c r="BT1123" s="46"/>
      <c r="BU1123" s="46"/>
      <c r="BV1123" s="46" t="s">
        <v>376</v>
      </c>
      <c r="BW1123" s="46" t="s">
        <v>376</v>
      </c>
      <c r="BX1123" s="46"/>
      <c r="BY1123" s="52"/>
      <c r="BZ1123" s="53"/>
      <c r="CA1123" s="53"/>
      <c r="CB1123" s="93" t="str">
        <f>IF(OR(C1123="",A1123="",B1123=""),"",TEXT(C1123,"0000")&amp;TEXT(A1123,"00")&amp;TEXT(B1123,"00"))</f>
        <v>19900411</v>
      </c>
    </row>
    <row r="1124" spans="1:80" s="35" customFormat="1" ht="12.95" customHeight="1" x14ac:dyDescent="0.2">
      <c r="A1124" s="46">
        <v>4</v>
      </c>
      <c r="B1124" s="46">
        <v>29</v>
      </c>
      <c r="C1124" s="46">
        <v>1990</v>
      </c>
      <c r="D1124" s="46" t="s">
        <v>658</v>
      </c>
      <c r="E1124" s="46" t="s">
        <v>497</v>
      </c>
      <c r="F1124" s="54" t="s">
        <v>1327</v>
      </c>
      <c r="G1124" s="46"/>
      <c r="H1124" s="54" t="s">
        <v>40</v>
      </c>
      <c r="I1124" s="54"/>
      <c r="J1124" s="55">
        <v>32992</v>
      </c>
      <c r="K1124" s="46" t="s">
        <v>1072</v>
      </c>
      <c r="L1124" s="46" t="s">
        <v>3</v>
      </c>
      <c r="M1124" s="46" t="s">
        <v>1254</v>
      </c>
      <c r="N1124" s="49">
        <v>1</v>
      </c>
      <c r="O1124" s="49">
        <v>0</v>
      </c>
      <c r="P1124" s="54" t="s">
        <v>1268</v>
      </c>
      <c r="Q1124" s="54" t="s">
        <v>1017</v>
      </c>
      <c r="R1124" s="54" t="s">
        <v>376</v>
      </c>
      <c r="S1124" s="46"/>
      <c r="T1124" s="46"/>
      <c r="U1124" s="46"/>
      <c r="V1124" s="46"/>
      <c r="W1124" s="46"/>
      <c r="X1124" s="46"/>
      <c r="Y1124" s="46"/>
      <c r="Z1124" s="46"/>
      <c r="AA1124" s="46"/>
      <c r="AB1124" s="46"/>
      <c r="AC1124" s="46"/>
      <c r="AD1124" s="46"/>
      <c r="AE1124" s="50">
        <f>IF(L1124="W",1,0)</f>
        <v>1</v>
      </c>
      <c r="AF1124" s="50">
        <f>IF(L1124="T",1,0)</f>
        <v>0</v>
      </c>
      <c r="AG1124" s="50">
        <f>IF(L1124="L",1,0)</f>
        <v>0</v>
      </c>
      <c r="AH1124" s="46" t="s">
        <v>1073</v>
      </c>
      <c r="AI1124" s="46" t="s">
        <v>1074</v>
      </c>
      <c r="AJ1124" s="46" t="s">
        <v>376</v>
      </c>
      <c r="AK1124" s="46" t="s">
        <v>658</v>
      </c>
      <c r="AL1124" s="46" t="s">
        <v>1101</v>
      </c>
      <c r="AM1124" s="46" t="s">
        <v>1159</v>
      </c>
      <c r="AN1124" s="46" t="s">
        <v>376</v>
      </c>
      <c r="AO1124" s="46" t="s">
        <v>658</v>
      </c>
      <c r="AP1124" s="46"/>
      <c r="AQ1124" s="46">
        <v>1</v>
      </c>
      <c r="AR1124" s="46"/>
      <c r="AS1124" s="46"/>
      <c r="AT1124" s="46"/>
      <c r="AU1124" s="46" t="s">
        <v>376</v>
      </c>
      <c r="AV1124" s="46"/>
      <c r="AW1124" s="46" t="s">
        <v>30</v>
      </c>
      <c r="AX1124" s="46"/>
      <c r="AY1124" s="46"/>
      <c r="AZ1124" s="46" t="s">
        <v>30</v>
      </c>
      <c r="BA1124" s="54"/>
      <c r="BB1124" s="51" t="s">
        <v>30</v>
      </c>
      <c r="BC1124" s="46" t="s">
        <v>30</v>
      </c>
      <c r="BD1124" s="46"/>
      <c r="BE1124" s="46"/>
      <c r="BF1124" s="46">
        <v>1</v>
      </c>
      <c r="BG1124" s="46">
        <v>1</v>
      </c>
      <c r="BH1124" s="46">
        <v>2</v>
      </c>
      <c r="BI1124" s="46" t="s">
        <v>1072</v>
      </c>
      <c r="BJ1124" s="46" t="s">
        <v>1254</v>
      </c>
      <c r="BK1124" s="46">
        <v>1990</v>
      </c>
      <c r="BL1124" s="46" t="str">
        <f>BK1124&amp;BI1124</f>
        <v>1990Nottingham Forest</v>
      </c>
      <c r="BM1124" s="52" t="str">
        <f>IF(AD1124="Home",BI1124,IF(AD1124="Away",BJ1124,Q1124))</f>
        <v>London</v>
      </c>
      <c r="BN1124" s="46"/>
      <c r="BO1124" s="46"/>
      <c r="BP1124" s="46"/>
      <c r="BQ1124" s="46"/>
      <c r="BR1124" s="46"/>
      <c r="BS1124" s="46"/>
      <c r="BT1124" s="46"/>
      <c r="BU1124" s="46"/>
      <c r="BV1124" s="46" t="s">
        <v>376</v>
      </c>
      <c r="BW1124" s="46" t="s">
        <v>376</v>
      </c>
      <c r="BX1124" s="46"/>
      <c r="BY1124" s="52"/>
      <c r="BZ1124" s="53"/>
      <c r="CA1124" s="53"/>
      <c r="CB1124" s="93" t="str">
        <f>IF(OR(C1124="",A1124="",B1124=""),"",TEXT(C1124,"0000")&amp;TEXT(A1124,"00")&amp;TEXT(B1124,"00"))</f>
        <v>19900429</v>
      </c>
    </row>
    <row r="1125" spans="1:80" s="35" customFormat="1" ht="12.95" customHeight="1" x14ac:dyDescent="0.2">
      <c r="A1125" s="46">
        <v>4</v>
      </c>
      <c r="B1125" s="46">
        <v>29</v>
      </c>
      <c r="C1125" s="46">
        <v>1990</v>
      </c>
      <c r="D1125" s="46" t="s">
        <v>658</v>
      </c>
      <c r="E1125" s="46" t="s">
        <v>497</v>
      </c>
      <c r="F1125" s="54" t="s">
        <v>1327</v>
      </c>
      <c r="G1125" s="46"/>
      <c r="H1125" s="54" t="s">
        <v>40</v>
      </c>
      <c r="I1125" s="54"/>
      <c r="J1125" s="55">
        <v>32992</v>
      </c>
      <c r="K1125" s="46" t="s">
        <v>1254</v>
      </c>
      <c r="L1125" s="46" t="s">
        <v>4</v>
      </c>
      <c r="M1125" s="46" t="s">
        <v>1072</v>
      </c>
      <c r="N1125" s="49">
        <v>0</v>
      </c>
      <c r="O1125" s="49">
        <v>1</v>
      </c>
      <c r="P1125" s="54" t="s">
        <v>1268</v>
      </c>
      <c r="Q1125" s="54" t="s">
        <v>1017</v>
      </c>
      <c r="R1125" s="54" t="s">
        <v>376</v>
      </c>
      <c r="S1125" s="46"/>
      <c r="T1125" s="46"/>
      <c r="U1125" s="46"/>
      <c r="V1125" s="46"/>
      <c r="W1125" s="46"/>
      <c r="X1125" s="46"/>
      <c r="Y1125" s="46"/>
      <c r="Z1125" s="46"/>
      <c r="AA1125" s="46"/>
      <c r="AB1125" s="46"/>
      <c r="AC1125" s="46"/>
      <c r="AD1125" s="46"/>
      <c r="AE1125" s="50">
        <f>IF(L1125="W",1,0)</f>
        <v>0</v>
      </c>
      <c r="AF1125" s="50">
        <f>IF(L1125="T",1,0)</f>
        <v>0</v>
      </c>
      <c r="AG1125" s="50">
        <f>IF(L1125="L",1,0)</f>
        <v>1</v>
      </c>
      <c r="AH1125" s="46" t="s">
        <v>1101</v>
      </c>
      <c r="AI1125" s="46" t="s">
        <v>1159</v>
      </c>
      <c r="AJ1125" s="46" t="s">
        <v>376</v>
      </c>
      <c r="AK1125" s="46" t="s">
        <v>658</v>
      </c>
      <c r="AL1125" s="46" t="s">
        <v>1073</v>
      </c>
      <c r="AM1125" s="46" t="s">
        <v>1074</v>
      </c>
      <c r="AN1125" s="46" t="s">
        <v>376</v>
      </c>
      <c r="AO1125" s="46" t="s">
        <v>658</v>
      </c>
      <c r="AP1125" s="46"/>
      <c r="AQ1125" s="46">
        <v>1</v>
      </c>
      <c r="AR1125" s="46"/>
      <c r="AS1125" s="46"/>
      <c r="AT1125" s="46"/>
      <c r="AU1125" s="46" t="s">
        <v>376</v>
      </c>
      <c r="AV1125" s="46"/>
      <c r="AW1125" s="46" t="s">
        <v>30</v>
      </c>
      <c r="AX1125" s="46"/>
      <c r="AY1125" s="46"/>
      <c r="AZ1125" s="46" t="s">
        <v>30</v>
      </c>
      <c r="BA1125" s="54"/>
      <c r="BB1125" s="51"/>
      <c r="BC1125" s="46" t="s">
        <v>30</v>
      </c>
      <c r="BD1125" s="46"/>
      <c r="BE1125" s="46"/>
      <c r="BF1125" s="46">
        <v>1</v>
      </c>
      <c r="BG1125" s="46">
        <v>2</v>
      </c>
      <c r="BH1125" s="46">
        <v>1</v>
      </c>
      <c r="BI1125" s="46" t="s">
        <v>1254</v>
      </c>
      <c r="BJ1125" s="46" t="s">
        <v>1072</v>
      </c>
      <c r="BK1125" s="46">
        <v>1990</v>
      </c>
      <c r="BL1125" s="46" t="str">
        <f>BK1125&amp;BI1125</f>
        <v>1990Oldham Athletic</v>
      </c>
      <c r="BM1125" s="52" t="str">
        <f>IF(AD1125="Home",BI1125,IF(AD1125="Away",BJ1125,Q1125))</f>
        <v>London</v>
      </c>
      <c r="BN1125" s="46"/>
      <c r="BO1125" s="46"/>
      <c r="BP1125" s="46"/>
      <c r="BQ1125" s="46"/>
      <c r="BR1125" s="46"/>
      <c r="BS1125" s="46"/>
      <c r="BT1125" s="46"/>
      <c r="BU1125" s="46"/>
      <c r="BV1125" s="46" t="s">
        <v>376</v>
      </c>
      <c r="BW1125" s="46" t="s">
        <v>376</v>
      </c>
      <c r="BX1125" s="46"/>
      <c r="BY1125" s="52"/>
      <c r="BZ1125" s="53"/>
      <c r="CA1125" s="53"/>
      <c r="CB1125" s="93" t="str">
        <f>IF(OR(C1125="",A1125="",B1125=""),"",TEXT(C1125,"0000")&amp;TEXT(A1125,"00")&amp;TEXT(B1125,"00"))</f>
        <v>19900429</v>
      </c>
    </row>
    <row r="1126" spans="1:80" s="35" customFormat="1" ht="12.95" customHeight="1" x14ac:dyDescent="0.2">
      <c r="A1126" s="46">
        <v>5</v>
      </c>
      <c r="B1126" s="46">
        <v>12</v>
      </c>
      <c r="C1126" s="46">
        <v>1990</v>
      </c>
      <c r="D1126" s="46" t="s">
        <v>658</v>
      </c>
      <c r="E1126" s="46" t="s">
        <v>497</v>
      </c>
      <c r="F1126" s="47" t="s">
        <v>1010</v>
      </c>
      <c r="G1126" s="46"/>
      <c r="H1126" s="47" t="s">
        <v>1025</v>
      </c>
      <c r="I1126" s="47"/>
      <c r="J1126" s="48">
        <v>33005</v>
      </c>
      <c r="K1126" s="46" t="s">
        <v>821</v>
      </c>
      <c r="L1126" s="46" t="s">
        <v>1014</v>
      </c>
      <c r="M1126" s="46" t="s">
        <v>798</v>
      </c>
      <c r="N1126" s="49">
        <v>3</v>
      </c>
      <c r="O1126" s="49">
        <v>3</v>
      </c>
      <c r="P1126" s="47" t="s">
        <v>1268</v>
      </c>
      <c r="Q1126" s="47" t="s">
        <v>1017</v>
      </c>
      <c r="R1126" s="47" t="s">
        <v>376</v>
      </c>
      <c r="S1126" s="46"/>
      <c r="T1126" s="46"/>
      <c r="U1126" s="46"/>
      <c r="V1126" s="46"/>
      <c r="W1126" s="46"/>
      <c r="X1126" s="46"/>
      <c r="Y1126" s="46"/>
      <c r="Z1126" s="46"/>
      <c r="AA1126" s="46"/>
      <c r="AB1126" s="46"/>
      <c r="AC1126" s="46"/>
      <c r="AD1126" s="46"/>
      <c r="AE1126" s="50">
        <f>IF(L1126="W",1,0)</f>
        <v>0</v>
      </c>
      <c r="AF1126" s="50">
        <f>IF(L1126="T",1,0)</f>
        <v>1</v>
      </c>
      <c r="AG1126" s="50">
        <f>IF(L1126="L",1,0)</f>
        <v>0</v>
      </c>
      <c r="AH1126" s="46" t="s">
        <v>1101</v>
      </c>
      <c r="AI1126" s="46" t="s">
        <v>1159</v>
      </c>
      <c r="AJ1126" s="46" t="s">
        <v>376</v>
      </c>
      <c r="AK1126" s="46" t="s">
        <v>658</v>
      </c>
      <c r="AL1126" s="46" t="s">
        <v>1017</v>
      </c>
      <c r="AM1126" s="46" t="s">
        <v>1018</v>
      </c>
      <c r="AN1126" s="46" t="s">
        <v>376</v>
      </c>
      <c r="AO1126" s="46" t="s">
        <v>658</v>
      </c>
      <c r="AP1126" s="46"/>
      <c r="AQ1126" s="46">
        <v>1</v>
      </c>
      <c r="AR1126" s="46"/>
      <c r="AS1126" s="46"/>
      <c r="AT1126" s="46"/>
      <c r="AU1126" s="46" t="s">
        <v>376</v>
      </c>
      <c r="AV1126" s="46"/>
      <c r="AW1126" s="46" t="s">
        <v>30</v>
      </c>
      <c r="AX1126" s="46"/>
      <c r="AY1126" s="46" t="s">
        <v>30</v>
      </c>
      <c r="AZ1126" s="46"/>
      <c r="BA1126" s="47"/>
      <c r="BB1126" s="51"/>
      <c r="BC1126" s="46" t="s">
        <v>30</v>
      </c>
      <c r="BD1126" s="46"/>
      <c r="BE1126" s="46"/>
      <c r="BF1126" s="46">
        <v>1</v>
      </c>
      <c r="BG1126" s="46">
        <v>1</v>
      </c>
      <c r="BH1126" s="46">
        <v>1</v>
      </c>
      <c r="BI1126" s="46" t="s">
        <v>821</v>
      </c>
      <c r="BJ1126" s="46" t="s">
        <v>798</v>
      </c>
      <c r="BK1126" s="46">
        <v>1990</v>
      </c>
      <c r="BL1126" s="46" t="str">
        <f>BK1126&amp;BI1126</f>
        <v>1990Manchester United</v>
      </c>
      <c r="BM1126" s="52" t="str">
        <f>IF(AD1126="Home",BI1126,IF(AD1126="Away",BJ1126,Q1126))</f>
        <v>London</v>
      </c>
      <c r="BN1126" s="46"/>
      <c r="BO1126" s="46"/>
      <c r="BP1126" s="46"/>
      <c r="BQ1126" s="46"/>
      <c r="BR1126" s="46"/>
      <c r="BS1126" s="46"/>
      <c r="BT1126" s="46"/>
      <c r="BU1126" s="46"/>
      <c r="BV1126" s="46" t="s">
        <v>376</v>
      </c>
      <c r="BW1126" s="46" t="s">
        <v>376</v>
      </c>
      <c r="BX1126" s="46"/>
      <c r="BY1126" s="52"/>
      <c r="BZ1126" s="53"/>
      <c r="CA1126" s="53"/>
      <c r="CB1126" s="93" t="str">
        <f>IF(OR(C1126="",A1126="",B1126=""),"",TEXT(C1126,"0000")&amp;TEXT(A1126,"00")&amp;TEXT(B1126,"00"))</f>
        <v>19900512</v>
      </c>
    </row>
    <row r="1127" spans="1:80" s="35" customFormat="1" ht="12.95" customHeight="1" x14ac:dyDescent="0.2">
      <c r="A1127" s="46">
        <v>5</v>
      </c>
      <c r="B1127" s="46">
        <v>12</v>
      </c>
      <c r="C1127" s="46">
        <v>1990</v>
      </c>
      <c r="D1127" s="46" t="s">
        <v>658</v>
      </c>
      <c r="E1127" s="46" t="s">
        <v>497</v>
      </c>
      <c r="F1127" s="47" t="s">
        <v>1010</v>
      </c>
      <c r="G1127" s="46"/>
      <c r="H1127" s="47" t="s">
        <v>1025</v>
      </c>
      <c r="I1127" s="47"/>
      <c r="J1127" s="48">
        <v>33005</v>
      </c>
      <c r="K1127" s="46" t="s">
        <v>798</v>
      </c>
      <c r="L1127" s="46" t="s">
        <v>1014</v>
      </c>
      <c r="M1127" s="46" t="s">
        <v>821</v>
      </c>
      <c r="N1127" s="49">
        <v>3</v>
      </c>
      <c r="O1127" s="49">
        <v>3</v>
      </c>
      <c r="P1127" s="47" t="s">
        <v>1268</v>
      </c>
      <c r="Q1127" s="47" t="s">
        <v>1017</v>
      </c>
      <c r="R1127" s="47" t="s">
        <v>376</v>
      </c>
      <c r="S1127" s="46"/>
      <c r="T1127" s="46"/>
      <c r="U1127" s="46"/>
      <c r="V1127" s="46"/>
      <c r="W1127" s="46"/>
      <c r="X1127" s="46"/>
      <c r="Y1127" s="46"/>
      <c r="Z1127" s="46"/>
      <c r="AA1127" s="46"/>
      <c r="AB1127" s="46"/>
      <c r="AC1127" s="46"/>
      <c r="AD1127" s="46"/>
      <c r="AE1127" s="50">
        <f>IF(L1127="W",1,0)</f>
        <v>0</v>
      </c>
      <c r="AF1127" s="50">
        <f>IF(L1127="T",1,0)</f>
        <v>1</v>
      </c>
      <c r="AG1127" s="50">
        <f>IF(L1127="L",1,0)</f>
        <v>0</v>
      </c>
      <c r="AH1127" s="46" t="s">
        <v>1017</v>
      </c>
      <c r="AI1127" s="46" t="s">
        <v>1018</v>
      </c>
      <c r="AJ1127" s="46" t="s">
        <v>376</v>
      </c>
      <c r="AK1127" s="46" t="s">
        <v>658</v>
      </c>
      <c r="AL1127" s="46" t="s">
        <v>1101</v>
      </c>
      <c r="AM1127" s="46" t="s">
        <v>1159</v>
      </c>
      <c r="AN1127" s="46" t="s">
        <v>376</v>
      </c>
      <c r="AO1127" s="46" t="s">
        <v>658</v>
      </c>
      <c r="AP1127" s="46"/>
      <c r="AQ1127" s="46">
        <v>1</v>
      </c>
      <c r="AR1127" s="46"/>
      <c r="AS1127" s="46"/>
      <c r="AT1127" s="46"/>
      <c r="AU1127" s="46" t="s">
        <v>376</v>
      </c>
      <c r="AV1127" s="46"/>
      <c r="AW1127" s="46" t="s">
        <v>30</v>
      </c>
      <c r="AX1127" s="46"/>
      <c r="AY1127" s="46" t="s">
        <v>30</v>
      </c>
      <c r="AZ1127" s="46"/>
      <c r="BA1127" s="47"/>
      <c r="BB1127" s="51"/>
      <c r="BC1127" s="46" t="s">
        <v>30</v>
      </c>
      <c r="BD1127" s="46"/>
      <c r="BE1127" s="46"/>
      <c r="BF1127" s="46">
        <v>1</v>
      </c>
      <c r="BG1127" s="46">
        <v>1</v>
      </c>
      <c r="BH1127" s="46">
        <v>1</v>
      </c>
      <c r="BI1127" s="46" t="s">
        <v>798</v>
      </c>
      <c r="BJ1127" s="46" t="s">
        <v>821</v>
      </c>
      <c r="BK1127" s="46">
        <v>1990</v>
      </c>
      <c r="BL1127" s="46" t="str">
        <f>BK1127&amp;BI1127</f>
        <v>1990Crystal Palace</v>
      </c>
      <c r="BM1127" s="52" t="str">
        <f>IF(AD1127="Home",BI1127,IF(AD1127="Away",BJ1127,Q1127))</f>
        <v>London</v>
      </c>
      <c r="BN1127" s="46"/>
      <c r="BO1127" s="46"/>
      <c r="BP1127" s="46"/>
      <c r="BQ1127" s="46"/>
      <c r="BR1127" s="46"/>
      <c r="BS1127" s="46"/>
      <c r="BT1127" s="46"/>
      <c r="BU1127" s="46"/>
      <c r="BV1127" s="46" t="s">
        <v>376</v>
      </c>
      <c r="BW1127" s="46" t="s">
        <v>376</v>
      </c>
      <c r="BX1127" s="46"/>
      <c r="BY1127" s="52"/>
      <c r="BZ1127" s="53"/>
      <c r="CA1127" s="53"/>
      <c r="CB1127" s="93" t="str">
        <f>IF(OR(C1127="",A1127="",B1127=""),"",TEXT(C1127,"0000")&amp;TEXT(A1127,"00")&amp;TEXT(B1127,"00"))</f>
        <v>19900512</v>
      </c>
    </row>
    <row r="1128" spans="1:80" s="35" customFormat="1" ht="12.95" customHeight="1" x14ac:dyDescent="0.2">
      <c r="A1128" s="46">
        <v>5</v>
      </c>
      <c r="B1128" s="46">
        <v>17</v>
      </c>
      <c r="C1128" s="46">
        <v>1990</v>
      </c>
      <c r="D1128" s="46" t="s">
        <v>658</v>
      </c>
      <c r="E1128" s="46" t="s">
        <v>497</v>
      </c>
      <c r="F1128" s="47" t="s">
        <v>1010</v>
      </c>
      <c r="G1128" s="46"/>
      <c r="H1128" s="47" t="s">
        <v>1025</v>
      </c>
      <c r="I1128" s="47" t="s">
        <v>1023</v>
      </c>
      <c r="J1128" s="48">
        <v>33010</v>
      </c>
      <c r="K1128" s="46" t="s">
        <v>821</v>
      </c>
      <c r="L1128" s="46" t="s">
        <v>3</v>
      </c>
      <c r="M1128" s="46" t="s">
        <v>798</v>
      </c>
      <c r="N1128" s="49">
        <v>1</v>
      </c>
      <c r="O1128" s="49">
        <v>0</v>
      </c>
      <c r="P1128" s="47" t="s">
        <v>1268</v>
      </c>
      <c r="Q1128" s="47" t="s">
        <v>1017</v>
      </c>
      <c r="R1128" s="47" t="s">
        <v>376</v>
      </c>
      <c r="S1128" s="46"/>
      <c r="T1128" s="46"/>
      <c r="U1128" s="46"/>
      <c r="V1128" s="46"/>
      <c r="W1128" s="46"/>
      <c r="X1128" s="46"/>
      <c r="Y1128" s="46"/>
      <c r="Z1128" s="46"/>
      <c r="AA1128" s="46"/>
      <c r="AB1128" s="46"/>
      <c r="AC1128" s="46"/>
      <c r="AD1128" s="46"/>
      <c r="AE1128" s="50">
        <f>IF(L1128="W",1,0)</f>
        <v>1</v>
      </c>
      <c r="AF1128" s="50">
        <f>IF(L1128="T",1,0)</f>
        <v>0</v>
      </c>
      <c r="AG1128" s="50">
        <f>IF(L1128="L",1,0)</f>
        <v>0</v>
      </c>
      <c r="AH1128" s="46" t="s">
        <v>1101</v>
      </c>
      <c r="AI1128" s="46" t="s">
        <v>1159</v>
      </c>
      <c r="AJ1128" s="46" t="s">
        <v>376</v>
      </c>
      <c r="AK1128" s="46" t="s">
        <v>658</v>
      </c>
      <c r="AL1128" s="46" t="s">
        <v>1017</v>
      </c>
      <c r="AM1128" s="46" t="s">
        <v>1018</v>
      </c>
      <c r="AN1128" s="46" t="s">
        <v>376</v>
      </c>
      <c r="AO1128" s="46" t="s">
        <v>658</v>
      </c>
      <c r="AP1128" s="46"/>
      <c r="AQ1128" s="46">
        <v>1</v>
      </c>
      <c r="AR1128" s="46"/>
      <c r="AS1128" s="46"/>
      <c r="AT1128" s="46"/>
      <c r="AU1128" s="46" t="s">
        <v>376</v>
      </c>
      <c r="AV1128" s="46"/>
      <c r="AW1128" s="46" t="s">
        <v>30</v>
      </c>
      <c r="AX1128" s="46"/>
      <c r="AY1128" s="46" t="s">
        <v>30</v>
      </c>
      <c r="AZ1128" s="46"/>
      <c r="BA1128" s="47"/>
      <c r="BB1128" s="51" t="s">
        <v>30</v>
      </c>
      <c r="BC1128" s="46" t="s">
        <v>30</v>
      </c>
      <c r="BD1128" s="46"/>
      <c r="BE1128" s="46"/>
      <c r="BF1128" s="46">
        <v>1</v>
      </c>
      <c r="BG1128" s="46">
        <v>1</v>
      </c>
      <c r="BH1128" s="46">
        <v>1</v>
      </c>
      <c r="BI1128" s="46" t="s">
        <v>821</v>
      </c>
      <c r="BJ1128" s="46" t="s">
        <v>798</v>
      </c>
      <c r="BK1128" s="46">
        <v>1990</v>
      </c>
      <c r="BL1128" s="46" t="str">
        <f>BK1128&amp;BI1128</f>
        <v>1990Manchester United</v>
      </c>
      <c r="BM1128" s="52" t="str">
        <f>IF(AD1128="Home",BI1128,IF(AD1128="Away",BJ1128,Q1128))</f>
        <v>London</v>
      </c>
      <c r="BN1128" s="46"/>
      <c r="BO1128" s="46"/>
      <c r="BP1128" s="46"/>
      <c r="BQ1128" s="46"/>
      <c r="BR1128" s="46"/>
      <c r="BS1128" s="46"/>
      <c r="BT1128" s="46"/>
      <c r="BU1128" s="46"/>
      <c r="BV1128" s="46" t="s">
        <v>376</v>
      </c>
      <c r="BW1128" s="46" t="s">
        <v>376</v>
      </c>
      <c r="BX1128" s="46"/>
      <c r="BY1128" s="52"/>
      <c r="BZ1128" s="53"/>
      <c r="CA1128" s="53"/>
      <c r="CB1128" s="93" t="str">
        <f>IF(OR(C1128="",A1128="",B1128=""),"",TEXT(C1128,"0000")&amp;TEXT(A1128,"00")&amp;TEXT(B1128,"00"))</f>
        <v>19900517</v>
      </c>
    </row>
    <row r="1129" spans="1:80" s="35" customFormat="1" ht="12.95" customHeight="1" x14ac:dyDescent="0.2">
      <c r="A1129" s="46">
        <v>5</v>
      </c>
      <c r="B1129" s="46">
        <v>17</v>
      </c>
      <c r="C1129" s="46">
        <v>1990</v>
      </c>
      <c r="D1129" s="46" t="s">
        <v>658</v>
      </c>
      <c r="E1129" s="46" t="s">
        <v>497</v>
      </c>
      <c r="F1129" s="47" t="s">
        <v>1010</v>
      </c>
      <c r="G1129" s="46"/>
      <c r="H1129" s="47" t="s">
        <v>1025</v>
      </c>
      <c r="I1129" s="47" t="s">
        <v>1023</v>
      </c>
      <c r="J1129" s="48">
        <v>33010</v>
      </c>
      <c r="K1129" s="46" t="s">
        <v>798</v>
      </c>
      <c r="L1129" s="46" t="s">
        <v>4</v>
      </c>
      <c r="M1129" s="46" t="s">
        <v>821</v>
      </c>
      <c r="N1129" s="49">
        <v>0</v>
      </c>
      <c r="O1129" s="49">
        <v>1</v>
      </c>
      <c r="P1129" s="47" t="s">
        <v>1268</v>
      </c>
      <c r="Q1129" s="47" t="s">
        <v>1017</v>
      </c>
      <c r="R1129" s="47" t="s">
        <v>376</v>
      </c>
      <c r="S1129" s="46"/>
      <c r="T1129" s="46"/>
      <c r="U1129" s="46"/>
      <c r="V1129" s="46"/>
      <c r="W1129" s="46"/>
      <c r="X1129" s="46"/>
      <c r="Y1129" s="46"/>
      <c r="Z1129" s="46"/>
      <c r="AA1129" s="46"/>
      <c r="AB1129" s="46"/>
      <c r="AC1129" s="46"/>
      <c r="AD1129" s="46"/>
      <c r="AE1129" s="50">
        <f>IF(L1129="W",1,0)</f>
        <v>0</v>
      </c>
      <c r="AF1129" s="50">
        <f>IF(L1129="T",1,0)</f>
        <v>0</v>
      </c>
      <c r="AG1129" s="50">
        <f>IF(L1129="L",1,0)</f>
        <v>1</v>
      </c>
      <c r="AH1129" s="46" t="s">
        <v>1017</v>
      </c>
      <c r="AI1129" s="46" t="s">
        <v>1018</v>
      </c>
      <c r="AJ1129" s="46" t="s">
        <v>376</v>
      </c>
      <c r="AK1129" s="46" t="s">
        <v>658</v>
      </c>
      <c r="AL1129" s="46" t="s">
        <v>1101</v>
      </c>
      <c r="AM1129" s="46" t="s">
        <v>1159</v>
      </c>
      <c r="AN1129" s="46" t="s">
        <v>376</v>
      </c>
      <c r="AO1129" s="46" t="s">
        <v>658</v>
      </c>
      <c r="AP1129" s="46"/>
      <c r="AQ1129" s="46">
        <v>1</v>
      </c>
      <c r="AR1129" s="46"/>
      <c r="AS1129" s="46"/>
      <c r="AT1129" s="46"/>
      <c r="AU1129" s="46" t="s">
        <v>376</v>
      </c>
      <c r="AV1129" s="46"/>
      <c r="AW1129" s="46" t="s">
        <v>30</v>
      </c>
      <c r="AX1129" s="46"/>
      <c r="AY1129" s="46" t="s">
        <v>30</v>
      </c>
      <c r="AZ1129" s="46"/>
      <c r="BA1129" s="47"/>
      <c r="BB1129" s="51"/>
      <c r="BC1129" s="46" t="s">
        <v>30</v>
      </c>
      <c r="BD1129" s="46"/>
      <c r="BE1129" s="46"/>
      <c r="BF1129" s="46">
        <v>1</v>
      </c>
      <c r="BG1129" s="46">
        <v>1</v>
      </c>
      <c r="BH1129" s="46">
        <v>1</v>
      </c>
      <c r="BI1129" s="46" t="s">
        <v>798</v>
      </c>
      <c r="BJ1129" s="46" t="s">
        <v>821</v>
      </c>
      <c r="BK1129" s="46">
        <v>1990</v>
      </c>
      <c r="BL1129" s="46" t="str">
        <f>BK1129&amp;BI1129</f>
        <v>1990Crystal Palace</v>
      </c>
      <c r="BM1129" s="52" t="str">
        <f>IF(AD1129="Home",BI1129,IF(AD1129="Away",BJ1129,Q1129))</f>
        <v>London</v>
      </c>
      <c r="BN1129" s="46"/>
      <c r="BO1129" s="46"/>
      <c r="BP1129" s="46"/>
      <c r="BQ1129" s="46"/>
      <c r="BR1129" s="46"/>
      <c r="BS1129" s="46"/>
      <c r="BT1129" s="46"/>
      <c r="BU1129" s="46"/>
      <c r="BV1129" s="46" t="s">
        <v>376</v>
      </c>
      <c r="BW1129" s="46" t="s">
        <v>376</v>
      </c>
      <c r="BX1129" s="46"/>
      <c r="BY1129" s="52"/>
      <c r="BZ1129" s="53"/>
      <c r="CA1129" s="53"/>
      <c r="CB1129" s="93" t="str">
        <f>IF(OR(C1129="",A1129="",B1129=""),"",TEXT(C1129,"0000")&amp;TEXT(A1129,"00")&amp;TEXT(B1129,"00"))</f>
        <v>19900517</v>
      </c>
    </row>
    <row r="1130" spans="1:80" s="35" customFormat="1" ht="12.95" customHeight="1" x14ac:dyDescent="0.2">
      <c r="A1130" s="46">
        <v>2</v>
      </c>
      <c r="B1130" s="46">
        <v>10</v>
      </c>
      <c r="C1130" s="46">
        <v>1991</v>
      </c>
      <c r="D1130" s="46" t="s">
        <v>658</v>
      </c>
      <c r="E1130" s="46" t="s">
        <v>481</v>
      </c>
      <c r="F1130" s="54" t="s">
        <v>1327</v>
      </c>
      <c r="G1130" s="46"/>
      <c r="H1130" s="54" t="s">
        <v>1011</v>
      </c>
      <c r="I1130" s="54">
        <v>1</v>
      </c>
      <c r="J1130" s="55">
        <v>33279</v>
      </c>
      <c r="K1130" s="46" t="s">
        <v>821</v>
      </c>
      <c r="L1130" s="46" t="s">
        <v>3</v>
      </c>
      <c r="M1130" s="46" t="s">
        <v>794</v>
      </c>
      <c r="N1130" s="49">
        <v>2</v>
      </c>
      <c r="O1130" s="49">
        <v>1</v>
      </c>
      <c r="P1130" s="54" t="s">
        <v>1246</v>
      </c>
      <c r="Q1130" s="54" t="s">
        <v>1101</v>
      </c>
      <c r="R1130" s="54" t="s">
        <v>376</v>
      </c>
      <c r="S1130" s="46"/>
      <c r="T1130" s="46"/>
      <c r="U1130" s="46"/>
      <c r="V1130" s="46"/>
      <c r="W1130" s="46"/>
      <c r="X1130" s="46"/>
      <c r="Y1130" s="46"/>
      <c r="Z1130" s="46"/>
      <c r="AA1130" s="46"/>
      <c r="AB1130" s="46"/>
      <c r="AC1130" s="46"/>
      <c r="AD1130" s="46" t="s">
        <v>1033</v>
      </c>
      <c r="AE1130" s="50">
        <f>IF(L1130="W",1,0)</f>
        <v>1</v>
      </c>
      <c r="AF1130" s="50">
        <f>IF(L1130="T",1,0)</f>
        <v>0</v>
      </c>
      <c r="AG1130" s="50">
        <f>IF(L1130="L",1,0)</f>
        <v>0</v>
      </c>
      <c r="AH1130" s="46" t="s">
        <v>1101</v>
      </c>
      <c r="AI1130" s="46" t="s">
        <v>1159</v>
      </c>
      <c r="AJ1130" s="46" t="s">
        <v>376</v>
      </c>
      <c r="AK1130" s="46" t="s">
        <v>658</v>
      </c>
      <c r="AL1130" s="46" t="s">
        <v>1241</v>
      </c>
      <c r="AM1130" s="46" t="s">
        <v>1260</v>
      </c>
      <c r="AN1130" s="46" t="s">
        <v>376</v>
      </c>
      <c r="AO1130" s="46" t="s">
        <v>658</v>
      </c>
      <c r="AP1130" s="46"/>
      <c r="AQ1130" s="46">
        <v>2</v>
      </c>
      <c r="AR1130" s="46"/>
      <c r="AS1130" s="46"/>
      <c r="AT1130" s="46"/>
      <c r="AU1130" s="46" t="s">
        <v>376</v>
      </c>
      <c r="AV1130" s="46"/>
      <c r="AW1130" s="46" t="s">
        <v>30</v>
      </c>
      <c r="AX1130" s="46"/>
      <c r="AY1130" s="46"/>
      <c r="AZ1130" s="46" t="s">
        <v>30</v>
      </c>
      <c r="BA1130" s="54"/>
      <c r="BB1130" s="51"/>
      <c r="BC1130" s="46"/>
      <c r="BD1130" s="46"/>
      <c r="BE1130" s="46"/>
      <c r="BF1130" s="46">
        <v>1</v>
      </c>
      <c r="BG1130" s="46">
        <v>1</v>
      </c>
      <c r="BH1130" s="46">
        <v>1</v>
      </c>
      <c r="BI1130" s="46" t="s">
        <v>821</v>
      </c>
      <c r="BJ1130" s="46" t="s">
        <v>794</v>
      </c>
      <c r="BK1130" s="46">
        <v>1991</v>
      </c>
      <c r="BL1130" s="46" t="str">
        <f>BK1130&amp;BI1130</f>
        <v>1991Manchester United</v>
      </c>
      <c r="BM1130" s="52" t="str">
        <f>IF(AD1130="Home",BI1130,IF(AD1130="Away",BJ1130,Q1130))</f>
        <v>Manchester United</v>
      </c>
      <c r="BN1130" s="46"/>
      <c r="BO1130" s="46"/>
      <c r="BP1130" s="46"/>
      <c r="BQ1130" s="46"/>
      <c r="BR1130" s="46"/>
      <c r="BS1130" s="46"/>
      <c r="BT1130" s="46"/>
      <c r="BU1130" s="46"/>
      <c r="BV1130" s="46" t="s">
        <v>376</v>
      </c>
      <c r="BW1130" s="46" t="s">
        <v>376</v>
      </c>
      <c r="BX1130" s="46"/>
      <c r="BY1130" s="52"/>
      <c r="BZ1130" s="53"/>
      <c r="CA1130" s="53"/>
      <c r="CB1130" s="93" t="str">
        <f>IF(OR(C1130="",A1130="",B1130=""),"",TEXT(C1130,"0000")&amp;TEXT(A1130,"00")&amp;TEXT(B1130,"00"))</f>
        <v>19910210</v>
      </c>
    </row>
    <row r="1131" spans="1:80" s="35" customFormat="1" ht="12.95" customHeight="1" x14ac:dyDescent="0.2">
      <c r="A1131" s="46">
        <v>2</v>
      </c>
      <c r="B1131" s="46">
        <v>10</v>
      </c>
      <c r="C1131" s="46">
        <v>1991</v>
      </c>
      <c r="D1131" s="46" t="s">
        <v>658</v>
      </c>
      <c r="E1131" s="46" t="s">
        <v>481</v>
      </c>
      <c r="F1131" s="54" t="s">
        <v>1327</v>
      </c>
      <c r="G1131" s="46"/>
      <c r="H1131" s="54" t="s">
        <v>1011</v>
      </c>
      <c r="I1131" s="54">
        <v>1</v>
      </c>
      <c r="J1131" s="55">
        <v>33279</v>
      </c>
      <c r="K1131" s="46" t="s">
        <v>794</v>
      </c>
      <c r="L1131" s="46" t="s">
        <v>4</v>
      </c>
      <c r="M1131" s="46" t="s">
        <v>821</v>
      </c>
      <c r="N1131" s="49">
        <v>1</v>
      </c>
      <c r="O1131" s="49">
        <v>2</v>
      </c>
      <c r="P1131" s="54" t="s">
        <v>1246</v>
      </c>
      <c r="Q1131" s="54" t="s">
        <v>1101</v>
      </c>
      <c r="R1131" s="54" t="s">
        <v>376</v>
      </c>
      <c r="S1131" s="46"/>
      <c r="T1131" s="46"/>
      <c r="U1131" s="46"/>
      <c r="V1131" s="46"/>
      <c r="W1131" s="46"/>
      <c r="X1131" s="46"/>
      <c r="Y1131" s="46"/>
      <c r="Z1131" s="46"/>
      <c r="AA1131" s="46"/>
      <c r="AB1131" s="46"/>
      <c r="AC1131" s="46"/>
      <c r="AD1131" s="46" t="s">
        <v>1037</v>
      </c>
      <c r="AE1131" s="50">
        <f>IF(L1131="W",1,0)</f>
        <v>0</v>
      </c>
      <c r="AF1131" s="50">
        <f>IF(L1131="T",1,0)</f>
        <v>0</v>
      </c>
      <c r="AG1131" s="50">
        <f>IF(L1131="L",1,0)</f>
        <v>1</v>
      </c>
      <c r="AH1131" s="46" t="s">
        <v>1241</v>
      </c>
      <c r="AI1131" s="46" t="s">
        <v>1260</v>
      </c>
      <c r="AJ1131" s="46" t="s">
        <v>376</v>
      </c>
      <c r="AK1131" s="46" t="s">
        <v>658</v>
      </c>
      <c r="AL1131" s="46" t="s">
        <v>1101</v>
      </c>
      <c r="AM1131" s="46" t="s">
        <v>1159</v>
      </c>
      <c r="AN1131" s="46" t="s">
        <v>376</v>
      </c>
      <c r="AO1131" s="46" t="s">
        <v>658</v>
      </c>
      <c r="AP1131" s="46"/>
      <c r="AQ1131" s="46">
        <v>2</v>
      </c>
      <c r="AR1131" s="46"/>
      <c r="AS1131" s="46"/>
      <c r="AT1131" s="46"/>
      <c r="AU1131" s="46" t="s">
        <v>376</v>
      </c>
      <c r="AV1131" s="46"/>
      <c r="AW1131" s="46" t="s">
        <v>30</v>
      </c>
      <c r="AX1131" s="46"/>
      <c r="AY1131" s="46"/>
      <c r="AZ1131" s="46" t="s">
        <v>30</v>
      </c>
      <c r="BA1131" s="54"/>
      <c r="BB1131" s="51"/>
      <c r="BC1131" s="46"/>
      <c r="BD1131" s="46"/>
      <c r="BE1131" s="46"/>
      <c r="BF1131" s="46">
        <v>1</v>
      </c>
      <c r="BG1131" s="46">
        <v>1</v>
      </c>
      <c r="BH1131" s="46">
        <v>1</v>
      </c>
      <c r="BI1131" s="46" t="s">
        <v>794</v>
      </c>
      <c r="BJ1131" s="46" t="s">
        <v>821</v>
      </c>
      <c r="BK1131" s="46">
        <v>1991</v>
      </c>
      <c r="BL1131" s="46" t="str">
        <f>BK1131&amp;BI1131</f>
        <v>1991Leeds United</v>
      </c>
      <c r="BM1131" s="52" t="str">
        <f>IF(AD1131="Home",BI1131,IF(AD1131="Away",BJ1131,Q1131))</f>
        <v>Manchester United</v>
      </c>
      <c r="BN1131" s="46"/>
      <c r="BO1131" s="46"/>
      <c r="BP1131" s="46"/>
      <c r="BQ1131" s="46"/>
      <c r="BR1131" s="46"/>
      <c r="BS1131" s="46"/>
      <c r="BT1131" s="46"/>
      <c r="BU1131" s="46"/>
      <c r="BV1131" s="46" t="s">
        <v>376</v>
      </c>
      <c r="BW1131" s="46" t="s">
        <v>376</v>
      </c>
      <c r="BX1131" s="46"/>
      <c r="BY1131" s="52"/>
      <c r="BZ1131" s="53"/>
      <c r="CA1131" s="53"/>
      <c r="CB1131" s="93" t="str">
        <f>IF(OR(C1131="",A1131="",B1131=""),"",TEXT(C1131,"0000")&amp;TEXT(A1131,"00")&amp;TEXT(B1131,"00"))</f>
        <v>19910210</v>
      </c>
    </row>
    <row r="1132" spans="1:80" s="35" customFormat="1" ht="12.95" customHeight="1" x14ac:dyDescent="0.2">
      <c r="A1132" s="46">
        <v>2</v>
      </c>
      <c r="B1132" s="46">
        <v>24</v>
      </c>
      <c r="C1132" s="46">
        <v>1991</v>
      </c>
      <c r="D1132" s="46" t="s">
        <v>658</v>
      </c>
      <c r="E1132" s="46" t="s">
        <v>481</v>
      </c>
      <c r="F1132" s="54" t="s">
        <v>1327</v>
      </c>
      <c r="G1132" s="46"/>
      <c r="H1132" s="54" t="s">
        <v>1011</v>
      </c>
      <c r="I1132" s="54">
        <v>2</v>
      </c>
      <c r="J1132" s="55">
        <v>33293</v>
      </c>
      <c r="K1132" s="46" t="s">
        <v>794</v>
      </c>
      <c r="L1132" s="46" t="s">
        <v>4</v>
      </c>
      <c r="M1132" s="46" t="s">
        <v>821</v>
      </c>
      <c r="N1132" s="49">
        <v>0</v>
      </c>
      <c r="O1132" s="49">
        <v>1</v>
      </c>
      <c r="P1132" s="54" t="s">
        <v>1240</v>
      </c>
      <c r="Q1132" s="54" t="s">
        <v>1241</v>
      </c>
      <c r="R1132" s="54" t="s">
        <v>376</v>
      </c>
      <c r="S1132" s="46"/>
      <c r="T1132" s="46"/>
      <c r="U1132" s="46"/>
      <c r="V1132" s="46"/>
      <c r="W1132" s="46"/>
      <c r="X1132" s="46"/>
      <c r="Y1132" s="46"/>
      <c r="Z1132" s="46"/>
      <c r="AA1132" s="46"/>
      <c r="AB1132" s="46"/>
      <c r="AC1132" s="46"/>
      <c r="AD1132" s="46" t="s">
        <v>1033</v>
      </c>
      <c r="AE1132" s="50">
        <f>IF(L1132="W",1,0)</f>
        <v>0</v>
      </c>
      <c r="AF1132" s="50">
        <f>IF(L1132="T",1,0)</f>
        <v>0</v>
      </c>
      <c r="AG1132" s="50">
        <f>IF(L1132="L",1,0)</f>
        <v>1</v>
      </c>
      <c r="AH1132" s="46" t="s">
        <v>1241</v>
      </c>
      <c r="AI1132" s="46" t="s">
        <v>1260</v>
      </c>
      <c r="AJ1132" s="46" t="s">
        <v>376</v>
      </c>
      <c r="AK1132" s="46" t="s">
        <v>658</v>
      </c>
      <c r="AL1132" s="46" t="s">
        <v>1101</v>
      </c>
      <c r="AM1132" s="46" t="s">
        <v>1159</v>
      </c>
      <c r="AN1132" s="46" t="s">
        <v>376</v>
      </c>
      <c r="AO1132" s="46" t="s">
        <v>658</v>
      </c>
      <c r="AP1132" s="46"/>
      <c r="AQ1132" s="46">
        <v>2</v>
      </c>
      <c r="AR1132" s="46"/>
      <c r="AS1132" s="46"/>
      <c r="AT1132" s="46"/>
      <c r="AU1132" s="46" t="s">
        <v>376</v>
      </c>
      <c r="AV1132" s="46"/>
      <c r="AW1132" s="46" t="s">
        <v>30</v>
      </c>
      <c r="AX1132" s="46"/>
      <c r="AY1132" s="46"/>
      <c r="AZ1132" s="46" t="s">
        <v>30</v>
      </c>
      <c r="BA1132" s="54"/>
      <c r="BB1132" s="51"/>
      <c r="BC1132" s="46"/>
      <c r="BD1132" s="46"/>
      <c r="BE1132" s="46"/>
      <c r="BF1132" s="46">
        <v>1</v>
      </c>
      <c r="BG1132" s="46">
        <v>1</v>
      </c>
      <c r="BH1132" s="46">
        <v>1</v>
      </c>
      <c r="BI1132" s="46" t="s">
        <v>794</v>
      </c>
      <c r="BJ1132" s="46" t="s">
        <v>821</v>
      </c>
      <c r="BK1132" s="46">
        <v>1991</v>
      </c>
      <c r="BL1132" s="46" t="str">
        <f>BK1132&amp;BI1132</f>
        <v>1991Leeds United</v>
      </c>
      <c r="BM1132" s="52" t="str">
        <f>IF(AD1132="Home",BI1132,IF(AD1132="Away",BJ1132,Q1132))</f>
        <v>Leeds United</v>
      </c>
      <c r="BN1132" s="46"/>
      <c r="BO1132" s="46"/>
      <c r="BP1132" s="46"/>
      <c r="BQ1132" s="46"/>
      <c r="BR1132" s="46"/>
      <c r="BS1132" s="46"/>
      <c r="BT1132" s="46"/>
      <c r="BU1132" s="46"/>
      <c r="BV1132" s="46" t="s">
        <v>376</v>
      </c>
      <c r="BW1132" s="46" t="s">
        <v>376</v>
      </c>
      <c r="BX1132" s="46"/>
      <c r="BY1132" s="52"/>
      <c r="BZ1132" s="53"/>
      <c r="CA1132" s="53"/>
      <c r="CB1132" s="93" t="str">
        <f>IF(OR(C1132="",A1132="",B1132=""),"",TEXT(C1132,"0000")&amp;TEXT(A1132,"00")&amp;TEXT(B1132,"00"))</f>
        <v>19910224</v>
      </c>
    </row>
    <row r="1133" spans="1:80" s="35" customFormat="1" ht="12.95" customHeight="1" x14ac:dyDescent="0.2">
      <c r="A1133" s="46">
        <v>2</v>
      </c>
      <c r="B1133" s="46">
        <v>24</v>
      </c>
      <c r="C1133" s="46">
        <v>1991</v>
      </c>
      <c r="D1133" s="46" t="s">
        <v>658</v>
      </c>
      <c r="E1133" s="46" t="s">
        <v>481</v>
      </c>
      <c r="F1133" s="54" t="s">
        <v>1327</v>
      </c>
      <c r="G1133" s="46"/>
      <c r="H1133" s="54" t="s">
        <v>1011</v>
      </c>
      <c r="I1133" s="54">
        <v>2</v>
      </c>
      <c r="J1133" s="55">
        <v>33293</v>
      </c>
      <c r="K1133" s="46" t="s">
        <v>821</v>
      </c>
      <c r="L1133" s="46" t="s">
        <v>3</v>
      </c>
      <c r="M1133" s="46" t="s">
        <v>794</v>
      </c>
      <c r="N1133" s="49">
        <v>1</v>
      </c>
      <c r="O1133" s="49">
        <v>0</v>
      </c>
      <c r="P1133" s="54" t="s">
        <v>1240</v>
      </c>
      <c r="Q1133" s="54" t="s">
        <v>1241</v>
      </c>
      <c r="R1133" s="54" t="s">
        <v>376</v>
      </c>
      <c r="S1133" s="46"/>
      <c r="T1133" s="46"/>
      <c r="U1133" s="46"/>
      <c r="V1133" s="46"/>
      <c r="W1133" s="46"/>
      <c r="X1133" s="46"/>
      <c r="Y1133" s="46"/>
      <c r="Z1133" s="46"/>
      <c r="AA1133" s="46"/>
      <c r="AB1133" s="46"/>
      <c r="AC1133" s="46"/>
      <c r="AD1133" s="46" t="s">
        <v>1037</v>
      </c>
      <c r="AE1133" s="50">
        <f>IF(L1133="W",1,0)</f>
        <v>1</v>
      </c>
      <c r="AF1133" s="50">
        <f>IF(L1133="T",1,0)</f>
        <v>0</v>
      </c>
      <c r="AG1133" s="50">
        <f>IF(L1133="L",1,0)</f>
        <v>0</v>
      </c>
      <c r="AH1133" s="46" t="s">
        <v>1101</v>
      </c>
      <c r="AI1133" s="46" t="s">
        <v>1159</v>
      </c>
      <c r="AJ1133" s="46" t="s">
        <v>376</v>
      </c>
      <c r="AK1133" s="46" t="s">
        <v>658</v>
      </c>
      <c r="AL1133" s="46" t="s">
        <v>1241</v>
      </c>
      <c r="AM1133" s="46" t="s">
        <v>1260</v>
      </c>
      <c r="AN1133" s="46" t="s">
        <v>376</v>
      </c>
      <c r="AO1133" s="46" t="s">
        <v>658</v>
      </c>
      <c r="AP1133" s="46"/>
      <c r="AQ1133" s="46">
        <v>2</v>
      </c>
      <c r="AR1133" s="46"/>
      <c r="AS1133" s="46"/>
      <c r="AT1133" s="46"/>
      <c r="AU1133" s="46" t="s">
        <v>376</v>
      </c>
      <c r="AV1133" s="46"/>
      <c r="AW1133" s="46" t="s">
        <v>30</v>
      </c>
      <c r="AX1133" s="46"/>
      <c r="AY1133" s="46"/>
      <c r="AZ1133" s="46" t="s">
        <v>30</v>
      </c>
      <c r="BA1133" s="54"/>
      <c r="BB1133" s="51"/>
      <c r="BC1133" s="46"/>
      <c r="BD1133" s="46"/>
      <c r="BE1133" s="46"/>
      <c r="BF1133" s="46">
        <v>1</v>
      </c>
      <c r="BG1133" s="46">
        <v>1</v>
      </c>
      <c r="BH1133" s="46">
        <v>1</v>
      </c>
      <c r="BI1133" s="46" t="s">
        <v>821</v>
      </c>
      <c r="BJ1133" s="46" t="s">
        <v>794</v>
      </c>
      <c r="BK1133" s="46">
        <v>1991</v>
      </c>
      <c r="BL1133" s="46" t="str">
        <f>BK1133&amp;BI1133</f>
        <v>1991Manchester United</v>
      </c>
      <c r="BM1133" s="52" t="str">
        <f>IF(AD1133="Home",BI1133,IF(AD1133="Away",BJ1133,Q1133))</f>
        <v>Leeds United</v>
      </c>
      <c r="BN1133" s="46"/>
      <c r="BO1133" s="46"/>
      <c r="BP1133" s="46"/>
      <c r="BQ1133" s="46"/>
      <c r="BR1133" s="46"/>
      <c r="BS1133" s="46"/>
      <c r="BT1133" s="46"/>
      <c r="BU1133" s="46"/>
      <c r="BV1133" s="46" t="s">
        <v>376</v>
      </c>
      <c r="BW1133" s="46" t="s">
        <v>376</v>
      </c>
      <c r="BX1133" s="46"/>
      <c r="BY1133" s="52"/>
      <c r="BZ1133" s="53"/>
      <c r="CA1133" s="53"/>
      <c r="CB1133" s="93" t="str">
        <f>IF(OR(C1133="",A1133="",B1133=""),"",TEXT(C1133,"0000")&amp;TEXT(A1133,"00")&amp;TEXT(B1133,"00"))</f>
        <v>19910224</v>
      </c>
    </row>
    <row r="1134" spans="1:80" s="35" customFormat="1" ht="12.95" customHeight="1" x14ac:dyDescent="0.2">
      <c r="A1134" s="46">
        <v>2</v>
      </c>
      <c r="B1134" s="46">
        <v>24</v>
      </c>
      <c r="C1134" s="46">
        <v>1991</v>
      </c>
      <c r="D1134" s="46" t="s">
        <v>658</v>
      </c>
      <c r="E1134" s="46" t="s">
        <v>481</v>
      </c>
      <c r="F1134" s="54" t="s">
        <v>1327</v>
      </c>
      <c r="G1134" s="46"/>
      <c r="H1134" s="54" t="s">
        <v>1011</v>
      </c>
      <c r="I1134" s="54">
        <v>1</v>
      </c>
      <c r="J1134" s="55">
        <v>33293</v>
      </c>
      <c r="K1134" s="46" t="s">
        <v>816</v>
      </c>
      <c r="L1134" s="46" t="s">
        <v>4</v>
      </c>
      <c r="M1134" s="46" t="s">
        <v>1093</v>
      </c>
      <c r="N1134" s="49">
        <v>0</v>
      </c>
      <c r="O1134" s="49">
        <v>2</v>
      </c>
      <c r="P1134" s="54" t="s">
        <v>1234</v>
      </c>
      <c r="Q1134" s="54" t="s">
        <v>1017</v>
      </c>
      <c r="R1134" s="54" t="s">
        <v>376</v>
      </c>
      <c r="S1134" s="46"/>
      <c r="T1134" s="46"/>
      <c r="U1134" s="46"/>
      <c r="V1134" s="46"/>
      <c r="W1134" s="46"/>
      <c r="X1134" s="46"/>
      <c r="Y1134" s="46"/>
      <c r="Z1134" s="46"/>
      <c r="AA1134" s="46"/>
      <c r="AB1134" s="46"/>
      <c r="AC1134" s="46"/>
      <c r="AD1134" s="46" t="s">
        <v>1033</v>
      </c>
      <c r="AE1134" s="50">
        <f>IF(L1134="W",1,0)</f>
        <v>0</v>
      </c>
      <c r="AF1134" s="50">
        <f>IF(L1134="T",1,0)</f>
        <v>0</v>
      </c>
      <c r="AG1134" s="50">
        <f>IF(L1134="L",1,0)</f>
        <v>1</v>
      </c>
      <c r="AH1134" s="46" t="s">
        <v>1017</v>
      </c>
      <c r="AI1134" s="46" t="s">
        <v>1018</v>
      </c>
      <c r="AJ1134" s="46" t="s">
        <v>376</v>
      </c>
      <c r="AK1134" s="46" t="s">
        <v>658</v>
      </c>
      <c r="AL1134" s="46" t="s">
        <v>1097</v>
      </c>
      <c r="AM1134" s="46" t="s">
        <v>1098</v>
      </c>
      <c r="AN1134" s="46" t="s">
        <v>376</v>
      </c>
      <c r="AO1134" s="46" t="s">
        <v>658</v>
      </c>
      <c r="AP1134" s="46"/>
      <c r="AQ1134" s="46">
        <v>2</v>
      </c>
      <c r="AR1134" s="46"/>
      <c r="AS1134" s="46"/>
      <c r="AT1134" s="46"/>
      <c r="AU1134" s="46" t="s">
        <v>376</v>
      </c>
      <c r="AV1134" s="46"/>
      <c r="AW1134" s="46" t="s">
        <v>30</v>
      </c>
      <c r="AX1134" s="46"/>
      <c r="AY1134" s="46"/>
      <c r="AZ1134" s="46" t="s">
        <v>30</v>
      </c>
      <c r="BA1134" s="54"/>
      <c r="BB1134" s="51"/>
      <c r="BC1134" s="46"/>
      <c r="BD1134" s="46"/>
      <c r="BE1134" s="46"/>
      <c r="BF1134" s="46">
        <v>1</v>
      </c>
      <c r="BG1134" s="46">
        <v>1</v>
      </c>
      <c r="BH1134" s="46">
        <v>2</v>
      </c>
      <c r="BI1134" s="46" t="s">
        <v>816</v>
      </c>
      <c r="BJ1134" s="46" t="s">
        <v>1093</v>
      </c>
      <c r="BK1134" s="46">
        <v>1991</v>
      </c>
      <c r="BL1134" s="46" t="str">
        <f>BK1134&amp;BI1134</f>
        <v>1991Chelsea</v>
      </c>
      <c r="BM1134" s="52" t="str">
        <f>IF(AD1134="Home",BI1134,IF(AD1134="Away",BJ1134,Q1134))</f>
        <v>Chelsea</v>
      </c>
      <c r="BN1134" s="46"/>
      <c r="BO1134" s="46"/>
      <c r="BP1134" s="46"/>
      <c r="BQ1134" s="46"/>
      <c r="BR1134" s="46"/>
      <c r="BS1134" s="46"/>
      <c r="BT1134" s="46"/>
      <c r="BU1134" s="46"/>
      <c r="BV1134" s="46" t="s">
        <v>376</v>
      </c>
      <c r="BW1134" s="46" t="s">
        <v>376</v>
      </c>
      <c r="BX1134" s="46"/>
      <c r="BY1134" s="52"/>
      <c r="BZ1134" s="53"/>
      <c r="CA1134" s="53"/>
      <c r="CB1134" s="93" t="str">
        <f>IF(OR(C1134="",A1134="",B1134=""),"",TEXT(C1134,"0000")&amp;TEXT(A1134,"00")&amp;TEXT(B1134,"00"))</f>
        <v>19910224</v>
      </c>
    </row>
    <row r="1135" spans="1:80" s="35" customFormat="1" ht="12.95" customHeight="1" x14ac:dyDescent="0.2">
      <c r="A1135" s="46">
        <v>2</v>
      </c>
      <c r="B1135" s="46">
        <v>24</v>
      </c>
      <c r="C1135" s="46">
        <v>1991</v>
      </c>
      <c r="D1135" s="46" t="s">
        <v>658</v>
      </c>
      <c r="E1135" s="46" t="s">
        <v>481</v>
      </c>
      <c r="F1135" s="54" t="s">
        <v>1327</v>
      </c>
      <c r="G1135" s="46"/>
      <c r="H1135" s="54" t="s">
        <v>1011</v>
      </c>
      <c r="I1135" s="54">
        <v>1</v>
      </c>
      <c r="J1135" s="55">
        <v>33293</v>
      </c>
      <c r="K1135" s="46" t="s">
        <v>1093</v>
      </c>
      <c r="L1135" s="46" t="s">
        <v>3</v>
      </c>
      <c r="M1135" s="46" t="s">
        <v>816</v>
      </c>
      <c r="N1135" s="49">
        <v>2</v>
      </c>
      <c r="O1135" s="49">
        <v>0</v>
      </c>
      <c r="P1135" s="54" t="s">
        <v>1234</v>
      </c>
      <c r="Q1135" s="54" t="s">
        <v>1017</v>
      </c>
      <c r="R1135" s="54" t="s">
        <v>376</v>
      </c>
      <c r="S1135" s="46"/>
      <c r="T1135" s="46"/>
      <c r="U1135" s="46"/>
      <c r="V1135" s="46"/>
      <c r="W1135" s="46"/>
      <c r="X1135" s="46"/>
      <c r="Y1135" s="46"/>
      <c r="Z1135" s="46"/>
      <c r="AA1135" s="46"/>
      <c r="AB1135" s="46"/>
      <c r="AC1135" s="46"/>
      <c r="AD1135" s="46" t="s">
        <v>1037</v>
      </c>
      <c r="AE1135" s="50">
        <f>IF(L1135="W",1,0)</f>
        <v>1</v>
      </c>
      <c r="AF1135" s="50">
        <f>IF(L1135="T",1,0)</f>
        <v>0</v>
      </c>
      <c r="AG1135" s="50">
        <f>IF(L1135="L",1,0)</f>
        <v>0</v>
      </c>
      <c r="AH1135" s="46" t="s">
        <v>1097</v>
      </c>
      <c r="AI1135" s="46" t="s">
        <v>1098</v>
      </c>
      <c r="AJ1135" s="46" t="s">
        <v>376</v>
      </c>
      <c r="AK1135" s="46" t="s">
        <v>658</v>
      </c>
      <c r="AL1135" s="46" t="s">
        <v>1017</v>
      </c>
      <c r="AM1135" s="46" t="s">
        <v>1018</v>
      </c>
      <c r="AN1135" s="46" t="s">
        <v>376</v>
      </c>
      <c r="AO1135" s="46" t="s">
        <v>658</v>
      </c>
      <c r="AP1135" s="46"/>
      <c r="AQ1135" s="46">
        <v>2</v>
      </c>
      <c r="AR1135" s="46"/>
      <c r="AS1135" s="46"/>
      <c r="AT1135" s="46"/>
      <c r="AU1135" s="46" t="s">
        <v>376</v>
      </c>
      <c r="AV1135" s="46"/>
      <c r="AW1135" s="46" t="s">
        <v>30</v>
      </c>
      <c r="AX1135" s="46"/>
      <c r="AY1135" s="46"/>
      <c r="AZ1135" s="46" t="s">
        <v>30</v>
      </c>
      <c r="BA1135" s="54"/>
      <c r="BB1135" s="51"/>
      <c r="BC1135" s="46"/>
      <c r="BD1135" s="46"/>
      <c r="BE1135" s="46"/>
      <c r="BF1135" s="46">
        <v>1</v>
      </c>
      <c r="BG1135" s="46">
        <v>2</v>
      </c>
      <c r="BH1135" s="46">
        <v>1</v>
      </c>
      <c r="BI1135" s="46" t="s">
        <v>1093</v>
      </c>
      <c r="BJ1135" s="46" t="s">
        <v>816</v>
      </c>
      <c r="BK1135" s="46">
        <v>1991</v>
      </c>
      <c r="BL1135" s="46" t="str">
        <f>BK1135&amp;BI1135</f>
        <v>1991Sheffield Wednesday</v>
      </c>
      <c r="BM1135" s="52" t="str">
        <f>IF(AD1135="Home",BI1135,IF(AD1135="Away",BJ1135,Q1135))</f>
        <v>Chelsea</v>
      </c>
      <c r="BN1135" s="46"/>
      <c r="BO1135" s="46"/>
      <c r="BP1135" s="46"/>
      <c r="BQ1135" s="46"/>
      <c r="BR1135" s="46"/>
      <c r="BS1135" s="46"/>
      <c r="BT1135" s="46"/>
      <c r="BU1135" s="46"/>
      <c r="BV1135" s="46" t="s">
        <v>376</v>
      </c>
      <c r="BW1135" s="46" t="s">
        <v>376</v>
      </c>
      <c r="BX1135" s="46"/>
      <c r="BY1135" s="52"/>
      <c r="BZ1135" s="53"/>
      <c r="CA1135" s="53"/>
      <c r="CB1135" s="93" t="str">
        <f>IF(OR(C1135="",A1135="",B1135=""),"",TEXT(C1135,"0000")&amp;TEXT(A1135,"00")&amp;TEXT(B1135,"00"))</f>
        <v>19910224</v>
      </c>
    </row>
    <row r="1136" spans="1:80" s="35" customFormat="1" ht="12.95" customHeight="1" x14ac:dyDescent="0.2">
      <c r="A1136" s="46">
        <v>2</v>
      </c>
      <c r="B1136" s="46">
        <v>27</v>
      </c>
      <c r="C1136" s="46">
        <v>1991</v>
      </c>
      <c r="D1136" s="46" t="s">
        <v>658</v>
      </c>
      <c r="E1136" s="46" t="s">
        <v>481</v>
      </c>
      <c r="F1136" s="54" t="s">
        <v>1327</v>
      </c>
      <c r="G1136" s="46"/>
      <c r="H1136" s="54" t="s">
        <v>1011</v>
      </c>
      <c r="I1136" s="54">
        <v>2</v>
      </c>
      <c r="J1136" s="55">
        <v>33296</v>
      </c>
      <c r="K1136" s="46" t="s">
        <v>1093</v>
      </c>
      <c r="L1136" s="46" t="s">
        <v>3</v>
      </c>
      <c r="M1136" s="46" t="s">
        <v>816</v>
      </c>
      <c r="N1136" s="49">
        <v>3</v>
      </c>
      <c r="O1136" s="49">
        <v>1</v>
      </c>
      <c r="P1136" s="54" t="s">
        <v>1252</v>
      </c>
      <c r="Q1136" s="54" t="s">
        <v>1097</v>
      </c>
      <c r="R1136" s="54" t="s">
        <v>376</v>
      </c>
      <c r="S1136" s="46"/>
      <c r="T1136" s="46"/>
      <c r="U1136" s="46"/>
      <c r="V1136" s="46"/>
      <c r="W1136" s="46"/>
      <c r="X1136" s="46"/>
      <c r="Y1136" s="46"/>
      <c r="Z1136" s="46"/>
      <c r="AA1136" s="46"/>
      <c r="AB1136" s="46"/>
      <c r="AC1136" s="46"/>
      <c r="AD1136" s="46" t="s">
        <v>1033</v>
      </c>
      <c r="AE1136" s="50">
        <f>IF(L1136="W",1,0)</f>
        <v>1</v>
      </c>
      <c r="AF1136" s="50">
        <f>IF(L1136="T",1,0)</f>
        <v>0</v>
      </c>
      <c r="AG1136" s="50">
        <f>IF(L1136="L",1,0)</f>
        <v>0</v>
      </c>
      <c r="AH1136" s="46" t="s">
        <v>1097</v>
      </c>
      <c r="AI1136" s="46" t="s">
        <v>1098</v>
      </c>
      <c r="AJ1136" s="46" t="s">
        <v>376</v>
      </c>
      <c r="AK1136" s="46" t="s">
        <v>658</v>
      </c>
      <c r="AL1136" s="46" t="s">
        <v>1017</v>
      </c>
      <c r="AM1136" s="46" t="s">
        <v>1018</v>
      </c>
      <c r="AN1136" s="46" t="s">
        <v>376</v>
      </c>
      <c r="AO1136" s="46" t="s">
        <v>658</v>
      </c>
      <c r="AP1136" s="46"/>
      <c r="AQ1136" s="46">
        <v>2</v>
      </c>
      <c r="AR1136" s="46"/>
      <c r="AS1136" s="46"/>
      <c r="AT1136" s="46"/>
      <c r="AU1136" s="46" t="s">
        <v>376</v>
      </c>
      <c r="AV1136" s="46"/>
      <c r="AW1136" s="46" t="s">
        <v>30</v>
      </c>
      <c r="AX1136" s="46"/>
      <c r="AY1136" s="46"/>
      <c r="AZ1136" s="46" t="s">
        <v>30</v>
      </c>
      <c r="BA1136" s="54"/>
      <c r="BB1136" s="51"/>
      <c r="BC1136" s="46"/>
      <c r="BD1136" s="46"/>
      <c r="BE1136" s="46"/>
      <c r="BF1136" s="46">
        <v>1</v>
      </c>
      <c r="BG1136" s="46">
        <v>2</v>
      </c>
      <c r="BH1136" s="46">
        <v>1</v>
      </c>
      <c r="BI1136" s="46" t="s">
        <v>1093</v>
      </c>
      <c r="BJ1136" s="46" t="s">
        <v>816</v>
      </c>
      <c r="BK1136" s="46">
        <v>1991</v>
      </c>
      <c r="BL1136" s="46" t="str">
        <f>BK1136&amp;BI1136</f>
        <v>1991Sheffield Wednesday</v>
      </c>
      <c r="BM1136" s="52" t="str">
        <f>IF(AD1136="Home",BI1136,IF(AD1136="Away",BJ1136,Q1136))</f>
        <v>Sheffield Wednesday</v>
      </c>
      <c r="BN1136" s="46"/>
      <c r="BO1136" s="46"/>
      <c r="BP1136" s="46"/>
      <c r="BQ1136" s="46"/>
      <c r="BR1136" s="46"/>
      <c r="BS1136" s="46"/>
      <c r="BT1136" s="46"/>
      <c r="BU1136" s="46"/>
      <c r="BV1136" s="46" t="s">
        <v>376</v>
      </c>
      <c r="BW1136" s="46" t="s">
        <v>376</v>
      </c>
      <c r="BX1136" s="46"/>
      <c r="BY1136" s="50"/>
      <c r="BZ1136" s="53"/>
      <c r="CA1136" s="53"/>
      <c r="CB1136" s="93" t="str">
        <f>IF(OR(C1136="",A1136="",B1136=""),"",TEXT(C1136,"0000")&amp;TEXT(A1136,"00")&amp;TEXT(B1136,"00"))</f>
        <v>19910227</v>
      </c>
    </row>
    <row r="1137" spans="1:80" s="35" customFormat="1" ht="12.95" customHeight="1" x14ac:dyDescent="0.2">
      <c r="A1137" s="46">
        <v>2</v>
      </c>
      <c r="B1137" s="46">
        <v>27</v>
      </c>
      <c r="C1137" s="46">
        <v>1991</v>
      </c>
      <c r="D1137" s="46" t="s">
        <v>658</v>
      </c>
      <c r="E1137" s="46" t="s">
        <v>481</v>
      </c>
      <c r="F1137" s="54" t="s">
        <v>1327</v>
      </c>
      <c r="G1137" s="46"/>
      <c r="H1137" s="54" t="s">
        <v>1011</v>
      </c>
      <c r="I1137" s="54">
        <v>2</v>
      </c>
      <c r="J1137" s="55">
        <v>33296</v>
      </c>
      <c r="K1137" s="46" t="s">
        <v>816</v>
      </c>
      <c r="L1137" s="46" t="s">
        <v>4</v>
      </c>
      <c r="M1137" s="46" t="s">
        <v>1093</v>
      </c>
      <c r="N1137" s="49">
        <v>1</v>
      </c>
      <c r="O1137" s="49">
        <v>3</v>
      </c>
      <c r="P1137" s="54" t="s">
        <v>1252</v>
      </c>
      <c r="Q1137" s="54" t="s">
        <v>1097</v>
      </c>
      <c r="R1137" s="54" t="s">
        <v>376</v>
      </c>
      <c r="S1137" s="46"/>
      <c r="T1137" s="46"/>
      <c r="U1137" s="46"/>
      <c r="V1137" s="46"/>
      <c r="W1137" s="46"/>
      <c r="X1137" s="46"/>
      <c r="Y1137" s="46"/>
      <c r="Z1137" s="46"/>
      <c r="AA1137" s="46"/>
      <c r="AB1137" s="46"/>
      <c r="AC1137" s="46"/>
      <c r="AD1137" s="46" t="s">
        <v>1037</v>
      </c>
      <c r="AE1137" s="50">
        <f>IF(L1137="W",1,0)</f>
        <v>0</v>
      </c>
      <c r="AF1137" s="50">
        <f>IF(L1137="T",1,0)</f>
        <v>0</v>
      </c>
      <c r="AG1137" s="50">
        <f>IF(L1137="L",1,0)</f>
        <v>1</v>
      </c>
      <c r="AH1137" s="46" t="s">
        <v>1017</v>
      </c>
      <c r="AI1137" s="46" t="s">
        <v>1018</v>
      </c>
      <c r="AJ1137" s="46" t="s">
        <v>376</v>
      </c>
      <c r="AK1137" s="46" t="s">
        <v>658</v>
      </c>
      <c r="AL1137" s="46" t="s">
        <v>1097</v>
      </c>
      <c r="AM1137" s="46" t="s">
        <v>1098</v>
      </c>
      <c r="AN1137" s="46" t="s">
        <v>376</v>
      </c>
      <c r="AO1137" s="46" t="s">
        <v>658</v>
      </c>
      <c r="AP1137" s="46"/>
      <c r="AQ1137" s="46">
        <v>2</v>
      </c>
      <c r="AR1137" s="46"/>
      <c r="AS1137" s="46"/>
      <c r="AT1137" s="46"/>
      <c r="AU1137" s="46" t="s">
        <v>376</v>
      </c>
      <c r="AV1137" s="46"/>
      <c r="AW1137" s="46" t="s">
        <v>30</v>
      </c>
      <c r="AX1137" s="46"/>
      <c r="AY1137" s="46"/>
      <c r="AZ1137" s="46" t="s">
        <v>30</v>
      </c>
      <c r="BA1137" s="54"/>
      <c r="BB1137" s="51"/>
      <c r="BC1137" s="46"/>
      <c r="BD1137" s="46"/>
      <c r="BE1137" s="46"/>
      <c r="BF1137" s="46">
        <v>1</v>
      </c>
      <c r="BG1137" s="46">
        <v>1</v>
      </c>
      <c r="BH1137" s="46">
        <v>2</v>
      </c>
      <c r="BI1137" s="46" t="s">
        <v>816</v>
      </c>
      <c r="BJ1137" s="46" t="s">
        <v>1093</v>
      </c>
      <c r="BK1137" s="46">
        <v>1991</v>
      </c>
      <c r="BL1137" s="46" t="str">
        <f>BK1137&amp;BI1137</f>
        <v>1991Chelsea</v>
      </c>
      <c r="BM1137" s="52" t="str">
        <f>IF(AD1137="Home",BI1137,IF(AD1137="Away",BJ1137,Q1137))</f>
        <v>Sheffield Wednesday</v>
      </c>
      <c r="BN1137" s="46"/>
      <c r="BO1137" s="46"/>
      <c r="BP1137" s="46"/>
      <c r="BQ1137" s="46"/>
      <c r="BR1137" s="46"/>
      <c r="BS1137" s="46"/>
      <c r="BT1137" s="46"/>
      <c r="BU1137" s="46"/>
      <c r="BV1137" s="46" t="s">
        <v>376</v>
      </c>
      <c r="BW1137" s="46" t="s">
        <v>376</v>
      </c>
      <c r="BX1137" s="46"/>
      <c r="BY1137" s="50"/>
      <c r="BZ1137" s="53"/>
      <c r="CA1137" s="53"/>
      <c r="CB1137" s="93" t="str">
        <f>IF(OR(C1137="",A1137="",B1137=""),"",TEXT(C1137,"0000")&amp;TEXT(A1137,"00")&amp;TEXT(B1137,"00"))</f>
        <v>19910227</v>
      </c>
    </row>
    <row r="1138" spans="1:80" s="35" customFormat="1" ht="12.95" customHeight="1" x14ac:dyDescent="0.2">
      <c r="A1138" s="46">
        <v>4</v>
      </c>
      <c r="B1138" s="46">
        <v>14</v>
      </c>
      <c r="C1138" s="46">
        <v>1991</v>
      </c>
      <c r="D1138" s="46" t="s">
        <v>658</v>
      </c>
      <c r="E1138" s="46" t="s">
        <v>481</v>
      </c>
      <c r="F1138" s="47" t="s">
        <v>1010</v>
      </c>
      <c r="G1138" s="46"/>
      <c r="H1138" s="47" t="s">
        <v>1011</v>
      </c>
      <c r="I1138" s="47"/>
      <c r="J1138" s="48">
        <v>33342</v>
      </c>
      <c r="K1138" s="46" t="s">
        <v>1072</v>
      </c>
      <c r="L1138" s="46" t="s">
        <v>3</v>
      </c>
      <c r="M1138" s="46" t="s">
        <v>803</v>
      </c>
      <c r="N1138" s="49">
        <v>4</v>
      </c>
      <c r="O1138" s="49">
        <v>0</v>
      </c>
      <c r="P1138" s="47" t="s">
        <v>1219</v>
      </c>
      <c r="Q1138" s="47" t="s">
        <v>1111</v>
      </c>
      <c r="R1138" s="47" t="s">
        <v>376</v>
      </c>
      <c r="S1138" s="46"/>
      <c r="T1138" s="46"/>
      <c r="U1138" s="46"/>
      <c r="V1138" s="46"/>
      <c r="W1138" s="46"/>
      <c r="X1138" s="46"/>
      <c r="Y1138" s="46"/>
      <c r="Z1138" s="46"/>
      <c r="AA1138" s="46"/>
      <c r="AB1138" s="46"/>
      <c r="AC1138" s="46"/>
      <c r="AD1138" s="46"/>
      <c r="AE1138" s="50">
        <f>IF(L1138="W",1,0)</f>
        <v>1</v>
      </c>
      <c r="AF1138" s="50">
        <f>IF(L1138="T",1,0)</f>
        <v>0</v>
      </c>
      <c r="AG1138" s="50">
        <f>IF(L1138="L",1,0)</f>
        <v>0</v>
      </c>
      <c r="AH1138" s="46" t="s">
        <v>1073</v>
      </c>
      <c r="AI1138" s="46" t="s">
        <v>1074</v>
      </c>
      <c r="AJ1138" s="46" t="s">
        <v>376</v>
      </c>
      <c r="AK1138" s="46" t="s">
        <v>658</v>
      </c>
      <c r="AL1138" s="46" t="s">
        <v>1017</v>
      </c>
      <c r="AM1138" s="46" t="s">
        <v>1018</v>
      </c>
      <c r="AN1138" s="46" t="s">
        <v>376</v>
      </c>
      <c r="AO1138" s="46" t="s">
        <v>658</v>
      </c>
      <c r="AP1138" s="46"/>
      <c r="AQ1138" s="46">
        <v>2</v>
      </c>
      <c r="AR1138" s="46"/>
      <c r="AS1138" s="46"/>
      <c r="AT1138" s="46"/>
      <c r="AU1138" s="46" t="s">
        <v>376</v>
      </c>
      <c r="AV1138" s="46"/>
      <c r="AW1138" s="46" t="s">
        <v>30</v>
      </c>
      <c r="AX1138" s="46"/>
      <c r="AY1138" s="46" t="s">
        <v>30</v>
      </c>
      <c r="AZ1138" s="46"/>
      <c r="BA1138" s="47"/>
      <c r="BB1138" s="51"/>
      <c r="BC1138" s="46"/>
      <c r="BD1138" s="46"/>
      <c r="BE1138" s="46"/>
      <c r="BF1138" s="46">
        <v>1</v>
      </c>
      <c r="BG1138" s="46">
        <v>1</v>
      </c>
      <c r="BH1138" s="46">
        <v>2</v>
      </c>
      <c r="BI1138" s="46" t="s">
        <v>1072</v>
      </c>
      <c r="BJ1138" s="46" t="s">
        <v>803</v>
      </c>
      <c r="BK1138" s="46">
        <v>1991</v>
      </c>
      <c r="BL1138" s="46" t="str">
        <f>BK1138&amp;BI1138</f>
        <v>1991Nottingham Forest</v>
      </c>
      <c r="BM1138" s="52" t="str">
        <f>IF(AD1138="Home",BI1138,IF(AD1138="Away",BJ1138,Q1138))</f>
        <v>Birmingham</v>
      </c>
      <c r="BN1138" s="46"/>
      <c r="BO1138" s="46"/>
      <c r="BP1138" s="46"/>
      <c r="BQ1138" s="46"/>
      <c r="BR1138" s="46"/>
      <c r="BS1138" s="46"/>
      <c r="BT1138" s="46"/>
      <c r="BU1138" s="46"/>
      <c r="BV1138" s="46" t="s">
        <v>376</v>
      </c>
      <c r="BW1138" s="46" t="s">
        <v>376</v>
      </c>
      <c r="BX1138" s="46"/>
      <c r="BY1138" s="52"/>
      <c r="BZ1138" s="53"/>
      <c r="CA1138" s="53"/>
      <c r="CB1138" s="93" t="str">
        <f>IF(OR(C1138="",A1138="",B1138=""),"",TEXT(C1138,"0000")&amp;TEXT(A1138,"00")&amp;TEXT(B1138,"00"))</f>
        <v>19910414</v>
      </c>
    </row>
    <row r="1139" spans="1:80" s="35" customFormat="1" ht="12.95" customHeight="1" x14ac:dyDescent="0.2">
      <c r="A1139" s="46">
        <v>4</v>
      </c>
      <c r="B1139" s="46">
        <v>14</v>
      </c>
      <c r="C1139" s="46">
        <v>1991</v>
      </c>
      <c r="D1139" s="46" t="s">
        <v>658</v>
      </c>
      <c r="E1139" s="46" t="s">
        <v>481</v>
      </c>
      <c r="F1139" s="47" t="s">
        <v>1010</v>
      </c>
      <c r="G1139" s="46"/>
      <c r="H1139" s="47" t="s">
        <v>1011</v>
      </c>
      <c r="I1139" s="47"/>
      <c r="J1139" s="48">
        <v>33342</v>
      </c>
      <c r="K1139" s="46" t="s">
        <v>803</v>
      </c>
      <c r="L1139" s="46" t="s">
        <v>4</v>
      </c>
      <c r="M1139" s="46" t="s">
        <v>1072</v>
      </c>
      <c r="N1139" s="49">
        <v>0</v>
      </c>
      <c r="O1139" s="49">
        <v>4</v>
      </c>
      <c r="P1139" s="47" t="s">
        <v>1219</v>
      </c>
      <c r="Q1139" s="47" t="s">
        <v>1111</v>
      </c>
      <c r="R1139" s="47" t="s">
        <v>376</v>
      </c>
      <c r="S1139" s="46"/>
      <c r="T1139" s="46"/>
      <c r="U1139" s="46"/>
      <c r="V1139" s="46"/>
      <c r="W1139" s="46"/>
      <c r="X1139" s="46"/>
      <c r="Y1139" s="46"/>
      <c r="Z1139" s="46"/>
      <c r="AA1139" s="46"/>
      <c r="AB1139" s="46"/>
      <c r="AC1139" s="46"/>
      <c r="AD1139" s="46"/>
      <c r="AE1139" s="50">
        <f>IF(L1139="W",1,0)</f>
        <v>0</v>
      </c>
      <c r="AF1139" s="50">
        <f>IF(L1139="T",1,0)</f>
        <v>0</v>
      </c>
      <c r="AG1139" s="50">
        <f>IF(L1139="L",1,0)</f>
        <v>1</v>
      </c>
      <c r="AH1139" s="46" t="s">
        <v>1017</v>
      </c>
      <c r="AI1139" s="46" t="s">
        <v>1018</v>
      </c>
      <c r="AJ1139" s="46" t="s">
        <v>376</v>
      </c>
      <c r="AK1139" s="46" t="s">
        <v>658</v>
      </c>
      <c r="AL1139" s="46" t="s">
        <v>1073</v>
      </c>
      <c r="AM1139" s="46" t="s">
        <v>1074</v>
      </c>
      <c r="AN1139" s="46" t="s">
        <v>376</v>
      </c>
      <c r="AO1139" s="46" t="s">
        <v>658</v>
      </c>
      <c r="AP1139" s="46"/>
      <c r="AQ1139" s="46">
        <v>2</v>
      </c>
      <c r="AR1139" s="46"/>
      <c r="AS1139" s="46"/>
      <c r="AT1139" s="46"/>
      <c r="AU1139" s="46" t="s">
        <v>376</v>
      </c>
      <c r="AV1139" s="46"/>
      <c r="AW1139" s="46" t="s">
        <v>30</v>
      </c>
      <c r="AX1139" s="46"/>
      <c r="AY1139" s="46" t="s">
        <v>30</v>
      </c>
      <c r="AZ1139" s="46"/>
      <c r="BA1139" s="47"/>
      <c r="BB1139" s="51"/>
      <c r="BC1139" s="46"/>
      <c r="BD1139" s="46"/>
      <c r="BE1139" s="46"/>
      <c r="BF1139" s="46">
        <v>1</v>
      </c>
      <c r="BG1139" s="46">
        <v>2</v>
      </c>
      <c r="BH1139" s="46">
        <v>1</v>
      </c>
      <c r="BI1139" s="46" t="s">
        <v>803</v>
      </c>
      <c r="BJ1139" s="46" t="s">
        <v>1072</v>
      </c>
      <c r="BK1139" s="46">
        <v>1991</v>
      </c>
      <c r="BL1139" s="46" t="str">
        <f>BK1139&amp;BI1139</f>
        <v>1991West Ham United</v>
      </c>
      <c r="BM1139" s="52" t="str">
        <f>IF(AD1139="Home",BI1139,IF(AD1139="Away",BJ1139,Q1139))</f>
        <v>Birmingham</v>
      </c>
      <c r="BN1139" s="46"/>
      <c r="BO1139" s="46"/>
      <c r="BP1139" s="46"/>
      <c r="BQ1139" s="46"/>
      <c r="BR1139" s="46"/>
      <c r="BS1139" s="46"/>
      <c r="BT1139" s="46"/>
      <c r="BU1139" s="46"/>
      <c r="BV1139" s="46" t="s">
        <v>376</v>
      </c>
      <c r="BW1139" s="46" t="s">
        <v>376</v>
      </c>
      <c r="BX1139" s="46"/>
      <c r="BY1139" s="52"/>
      <c r="BZ1139" s="53"/>
      <c r="CA1139" s="53"/>
      <c r="CB1139" s="93" t="str">
        <f>IF(OR(C1139="",A1139="",B1139=""),"",TEXT(C1139,"0000")&amp;TEXT(A1139,"00")&amp;TEXT(B1139,"00"))</f>
        <v>19910414</v>
      </c>
    </row>
    <row r="1140" spans="1:80" s="35" customFormat="1" ht="12.95" customHeight="1" x14ac:dyDescent="0.2">
      <c r="A1140" s="46">
        <v>4</v>
      </c>
      <c r="B1140" s="46">
        <v>14</v>
      </c>
      <c r="C1140" s="46">
        <v>1991</v>
      </c>
      <c r="D1140" s="46" t="s">
        <v>658</v>
      </c>
      <c r="E1140" s="46" t="s">
        <v>481</v>
      </c>
      <c r="F1140" s="47" t="s">
        <v>1010</v>
      </c>
      <c r="G1140" s="46"/>
      <c r="H1140" s="47" t="s">
        <v>1011</v>
      </c>
      <c r="I1140" s="47"/>
      <c r="J1140" s="48">
        <v>33342</v>
      </c>
      <c r="K1140" s="46" t="s">
        <v>813</v>
      </c>
      <c r="L1140" s="46" t="s">
        <v>3</v>
      </c>
      <c r="M1140" s="46" t="s">
        <v>587</v>
      </c>
      <c r="N1140" s="49">
        <v>3</v>
      </c>
      <c r="O1140" s="49">
        <v>1</v>
      </c>
      <c r="P1140" s="47" t="s">
        <v>1268</v>
      </c>
      <c r="Q1140" s="47" t="s">
        <v>1017</v>
      </c>
      <c r="R1140" s="47" t="s">
        <v>376</v>
      </c>
      <c r="S1140" s="46"/>
      <c r="T1140" s="46"/>
      <c r="U1140" s="46"/>
      <c r="V1140" s="46"/>
      <c r="W1140" s="46"/>
      <c r="X1140" s="46"/>
      <c r="Y1140" s="46"/>
      <c r="Z1140" s="46"/>
      <c r="AA1140" s="46"/>
      <c r="AB1140" s="46"/>
      <c r="AC1140" s="46"/>
      <c r="AD1140" s="46"/>
      <c r="AE1140" s="50">
        <f>IF(L1140="W",1,0)</f>
        <v>1</v>
      </c>
      <c r="AF1140" s="50">
        <f>IF(L1140="T",1,0)</f>
        <v>0</v>
      </c>
      <c r="AG1140" s="50">
        <f>IF(L1140="L",1,0)</f>
        <v>0</v>
      </c>
      <c r="AH1140" s="46" t="s">
        <v>1017</v>
      </c>
      <c r="AI1140" s="46" t="s">
        <v>1018</v>
      </c>
      <c r="AJ1140" s="46" t="s">
        <v>376</v>
      </c>
      <c r="AK1140" s="46" t="s">
        <v>658</v>
      </c>
      <c r="AL1140" s="46" t="s">
        <v>1017</v>
      </c>
      <c r="AM1140" s="46" t="s">
        <v>1018</v>
      </c>
      <c r="AN1140" s="46" t="s">
        <v>376</v>
      </c>
      <c r="AO1140" s="46" t="s">
        <v>658</v>
      </c>
      <c r="AP1140" s="46"/>
      <c r="AQ1140" s="46">
        <v>2</v>
      </c>
      <c r="AR1140" s="46"/>
      <c r="AS1140" s="46"/>
      <c r="AT1140" s="46" t="s">
        <v>1351</v>
      </c>
      <c r="AU1140" s="46" t="s">
        <v>376</v>
      </c>
      <c r="AV1140" s="46"/>
      <c r="AW1140" s="46" t="s">
        <v>30</v>
      </c>
      <c r="AX1140" s="46"/>
      <c r="AY1140" s="46" t="s">
        <v>30</v>
      </c>
      <c r="AZ1140" s="46"/>
      <c r="BA1140" s="47"/>
      <c r="BB1140" s="51"/>
      <c r="BC1140" s="46"/>
      <c r="BD1140" s="46"/>
      <c r="BE1140" s="46"/>
      <c r="BF1140" s="46">
        <v>1</v>
      </c>
      <c r="BG1140" s="46">
        <v>1</v>
      </c>
      <c r="BH1140" s="46">
        <v>1</v>
      </c>
      <c r="BI1140" s="46" t="s">
        <v>813</v>
      </c>
      <c r="BJ1140" s="46" t="s">
        <v>587</v>
      </c>
      <c r="BK1140" s="46">
        <v>1991</v>
      </c>
      <c r="BL1140" s="46" t="str">
        <f>BK1140&amp;BI1140</f>
        <v>1991Tottenham Hotspur</v>
      </c>
      <c r="BM1140" s="52" t="str">
        <f>IF(AD1140="Home",BI1140,IF(AD1140="Away",BJ1140,Q1140))</f>
        <v>London</v>
      </c>
      <c r="BN1140" s="46"/>
      <c r="BO1140" s="46"/>
      <c r="BP1140" s="46"/>
      <c r="BQ1140" s="46"/>
      <c r="BR1140" s="46"/>
      <c r="BS1140" s="46"/>
      <c r="BT1140" s="46"/>
      <c r="BU1140" s="46"/>
      <c r="BV1140" s="46" t="s">
        <v>376</v>
      </c>
      <c r="BW1140" s="46" t="s">
        <v>376</v>
      </c>
      <c r="BX1140" s="46"/>
      <c r="BY1140" s="52"/>
      <c r="BZ1140" s="53"/>
      <c r="CA1140" s="53"/>
      <c r="CB1140" s="93" t="str">
        <f>IF(OR(C1140="",A1140="",B1140=""),"",TEXT(C1140,"0000")&amp;TEXT(A1140,"00")&amp;TEXT(B1140,"00"))</f>
        <v>19910414</v>
      </c>
    </row>
    <row r="1141" spans="1:80" s="35" customFormat="1" ht="12.95" customHeight="1" x14ac:dyDescent="0.2">
      <c r="A1141" s="46">
        <v>4</v>
      </c>
      <c r="B1141" s="46">
        <v>14</v>
      </c>
      <c r="C1141" s="46">
        <v>1991</v>
      </c>
      <c r="D1141" s="46" t="s">
        <v>658</v>
      </c>
      <c r="E1141" s="46" t="s">
        <v>481</v>
      </c>
      <c r="F1141" s="47" t="s">
        <v>1010</v>
      </c>
      <c r="G1141" s="46"/>
      <c r="H1141" s="47" t="s">
        <v>1011</v>
      </c>
      <c r="I1141" s="47"/>
      <c r="J1141" s="48">
        <v>33342</v>
      </c>
      <c r="K1141" s="46" t="s">
        <v>587</v>
      </c>
      <c r="L1141" s="46" t="s">
        <v>4</v>
      </c>
      <c r="M1141" s="46" t="s">
        <v>813</v>
      </c>
      <c r="N1141" s="49">
        <v>1</v>
      </c>
      <c r="O1141" s="49">
        <v>3</v>
      </c>
      <c r="P1141" s="47" t="s">
        <v>1268</v>
      </c>
      <c r="Q1141" s="47" t="s">
        <v>1017</v>
      </c>
      <c r="R1141" s="47" t="s">
        <v>376</v>
      </c>
      <c r="S1141" s="46"/>
      <c r="T1141" s="46"/>
      <c r="U1141" s="46"/>
      <c r="V1141" s="46"/>
      <c r="W1141" s="46"/>
      <c r="X1141" s="46"/>
      <c r="Y1141" s="46"/>
      <c r="Z1141" s="46"/>
      <c r="AA1141" s="46"/>
      <c r="AB1141" s="46"/>
      <c r="AC1141" s="46"/>
      <c r="AD1141" s="46"/>
      <c r="AE1141" s="50">
        <f>IF(L1141="W",1,0)</f>
        <v>0</v>
      </c>
      <c r="AF1141" s="50">
        <f>IF(L1141="T",1,0)</f>
        <v>0</v>
      </c>
      <c r="AG1141" s="50">
        <f>IF(L1141="L",1,0)</f>
        <v>1</v>
      </c>
      <c r="AH1141" s="46" t="s">
        <v>1017</v>
      </c>
      <c r="AI1141" s="46" t="s">
        <v>1018</v>
      </c>
      <c r="AJ1141" s="46" t="s">
        <v>376</v>
      </c>
      <c r="AK1141" s="46" t="s">
        <v>658</v>
      </c>
      <c r="AL1141" s="46" t="s">
        <v>1017</v>
      </c>
      <c r="AM1141" s="46" t="s">
        <v>1018</v>
      </c>
      <c r="AN1141" s="46" t="s">
        <v>376</v>
      </c>
      <c r="AO1141" s="46" t="s">
        <v>658</v>
      </c>
      <c r="AP1141" s="46"/>
      <c r="AQ1141" s="46">
        <v>2</v>
      </c>
      <c r="AR1141" s="46"/>
      <c r="AS1141" s="46"/>
      <c r="AT1141" s="46" t="s">
        <v>1351</v>
      </c>
      <c r="AU1141" s="46" t="s">
        <v>376</v>
      </c>
      <c r="AV1141" s="46"/>
      <c r="AW1141" s="46" t="s">
        <v>30</v>
      </c>
      <c r="AX1141" s="46"/>
      <c r="AY1141" s="46" t="s">
        <v>30</v>
      </c>
      <c r="AZ1141" s="46"/>
      <c r="BA1141" s="47"/>
      <c r="BB1141" s="51"/>
      <c r="BC1141" s="46"/>
      <c r="BD1141" s="46"/>
      <c r="BE1141" s="46"/>
      <c r="BF1141" s="46">
        <v>1</v>
      </c>
      <c r="BG1141" s="46">
        <v>1</v>
      </c>
      <c r="BH1141" s="46">
        <v>1</v>
      </c>
      <c r="BI1141" s="46" t="s">
        <v>587</v>
      </c>
      <c r="BJ1141" s="46" t="s">
        <v>813</v>
      </c>
      <c r="BK1141" s="46">
        <v>1991</v>
      </c>
      <c r="BL1141" s="46" t="str">
        <f>BK1141&amp;BI1141</f>
        <v>1991Arsenal</v>
      </c>
      <c r="BM1141" s="52" t="str">
        <f>IF(AD1141="Home",BI1141,IF(AD1141="Away",BJ1141,Q1141))</f>
        <v>London</v>
      </c>
      <c r="BN1141" s="46"/>
      <c r="BO1141" s="46"/>
      <c r="BP1141" s="46"/>
      <c r="BQ1141" s="46"/>
      <c r="BR1141" s="46"/>
      <c r="BS1141" s="46"/>
      <c r="BT1141" s="46"/>
      <c r="BU1141" s="46"/>
      <c r="BV1141" s="46" t="s">
        <v>376</v>
      </c>
      <c r="BW1141" s="46" t="s">
        <v>376</v>
      </c>
      <c r="BX1141" s="46"/>
      <c r="BY1141" s="52"/>
      <c r="BZ1141" s="53"/>
      <c r="CA1141" s="53"/>
      <c r="CB1141" s="93" t="str">
        <f>IF(OR(C1141="",A1141="",B1141=""),"",TEXT(C1141,"0000")&amp;TEXT(A1141,"00")&amp;TEXT(B1141,"00"))</f>
        <v>19910414</v>
      </c>
    </row>
    <row r="1142" spans="1:80" s="35" customFormat="1" ht="12.95" customHeight="1" x14ac:dyDescent="0.2">
      <c r="A1142" s="46">
        <v>4</v>
      </c>
      <c r="B1142" s="46">
        <v>21</v>
      </c>
      <c r="C1142" s="46">
        <v>1991</v>
      </c>
      <c r="D1142" s="46" t="s">
        <v>658</v>
      </c>
      <c r="E1142" s="46" t="s">
        <v>481</v>
      </c>
      <c r="F1142" s="54" t="s">
        <v>1327</v>
      </c>
      <c r="G1142" s="46"/>
      <c r="H1142" s="54" t="s">
        <v>40</v>
      </c>
      <c r="I1142" s="54"/>
      <c r="J1142" s="55">
        <v>33349</v>
      </c>
      <c r="K1142" s="46" t="s">
        <v>1093</v>
      </c>
      <c r="L1142" s="46" t="s">
        <v>3</v>
      </c>
      <c r="M1142" s="46" t="s">
        <v>821</v>
      </c>
      <c r="N1142" s="49">
        <v>1</v>
      </c>
      <c r="O1142" s="49">
        <v>0</v>
      </c>
      <c r="P1142" s="54" t="s">
        <v>1268</v>
      </c>
      <c r="Q1142" s="54" t="s">
        <v>1017</v>
      </c>
      <c r="R1142" s="54" t="s">
        <v>376</v>
      </c>
      <c r="S1142" s="46"/>
      <c r="T1142" s="46"/>
      <c r="U1142" s="46"/>
      <c r="V1142" s="46"/>
      <c r="W1142" s="46"/>
      <c r="X1142" s="46"/>
      <c r="Y1142" s="46"/>
      <c r="Z1142" s="46"/>
      <c r="AA1142" s="46"/>
      <c r="AB1142" s="46"/>
      <c r="AC1142" s="46"/>
      <c r="AD1142" s="46"/>
      <c r="AE1142" s="50">
        <f>IF(L1142="W",1,0)</f>
        <v>1</v>
      </c>
      <c r="AF1142" s="50">
        <f>IF(L1142="T",1,0)</f>
        <v>0</v>
      </c>
      <c r="AG1142" s="50">
        <f>IF(L1142="L",1,0)</f>
        <v>0</v>
      </c>
      <c r="AH1142" s="46" t="s">
        <v>1097</v>
      </c>
      <c r="AI1142" s="46" t="s">
        <v>1098</v>
      </c>
      <c r="AJ1142" s="46" t="s">
        <v>376</v>
      </c>
      <c r="AK1142" s="46" t="s">
        <v>658</v>
      </c>
      <c r="AL1142" s="46" t="s">
        <v>1101</v>
      </c>
      <c r="AM1142" s="46" t="s">
        <v>1159</v>
      </c>
      <c r="AN1142" s="46" t="s">
        <v>376</v>
      </c>
      <c r="AO1142" s="46" t="s">
        <v>658</v>
      </c>
      <c r="AP1142" s="46"/>
      <c r="AQ1142" s="46">
        <v>1</v>
      </c>
      <c r="AR1142" s="46"/>
      <c r="AS1142" s="46"/>
      <c r="AT1142" s="46"/>
      <c r="AU1142" s="46" t="s">
        <v>376</v>
      </c>
      <c r="AV1142" s="46"/>
      <c r="AW1142" s="46" t="s">
        <v>30</v>
      </c>
      <c r="AX1142" s="46"/>
      <c r="AY1142" s="46"/>
      <c r="AZ1142" s="46" t="s">
        <v>30</v>
      </c>
      <c r="BA1142" s="54"/>
      <c r="BB1142" s="51" t="s">
        <v>30</v>
      </c>
      <c r="BC1142" s="46" t="s">
        <v>30</v>
      </c>
      <c r="BD1142" s="46"/>
      <c r="BE1142" s="46"/>
      <c r="BF1142" s="46">
        <v>1</v>
      </c>
      <c r="BG1142" s="46">
        <v>2</v>
      </c>
      <c r="BH1142" s="46">
        <v>1</v>
      </c>
      <c r="BI1142" s="46" t="s">
        <v>1093</v>
      </c>
      <c r="BJ1142" s="46" t="s">
        <v>821</v>
      </c>
      <c r="BK1142" s="46">
        <v>1991</v>
      </c>
      <c r="BL1142" s="46" t="str">
        <f>BK1142&amp;BI1142</f>
        <v>1991Sheffield Wednesday</v>
      </c>
      <c r="BM1142" s="52" t="str">
        <f>IF(AD1142="Home",BI1142,IF(AD1142="Away",BJ1142,Q1142))</f>
        <v>London</v>
      </c>
      <c r="BN1142" s="46"/>
      <c r="BO1142" s="46"/>
      <c r="BP1142" s="46"/>
      <c r="BQ1142" s="46"/>
      <c r="BR1142" s="46"/>
      <c r="BS1142" s="46"/>
      <c r="BT1142" s="46"/>
      <c r="BU1142" s="46"/>
      <c r="BV1142" s="46" t="s">
        <v>376</v>
      </c>
      <c r="BW1142" s="46" t="s">
        <v>376</v>
      </c>
      <c r="BX1142" s="46"/>
      <c r="BY1142" s="52"/>
      <c r="BZ1142" s="53"/>
      <c r="CA1142" s="53"/>
      <c r="CB1142" s="93" t="str">
        <f>IF(OR(C1142="",A1142="",B1142=""),"",TEXT(C1142,"0000")&amp;TEXT(A1142,"00")&amp;TEXT(B1142,"00"))</f>
        <v>19910421</v>
      </c>
    </row>
    <row r="1143" spans="1:80" s="35" customFormat="1" ht="12.95" customHeight="1" x14ac:dyDescent="0.2">
      <c r="A1143" s="46">
        <v>4</v>
      </c>
      <c r="B1143" s="46">
        <v>21</v>
      </c>
      <c r="C1143" s="46">
        <v>1991</v>
      </c>
      <c r="D1143" s="46" t="s">
        <v>658</v>
      </c>
      <c r="E1143" s="46" t="s">
        <v>481</v>
      </c>
      <c r="F1143" s="54" t="s">
        <v>1327</v>
      </c>
      <c r="G1143" s="46"/>
      <c r="H1143" s="54" t="s">
        <v>40</v>
      </c>
      <c r="I1143" s="54"/>
      <c r="J1143" s="55">
        <v>33349</v>
      </c>
      <c r="K1143" s="46" t="s">
        <v>821</v>
      </c>
      <c r="L1143" s="46" t="s">
        <v>4</v>
      </c>
      <c r="M1143" s="46" t="s">
        <v>1093</v>
      </c>
      <c r="N1143" s="49">
        <v>0</v>
      </c>
      <c r="O1143" s="49">
        <v>1</v>
      </c>
      <c r="P1143" s="54" t="s">
        <v>1268</v>
      </c>
      <c r="Q1143" s="54" t="s">
        <v>1017</v>
      </c>
      <c r="R1143" s="54" t="s">
        <v>376</v>
      </c>
      <c r="S1143" s="46"/>
      <c r="T1143" s="46"/>
      <c r="U1143" s="46"/>
      <c r="V1143" s="46"/>
      <c r="W1143" s="46"/>
      <c r="X1143" s="46"/>
      <c r="Y1143" s="46"/>
      <c r="Z1143" s="46"/>
      <c r="AA1143" s="46"/>
      <c r="AB1143" s="46"/>
      <c r="AC1143" s="46"/>
      <c r="AD1143" s="46"/>
      <c r="AE1143" s="50">
        <f>IF(L1143="W",1,0)</f>
        <v>0</v>
      </c>
      <c r="AF1143" s="50">
        <f>IF(L1143="T",1,0)</f>
        <v>0</v>
      </c>
      <c r="AG1143" s="50">
        <f>IF(L1143="L",1,0)</f>
        <v>1</v>
      </c>
      <c r="AH1143" s="46" t="s">
        <v>1101</v>
      </c>
      <c r="AI1143" s="46" t="s">
        <v>1159</v>
      </c>
      <c r="AJ1143" s="46" t="s">
        <v>376</v>
      </c>
      <c r="AK1143" s="46" t="s">
        <v>658</v>
      </c>
      <c r="AL1143" s="46" t="s">
        <v>1097</v>
      </c>
      <c r="AM1143" s="46" t="s">
        <v>1098</v>
      </c>
      <c r="AN1143" s="46" t="s">
        <v>376</v>
      </c>
      <c r="AO1143" s="46" t="s">
        <v>658</v>
      </c>
      <c r="AP1143" s="46"/>
      <c r="AQ1143" s="46">
        <v>1</v>
      </c>
      <c r="AR1143" s="46"/>
      <c r="AS1143" s="46"/>
      <c r="AT1143" s="46"/>
      <c r="AU1143" s="46" t="s">
        <v>376</v>
      </c>
      <c r="AV1143" s="46"/>
      <c r="AW1143" s="46" t="s">
        <v>30</v>
      </c>
      <c r="AX1143" s="46"/>
      <c r="AY1143" s="46"/>
      <c r="AZ1143" s="46" t="s">
        <v>30</v>
      </c>
      <c r="BA1143" s="54"/>
      <c r="BB1143" s="51"/>
      <c r="BC1143" s="46" t="s">
        <v>30</v>
      </c>
      <c r="BD1143" s="46"/>
      <c r="BE1143" s="46"/>
      <c r="BF1143" s="46">
        <v>1</v>
      </c>
      <c r="BG1143" s="46">
        <v>1</v>
      </c>
      <c r="BH1143" s="46">
        <v>2</v>
      </c>
      <c r="BI1143" s="46" t="s">
        <v>821</v>
      </c>
      <c r="BJ1143" s="46" t="s">
        <v>1093</v>
      </c>
      <c r="BK1143" s="46">
        <v>1991</v>
      </c>
      <c r="BL1143" s="46" t="str">
        <f>BK1143&amp;BI1143</f>
        <v>1991Manchester United</v>
      </c>
      <c r="BM1143" s="52" t="str">
        <f>IF(AD1143="Home",BI1143,IF(AD1143="Away",BJ1143,Q1143))</f>
        <v>London</v>
      </c>
      <c r="BN1143" s="46"/>
      <c r="BO1143" s="46"/>
      <c r="BP1143" s="46"/>
      <c r="BQ1143" s="46"/>
      <c r="BR1143" s="46"/>
      <c r="BS1143" s="46"/>
      <c r="BT1143" s="46"/>
      <c r="BU1143" s="46"/>
      <c r="BV1143" s="46" t="s">
        <v>376</v>
      </c>
      <c r="BW1143" s="46" t="s">
        <v>376</v>
      </c>
      <c r="BX1143" s="46"/>
      <c r="BY1143" s="52"/>
      <c r="BZ1143" s="53"/>
      <c r="CA1143" s="53"/>
      <c r="CB1143" s="93" t="str">
        <f>IF(OR(C1143="",A1143="",B1143=""),"",TEXT(C1143,"0000")&amp;TEXT(A1143,"00")&amp;TEXT(B1143,"00"))</f>
        <v>19910421</v>
      </c>
    </row>
    <row r="1144" spans="1:80" s="35" customFormat="1" ht="12.95" customHeight="1" x14ac:dyDescent="0.2">
      <c r="A1144" s="46">
        <v>5</v>
      </c>
      <c r="B1144" s="46">
        <v>18</v>
      </c>
      <c r="C1144" s="46">
        <v>1991</v>
      </c>
      <c r="D1144" s="46" t="s">
        <v>658</v>
      </c>
      <c r="E1144" s="46" t="s">
        <v>481</v>
      </c>
      <c r="F1144" s="47" t="s">
        <v>1010</v>
      </c>
      <c r="G1144" s="46"/>
      <c r="H1144" s="47" t="s">
        <v>1025</v>
      </c>
      <c r="I1144" s="47"/>
      <c r="J1144" s="48">
        <v>33376</v>
      </c>
      <c r="K1144" s="46" t="s">
        <v>813</v>
      </c>
      <c r="L1144" s="46" t="s">
        <v>3</v>
      </c>
      <c r="M1144" s="46" t="s">
        <v>1072</v>
      </c>
      <c r="N1144" s="49">
        <v>2</v>
      </c>
      <c r="O1144" s="49">
        <v>1</v>
      </c>
      <c r="P1144" s="47" t="s">
        <v>1268</v>
      </c>
      <c r="Q1144" s="47" t="s">
        <v>1017</v>
      </c>
      <c r="R1144" s="47" t="s">
        <v>376</v>
      </c>
      <c r="S1144" s="46"/>
      <c r="T1144" s="46"/>
      <c r="U1144" s="46"/>
      <c r="V1144" s="46"/>
      <c r="W1144" s="46"/>
      <c r="X1144" s="46"/>
      <c r="Y1144" s="46"/>
      <c r="Z1144" s="46"/>
      <c r="AA1144" s="46"/>
      <c r="AB1144" s="46"/>
      <c r="AC1144" s="46"/>
      <c r="AD1144" s="46"/>
      <c r="AE1144" s="50">
        <f>IF(L1144="W",1,0)</f>
        <v>1</v>
      </c>
      <c r="AF1144" s="50">
        <f>IF(L1144="T",1,0)</f>
        <v>0</v>
      </c>
      <c r="AG1144" s="50">
        <f>IF(L1144="L",1,0)</f>
        <v>0</v>
      </c>
      <c r="AH1144" s="46" t="s">
        <v>1017</v>
      </c>
      <c r="AI1144" s="46" t="s">
        <v>1018</v>
      </c>
      <c r="AJ1144" s="46" t="s">
        <v>376</v>
      </c>
      <c r="AK1144" s="46" t="s">
        <v>658</v>
      </c>
      <c r="AL1144" s="46" t="s">
        <v>1073</v>
      </c>
      <c r="AM1144" s="46" t="s">
        <v>1074</v>
      </c>
      <c r="AN1144" s="46" t="s">
        <v>376</v>
      </c>
      <c r="AO1144" s="46" t="s">
        <v>658</v>
      </c>
      <c r="AP1144" s="46"/>
      <c r="AQ1144" s="46">
        <v>1</v>
      </c>
      <c r="AR1144" s="46"/>
      <c r="AS1144" s="46"/>
      <c r="AT1144" s="46"/>
      <c r="AU1144" s="46" t="s">
        <v>376</v>
      </c>
      <c r="AV1144" s="46"/>
      <c r="AW1144" s="46" t="s">
        <v>30</v>
      </c>
      <c r="AX1144" s="46"/>
      <c r="AY1144" s="46" t="s">
        <v>30</v>
      </c>
      <c r="AZ1144" s="46"/>
      <c r="BA1144" s="47"/>
      <c r="BB1144" s="51" t="s">
        <v>30</v>
      </c>
      <c r="BC1144" s="46" t="s">
        <v>30</v>
      </c>
      <c r="BD1144" s="46"/>
      <c r="BE1144" s="46"/>
      <c r="BF1144" s="46">
        <v>1</v>
      </c>
      <c r="BG1144" s="46">
        <v>1</v>
      </c>
      <c r="BH1144" s="46">
        <v>1</v>
      </c>
      <c r="BI1144" s="46" t="s">
        <v>813</v>
      </c>
      <c r="BJ1144" s="46" t="s">
        <v>1072</v>
      </c>
      <c r="BK1144" s="46">
        <v>1991</v>
      </c>
      <c r="BL1144" s="46" t="str">
        <f>BK1144&amp;BI1144</f>
        <v>1991Tottenham Hotspur</v>
      </c>
      <c r="BM1144" s="52" t="str">
        <f>IF(AD1144="Home",BI1144,IF(AD1144="Away",BJ1144,Q1144))</f>
        <v>London</v>
      </c>
      <c r="BN1144" s="46"/>
      <c r="BO1144" s="46"/>
      <c r="BP1144" s="46"/>
      <c r="BQ1144" s="46"/>
      <c r="BR1144" s="46"/>
      <c r="BS1144" s="46"/>
      <c r="BT1144" s="46"/>
      <c r="BU1144" s="46"/>
      <c r="BV1144" s="46" t="s">
        <v>376</v>
      </c>
      <c r="BW1144" s="46" t="s">
        <v>376</v>
      </c>
      <c r="BX1144" s="46"/>
      <c r="BY1144" s="52"/>
      <c r="BZ1144" s="53"/>
      <c r="CA1144" s="53"/>
      <c r="CB1144" s="93" t="str">
        <f>IF(OR(C1144="",A1144="",B1144=""),"",TEXT(C1144,"0000")&amp;TEXT(A1144,"00")&amp;TEXT(B1144,"00"))</f>
        <v>19910518</v>
      </c>
    </row>
    <row r="1145" spans="1:80" s="35" customFormat="1" ht="12.95" customHeight="1" x14ac:dyDescent="0.2">
      <c r="A1145" s="46">
        <v>5</v>
      </c>
      <c r="B1145" s="46">
        <v>18</v>
      </c>
      <c r="C1145" s="46">
        <v>1991</v>
      </c>
      <c r="D1145" s="46" t="s">
        <v>658</v>
      </c>
      <c r="E1145" s="46" t="s">
        <v>481</v>
      </c>
      <c r="F1145" s="47" t="s">
        <v>1010</v>
      </c>
      <c r="G1145" s="46"/>
      <c r="H1145" s="47" t="s">
        <v>1025</v>
      </c>
      <c r="I1145" s="47"/>
      <c r="J1145" s="48">
        <v>33376</v>
      </c>
      <c r="K1145" s="46" t="s">
        <v>1072</v>
      </c>
      <c r="L1145" s="46" t="s">
        <v>4</v>
      </c>
      <c r="M1145" s="46" t="s">
        <v>813</v>
      </c>
      <c r="N1145" s="49">
        <v>1</v>
      </c>
      <c r="O1145" s="49">
        <v>2</v>
      </c>
      <c r="P1145" s="47" t="s">
        <v>1268</v>
      </c>
      <c r="Q1145" s="47" t="s">
        <v>1017</v>
      </c>
      <c r="R1145" s="47" t="s">
        <v>376</v>
      </c>
      <c r="S1145" s="46"/>
      <c r="T1145" s="46"/>
      <c r="U1145" s="46"/>
      <c r="V1145" s="46"/>
      <c r="W1145" s="46"/>
      <c r="X1145" s="46"/>
      <c r="Y1145" s="46"/>
      <c r="Z1145" s="46"/>
      <c r="AA1145" s="46"/>
      <c r="AB1145" s="46"/>
      <c r="AC1145" s="46"/>
      <c r="AD1145" s="46"/>
      <c r="AE1145" s="50">
        <f>IF(L1145="W",1,0)</f>
        <v>0</v>
      </c>
      <c r="AF1145" s="50">
        <f>IF(L1145="T",1,0)</f>
        <v>0</v>
      </c>
      <c r="AG1145" s="50">
        <f>IF(L1145="L",1,0)</f>
        <v>1</v>
      </c>
      <c r="AH1145" s="46" t="s">
        <v>1073</v>
      </c>
      <c r="AI1145" s="46" t="s">
        <v>1074</v>
      </c>
      <c r="AJ1145" s="46" t="s">
        <v>376</v>
      </c>
      <c r="AK1145" s="46" t="s">
        <v>658</v>
      </c>
      <c r="AL1145" s="46" t="s">
        <v>1017</v>
      </c>
      <c r="AM1145" s="46" t="s">
        <v>1018</v>
      </c>
      <c r="AN1145" s="46" t="s">
        <v>376</v>
      </c>
      <c r="AO1145" s="46" t="s">
        <v>658</v>
      </c>
      <c r="AP1145" s="46"/>
      <c r="AQ1145" s="46">
        <v>1</v>
      </c>
      <c r="AR1145" s="46"/>
      <c r="AS1145" s="46"/>
      <c r="AT1145" s="46"/>
      <c r="AU1145" s="46" t="s">
        <v>376</v>
      </c>
      <c r="AV1145" s="46"/>
      <c r="AW1145" s="46" t="s">
        <v>30</v>
      </c>
      <c r="AX1145" s="46"/>
      <c r="AY1145" s="46" t="s">
        <v>30</v>
      </c>
      <c r="AZ1145" s="46"/>
      <c r="BA1145" s="47"/>
      <c r="BB1145" s="51"/>
      <c r="BC1145" s="46" t="s">
        <v>30</v>
      </c>
      <c r="BD1145" s="46"/>
      <c r="BE1145" s="46"/>
      <c r="BF1145" s="46">
        <v>1</v>
      </c>
      <c r="BG1145" s="46">
        <v>1</v>
      </c>
      <c r="BH1145" s="46">
        <v>1</v>
      </c>
      <c r="BI1145" s="46" t="s">
        <v>1072</v>
      </c>
      <c r="BJ1145" s="46" t="s">
        <v>813</v>
      </c>
      <c r="BK1145" s="46">
        <v>1991</v>
      </c>
      <c r="BL1145" s="46" t="str">
        <f>BK1145&amp;BI1145</f>
        <v>1991Nottingham Forest</v>
      </c>
      <c r="BM1145" s="52" t="str">
        <f>IF(AD1145="Home",BI1145,IF(AD1145="Away",BJ1145,Q1145))</f>
        <v>London</v>
      </c>
      <c r="BN1145" s="46"/>
      <c r="BO1145" s="46"/>
      <c r="BP1145" s="46"/>
      <c r="BQ1145" s="46"/>
      <c r="BR1145" s="46"/>
      <c r="BS1145" s="46"/>
      <c r="BT1145" s="46"/>
      <c r="BU1145" s="46"/>
      <c r="BV1145" s="46" t="s">
        <v>376</v>
      </c>
      <c r="BW1145" s="46" t="s">
        <v>376</v>
      </c>
      <c r="BX1145" s="46"/>
      <c r="BY1145" s="52"/>
      <c r="BZ1145" s="53"/>
      <c r="CA1145" s="53"/>
      <c r="CB1145" s="93" t="str">
        <f>IF(OR(C1145="",A1145="",B1145=""),"",TEXT(C1145,"0000")&amp;TEXT(A1145,"00")&amp;TEXT(B1145,"00"))</f>
        <v>19910518</v>
      </c>
    </row>
    <row r="1146" spans="1:80" s="35" customFormat="1" ht="12.95" customHeight="1" x14ac:dyDescent="0.2">
      <c r="A1146" s="46">
        <v>2</v>
      </c>
      <c r="B1146" s="46">
        <v>9</v>
      </c>
      <c r="C1146" s="46">
        <v>1992</v>
      </c>
      <c r="D1146" s="46" t="s">
        <v>658</v>
      </c>
      <c r="E1146" s="46" t="s">
        <v>465</v>
      </c>
      <c r="F1146" s="54" t="s">
        <v>1327</v>
      </c>
      <c r="G1146" s="46"/>
      <c r="H1146" s="54" t="s">
        <v>1011</v>
      </c>
      <c r="I1146" s="54">
        <v>1</v>
      </c>
      <c r="J1146" s="55">
        <v>33643</v>
      </c>
      <c r="K1146" s="46" t="s">
        <v>1072</v>
      </c>
      <c r="L1146" s="46" t="s">
        <v>1014</v>
      </c>
      <c r="M1146" s="46" t="s">
        <v>813</v>
      </c>
      <c r="N1146" s="49">
        <v>1</v>
      </c>
      <c r="O1146" s="49">
        <v>1</v>
      </c>
      <c r="P1146" s="54" t="s">
        <v>1135</v>
      </c>
      <c r="Q1146" s="54" t="s">
        <v>1073</v>
      </c>
      <c r="R1146" s="54" t="s">
        <v>376</v>
      </c>
      <c r="S1146" s="46"/>
      <c r="T1146" s="46"/>
      <c r="U1146" s="46"/>
      <c r="V1146" s="46"/>
      <c r="W1146" s="46"/>
      <c r="X1146" s="46"/>
      <c r="Y1146" s="46"/>
      <c r="Z1146" s="46"/>
      <c r="AA1146" s="46"/>
      <c r="AB1146" s="46"/>
      <c r="AC1146" s="46"/>
      <c r="AD1146" s="46" t="s">
        <v>1033</v>
      </c>
      <c r="AE1146" s="50">
        <f>IF(L1146="W",1,0)</f>
        <v>0</v>
      </c>
      <c r="AF1146" s="50">
        <f>IF(L1146="T",1,0)</f>
        <v>1</v>
      </c>
      <c r="AG1146" s="50">
        <f>IF(L1146="L",1,0)</f>
        <v>0</v>
      </c>
      <c r="AH1146" s="46" t="s">
        <v>1073</v>
      </c>
      <c r="AI1146" s="46" t="s">
        <v>1074</v>
      </c>
      <c r="AJ1146" s="46" t="s">
        <v>376</v>
      </c>
      <c r="AK1146" s="46" t="s">
        <v>658</v>
      </c>
      <c r="AL1146" s="46" t="s">
        <v>1017</v>
      </c>
      <c r="AM1146" s="46" t="s">
        <v>1018</v>
      </c>
      <c r="AN1146" s="46" t="s">
        <v>376</v>
      </c>
      <c r="AO1146" s="46" t="s">
        <v>658</v>
      </c>
      <c r="AP1146" s="46"/>
      <c r="AQ1146" s="46">
        <v>2</v>
      </c>
      <c r="AR1146" s="46"/>
      <c r="AS1146" s="46"/>
      <c r="AT1146" s="46"/>
      <c r="AU1146" s="46" t="s">
        <v>376</v>
      </c>
      <c r="AV1146" s="46"/>
      <c r="AW1146" s="46" t="s">
        <v>30</v>
      </c>
      <c r="AX1146" s="46"/>
      <c r="AY1146" s="46"/>
      <c r="AZ1146" s="46" t="s">
        <v>30</v>
      </c>
      <c r="BA1146" s="54"/>
      <c r="BB1146" s="51"/>
      <c r="BC1146" s="46"/>
      <c r="BD1146" s="46"/>
      <c r="BE1146" s="46"/>
      <c r="BF1146" s="46">
        <v>1</v>
      </c>
      <c r="BG1146" s="46">
        <v>1</v>
      </c>
      <c r="BH1146" s="46">
        <v>1</v>
      </c>
      <c r="BI1146" s="46" t="s">
        <v>1072</v>
      </c>
      <c r="BJ1146" s="46" t="s">
        <v>813</v>
      </c>
      <c r="BK1146" s="46">
        <v>1992</v>
      </c>
      <c r="BL1146" s="46" t="str">
        <f>BK1146&amp;BI1146</f>
        <v>1992Nottingham Forest</v>
      </c>
      <c r="BM1146" s="52" t="str">
        <f>IF(AD1146="Home",BI1146,IF(AD1146="Away",BJ1146,Q1146))</f>
        <v>Nottingham Forest</v>
      </c>
      <c r="BN1146" s="46"/>
      <c r="BO1146" s="46"/>
      <c r="BP1146" s="46"/>
      <c r="BQ1146" s="46"/>
      <c r="BR1146" s="46"/>
      <c r="BS1146" s="46"/>
      <c r="BT1146" s="46"/>
      <c r="BU1146" s="46"/>
      <c r="BV1146" s="46" t="s">
        <v>376</v>
      </c>
      <c r="BW1146" s="46" t="s">
        <v>376</v>
      </c>
      <c r="BX1146" s="46"/>
      <c r="BZ1146" s="53"/>
      <c r="CA1146" s="53"/>
      <c r="CB1146" s="93" t="str">
        <f>IF(OR(C1146="",A1146="",B1146=""),"",TEXT(C1146,"0000")&amp;TEXT(A1146,"00")&amp;TEXT(B1146,"00"))</f>
        <v>19920209</v>
      </c>
    </row>
    <row r="1147" spans="1:80" s="35" customFormat="1" ht="12.95" customHeight="1" x14ac:dyDescent="0.2">
      <c r="A1147" s="46">
        <v>2</v>
      </c>
      <c r="B1147" s="46">
        <v>9</v>
      </c>
      <c r="C1147" s="46">
        <v>1992</v>
      </c>
      <c r="D1147" s="46" t="s">
        <v>658</v>
      </c>
      <c r="E1147" s="46" t="s">
        <v>465</v>
      </c>
      <c r="F1147" s="54" t="s">
        <v>1327</v>
      </c>
      <c r="G1147" s="46"/>
      <c r="H1147" s="54" t="s">
        <v>1011</v>
      </c>
      <c r="I1147" s="54">
        <v>1</v>
      </c>
      <c r="J1147" s="55">
        <v>33643</v>
      </c>
      <c r="K1147" s="46" t="s">
        <v>813</v>
      </c>
      <c r="L1147" s="46" t="s">
        <v>1014</v>
      </c>
      <c r="M1147" s="46" t="s">
        <v>1072</v>
      </c>
      <c r="N1147" s="49">
        <v>1</v>
      </c>
      <c r="O1147" s="49">
        <v>1</v>
      </c>
      <c r="P1147" s="54" t="s">
        <v>1135</v>
      </c>
      <c r="Q1147" s="54" t="s">
        <v>1073</v>
      </c>
      <c r="R1147" s="54" t="s">
        <v>376</v>
      </c>
      <c r="S1147" s="46"/>
      <c r="T1147" s="46"/>
      <c r="U1147" s="46"/>
      <c r="V1147" s="46"/>
      <c r="W1147" s="46"/>
      <c r="X1147" s="46"/>
      <c r="Y1147" s="46"/>
      <c r="Z1147" s="46"/>
      <c r="AA1147" s="46"/>
      <c r="AB1147" s="46"/>
      <c r="AC1147" s="46"/>
      <c r="AD1147" s="46" t="s">
        <v>1037</v>
      </c>
      <c r="AE1147" s="50">
        <f>IF(L1147="W",1,0)</f>
        <v>0</v>
      </c>
      <c r="AF1147" s="50">
        <f>IF(L1147="T",1,0)</f>
        <v>1</v>
      </c>
      <c r="AG1147" s="50">
        <f>IF(L1147="L",1,0)</f>
        <v>0</v>
      </c>
      <c r="AH1147" s="46" t="s">
        <v>1017</v>
      </c>
      <c r="AI1147" s="46" t="s">
        <v>1018</v>
      </c>
      <c r="AJ1147" s="46" t="s">
        <v>376</v>
      </c>
      <c r="AK1147" s="46" t="s">
        <v>658</v>
      </c>
      <c r="AL1147" s="46" t="s">
        <v>1073</v>
      </c>
      <c r="AM1147" s="46" t="s">
        <v>1074</v>
      </c>
      <c r="AN1147" s="46" t="s">
        <v>376</v>
      </c>
      <c r="AO1147" s="46" t="s">
        <v>658</v>
      </c>
      <c r="AP1147" s="46"/>
      <c r="AQ1147" s="46">
        <v>2</v>
      </c>
      <c r="AR1147" s="46"/>
      <c r="AS1147" s="46"/>
      <c r="AT1147" s="46"/>
      <c r="AU1147" s="46" t="s">
        <v>376</v>
      </c>
      <c r="AV1147" s="46"/>
      <c r="AW1147" s="46" t="s">
        <v>30</v>
      </c>
      <c r="AX1147" s="46"/>
      <c r="AY1147" s="46"/>
      <c r="AZ1147" s="46" t="s">
        <v>30</v>
      </c>
      <c r="BA1147" s="54"/>
      <c r="BB1147" s="51"/>
      <c r="BC1147" s="46"/>
      <c r="BD1147" s="46"/>
      <c r="BE1147" s="46"/>
      <c r="BF1147" s="46">
        <v>1</v>
      </c>
      <c r="BG1147" s="46">
        <v>1</v>
      </c>
      <c r="BH1147" s="46">
        <v>1</v>
      </c>
      <c r="BI1147" s="46" t="s">
        <v>813</v>
      </c>
      <c r="BJ1147" s="46" t="s">
        <v>1072</v>
      </c>
      <c r="BK1147" s="46">
        <v>1992</v>
      </c>
      <c r="BL1147" s="46" t="str">
        <f>BK1147&amp;BI1147</f>
        <v>1992Tottenham Hotspur</v>
      </c>
      <c r="BM1147" s="52" t="str">
        <f>IF(AD1147="Home",BI1147,IF(AD1147="Away",BJ1147,Q1147))</f>
        <v>Nottingham Forest</v>
      </c>
      <c r="BN1147" s="46"/>
      <c r="BO1147" s="46"/>
      <c r="BP1147" s="46"/>
      <c r="BQ1147" s="46"/>
      <c r="BR1147" s="46"/>
      <c r="BS1147" s="46"/>
      <c r="BT1147" s="46"/>
      <c r="BU1147" s="46"/>
      <c r="BV1147" s="46" t="s">
        <v>376</v>
      </c>
      <c r="BW1147" s="46" t="s">
        <v>376</v>
      </c>
      <c r="BX1147" s="46"/>
      <c r="BZ1147" s="53"/>
      <c r="CA1147" s="53"/>
      <c r="CB1147" s="93" t="str">
        <f>IF(OR(C1147="",A1147="",B1147=""),"",TEXT(C1147,"0000")&amp;TEXT(A1147,"00")&amp;TEXT(B1147,"00"))</f>
        <v>19920209</v>
      </c>
    </row>
    <row r="1148" spans="1:80" s="35" customFormat="1" ht="12.95" customHeight="1" x14ac:dyDescent="0.2">
      <c r="A1148" s="46">
        <v>3</v>
      </c>
      <c r="B1148" s="46">
        <v>1</v>
      </c>
      <c r="C1148" s="46">
        <v>1992</v>
      </c>
      <c r="D1148" s="46" t="s">
        <v>658</v>
      </c>
      <c r="E1148" s="46" t="s">
        <v>465</v>
      </c>
      <c r="F1148" s="54" t="s">
        <v>1327</v>
      </c>
      <c r="G1148" s="46"/>
      <c r="H1148" s="54" t="s">
        <v>1011</v>
      </c>
      <c r="I1148" s="54">
        <v>2</v>
      </c>
      <c r="J1148" s="55">
        <v>33664</v>
      </c>
      <c r="K1148" s="46" t="s">
        <v>813</v>
      </c>
      <c r="L1148" s="46" t="s">
        <v>4</v>
      </c>
      <c r="M1148" s="46" t="s">
        <v>1072</v>
      </c>
      <c r="N1148" s="49">
        <v>1</v>
      </c>
      <c r="O1148" s="49">
        <v>2</v>
      </c>
      <c r="P1148" s="54" t="s">
        <v>1222</v>
      </c>
      <c r="Q1148" s="54" t="s">
        <v>1017</v>
      </c>
      <c r="R1148" s="54" t="s">
        <v>376</v>
      </c>
      <c r="S1148" s="46"/>
      <c r="T1148" s="46"/>
      <c r="U1148" s="46"/>
      <c r="V1148" s="46"/>
      <c r="W1148" s="46"/>
      <c r="X1148" s="46"/>
      <c r="Y1148" s="46"/>
      <c r="Z1148" s="46"/>
      <c r="AA1148" s="46"/>
      <c r="AB1148" s="46"/>
      <c r="AC1148" s="46"/>
      <c r="AD1148" s="46" t="s">
        <v>1033</v>
      </c>
      <c r="AE1148" s="50">
        <f>IF(L1148="W",1,0)</f>
        <v>0</v>
      </c>
      <c r="AF1148" s="50">
        <f>IF(L1148="T",1,0)</f>
        <v>0</v>
      </c>
      <c r="AG1148" s="50">
        <f>IF(L1148="L",1,0)</f>
        <v>1</v>
      </c>
      <c r="AH1148" s="46" t="s">
        <v>1017</v>
      </c>
      <c r="AI1148" s="46" t="s">
        <v>1018</v>
      </c>
      <c r="AJ1148" s="46" t="s">
        <v>376</v>
      </c>
      <c r="AK1148" s="46" t="s">
        <v>658</v>
      </c>
      <c r="AL1148" s="46" t="s">
        <v>1073</v>
      </c>
      <c r="AM1148" s="46" t="s">
        <v>1074</v>
      </c>
      <c r="AN1148" s="46" t="s">
        <v>376</v>
      </c>
      <c r="AO1148" s="46" t="s">
        <v>658</v>
      </c>
      <c r="AP1148" s="46"/>
      <c r="AQ1148" s="46">
        <v>2</v>
      </c>
      <c r="AR1148" s="46"/>
      <c r="AS1148" s="46"/>
      <c r="AT1148" s="46"/>
      <c r="AU1148" s="46" t="s">
        <v>376</v>
      </c>
      <c r="AV1148" s="46"/>
      <c r="AW1148" s="46" t="s">
        <v>30</v>
      </c>
      <c r="AX1148" s="46"/>
      <c r="AY1148" s="46"/>
      <c r="AZ1148" s="46" t="s">
        <v>30</v>
      </c>
      <c r="BA1148" s="54"/>
      <c r="BB1148" s="51"/>
      <c r="BC1148" s="46"/>
      <c r="BD1148" s="46"/>
      <c r="BE1148" s="46"/>
      <c r="BF1148" s="46">
        <v>1</v>
      </c>
      <c r="BG1148" s="46">
        <v>1</v>
      </c>
      <c r="BH1148" s="46">
        <v>1</v>
      </c>
      <c r="BI1148" s="46" t="s">
        <v>813</v>
      </c>
      <c r="BJ1148" s="46" t="s">
        <v>1072</v>
      </c>
      <c r="BK1148" s="46">
        <v>1992</v>
      </c>
      <c r="BL1148" s="46" t="str">
        <f>BK1148&amp;BI1148</f>
        <v>1992Tottenham Hotspur</v>
      </c>
      <c r="BM1148" s="52" t="str">
        <f>IF(AD1148="Home",BI1148,IF(AD1148="Away",BJ1148,Q1148))</f>
        <v>Tottenham Hotspur</v>
      </c>
      <c r="BN1148" s="46"/>
      <c r="BO1148" s="46"/>
      <c r="BP1148" s="46"/>
      <c r="BQ1148" s="46"/>
      <c r="BR1148" s="46"/>
      <c r="BS1148" s="46"/>
      <c r="BT1148" s="46"/>
      <c r="BU1148" s="46"/>
      <c r="BV1148" s="46" t="s">
        <v>376</v>
      </c>
      <c r="BW1148" s="46" t="s">
        <v>376</v>
      </c>
      <c r="BX1148" s="46"/>
      <c r="BY1148" s="52"/>
      <c r="BZ1148" s="53"/>
      <c r="CA1148" s="53"/>
      <c r="CB1148" s="93" t="str">
        <f>IF(OR(C1148="",A1148="",B1148=""),"",TEXT(C1148,"0000")&amp;TEXT(A1148,"00")&amp;TEXT(B1148,"00"))</f>
        <v>19920301</v>
      </c>
    </row>
    <row r="1149" spans="1:80" s="35" customFormat="1" ht="12.95" customHeight="1" x14ac:dyDescent="0.2">
      <c r="A1149" s="46">
        <v>3</v>
      </c>
      <c r="B1149" s="46">
        <v>1</v>
      </c>
      <c r="C1149" s="46">
        <v>1992</v>
      </c>
      <c r="D1149" s="46" t="s">
        <v>658</v>
      </c>
      <c r="E1149" s="46" t="s">
        <v>465</v>
      </c>
      <c r="F1149" s="54" t="s">
        <v>1327</v>
      </c>
      <c r="G1149" s="46"/>
      <c r="H1149" s="54" t="s">
        <v>1011</v>
      </c>
      <c r="I1149" s="54">
        <v>2</v>
      </c>
      <c r="J1149" s="55">
        <v>33664</v>
      </c>
      <c r="K1149" s="46" t="s">
        <v>1072</v>
      </c>
      <c r="L1149" s="46" t="s">
        <v>3</v>
      </c>
      <c r="M1149" s="46" t="s">
        <v>813</v>
      </c>
      <c r="N1149" s="49">
        <v>2</v>
      </c>
      <c r="O1149" s="49">
        <v>1</v>
      </c>
      <c r="P1149" s="54" t="s">
        <v>1222</v>
      </c>
      <c r="Q1149" s="54" t="s">
        <v>1017</v>
      </c>
      <c r="R1149" s="54" t="s">
        <v>376</v>
      </c>
      <c r="S1149" s="46"/>
      <c r="T1149" s="46"/>
      <c r="U1149" s="46"/>
      <c r="V1149" s="46"/>
      <c r="W1149" s="46"/>
      <c r="X1149" s="46"/>
      <c r="Y1149" s="46"/>
      <c r="Z1149" s="46"/>
      <c r="AA1149" s="46"/>
      <c r="AB1149" s="46"/>
      <c r="AC1149" s="46"/>
      <c r="AD1149" s="46" t="s">
        <v>1037</v>
      </c>
      <c r="AE1149" s="50">
        <f>IF(L1149="W",1,0)</f>
        <v>1</v>
      </c>
      <c r="AF1149" s="50">
        <f>IF(L1149="T",1,0)</f>
        <v>0</v>
      </c>
      <c r="AG1149" s="50">
        <f>IF(L1149="L",1,0)</f>
        <v>0</v>
      </c>
      <c r="AH1149" s="46" t="s">
        <v>1073</v>
      </c>
      <c r="AI1149" s="46" t="s">
        <v>1074</v>
      </c>
      <c r="AJ1149" s="46" t="s">
        <v>376</v>
      </c>
      <c r="AK1149" s="46" t="s">
        <v>658</v>
      </c>
      <c r="AL1149" s="46" t="s">
        <v>1017</v>
      </c>
      <c r="AM1149" s="46" t="s">
        <v>1018</v>
      </c>
      <c r="AN1149" s="46" t="s">
        <v>376</v>
      </c>
      <c r="AO1149" s="46" t="s">
        <v>658</v>
      </c>
      <c r="AP1149" s="46"/>
      <c r="AQ1149" s="46">
        <v>2</v>
      </c>
      <c r="AR1149" s="46"/>
      <c r="AS1149" s="46"/>
      <c r="AT1149" s="46"/>
      <c r="AU1149" s="46" t="s">
        <v>376</v>
      </c>
      <c r="AV1149" s="46"/>
      <c r="AW1149" s="46" t="s">
        <v>30</v>
      </c>
      <c r="AX1149" s="46"/>
      <c r="AY1149" s="46"/>
      <c r="AZ1149" s="46" t="s">
        <v>30</v>
      </c>
      <c r="BA1149" s="54"/>
      <c r="BB1149" s="51"/>
      <c r="BC1149" s="46"/>
      <c r="BD1149" s="46"/>
      <c r="BE1149" s="46"/>
      <c r="BF1149" s="46">
        <v>1</v>
      </c>
      <c r="BG1149" s="46">
        <v>1</v>
      </c>
      <c r="BH1149" s="46">
        <v>1</v>
      </c>
      <c r="BI1149" s="46" t="s">
        <v>1072</v>
      </c>
      <c r="BJ1149" s="46" t="s">
        <v>813</v>
      </c>
      <c r="BK1149" s="46">
        <v>1992</v>
      </c>
      <c r="BL1149" s="46" t="str">
        <f>BK1149&amp;BI1149</f>
        <v>1992Nottingham Forest</v>
      </c>
      <c r="BM1149" s="52" t="str">
        <f>IF(AD1149="Home",BI1149,IF(AD1149="Away",BJ1149,Q1149))</f>
        <v>Tottenham Hotspur</v>
      </c>
      <c r="BN1149" s="46"/>
      <c r="BO1149" s="46"/>
      <c r="BP1149" s="46"/>
      <c r="BQ1149" s="46"/>
      <c r="BR1149" s="46"/>
      <c r="BS1149" s="46"/>
      <c r="BT1149" s="46"/>
      <c r="BU1149" s="46"/>
      <c r="BV1149" s="46" t="s">
        <v>376</v>
      </c>
      <c r="BW1149" s="46" t="s">
        <v>376</v>
      </c>
      <c r="BX1149" s="46"/>
      <c r="BY1149" s="52"/>
      <c r="BZ1149" s="53"/>
      <c r="CA1149" s="53"/>
      <c r="CB1149" s="93" t="str">
        <f>IF(OR(C1149="",A1149="",B1149=""),"",TEXT(C1149,"0000")&amp;TEXT(A1149,"00")&amp;TEXT(B1149,"00"))</f>
        <v>19920301</v>
      </c>
    </row>
    <row r="1150" spans="1:80" s="35" customFormat="1" ht="12.95" customHeight="1" x14ac:dyDescent="0.2">
      <c r="A1150" s="46">
        <v>3</v>
      </c>
      <c r="B1150" s="46">
        <v>4</v>
      </c>
      <c r="C1150" s="46">
        <v>1992</v>
      </c>
      <c r="D1150" s="46" t="s">
        <v>658</v>
      </c>
      <c r="E1150" s="46" t="s">
        <v>465</v>
      </c>
      <c r="F1150" s="54" t="s">
        <v>1327</v>
      </c>
      <c r="G1150" s="46"/>
      <c r="H1150" s="54" t="s">
        <v>1011</v>
      </c>
      <c r="I1150" s="54">
        <v>1</v>
      </c>
      <c r="J1150" s="55">
        <v>33667</v>
      </c>
      <c r="K1150" s="46" t="s">
        <v>1366</v>
      </c>
      <c r="L1150" s="46" t="s">
        <v>1014</v>
      </c>
      <c r="M1150" s="46" t="s">
        <v>821</v>
      </c>
      <c r="N1150" s="49">
        <v>0</v>
      </c>
      <c r="O1150" s="49">
        <v>0</v>
      </c>
      <c r="P1150" s="54" t="s">
        <v>1367</v>
      </c>
      <c r="Q1150" s="54" t="s">
        <v>1366</v>
      </c>
      <c r="R1150" s="54" t="s">
        <v>376</v>
      </c>
      <c r="S1150" s="46"/>
      <c r="T1150" s="46"/>
      <c r="U1150" s="46"/>
      <c r="V1150" s="46"/>
      <c r="W1150" s="46"/>
      <c r="X1150" s="46"/>
      <c r="Y1150" s="46"/>
      <c r="Z1150" s="46"/>
      <c r="AA1150" s="46"/>
      <c r="AB1150" s="46"/>
      <c r="AC1150" s="46"/>
      <c r="AD1150" s="46" t="s">
        <v>1033</v>
      </c>
      <c r="AE1150" s="50">
        <f>IF(L1150="W",1,0)</f>
        <v>0</v>
      </c>
      <c r="AF1150" s="50">
        <f>IF(L1150="T",1,0)</f>
        <v>1</v>
      </c>
      <c r="AG1150" s="50">
        <f>IF(L1150="L",1,0)</f>
        <v>0</v>
      </c>
      <c r="AH1150" s="46" t="s">
        <v>1366</v>
      </c>
      <c r="AI1150" s="46" t="s">
        <v>1317</v>
      </c>
      <c r="AJ1150" s="46" t="s">
        <v>376</v>
      </c>
      <c r="AK1150" s="46" t="s">
        <v>658</v>
      </c>
      <c r="AL1150" s="46" t="s">
        <v>1101</v>
      </c>
      <c r="AM1150" s="46" t="s">
        <v>1159</v>
      </c>
      <c r="AN1150" s="46" t="s">
        <v>376</v>
      </c>
      <c r="AO1150" s="46" t="s">
        <v>658</v>
      </c>
      <c r="AP1150" s="46"/>
      <c r="AQ1150" s="46">
        <v>2</v>
      </c>
      <c r="AR1150" s="46"/>
      <c r="AS1150" s="46"/>
      <c r="AT1150" s="46"/>
      <c r="AU1150" s="46" t="s">
        <v>376</v>
      </c>
      <c r="AV1150" s="46"/>
      <c r="AW1150" s="46" t="s">
        <v>30</v>
      </c>
      <c r="AX1150" s="46"/>
      <c r="AY1150" s="46"/>
      <c r="AZ1150" s="46" t="s">
        <v>30</v>
      </c>
      <c r="BA1150" s="54"/>
      <c r="BB1150" s="51"/>
      <c r="BC1150" s="46"/>
      <c r="BD1150" s="46"/>
      <c r="BE1150" s="46"/>
      <c r="BF1150" s="46">
        <v>1</v>
      </c>
      <c r="BG1150" s="46">
        <v>2</v>
      </c>
      <c r="BH1150" s="46">
        <v>1</v>
      </c>
      <c r="BI1150" s="46" t="s">
        <v>1366</v>
      </c>
      <c r="BJ1150" s="46" t="s">
        <v>821</v>
      </c>
      <c r="BK1150" s="46">
        <v>1992</v>
      </c>
      <c r="BL1150" s="46" t="str">
        <f>BK1150&amp;BI1150</f>
        <v>1992Middlesbrough</v>
      </c>
      <c r="BM1150" s="52" t="str">
        <f>IF(AD1150="Home",BI1150,IF(AD1150="Away",BJ1150,Q1150))</f>
        <v>Middlesbrough</v>
      </c>
      <c r="BN1150" s="46"/>
      <c r="BO1150" s="46"/>
      <c r="BP1150" s="46"/>
      <c r="BQ1150" s="46"/>
      <c r="BR1150" s="46"/>
      <c r="BS1150" s="46"/>
      <c r="BT1150" s="46"/>
      <c r="BU1150" s="46"/>
      <c r="BV1150" s="46" t="s">
        <v>376</v>
      </c>
      <c r="BW1150" s="46" t="s">
        <v>376</v>
      </c>
      <c r="BX1150" s="46"/>
      <c r="BY1150" s="52"/>
      <c r="BZ1150" s="53"/>
      <c r="CA1150" s="53"/>
      <c r="CB1150" s="93" t="str">
        <f>IF(OR(C1150="",A1150="",B1150=""),"",TEXT(C1150,"0000")&amp;TEXT(A1150,"00")&amp;TEXT(B1150,"00"))</f>
        <v>19920304</v>
      </c>
    </row>
    <row r="1151" spans="1:80" s="35" customFormat="1" ht="12.95" customHeight="1" x14ac:dyDescent="0.2">
      <c r="A1151" s="46">
        <v>3</v>
      </c>
      <c r="B1151" s="46">
        <v>4</v>
      </c>
      <c r="C1151" s="46">
        <v>1992</v>
      </c>
      <c r="D1151" s="46" t="s">
        <v>658</v>
      </c>
      <c r="E1151" s="46" t="s">
        <v>465</v>
      </c>
      <c r="F1151" s="54" t="s">
        <v>1327</v>
      </c>
      <c r="G1151" s="46"/>
      <c r="H1151" s="54" t="s">
        <v>1011</v>
      </c>
      <c r="I1151" s="54">
        <v>1</v>
      </c>
      <c r="J1151" s="55">
        <v>33667</v>
      </c>
      <c r="K1151" s="46" t="s">
        <v>821</v>
      </c>
      <c r="L1151" s="46" t="s">
        <v>1014</v>
      </c>
      <c r="M1151" s="46" t="s">
        <v>1366</v>
      </c>
      <c r="N1151" s="49">
        <v>0</v>
      </c>
      <c r="O1151" s="49">
        <v>0</v>
      </c>
      <c r="P1151" s="54" t="s">
        <v>1367</v>
      </c>
      <c r="Q1151" s="54" t="s">
        <v>1366</v>
      </c>
      <c r="R1151" s="54" t="s">
        <v>376</v>
      </c>
      <c r="S1151" s="46"/>
      <c r="T1151" s="46"/>
      <c r="U1151" s="46"/>
      <c r="V1151" s="46"/>
      <c r="W1151" s="46"/>
      <c r="X1151" s="46"/>
      <c r="Y1151" s="46"/>
      <c r="Z1151" s="46"/>
      <c r="AA1151" s="46"/>
      <c r="AB1151" s="46"/>
      <c r="AC1151" s="46"/>
      <c r="AD1151" s="46" t="s">
        <v>1037</v>
      </c>
      <c r="AE1151" s="50">
        <f>IF(L1151="W",1,0)</f>
        <v>0</v>
      </c>
      <c r="AF1151" s="50">
        <f>IF(L1151="T",1,0)</f>
        <v>1</v>
      </c>
      <c r="AG1151" s="50">
        <f>IF(L1151="L",1,0)</f>
        <v>0</v>
      </c>
      <c r="AH1151" s="46" t="s">
        <v>1101</v>
      </c>
      <c r="AI1151" s="46" t="s">
        <v>1159</v>
      </c>
      <c r="AJ1151" s="46" t="s">
        <v>376</v>
      </c>
      <c r="AK1151" s="46" t="s">
        <v>658</v>
      </c>
      <c r="AL1151" s="46" t="s">
        <v>1366</v>
      </c>
      <c r="AM1151" s="46" t="s">
        <v>1317</v>
      </c>
      <c r="AN1151" s="46" t="s">
        <v>376</v>
      </c>
      <c r="AO1151" s="46" t="s">
        <v>658</v>
      </c>
      <c r="AP1151" s="46"/>
      <c r="AQ1151" s="46">
        <v>2</v>
      </c>
      <c r="AR1151" s="46"/>
      <c r="AS1151" s="46"/>
      <c r="AT1151" s="46"/>
      <c r="AU1151" s="46" t="s">
        <v>376</v>
      </c>
      <c r="AV1151" s="46"/>
      <c r="AW1151" s="46" t="s">
        <v>30</v>
      </c>
      <c r="AX1151" s="46"/>
      <c r="AY1151" s="46"/>
      <c r="AZ1151" s="46" t="s">
        <v>30</v>
      </c>
      <c r="BA1151" s="54"/>
      <c r="BB1151" s="51"/>
      <c r="BC1151" s="46"/>
      <c r="BD1151" s="46"/>
      <c r="BE1151" s="46"/>
      <c r="BF1151" s="46">
        <v>1</v>
      </c>
      <c r="BG1151" s="46">
        <v>1</v>
      </c>
      <c r="BH1151" s="46">
        <v>2</v>
      </c>
      <c r="BI1151" s="46" t="s">
        <v>821</v>
      </c>
      <c r="BJ1151" s="46" t="s">
        <v>1366</v>
      </c>
      <c r="BK1151" s="46">
        <v>1992</v>
      </c>
      <c r="BL1151" s="46" t="str">
        <f>BK1151&amp;BI1151</f>
        <v>1992Manchester United</v>
      </c>
      <c r="BM1151" s="52" t="str">
        <f>IF(AD1151="Home",BI1151,IF(AD1151="Away",BJ1151,Q1151))</f>
        <v>Middlesbrough</v>
      </c>
      <c r="BN1151" s="46"/>
      <c r="BO1151" s="46"/>
      <c r="BP1151" s="46"/>
      <c r="BQ1151" s="46"/>
      <c r="BR1151" s="46"/>
      <c r="BS1151" s="46"/>
      <c r="BT1151" s="46"/>
      <c r="BU1151" s="46"/>
      <c r="BV1151" s="46" t="s">
        <v>376</v>
      </c>
      <c r="BW1151" s="46" t="s">
        <v>376</v>
      </c>
      <c r="BX1151" s="46"/>
      <c r="BY1151" s="52"/>
      <c r="BZ1151" s="53"/>
      <c r="CA1151" s="53"/>
      <c r="CB1151" s="93" t="str">
        <f>IF(OR(C1151="",A1151="",B1151=""),"",TEXT(C1151,"0000")&amp;TEXT(A1151,"00")&amp;TEXT(B1151,"00"))</f>
        <v>19920304</v>
      </c>
    </row>
    <row r="1152" spans="1:80" s="35" customFormat="1" ht="12.95" customHeight="1" x14ac:dyDescent="0.2">
      <c r="A1152" s="46">
        <v>3</v>
      </c>
      <c r="B1152" s="46">
        <v>11</v>
      </c>
      <c r="C1152" s="46">
        <v>1992</v>
      </c>
      <c r="D1152" s="46" t="s">
        <v>658</v>
      </c>
      <c r="E1152" s="46" t="s">
        <v>465</v>
      </c>
      <c r="F1152" s="54" t="s">
        <v>1327</v>
      </c>
      <c r="G1152" s="46"/>
      <c r="H1152" s="54" t="s">
        <v>1011</v>
      </c>
      <c r="I1152" s="54">
        <v>2</v>
      </c>
      <c r="J1152" s="55">
        <v>33674</v>
      </c>
      <c r="K1152" s="46" t="s">
        <v>821</v>
      </c>
      <c r="L1152" s="46" t="s">
        <v>3</v>
      </c>
      <c r="M1152" s="46" t="s">
        <v>1366</v>
      </c>
      <c r="N1152" s="49">
        <v>2</v>
      </c>
      <c r="O1152" s="49">
        <v>1</v>
      </c>
      <c r="P1152" s="54" t="s">
        <v>1246</v>
      </c>
      <c r="Q1152" s="54" t="s">
        <v>1101</v>
      </c>
      <c r="R1152" s="54" t="s">
        <v>376</v>
      </c>
      <c r="S1152" s="46"/>
      <c r="T1152" s="46"/>
      <c r="U1152" s="46"/>
      <c r="V1152" s="46"/>
      <c r="W1152" s="46"/>
      <c r="X1152" s="46"/>
      <c r="Y1152" s="46"/>
      <c r="Z1152" s="46"/>
      <c r="AA1152" s="46"/>
      <c r="AB1152" s="46"/>
      <c r="AC1152" s="46"/>
      <c r="AD1152" s="46" t="s">
        <v>1033</v>
      </c>
      <c r="AE1152" s="50">
        <f>IF(L1152="W",1,0)</f>
        <v>1</v>
      </c>
      <c r="AF1152" s="50">
        <f>IF(L1152="T",1,0)</f>
        <v>0</v>
      </c>
      <c r="AG1152" s="50">
        <f>IF(L1152="L",1,0)</f>
        <v>0</v>
      </c>
      <c r="AH1152" s="46" t="s">
        <v>1101</v>
      </c>
      <c r="AI1152" s="46" t="s">
        <v>1159</v>
      </c>
      <c r="AJ1152" s="46" t="s">
        <v>376</v>
      </c>
      <c r="AK1152" s="46" t="s">
        <v>658</v>
      </c>
      <c r="AL1152" s="46" t="s">
        <v>1366</v>
      </c>
      <c r="AM1152" s="46" t="s">
        <v>1317</v>
      </c>
      <c r="AN1152" s="46" t="s">
        <v>376</v>
      </c>
      <c r="AO1152" s="46" t="s">
        <v>658</v>
      </c>
      <c r="AP1152" s="46"/>
      <c r="AQ1152" s="46">
        <v>2</v>
      </c>
      <c r="AR1152" s="46"/>
      <c r="AS1152" s="46"/>
      <c r="AT1152" s="46"/>
      <c r="AU1152" s="46" t="s">
        <v>376</v>
      </c>
      <c r="AV1152" s="46"/>
      <c r="AW1152" s="46" t="s">
        <v>30</v>
      </c>
      <c r="AX1152" s="46"/>
      <c r="AY1152" s="46"/>
      <c r="AZ1152" s="46" t="s">
        <v>30</v>
      </c>
      <c r="BA1152" s="54"/>
      <c r="BB1152" s="51"/>
      <c r="BC1152" s="46"/>
      <c r="BD1152" s="46"/>
      <c r="BE1152" s="46"/>
      <c r="BF1152" s="46">
        <v>1</v>
      </c>
      <c r="BG1152" s="46">
        <v>1</v>
      </c>
      <c r="BH1152" s="46">
        <v>2</v>
      </c>
      <c r="BI1152" s="46" t="s">
        <v>821</v>
      </c>
      <c r="BJ1152" s="46" t="s">
        <v>1366</v>
      </c>
      <c r="BK1152" s="46">
        <v>1992</v>
      </c>
      <c r="BL1152" s="46" t="str">
        <f>BK1152&amp;BI1152</f>
        <v>1992Manchester United</v>
      </c>
      <c r="BM1152" s="52" t="str">
        <f>IF(AD1152="Home",BI1152,IF(AD1152="Away",BJ1152,Q1152))</f>
        <v>Manchester United</v>
      </c>
      <c r="BN1152" s="46"/>
      <c r="BO1152" s="46"/>
      <c r="BP1152" s="46"/>
      <c r="BQ1152" s="46"/>
      <c r="BR1152" s="46"/>
      <c r="BS1152" s="46"/>
      <c r="BT1152" s="46"/>
      <c r="BU1152" s="46"/>
      <c r="BV1152" s="46" t="s">
        <v>376</v>
      </c>
      <c r="BW1152" s="46" t="s">
        <v>376</v>
      </c>
      <c r="BX1152" s="46"/>
      <c r="BY1152" s="52"/>
      <c r="BZ1152" s="53"/>
      <c r="CA1152" s="53"/>
      <c r="CB1152" s="93" t="str">
        <f>IF(OR(C1152="",A1152="",B1152=""),"",TEXT(C1152,"0000")&amp;TEXT(A1152,"00")&amp;TEXT(B1152,"00"))</f>
        <v>19920311</v>
      </c>
    </row>
    <row r="1153" spans="1:80" s="35" customFormat="1" ht="12.95" customHeight="1" x14ac:dyDescent="0.2">
      <c r="A1153" s="46">
        <v>3</v>
      </c>
      <c r="B1153" s="46">
        <v>11</v>
      </c>
      <c r="C1153" s="46">
        <v>1992</v>
      </c>
      <c r="D1153" s="46" t="s">
        <v>658</v>
      </c>
      <c r="E1153" s="46" t="s">
        <v>465</v>
      </c>
      <c r="F1153" s="54" t="s">
        <v>1327</v>
      </c>
      <c r="G1153" s="46"/>
      <c r="H1153" s="54" t="s">
        <v>1011</v>
      </c>
      <c r="I1153" s="54">
        <v>2</v>
      </c>
      <c r="J1153" s="55">
        <v>33674</v>
      </c>
      <c r="K1153" s="46" t="s">
        <v>1366</v>
      </c>
      <c r="L1153" s="46" t="s">
        <v>4</v>
      </c>
      <c r="M1153" s="46" t="s">
        <v>821</v>
      </c>
      <c r="N1153" s="49">
        <v>1</v>
      </c>
      <c r="O1153" s="49">
        <v>2</v>
      </c>
      <c r="P1153" s="54" t="s">
        <v>1246</v>
      </c>
      <c r="Q1153" s="54" t="s">
        <v>1101</v>
      </c>
      <c r="R1153" s="54" t="s">
        <v>376</v>
      </c>
      <c r="S1153" s="46"/>
      <c r="T1153" s="46"/>
      <c r="U1153" s="46"/>
      <c r="V1153" s="46"/>
      <c r="W1153" s="46"/>
      <c r="X1153" s="46"/>
      <c r="Y1153" s="46"/>
      <c r="Z1153" s="46"/>
      <c r="AA1153" s="46"/>
      <c r="AB1153" s="46"/>
      <c r="AC1153" s="46"/>
      <c r="AD1153" s="46" t="s">
        <v>1037</v>
      </c>
      <c r="AE1153" s="50">
        <f>IF(L1153="W",1,0)</f>
        <v>0</v>
      </c>
      <c r="AF1153" s="50">
        <f>IF(L1153="T",1,0)</f>
        <v>0</v>
      </c>
      <c r="AG1153" s="50">
        <f>IF(L1153="L",1,0)</f>
        <v>1</v>
      </c>
      <c r="AH1153" s="46" t="s">
        <v>1366</v>
      </c>
      <c r="AI1153" s="46" t="s">
        <v>1317</v>
      </c>
      <c r="AJ1153" s="46" t="s">
        <v>376</v>
      </c>
      <c r="AK1153" s="46" t="s">
        <v>658</v>
      </c>
      <c r="AL1153" s="46" t="s">
        <v>1101</v>
      </c>
      <c r="AM1153" s="46" t="s">
        <v>1159</v>
      </c>
      <c r="AN1153" s="46" t="s">
        <v>376</v>
      </c>
      <c r="AO1153" s="46" t="s">
        <v>658</v>
      </c>
      <c r="AP1153" s="46"/>
      <c r="AQ1153" s="46">
        <v>2</v>
      </c>
      <c r="AR1153" s="46"/>
      <c r="AS1153" s="46"/>
      <c r="AT1153" s="46"/>
      <c r="AU1153" s="46" t="s">
        <v>376</v>
      </c>
      <c r="AV1153" s="46"/>
      <c r="AW1153" s="46" t="s">
        <v>30</v>
      </c>
      <c r="AX1153" s="46"/>
      <c r="AY1153" s="46"/>
      <c r="AZ1153" s="46" t="s">
        <v>30</v>
      </c>
      <c r="BA1153" s="54"/>
      <c r="BB1153" s="51"/>
      <c r="BC1153" s="46"/>
      <c r="BD1153" s="46"/>
      <c r="BE1153" s="46"/>
      <c r="BF1153" s="46">
        <v>1</v>
      </c>
      <c r="BG1153" s="46">
        <v>2</v>
      </c>
      <c r="BH1153" s="46">
        <v>1</v>
      </c>
      <c r="BI1153" s="46" t="s">
        <v>1366</v>
      </c>
      <c r="BJ1153" s="46" t="s">
        <v>821</v>
      </c>
      <c r="BK1153" s="46">
        <v>1992</v>
      </c>
      <c r="BL1153" s="46" t="str">
        <f>BK1153&amp;BI1153</f>
        <v>1992Middlesbrough</v>
      </c>
      <c r="BM1153" s="52" t="str">
        <f>IF(AD1153="Home",BI1153,IF(AD1153="Away",BJ1153,Q1153))</f>
        <v>Manchester United</v>
      </c>
      <c r="BN1153" s="46"/>
      <c r="BO1153" s="46"/>
      <c r="BP1153" s="46"/>
      <c r="BQ1153" s="46"/>
      <c r="BR1153" s="46"/>
      <c r="BS1153" s="46"/>
      <c r="BT1153" s="46"/>
      <c r="BU1153" s="46"/>
      <c r="BV1153" s="46" t="s">
        <v>376</v>
      </c>
      <c r="BW1153" s="46" t="s">
        <v>376</v>
      </c>
      <c r="BX1153" s="46"/>
      <c r="BY1153" s="52"/>
      <c r="BZ1153" s="53"/>
      <c r="CA1153" s="53"/>
      <c r="CB1153" s="93" t="str">
        <f>IF(OR(C1153="",A1153="",B1153=""),"",TEXT(C1153,"0000")&amp;TEXT(A1153,"00")&amp;TEXT(B1153,"00"))</f>
        <v>19920311</v>
      </c>
    </row>
    <row r="1154" spans="1:80" s="35" customFormat="1" ht="12.95" customHeight="1" x14ac:dyDescent="0.2">
      <c r="A1154" s="46">
        <v>4</v>
      </c>
      <c r="B1154" s="46">
        <v>5</v>
      </c>
      <c r="C1154" s="46">
        <v>1992</v>
      </c>
      <c r="D1154" s="46" t="s">
        <v>658</v>
      </c>
      <c r="E1154" s="46" t="s">
        <v>465</v>
      </c>
      <c r="F1154" s="47" t="s">
        <v>1010</v>
      </c>
      <c r="G1154" s="46"/>
      <c r="H1154" s="47" t="s">
        <v>1011</v>
      </c>
      <c r="I1154" s="47"/>
      <c r="J1154" s="48">
        <v>33699</v>
      </c>
      <c r="K1154" s="46" t="s">
        <v>1280</v>
      </c>
      <c r="L1154" s="46" t="s">
        <v>1014</v>
      </c>
      <c r="M1154" s="46" t="s">
        <v>588</v>
      </c>
      <c r="N1154" s="49">
        <v>1</v>
      </c>
      <c r="O1154" s="49">
        <v>1</v>
      </c>
      <c r="P1154" s="47" t="s">
        <v>1281</v>
      </c>
      <c r="Q1154" s="47" t="s">
        <v>1017</v>
      </c>
      <c r="R1154" s="47" t="s">
        <v>376</v>
      </c>
      <c r="S1154" s="46"/>
      <c r="T1154" s="46"/>
      <c r="U1154" s="46"/>
      <c r="V1154" s="46"/>
      <c r="W1154" s="46"/>
      <c r="X1154" s="46"/>
      <c r="Y1154" s="46"/>
      <c r="Z1154" s="46"/>
      <c r="AA1154" s="46"/>
      <c r="AB1154" s="46"/>
      <c r="AC1154" s="46"/>
      <c r="AD1154" s="46"/>
      <c r="AE1154" s="50">
        <f>IF(L1154="W",1,0)</f>
        <v>0</v>
      </c>
      <c r="AF1154" s="50">
        <f>IF(L1154="T",1,0)</f>
        <v>1</v>
      </c>
      <c r="AG1154" s="50">
        <f>IF(L1154="L",1,0)</f>
        <v>0</v>
      </c>
      <c r="AH1154" s="46" t="s">
        <v>1280</v>
      </c>
      <c r="AI1154" s="46" t="s">
        <v>1199</v>
      </c>
      <c r="AJ1154" s="46" t="s">
        <v>376</v>
      </c>
      <c r="AK1154" s="46" t="s">
        <v>658</v>
      </c>
      <c r="AL1154" s="46" t="s">
        <v>588</v>
      </c>
      <c r="AM1154" s="46" t="s">
        <v>1175</v>
      </c>
      <c r="AN1154" s="46" t="s">
        <v>376</v>
      </c>
      <c r="AO1154" s="46" t="s">
        <v>658</v>
      </c>
      <c r="AP1154" s="46"/>
      <c r="AQ1154" s="46">
        <v>2</v>
      </c>
      <c r="AR1154" s="46"/>
      <c r="AS1154" s="46"/>
      <c r="AT1154" s="46"/>
      <c r="AU1154" s="46" t="s">
        <v>376</v>
      </c>
      <c r="AV1154" s="46"/>
      <c r="AW1154" s="46" t="s">
        <v>30</v>
      </c>
      <c r="AX1154" s="46"/>
      <c r="AY1154" s="46" t="s">
        <v>30</v>
      </c>
      <c r="AZ1154" s="46"/>
      <c r="BA1154" s="47"/>
      <c r="BB1154" s="51"/>
      <c r="BC1154" s="46"/>
      <c r="BD1154" s="46"/>
      <c r="BE1154" s="46"/>
      <c r="BF1154" s="46">
        <v>1</v>
      </c>
      <c r="BG1154" s="46">
        <v>2</v>
      </c>
      <c r="BH1154" s="46">
        <v>1</v>
      </c>
      <c r="BI1154" s="46" t="s">
        <v>1280</v>
      </c>
      <c r="BJ1154" s="46" t="s">
        <v>588</v>
      </c>
      <c r="BK1154" s="46">
        <v>1992</v>
      </c>
      <c r="BL1154" s="46" t="str">
        <f>BK1154&amp;BI1154</f>
        <v>1992Portsmouth</v>
      </c>
      <c r="BM1154" s="52" t="str">
        <f>IF(AD1154="Home",BI1154,IF(AD1154="Away",BJ1154,Q1154))</f>
        <v>London</v>
      </c>
      <c r="BN1154" s="46"/>
      <c r="BO1154" s="46"/>
      <c r="BP1154" s="46"/>
      <c r="BQ1154" s="46"/>
      <c r="BR1154" s="46"/>
      <c r="BS1154" s="46"/>
      <c r="BT1154" s="46"/>
      <c r="BU1154" s="46"/>
      <c r="BV1154" s="46" t="s">
        <v>376</v>
      </c>
      <c r="BW1154" s="46" t="s">
        <v>376</v>
      </c>
      <c r="BX1154" s="46"/>
      <c r="BY1154" s="52"/>
      <c r="BZ1154" s="53"/>
      <c r="CA1154" s="53"/>
      <c r="CB1154" s="93" t="str">
        <f>IF(OR(C1154="",A1154="",B1154=""),"",TEXT(C1154,"0000")&amp;TEXT(A1154,"00")&amp;TEXT(B1154,"00"))</f>
        <v>19920405</v>
      </c>
    </row>
    <row r="1155" spans="1:80" s="35" customFormat="1" ht="12.95" customHeight="1" x14ac:dyDescent="0.2">
      <c r="A1155" s="46">
        <v>4</v>
      </c>
      <c r="B1155" s="46">
        <v>5</v>
      </c>
      <c r="C1155" s="46">
        <v>1992</v>
      </c>
      <c r="D1155" s="46" t="s">
        <v>658</v>
      </c>
      <c r="E1155" s="46" t="s">
        <v>465</v>
      </c>
      <c r="F1155" s="47" t="s">
        <v>1010</v>
      </c>
      <c r="G1155" s="46"/>
      <c r="H1155" s="47" t="s">
        <v>1011</v>
      </c>
      <c r="I1155" s="47"/>
      <c r="J1155" s="48">
        <v>33699</v>
      </c>
      <c r="K1155" s="46" t="s">
        <v>588</v>
      </c>
      <c r="L1155" s="46" t="s">
        <v>1014</v>
      </c>
      <c r="M1155" s="46" t="s">
        <v>1280</v>
      </c>
      <c r="N1155" s="49">
        <v>1</v>
      </c>
      <c r="O1155" s="49">
        <v>1</v>
      </c>
      <c r="P1155" s="47" t="s">
        <v>1281</v>
      </c>
      <c r="Q1155" s="47" t="s">
        <v>1017</v>
      </c>
      <c r="R1155" s="47" t="s">
        <v>376</v>
      </c>
      <c r="S1155" s="46"/>
      <c r="T1155" s="46"/>
      <c r="U1155" s="46"/>
      <c r="V1155" s="46"/>
      <c r="W1155" s="46"/>
      <c r="X1155" s="46"/>
      <c r="Y1155" s="46"/>
      <c r="Z1155" s="46"/>
      <c r="AA1155" s="46"/>
      <c r="AB1155" s="46"/>
      <c r="AC1155" s="46"/>
      <c r="AD1155" s="46"/>
      <c r="AE1155" s="50">
        <f>IF(L1155="W",1,0)</f>
        <v>0</v>
      </c>
      <c r="AF1155" s="50">
        <f>IF(L1155="T",1,0)</f>
        <v>1</v>
      </c>
      <c r="AG1155" s="50">
        <f>IF(L1155="L",1,0)</f>
        <v>0</v>
      </c>
      <c r="AH1155" s="46" t="s">
        <v>588</v>
      </c>
      <c r="AI1155" s="46" t="s">
        <v>1175</v>
      </c>
      <c r="AJ1155" s="46" t="s">
        <v>376</v>
      </c>
      <c r="AK1155" s="46" t="s">
        <v>658</v>
      </c>
      <c r="AL1155" s="46" t="s">
        <v>1280</v>
      </c>
      <c r="AM1155" s="46" t="s">
        <v>1199</v>
      </c>
      <c r="AN1155" s="46" t="s">
        <v>376</v>
      </c>
      <c r="AO1155" s="46" t="s">
        <v>658</v>
      </c>
      <c r="AP1155" s="46"/>
      <c r="AQ1155" s="46">
        <v>2</v>
      </c>
      <c r="AR1155" s="46"/>
      <c r="AS1155" s="46"/>
      <c r="AT1155" s="46"/>
      <c r="AU1155" s="46" t="s">
        <v>376</v>
      </c>
      <c r="AV1155" s="46"/>
      <c r="AW1155" s="46" t="s">
        <v>30</v>
      </c>
      <c r="AX1155" s="46"/>
      <c r="AY1155" s="46" t="s">
        <v>30</v>
      </c>
      <c r="AZ1155" s="46"/>
      <c r="BA1155" s="47"/>
      <c r="BB1155" s="51"/>
      <c r="BC1155" s="46"/>
      <c r="BD1155" s="46"/>
      <c r="BE1155" s="46"/>
      <c r="BF1155" s="46">
        <v>1</v>
      </c>
      <c r="BG1155" s="46">
        <v>1</v>
      </c>
      <c r="BH1155" s="46">
        <v>2</v>
      </c>
      <c r="BI1155" s="46" t="s">
        <v>588</v>
      </c>
      <c r="BJ1155" s="46" t="s">
        <v>1280</v>
      </c>
      <c r="BK1155" s="46">
        <v>1992</v>
      </c>
      <c r="BL1155" s="46" t="str">
        <f>BK1155&amp;BI1155</f>
        <v>1992Liverpool</v>
      </c>
      <c r="BM1155" s="52" t="str">
        <f>IF(AD1155="Home",BI1155,IF(AD1155="Away",BJ1155,Q1155))</f>
        <v>London</v>
      </c>
      <c r="BN1155" s="46"/>
      <c r="BO1155" s="46"/>
      <c r="BP1155" s="46"/>
      <c r="BQ1155" s="46"/>
      <c r="BR1155" s="46"/>
      <c r="BS1155" s="46"/>
      <c r="BT1155" s="46"/>
      <c r="BU1155" s="46"/>
      <c r="BV1155" s="46" t="s">
        <v>376</v>
      </c>
      <c r="BW1155" s="46" t="s">
        <v>376</v>
      </c>
      <c r="BX1155" s="46"/>
      <c r="BY1155" s="52"/>
      <c r="BZ1155" s="53"/>
      <c r="CA1155" s="53"/>
      <c r="CB1155" s="93" t="str">
        <f>IF(OR(C1155="",A1155="",B1155=""),"",TEXT(C1155,"0000")&amp;TEXT(A1155,"00")&amp;TEXT(B1155,"00"))</f>
        <v>19920405</v>
      </c>
    </row>
    <row r="1156" spans="1:80" s="35" customFormat="1" ht="12.95" customHeight="1" x14ac:dyDescent="0.2">
      <c r="A1156" s="46">
        <v>4</v>
      </c>
      <c r="B1156" s="46">
        <v>5</v>
      </c>
      <c r="C1156" s="46">
        <v>1992</v>
      </c>
      <c r="D1156" s="46" t="s">
        <v>658</v>
      </c>
      <c r="E1156" s="46" t="s">
        <v>465</v>
      </c>
      <c r="F1156" s="47" t="s">
        <v>1010</v>
      </c>
      <c r="G1156" s="46"/>
      <c r="H1156" s="47" t="s">
        <v>1011</v>
      </c>
      <c r="I1156" s="47"/>
      <c r="J1156" s="48">
        <v>33699</v>
      </c>
      <c r="K1156" s="46" t="s">
        <v>793</v>
      </c>
      <c r="L1156" s="46" t="s">
        <v>3</v>
      </c>
      <c r="M1156" s="46" t="s">
        <v>1321</v>
      </c>
      <c r="N1156" s="49">
        <v>1</v>
      </c>
      <c r="O1156" s="49">
        <v>0</v>
      </c>
      <c r="P1156" s="47" t="s">
        <v>1252</v>
      </c>
      <c r="Q1156" s="47" t="s">
        <v>1097</v>
      </c>
      <c r="R1156" s="47" t="s">
        <v>376</v>
      </c>
      <c r="S1156" s="46"/>
      <c r="T1156" s="46"/>
      <c r="U1156" s="46"/>
      <c r="V1156" s="46"/>
      <c r="W1156" s="46"/>
      <c r="X1156" s="46"/>
      <c r="Y1156" s="46"/>
      <c r="Z1156" s="46"/>
      <c r="AA1156" s="46"/>
      <c r="AB1156" s="46"/>
      <c r="AC1156" s="46"/>
      <c r="AD1156" s="46"/>
      <c r="AE1156" s="50">
        <f>IF(L1156="W",1,0)</f>
        <v>1</v>
      </c>
      <c r="AF1156" s="50">
        <f>IF(L1156="T",1,0)</f>
        <v>0</v>
      </c>
      <c r="AG1156" s="50">
        <f>IF(L1156="L",1,0)</f>
        <v>0</v>
      </c>
      <c r="AH1156" s="46" t="s">
        <v>793</v>
      </c>
      <c r="AI1156" s="46" t="s">
        <v>1164</v>
      </c>
      <c r="AJ1156" s="46" t="s">
        <v>376</v>
      </c>
      <c r="AK1156" s="46" t="s">
        <v>658</v>
      </c>
      <c r="AL1156" s="46" t="s">
        <v>1323</v>
      </c>
      <c r="AM1156" s="46" t="s">
        <v>1324</v>
      </c>
      <c r="AN1156" s="46" t="s">
        <v>376</v>
      </c>
      <c r="AO1156" s="46" t="s">
        <v>658</v>
      </c>
      <c r="AP1156" s="46"/>
      <c r="AQ1156" s="46">
        <v>2</v>
      </c>
      <c r="AR1156" s="46"/>
      <c r="AS1156" s="46"/>
      <c r="AT1156" s="46"/>
      <c r="AU1156" s="46" t="s">
        <v>376</v>
      </c>
      <c r="AV1156" s="46"/>
      <c r="AW1156" s="46" t="s">
        <v>30</v>
      </c>
      <c r="AX1156" s="46"/>
      <c r="AY1156" s="46" t="s">
        <v>30</v>
      </c>
      <c r="AZ1156" s="46"/>
      <c r="BA1156" s="47"/>
      <c r="BB1156" s="51"/>
      <c r="BC1156" s="46"/>
      <c r="BD1156" s="46"/>
      <c r="BE1156" s="46"/>
      <c r="BF1156" s="46">
        <v>1</v>
      </c>
      <c r="BG1156" s="46">
        <v>2</v>
      </c>
      <c r="BH1156" s="46">
        <v>1</v>
      </c>
      <c r="BI1156" s="46" t="s">
        <v>793</v>
      </c>
      <c r="BJ1156" s="46" t="s">
        <v>1321</v>
      </c>
      <c r="BK1156" s="46">
        <v>1992</v>
      </c>
      <c r="BL1156" s="46" t="str">
        <f>BK1156&amp;BI1156</f>
        <v>1992Sunderland</v>
      </c>
      <c r="BM1156" s="52" t="str">
        <f>IF(AD1156="Home",BI1156,IF(AD1156="Away",BJ1156,Q1156))</f>
        <v>Sheffield</v>
      </c>
      <c r="BN1156" s="46"/>
      <c r="BO1156" s="46"/>
      <c r="BP1156" s="46"/>
      <c r="BQ1156" s="46"/>
      <c r="BR1156" s="46"/>
      <c r="BS1156" s="46"/>
      <c r="BT1156" s="46"/>
      <c r="BU1156" s="46"/>
      <c r="BV1156" s="46" t="s">
        <v>376</v>
      </c>
      <c r="BW1156" s="46" t="s">
        <v>376</v>
      </c>
      <c r="BX1156" s="46"/>
      <c r="BY1156" s="50"/>
      <c r="BZ1156" s="53"/>
      <c r="CA1156" s="53"/>
      <c r="CB1156" s="93" t="str">
        <f>IF(OR(C1156="",A1156="",B1156=""),"",TEXT(C1156,"0000")&amp;TEXT(A1156,"00")&amp;TEXT(B1156,"00"))</f>
        <v>19920405</v>
      </c>
    </row>
    <row r="1157" spans="1:80" s="35" customFormat="1" ht="12.95" customHeight="1" x14ac:dyDescent="0.2">
      <c r="A1157" s="46">
        <v>4</v>
      </c>
      <c r="B1157" s="46">
        <v>5</v>
      </c>
      <c r="C1157" s="46">
        <v>1992</v>
      </c>
      <c r="D1157" s="46" t="s">
        <v>658</v>
      </c>
      <c r="E1157" s="46" t="s">
        <v>465</v>
      </c>
      <c r="F1157" s="47" t="s">
        <v>1010</v>
      </c>
      <c r="G1157" s="46"/>
      <c r="H1157" s="47" t="s">
        <v>1011</v>
      </c>
      <c r="I1157" s="47"/>
      <c r="J1157" s="48">
        <v>33699</v>
      </c>
      <c r="K1157" s="46" t="s">
        <v>1321</v>
      </c>
      <c r="L1157" s="46" t="s">
        <v>4</v>
      </c>
      <c r="M1157" s="46" t="s">
        <v>793</v>
      </c>
      <c r="N1157" s="49">
        <v>0</v>
      </c>
      <c r="O1157" s="49">
        <v>1</v>
      </c>
      <c r="P1157" s="47" t="s">
        <v>1252</v>
      </c>
      <c r="Q1157" s="47" t="s">
        <v>1097</v>
      </c>
      <c r="R1157" s="47" t="s">
        <v>376</v>
      </c>
      <c r="S1157" s="46"/>
      <c r="T1157" s="46"/>
      <c r="U1157" s="46"/>
      <c r="V1157" s="46"/>
      <c r="W1157" s="46"/>
      <c r="X1157" s="46"/>
      <c r="Y1157" s="46"/>
      <c r="Z1157" s="46"/>
      <c r="AA1157" s="46"/>
      <c r="AB1157" s="46"/>
      <c r="AC1157" s="46"/>
      <c r="AD1157" s="46"/>
      <c r="AE1157" s="50">
        <f>IF(L1157="W",1,0)</f>
        <v>0</v>
      </c>
      <c r="AF1157" s="50">
        <f>IF(L1157="T",1,0)</f>
        <v>0</v>
      </c>
      <c r="AG1157" s="50">
        <f>IF(L1157="L",1,0)</f>
        <v>1</v>
      </c>
      <c r="AH1157" s="46" t="s">
        <v>1323</v>
      </c>
      <c r="AI1157" s="46" t="s">
        <v>1324</v>
      </c>
      <c r="AJ1157" s="46" t="s">
        <v>376</v>
      </c>
      <c r="AK1157" s="46" t="s">
        <v>658</v>
      </c>
      <c r="AL1157" s="46" t="s">
        <v>793</v>
      </c>
      <c r="AM1157" s="46" t="s">
        <v>1164</v>
      </c>
      <c r="AN1157" s="46" t="s">
        <v>376</v>
      </c>
      <c r="AO1157" s="46" t="s">
        <v>658</v>
      </c>
      <c r="AP1157" s="46"/>
      <c r="AQ1157" s="46">
        <v>2</v>
      </c>
      <c r="AR1157" s="46"/>
      <c r="AS1157" s="46"/>
      <c r="AT1157" s="46"/>
      <c r="AU1157" s="46" t="s">
        <v>376</v>
      </c>
      <c r="AV1157" s="46"/>
      <c r="AW1157" s="46" t="s">
        <v>30</v>
      </c>
      <c r="AX1157" s="46"/>
      <c r="AY1157" s="46" t="s">
        <v>30</v>
      </c>
      <c r="AZ1157" s="46"/>
      <c r="BA1157" s="47"/>
      <c r="BB1157" s="51"/>
      <c r="BC1157" s="46"/>
      <c r="BD1157" s="46"/>
      <c r="BE1157" s="46"/>
      <c r="BF1157" s="46">
        <v>1</v>
      </c>
      <c r="BG1157" s="46">
        <v>1</v>
      </c>
      <c r="BH1157" s="46">
        <v>2</v>
      </c>
      <c r="BI1157" s="46" t="s">
        <v>1321</v>
      </c>
      <c r="BJ1157" s="46" t="s">
        <v>793</v>
      </c>
      <c r="BK1157" s="46">
        <v>1992</v>
      </c>
      <c r="BL1157" s="46" t="str">
        <f>BK1157&amp;BI1157</f>
        <v>1992Norwich City</v>
      </c>
      <c r="BM1157" s="52" t="str">
        <f>IF(AD1157="Home",BI1157,IF(AD1157="Away",BJ1157,Q1157))</f>
        <v>Sheffield</v>
      </c>
      <c r="BN1157" s="46"/>
      <c r="BO1157" s="46"/>
      <c r="BP1157" s="46"/>
      <c r="BQ1157" s="46"/>
      <c r="BR1157" s="46"/>
      <c r="BS1157" s="46"/>
      <c r="BT1157" s="46"/>
      <c r="BU1157" s="46"/>
      <c r="BV1157" s="46" t="s">
        <v>376</v>
      </c>
      <c r="BW1157" s="46" t="s">
        <v>376</v>
      </c>
      <c r="BX1157" s="46"/>
      <c r="BY1157" s="50"/>
      <c r="BZ1157" s="53"/>
      <c r="CA1157" s="53"/>
      <c r="CB1157" s="93" t="str">
        <f>IF(OR(C1157="",A1157="",B1157=""),"",TEXT(C1157,"0000")&amp;TEXT(A1157,"00")&amp;TEXT(B1157,"00"))</f>
        <v>19920405</v>
      </c>
    </row>
    <row r="1158" spans="1:80" s="35" customFormat="1" ht="12.95" customHeight="1" x14ac:dyDescent="0.2">
      <c r="A1158" s="46">
        <v>4</v>
      </c>
      <c r="B1158" s="46">
        <v>12</v>
      </c>
      <c r="C1158" s="46">
        <v>1992</v>
      </c>
      <c r="D1158" s="46" t="s">
        <v>658</v>
      </c>
      <c r="E1158" s="46" t="s">
        <v>465</v>
      </c>
      <c r="F1158" s="54" t="s">
        <v>1327</v>
      </c>
      <c r="G1158" s="46"/>
      <c r="H1158" s="54" t="s">
        <v>40</v>
      </c>
      <c r="I1158" s="54"/>
      <c r="J1158" s="55">
        <v>33706</v>
      </c>
      <c r="K1158" s="46" t="s">
        <v>821</v>
      </c>
      <c r="L1158" s="46" t="s">
        <v>3</v>
      </c>
      <c r="M1158" s="46" t="s">
        <v>1072</v>
      </c>
      <c r="N1158" s="49">
        <v>1</v>
      </c>
      <c r="O1158" s="49">
        <v>0</v>
      </c>
      <c r="P1158" s="54" t="s">
        <v>1268</v>
      </c>
      <c r="Q1158" s="54" t="s">
        <v>1017</v>
      </c>
      <c r="R1158" s="54" t="s">
        <v>376</v>
      </c>
      <c r="S1158" s="46"/>
      <c r="T1158" s="46"/>
      <c r="U1158" s="46"/>
      <c r="V1158" s="46"/>
      <c r="W1158" s="46"/>
      <c r="X1158" s="46"/>
      <c r="Y1158" s="46"/>
      <c r="Z1158" s="46"/>
      <c r="AA1158" s="46"/>
      <c r="AB1158" s="46"/>
      <c r="AC1158" s="46"/>
      <c r="AD1158" s="46"/>
      <c r="AE1158" s="50">
        <f>IF(L1158="W",1,0)</f>
        <v>1</v>
      </c>
      <c r="AF1158" s="50">
        <f>IF(L1158="T",1,0)</f>
        <v>0</v>
      </c>
      <c r="AG1158" s="50">
        <f>IF(L1158="L",1,0)</f>
        <v>0</v>
      </c>
      <c r="AH1158" s="46" t="s">
        <v>1101</v>
      </c>
      <c r="AI1158" s="46" t="s">
        <v>1159</v>
      </c>
      <c r="AJ1158" s="46" t="s">
        <v>376</v>
      </c>
      <c r="AK1158" s="46" t="s">
        <v>658</v>
      </c>
      <c r="AL1158" s="46" t="s">
        <v>1073</v>
      </c>
      <c r="AM1158" s="46" t="s">
        <v>1074</v>
      </c>
      <c r="AN1158" s="46" t="s">
        <v>376</v>
      </c>
      <c r="AO1158" s="46" t="s">
        <v>658</v>
      </c>
      <c r="AP1158" s="46"/>
      <c r="AQ1158" s="46">
        <v>1</v>
      </c>
      <c r="AR1158" s="46"/>
      <c r="AS1158" s="46"/>
      <c r="AT1158" s="46"/>
      <c r="AU1158" s="46" t="s">
        <v>376</v>
      </c>
      <c r="AV1158" s="46"/>
      <c r="AW1158" s="46" t="s">
        <v>30</v>
      </c>
      <c r="AX1158" s="46"/>
      <c r="AY1158" s="46"/>
      <c r="AZ1158" s="46" t="s">
        <v>30</v>
      </c>
      <c r="BA1158" s="54"/>
      <c r="BB1158" s="51" t="s">
        <v>30</v>
      </c>
      <c r="BC1158" s="46" t="s">
        <v>30</v>
      </c>
      <c r="BD1158" s="46"/>
      <c r="BE1158" s="46"/>
      <c r="BF1158" s="46">
        <v>1</v>
      </c>
      <c r="BG1158" s="46">
        <v>1</v>
      </c>
      <c r="BH1158" s="46">
        <v>1</v>
      </c>
      <c r="BI1158" s="46" t="s">
        <v>821</v>
      </c>
      <c r="BJ1158" s="46" t="s">
        <v>1072</v>
      </c>
      <c r="BK1158" s="46">
        <v>1992</v>
      </c>
      <c r="BL1158" s="46" t="str">
        <f>BK1158&amp;BI1158</f>
        <v>1992Manchester United</v>
      </c>
      <c r="BM1158" s="52" t="str">
        <f>IF(AD1158="Home",BI1158,IF(AD1158="Away",BJ1158,Q1158))</f>
        <v>London</v>
      </c>
      <c r="BN1158" s="46"/>
      <c r="BO1158" s="46"/>
      <c r="BP1158" s="46"/>
      <c r="BQ1158" s="46"/>
      <c r="BR1158" s="46"/>
      <c r="BS1158" s="46"/>
      <c r="BT1158" s="46"/>
      <c r="BU1158" s="46"/>
      <c r="BV1158" s="46" t="s">
        <v>376</v>
      </c>
      <c r="BW1158" s="46" t="s">
        <v>376</v>
      </c>
      <c r="BX1158" s="46"/>
      <c r="BY1158" s="52"/>
      <c r="BZ1158" s="53"/>
      <c r="CA1158" s="53"/>
      <c r="CB1158" s="93" t="str">
        <f>IF(OR(C1158="",A1158="",B1158=""),"",TEXT(C1158,"0000")&amp;TEXT(A1158,"00")&amp;TEXT(B1158,"00"))</f>
        <v>19920412</v>
      </c>
    </row>
    <row r="1159" spans="1:80" s="35" customFormat="1" ht="12.95" customHeight="1" x14ac:dyDescent="0.2">
      <c r="A1159" s="46">
        <v>4</v>
      </c>
      <c r="B1159" s="46">
        <v>12</v>
      </c>
      <c r="C1159" s="46">
        <v>1992</v>
      </c>
      <c r="D1159" s="46" t="s">
        <v>658</v>
      </c>
      <c r="E1159" s="46" t="s">
        <v>465</v>
      </c>
      <c r="F1159" s="54" t="s">
        <v>1327</v>
      </c>
      <c r="G1159" s="46"/>
      <c r="H1159" s="54" t="s">
        <v>40</v>
      </c>
      <c r="I1159" s="54"/>
      <c r="J1159" s="55">
        <v>33706</v>
      </c>
      <c r="K1159" s="46" t="s">
        <v>1072</v>
      </c>
      <c r="L1159" s="46" t="s">
        <v>4</v>
      </c>
      <c r="M1159" s="46" t="s">
        <v>821</v>
      </c>
      <c r="N1159" s="49">
        <v>0</v>
      </c>
      <c r="O1159" s="49">
        <v>1</v>
      </c>
      <c r="P1159" s="54" t="s">
        <v>1268</v>
      </c>
      <c r="Q1159" s="54" t="s">
        <v>1017</v>
      </c>
      <c r="R1159" s="54" t="s">
        <v>376</v>
      </c>
      <c r="S1159" s="46"/>
      <c r="T1159" s="46"/>
      <c r="U1159" s="46"/>
      <c r="V1159" s="46"/>
      <c r="W1159" s="46"/>
      <c r="X1159" s="46"/>
      <c r="Y1159" s="46"/>
      <c r="Z1159" s="46"/>
      <c r="AA1159" s="46"/>
      <c r="AB1159" s="46"/>
      <c r="AC1159" s="46"/>
      <c r="AD1159" s="46"/>
      <c r="AE1159" s="50">
        <f>IF(L1159="W",1,0)</f>
        <v>0</v>
      </c>
      <c r="AF1159" s="50">
        <f>IF(L1159="T",1,0)</f>
        <v>0</v>
      </c>
      <c r="AG1159" s="50">
        <f>IF(L1159="L",1,0)</f>
        <v>1</v>
      </c>
      <c r="AH1159" s="46" t="s">
        <v>1073</v>
      </c>
      <c r="AI1159" s="46" t="s">
        <v>1074</v>
      </c>
      <c r="AJ1159" s="46" t="s">
        <v>376</v>
      </c>
      <c r="AK1159" s="46" t="s">
        <v>658</v>
      </c>
      <c r="AL1159" s="46" t="s">
        <v>1101</v>
      </c>
      <c r="AM1159" s="46" t="s">
        <v>1159</v>
      </c>
      <c r="AN1159" s="46" t="s">
        <v>376</v>
      </c>
      <c r="AO1159" s="46" t="s">
        <v>658</v>
      </c>
      <c r="AP1159" s="46"/>
      <c r="AQ1159" s="46">
        <v>1</v>
      </c>
      <c r="AR1159" s="46"/>
      <c r="AS1159" s="46"/>
      <c r="AT1159" s="46"/>
      <c r="AU1159" s="46" t="s">
        <v>376</v>
      </c>
      <c r="AV1159" s="46"/>
      <c r="AW1159" s="46" t="s">
        <v>30</v>
      </c>
      <c r="AX1159" s="46"/>
      <c r="AY1159" s="46"/>
      <c r="AZ1159" s="46" t="s">
        <v>30</v>
      </c>
      <c r="BA1159" s="54"/>
      <c r="BB1159" s="51"/>
      <c r="BC1159" s="46" t="s">
        <v>30</v>
      </c>
      <c r="BD1159" s="46"/>
      <c r="BE1159" s="46"/>
      <c r="BF1159" s="46">
        <v>1</v>
      </c>
      <c r="BG1159" s="46">
        <v>1</v>
      </c>
      <c r="BH1159" s="46">
        <v>1</v>
      </c>
      <c r="BI1159" s="46" t="s">
        <v>1072</v>
      </c>
      <c r="BJ1159" s="46" t="s">
        <v>821</v>
      </c>
      <c r="BK1159" s="46">
        <v>1992</v>
      </c>
      <c r="BL1159" s="46" t="str">
        <f>BK1159&amp;BI1159</f>
        <v>1992Nottingham Forest</v>
      </c>
      <c r="BM1159" s="52" t="str">
        <f>IF(AD1159="Home",BI1159,IF(AD1159="Away",BJ1159,Q1159))</f>
        <v>London</v>
      </c>
      <c r="BN1159" s="46"/>
      <c r="BO1159" s="46"/>
      <c r="BP1159" s="46"/>
      <c r="BQ1159" s="46"/>
      <c r="BR1159" s="46"/>
      <c r="BS1159" s="46"/>
      <c r="BT1159" s="46"/>
      <c r="BU1159" s="46"/>
      <c r="BV1159" s="46" t="s">
        <v>376</v>
      </c>
      <c r="BW1159" s="46" t="s">
        <v>376</v>
      </c>
      <c r="BX1159" s="46"/>
      <c r="BY1159" s="52"/>
      <c r="BZ1159" s="53"/>
      <c r="CA1159" s="53"/>
      <c r="CB1159" s="93" t="str">
        <f>IF(OR(C1159="",A1159="",B1159=""),"",TEXT(C1159,"0000")&amp;TEXT(A1159,"00")&amp;TEXT(B1159,"00"))</f>
        <v>19920412</v>
      </c>
    </row>
    <row r="1160" spans="1:80" s="35" customFormat="1" ht="12.95" customHeight="1" x14ac:dyDescent="0.2">
      <c r="A1160" s="46">
        <v>4</v>
      </c>
      <c r="B1160" s="46">
        <v>13</v>
      </c>
      <c r="C1160" s="46">
        <v>1992</v>
      </c>
      <c r="D1160" s="46" t="s">
        <v>658</v>
      </c>
      <c r="E1160" s="46" t="s">
        <v>465</v>
      </c>
      <c r="F1160" s="47" t="s">
        <v>1010</v>
      </c>
      <c r="G1160" s="46"/>
      <c r="H1160" s="47" t="s">
        <v>1011</v>
      </c>
      <c r="I1160" s="47" t="s">
        <v>1023</v>
      </c>
      <c r="J1160" s="48">
        <v>33707</v>
      </c>
      <c r="K1160" s="46" t="s">
        <v>588</v>
      </c>
      <c r="L1160" s="46" t="s">
        <v>3</v>
      </c>
      <c r="M1160" s="46" t="s">
        <v>1280</v>
      </c>
      <c r="N1160" s="49">
        <v>0</v>
      </c>
      <c r="O1160" s="49">
        <v>0</v>
      </c>
      <c r="P1160" s="47" t="s">
        <v>1219</v>
      </c>
      <c r="Q1160" s="47" t="s">
        <v>1111</v>
      </c>
      <c r="R1160" s="47" t="s">
        <v>376</v>
      </c>
      <c r="S1160" s="46" t="s">
        <v>1390</v>
      </c>
      <c r="T1160" s="46"/>
      <c r="U1160" s="46"/>
      <c r="V1160" s="46"/>
      <c r="W1160" s="46"/>
      <c r="X1160" s="46"/>
      <c r="Y1160" s="46"/>
      <c r="Z1160" s="46"/>
      <c r="AA1160" s="46"/>
      <c r="AB1160" s="46"/>
      <c r="AC1160" s="46"/>
      <c r="AD1160" s="46"/>
      <c r="AE1160" s="50">
        <f>IF(L1160="W",1,0)</f>
        <v>1</v>
      </c>
      <c r="AF1160" s="50">
        <f>IF(L1160="T",1,0)</f>
        <v>0</v>
      </c>
      <c r="AG1160" s="50">
        <f>IF(L1160="L",1,0)</f>
        <v>0</v>
      </c>
      <c r="AH1160" s="46" t="s">
        <v>588</v>
      </c>
      <c r="AI1160" s="46" t="s">
        <v>1175</v>
      </c>
      <c r="AJ1160" s="46" t="s">
        <v>376</v>
      </c>
      <c r="AK1160" s="46" t="s">
        <v>658</v>
      </c>
      <c r="AL1160" s="46" t="s">
        <v>1280</v>
      </c>
      <c r="AM1160" s="46" t="s">
        <v>1199</v>
      </c>
      <c r="AN1160" s="46" t="s">
        <v>376</v>
      </c>
      <c r="AO1160" s="46" t="s">
        <v>658</v>
      </c>
      <c r="AP1160" s="46"/>
      <c r="AQ1160" s="46">
        <v>2</v>
      </c>
      <c r="AR1160" s="46"/>
      <c r="AS1160" s="46"/>
      <c r="AT1160" s="46"/>
      <c r="AU1160" s="46" t="s">
        <v>376</v>
      </c>
      <c r="AV1160" s="46"/>
      <c r="AW1160" s="46" t="s">
        <v>30</v>
      </c>
      <c r="AX1160" s="46"/>
      <c r="AY1160" s="46" t="s">
        <v>30</v>
      </c>
      <c r="AZ1160" s="46"/>
      <c r="BA1160" s="47"/>
      <c r="BB1160" s="51"/>
      <c r="BC1160" s="46"/>
      <c r="BD1160" s="46"/>
      <c r="BE1160" s="46"/>
      <c r="BF1160" s="46">
        <v>1</v>
      </c>
      <c r="BG1160" s="46">
        <v>1</v>
      </c>
      <c r="BH1160" s="46">
        <v>2</v>
      </c>
      <c r="BI1160" s="46" t="s">
        <v>588</v>
      </c>
      <c r="BJ1160" s="46" t="s">
        <v>1280</v>
      </c>
      <c r="BK1160" s="46">
        <v>1992</v>
      </c>
      <c r="BL1160" s="46" t="str">
        <f>BK1160&amp;BI1160</f>
        <v>1992Liverpool</v>
      </c>
      <c r="BM1160" s="52" t="str">
        <f>IF(AD1160="Home",BI1160,IF(AD1160="Away",BJ1160,Q1160))</f>
        <v>Birmingham</v>
      </c>
      <c r="BN1160" s="46"/>
      <c r="BO1160" s="46"/>
      <c r="BP1160" s="46"/>
      <c r="BQ1160" s="46"/>
      <c r="BR1160" s="46"/>
      <c r="BS1160" s="46"/>
      <c r="BT1160" s="46"/>
      <c r="BU1160" s="46"/>
      <c r="BV1160" s="46" t="s">
        <v>376</v>
      </c>
      <c r="BW1160" s="46" t="s">
        <v>376</v>
      </c>
      <c r="BX1160" s="46"/>
      <c r="BY1160" s="52"/>
      <c r="BZ1160" s="53"/>
      <c r="CA1160" s="53"/>
      <c r="CB1160" s="93" t="str">
        <f>IF(OR(C1160="",A1160="",B1160=""),"",TEXT(C1160,"0000")&amp;TEXT(A1160,"00")&amp;TEXT(B1160,"00"))</f>
        <v>19920413</v>
      </c>
    </row>
    <row r="1161" spans="1:80" s="35" customFormat="1" ht="12.95" customHeight="1" x14ac:dyDescent="0.2">
      <c r="A1161" s="46">
        <v>4</v>
      </c>
      <c r="B1161" s="46">
        <v>13</v>
      </c>
      <c r="C1161" s="46">
        <v>1992</v>
      </c>
      <c r="D1161" s="46" t="s">
        <v>658</v>
      </c>
      <c r="E1161" s="46" t="s">
        <v>465</v>
      </c>
      <c r="F1161" s="47" t="s">
        <v>1010</v>
      </c>
      <c r="G1161" s="46"/>
      <c r="H1161" s="47" t="s">
        <v>1011</v>
      </c>
      <c r="I1161" s="47" t="s">
        <v>1023</v>
      </c>
      <c r="J1161" s="48">
        <v>33707</v>
      </c>
      <c r="K1161" s="46" t="s">
        <v>1280</v>
      </c>
      <c r="L1161" s="46" t="s">
        <v>4</v>
      </c>
      <c r="M1161" s="46" t="s">
        <v>588</v>
      </c>
      <c r="N1161" s="49">
        <v>0</v>
      </c>
      <c r="O1161" s="49">
        <v>0</v>
      </c>
      <c r="P1161" s="47" t="s">
        <v>1219</v>
      </c>
      <c r="Q1161" s="47" t="s">
        <v>1111</v>
      </c>
      <c r="R1161" s="47" t="s">
        <v>376</v>
      </c>
      <c r="S1161" s="46" t="s">
        <v>1390</v>
      </c>
      <c r="T1161" s="46"/>
      <c r="U1161" s="46"/>
      <c r="V1161" s="46"/>
      <c r="W1161" s="46"/>
      <c r="X1161" s="46"/>
      <c r="Y1161" s="46"/>
      <c r="Z1161" s="46"/>
      <c r="AA1161" s="46"/>
      <c r="AB1161" s="46"/>
      <c r="AC1161" s="46"/>
      <c r="AD1161" s="46"/>
      <c r="AE1161" s="50">
        <f>IF(L1161="W",1,0)</f>
        <v>0</v>
      </c>
      <c r="AF1161" s="50">
        <f>IF(L1161="T",1,0)</f>
        <v>0</v>
      </c>
      <c r="AG1161" s="50">
        <f>IF(L1161="L",1,0)</f>
        <v>1</v>
      </c>
      <c r="AH1161" s="46" t="s">
        <v>1280</v>
      </c>
      <c r="AI1161" s="46" t="s">
        <v>1199</v>
      </c>
      <c r="AJ1161" s="46" t="s">
        <v>376</v>
      </c>
      <c r="AK1161" s="46" t="s">
        <v>658</v>
      </c>
      <c r="AL1161" s="46" t="s">
        <v>588</v>
      </c>
      <c r="AM1161" s="46" t="s">
        <v>1175</v>
      </c>
      <c r="AN1161" s="46" t="s">
        <v>376</v>
      </c>
      <c r="AO1161" s="46" t="s">
        <v>658</v>
      </c>
      <c r="AP1161" s="46"/>
      <c r="AQ1161" s="46">
        <v>2</v>
      </c>
      <c r="AR1161" s="46"/>
      <c r="AS1161" s="46"/>
      <c r="AT1161" s="46"/>
      <c r="AU1161" s="46" t="s">
        <v>376</v>
      </c>
      <c r="AV1161" s="46"/>
      <c r="AW1161" s="46" t="s">
        <v>30</v>
      </c>
      <c r="AX1161" s="46"/>
      <c r="AY1161" s="46" t="s">
        <v>30</v>
      </c>
      <c r="AZ1161" s="46"/>
      <c r="BA1161" s="47"/>
      <c r="BB1161" s="51"/>
      <c r="BC1161" s="46"/>
      <c r="BD1161" s="46"/>
      <c r="BE1161" s="46"/>
      <c r="BF1161" s="46">
        <v>1</v>
      </c>
      <c r="BG1161" s="46">
        <v>2</v>
      </c>
      <c r="BH1161" s="46">
        <v>1</v>
      </c>
      <c r="BI1161" s="46" t="s">
        <v>1280</v>
      </c>
      <c r="BJ1161" s="46" t="s">
        <v>588</v>
      </c>
      <c r="BK1161" s="46">
        <v>1992</v>
      </c>
      <c r="BL1161" s="46" t="str">
        <f>BK1161&amp;BI1161</f>
        <v>1992Portsmouth</v>
      </c>
      <c r="BM1161" s="52" t="str">
        <f>IF(AD1161="Home",BI1161,IF(AD1161="Away",BJ1161,Q1161))</f>
        <v>Birmingham</v>
      </c>
      <c r="BN1161" s="46"/>
      <c r="BO1161" s="46"/>
      <c r="BP1161" s="46"/>
      <c r="BQ1161" s="46"/>
      <c r="BR1161" s="46"/>
      <c r="BS1161" s="46"/>
      <c r="BT1161" s="46"/>
      <c r="BU1161" s="46"/>
      <c r="BV1161" s="46" t="s">
        <v>376</v>
      </c>
      <c r="BW1161" s="46" t="s">
        <v>376</v>
      </c>
      <c r="BX1161" s="46"/>
      <c r="BY1161" s="52"/>
      <c r="BZ1161" s="53"/>
      <c r="CA1161" s="53"/>
      <c r="CB1161" s="93" t="str">
        <f>IF(OR(C1161="",A1161="",B1161=""),"",TEXT(C1161,"0000")&amp;TEXT(A1161,"00")&amp;TEXT(B1161,"00"))</f>
        <v>19920413</v>
      </c>
    </row>
    <row r="1162" spans="1:80" s="35" customFormat="1" ht="12.95" customHeight="1" x14ac:dyDescent="0.2">
      <c r="A1162" s="46">
        <v>5</v>
      </c>
      <c r="B1162" s="46">
        <v>9</v>
      </c>
      <c r="C1162" s="46">
        <v>1992</v>
      </c>
      <c r="D1162" s="46" t="s">
        <v>658</v>
      </c>
      <c r="E1162" s="46" t="s">
        <v>465</v>
      </c>
      <c r="F1162" s="47" t="s">
        <v>1010</v>
      </c>
      <c r="G1162" s="46"/>
      <c r="H1162" s="47" t="s">
        <v>1025</v>
      </c>
      <c r="I1162" s="47"/>
      <c r="J1162" s="48">
        <v>33733</v>
      </c>
      <c r="K1162" s="46" t="s">
        <v>588</v>
      </c>
      <c r="L1162" s="46" t="s">
        <v>3</v>
      </c>
      <c r="M1162" s="46" t="s">
        <v>793</v>
      </c>
      <c r="N1162" s="49">
        <v>2</v>
      </c>
      <c r="O1162" s="49">
        <v>0</v>
      </c>
      <c r="P1162" s="47" t="s">
        <v>1268</v>
      </c>
      <c r="Q1162" s="47" t="s">
        <v>1017</v>
      </c>
      <c r="R1162" s="47" t="s">
        <v>376</v>
      </c>
      <c r="S1162" s="46"/>
      <c r="T1162" s="46"/>
      <c r="U1162" s="46"/>
      <c r="V1162" s="46"/>
      <c r="W1162" s="46"/>
      <c r="X1162" s="46"/>
      <c r="Y1162" s="46"/>
      <c r="Z1162" s="46"/>
      <c r="AA1162" s="46"/>
      <c r="AB1162" s="46"/>
      <c r="AC1162" s="46"/>
      <c r="AD1162" s="46"/>
      <c r="AE1162" s="50">
        <f>IF(L1162="W",1,0)</f>
        <v>1</v>
      </c>
      <c r="AF1162" s="50">
        <f>IF(L1162="T",1,0)</f>
        <v>0</v>
      </c>
      <c r="AG1162" s="50">
        <f>IF(L1162="L",1,0)</f>
        <v>0</v>
      </c>
      <c r="AH1162" s="46" t="s">
        <v>588</v>
      </c>
      <c r="AI1162" s="46" t="s">
        <v>1175</v>
      </c>
      <c r="AJ1162" s="46" t="s">
        <v>376</v>
      </c>
      <c r="AK1162" s="46" t="s">
        <v>658</v>
      </c>
      <c r="AL1162" s="46" t="s">
        <v>793</v>
      </c>
      <c r="AM1162" s="46" t="s">
        <v>1164</v>
      </c>
      <c r="AN1162" s="46" t="s">
        <v>376</v>
      </c>
      <c r="AO1162" s="46" t="s">
        <v>658</v>
      </c>
      <c r="AP1162" s="46"/>
      <c r="AQ1162" s="46">
        <v>1</v>
      </c>
      <c r="AR1162" s="46"/>
      <c r="AS1162" s="46"/>
      <c r="AT1162" s="46"/>
      <c r="AU1162" s="46" t="s">
        <v>376</v>
      </c>
      <c r="AV1162" s="46"/>
      <c r="AW1162" s="46" t="s">
        <v>30</v>
      </c>
      <c r="AX1162" s="46"/>
      <c r="AY1162" s="46" t="s">
        <v>30</v>
      </c>
      <c r="AZ1162" s="46"/>
      <c r="BA1162" s="47"/>
      <c r="BB1162" s="51" t="s">
        <v>30</v>
      </c>
      <c r="BC1162" s="46" t="s">
        <v>30</v>
      </c>
      <c r="BD1162" s="46"/>
      <c r="BE1162" s="46"/>
      <c r="BF1162" s="46">
        <v>1</v>
      </c>
      <c r="BG1162" s="46">
        <v>1</v>
      </c>
      <c r="BH1162" s="46">
        <v>2</v>
      </c>
      <c r="BI1162" s="46" t="s">
        <v>588</v>
      </c>
      <c r="BJ1162" s="46" t="s">
        <v>793</v>
      </c>
      <c r="BK1162" s="46">
        <v>1992</v>
      </c>
      <c r="BL1162" s="46" t="str">
        <f>BK1162&amp;BI1162</f>
        <v>1992Liverpool</v>
      </c>
      <c r="BM1162" s="52" t="str">
        <f>IF(AD1162="Home",BI1162,IF(AD1162="Away",BJ1162,Q1162))</f>
        <v>London</v>
      </c>
      <c r="BN1162" s="46"/>
      <c r="BO1162" s="46"/>
      <c r="BP1162" s="46"/>
      <c r="BQ1162" s="46"/>
      <c r="BR1162" s="46"/>
      <c r="BS1162" s="46"/>
      <c r="BT1162" s="46"/>
      <c r="BU1162" s="46"/>
      <c r="BV1162" s="46" t="s">
        <v>376</v>
      </c>
      <c r="BW1162" s="46" t="s">
        <v>376</v>
      </c>
      <c r="BX1162" s="46"/>
      <c r="BY1162" s="52"/>
      <c r="BZ1162" s="53"/>
      <c r="CA1162" s="53"/>
      <c r="CB1162" s="93" t="str">
        <f>IF(OR(C1162="",A1162="",B1162=""),"",TEXT(C1162,"0000")&amp;TEXT(A1162,"00")&amp;TEXT(B1162,"00"))</f>
        <v>19920509</v>
      </c>
    </row>
    <row r="1163" spans="1:80" s="35" customFormat="1" ht="12.95" customHeight="1" x14ac:dyDescent="0.2">
      <c r="A1163" s="46">
        <v>5</v>
      </c>
      <c r="B1163" s="46">
        <v>9</v>
      </c>
      <c r="C1163" s="46">
        <v>1992</v>
      </c>
      <c r="D1163" s="46" t="s">
        <v>658</v>
      </c>
      <c r="E1163" s="46" t="s">
        <v>465</v>
      </c>
      <c r="F1163" s="47" t="s">
        <v>1010</v>
      </c>
      <c r="G1163" s="46"/>
      <c r="H1163" s="47" t="s">
        <v>1025</v>
      </c>
      <c r="I1163" s="47"/>
      <c r="J1163" s="48">
        <v>33733</v>
      </c>
      <c r="K1163" s="46" t="s">
        <v>793</v>
      </c>
      <c r="L1163" s="46" t="s">
        <v>4</v>
      </c>
      <c r="M1163" s="46" t="s">
        <v>588</v>
      </c>
      <c r="N1163" s="49">
        <v>0</v>
      </c>
      <c r="O1163" s="49">
        <v>2</v>
      </c>
      <c r="P1163" s="47" t="s">
        <v>1268</v>
      </c>
      <c r="Q1163" s="47" t="s">
        <v>1017</v>
      </c>
      <c r="R1163" s="47" t="s">
        <v>376</v>
      </c>
      <c r="S1163" s="46"/>
      <c r="T1163" s="46"/>
      <c r="U1163" s="46"/>
      <c r="V1163" s="46"/>
      <c r="W1163" s="46"/>
      <c r="X1163" s="46"/>
      <c r="Y1163" s="46"/>
      <c r="Z1163" s="46"/>
      <c r="AA1163" s="46"/>
      <c r="AB1163" s="46"/>
      <c r="AC1163" s="46"/>
      <c r="AD1163" s="46"/>
      <c r="AE1163" s="50">
        <f>IF(L1163="W",1,0)</f>
        <v>0</v>
      </c>
      <c r="AF1163" s="50">
        <f>IF(L1163="T",1,0)</f>
        <v>0</v>
      </c>
      <c r="AG1163" s="50">
        <f>IF(L1163="L",1,0)</f>
        <v>1</v>
      </c>
      <c r="AH1163" s="46" t="s">
        <v>793</v>
      </c>
      <c r="AI1163" s="46" t="s">
        <v>1164</v>
      </c>
      <c r="AJ1163" s="46" t="s">
        <v>376</v>
      </c>
      <c r="AK1163" s="46" t="s">
        <v>658</v>
      </c>
      <c r="AL1163" s="46" t="s">
        <v>588</v>
      </c>
      <c r="AM1163" s="46" t="s">
        <v>1175</v>
      </c>
      <c r="AN1163" s="46" t="s">
        <v>376</v>
      </c>
      <c r="AO1163" s="46" t="s">
        <v>658</v>
      </c>
      <c r="AP1163" s="46"/>
      <c r="AQ1163" s="46">
        <v>1</v>
      </c>
      <c r="AR1163" s="46"/>
      <c r="AS1163" s="46"/>
      <c r="AT1163" s="46"/>
      <c r="AU1163" s="46" t="s">
        <v>376</v>
      </c>
      <c r="AV1163" s="46"/>
      <c r="AW1163" s="46" t="s">
        <v>30</v>
      </c>
      <c r="AX1163" s="46"/>
      <c r="AY1163" s="46" t="s">
        <v>30</v>
      </c>
      <c r="AZ1163" s="46"/>
      <c r="BA1163" s="47"/>
      <c r="BB1163" s="51"/>
      <c r="BC1163" s="46" t="s">
        <v>30</v>
      </c>
      <c r="BD1163" s="46"/>
      <c r="BE1163" s="46"/>
      <c r="BF1163" s="46">
        <v>1</v>
      </c>
      <c r="BG1163" s="46">
        <v>2</v>
      </c>
      <c r="BH1163" s="46">
        <v>1</v>
      </c>
      <c r="BI1163" s="46" t="s">
        <v>793</v>
      </c>
      <c r="BJ1163" s="46" t="s">
        <v>588</v>
      </c>
      <c r="BK1163" s="46">
        <v>1992</v>
      </c>
      <c r="BL1163" s="46" t="str">
        <f>BK1163&amp;BI1163</f>
        <v>1992Sunderland</v>
      </c>
      <c r="BM1163" s="52" t="str">
        <f>IF(AD1163="Home",BI1163,IF(AD1163="Away",BJ1163,Q1163))</f>
        <v>London</v>
      </c>
      <c r="BN1163" s="46"/>
      <c r="BO1163" s="46"/>
      <c r="BP1163" s="46"/>
      <c r="BQ1163" s="46"/>
      <c r="BR1163" s="46"/>
      <c r="BS1163" s="46"/>
      <c r="BT1163" s="46"/>
      <c r="BU1163" s="46"/>
      <c r="BV1163" s="46" t="s">
        <v>376</v>
      </c>
      <c r="BW1163" s="46" t="s">
        <v>376</v>
      </c>
      <c r="BX1163" s="46"/>
      <c r="BY1163" s="52"/>
      <c r="BZ1163" s="53"/>
      <c r="CA1163" s="53"/>
      <c r="CB1163" s="93" t="str">
        <f>IF(OR(C1163="",A1163="",B1163=""),"",TEXT(C1163,"0000")&amp;TEXT(A1163,"00")&amp;TEXT(B1163,"00"))</f>
        <v>19920509</v>
      </c>
    </row>
    <row r="1164" spans="1:80" s="50" customFormat="1" ht="12.95" customHeight="1" x14ac:dyDescent="0.2">
      <c r="A1164" s="46">
        <v>2</v>
      </c>
      <c r="B1164" s="46">
        <v>7</v>
      </c>
      <c r="C1164" s="46">
        <v>1993</v>
      </c>
      <c r="D1164" s="52" t="s">
        <v>658</v>
      </c>
      <c r="E1164" s="52" t="s">
        <v>449</v>
      </c>
      <c r="F1164" s="52" t="s">
        <v>1327</v>
      </c>
      <c r="G1164" s="52"/>
      <c r="H1164" s="52" t="s">
        <v>1011</v>
      </c>
      <c r="I1164" s="52">
        <v>1</v>
      </c>
      <c r="J1164" s="56">
        <v>34007</v>
      </c>
      <c r="K1164" s="52" t="s">
        <v>798</v>
      </c>
      <c r="L1164" s="52" t="s">
        <v>4</v>
      </c>
      <c r="M1164" s="52" t="s">
        <v>587</v>
      </c>
      <c r="N1164" s="57">
        <v>1</v>
      </c>
      <c r="O1164" s="57">
        <v>3</v>
      </c>
      <c r="P1164" s="52" t="s">
        <v>1391</v>
      </c>
      <c r="Q1164" s="52" t="s">
        <v>1017</v>
      </c>
      <c r="R1164" s="52" t="s">
        <v>376</v>
      </c>
      <c r="S1164" s="52"/>
      <c r="T1164" s="52"/>
      <c r="U1164" s="52"/>
      <c r="V1164" s="52"/>
      <c r="W1164" s="52"/>
      <c r="X1164" s="52"/>
      <c r="Y1164" s="52"/>
      <c r="Z1164" s="57"/>
      <c r="AA1164" s="58">
        <v>1</v>
      </c>
      <c r="AB1164" s="58">
        <v>3</v>
      </c>
      <c r="AC1164" s="59">
        <v>0</v>
      </c>
      <c r="AD1164" s="52" t="s">
        <v>1033</v>
      </c>
      <c r="AE1164" s="50">
        <f>IF(L1164="W",1,0)</f>
        <v>0</v>
      </c>
      <c r="AF1164" s="50">
        <f>IF(L1164="T",1,0)</f>
        <v>0</v>
      </c>
      <c r="AG1164" s="50">
        <f>IF(L1164="L",1,0)</f>
        <v>1</v>
      </c>
      <c r="AH1164" s="52" t="s">
        <v>1017</v>
      </c>
      <c r="AI1164" s="52" t="s">
        <v>1018</v>
      </c>
      <c r="AJ1164" s="52" t="s">
        <v>376</v>
      </c>
      <c r="AK1164" s="50" t="s">
        <v>658</v>
      </c>
      <c r="AL1164" s="52" t="s">
        <v>1017</v>
      </c>
      <c r="AM1164" s="52" t="s">
        <v>1018</v>
      </c>
      <c r="AN1164" s="52" t="s">
        <v>376</v>
      </c>
      <c r="AO1164" s="50" t="s">
        <v>658</v>
      </c>
      <c r="AP1164" s="52"/>
      <c r="AQ1164" s="52">
        <v>2</v>
      </c>
      <c r="AR1164" s="52"/>
      <c r="AS1164" s="52"/>
      <c r="AT1164" s="46"/>
      <c r="AU1164" s="52" t="s">
        <v>376</v>
      </c>
      <c r="AV1164" s="52"/>
      <c r="AW1164" s="52" t="s">
        <v>30</v>
      </c>
      <c r="AX1164" s="52"/>
      <c r="AY1164" s="52"/>
      <c r="AZ1164" s="52" t="s">
        <v>30</v>
      </c>
      <c r="BA1164" s="52"/>
      <c r="BB1164" s="60"/>
      <c r="BC1164" s="52"/>
      <c r="BD1164" s="60"/>
      <c r="BE1164" s="60"/>
      <c r="BF1164" s="35">
        <v>1</v>
      </c>
      <c r="BG1164" s="52">
        <v>1</v>
      </c>
      <c r="BH1164" s="52"/>
      <c r="BI1164" s="52" t="s">
        <v>798</v>
      </c>
      <c r="BJ1164" s="52" t="s">
        <v>587</v>
      </c>
      <c r="BK1164" s="52">
        <v>1993</v>
      </c>
      <c r="BL1164" s="46" t="str">
        <f>BK1164&amp;BI1164</f>
        <v>1993Crystal Palace</v>
      </c>
      <c r="BM1164" s="52" t="str">
        <f>IF(AD1164="Home",BI1164,IF(AD1164="Away",BJ1164,Q1164))</f>
        <v>Crystal Palace</v>
      </c>
      <c r="BN1164" s="52"/>
      <c r="BO1164" s="52"/>
      <c r="BP1164" s="52"/>
      <c r="BQ1164" s="52"/>
      <c r="BR1164" s="52"/>
      <c r="BS1164" s="52"/>
      <c r="BT1164" s="52"/>
      <c r="BU1164" s="52"/>
      <c r="BV1164" s="52" t="s">
        <v>376</v>
      </c>
      <c r="BW1164" s="52" t="s">
        <v>376</v>
      </c>
      <c r="BX1164" s="52"/>
      <c r="BY1164" s="52"/>
      <c r="BZ1164" s="53"/>
      <c r="CA1164" s="53"/>
      <c r="CB1164" s="93" t="str">
        <f>IF(OR(C1164="",A1164="",B1164=""),"",TEXT(C1164,"0000")&amp;TEXT(A1164,"00")&amp;TEXT(B1164,"00"))</f>
        <v>19930207</v>
      </c>
    </row>
    <row r="1165" spans="1:80" s="50" customFormat="1" ht="12.95" customHeight="1" x14ac:dyDescent="0.2">
      <c r="A1165" s="46">
        <v>2</v>
      </c>
      <c r="B1165" s="46">
        <v>7</v>
      </c>
      <c r="C1165" s="46">
        <v>1993</v>
      </c>
      <c r="D1165" s="52" t="s">
        <v>658</v>
      </c>
      <c r="E1165" s="52" t="s">
        <v>449</v>
      </c>
      <c r="F1165" s="52" t="s">
        <v>1327</v>
      </c>
      <c r="G1165" s="52"/>
      <c r="H1165" s="52" t="s">
        <v>1011</v>
      </c>
      <c r="I1165" s="52">
        <v>1</v>
      </c>
      <c r="J1165" s="56">
        <v>34007</v>
      </c>
      <c r="K1165" s="52" t="s">
        <v>587</v>
      </c>
      <c r="L1165" s="52" t="s">
        <v>3</v>
      </c>
      <c r="M1165" s="52" t="s">
        <v>798</v>
      </c>
      <c r="N1165" s="57">
        <v>3</v>
      </c>
      <c r="O1165" s="57">
        <v>1</v>
      </c>
      <c r="P1165" s="52" t="s">
        <v>1391</v>
      </c>
      <c r="Q1165" s="52" t="s">
        <v>1017</v>
      </c>
      <c r="R1165" s="52" t="s">
        <v>376</v>
      </c>
      <c r="S1165" s="52"/>
      <c r="T1165" s="52"/>
      <c r="U1165" s="52"/>
      <c r="V1165" s="52"/>
      <c r="W1165" s="52"/>
      <c r="X1165" s="52"/>
      <c r="Y1165" s="52"/>
      <c r="Z1165" s="57"/>
      <c r="AA1165" s="58">
        <v>3</v>
      </c>
      <c r="AB1165" s="58">
        <v>1</v>
      </c>
      <c r="AC1165" s="59">
        <v>3</v>
      </c>
      <c r="AD1165" s="52" t="s">
        <v>1037</v>
      </c>
      <c r="AE1165" s="50">
        <f>IF(L1165="W",1,0)</f>
        <v>1</v>
      </c>
      <c r="AF1165" s="50">
        <f>IF(L1165="T",1,0)</f>
        <v>0</v>
      </c>
      <c r="AG1165" s="50">
        <f>IF(L1165="L",1,0)</f>
        <v>0</v>
      </c>
      <c r="AH1165" s="52" t="s">
        <v>1017</v>
      </c>
      <c r="AI1165" s="52" t="s">
        <v>1018</v>
      </c>
      <c r="AJ1165" s="52" t="s">
        <v>376</v>
      </c>
      <c r="AK1165" s="50" t="s">
        <v>658</v>
      </c>
      <c r="AL1165" s="52" t="s">
        <v>1017</v>
      </c>
      <c r="AM1165" s="52" t="s">
        <v>1018</v>
      </c>
      <c r="AN1165" s="52" t="s">
        <v>376</v>
      </c>
      <c r="AO1165" s="50" t="s">
        <v>658</v>
      </c>
      <c r="AP1165" s="52"/>
      <c r="AQ1165" s="52">
        <v>2</v>
      </c>
      <c r="AR1165" s="52"/>
      <c r="AS1165" s="52"/>
      <c r="AT1165" s="46"/>
      <c r="AU1165" s="52" t="s">
        <v>376</v>
      </c>
      <c r="AV1165" s="52"/>
      <c r="AW1165" s="52" t="s">
        <v>30</v>
      </c>
      <c r="AX1165" s="52"/>
      <c r="AY1165" s="52"/>
      <c r="AZ1165" s="52" t="s">
        <v>30</v>
      </c>
      <c r="BA1165" s="52"/>
      <c r="BB1165" s="60"/>
      <c r="BC1165" s="52"/>
      <c r="BD1165" s="60"/>
      <c r="BE1165" s="60"/>
      <c r="BF1165" s="35">
        <v>1</v>
      </c>
      <c r="BG1165" s="52">
        <v>1</v>
      </c>
      <c r="BH1165" s="52"/>
      <c r="BI1165" s="52" t="s">
        <v>587</v>
      </c>
      <c r="BJ1165" s="52" t="s">
        <v>798</v>
      </c>
      <c r="BK1165" s="52">
        <v>1993</v>
      </c>
      <c r="BL1165" s="46" t="str">
        <f>BK1165&amp;BI1165</f>
        <v>1993Arsenal</v>
      </c>
      <c r="BM1165" s="52" t="str">
        <f>IF(AD1165="Home",BI1165,IF(AD1165="Away",BJ1165,Q1165))</f>
        <v>Crystal Palace</v>
      </c>
      <c r="BN1165" s="52"/>
      <c r="BO1165" s="52"/>
      <c r="BP1165" s="52"/>
      <c r="BQ1165" s="52"/>
      <c r="BR1165" s="52"/>
      <c r="BS1165" s="52"/>
      <c r="BT1165" s="52"/>
      <c r="BU1165" s="52"/>
      <c r="BV1165" s="52" t="s">
        <v>376</v>
      </c>
      <c r="BW1165" s="52" t="s">
        <v>376</v>
      </c>
      <c r="BX1165" s="52"/>
      <c r="BY1165" s="52"/>
      <c r="BZ1165" s="53"/>
      <c r="CA1165" s="53"/>
      <c r="CB1165" s="93" t="str">
        <f>IF(OR(C1165="",A1165="",B1165=""),"",TEXT(C1165,"0000")&amp;TEXT(A1165,"00")&amp;TEXT(B1165,"00"))</f>
        <v>19930207</v>
      </c>
    </row>
    <row r="1166" spans="1:80" s="50" customFormat="1" ht="12.95" customHeight="1" x14ac:dyDescent="0.2">
      <c r="A1166" s="46">
        <v>2</v>
      </c>
      <c r="B1166" s="46">
        <v>10</v>
      </c>
      <c r="C1166" s="46">
        <v>1993</v>
      </c>
      <c r="D1166" s="52" t="s">
        <v>658</v>
      </c>
      <c r="E1166" s="52" t="s">
        <v>449</v>
      </c>
      <c r="F1166" s="52" t="s">
        <v>1327</v>
      </c>
      <c r="G1166" s="52"/>
      <c r="H1166" s="52" t="s">
        <v>1011</v>
      </c>
      <c r="I1166" s="52">
        <v>1</v>
      </c>
      <c r="J1166" s="56">
        <v>34010</v>
      </c>
      <c r="K1166" s="52" t="s">
        <v>1094</v>
      </c>
      <c r="L1166" s="52" t="s">
        <v>4</v>
      </c>
      <c r="M1166" s="52" t="s">
        <v>1093</v>
      </c>
      <c r="N1166" s="57">
        <v>2</v>
      </c>
      <c r="O1166" s="57">
        <v>4</v>
      </c>
      <c r="P1166" s="52" t="s">
        <v>1178</v>
      </c>
      <c r="Q1166" s="52" t="s">
        <v>1085</v>
      </c>
      <c r="R1166" s="52" t="s">
        <v>376</v>
      </c>
      <c r="S1166" s="52"/>
      <c r="T1166" s="52"/>
      <c r="U1166" s="52"/>
      <c r="V1166" s="52"/>
      <c r="W1166" s="52"/>
      <c r="X1166" s="52"/>
      <c r="Y1166" s="52"/>
      <c r="Z1166" s="57"/>
      <c r="AA1166" s="58">
        <v>2</v>
      </c>
      <c r="AB1166" s="58">
        <v>4</v>
      </c>
      <c r="AC1166" s="59">
        <v>0</v>
      </c>
      <c r="AD1166" s="52" t="s">
        <v>1033</v>
      </c>
      <c r="AE1166" s="50">
        <f>IF(L1166="W",1,0)</f>
        <v>0</v>
      </c>
      <c r="AF1166" s="50">
        <f>IF(L1166="T",1,0)</f>
        <v>0</v>
      </c>
      <c r="AG1166" s="50">
        <f>IF(L1166="L",1,0)</f>
        <v>1</v>
      </c>
      <c r="AH1166" s="52" t="s">
        <v>1085</v>
      </c>
      <c r="AI1166" s="52" t="s">
        <v>1086</v>
      </c>
      <c r="AJ1166" s="52" t="s">
        <v>376</v>
      </c>
      <c r="AK1166" s="50" t="s">
        <v>658</v>
      </c>
      <c r="AL1166" s="52" t="s">
        <v>1097</v>
      </c>
      <c r="AM1166" s="52" t="s">
        <v>1098</v>
      </c>
      <c r="AN1166" s="52" t="s">
        <v>376</v>
      </c>
      <c r="AO1166" s="50" t="s">
        <v>658</v>
      </c>
      <c r="AP1166" s="52"/>
      <c r="AQ1166" s="52">
        <v>2</v>
      </c>
      <c r="AR1166" s="52"/>
      <c r="AS1166" s="52"/>
      <c r="AT1166" s="46"/>
      <c r="AU1166" s="52" t="s">
        <v>376</v>
      </c>
      <c r="AV1166" s="52"/>
      <c r="AW1166" s="52" t="s">
        <v>30</v>
      </c>
      <c r="AX1166" s="52"/>
      <c r="AY1166" s="52"/>
      <c r="AZ1166" s="52" t="s">
        <v>30</v>
      </c>
      <c r="BA1166" s="52"/>
      <c r="BB1166" s="60"/>
      <c r="BC1166" s="52"/>
      <c r="BD1166" s="60"/>
      <c r="BE1166" s="60"/>
      <c r="BF1166" s="35">
        <v>1</v>
      </c>
      <c r="BG1166" s="52">
        <v>1</v>
      </c>
      <c r="BH1166" s="52"/>
      <c r="BI1166" s="52" t="s">
        <v>1094</v>
      </c>
      <c r="BJ1166" s="52" t="s">
        <v>1093</v>
      </c>
      <c r="BK1166" s="52">
        <v>1993</v>
      </c>
      <c r="BL1166" s="46" t="str">
        <f>BK1166&amp;BI1166</f>
        <v>1993Blackburn Rovers</v>
      </c>
      <c r="BM1166" s="52" t="str">
        <f>IF(AD1166="Home",BI1166,IF(AD1166="Away",BJ1166,Q1166))</f>
        <v>Blackburn Rovers</v>
      </c>
      <c r="BN1166" s="52"/>
      <c r="BO1166" s="52"/>
      <c r="BP1166" s="52"/>
      <c r="BQ1166" s="52"/>
      <c r="BR1166" s="52"/>
      <c r="BS1166" s="52"/>
      <c r="BT1166" s="52"/>
      <c r="BU1166" s="52"/>
      <c r="BV1166" s="52" t="s">
        <v>376</v>
      </c>
      <c r="BW1166" s="52" t="s">
        <v>376</v>
      </c>
      <c r="BX1166" s="52"/>
      <c r="BY1166" s="52"/>
      <c r="BZ1166" s="53"/>
      <c r="CA1166" s="53"/>
      <c r="CB1166" s="93" t="str">
        <f>IF(OR(C1166="",A1166="",B1166=""),"",TEXT(C1166,"0000")&amp;TEXT(A1166,"00")&amp;TEXT(B1166,"00"))</f>
        <v>19930210</v>
      </c>
    </row>
    <row r="1167" spans="1:80" s="50" customFormat="1" ht="12.95" customHeight="1" x14ac:dyDescent="0.2">
      <c r="A1167" s="46">
        <v>2</v>
      </c>
      <c r="B1167" s="46">
        <v>10</v>
      </c>
      <c r="C1167" s="46">
        <v>1993</v>
      </c>
      <c r="D1167" s="52" t="s">
        <v>658</v>
      </c>
      <c r="E1167" s="52" t="s">
        <v>449</v>
      </c>
      <c r="F1167" s="52" t="s">
        <v>1327</v>
      </c>
      <c r="G1167" s="52"/>
      <c r="H1167" s="52" t="s">
        <v>1011</v>
      </c>
      <c r="I1167" s="52">
        <v>1</v>
      </c>
      <c r="J1167" s="56">
        <v>34010</v>
      </c>
      <c r="K1167" s="52" t="s">
        <v>1093</v>
      </c>
      <c r="L1167" s="52" t="s">
        <v>3</v>
      </c>
      <c r="M1167" s="52" t="s">
        <v>1094</v>
      </c>
      <c r="N1167" s="57">
        <v>4</v>
      </c>
      <c r="O1167" s="57">
        <v>2</v>
      </c>
      <c r="P1167" s="52" t="s">
        <v>1178</v>
      </c>
      <c r="Q1167" s="52" t="s">
        <v>1085</v>
      </c>
      <c r="R1167" s="52" t="s">
        <v>376</v>
      </c>
      <c r="S1167" s="52"/>
      <c r="T1167" s="52"/>
      <c r="U1167" s="52"/>
      <c r="V1167" s="52"/>
      <c r="W1167" s="52"/>
      <c r="X1167" s="52"/>
      <c r="Y1167" s="52"/>
      <c r="Z1167" s="57"/>
      <c r="AA1167" s="58">
        <v>4</v>
      </c>
      <c r="AB1167" s="58">
        <v>2</v>
      </c>
      <c r="AC1167" s="59">
        <v>4</v>
      </c>
      <c r="AD1167" s="52" t="s">
        <v>1037</v>
      </c>
      <c r="AE1167" s="50">
        <f>IF(L1167="W",1,0)</f>
        <v>1</v>
      </c>
      <c r="AF1167" s="50">
        <f>IF(L1167="T",1,0)</f>
        <v>0</v>
      </c>
      <c r="AG1167" s="50">
        <f>IF(L1167="L",1,0)</f>
        <v>0</v>
      </c>
      <c r="AH1167" s="52" t="s">
        <v>1097</v>
      </c>
      <c r="AI1167" s="52" t="s">
        <v>1098</v>
      </c>
      <c r="AJ1167" s="52" t="s">
        <v>376</v>
      </c>
      <c r="AK1167" s="50" t="s">
        <v>658</v>
      </c>
      <c r="AL1167" s="52" t="s">
        <v>1085</v>
      </c>
      <c r="AM1167" s="52" t="s">
        <v>1086</v>
      </c>
      <c r="AN1167" s="52" t="s">
        <v>376</v>
      </c>
      <c r="AO1167" s="50" t="s">
        <v>658</v>
      </c>
      <c r="AP1167" s="52"/>
      <c r="AQ1167" s="52">
        <v>2</v>
      </c>
      <c r="AR1167" s="52"/>
      <c r="AS1167" s="52"/>
      <c r="AT1167" s="46"/>
      <c r="AU1167" s="52" t="s">
        <v>376</v>
      </c>
      <c r="AV1167" s="52"/>
      <c r="AW1167" s="52" t="s">
        <v>30</v>
      </c>
      <c r="AX1167" s="52"/>
      <c r="AY1167" s="52"/>
      <c r="AZ1167" s="52" t="s">
        <v>30</v>
      </c>
      <c r="BA1167" s="52"/>
      <c r="BB1167" s="60"/>
      <c r="BC1167" s="52"/>
      <c r="BD1167" s="60"/>
      <c r="BE1167" s="60"/>
      <c r="BF1167" s="35">
        <v>1</v>
      </c>
      <c r="BG1167" s="52">
        <v>1</v>
      </c>
      <c r="BH1167" s="52"/>
      <c r="BI1167" s="52" t="s">
        <v>1093</v>
      </c>
      <c r="BJ1167" s="52" t="s">
        <v>1094</v>
      </c>
      <c r="BK1167" s="52">
        <v>1993</v>
      </c>
      <c r="BL1167" s="46" t="str">
        <f>BK1167&amp;BI1167</f>
        <v>1993Sheffield Wednesday</v>
      </c>
      <c r="BM1167" s="52" t="str">
        <f>IF(AD1167="Home",BI1167,IF(AD1167="Away",BJ1167,Q1167))</f>
        <v>Blackburn Rovers</v>
      </c>
      <c r="BN1167" s="52"/>
      <c r="BO1167" s="52"/>
      <c r="BP1167" s="52"/>
      <c r="BQ1167" s="52"/>
      <c r="BR1167" s="52"/>
      <c r="BS1167" s="52"/>
      <c r="BT1167" s="52"/>
      <c r="BU1167" s="52"/>
      <c r="BV1167" s="52" t="s">
        <v>376</v>
      </c>
      <c r="BW1167" s="52" t="s">
        <v>376</v>
      </c>
      <c r="BX1167" s="52"/>
      <c r="BY1167" s="52"/>
      <c r="BZ1167" s="53"/>
      <c r="CA1167" s="53"/>
      <c r="CB1167" s="93" t="str">
        <f>IF(OR(C1167="",A1167="",B1167=""),"",TEXT(C1167,"0000")&amp;TEXT(A1167,"00")&amp;TEXT(B1167,"00"))</f>
        <v>19930210</v>
      </c>
    </row>
    <row r="1168" spans="1:80" s="50" customFormat="1" ht="12.95" customHeight="1" x14ac:dyDescent="0.2">
      <c r="A1168" s="46">
        <v>3</v>
      </c>
      <c r="B1168" s="46">
        <v>10</v>
      </c>
      <c r="C1168" s="46">
        <v>1993</v>
      </c>
      <c r="D1168" s="52" t="s">
        <v>658</v>
      </c>
      <c r="E1168" s="52" t="s">
        <v>449</v>
      </c>
      <c r="F1168" s="52" t="s">
        <v>1327</v>
      </c>
      <c r="G1168" s="52"/>
      <c r="H1168" s="52" t="s">
        <v>1011</v>
      </c>
      <c r="I1168" s="52">
        <v>2</v>
      </c>
      <c r="J1168" s="56">
        <v>34038</v>
      </c>
      <c r="K1168" s="52" t="s">
        <v>587</v>
      </c>
      <c r="L1168" s="52" t="s">
        <v>3</v>
      </c>
      <c r="M1168" s="52" t="s">
        <v>798</v>
      </c>
      <c r="N1168" s="57">
        <v>2</v>
      </c>
      <c r="O1168" s="57">
        <v>0</v>
      </c>
      <c r="P1168" s="52" t="s">
        <v>1281</v>
      </c>
      <c r="Q1168" s="52" t="s">
        <v>1017</v>
      </c>
      <c r="R1168" s="52" t="s">
        <v>376</v>
      </c>
      <c r="S1168" s="52"/>
      <c r="T1168" s="52"/>
      <c r="U1168" s="52"/>
      <c r="V1168" s="52"/>
      <c r="W1168" s="52"/>
      <c r="X1168" s="52"/>
      <c r="Y1168" s="52"/>
      <c r="Z1168" s="57"/>
      <c r="AA1168" s="58">
        <v>5</v>
      </c>
      <c r="AB1168" s="58">
        <v>1</v>
      </c>
      <c r="AC1168" s="59">
        <v>3</v>
      </c>
      <c r="AD1168" s="52" t="s">
        <v>1033</v>
      </c>
      <c r="AE1168" s="50">
        <f>IF(L1168="W",1,0)</f>
        <v>1</v>
      </c>
      <c r="AF1168" s="50">
        <f>IF(L1168="T",1,0)</f>
        <v>0</v>
      </c>
      <c r="AG1168" s="50">
        <f>IF(L1168="L",1,0)</f>
        <v>0</v>
      </c>
      <c r="AH1168" s="52" t="s">
        <v>1017</v>
      </c>
      <c r="AI1168" s="52" t="s">
        <v>1018</v>
      </c>
      <c r="AJ1168" s="52" t="s">
        <v>376</v>
      </c>
      <c r="AK1168" s="50" t="s">
        <v>658</v>
      </c>
      <c r="AL1168" s="52" t="s">
        <v>1017</v>
      </c>
      <c r="AM1168" s="52" t="s">
        <v>1018</v>
      </c>
      <c r="AN1168" s="52" t="s">
        <v>376</v>
      </c>
      <c r="AO1168" s="50" t="s">
        <v>658</v>
      </c>
      <c r="AP1168" s="52"/>
      <c r="AQ1168" s="52">
        <v>2</v>
      </c>
      <c r="AR1168" s="52"/>
      <c r="AS1168" s="52"/>
      <c r="AT1168" s="46"/>
      <c r="AU1168" s="52" t="s">
        <v>376</v>
      </c>
      <c r="AV1168" s="52"/>
      <c r="AW1168" s="52" t="s">
        <v>30</v>
      </c>
      <c r="AX1168" s="52"/>
      <c r="AY1168" s="52"/>
      <c r="AZ1168" s="52" t="s">
        <v>30</v>
      </c>
      <c r="BA1168" s="52"/>
      <c r="BB1168" s="60"/>
      <c r="BC1168" s="52"/>
      <c r="BD1168" s="60"/>
      <c r="BE1168" s="60"/>
      <c r="BF1168" s="35">
        <v>1</v>
      </c>
      <c r="BG1168" s="52">
        <v>1</v>
      </c>
      <c r="BH1168" s="52"/>
      <c r="BI1168" s="52" t="s">
        <v>587</v>
      </c>
      <c r="BJ1168" s="52" t="s">
        <v>798</v>
      </c>
      <c r="BK1168" s="52">
        <v>1993</v>
      </c>
      <c r="BL1168" s="46" t="str">
        <f>BK1168&amp;BI1168</f>
        <v>1993Arsenal</v>
      </c>
      <c r="BM1168" s="52" t="str">
        <f>IF(AD1168="Home",BI1168,IF(AD1168="Away",BJ1168,Q1168))</f>
        <v>Arsenal</v>
      </c>
      <c r="BN1168" s="52"/>
      <c r="BO1168" s="52"/>
      <c r="BP1168" s="52"/>
      <c r="BQ1168" s="52"/>
      <c r="BR1168" s="52"/>
      <c r="BS1168" s="52"/>
      <c r="BT1168" s="52"/>
      <c r="BU1168" s="52"/>
      <c r="BV1168" s="52" t="s">
        <v>376</v>
      </c>
      <c r="BW1168" s="52" t="s">
        <v>376</v>
      </c>
      <c r="BX1168" s="52"/>
      <c r="BY1168" s="52"/>
      <c r="BZ1168" s="53"/>
      <c r="CA1168" s="53"/>
      <c r="CB1168" s="93" t="str">
        <f>IF(OR(C1168="",A1168="",B1168=""),"",TEXT(C1168,"0000")&amp;TEXT(A1168,"00")&amp;TEXT(B1168,"00"))</f>
        <v>19930310</v>
      </c>
    </row>
    <row r="1169" spans="1:80" s="50" customFormat="1" ht="12.95" customHeight="1" x14ac:dyDescent="0.2">
      <c r="A1169" s="46">
        <v>3</v>
      </c>
      <c r="B1169" s="46">
        <v>10</v>
      </c>
      <c r="C1169" s="46">
        <v>1993</v>
      </c>
      <c r="D1169" s="52" t="s">
        <v>658</v>
      </c>
      <c r="E1169" s="52" t="s">
        <v>449</v>
      </c>
      <c r="F1169" s="52" t="s">
        <v>1327</v>
      </c>
      <c r="G1169" s="52"/>
      <c r="H1169" s="52" t="s">
        <v>1011</v>
      </c>
      <c r="I1169" s="52">
        <v>2</v>
      </c>
      <c r="J1169" s="56">
        <v>34038</v>
      </c>
      <c r="K1169" s="52" t="s">
        <v>798</v>
      </c>
      <c r="L1169" s="52" t="s">
        <v>4</v>
      </c>
      <c r="M1169" s="52" t="s">
        <v>587</v>
      </c>
      <c r="N1169" s="57">
        <v>0</v>
      </c>
      <c r="O1169" s="57">
        <v>2</v>
      </c>
      <c r="P1169" s="52" t="s">
        <v>1281</v>
      </c>
      <c r="Q1169" s="52" t="s">
        <v>1017</v>
      </c>
      <c r="R1169" s="52" t="s">
        <v>376</v>
      </c>
      <c r="S1169" s="52"/>
      <c r="T1169" s="52"/>
      <c r="U1169" s="52"/>
      <c r="V1169" s="52"/>
      <c r="W1169" s="52"/>
      <c r="X1169" s="52"/>
      <c r="Y1169" s="52"/>
      <c r="Z1169" s="57"/>
      <c r="AA1169" s="58">
        <v>1</v>
      </c>
      <c r="AB1169" s="58">
        <v>5</v>
      </c>
      <c r="AC1169" s="59">
        <v>0</v>
      </c>
      <c r="AD1169" s="52" t="s">
        <v>1037</v>
      </c>
      <c r="AE1169" s="50">
        <f>IF(L1169="W",1,0)</f>
        <v>0</v>
      </c>
      <c r="AF1169" s="50">
        <f>IF(L1169="T",1,0)</f>
        <v>0</v>
      </c>
      <c r="AG1169" s="50">
        <f>IF(L1169="L",1,0)</f>
        <v>1</v>
      </c>
      <c r="AH1169" s="52" t="s">
        <v>1017</v>
      </c>
      <c r="AI1169" s="52" t="s">
        <v>1018</v>
      </c>
      <c r="AJ1169" s="52" t="s">
        <v>376</v>
      </c>
      <c r="AK1169" s="50" t="s">
        <v>658</v>
      </c>
      <c r="AL1169" s="52" t="s">
        <v>1017</v>
      </c>
      <c r="AM1169" s="52" t="s">
        <v>1018</v>
      </c>
      <c r="AN1169" s="52" t="s">
        <v>376</v>
      </c>
      <c r="AO1169" s="50" t="s">
        <v>658</v>
      </c>
      <c r="AP1169" s="52"/>
      <c r="AQ1169" s="52">
        <v>2</v>
      </c>
      <c r="AR1169" s="52"/>
      <c r="AS1169" s="52">
        <v>1</v>
      </c>
      <c r="AT1169" s="46"/>
      <c r="AU1169" s="52" t="s">
        <v>376</v>
      </c>
      <c r="AV1169" s="52"/>
      <c r="AW1169" s="52" t="s">
        <v>30</v>
      </c>
      <c r="AX1169" s="52"/>
      <c r="AY1169" s="52"/>
      <c r="AZ1169" s="52" t="s">
        <v>30</v>
      </c>
      <c r="BA1169" s="52"/>
      <c r="BB1169" s="60"/>
      <c r="BC1169" s="52"/>
      <c r="BD1169" s="60"/>
      <c r="BE1169" s="60"/>
      <c r="BF1169" s="35">
        <v>1</v>
      </c>
      <c r="BG1169" s="52">
        <v>1</v>
      </c>
      <c r="BH1169" s="52"/>
      <c r="BI1169" s="52" t="s">
        <v>798</v>
      </c>
      <c r="BJ1169" s="52" t="s">
        <v>587</v>
      </c>
      <c r="BK1169" s="52">
        <v>1993</v>
      </c>
      <c r="BL1169" s="46" t="str">
        <f>BK1169&amp;BI1169</f>
        <v>1993Crystal Palace</v>
      </c>
      <c r="BM1169" s="52" t="str">
        <f>IF(AD1169="Home",BI1169,IF(AD1169="Away",BJ1169,Q1169))</f>
        <v>Arsenal</v>
      </c>
      <c r="BN1169" s="52"/>
      <c r="BO1169" s="52"/>
      <c r="BP1169" s="52"/>
      <c r="BQ1169" s="52"/>
      <c r="BR1169" s="52"/>
      <c r="BS1169" s="52"/>
      <c r="BT1169" s="52"/>
      <c r="BU1169" s="52"/>
      <c r="BV1169" s="52" t="s">
        <v>376</v>
      </c>
      <c r="BW1169" s="52" t="s">
        <v>376</v>
      </c>
      <c r="BX1169" s="52"/>
      <c r="BY1169" s="52"/>
      <c r="BZ1169" s="53"/>
      <c r="CA1169" s="53"/>
      <c r="CB1169" s="93" t="str">
        <f>IF(OR(C1169="",A1169="",B1169=""),"",TEXT(C1169,"0000")&amp;TEXT(A1169,"00")&amp;TEXT(B1169,"00"))</f>
        <v>19930310</v>
      </c>
    </row>
    <row r="1170" spans="1:80" s="50" customFormat="1" ht="12.95" customHeight="1" x14ac:dyDescent="0.2">
      <c r="A1170" s="46">
        <v>3</v>
      </c>
      <c r="B1170" s="46">
        <v>14</v>
      </c>
      <c r="C1170" s="46">
        <v>1993</v>
      </c>
      <c r="D1170" s="52" t="s">
        <v>658</v>
      </c>
      <c r="E1170" s="52" t="s">
        <v>449</v>
      </c>
      <c r="F1170" s="52" t="s">
        <v>1327</v>
      </c>
      <c r="G1170" s="52"/>
      <c r="H1170" s="52" t="s">
        <v>1011</v>
      </c>
      <c r="I1170" s="52">
        <v>2</v>
      </c>
      <c r="J1170" s="56">
        <v>34042</v>
      </c>
      <c r="K1170" s="52" t="s">
        <v>1093</v>
      </c>
      <c r="L1170" s="52" t="s">
        <v>3</v>
      </c>
      <c r="M1170" s="52" t="s">
        <v>1094</v>
      </c>
      <c r="N1170" s="57">
        <v>2</v>
      </c>
      <c r="O1170" s="57">
        <v>1</v>
      </c>
      <c r="P1170" s="52" t="s">
        <v>1252</v>
      </c>
      <c r="Q1170" s="52" t="s">
        <v>1097</v>
      </c>
      <c r="R1170" s="52" t="s">
        <v>376</v>
      </c>
      <c r="S1170" s="52"/>
      <c r="T1170" s="52"/>
      <c r="U1170" s="52"/>
      <c r="V1170" s="52"/>
      <c r="W1170" s="52"/>
      <c r="X1170" s="52"/>
      <c r="Y1170" s="52"/>
      <c r="Z1170" s="57"/>
      <c r="AA1170" s="58">
        <v>6</v>
      </c>
      <c r="AB1170" s="58">
        <v>3</v>
      </c>
      <c r="AC1170" s="59">
        <v>4</v>
      </c>
      <c r="AD1170" s="52" t="s">
        <v>1033</v>
      </c>
      <c r="AE1170" s="50">
        <f>IF(L1170="W",1,0)</f>
        <v>1</v>
      </c>
      <c r="AF1170" s="50">
        <f>IF(L1170="T",1,0)</f>
        <v>0</v>
      </c>
      <c r="AG1170" s="50">
        <f>IF(L1170="L",1,0)</f>
        <v>0</v>
      </c>
      <c r="AH1170" s="52" t="s">
        <v>1097</v>
      </c>
      <c r="AI1170" s="52" t="s">
        <v>1098</v>
      </c>
      <c r="AJ1170" s="52" t="s">
        <v>376</v>
      </c>
      <c r="AK1170" s="50" t="s">
        <v>658</v>
      </c>
      <c r="AL1170" s="52" t="s">
        <v>1085</v>
      </c>
      <c r="AM1170" s="52" t="s">
        <v>1086</v>
      </c>
      <c r="AN1170" s="52" t="s">
        <v>376</v>
      </c>
      <c r="AO1170" s="50" t="s">
        <v>658</v>
      </c>
      <c r="AP1170" s="52"/>
      <c r="AQ1170" s="52">
        <v>2</v>
      </c>
      <c r="AR1170" s="52"/>
      <c r="AS1170" s="52"/>
      <c r="AT1170" s="46"/>
      <c r="AU1170" s="52" t="s">
        <v>376</v>
      </c>
      <c r="AV1170" s="52"/>
      <c r="AW1170" s="52" t="s">
        <v>30</v>
      </c>
      <c r="AX1170" s="52"/>
      <c r="AY1170" s="52"/>
      <c r="AZ1170" s="52" t="s">
        <v>30</v>
      </c>
      <c r="BA1170" s="52"/>
      <c r="BB1170" s="60"/>
      <c r="BC1170" s="52"/>
      <c r="BD1170" s="60"/>
      <c r="BE1170" s="60"/>
      <c r="BF1170" s="35">
        <v>1</v>
      </c>
      <c r="BG1170" s="52">
        <v>1</v>
      </c>
      <c r="BH1170" s="52"/>
      <c r="BI1170" s="52" t="s">
        <v>1093</v>
      </c>
      <c r="BJ1170" s="52" t="s">
        <v>1094</v>
      </c>
      <c r="BK1170" s="52">
        <v>1993</v>
      </c>
      <c r="BL1170" s="46" t="str">
        <f>BK1170&amp;BI1170</f>
        <v>1993Sheffield Wednesday</v>
      </c>
      <c r="BM1170" s="52" t="str">
        <f>IF(AD1170="Home",BI1170,IF(AD1170="Away",BJ1170,Q1170))</f>
        <v>Sheffield Wednesday</v>
      </c>
      <c r="BN1170" s="52"/>
      <c r="BO1170" s="52"/>
      <c r="BP1170" s="52"/>
      <c r="BQ1170" s="52"/>
      <c r="BR1170" s="52"/>
      <c r="BS1170" s="52"/>
      <c r="BT1170" s="52"/>
      <c r="BU1170" s="52"/>
      <c r="BV1170" s="52" t="s">
        <v>376</v>
      </c>
      <c r="BW1170" s="52" t="s">
        <v>376</v>
      </c>
      <c r="BX1170" s="52"/>
      <c r="BZ1170" s="53"/>
      <c r="CA1170" s="53"/>
      <c r="CB1170" s="93" t="str">
        <f>IF(OR(C1170="",A1170="",B1170=""),"",TEXT(C1170,"0000")&amp;TEXT(A1170,"00")&amp;TEXT(B1170,"00"))</f>
        <v>19930314</v>
      </c>
    </row>
    <row r="1171" spans="1:80" s="50" customFormat="1" ht="12.95" customHeight="1" x14ac:dyDescent="0.2">
      <c r="A1171" s="46">
        <v>3</v>
      </c>
      <c r="B1171" s="46">
        <v>14</v>
      </c>
      <c r="C1171" s="46">
        <v>1993</v>
      </c>
      <c r="D1171" s="52" t="s">
        <v>658</v>
      </c>
      <c r="E1171" s="52" t="s">
        <v>449</v>
      </c>
      <c r="F1171" s="52" t="s">
        <v>1327</v>
      </c>
      <c r="G1171" s="52"/>
      <c r="H1171" s="52" t="s">
        <v>1011</v>
      </c>
      <c r="I1171" s="52">
        <v>2</v>
      </c>
      <c r="J1171" s="56">
        <v>34042</v>
      </c>
      <c r="K1171" s="52" t="s">
        <v>1094</v>
      </c>
      <c r="L1171" s="52" t="s">
        <v>4</v>
      </c>
      <c r="M1171" s="52" t="s">
        <v>1093</v>
      </c>
      <c r="N1171" s="57">
        <v>1</v>
      </c>
      <c r="O1171" s="57">
        <v>2</v>
      </c>
      <c r="P1171" s="52" t="s">
        <v>1252</v>
      </c>
      <c r="Q1171" s="52" t="s">
        <v>1097</v>
      </c>
      <c r="R1171" s="52" t="s">
        <v>376</v>
      </c>
      <c r="S1171" s="52"/>
      <c r="T1171" s="52"/>
      <c r="U1171" s="52"/>
      <c r="V1171" s="52"/>
      <c r="W1171" s="52"/>
      <c r="X1171" s="52"/>
      <c r="Y1171" s="52"/>
      <c r="Z1171" s="57"/>
      <c r="AA1171" s="58">
        <v>3</v>
      </c>
      <c r="AB1171" s="58">
        <v>6</v>
      </c>
      <c r="AC1171" s="59">
        <v>1</v>
      </c>
      <c r="AD1171" s="52" t="s">
        <v>1037</v>
      </c>
      <c r="AE1171" s="50">
        <f>IF(L1171="W",1,0)</f>
        <v>0</v>
      </c>
      <c r="AF1171" s="50">
        <f>IF(L1171="T",1,0)</f>
        <v>0</v>
      </c>
      <c r="AG1171" s="50">
        <f>IF(L1171="L",1,0)</f>
        <v>1</v>
      </c>
      <c r="AH1171" s="52" t="s">
        <v>1085</v>
      </c>
      <c r="AI1171" s="52" t="s">
        <v>1086</v>
      </c>
      <c r="AJ1171" s="52" t="s">
        <v>376</v>
      </c>
      <c r="AK1171" s="50" t="s">
        <v>658</v>
      </c>
      <c r="AL1171" s="52" t="s">
        <v>1097</v>
      </c>
      <c r="AM1171" s="52" t="s">
        <v>1098</v>
      </c>
      <c r="AN1171" s="52" t="s">
        <v>376</v>
      </c>
      <c r="AO1171" s="50" t="s">
        <v>658</v>
      </c>
      <c r="AP1171" s="52"/>
      <c r="AQ1171" s="52">
        <v>2</v>
      </c>
      <c r="AR1171" s="52"/>
      <c r="AS1171" s="52">
        <v>1</v>
      </c>
      <c r="AT1171" s="46"/>
      <c r="AU1171" s="52" t="s">
        <v>376</v>
      </c>
      <c r="AV1171" s="52"/>
      <c r="AW1171" s="52" t="s">
        <v>30</v>
      </c>
      <c r="AX1171" s="52"/>
      <c r="AY1171" s="52"/>
      <c r="AZ1171" s="52" t="s">
        <v>30</v>
      </c>
      <c r="BA1171" s="52"/>
      <c r="BB1171" s="60"/>
      <c r="BC1171" s="52"/>
      <c r="BD1171" s="60"/>
      <c r="BE1171" s="60"/>
      <c r="BF1171" s="35">
        <v>1</v>
      </c>
      <c r="BG1171" s="52">
        <v>1</v>
      </c>
      <c r="BH1171" s="52"/>
      <c r="BI1171" s="52" t="s">
        <v>1094</v>
      </c>
      <c r="BJ1171" s="52" t="s">
        <v>1093</v>
      </c>
      <c r="BK1171" s="52">
        <v>1993</v>
      </c>
      <c r="BL1171" s="46" t="str">
        <f>BK1171&amp;BI1171</f>
        <v>1993Blackburn Rovers</v>
      </c>
      <c r="BM1171" s="52" t="str">
        <f>IF(AD1171="Home",BI1171,IF(AD1171="Away",BJ1171,Q1171))</f>
        <v>Sheffield Wednesday</v>
      </c>
      <c r="BN1171" s="52"/>
      <c r="BO1171" s="52"/>
      <c r="BP1171" s="52"/>
      <c r="BQ1171" s="52"/>
      <c r="BR1171" s="52"/>
      <c r="BS1171" s="52"/>
      <c r="BT1171" s="52"/>
      <c r="BU1171" s="52"/>
      <c r="BV1171" s="52" t="s">
        <v>376</v>
      </c>
      <c r="BW1171" s="52" t="s">
        <v>376</v>
      </c>
      <c r="BX1171" s="52"/>
      <c r="BZ1171" s="53"/>
      <c r="CA1171" s="53"/>
      <c r="CB1171" s="93" t="str">
        <f>IF(OR(C1171="",A1171="",B1171=""),"",TEXT(C1171,"0000")&amp;TEXT(A1171,"00")&amp;TEXT(B1171,"00"))</f>
        <v>19930314</v>
      </c>
    </row>
    <row r="1172" spans="1:80" s="50" customFormat="1" ht="12.95" customHeight="1" x14ac:dyDescent="0.2">
      <c r="A1172" s="46">
        <v>4</v>
      </c>
      <c r="B1172" s="46">
        <v>3</v>
      </c>
      <c r="C1172" s="46">
        <v>1993</v>
      </c>
      <c r="D1172" s="52" t="s">
        <v>658</v>
      </c>
      <c r="E1172" s="52" t="s">
        <v>449</v>
      </c>
      <c r="F1172" s="52" t="s">
        <v>1010</v>
      </c>
      <c r="G1172" s="52"/>
      <c r="H1172" s="52" t="s">
        <v>1011</v>
      </c>
      <c r="I1172" s="52"/>
      <c r="J1172" s="56">
        <v>34062</v>
      </c>
      <c r="K1172" s="52" t="s">
        <v>1093</v>
      </c>
      <c r="L1172" s="52" t="s">
        <v>3</v>
      </c>
      <c r="M1172" s="52" t="s">
        <v>1207</v>
      </c>
      <c r="N1172" s="57">
        <v>2</v>
      </c>
      <c r="O1172" s="57">
        <v>1</v>
      </c>
      <c r="P1172" s="52" t="s">
        <v>1268</v>
      </c>
      <c r="Q1172" s="52" t="s">
        <v>1017</v>
      </c>
      <c r="R1172" s="52" t="s">
        <v>376</v>
      </c>
      <c r="S1172" s="52"/>
      <c r="T1172" s="52"/>
      <c r="U1172" s="52"/>
      <c r="V1172" s="52"/>
      <c r="W1172" s="52"/>
      <c r="X1172" s="52"/>
      <c r="Y1172" s="52"/>
      <c r="Z1172" s="57"/>
      <c r="AA1172" s="52"/>
      <c r="AB1172" s="52"/>
      <c r="AC1172" s="52"/>
      <c r="AD1172" s="52"/>
      <c r="AE1172" s="50">
        <f>IF(L1172="W",1,0)</f>
        <v>1</v>
      </c>
      <c r="AF1172" s="50">
        <f>IF(L1172="T",1,0)</f>
        <v>0</v>
      </c>
      <c r="AG1172" s="50">
        <f>IF(L1172="L",1,0)</f>
        <v>0</v>
      </c>
      <c r="AH1172" s="52" t="s">
        <v>1097</v>
      </c>
      <c r="AI1172" s="52" t="s">
        <v>1098</v>
      </c>
      <c r="AJ1172" s="52" t="s">
        <v>376</v>
      </c>
      <c r="AK1172" s="50" t="s">
        <v>658</v>
      </c>
      <c r="AL1172" s="52" t="s">
        <v>1097</v>
      </c>
      <c r="AM1172" s="52" t="s">
        <v>1098</v>
      </c>
      <c r="AN1172" s="52" t="s">
        <v>376</v>
      </c>
      <c r="AO1172" s="50" t="s">
        <v>658</v>
      </c>
      <c r="AP1172" s="52"/>
      <c r="AQ1172" s="52">
        <v>2</v>
      </c>
      <c r="AR1172" s="52"/>
      <c r="AS1172" s="52"/>
      <c r="AT1172" s="46" t="s">
        <v>1392</v>
      </c>
      <c r="AU1172" s="52" t="s">
        <v>376</v>
      </c>
      <c r="AV1172" s="52"/>
      <c r="AW1172" s="52" t="s">
        <v>30</v>
      </c>
      <c r="AX1172" s="52"/>
      <c r="AY1172" s="52" t="s">
        <v>30</v>
      </c>
      <c r="AZ1172" s="52"/>
      <c r="BA1172" s="52"/>
      <c r="BB1172" s="60"/>
      <c r="BC1172" s="52"/>
      <c r="BD1172" s="60"/>
      <c r="BE1172" s="60"/>
      <c r="BF1172" s="35">
        <v>1</v>
      </c>
      <c r="BG1172" s="52">
        <v>1</v>
      </c>
      <c r="BH1172" s="52"/>
      <c r="BI1172" s="52" t="s">
        <v>1093</v>
      </c>
      <c r="BJ1172" s="52" t="s">
        <v>1207</v>
      </c>
      <c r="BK1172" s="52">
        <v>1993</v>
      </c>
      <c r="BL1172" s="46" t="str">
        <f>BK1172&amp;BI1172</f>
        <v>1993Sheffield Wednesday</v>
      </c>
      <c r="BM1172" s="52" t="str">
        <f>IF(AD1172="Home",BI1172,IF(AD1172="Away",BJ1172,Q1172))</f>
        <v>London</v>
      </c>
      <c r="BN1172" s="52"/>
      <c r="BO1172" s="52"/>
      <c r="BP1172" s="52"/>
      <c r="BQ1172" s="52"/>
      <c r="BR1172" s="52"/>
      <c r="BS1172" s="52"/>
      <c r="BT1172" s="52"/>
      <c r="BU1172" s="52"/>
      <c r="BV1172" s="52" t="s">
        <v>376</v>
      </c>
      <c r="BW1172" s="52" t="s">
        <v>376</v>
      </c>
      <c r="BX1172" s="52"/>
      <c r="BY1172" s="52"/>
      <c r="BZ1172" s="53"/>
      <c r="CA1172" s="53"/>
      <c r="CB1172" s="93" t="str">
        <f>IF(OR(C1172="",A1172="",B1172=""),"",TEXT(C1172,"0000")&amp;TEXT(A1172,"00")&amp;TEXT(B1172,"00"))</f>
        <v>19930403</v>
      </c>
    </row>
    <row r="1173" spans="1:80" s="50" customFormat="1" ht="12.95" customHeight="1" x14ac:dyDescent="0.2">
      <c r="A1173" s="46">
        <v>4</v>
      </c>
      <c r="B1173" s="46">
        <v>3</v>
      </c>
      <c r="C1173" s="46">
        <v>1993</v>
      </c>
      <c r="D1173" s="52" t="s">
        <v>658</v>
      </c>
      <c r="E1173" s="52" t="s">
        <v>449</v>
      </c>
      <c r="F1173" s="52" t="s">
        <v>1010</v>
      </c>
      <c r="G1173" s="52"/>
      <c r="H1173" s="52" t="s">
        <v>1011</v>
      </c>
      <c r="I1173" s="52"/>
      <c r="J1173" s="56">
        <v>34062</v>
      </c>
      <c r="K1173" s="52" t="s">
        <v>1207</v>
      </c>
      <c r="L1173" s="52" t="s">
        <v>4</v>
      </c>
      <c r="M1173" s="52" t="s">
        <v>1093</v>
      </c>
      <c r="N1173" s="57">
        <v>1</v>
      </c>
      <c r="O1173" s="57">
        <v>2</v>
      </c>
      <c r="P1173" s="52" t="s">
        <v>1268</v>
      </c>
      <c r="Q1173" s="52" t="s">
        <v>1017</v>
      </c>
      <c r="R1173" s="52" t="s">
        <v>376</v>
      </c>
      <c r="S1173" s="52"/>
      <c r="T1173" s="52"/>
      <c r="U1173" s="52"/>
      <c r="V1173" s="52"/>
      <c r="W1173" s="52"/>
      <c r="X1173" s="52"/>
      <c r="Y1173" s="52"/>
      <c r="Z1173" s="57"/>
      <c r="AA1173" s="52"/>
      <c r="AB1173" s="52"/>
      <c r="AC1173" s="52"/>
      <c r="AD1173" s="52"/>
      <c r="AE1173" s="50">
        <f>IF(L1173="W",1,0)</f>
        <v>0</v>
      </c>
      <c r="AF1173" s="50">
        <f>IF(L1173="T",1,0)</f>
        <v>0</v>
      </c>
      <c r="AG1173" s="50">
        <f>IF(L1173="L",1,0)</f>
        <v>1</v>
      </c>
      <c r="AH1173" s="52" t="s">
        <v>1097</v>
      </c>
      <c r="AI1173" s="52" t="s">
        <v>1098</v>
      </c>
      <c r="AJ1173" s="52" t="s">
        <v>376</v>
      </c>
      <c r="AK1173" s="50" t="s">
        <v>658</v>
      </c>
      <c r="AL1173" s="52" t="s">
        <v>1097</v>
      </c>
      <c r="AM1173" s="52" t="s">
        <v>1098</v>
      </c>
      <c r="AN1173" s="52" t="s">
        <v>376</v>
      </c>
      <c r="AO1173" s="50" t="s">
        <v>658</v>
      </c>
      <c r="AP1173" s="52"/>
      <c r="AQ1173" s="52">
        <v>2</v>
      </c>
      <c r="AR1173" s="52"/>
      <c r="AS1173" s="52">
        <v>1</v>
      </c>
      <c r="AT1173" s="46" t="s">
        <v>1392</v>
      </c>
      <c r="AU1173" s="52" t="s">
        <v>376</v>
      </c>
      <c r="AV1173" s="52"/>
      <c r="AW1173" s="52" t="s">
        <v>30</v>
      </c>
      <c r="AX1173" s="52"/>
      <c r="AY1173" s="52" t="s">
        <v>30</v>
      </c>
      <c r="AZ1173" s="52"/>
      <c r="BA1173" s="52"/>
      <c r="BB1173" s="60"/>
      <c r="BC1173" s="52"/>
      <c r="BD1173" s="60"/>
      <c r="BE1173" s="60"/>
      <c r="BF1173" s="35">
        <v>1</v>
      </c>
      <c r="BG1173" s="52">
        <v>1</v>
      </c>
      <c r="BH1173" s="52"/>
      <c r="BI1173" s="52" t="s">
        <v>1207</v>
      </c>
      <c r="BJ1173" s="52" t="s">
        <v>1093</v>
      </c>
      <c r="BK1173" s="52">
        <v>1993</v>
      </c>
      <c r="BL1173" s="46" t="str">
        <f>BK1173&amp;BI1173</f>
        <v>1993Sheffield United</v>
      </c>
      <c r="BM1173" s="52" t="str">
        <f>IF(AD1173="Home",BI1173,IF(AD1173="Away",BJ1173,Q1173))</f>
        <v>London</v>
      </c>
      <c r="BN1173" s="52"/>
      <c r="BO1173" s="52"/>
      <c r="BP1173" s="52"/>
      <c r="BQ1173" s="52"/>
      <c r="BR1173" s="52"/>
      <c r="BS1173" s="52"/>
      <c r="BT1173" s="52"/>
      <c r="BU1173" s="52"/>
      <c r="BV1173" s="52" t="s">
        <v>376</v>
      </c>
      <c r="BW1173" s="52" t="s">
        <v>376</v>
      </c>
      <c r="BX1173" s="52"/>
      <c r="BY1173" s="52"/>
      <c r="BZ1173" s="53"/>
      <c r="CA1173" s="53"/>
      <c r="CB1173" s="93" t="str">
        <f>IF(OR(C1173="",A1173="",B1173=""),"",TEXT(C1173,"0000")&amp;TEXT(A1173,"00")&amp;TEXT(B1173,"00"))</f>
        <v>19930403</v>
      </c>
    </row>
    <row r="1174" spans="1:80" s="50" customFormat="1" ht="12.95" customHeight="1" x14ac:dyDescent="0.2">
      <c r="A1174" s="46">
        <v>4</v>
      </c>
      <c r="B1174" s="46">
        <v>4</v>
      </c>
      <c r="C1174" s="46">
        <v>1993</v>
      </c>
      <c r="D1174" s="52" t="s">
        <v>658</v>
      </c>
      <c r="E1174" s="52" t="s">
        <v>449</v>
      </c>
      <c r="F1174" s="52" t="s">
        <v>1010</v>
      </c>
      <c r="G1174" s="52"/>
      <c r="H1174" s="52" t="s">
        <v>1011</v>
      </c>
      <c r="I1174" s="52"/>
      <c r="J1174" s="56">
        <v>34063</v>
      </c>
      <c r="K1174" s="52" t="s">
        <v>587</v>
      </c>
      <c r="L1174" s="52" t="s">
        <v>3</v>
      </c>
      <c r="M1174" s="52" t="s">
        <v>813</v>
      </c>
      <c r="N1174" s="57">
        <v>1</v>
      </c>
      <c r="O1174" s="57">
        <v>0</v>
      </c>
      <c r="P1174" s="52" t="s">
        <v>1268</v>
      </c>
      <c r="Q1174" s="52" t="s">
        <v>1017</v>
      </c>
      <c r="R1174" s="52" t="s">
        <v>376</v>
      </c>
      <c r="S1174" s="52"/>
      <c r="T1174" s="52"/>
      <c r="U1174" s="52"/>
      <c r="V1174" s="52"/>
      <c r="W1174" s="52"/>
      <c r="X1174" s="52"/>
      <c r="Y1174" s="52"/>
      <c r="Z1174" s="57"/>
      <c r="AA1174" s="52"/>
      <c r="AB1174" s="52"/>
      <c r="AC1174" s="52"/>
      <c r="AD1174" s="52"/>
      <c r="AE1174" s="50">
        <f>IF(L1174="W",1,0)</f>
        <v>1</v>
      </c>
      <c r="AF1174" s="50">
        <f>IF(L1174="T",1,0)</f>
        <v>0</v>
      </c>
      <c r="AG1174" s="50">
        <f>IF(L1174="L",1,0)</f>
        <v>0</v>
      </c>
      <c r="AH1174" s="52" t="s">
        <v>1017</v>
      </c>
      <c r="AI1174" s="52" t="s">
        <v>1018</v>
      </c>
      <c r="AJ1174" s="52" t="s">
        <v>376</v>
      </c>
      <c r="AK1174" s="50" t="s">
        <v>658</v>
      </c>
      <c r="AL1174" s="52" t="s">
        <v>1017</v>
      </c>
      <c r="AM1174" s="52" t="s">
        <v>1018</v>
      </c>
      <c r="AN1174" s="52" t="s">
        <v>376</v>
      </c>
      <c r="AO1174" s="50" t="s">
        <v>658</v>
      </c>
      <c r="AP1174" s="52"/>
      <c r="AQ1174" s="52">
        <v>2</v>
      </c>
      <c r="AR1174" s="52"/>
      <c r="AS1174" s="52"/>
      <c r="AT1174" s="46" t="s">
        <v>1351</v>
      </c>
      <c r="AU1174" s="52" t="s">
        <v>376</v>
      </c>
      <c r="AV1174" s="52"/>
      <c r="AW1174" s="52" t="s">
        <v>30</v>
      </c>
      <c r="AX1174" s="52"/>
      <c r="AY1174" s="52" t="s">
        <v>30</v>
      </c>
      <c r="AZ1174" s="52"/>
      <c r="BA1174" s="52"/>
      <c r="BB1174" s="60"/>
      <c r="BC1174" s="52"/>
      <c r="BD1174" s="60"/>
      <c r="BE1174" s="60"/>
      <c r="BF1174" s="35">
        <v>1</v>
      </c>
      <c r="BG1174" s="52">
        <v>1</v>
      </c>
      <c r="BH1174" s="52"/>
      <c r="BI1174" s="52" t="s">
        <v>587</v>
      </c>
      <c r="BJ1174" s="52" t="s">
        <v>813</v>
      </c>
      <c r="BK1174" s="52">
        <v>1993</v>
      </c>
      <c r="BL1174" s="46" t="str">
        <f>BK1174&amp;BI1174</f>
        <v>1993Arsenal</v>
      </c>
      <c r="BM1174" s="52" t="str">
        <f>IF(AD1174="Home",BI1174,IF(AD1174="Away",BJ1174,Q1174))</f>
        <v>London</v>
      </c>
      <c r="BN1174" s="52"/>
      <c r="BO1174" s="52"/>
      <c r="BP1174" s="52"/>
      <c r="BQ1174" s="52"/>
      <c r="BR1174" s="52"/>
      <c r="BS1174" s="52"/>
      <c r="BT1174" s="52"/>
      <c r="BU1174" s="52"/>
      <c r="BV1174" s="52" t="s">
        <v>376</v>
      </c>
      <c r="BW1174" s="52" t="s">
        <v>376</v>
      </c>
      <c r="BX1174" s="52"/>
      <c r="BY1174" s="52"/>
      <c r="BZ1174" s="53"/>
      <c r="CA1174" s="53"/>
      <c r="CB1174" s="93" t="str">
        <f>IF(OR(C1174="",A1174="",B1174=""),"",TEXT(C1174,"0000")&amp;TEXT(A1174,"00")&amp;TEXT(B1174,"00"))</f>
        <v>19930404</v>
      </c>
    </row>
    <row r="1175" spans="1:80" s="50" customFormat="1" ht="12.95" customHeight="1" x14ac:dyDescent="0.2">
      <c r="A1175" s="46">
        <v>4</v>
      </c>
      <c r="B1175" s="46">
        <v>4</v>
      </c>
      <c r="C1175" s="46">
        <v>1993</v>
      </c>
      <c r="D1175" s="52" t="s">
        <v>658</v>
      </c>
      <c r="E1175" s="52" t="s">
        <v>449</v>
      </c>
      <c r="F1175" s="52" t="s">
        <v>1010</v>
      </c>
      <c r="G1175" s="52"/>
      <c r="H1175" s="52" t="s">
        <v>1011</v>
      </c>
      <c r="I1175" s="52"/>
      <c r="J1175" s="56">
        <v>34063</v>
      </c>
      <c r="K1175" s="52" t="s">
        <v>813</v>
      </c>
      <c r="L1175" s="52" t="s">
        <v>4</v>
      </c>
      <c r="M1175" s="52" t="s">
        <v>587</v>
      </c>
      <c r="N1175" s="57">
        <v>0</v>
      </c>
      <c r="O1175" s="57">
        <v>1</v>
      </c>
      <c r="P1175" s="52" t="s">
        <v>1268</v>
      </c>
      <c r="Q1175" s="52" t="s">
        <v>1017</v>
      </c>
      <c r="R1175" s="52" t="s">
        <v>376</v>
      </c>
      <c r="S1175" s="52"/>
      <c r="T1175" s="52"/>
      <c r="U1175" s="52"/>
      <c r="V1175" s="52"/>
      <c r="W1175" s="52"/>
      <c r="X1175" s="52"/>
      <c r="Y1175" s="52"/>
      <c r="Z1175" s="57"/>
      <c r="AA1175" s="52"/>
      <c r="AB1175" s="52"/>
      <c r="AC1175" s="52"/>
      <c r="AD1175" s="52"/>
      <c r="AE1175" s="50">
        <f>IF(L1175="W",1,0)</f>
        <v>0</v>
      </c>
      <c r="AF1175" s="50">
        <f>IF(L1175="T",1,0)</f>
        <v>0</v>
      </c>
      <c r="AG1175" s="50">
        <f>IF(L1175="L",1,0)</f>
        <v>1</v>
      </c>
      <c r="AH1175" s="52" t="s">
        <v>1017</v>
      </c>
      <c r="AI1175" s="52" t="s">
        <v>1018</v>
      </c>
      <c r="AJ1175" s="52" t="s">
        <v>376</v>
      </c>
      <c r="AK1175" s="50" t="s">
        <v>658</v>
      </c>
      <c r="AL1175" s="52" t="s">
        <v>1017</v>
      </c>
      <c r="AM1175" s="52" t="s">
        <v>1018</v>
      </c>
      <c r="AN1175" s="52" t="s">
        <v>376</v>
      </c>
      <c r="AO1175" s="50" t="s">
        <v>658</v>
      </c>
      <c r="AP1175" s="52"/>
      <c r="AQ1175" s="52">
        <v>2</v>
      </c>
      <c r="AR1175" s="52"/>
      <c r="AS1175" s="52">
        <v>1</v>
      </c>
      <c r="AT1175" s="46" t="s">
        <v>1351</v>
      </c>
      <c r="AU1175" s="52" t="s">
        <v>376</v>
      </c>
      <c r="AV1175" s="52"/>
      <c r="AW1175" s="52" t="s">
        <v>30</v>
      </c>
      <c r="AX1175" s="52"/>
      <c r="AY1175" s="52" t="s">
        <v>30</v>
      </c>
      <c r="AZ1175" s="52"/>
      <c r="BA1175" s="52"/>
      <c r="BB1175" s="60"/>
      <c r="BC1175" s="52"/>
      <c r="BD1175" s="60"/>
      <c r="BE1175" s="60"/>
      <c r="BF1175" s="35">
        <v>1</v>
      </c>
      <c r="BG1175" s="52">
        <v>1</v>
      </c>
      <c r="BH1175" s="52"/>
      <c r="BI1175" s="52" t="s">
        <v>813</v>
      </c>
      <c r="BJ1175" s="52" t="s">
        <v>587</v>
      </c>
      <c r="BK1175" s="52">
        <v>1993</v>
      </c>
      <c r="BL1175" s="46" t="str">
        <f>BK1175&amp;BI1175</f>
        <v>1993Tottenham Hotspur</v>
      </c>
      <c r="BM1175" s="52" t="str">
        <f>IF(AD1175="Home",BI1175,IF(AD1175="Away",BJ1175,Q1175))</f>
        <v>London</v>
      </c>
      <c r="BN1175" s="52"/>
      <c r="BO1175" s="52"/>
      <c r="BP1175" s="52"/>
      <c r="BQ1175" s="52"/>
      <c r="BR1175" s="52"/>
      <c r="BS1175" s="52"/>
      <c r="BT1175" s="52"/>
      <c r="BU1175" s="52"/>
      <c r="BV1175" s="52" t="s">
        <v>376</v>
      </c>
      <c r="BW1175" s="52" t="s">
        <v>376</v>
      </c>
      <c r="BX1175" s="52"/>
      <c r="BY1175" s="52"/>
      <c r="BZ1175" s="53"/>
      <c r="CA1175" s="53"/>
      <c r="CB1175" s="93" t="str">
        <f>IF(OR(C1175="",A1175="",B1175=""),"",TEXT(C1175,"0000")&amp;TEXT(A1175,"00")&amp;TEXT(B1175,"00"))</f>
        <v>19930404</v>
      </c>
    </row>
    <row r="1176" spans="1:80" s="50" customFormat="1" ht="12.95" customHeight="1" x14ac:dyDescent="0.2">
      <c r="A1176" s="46">
        <v>4</v>
      </c>
      <c r="B1176" s="46">
        <v>18</v>
      </c>
      <c r="C1176" s="46">
        <v>1993</v>
      </c>
      <c r="D1176" s="52" t="s">
        <v>658</v>
      </c>
      <c r="E1176" s="52" t="s">
        <v>449</v>
      </c>
      <c r="F1176" s="52" t="s">
        <v>1327</v>
      </c>
      <c r="G1176" s="52"/>
      <c r="H1176" s="52" t="s">
        <v>40</v>
      </c>
      <c r="I1176" s="52"/>
      <c r="J1176" s="56">
        <v>34077</v>
      </c>
      <c r="K1176" s="52" t="s">
        <v>587</v>
      </c>
      <c r="L1176" s="52" t="s">
        <v>3</v>
      </c>
      <c r="M1176" s="52" t="s">
        <v>1093</v>
      </c>
      <c r="N1176" s="57">
        <v>2</v>
      </c>
      <c r="O1176" s="57">
        <v>1</v>
      </c>
      <c r="P1176" s="52" t="s">
        <v>1268</v>
      </c>
      <c r="Q1176" s="52" t="s">
        <v>1017</v>
      </c>
      <c r="R1176" s="52" t="s">
        <v>376</v>
      </c>
      <c r="S1176" s="52"/>
      <c r="T1176" s="52"/>
      <c r="U1176" s="52"/>
      <c r="V1176" s="52"/>
      <c r="W1176" s="52"/>
      <c r="X1176" s="52"/>
      <c r="Y1176" s="52"/>
      <c r="Z1176" s="57"/>
      <c r="AA1176" s="52"/>
      <c r="AB1176" s="52"/>
      <c r="AC1176" s="52"/>
      <c r="AD1176" s="52"/>
      <c r="AE1176" s="50">
        <f>IF(L1176="W",1,0)</f>
        <v>1</v>
      </c>
      <c r="AF1176" s="50">
        <f>IF(L1176="T",1,0)</f>
        <v>0</v>
      </c>
      <c r="AG1176" s="50">
        <f>IF(L1176="L",1,0)</f>
        <v>0</v>
      </c>
      <c r="AH1176" s="52" t="s">
        <v>1017</v>
      </c>
      <c r="AI1176" s="52" t="s">
        <v>1018</v>
      </c>
      <c r="AJ1176" s="52" t="s">
        <v>376</v>
      </c>
      <c r="AK1176" s="50" t="s">
        <v>658</v>
      </c>
      <c r="AL1176" s="52" t="s">
        <v>1097</v>
      </c>
      <c r="AM1176" s="52" t="s">
        <v>1098</v>
      </c>
      <c r="AN1176" s="52" t="s">
        <v>376</v>
      </c>
      <c r="AO1176" s="50" t="s">
        <v>658</v>
      </c>
      <c r="AP1176" s="52"/>
      <c r="AQ1176" s="52">
        <v>1</v>
      </c>
      <c r="AR1176" s="52"/>
      <c r="AS1176" s="52" t="s">
        <v>1393</v>
      </c>
      <c r="AT1176" s="46"/>
      <c r="AU1176" s="52" t="s">
        <v>376</v>
      </c>
      <c r="AV1176" s="52"/>
      <c r="AW1176" s="52" t="s">
        <v>30</v>
      </c>
      <c r="AX1176" s="52"/>
      <c r="AY1176" s="52"/>
      <c r="AZ1176" s="57" t="s">
        <v>30</v>
      </c>
      <c r="BA1176" s="52"/>
      <c r="BB1176" s="60" t="s">
        <v>30</v>
      </c>
      <c r="BC1176" s="35" t="s">
        <v>30</v>
      </c>
      <c r="BD1176" s="60"/>
      <c r="BE1176" s="60" t="s">
        <v>1394</v>
      </c>
      <c r="BF1176" s="35">
        <v>1</v>
      </c>
      <c r="BG1176" s="52">
        <v>1</v>
      </c>
      <c r="BH1176" s="52"/>
      <c r="BI1176" s="52" t="s">
        <v>587</v>
      </c>
      <c r="BJ1176" s="52" t="s">
        <v>1093</v>
      </c>
      <c r="BK1176" s="52">
        <v>1993</v>
      </c>
      <c r="BL1176" s="46" t="str">
        <f>BK1176&amp;BI1176</f>
        <v>1993Arsenal</v>
      </c>
      <c r="BM1176" s="52" t="str">
        <f>IF(AD1176="Home",BI1176,IF(AD1176="Away",BJ1176,Q1176))</f>
        <v>London</v>
      </c>
      <c r="BN1176" s="52"/>
      <c r="BO1176" s="52"/>
      <c r="BP1176" s="52"/>
      <c r="BQ1176" s="52"/>
      <c r="BR1176" s="52"/>
      <c r="BS1176" s="52"/>
      <c r="BT1176" s="52"/>
      <c r="BU1176" s="52"/>
      <c r="BV1176" s="52" t="s">
        <v>376</v>
      </c>
      <c r="BW1176" s="52" t="s">
        <v>376</v>
      </c>
      <c r="BX1176" s="52"/>
      <c r="BY1176" s="52"/>
      <c r="BZ1176" s="53"/>
      <c r="CA1176" s="53"/>
      <c r="CB1176" s="93" t="str">
        <f>IF(OR(C1176="",A1176="",B1176=""),"",TEXT(C1176,"0000")&amp;TEXT(A1176,"00")&amp;TEXT(B1176,"00"))</f>
        <v>19930418</v>
      </c>
    </row>
    <row r="1177" spans="1:80" s="50" customFormat="1" ht="12.95" customHeight="1" x14ac:dyDescent="0.2">
      <c r="A1177" s="46">
        <v>4</v>
      </c>
      <c r="B1177" s="46">
        <v>18</v>
      </c>
      <c r="C1177" s="46">
        <v>1993</v>
      </c>
      <c r="D1177" s="52" t="s">
        <v>658</v>
      </c>
      <c r="E1177" s="52" t="s">
        <v>449</v>
      </c>
      <c r="F1177" s="52" t="s">
        <v>1327</v>
      </c>
      <c r="G1177" s="52"/>
      <c r="H1177" s="52" t="s">
        <v>40</v>
      </c>
      <c r="I1177" s="52"/>
      <c r="J1177" s="56">
        <v>34077</v>
      </c>
      <c r="K1177" s="52" t="s">
        <v>1093</v>
      </c>
      <c r="L1177" s="52" t="s">
        <v>4</v>
      </c>
      <c r="M1177" s="52" t="s">
        <v>587</v>
      </c>
      <c r="N1177" s="57">
        <v>1</v>
      </c>
      <c r="O1177" s="57">
        <v>2</v>
      </c>
      <c r="P1177" s="52" t="s">
        <v>1268</v>
      </c>
      <c r="Q1177" s="52" t="s">
        <v>1017</v>
      </c>
      <c r="R1177" s="52" t="s">
        <v>376</v>
      </c>
      <c r="S1177" s="52"/>
      <c r="T1177" s="52"/>
      <c r="U1177" s="52"/>
      <c r="V1177" s="52"/>
      <c r="W1177" s="52"/>
      <c r="X1177" s="52"/>
      <c r="Y1177" s="52"/>
      <c r="Z1177" s="57"/>
      <c r="AA1177" s="52"/>
      <c r="AB1177" s="52"/>
      <c r="AC1177" s="52"/>
      <c r="AD1177" s="52"/>
      <c r="AE1177" s="50">
        <f>IF(L1177="W",1,0)</f>
        <v>0</v>
      </c>
      <c r="AF1177" s="50">
        <f>IF(L1177="T",1,0)</f>
        <v>0</v>
      </c>
      <c r="AG1177" s="50">
        <f>IF(L1177="L",1,0)</f>
        <v>1</v>
      </c>
      <c r="AH1177" s="52" t="s">
        <v>1097</v>
      </c>
      <c r="AI1177" s="52" t="s">
        <v>1098</v>
      </c>
      <c r="AJ1177" s="52" t="s">
        <v>376</v>
      </c>
      <c r="AK1177" s="50" t="s">
        <v>658</v>
      </c>
      <c r="AL1177" s="52" t="s">
        <v>1017</v>
      </c>
      <c r="AM1177" s="52" t="s">
        <v>1018</v>
      </c>
      <c r="AN1177" s="52" t="s">
        <v>376</v>
      </c>
      <c r="AO1177" s="50" t="s">
        <v>658</v>
      </c>
      <c r="AP1177" s="52"/>
      <c r="AQ1177" s="52">
        <v>1</v>
      </c>
      <c r="AR1177" s="52"/>
      <c r="AS1177" s="52">
        <v>1</v>
      </c>
      <c r="AT1177" s="46"/>
      <c r="AU1177" s="52" t="s">
        <v>376</v>
      </c>
      <c r="AV1177" s="52"/>
      <c r="AW1177" s="52" t="s">
        <v>30</v>
      </c>
      <c r="AX1177" s="52"/>
      <c r="AY1177" s="52"/>
      <c r="AZ1177" s="52" t="s">
        <v>30</v>
      </c>
      <c r="BA1177" s="52"/>
      <c r="BB1177" s="60"/>
      <c r="BC1177" s="35" t="s">
        <v>30</v>
      </c>
      <c r="BD1177" s="60"/>
      <c r="BE1177" s="60"/>
      <c r="BF1177" s="35">
        <v>1</v>
      </c>
      <c r="BG1177" s="52">
        <v>1</v>
      </c>
      <c r="BH1177" s="52"/>
      <c r="BI1177" s="52" t="s">
        <v>1093</v>
      </c>
      <c r="BJ1177" s="52" t="s">
        <v>587</v>
      </c>
      <c r="BK1177" s="52">
        <v>1993</v>
      </c>
      <c r="BL1177" s="46" t="str">
        <f>BK1177&amp;BI1177</f>
        <v>1993Sheffield Wednesday</v>
      </c>
      <c r="BM1177" s="52" t="str">
        <f>IF(AD1177="Home",BI1177,IF(AD1177="Away",BJ1177,Q1177))</f>
        <v>London</v>
      </c>
      <c r="BN1177" s="52"/>
      <c r="BO1177" s="52"/>
      <c r="BP1177" s="52"/>
      <c r="BQ1177" s="52"/>
      <c r="BR1177" s="52"/>
      <c r="BS1177" s="52"/>
      <c r="BT1177" s="52"/>
      <c r="BU1177" s="52"/>
      <c r="BV1177" s="52" t="s">
        <v>376</v>
      </c>
      <c r="BW1177" s="52" t="s">
        <v>376</v>
      </c>
      <c r="BX1177" s="52"/>
      <c r="BY1177" s="52"/>
      <c r="BZ1177" s="53"/>
      <c r="CA1177" s="53"/>
      <c r="CB1177" s="93" t="str">
        <f>IF(OR(C1177="",A1177="",B1177=""),"",TEXT(C1177,"0000")&amp;TEXT(A1177,"00")&amp;TEXT(B1177,"00"))</f>
        <v>19930418</v>
      </c>
    </row>
    <row r="1178" spans="1:80" s="50" customFormat="1" ht="12.95" customHeight="1" x14ac:dyDescent="0.2">
      <c r="A1178" s="46">
        <v>5</v>
      </c>
      <c r="B1178" s="46">
        <v>15</v>
      </c>
      <c r="C1178" s="46">
        <v>1993</v>
      </c>
      <c r="D1178" s="52" t="s">
        <v>658</v>
      </c>
      <c r="E1178" s="52" t="s">
        <v>449</v>
      </c>
      <c r="F1178" s="52" t="s">
        <v>1010</v>
      </c>
      <c r="G1178" s="52"/>
      <c r="H1178" s="52" t="s">
        <v>40</v>
      </c>
      <c r="I1178" s="52"/>
      <c r="J1178" s="56">
        <v>34104</v>
      </c>
      <c r="K1178" s="52" t="s">
        <v>1093</v>
      </c>
      <c r="L1178" s="52" t="s">
        <v>1014</v>
      </c>
      <c r="M1178" s="52" t="s">
        <v>587</v>
      </c>
      <c r="N1178" s="57">
        <v>1</v>
      </c>
      <c r="O1178" s="57">
        <v>1</v>
      </c>
      <c r="P1178" s="52" t="s">
        <v>1268</v>
      </c>
      <c r="Q1178" s="52" t="s">
        <v>1017</v>
      </c>
      <c r="R1178" s="52" t="s">
        <v>376</v>
      </c>
      <c r="S1178" s="52" t="s">
        <v>1395</v>
      </c>
      <c r="T1178" s="52"/>
      <c r="U1178" s="52"/>
      <c r="V1178" s="52"/>
      <c r="W1178" s="52"/>
      <c r="X1178" s="52"/>
      <c r="Y1178" s="52"/>
      <c r="Z1178" s="57"/>
      <c r="AA1178" s="52"/>
      <c r="AB1178" s="52"/>
      <c r="AC1178" s="52"/>
      <c r="AD1178" s="52"/>
      <c r="AE1178" s="50">
        <f>IF(L1178="W",1,0)</f>
        <v>0</v>
      </c>
      <c r="AF1178" s="50">
        <f>IF(L1178="T",1,0)</f>
        <v>1</v>
      </c>
      <c r="AG1178" s="50">
        <f>IF(L1178="L",1,0)</f>
        <v>0</v>
      </c>
      <c r="AH1178" s="52" t="s">
        <v>1097</v>
      </c>
      <c r="AI1178" s="52" t="s">
        <v>1098</v>
      </c>
      <c r="AJ1178" s="52" t="s">
        <v>376</v>
      </c>
      <c r="AK1178" s="50" t="s">
        <v>658</v>
      </c>
      <c r="AL1178" s="52" t="s">
        <v>1017</v>
      </c>
      <c r="AM1178" s="52" t="s">
        <v>1018</v>
      </c>
      <c r="AN1178" s="52" t="s">
        <v>376</v>
      </c>
      <c r="AO1178" s="50" t="s">
        <v>658</v>
      </c>
      <c r="AP1178" s="52"/>
      <c r="AQ1178" s="52">
        <v>1</v>
      </c>
      <c r="AR1178" s="52"/>
      <c r="AS1178" s="52"/>
      <c r="AT1178" s="46"/>
      <c r="AU1178" s="52" t="s">
        <v>376</v>
      </c>
      <c r="AV1178" s="52"/>
      <c r="AW1178" s="52" t="s">
        <v>30</v>
      </c>
      <c r="AX1178" s="52"/>
      <c r="AY1178" s="52" t="s">
        <v>30</v>
      </c>
      <c r="AZ1178" s="52"/>
      <c r="BA1178" s="52"/>
      <c r="BB1178" s="60"/>
      <c r="BC1178" s="35" t="s">
        <v>30</v>
      </c>
      <c r="BD1178" s="60"/>
      <c r="BE1178" s="60"/>
      <c r="BF1178" s="35">
        <v>1</v>
      </c>
      <c r="BG1178" s="52">
        <v>1</v>
      </c>
      <c r="BH1178" s="52"/>
      <c r="BI1178" s="52" t="s">
        <v>1093</v>
      </c>
      <c r="BJ1178" s="52" t="s">
        <v>587</v>
      </c>
      <c r="BK1178" s="52">
        <v>1993</v>
      </c>
      <c r="BL1178" s="46" t="str">
        <f>BK1178&amp;BI1178</f>
        <v>1993Sheffield Wednesday</v>
      </c>
      <c r="BM1178" s="52" t="str">
        <f>IF(AD1178="Home",BI1178,IF(AD1178="Away",BJ1178,Q1178))</f>
        <v>London</v>
      </c>
      <c r="BN1178" s="52"/>
      <c r="BO1178" s="52"/>
      <c r="BP1178" s="52"/>
      <c r="BQ1178" s="52"/>
      <c r="BR1178" s="52"/>
      <c r="BS1178" s="52"/>
      <c r="BT1178" s="52"/>
      <c r="BU1178" s="52"/>
      <c r="BV1178" s="52" t="s">
        <v>376</v>
      </c>
      <c r="BW1178" s="52" t="s">
        <v>376</v>
      </c>
      <c r="BX1178" s="52"/>
      <c r="BY1178" s="52"/>
      <c r="BZ1178" s="53"/>
      <c r="CA1178" s="53"/>
      <c r="CB1178" s="93" t="str">
        <f>IF(OR(C1178="",A1178="",B1178=""),"",TEXT(C1178,"0000")&amp;TEXT(A1178,"00")&amp;TEXT(B1178,"00"))</f>
        <v>19930515</v>
      </c>
    </row>
    <row r="1179" spans="1:80" s="50" customFormat="1" ht="12.95" customHeight="1" x14ac:dyDescent="0.2">
      <c r="A1179" s="46">
        <v>5</v>
      </c>
      <c r="B1179" s="46">
        <v>15</v>
      </c>
      <c r="C1179" s="46">
        <v>1993</v>
      </c>
      <c r="D1179" s="52" t="s">
        <v>658</v>
      </c>
      <c r="E1179" s="52" t="s">
        <v>449</v>
      </c>
      <c r="F1179" s="52" t="s">
        <v>1010</v>
      </c>
      <c r="G1179" s="52"/>
      <c r="H1179" s="52" t="s">
        <v>40</v>
      </c>
      <c r="I1179" s="52"/>
      <c r="J1179" s="56">
        <v>34104</v>
      </c>
      <c r="K1179" s="52" t="s">
        <v>587</v>
      </c>
      <c r="L1179" s="52" t="s">
        <v>1014</v>
      </c>
      <c r="M1179" s="52" t="s">
        <v>1093</v>
      </c>
      <c r="N1179" s="57">
        <v>1</v>
      </c>
      <c r="O1179" s="57">
        <v>1</v>
      </c>
      <c r="P1179" s="52" t="s">
        <v>1268</v>
      </c>
      <c r="Q1179" s="52" t="s">
        <v>1017</v>
      </c>
      <c r="R1179" s="52" t="s">
        <v>376</v>
      </c>
      <c r="S1179" s="52" t="s">
        <v>1395</v>
      </c>
      <c r="T1179" s="52"/>
      <c r="U1179" s="52"/>
      <c r="V1179" s="52"/>
      <c r="W1179" s="52"/>
      <c r="X1179" s="52"/>
      <c r="Y1179" s="52"/>
      <c r="Z1179" s="57"/>
      <c r="AA1179" s="52"/>
      <c r="AB1179" s="52"/>
      <c r="AC1179" s="52"/>
      <c r="AD1179" s="52"/>
      <c r="AE1179" s="50">
        <f>IF(L1179="W",1,0)</f>
        <v>0</v>
      </c>
      <c r="AF1179" s="50">
        <f>IF(L1179="T",1,0)</f>
        <v>1</v>
      </c>
      <c r="AG1179" s="50">
        <f>IF(L1179="L",1,0)</f>
        <v>0</v>
      </c>
      <c r="AH1179" s="52" t="s">
        <v>1017</v>
      </c>
      <c r="AI1179" s="52" t="s">
        <v>1018</v>
      </c>
      <c r="AJ1179" s="52" t="s">
        <v>376</v>
      </c>
      <c r="AK1179" s="50" t="s">
        <v>658</v>
      </c>
      <c r="AL1179" s="52" t="s">
        <v>1097</v>
      </c>
      <c r="AM1179" s="52" t="s">
        <v>1098</v>
      </c>
      <c r="AN1179" s="52" t="s">
        <v>376</v>
      </c>
      <c r="AO1179" s="50" t="s">
        <v>658</v>
      </c>
      <c r="AP1179" s="52"/>
      <c r="AQ1179" s="52">
        <v>1</v>
      </c>
      <c r="AR1179" s="52"/>
      <c r="AS1179" s="52"/>
      <c r="AT1179" s="46"/>
      <c r="AU1179" s="52" t="s">
        <v>376</v>
      </c>
      <c r="AV1179" s="52"/>
      <c r="AW1179" s="52" t="s">
        <v>30</v>
      </c>
      <c r="AX1179" s="52"/>
      <c r="AY1179" s="52" t="s">
        <v>30</v>
      </c>
      <c r="AZ1179" s="52"/>
      <c r="BA1179" s="52"/>
      <c r="BB1179" s="60"/>
      <c r="BC1179" s="35" t="s">
        <v>30</v>
      </c>
      <c r="BD1179" s="60"/>
      <c r="BE1179" s="60"/>
      <c r="BF1179" s="35">
        <v>1</v>
      </c>
      <c r="BG1179" s="52">
        <v>1</v>
      </c>
      <c r="BH1179" s="52"/>
      <c r="BI1179" s="52" t="s">
        <v>587</v>
      </c>
      <c r="BJ1179" s="52" t="s">
        <v>1093</v>
      </c>
      <c r="BK1179" s="52">
        <v>1993</v>
      </c>
      <c r="BL1179" s="46" t="str">
        <f>BK1179&amp;BI1179</f>
        <v>1993Arsenal</v>
      </c>
      <c r="BM1179" s="52" t="str">
        <f>IF(AD1179="Home",BI1179,IF(AD1179="Away",BJ1179,Q1179))</f>
        <v>London</v>
      </c>
      <c r="BN1179" s="52"/>
      <c r="BO1179" s="52"/>
      <c r="BP1179" s="52"/>
      <c r="BQ1179" s="52"/>
      <c r="BR1179" s="52"/>
      <c r="BS1179" s="52"/>
      <c r="BT1179" s="52"/>
      <c r="BU1179" s="52"/>
      <c r="BV1179" s="52" t="s">
        <v>376</v>
      </c>
      <c r="BW1179" s="52" t="s">
        <v>376</v>
      </c>
      <c r="BX1179" s="52"/>
      <c r="BY1179" s="52"/>
      <c r="BZ1179" s="53"/>
      <c r="CA1179" s="53"/>
      <c r="CB1179" s="93" t="str">
        <f>IF(OR(C1179="",A1179="",B1179=""),"",TEXT(C1179,"0000")&amp;TEXT(A1179,"00")&amp;TEXT(B1179,"00"))</f>
        <v>19930515</v>
      </c>
    </row>
    <row r="1180" spans="1:80" s="50" customFormat="1" ht="12.95" customHeight="1" x14ac:dyDescent="0.2">
      <c r="A1180" s="46">
        <v>5</v>
      </c>
      <c r="B1180" s="46">
        <v>20</v>
      </c>
      <c r="C1180" s="46">
        <v>1993</v>
      </c>
      <c r="D1180" s="52" t="s">
        <v>658</v>
      </c>
      <c r="E1180" s="52" t="s">
        <v>449</v>
      </c>
      <c r="F1180" s="52" t="s">
        <v>1010</v>
      </c>
      <c r="G1180" s="52"/>
      <c r="H1180" s="52" t="s">
        <v>40</v>
      </c>
      <c r="I1180" s="52" t="s">
        <v>1023</v>
      </c>
      <c r="J1180" s="56">
        <v>34109</v>
      </c>
      <c r="K1180" s="52" t="s">
        <v>587</v>
      </c>
      <c r="L1180" s="52" t="s">
        <v>3</v>
      </c>
      <c r="M1180" s="52" t="s">
        <v>1093</v>
      </c>
      <c r="N1180" s="57">
        <v>2</v>
      </c>
      <c r="O1180" s="57">
        <v>1</v>
      </c>
      <c r="P1180" s="52" t="s">
        <v>1268</v>
      </c>
      <c r="Q1180" s="52" t="s">
        <v>1017</v>
      </c>
      <c r="R1180" s="52" t="s">
        <v>376</v>
      </c>
      <c r="S1180" s="52" t="s">
        <v>1396</v>
      </c>
      <c r="T1180" s="52"/>
      <c r="U1180" s="52"/>
      <c r="V1180" s="52"/>
      <c r="W1180" s="52"/>
      <c r="X1180" s="52"/>
      <c r="Y1180" s="52"/>
      <c r="Z1180" s="57"/>
      <c r="AA1180" s="52"/>
      <c r="AB1180" s="52"/>
      <c r="AC1180" s="52"/>
      <c r="AD1180" s="52"/>
      <c r="AE1180" s="50">
        <f>IF(L1180="W",1,0)</f>
        <v>1</v>
      </c>
      <c r="AF1180" s="50">
        <f>IF(L1180="T",1,0)</f>
        <v>0</v>
      </c>
      <c r="AG1180" s="50">
        <f>IF(L1180="L",1,0)</f>
        <v>0</v>
      </c>
      <c r="AH1180" s="52" t="s">
        <v>1017</v>
      </c>
      <c r="AI1180" s="52" t="s">
        <v>1018</v>
      </c>
      <c r="AJ1180" s="52" t="s">
        <v>376</v>
      </c>
      <c r="AK1180" s="50" t="s">
        <v>658</v>
      </c>
      <c r="AL1180" s="52" t="s">
        <v>1097</v>
      </c>
      <c r="AM1180" s="52" t="s">
        <v>1098</v>
      </c>
      <c r="AN1180" s="52" t="s">
        <v>376</v>
      </c>
      <c r="AO1180" s="50" t="s">
        <v>658</v>
      </c>
      <c r="AP1180" s="52"/>
      <c r="AQ1180" s="52">
        <v>1</v>
      </c>
      <c r="AR1180" s="52"/>
      <c r="AS1180" s="52" t="s">
        <v>1393</v>
      </c>
      <c r="AT1180" s="46"/>
      <c r="AU1180" s="52" t="s">
        <v>376</v>
      </c>
      <c r="AV1180" s="52"/>
      <c r="AW1180" s="52" t="s">
        <v>30</v>
      </c>
      <c r="AX1180" s="52"/>
      <c r="AY1180" s="57" t="s">
        <v>30</v>
      </c>
      <c r="AZ1180" s="52"/>
      <c r="BA1180" s="52"/>
      <c r="BB1180" s="60" t="s">
        <v>30</v>
      </c>
      <c r="BC1180" s="35" t="s">
        <v>30</v>
      </c>
      <c r="BD1180" s="60"/>
      <c r="BE1180" s="60" t="s">
        <v>1397</v>
      </c>
      <c r="BF1180" s="35">
        <v>1</v>
      </c>
      <c r="BG1180" s="52">
        <v>1</v>
      </c>
      <c r="BH1180" s="52"/>
      <c r="BI1180" s="52" t="s">
        <v>587</v>
      </c>
      <c r="BJ1180" s="52" t="s">
        <v>1093</v>
      </c>
      <c r="BK1180" s="52">
        <v>1993</v>
      </c>
      <c r="BL1180" s="46" t="str">
        <f>BK1180&amp;BI1180</f>
        <v>1993Arsenal</v>
      </c>
      <c r="BM1180" s="52" t="str">
        <f>IF(AD1180="Home",BI1180,IF(AD1180="Away",BJ1180,Q1180))</f>
        <v>London</v>
      </c>
      <c r="BN1180" s="52"/>
      <c r="BO1180" s="52"/>
      <c r="BP1180" s="52"/>
      <c r="BQ1180" s="52"/>
      <c r="BR1180" s="52"/>
      <c r="BS1180" s="52"/>
      <c r="BT1180" s="52"/>
      <c r="BU1180" s="52"/>
      <c r="BV1180" s="52" t="s">
        <v>376</v>
      </c>
      <c r="BW1180" s="52" t="s">
        <v>376</v>
      </c>
      <c r="BX1180" s="52"/>
      <c r="BY1180" s="52"/>
      <c r="BZ1180" s="53"/>
      <c r="CA1180" s="53"/>
      <c r="CB1180" s="93" t="str">
        <f>IF(OR(C1180="",A1180="",B1180=""),"",TEXT(C1180,"0000")&amp;TEXT(A1180,"00")&amp;TEXT(B1180,"00"))</f>
        <v>19930520</v>
      </c>
    </row>
    <row r="1181" spans="1:80" s="50" customFormat="1" ht="12.95" customHeight="1" x14ac:dyDescent="0.2">
      <c r="A1181" s="46">
        <v>5</v>
      </c>
      <c r="B1181" s="46">
        <v>20</v>
      </c>
      <c r="C1181" s="46">
        <v>1993</v>
      </c>
      <c r="D1181" s="52" t="s">
        <v>658</v>
      </c>
      <c r="E1181" s="52" t="s">
        <v>449</v>
      </c>
      <c r="F1181" s="52" t="s">
        <v>1010</v>
      </c>
      <c r="G1181" s="52"/>
      <c r="H1181" s="52" t="s">
        <v>40</v>
      </c>
      <c r="I1181" s="52" t="s">
        <v>1023</v>
      </c>
      <c r="J1181" s="56">
        <v>34109</v>
      </c>
      <c r="K1181" s="52" t="s">
        <v>1093</v>
      </c>
      <c r="L1181" s="52" t="s">
        <v>4</v>
      </c>
      <c r="M1181" s="52" t="s">
        <v>587</v>
      </c>
      <c r="N1181" s="57">
        <v>1</v>
      </c>
      <c r="O1181" s="57">
        <v>2</v>
      </c>
      <c r="P1181" s="52" t="s">
        <v>1268</v>
      </c>
      <c r="Q1181" s="52" t="s">
        <v>1017</v>
      </c>
      <c r="R1181" s="52" t="s">
        <v>376</v>
      </c>
      <c r="S1181" s="52" t="s">
        <v>1396</v>
      </c>
      <c r="T1181" s="52"/>
      <c r="U1181" s="52"/>
      <c r="V1181" s="52"/>
      <c r="W1181" s="52"/>
      <c r="X1181" s="52"/>
      <c r="Y1181" s="52"/>
      <c r="Z1181" s="57"/>
      <c r="AA1181" s="52"/>
      <c r="AB1181" s="52"/>
      <c r="AC1181" s="52"/>
      <c r="AD1181" s="52"/>
      <c r="AE1181" s="50">
        <f>IF(L1181="W",1,0)</f>
        <v>0</v>
      </c>
      <c r="AF1181" s="50">
        <f>IF(L1181="T",1,0)</f>
        <v>0</v>
      </c>
      <c r="AG1181" s="50">
        <f>IF(L1181="L",1,0)</f>
        <v>1</v>
      </c>
      <c r="AH1181" s="52" t="s">
        <v>1097</v>
      </c>
      <c r="AI1181" s="52" t="s">
        <v>1098</v>
      </c>
      <c r="AJ1181" s="52" t="s">
        <v>376</v>
      </c>
      <c r="AK1181" s="50" t="s">
        <v>658</v>
      </c>
      <c r="AL1181" s="52" t="s">
        <v>1017</v>
      </c>
      <c r="AM1181" s="52" t="s">
        <v>1018</v>
      </c>
      <c r="AN1181" s="52" t="s">
        <v>376</v>
      </c>
      <c r="AO1181" s="50" t="s">
        <v>658</v>
      </c>
      <c r="AP1181" s="52"/>
      <c r="AQ1181" s="52">
        <v>1</v>
      </c>
      <c r="AR1181" s="52"/>
      <c r="AS1181" s="52">
        <v>1</v>
      </c>
      <c r="AT1181" s="46"/>
      <c r="AU1181" s="52" t="s">
        <v>376</v>
      </c>
      <c r="AV1181" s="52"/>
      <c r="AW1181" s="52" t="s">
        <v>30</v>
      </c>
      <c r="AX1181" s="52"/>
      <c r="AY1181" s="52" t="s">
        <v>30</v>
      </c>
      <c r="AZ1181" s="52"/>
      <c r="BA1181" s="52"/>
      <c r="BB1181" s="60"/>
      <c r="BC1181" s="35" t="s">
        <v>30</v>
      </c>
      <c r="BD1181" s="60"/>
      <c r="BE1181" s="60"/>
      <c r="BF1181" s="35">
        <v>1</v>
      </c>
      <c r="BG1181" s="52">
        <v>1</v>
      </c>
      <c r="BH1181" s="52"/>
      <c r="BI1181" s="52" t="s">
        <v>1093</v>
      </c>
      <c r="BJ1181" s="52" t="s">
        <v>587</v>
      </c>
      <c r="BK1181" s="52">
        <v>1993</v>
      </c>
      <c r="BL1181" s="46" t="str">
        <f>BK1181&amp;BI1181</f>
        <v>1993Sheffield Wednesday</v>
      </c>
      <c r="BM1181" s="52" t="str">
        <f>IF(AD1181="Home",BI1181,IF(AD1181="Away",BJ1181,Q1181))</f>
        <v>London</v>
      </c>
      <c r="BN1181" s="52"/>
      <c r="BO1181" s="52"/>
      <c r="BP1181" s="52"/>
      <c r="BQ1181" s="52"/>
      <c r="BR1181" s="52"/>
      <c r="BS1181" s="52"/>
      <c r="BT1181" s="52"/>
      <c r="BU1181" s="52"/>
      <c r="BV1181" s="52" t="s">
        <v>376</v>
      </c>
      <c r="BW1181" s="52" t="s">
        <v>376</v>
      </c>
      <c r="BX1181" s="52"/>
      <c r="BY1181" s="52"/>
      <c r="BZ1181" s="53"/>
      <c r="CA1181" s="53"/>
      <c r="CB1181" s="93" t="str">
        <f>IF(OR(C1181="",A1181="",B1181=""),"",TEXT(C1181,"0000")&amp;TEXT(A1181,"00")&amp;TEXT(B1181,"00"))</f>
        <v>19930520</v>
      </c>
    </row>
    <row r="1182" spans="1:80" s="50" customFormat="1" ht="12.95" customHeight="1" x14ac:dyDescent="0.2">
      <c r="A1182" s="46">
        <v>2</v>
      </c>
      <c r="B1182" s="46">
        <v>13</v>
      </c>
      <c r="C1182" s="46">
        <v>1994</v>
      </c>
      <c r="D1182" s="52" t="s">
        <v>658</v>
      </c>
      <c r="E1182" s="52" t="s">
        <v>432</v>
      </c>
      <c r="F1182" s="52" t="s">
        <v>1327</v>
      </c>
      <c r="G1182" s="52"/>
      <c r="H1182" s="52" t="s">
        <v>1011</v>
      </c>
      <c r="I1182" s="52">
        <v>1</v>
      </c>
      <c r="J1182" s="56">
        <v>34378</v>
      </c>
      <c r="K1182" s="52" t="s">
        <v>821</v>
      </c>
      <c r="L1182" s="52" t="s">
        <v>3</v>
      </c>
      <c r="M1182" s="52" t="s">
        <v>1093</v>
      </c>
      <c r="N1182" s="57">
        <v>1</v>
      </c>
      <c r="O1182" s="57">
        <v>0</v>
      </c>
      <c r="P1182" s="52" t="s">
        <v>1246</v>
      </c>
      <c r="Q1182" s="52" t="s">
        <v>1101</v>
      </c>
      <c r="R1182" s="52" t="s">
        <v>376</v>
      </c>
      <c r="S1182" s="52"/>
      <c r="T1182" s="52"/>
      <c r="U1182" s="52"/>
      <c r="V1182" s="52"/>
      <c r="W1182" s="52"/>
      <c r="X1182" s="52"/>
      <c r="Y1182" s="52"/>
      <c r="Z1182" s="57"/>
      <c r="AA1182" s="58">
        <v>1</v>
      </c>
      <c r="AB1182" s="58">
        <v>0</v>
      </c>
      <c r="AC1182" s="59">
        <v>0</v>
      </c>
      <c r="AD1182" s="52" t="s">
        <v>1033</v>
      </c>
      <c r="AE1182" s="50">
        <f>IF(L1182="W",1,0)</f>
        <v>1</v>
      </c>
      <c r="AF1182" s="50">
        <f>IF(L1182="T",1,0)</f>
        <v>0</v>
      </c>
      <c r="AG1182" s="50">
        <f>IF(L1182="L",1,0)</f>
        <v>0</v>
      </c>
      <c r="AH1182" s="52" t="s">
        <v>1101</v>
      </c>
      <c r="AI1182" s="52" t="s">
        <v>1159</v>
      </c>
      <c r="AJ1182" s="52" t="s">
        <v>376</v>
      </c>
      <c r="AK1182" s="50" t="s">
        <v>658</v>
      </c>
      <c r="AL1182" s="52" t="s">
        <v>1097</v>
      </c>
      <c r="AM1182" s="52" t="s">
        <v>1098</v>
      </c>
      <c r="AN1182" s="52" t="s">
        <v>376</v>
      </c>
      <c r="AO1182" s="50" t="s">
        <v>658</v>
      </c>
      <c r="AP1182" s="52"/>
      <c r="AQ1182" s="52">
        <v>2</v>
      </c>
      <c r="AR1182" s="52"/>
      <c r="AS1182" s="52"/>
      <c r="AT1182" s="46"/>
      <c r="AU1182" s="52" t="s">
        <v>376</v>
      </c>
      <c r="AV1182" s="52"/>
      <c r="AW1182" s="52" t="s">
        <v>30</v>
      </c>
      <c r="AX1182" s="52"/>
      <c r="AY1182" s="52"/>
      <c r="AZ1182" s="52" t="s">
        <v>30</v>
      </c>
      <c r="BA1182" s="52"/>
      <c r="BB1182" s="60"/>
      <c r="BC1182" s="52"/>
      <c r="BD1182" s="60"/>
      <c r="BE1182" s="60"/>
      <c r="BF1182" s="35">
        <v>1</v>
      </c>
      <c r="BG1182" s="52">
        <v>1</v>
      </c>
      <c r="BH1182" s="52"/>
      <c r="BI1182" s="52" t="s">
        <v>821</v>
      </c>
      <c r="BJ1182" s="52" t="s">
        <v>1093</v>
      </c>
      <c r="BK1182" s="52">
        <v>1994</v>
      </c>
      <c r="BL1182" s="46" t="str">
        <f>BK1182&amp;BI1182</f>
        <v>1994Manchester United</v>
      </c>
      <c r="BM1182" s="52" t="str">
        <f>IF(AD1182="Home",BI1182,IF(AD1182="Away",BJ1182,Q1182))</f>
        <v>Manchester United</v>
      </c>
      <c r="BN1182" s="52"/>
      <c r="BO1182" s="52"/>
      <c r="BP1182" s="52"/>
      <c r="BQ1182" s="52"/>
      <c r="BR1182" s="52"/>
      <c r="BS1182" s="52"/>
      <c r="BT1182" s="52"/>
      <c r="BU1182" s="52"/>
      <c r="BV1182" s="52" t="s">
        <v>376</v>
      </c>
      <c r="BW1182" s="52" t="s">
        <v>376</v>
      </c>
      <c r="BX1182" s="52"/>
      <c r="BY1182" s="52"/>
      <c r="BZ1182" s="53"/>
      <c r="CA1182" s="53"/>
      <c r="CB1182" s="93" t="str">
        <f>IF(OR(C1182="",A1182="",B1182=""),"",TEXT(C1182,"0000")&amp;TEXT(A1182,"00")&amp;TEXT(B1182,"00"))</f>
        <v>19940213</v>
      </c>
    </row>
    <row r="1183" spans="1:80" s="50" customFormat="1" ht="12.95" customHeight="1" x14ac:dyDescent="0.2">
      <c r="A1183" s="46">
        <v>2</v>
      </c>
      <c r="B1183" s="46">
        <v>13</v>
      </c>
      <c r="C1183" s="46">
        <v>1994</v>
      </c>
      <c r="D1183" s="52" t="s">
        <v>658</v>
      </c>
      <c r="E1183" s="52" t="s">
        <v>432</v>
      </c>
      <c r="F1183" s="52" t="s">
        <v>1327</v>
      </c>
      <c r="G1183" s="52"/>
      <c r="H1183" s="52" t="s">
        <v>1011</v>
      </c>
      <c r="I1183" s="52">
        <v>1</v>
      </c>
      <c r="J1183" s="56">
        <v>34378</v>
      </c>
      <c r="K1183" s="52" t="s">
        <v>1093</v>
      </c>
      <c r="L1183" s="52" t="s">
        <v>4</v>
      </c>
      <c r="M1183" s="52" t="s">
        <v>821</v>
      </c>
      <c r="N1183" s="57">
        <v>0</v>
      </c>
      <c r="O1183" s="57">
        <v>1</v>
      </c>
      <c r="P1183" s="52" t="s">
        <v>1246</v>
      </c>
      <c r="Q1183" s="52" t="s">
        <v>1101</v>
      </c>
      <c r="R1183" s="52" t="s">
        <v>376</v>
      </c>
      <c r="S1183" s="52"/>
      <c r="T1183" s="52"/>
      <c r="U1183" s="52"/>
      <c r="V1183" s="52"/>
      <c r="W1183" s="52"/>
      <c r="X1183" s="52"/>
      <c r="Y1183" s="52"/>
      <c r="Z1183" s="57"/>
      <c r="AA1183" s="58">
        <v>0</v>
      </c>
      <c r="AB1183" s="58">
        <v>1</v>
      </c>
      <c r="AC1183" s="59">
        <v>0</v>
      </c>
      <c r="AD1183" s="52" t="s">
        <v>1037</v>
      </c>
      <c r="AE1183" s="50">
        <f>IF(L1183="W",1,0)</f>
        <v>0</v>
      </c>
      <c r="AF1183" s="50">
        <f>IF(L1183="T",1,0)</f>
        <v>0</v>
      </c>
      <c r="AG1183" s="50">
        <f>IF(L1183="L",1,0)</f>
        <v>1</v>
      </c>
      <c r="AH1183" s="52" t="s">
        <v>1097</v>
      </c>
      <c r="AI1183" s="52" t="s">
        <v>1098</v>
      </c>
      <c r="AJ1183" s="52" t="s">
        <v>376</v>
      </c>
      <c r="AK1183" s="50" t="s">
        <v>658</v>
      </c>
      <c r="AL1183" s="52" t="s">
        <v>1101</v>
      </c>
      <c r="AM1183" s="52" t="s">
        <v>1159</v>
      </c>
      <c r="AN1183" s="52" t="s">
        <v>376</v>
      </c>
      <c r="AO1183" s="50" t="s">
        <v>658</v>
      </c>
      <c r="AP1183" s="52"/>
      <c r="AQ1183" s="52">
        <v>2</v>
      </c>
      <c r="AR1183" s="52"/>
      <c r="AS1183" s="52"/>
      <c r="AT1183" s="46"/>
      <c r="AU1183" s="52" t="s">
        <v>376</v>
      </c>
      <c r="AV1183" s="52"/>
      <c r="AW1183" s="52" t="s">
        <v>30</v>
      </c>
      <c r="AX1183" s="52"/>
      <c r="AY1183" s="52"/>
      <c r="AZ1183" s="52" t="s">
        <v>30</v>
      </c>
      <c r="BA1183" s="52"/>
      <c r="BB1183" s="60"/>
      <c r="BC1183" s="52"/>
      <c r="BD1183" s="60"/>
      <c r="BE1183" s="60"/>
      <c r="BF1183" s="35">
        <v>1</v>
      </c>
      <c r="BG1183" s="52">
        <v>1</v>
      </c>
      <c r="BH1183" s="52"/>
      <c r="BI1183" s="52" t="s">
        <v>1093</v>
      </c>
      <c r="BJ1183" s="52" t="s">
        <v>821</v>
      </c>
      <c r="BK1183" s="52">
        <v>1994</v>
      </c>
      <c r="BL1183" s="46" t="str">
        <f>BK1183&amp;BI1183</f>
        <v>1994Sheffield Wednesday</v>
      </c>
      <c r="BM1183" s="52" t="str">
        <f>IF(AD1183="Home",BI1183,IF(AD1183="Away",BJ1183,Q1183))</f>
        <v>Manchester United</v>
      </c>
      <c r="BN1183" s="52"/>
      <c r="BO1183" s="52"/>
      <c r="BP1183" s="52"/>
      <c r="BQ1183" s="52"/>
      <c r="BR1183" s="52"/>
      <c r="BS1183" s="52"/>
      <c r="BT1183" s="52"/>
      <c r="BU1183" s="52"/>
      <c r="BV1183" s="52" t="s">
        <v>376</v>
      </c>
      <c r="BW1183" s="52" t="s">
        <v>376</v>
      </c>
      <c r="BX1183" s="52"/>
      <c r="BY1183" s="52"/>
      <c r="BZ1183" s="53"/>
      <c r="CA1183" s="53"/>
      <c r="CB1183" s="93" t="str">
        <f>IF(OR(C1183="",A1183="",B1183=""),"",TEXT(C1183,"0000")&amp;TEXT(A1183,"00")&amp;TEXT(B1183,"00"))</f>
        <v>19940213</v>
      </c>
    </row>
    <row r="1184" spans="1:80" s="50" customFormat="1" ht="12.95" customHeight="1" x14ac:dyDescent="0.2">
      <c r="A1184" s="46">
        <v>2</v>
      </c>
      <c r="B1184" s="46">
        <v>16</v>
      </c>
      <c r="C1184" s="46">
        <v>1994</v>
      </c>
      <c r="D1184" s="46" t="s">
        <v>658</v>
      </c>
      <c r="E1184" s="46" t="s">
        <v>432</v>
      </c>
      <c r="F1184" s="54" t="s">
        <v>1327</v>
      </c>
      <c r="G1184" s="46"/>
      <c r="H1184" s="54" t="s">
        <v>1011</v>
      </c>
      <c r="I1184" s="54">
        <v>1</v>
      </c>
      <c r="J1184" s="55">
        <v>34381</v>
      </c>
      <c r="K1184" s="46" t="s">
        <v>1398</v>
      </c>
      <c r="L1184" s="46" t="s">
        <v>3</v>
      </c>
      <c r="M1184" s="46" t="s">
        <v>806</v>
      </c>
      <c r="N1184" s="49">
        <v>3</v>
      </c>
      <c r="O1184" s="49">
        <v>1</v>
      </c>
      <c r="P1184" s="54" t="s">
        <v>1399</v>
      </c>
      <c r="Q1184" s="54" t="s">
        <v>588</v>
      </c>
      <c r="R1184" s="54" t="s">
        <v>376</v>
      </c>
      <c r="S1184" s="46"/>
      <c r="T1184" s="46"/>
      <c r="U1184" s="46"/>
      <c r="V1184" s="46"/>
      <c r="W1184" s="46"/>
      <c r="X1184" s="46"/>
      <c r="Y1184" s="46"/>
      <c r="Z1184" s="46"/>
      <c r="AA1184" s="46"/>
      <c r="AB1184" s="46"/>
      <c r="AC1184" s="46"/>
      <c r="AD1184" s="46" t="s">
        <v>1033</v>
      </c>
      <c r="AE1184" s="50">
        <f>IF(L1184="W",1,0)</f>
        <v>1</v>
      </c>
      <c r="AF1184" s="50">
        <f>IF(L1184="T",1,0)</f>
        <v>0</v>
      </c>
      <c r="AG1184" s="50">
        <f>IF(L1184="L",1,0)</f>
        <v>0</v>
      </c>
      <c r="AH1184" s="46" t="s">
        <v>588</v>
      </c>
      <c r="AI1184" s="46" t="s">
        <v>1175</v>
      </c>
      <c r="AJ1184" s="46" t="s">
        <v>376</v>
      </c>
      <c r="AK1184" s="46" t="s">
        <v>658</v>
      </c>
      <c r="AL1184" s="46" t="s">
        <v>1111</v>
      </c>
      <c r="AM1184" s="46" t="s">
        <v>1126</v>
      </c>
      <c r="AN1184" s="46" t="s">
        <v>376</v>
      </c>
      <c r="AO1184" s="46" t="s">
        <v>658</v>
      </c>
      <c r="AP1184" s="46"/>
      <c r="AQ1184" s="46">
        <v>2</v>
      </c>
      <c r="AR1184" s="46"/>
      <c r="AS1184" s="46"/>
      <c r="AT1184" s="46"/>
      <c r="AU1184" s="46" t="s">
        <v>376</v>
      </c>
      <c r="AV1184" s="46"/>
      <c r="AW1184" s="46" t="s">
        <v>30</v>
      </c>
      <c r="AX1184" s="46"/>
      <c r="AY1184" s="46"/>
      <c r="AZ1184" s="46" t="s">
        <v>30</v>
      </c>
      <c r="BA1184" s="54"/>
      <c r="BB1184" s="51"/>
      <c r="BC1184" s="46"/>
      <c r="BD1184" s="46"/>
      <c r="BE1184" s="46"/>
      <c r="BF1184" s="46">
        <v>1</v>
      </c>
      <c r="BG1184" s="46">
        <v>2</v>
      </c>
      <c r="BH1184" s="46">
        <v>1</v>
      </c>
      <c r="BI1184" s="46" t="s">
        <v>1398</v>
      </c>
      <c r="BJ1184" s="46" t="s">
        <v>806</v>
      </c>
      <c r="BK1184" s="46">
        <v>1994</v>
      </c>
      <c r="BL1184" s="46" t="str">
        <f>BK1184&amp;BI1184</f>
        <v>1994Tranmere Rovers</v>
      </c>
      <c r="BM1184" s="52" t="str">
        <f>IF(AD1184="Home",BI1184,IF(AD1184="Away",BJ1184,Q1184))</f>
        <v>Tranmere Rovers</v>
      </c>
      <c r="BN1184" s="46"/>
      <c r="BO1184" s="46"/>
      <c r="BP1184" s="46"/>
      <c r="BQ1184" s="46"/>
      <c r="BR1184" s="46"/>
      <c r="BS1184" s="46"/>
      <c r="BT1184" s="46"/>
      <c r="BU1184" s="46"/>
      <c r="BV1184" s="46" t="s">
        <v>376</v>
      </c>
      <c r="BW1184" s="46" t="s">
        <v>376</v>
      </c>
      <c r="BX1184" s="46"/>
      <c r="BY1184" s="52"/>
      <c r="BZ1184" s="53"/>
      <c r="CA1184" s="53"/>
      <c r="CB1184" s="93" t="str">
        <f>IF(OR(C1184="",A1184="",B1184=""),"",TEXT(C1184,"0000")&amp;TEXT(A1184,"00")&amp;TEXT(B1184,"00"))</f>
        <v>19940216</v>
      </c>
    </row>
    <row r="1185" spans="1:80" s="50" customFormat="1" ht="12.95" customHeight="1" x14ac:dyDescent="0.2">
      <c r="A1185" s="46">
        <v>2</v>
      </c>
      <c r="B1185" s="46">
        <v>16</v>
      </c>
      <c r="C1185" s="46">
        <v>1994</v>
      </c>
      <c r="D1185" s="52" t="s">
        <v>658</v>
      </c>
      <c r="E1185" s="52" t="s">
        <v>432</v>
      </c>
      <c r="F1185" s="52" t="s">
        <v>1327</v>
      </c>
      <c r="G1185" s="52"/>
      <c r="H1185" s="52" t="s">
        <v>1011</v>
      </c>
      <c r="I1185" s="52">
        <v>1</v>
      </c>
      <c r="J1185" s="56">
        <v>34381</v>
      </c>
      <c r="K1185" s="52" t="s">
        <v>806</v>
      </c>
      <c r="L1185" s="52" t="s">
        <v>4</v>
      </c>
      <c r="M1185" s="52" t="s">
        <v>1398</v>
      </c>
      <c r="N1185" s="57">
        <v>1</v>
      </c>
      <c r="O1185" s="57">
        <v>3</v>
      </c>
      <c r="P1185" s="52" t="s">
        <v>1399</v>
      </c>
      <c r="Q1185" s="52" t="s">
        <v>588</v>
      </c>
      <c r="R1185" s="52" t="s">
        <v>376</v>
      </c>
      <c r="S1185" s="52"/>
      <c r="T1185" s="52"/>
      <c r="U1185" s="52"/>
      <c r="V1185" s="52"/>
      <c r="W1185" s="52"/>
      <c r="X1185" s="52"/>
      <c r="Y1185" s="52"/>
      <c r="Z1185" s="57"/>
      <c r="AA1185" s="58">
        <v>1</v>
      </c>
      <c r="AB1185" s="58">
        <v>3</v>
      </c>
      <c r="AC1185" s="59">
        <v>1</v>
      </c>
      <c r="AD1185" s="52" t="s">
        <v>1037</v>
      </c>
      <c r="AE1185" s="50">
        <f>IF(L1185="W",1,0)</f>
        <v>0</v>
      </c>
      <c r="AF1185" s="50">
        <f>IF(L1185="T",1,0)</f>
        <v>0</v>
      </c>
      <c r="AG1185" s="50">
        <f>IF(L1185="L",1,0)</f>
        <v>1</v>
      </c>
      <c r="AH1185" s="52" t="s">
        <v>1111</v>
      </c>
      <c r="AI1185" s="52" t="s">
        <v>1126</v>
      </c>
      <c r="AJ1185" s="52" t="s">
        <v>376</v>
      </c>
      <c r="AK1185" s="50" t="s">
        <v>658</v>
      </c>
      <c r="AL1185" s="52" t="s">
        <v>588</v>
      </c>
      <c r="AM1185" s="52" t="s">
        <v>1175</v>
      </c>
      <c r="AN1185" s="52" t="s">
        <v>376</v>
      </c>
      <c r="AO1185" s="50" t="s">
        <v>658</v>
      </c>
      <c r="AP1185" s="52"/>
      <c r="AQ1185" s="52">
        <v>2</v>
      </c>
      <c r="AR1185" s="52"/>
      <c r="AS1185" s="52"/>
      <c r="AT1185" s="46"/>
      <c r="AU1185" s="52" t="s">
        <v>376</v>
      </c>
      <c r="AV1185" s="52"/>
      <c r="AW1185" s="52" t="s">
        <v>30</v>
      </c>
      <c r="AX1185" s="52"/>
      <c r="AY1185" s="52"/>
      <c r="AZ1185" s="52" t="s">
        <v>30</v>
      </c>
      <c r="BA1185" s="52"/>
      <c r="BB1185" s="60"/>
      <c r="BC1185" s="52"/>
      <c r="BD1185" s="60"/>
      <c r="BE1185" s="60"/>
      <c r="BF1185" s="35">
        <v>1</v>
      </c>
      <c r="BG1185" s="52">
        <v>1</v>
      </c>
      <c r="BH1185" s="52"/>
      <c r="BI1185" s="52" t="s">
        <v>806</v>
      </c>
      <c r="BJ1185" s="52" t="s">
        <v>1398</v>
      </c>
      <c r="BK1185" s="52">
        <v>1994</v>
      </c>
      <c r="BL1185" s="46" t="str">
        <f>BK1185&amp;BI1185</f>
        <v>1994Aston Villa</v>
      </c>
      <c r="BM1185" s="52" t="str">
        <f>IF(AD1185="Home",BI1185,IF(AD1185="Away",BJ1185,Q1185))</f>
        <v>Tranmere Rovers</v>
      </c>
      <c r="BN1185" s="52"/>
      <c r="BO1185" s="52"/>
      <c r="BP1185" s="52"/>
      <c r="BQ1185" s="52"/>
      <c r="BR1185" s="52"/>
      <c r="BS1185" s="52"/>
      <c r="BT1185" s="52"/>
      <c r="BU1185" s="52"/>
      <c r="BV1185" s="52" t="s">
        <v>376</v>
      </c>
      <c r="BW1185" s="52" t="s">
        <v>376</v>
      </c>
      <c r="BX1185" s="52"/>
      <c r="BY1185" s="52"/>
      <c r="BZ1185" s="53"/>
      <c r="CA1185" s="53"/>
      <c r="CB1185" s="93" t="str">
        <f>IF(OR(C1185="",A1185="",B1185=""),"",TEXT(C1185,"0000")&amp;TEXT(A1185,"00")&amp;TEXT(B1185,"00"))</f>
        <v>19940216</v>
      </c>
    </row>
    <row r="1186" spans="1:80" s="50" customFormat="1" ht="12.95" customHeight="1" x14ac:dyDescent="0.2">
      <c r="A1186" s="46">
        <v>2</v>
      </c>
      <c r="B1186" s="46">
        <v>27</v>
      </c>
      <c r="C1186" s="46">
        <v>1994</v>
      </c>
      <c r="D1186" s="52" t="s">
        <v>658</v>
      </c>
      <c r="E1186" s="52" t="s">
        <v>432</v>
      </c>
      <c r="F1186" s="52" t="s">
        <v>1327</v>
      </c>
      <c r="G1186" s="52"/>
      <c r="H1186" s="52" t="s">
        <v>1011</v>
      </c>
      <c r="I1186" s="52">
        <v>2</v>
      </c>
      <c r="J1186" s="56">
        <v>34392</v>
      </c>
      <c r="K1186" s="52" t="s">
        <v>806</v>
      </c>
      <c r="L1186" s="52" t="s">
        <v>3</v>
      </c>
      <c r="M1186" s="52" t="s">
        <v>1398</v>
      </c>
      <c r="N1186" s="57">
        <v>3</v>
      </c>
      <c r="O1186" s="57">
        <v>1</v>
      </c>
      <c r="P1186" s="52" t="s">
        <v>1219</v>
      </c>
      <c r="Q1186" s="52" t="s">
        <v>1111</v>
      </c>
      <c r="R1186" s="52" t="s">
        <v>376</v>
      </c>
      <c r="S1186" s="52"/>
      <c r="T1186" s="52"/>
      <c r="U1186" s="52"/>
      <c r="V1186" s="52"/>
      <c r="W1186" s="52"/>
      <c r="X1186" s="52"/>
      <c r="Y1186" s="52"/>
      <c r="Z1186" s="57"/>
      <c r="AA1186" s="58">
        <v>4</v>
      </c>
      <c r="AB1186" s="58">
        <v>4</v>
      </c>
      <c r="AC1186" s="59">
        <v>1</v>
      </c>
      <c r="AD1186" s="52" t="s">
        <v>1033</v>
      </c>
      <c r="AE1186" s="50">
        <f>IF(L1186="W",1,0)</f>
        <v>1</v>
      </c>
      <c r="AF1186" s="50">
        <f>IF(L1186="T",1,0)</f>
        <v>0</v>
      </c>
      <c r="AG1186" s="50">
        <f>IF(L1186="L",1,0)</f>
        <v>0</v>
      </c>
      <c r="AH1186" s="52" t="s">
        <v>1111</v>
      </c>
      <c r="AI1186" s="52" t="s">
        <v>1126</v>
      </c>
      <c r="AJ1186" s="52" t="s">
        <v>376</v>
      </c>
      <c r="AK1186" s="50" t="s">
        <v>658</v>
      </c>
      <c r="AL1186" s="52" t="s">
        <v>588</v>
      </c>
      <c r="AM1186" s="52" t="s">
        <v>1175</v>
      </c>
      <c r="AN1186" s="52" t="s">
        <v>376</v>
      </c>
      <c r="AO1186" s="50" t="s">
        <v>658</v>
      </c>
      <c r="AP1186" s="52"/>
      <c r="AQ1186" s="52">
        <v>2</v>
      </c>
      <c r="AR1186" s="52"/>
      <c r="AS1186" s="52"/>
      <c r="AT1186" s="46"/>
      <c r="AU1186" s="52" t="s">
        <v>376</v>
      </c>
      <c r="AV1186" s="52"/>
      <c r="AW1186" s="52" t="s">
        <v>30</v>
      </c>
      <c r="AX1186" s="52"/>
      <c r="AY1186" s="52"/>
      <c r="AZ1186" s="52" t="s">
        <v>30</v>
      </c>
      <c r="BA1186" s="52"/>
      <c r="BB1186" s="60"/>
      <c r="BC1186" s="52"/>
      <c r="BD1186" s="60"/>
      <c r="BE1186" s="60"/>
      <c r="BF1186" s="35">
        <v>1</v>
      </c>
      <c r="BG1186" s="52">
        <v>1</v>
      </c>
      <c r="BH1186" s="52"/>
      <c r="BI1186" s="52" t="s">
        <v>806</v>
      </c>
      <c r="BJ1186" s="52" t="s">
        <v>1398</v>
      </c>
      <c r="BK1186" s="52">
        <v>1994</v>
      </c>
      <c r="BL1186" s="46" t="str">
        <f>BK1186&amp;BI1186</f>
        <v>1994Aston Villa</v>
      </c>
      <c r="BM1186" s="52" t="str">
        <f>IF(AD1186="Home",BI1186,IF(AD1186="Away",BJ1186,Q1186))</f>
        <v>Aston Villa</v>
      </c>
      <c r="BN1186" s="52"/>
      <c r="BO1186" s="52"/>
      <c r="BP1186" s="52"/>
      <c r="BQ1186" s="52"/>
      <c r="BR1186" s="52"/>
      <c r="BS1186" s="52"/>
      <c r="BT1186" s="52"/>
      <c r="BU1186" s="52"/>
      <c r="BV1186" s="52" t="s">
        <v>376</v>
      </c>
      <c r="BW1186" s="52" t="s">
        <v>376</v>
      </c>
      <c r="BX1186" s="52"/>
      <c r="BY1186" s="52"/>
      <c r="BZ1186" s="53"/>
      <c r="CA1186" s="53"/>
      <c r="CB1186" s="93" t="str">
        <f>IF(OR(C1186="",A1186="",B1186=""),"",TEXT(C1186,"0000")&amp;TEXT(A1186,"00")&amp;TEXT(B1186,"00"))</f>
        <v>19940227</v>
      </c>
    </row>
    <row r="1187" spans="1:80" s="50" customFormat="1" ht="12.95" customHeight="1" x14ac:dyDescent="0.2">
      <c r="A1187" s="46">
        <v>2</v>
      </c>
      <c r="B1187" s="46">
        <v>27</v>
      </c>
      <c r="C1187" s="46">
        <v>1994</v>
      </c>
      <c r="D1187" s="46" t="s">
        <v>658</v>
      </c>
      <c r="E1187" s="46" t="s">
        <v>432</v>
      </c>
      <c r="F1187" s="54" t="s">
        <v>1327</v>
      </c>
      <c r="G1187" s="46"/>
      <c r="H1187" s="54" t="s">
        <v>1011</v>
      </c>
      <c r="I1187" s="54">
        <v>2</v>
      </c>
      <c r="J1187" s="55">
        <v>34392</v>
      </c>
      <c r="K1187" s="46" t="s">
        <v>1398</v>
      </c>
      <c r="L1187" s="46" t="s">
        <v>4</v>
      </c>
      <c r="M1187" s="46" t="s">
        <v>806</v>
      </c>
      <c r="N1187" s="49">
        <v>1</v>
      </c>
      <c r="O1187" s="49">
        <v>3</v>
      </c>
      <c r="P1187" s="54" t="s">
        <v>1219</v>
      </c>
      <c r="Q1187" s="54" t="s">
        <v>1111</v>
      </c>
      <c r="R1187" s="54" t="s">
        <v>376</v>
      </c>
      <c r="S1187" s="46"/>
      <c r="T1187" s="46"/>
      <c r="U1187" s="46"/>
      <c r="V1187" s="46"/>
      <c r="W1187" s="46"/>
      <c r="X1187" s="46"/>
      <c r="Y1187" s="46"/>
      <c r="Z1187" s="46"/>
      <c r="AA1187" s="46"/>
      <c r="AB1187" s="46"/>
      <c r="AC1187" s="46"/>
      <c r="AD1187" s="46" t="s">
        <v>1037</v>
      </c>
      <c r="AE1187" s="50">
        <f>IF(L1187="W",1,0)</f>
        <v>0</v>
      </c>
      <c r="AF1187" s="50">
        <f>IF(L1187="T",1,0)</f>
        <v>0</v>
      </c>
      <c r="AG1187" s="50">
        <f>IF(L1187="L",1,0)</f>
        <v>1</v>
      </c>
      <c r="AH1187" s="46" t="s">
        <v>588</v>
      </c>
      <c r="AI1187" s="46" t="s">
        <v>1175</v>
      </c>
      <c r="AJ1187" s="46" t="s">
        <v>376</v>
      </c>
      <c r="AK1187" s="46" t="s">
        <v>658</v>
      </c>
      <c r="AL1187" s="46" t="s">
        <v>1111</v>
      </c>
      <c r="AM1187" s="46" t="s">
        <v>1126</v>
      </c>
      <c r="AN1187" s="46" t="s">
        <v>376</v>
      </c>
      <c r="AO1187" s="46" t="s">
        <v>658</v>
      </c>
      <c r="AP1187" s="46"/>
      <c r="AQ1187" s="46">
        <v>2</v>
      </c>
      <c r="AR1187" s="46"/>
      <c r="AS1187" s="46"/>
      <c r="AT1187" s="46"/>
      <c r="AU1187" s="46" t="s">
        <v>376</v>
      </c>
      <c r="AV1187" s="46"/>
      <c r="AW1187" s="46" t="s">
        <v>30</v>
      </c>
      <c r="AX1187" s="46"/>
      <c r="AY1187" s="46"/>
      <c r="AZ1187" s="46" t="s">
        <v>30</v>
      </c>
      <c r="BA1187" s="54"/>
      <c r="BB1187" s="51"/>
      <c r="BC1187" s="46"/>
      <c r="BD1187" s="46"/>
      <c r="BE1187" s="46"/>
      <c r="BF1187" s="46">
        <v>1</v>
      </c>
      <c r="BG1187" s="46">
        <v>2</v>
      </c>
      <c r="BH1187" s="46">
        <v>1</v>
      </c>
      <c r="BI1187" s="46" t="s">
        <v>1398</v>
      </c>
      <c r="BJ1187" s="46" t="s">
        <v>806</v>
      </c>
      <c r="BK1187" s="46">
        <v>1994</v>
      </c>
      <c r="BL1187" s="46" t="str">
        <f>BK1187&amp;BI1187</f>
        <v>1994Tranmere Rovers</v>
      </c>
      <c r="BM1187" s="52" t="str">
        <f>IF(AD1187="Home",BI1187,IF(AD1187="Away",BJ1187,Q1187))</f>
        <v>Aston Villa</v>
      </c>
      <c r="BN1187" s="46"/>
      <c r="BO1187" s="46"/>
      <c r="BP1187" s="46"/>
      <c r="BQ1187" s="46"/>
      <c r="BR1187" s="46"/>
      <c r="BS1187" s="46"/>
      <c r="BT1187" s="46"/>
      <c r="BU1187" s="46"/>
      <c r="BV1187" s="46" t="s">
        <v>376</v>
      </c>
      <c r="BW1187" s="46" t="s">
        <v>376</v>
      </c>
      <c r="BX1187" s="46"/>
      <c r="BY1187" s="52"/>
      <c r="BZ1187" s="53"/>
      <c r="CA1187" s="53"/>
      <c r="CB1187" s="93" t="str">
        <f>IF(OR(C1187="",A1187="",B1187=""),"",TEXT(C1187,"0000")&amp;TEXT(A1187,"00")&amp;TEXT(B1187,"00"))</f>
        <v>19940227</v>
      </c>
    </row>
    <row r="1188" spans="1:80" s="50" customFormat="1" ht="12.95" customHeight="1" x14ac:dyDescent="0.2">
      <c r="A1188" s="46">
        <v>3</v>
      </c>
      <c r="B1188" s="46">
        <v>2</v>
      </c>
      <c r="C1188" s="46">
        <v>1994</v>
      </c>
      <c r="D1188" s="52" t="s">
        <v>658</v>
      </c>
      <c r="E1188" s="52" t="s">
        <v>432</v>
      </c>
      <c r="F1188" s="52" t="s">
        <v>1327</v>
      </c>
      <c r="G1188" s="52"/>
      <c r="H1188" s="52" t="s">
        <v>1011</v>
      </c>
      <c r="I1188" s="52">
        <v>2</v>
      </c>
      <c r="J1188" s="56">
        <v>34395</v>
      </c>
      <c r="K1188" s="52" t="s">
        <v>1093</v>
      </c>
      <c r="L1188" s="52" t="s">
        <v>4</v>
      </c>
      <c r="M1188" s="52" t="s">
        <v>821</v>
      </c>
      <c r="N1188" s="57">
        <v>1</v>
      </c>
      <c r="O1188" s="57">
        <v>4</v>
      </c>
      <c r="P1188" s="52" t="s">
        <v>1252</v>
      </c>
      <c r="Q1188" s="52" t="s">
        <v>1097</v>
      </c>
      <c r="R1188" s="52" t="s">
        <v>376</v>
      </c>
      <c r="S1188" s="52"/>
      <c r="T1188" s="52"/>
      <c r="U1188" s="52"/>
      <c r="V1188" s="52"/>
      <c r="W1188" s="52"/>
      <c r="X1188" s="52"/>
      <c r="Y1188" s="52"/>
      <c r="Z1188" s="57"/>
      <c r="AA1188" s="58">
        <v>1</v>
      </c>
      <c r="AB1188" s="58">
        <v>5</v>
      </c>
      <c r="AC1188" s="59">
        <v>0</v>
      </c>
      <c r="AD1188" s="52" t="s">
        <v>1033</v>
      </c>
      <c r="AE1188" s="50">
        <f>IF(L1188="W",1,0)</f>
        <v>0</v>
      </c>
      <c r="AF1188" s="50">
        <f>IF(L1188="T",1,0)</f>
        <v>0</v>
      </c>
      <c r="AG1188" s="50">
        <f>IF(L1188="L",1,0)</f>
        <v>1</v>
      </c>
      <c r="AH1188" s="52" t="s">
        <v>1097</v>
      </c>
      <c r="AI1188" s="52" t="s">
        <v>1098</v>
      </c>
      <c r="AJ1188" s="52" t="s">
        <v>376</v>
      </c>
      <c r="AK1188" s="50" t="s">
        <v>658</v>
      </c>
      <c r="AL1188" s="52" t="s">
        <v>1101</v>
      </c>
      <c r="AM1188" s="52" t="s">
        <v>1159</v>
      </c>
      <c r="AN1188" s="52" t="s">
        <v>376</v>
      </c>
      <c r="AO1188" s="50" t="s">
        <v>658</v>
      </c>
      <c r="AP1188" s="52"/>
      <c r="AQ1188" s="52">
        <v>2</v>
      </c>
      <c r="AR1188" s="52"/>
      <c r="AS1188" s="52">
        <v>1</v>
      </c>
      <c r="AT1188" s="46"/>
      <c r="AU1188" s="52" t="s">
        <v>376</v>
      </c>
      <c r="AV1188" s="52"/>
      <c r="AW1188" s="52" t="s">
        <v>30</v>
      </c>
      <c r="AX1188" s="52"/>
      <c r="AY1188" s="52"/>
      <c r="AZ1188" s="52" t="s">
        <v>30</v>
      </c>
      <c r="BA1188" s="52"/>
      <c r="BB1188" s="60"/>
      <c r="BC1188" s="52"/>
      <c r="BD1188" s="60"/>
      <c r="BE1188" s="60"/>
      <c r="BF1188" s="35">
        <v>1</v>
      </c>
      <c r="BG1188" s="52">
        <v>1</v>
      </c>
      <c r="BH1188" s="52"/>
      <c r="BI1188" s="52" t="s">
        <v>1093</v>
      </c>
      <c r="BJ1188" s="52" t="s">
        <v>821</v>
      </c>
      <c r="BK1188" s="52">
        <v>1994</v>
      </c>
      <c r="BL1188" s="46" t="str">
        <f>BK1188&amp;BI1188</f>
        <v>1994Sheffield Wednesday</v>
      </c>
      <c r="BM1188" s="52" t="str">
        <f>IF(AD1188="Home",BI1188,IF(AD1188="Away",BJ1188,Q1188))</f>
        <v>Sheffield Wednesday</v>
      </c>
      <c r="BN1188" s="52"/>
      <c r="BO1188" s="52"/>
      <c r="BP1188" s="52"/>
      <c r="BQ1188" s="52"/>
      <c r="BR1188" s="52"/>
      <c r="BS1188" s="52"/>
      <c r="BT1188" s="52"/>
      <c r="BU1188" s="52"/>
      <c r="BV1188" s="52" t="s">
        <v>376</v>
      </c>
      <c r="BW1188" s="52" t="s">
        <v>376</v>
      </c>
      <c r="BX1188" s="52"/>
      <c r="BZ1188" s="53"/>
      <c r="CA1188" s="53"/>
      <c r="CB1188" s="93" t="str">
        <f>IF(OR(C1188="",A1188="",B1188=""),"",TEXT(C1188,"0000")&amp;TEXT(A1188,"00")&amp;TEXT(B1188,"00"))</f>
        <v>19940302</v>
      </c>
    </row>
    <row r="1189" spans="1:80" s="50" customFormat="1" ht="12.95" customHeight="1" x14ac:dyDescent="0.2">
      <c r="A1189" s="46">
        <v>3</v>
      </c>
      <c r="B1189" s="46">
        <v>2</v>
      </c>
      <c r="C1189" s="46">
        <v>1994</v>
      </c>
      <c r="D1189" s="52" t="s">
        <v>658</v>
      </c>
      <c r="E1189" s="52" t="s">
        <v>432</v>
      </c>
      <c r="F1189" s="52" t="s">
        <v>1327</v>
      </c>
      <c r="G1189" s="52"/>
      <c r="H1189" s="52" t="s">
        <v>1011</v>
      </c>
      <c r="I1189" s="52">
        <v>2</v>
      </c>
      <c r="J1189" s="56">
        <v>34395</v>
      </c>
      <c r="K1189" s="52" t="s">
        <v>821</v>
      </c>
      <c r="L1189" s="52" t="s">
        <v>3</v>
      </c>
      <c r="M1189" s="52" t="s">
        <v>1093</v>
      </c>
      <c r="N1189" s="57">
        <v>4</v>
      </c>
      <c r="O1189" s="57">
        <v>1</v>
      </c>
      <c r="P1189" s="52" t="s">
        <v>1252</v>
      </c>
      <c r="Q1189" s="52" t="s">
        <v>1097</v>
      </c>
      <c r="R1189" s="52" t="s">
        <v>376</v>
      </c>
      <c r="S1189" s="52"/>
      <c r="T1189" s="52"/>
      <c r="U1189" s="52"/>
      <c r="V1189" s="52"/>
      <c r="W1189" s="52"/>
      <c r="X1189" s="52"/>
      <c r="Y1189" s="52"/>
      <c r="Z1189" s="57"/>
      <c r="AA1189" s="58">
        <v>5</v>
      </c>
      <c r="AB1189" s="58">
        <v>1</v>
      </c>
      <c r="AC1189" s="59">
        <v>4</v>
      </c>
      <c r="AD1189" s="52" t="s">
        <v>1037</v>
      </c>
      <c r="AE1189" s="50">
        <f>IF(L1189="W",1,0)</f>
        <v>1</v>
      </c>
      <c r="AF1189" s="50">
        <f>IF(L1189="T",1,0)</f>
        <v>0</v>
      </c>
      <c r="AG1189" s="50">
        <f>IF(L1189="L",1,0)</f>
        <v>0</v>
      </c>
      <c r="AH1189" s="52" t="s">
        <v>1101</v>
      </c>
      <c r="AI1189" s="52" t="s">
        <v>1159</v>
      </c>
      <c r="AJ1189" s="52" t="s">
        <v>376</v>
      </c>
      <c r="AK1189" s="50" t="s">
        <v>658</v>
      </c>
      <c r="AL1189" s="52" t="s">
        <v>1097</v>
      </c>
      <c r="AM1189" s="52" t="s">
        <v>1098</v>
      </c>
      <c r="AN1189" s="52" t="s">
        <v>376</v>
      </c>
      <c r="AO1189" s="50" t="s">
        <v>658</v>
      </c>
      <c r="AP1189" s="52"/>
      <c r="AQ1189" s="52">
        <v>2</v>
      </c>
      <c r="AR1189" s="52"/>
      <c r="AS1189" s="52"/>
      <c r="AT1189" s="46"/>
      <c r="AU1189" s="52" t="s">
        <v>376</v>
      </c>
      <c r="AV1189" s="52"/>
      <c r="AW1189" s="52" t="s">
        <v>30</v>
      </c>
      <c r="AX1189" s="52"/>
      <c r="AY1189" s="52"/>
      <c r="AZ1189" s="52" t="s">
        <v>30</v>
      </c>
      <c r="BA1189" s="52"/>
      <c r="BB1189" s="60"/>
      <c r="BC1189" s="52"/>
      <c r="BD1189" s="60"/>
      <c r="BE1189" s="60"/>
      <c r="BF1189" s="35">
        <v>1</v>
      </c>
      <c r="BG1189" s="52">
        <v>1</v>
      </c>
      <c r="BH1189" s="52"/>
      <c r="BI1189" s="52" t="s">
        <v>821</v>
      </c>
      <c r="BJ1189" s="52" t="s">
        <v>1093</v>
      </c>
      <c r="BK1189" s="52">
        <v>1994</v>
      </c>
      <c r="BL1189" s="46" t="str">
        <f>BK1189&amp;BI1189</f>
        <v>1994Manchester United</v>
      </c>
      <c r="BM1189" s="52" t="str">
        <f>IF(AD1189="Home",BI1189,IF(AD1189="Away",BJ1189,Q1189))</f>
        <v>Sheffield Wednesday</v>
      </c>
      <c r="BN1189" s="52"/>
      <c r="BO1189" s="52"/>
      <c r="BP1189" s="52"/>
      <c r="BQ1189" s="52"/>
      <c r="BR1189" s="52"/>
      <c r="BS1189" s="52"/>
      <c r="BT1189" s="52"/>
      <c r="BU1189" s="52"/>
      <c r="BV1189" s="52" t="s">
        <v>376</v>
      </c>
      <c r="BW1189" s="52" t="s">
        <v>376</v>
      </c>
      <c r="BX1189" s="52"/>
      <c r="BZ1189" s="53"/>
      <c r="CA1189" s="53"/>
      <c r="CB1189" s="93" t="str">
        <f>IF(OR(C1189="",A1189="",B1189=""),"",TEXT(C1189,"0000")&amp;TEXT(A1189,"00")&amp;TEXT(B1189,"00"))</f>
        <v>19940302</v>
      </c>
    </row>
    <row r="1190" spans="1:80" s="50" customFormat="1" ht="12.95" customHeight="1" x14ac:dyDescent="0.2">
      <c r="A1190" s="46">
        <v>3</v>
      </c>
      <c r="B1190" s="46">
        <v>27</v>
      </c>
      <c r="C1190" s="46">
        <v>1994</v>
      </c>
      <c r="D1190" s="52" t="s">
        <v>658</v>
      </c>
      <c r="E1190" s="52" t="s">
        <v>432</v>
      </c>
      <c r="F1190" s="52" t="s">
        <v>1327</v>
      </c>
      <c r="G1190" s="52"/>
      <c r="H1190" s="52" t="s">
        <v>40</v>
      </c>
      <c r="I1190" s="52"/>
      <c r="J1190" s="56">
        <v>34420</v>
      </c>
      <c r="K1190" s="52" t="s">
        <v>806</v>
      </c>
      <c r="L1190" s="52" t="s">
        <v>3</v>
      </c>
      <c r="M1190" s="52" t="s">
        <v>821</v>
      </c>
      <c r="N1190" s="57">
        <v>3</v>
      </c>
      <c r="O1190" s="57">
        <v>1</v>
      </c>
      <c r="P1190" s="52" t="s">
        <v>1268</v>
      </c>
      <c r="Q1190" s="52" t="s">
        <v>1017</v>
      </c>
      <c r="R1190" s="52" t="s">
        <v>376</v>
      </c>
      <c r="S1190" s="52"/>
      <c r="T1190" s="52"/>
      <c r="U1190" s="52"/>
      <c r="V1190" s="52"/>
      <c r="W1190" s="52"/>
      <c r="X1190" s="52"/>
      <c r="Y1190" s="52"/>
      <c r="Z1190" s="57"/>
      <c r="AA1190" s="52"/>
      <c r="AB1190" s="52"/>
      <c r="AC1190" s="52"/>
      <c r="AD1190" s="52"/>
      <c r="AE1190" s="50">
        <f>IF(L1190="W",1,0)</f>
        <v>1</v>
      </c>
      <c r="AF1190" s="50">
        <f>IF(L1190="T",1,0)</f>
        <v>0</v>
      </c>
      <c r="AG1190" s="50">
        <f>IF(L1190="L",1,0)</f>
        <v>0</v>
      </c>
      <c r="AH1190" s="52" t="s">
        <v>1111</v>
      </c>
      <c r="AI1190" s="52" t="s">
        <v>1126</v>
      </c>
      <c r="AJ1190" s="52" t="s">
        <v>376</v>
      </c>
      <c r="AK1190" s="50" t="s">
        <v>658</v>
      </c>
      <c r="AL1190" s="52" t="s">
        <v>1101</v>
      </c>
      <c r="AM1190" s="52" t="s">
        <v>1159</v>
      </c>
      <c r="AN1190" s="52" t="s">
        <v>376</v>
      </c>
      <c r="AO1190" s="50" t="s">
        <v>658</v>
      </c>
      <c r="AP1190" s="52"/>
      <c r="AQ1190" s="52">
        <v>1</v>
      </c>
      <c r="AR1190" s="52"/>
      <c r="AS1190" s="52" t="s">
        <v>1393</v>
      </c>
      <c r="AT1190" s="46"/>
      <c r="AU1190" s="52" t="s">
        <v>376</v>
      </c>
      <c r="AV1190" s="52"/>
      <c r="AW1190" s="52" t="s">
        <v>30</v>
      </c>
      <c r="AX1190" s="52"/>
      <c r="AY1190" s="52"/>
      <c r="AZ1190" s="57" t="s">
        <v>30</v>
      </c>
      <c r="BA1190" s="52"/>
      <c r="BB1190" s="60" t="s">
        <v>30</v>
      </c>
      <c r="BC1190" s="35" t="s">
        <v>30</v>
      </c>
      <c r="BD1190" s="60"/>
      <c r="BE1190" s="60" t="s">
        <v>1400</v>
      </c>
      <c r="BF1190" s="35">
        <v>1</v>
      </c>
      <c r="BG1190" s="52">
        <v>1</v>
      </c>
      <c r="BH1190" s="52"/>
      <c r="BI1190" s="52" t="s">
        <v>806</v>
      </c>
      <c r="BJ1190" s="52" t="s">
        <v>821</v>
      </c>
      <c r="BK1190" s="52">
        <v>1994</v>
      </c>
      <c r="BL1190" s="46" t="str">
        <f>BK1190&amp;BI1190</f>
        <v>1994Aston Villa</v>
      </c>
      <c r="BM1190" s="52" t="str">
        <f>IF(AD1190="Home",BI1190,IF(AD1190="Away",BJ1190,Q1190))</f>
        <v>London</v>
      </c>
      <c r="BN1190" s="52"/>
      <c r="BO1190" s="52"/>
      <c r="BP1190" s="52"/>
      <c r="BQ1190" s="52"/>
      <c r="BR1190" s="52"/>
      <c r="BS1190" s="52"/>
      <c r="BT1190" s="52"/>
      <c r="BU1190" s="52"/>
      <c r="BV1190" s="52" t="s">
        <v>376</v>
      </c>
      <c r="BW1190" s="52" t="s">
        <v>376</v>
      </c>
      <c r="BX1190" s="52"/>
      <c r="BY1190" s="52"/>
      <c r="BZ1190" s="53"/>
      <c r="CA1190" s="53"/>
      <c r="CB1190" s="93" t="str">
        <f>IF(OR(C1190="",A1190="",B1190=""),"",TEXT(C1190,"0000")&amp;TEXT(A1190,"00")&amp;TEXT(B1190,"00"))</f>
        <v>19940327</v>
      </c>
    </row>
    <row r="1191" spans="1:80" s="50" customFormat="1" ht="12.95" customHeight="1" x14ac:dyDescent="0.2">
      <c r="A1191" s="46">
        <v>3</v>
      </c>
      <c r="B1191" s="46">
        <v>27</v>
      </c>
      <c r="C1191" s="46">
        <v>1994</v>
      </c>
      <c r="D1191" s="52" t="s">
        <v>658</v>
      </c>
      <c r="E1191" s="52" t="s">
        <v>432</v>
      </c>
      <c r="F1191" s="52" t="s">
        <v>1327</v>
      </c>
      <c r="G1191" s="52"/>
      <c r="H1191" s="52" t="s">
        <v>40</v>
      </c>
      <c r="I1191" s="52"/>
      <c r="J1191" s="56">
        <v>34420</v>
      </c>
      <c r="K1191" s="52" t="s">
        <v>821</v>
      </c>
      <c r="L1191" s="52" t="s">
        <v>4</v>
      </c>
      <c r="M1191" s="52" t="s">
        <v>806</v>
      </c>
      <c r="N1191" s="57">
        <v>1</v>
      </c>
      <c r="O1191" s="57">
        <v>3</v>
      </c>
      <c r="P1191" s="52" t="s">
        <v>1268</v>
      </c>
      <c r="Q1191" s="52" t="s">
        <v>1017</v>
      </c>
      <c r="R1191" s="52" t="s">
        <v>376</v>
      </c>
      <c r="S1191" s="52"/>
      <c r="T1191" s="52"/>
      <c r="U1191" s="52"/>
      <c r="V1191" s="52"/>
      <c r="W1191" s="52"/>
      <c r="X1191" s="52"/>
      <c r="Y1191" s="52"/>
      <c r="Z1191" s="57"/>
      <c r="AA1191" s="52"/>
      <c r="AB1191" s="52"/>
      <c r="AC1191" s="52"/>
      <c r="AD1191" s="52"/>
      <c r="AE1191" s="50">
        <f>IF(L1191="W",1,0)</f>
        <v>0</v>
      </c>
      <c r="AF1191" s="50">
        <f>IF(L1191="T",1,0)</f>
        <v>0</v>
      </c>
      <c r="AG1191" s="50">
        <f>IF(L1191="L",1,0)</f>
        <v>1</v>
      </c>
      <c r="AH1191" s="52" t="s">
        <v>1101</v>
      </c>
      <c r="AI1191" s="52" t="s">
        <v>1159</v>
      </c>
      <c r="AJ1191" s="52" t="s">
        <v>376</v>
      </c>
      <c r="AK1191" s="50" t="s">
        <v>658</v>
      </c>
      <c r="AL1191" s="52" t="s">
        <v>1111</v>
      </c>
      <c r="AM1191" s="52" t="s">
        <v>1126</v>
      </c>
      <c r="AN1191" s="52" t="s">
        <v>376</v>
      </c>
      <c r="AO1191" s="50" t="s">
        <v>658</v>
      </c>
      <c r="AP1191" s="52"/>
      <c r="AQ1191" s="52">
        <v>1</v>
      </c>
      <c r="AR1191" s="52"/>
      <c r="AS1191" s="52">
        <v>1</v>
      </c>
      <c r="AT1191" s="46"/>
      <c r="AU1191" s="52" t="s">
        <v>376</v>
      </c>
      <c r="AV1191" s="52"/>
      <c r="AW1191" s="52" t="s">
        <v>30</v>
      </c>
      <c r="AX1191" s="52"/>
      <c r="AY1191" s="52"/>
      <c r="AZ1191" s="52" t="s">
        <v>30</v>
      </c>
      <c r="BA1191" s="52"/>
      <c r="BB1191" s="60"/>
      <c r="BC1191" s="35" t="s">
        <v>30</v>
      </c>
      <c r="BD1191" s="60"/>
      <c r="BE1191" s="60"/>
      <c r="BF1191" s="35">
        <v>1</v>
      </c>
      <c r="BG1191" s="52">
        <v>1</v>
      </c>
      <c r="BH1191" s="52"/>
      <c r="BI1191" s="52" t="s">
        <v>821</v>
      </c>
      <c r="BJ1191" s="52" t="s">
        <v>806</v>
      </c>
      <c r="BK1191" s="52">
        <v>1994</v>
      </c>
      <c r="BL1191" s="46" t="str">
        <f>BK1191&amp;BI1191</f>
        <v>1994Manchester United</v>
      </c>
      <c r="BM1191" s="52" t="str">
        <f>IF(AD1191="Home",BI1191,IF(AD1191="Away",BJ1191,Q1191))</f>
        <v>London</v>
      </c>
      <c r="BN1191" s="52"/>
      <c r="BO1191" s="52"/>
      <c r="BP1191" s="52"/>
      <c r="BQ1191" s="52"/>
      <c r="BR1191" s="52"/>
      <c r="BS1191" s="52"/>
      <c r="BT1191" s="52"/>
      <c r="BU1191" s="52"/>
      <c r="BV1191" s="52" t="s">
        <v>376</v>
      </c>
      <c r="BW1191" s="52" t="s">
        <v>376</v>
      </c>
      <c r="BX1191" s="52"/>
      <c r="BY1191" s="52"/>
      <c r="BZ1191" s="53"/>
      <c r="CA1191" s="53"/>
      <c r="CB1191" s="93" t="str">
        <f>IF(OR(C1191="",A1191="",B1191=""),"",TEXT(C1191,"0000")&amp;TEXT(A1191,"00")&amp;TEXT(B1191,"00"))</f>
        <v>19940327</v>
      </c>
    </row>
    <row r="1192" spans="1:80" s="50" customFormat="1" ht="12.95" customHeight="1" x14ac:dyDescent="0.2">
      <c r="A1192" s="46">
        <v>4</v>
      </c>
      <c r="B1192" s="46">
        <v>9</v>
      </c>
      <c r="C1192" s="46">
        <v>1994</v>
      </c>
      <c r="D1192" s="52" t="s">
        <v>658</v>
      </c>
      <c r="E1192" s="52" t="s">
        <v>432</v>
      </c>
      <c r="F1192" s="52" t="s">
        <v>1010</v>
      </c>
      <c r="G1192" s="52"/>
      <c r="H1192" s="52" t="s">
        <v>1011</v>
      </c>
      <c r="I1192" s="52"/>
      <c r="J1192" s="56">
        <v>34433</v>
      </c>
      <c r="K1192" s="52" t="s">
        <v>816</v>
      </c>
      <c r="L1192" s="52" t="s">
        <v>3</v>
      </c>
      <c r="M1192" s="52" t="s">
        <v>1322</v>
      </c>
      <c r="N1192" s="57">
        <v>2</v>
      </c>
      <c r="O1192" s="57">
        <v>0</v>
      </c>
      <c r="P1192" s="52" t="s">
        <v>1268</v>
      </c>
      <c r="Q1192" s="52" t="s">
        <v>1017</v>
      </c>
      <c r="R1192" s="52" t="s">
        <v>376</v>
      </c>
      <c r="S1192" s="52"/>
      <c r="T1192" s="52"/>
      <c r="U1192" s="52"/>
      <c r="V1192" s="52"/>
      <c r="W1192" s="52"/>
      <c r="X1192" s="52"/>
      <c r="Y1192" s="52"/>
      <c r="Z1192" s="57"/>
      <c r="AA1192" s="52"/>
      <c r="AB1192" s="52"/>
      <c r="AC1192" s="52"/>
      <c r="AD1192" s="52"/>
      <c r="AE1192" s="50">
        <f>IF(L1192="W",1,0)</f>
        <v>1</v>
      </c>
      <c r="AF1192" s="50">
        <f>IF(L1192="T",1,0)</f>
        <v>0</v>
      </c>
      <c r="AG1192" s="50">
        <f>IF(L1192="L",1,0)</f>
        <v>0</v>
      </c>
      <c r="AH1192" s="52" t="s">
        <v>1017</v>
      </c>
      <c r="AI1192" s="52" t="s">
        <v>1018</v>
      </c>
      <c r="AJ1192" s="52" t="s">
        <v>376</v>
      </c>
      <c r="AK1192" s="50" t="s">
        <v>658</v>
      </c>
      <c r="AL1192" s="52" t="s">
        <v>1325</v>
      </c>
      <c r="AM1192" s="52" t="s">
        <v>1326</v>
      </c>
      <c r="AN1192" s="52" t="s">
        <v>376</v>
      </c>
      <c r="AO1192" s="50" t="s">
        <v>658</v>
      </c>
      <c r="AP1192" s="52"/>
      <c r="AQ1192" s="52">
        <v>2</v>
      </c>
      <c r="AR1192" s="52"/>
      <c r="AS1192" s="52"/>
      <c r="AT1192" s="46"/>
      <c r="AU1192" s="52" t="s">
        <v>376</v>
      </c>
      <c r="AV1192" s="52"/>
      <c r="AW1192" s="52" t="s">
        <v>30</v>
      </c>
      <c r="AX1192" s="52"/>
      <c r="AY1192" s="52" t="s">
        <v>30</v>
      </c>
      <c r="AZ1192" s="52"/>
      <c r="BA1192" s="52"/>
      <c r="BB1192" s="60"/>
      <c r="BC1192" s="52"/>
      <c r="BD1192" s="60"/>
      <c r="BE1192" s="60"/>
      <c r="BF1192" s="35">
        <v>1</v>
      </c>
      <c r="BG1192" s="52">
        <v>1</v>
      </c>
      <c r="BH1192" s="52"/>
      <c r="BI1192" s="52" t="s">
        <v>816</v>
      </c>
      <c r="BJ1192" s="52" t="s">
        <v>1322</v>
      </c>
      <c r="BK1192" s="52">
        <v>1994</v>
      </c>
      <c r="BL1192" s="46" t="str">
        <f>BK1192&amp;BI1192</f>
        <v>1994Chelsea</v>
      </c>
      <c r="BM1192" s="52" t="str">
        <f>IF(AD1192="Home",BI1192,IF(AD1192="Away",BJ1192,Q1192))</f>
        <v>London</v>
      </c>
      <c r="BN1192" s="52"/>
      <c r="BO1192" s="52"/>
      <c r="BP1192" s="52"/>
      <c r="BQ1192" s="52"/>
      <c r="BR1192" s="61"/>
      <c r="BS1192" s="61"/>
      <c r="BT1192" s="52"/>
      <c r="BU1192" s="52"/>
      <c r="BV1192" s="52" t="s">
        <v>376</v>
      </c>
      <c r="BW1192" s="52" t="s">
        <v>376</v>
      </c>
      <c r="BX1192" s="52"/>
      <c r="BY1192" s="52"/>
      <c r="BZ1192" s="53"/>
      <c r="CA1192" s="53"/>
      <c r="CB1192" s="93" t="str">
        <f>IF(OR(C1192="",A1192="",B1192=""),"",TEXT(C1192,"0000")&amp;TEXT(A1192,"00")&amp;TEXT(B1192,"00"))</f>
        <v>19940409</v>
      </c>
    </row>
    <row r="1193" spans="1:80" s="50" customFormat="1" ht="12.95" customHeight="1" x14ac:dyDescent="0.2">
      <c r="A1193" s="46">
        <v>4</v>
      </c>
      <c r="B1193" s="46">
        <v>9</v>
      </c>
      <c r="C1193" s="46">
        <v>1994</v>
      </c>
      <c r="D1193" s="52" t="s">
        <v>658</v>
      </c>
      <c r="E1193" s="52" t="s">
        <v>432</v>
      </c>
      <c r="F1193" s="52" t="s">
        <v>1010</v>
      </c>
      <c r="G1193" s="52"/>
      <c r="H1193" s="52" t="s">
        <v>1011</v>
      </c>
      <c r="I1193" s="52"/>
      <c r="J1193" s="56">
        <v>34433</v>
      </c>
      <c r="K1193" s="52" t="s">
        <v>1254</v>
      </c>
      <c r="L1193" s="52" t="s">
        <v>1014</v>
      </c>
      <c r="M1193" s="52" t="s">
        <v>821</v>
      </c>
      <c r="N1193" s="57">
        <v>1</v>
      </c>
      <c r="O1193" s="57">
        <v>1</v>
      </c>
      <c r="P1193" s="52" t="s">
        <v>1268</v>
      </c>
      <c r="Q1193" s="52" t="s">
        <v>1017</v>
      </c>
      <c r="R1193" s="52" t="s">
        <v>376</v>
      </c>
      <c r="S1193" s="52" t="s">
        <v>1023</v>
      </c>
      <c r="T1193" s="52"/>
      <c r="U1193" s="52"/>
      <c r="V1193" s="52"/>
      <c r="W1193" s="52"/>
      <c r="X1193" s="52"/>
      <c r="Y1193" s="52"/>
      <c r="Z1193" s="57"/>
      <c r="AA1193" s="52"/>
      <c r="AB1193" s="52"/>
      <c r="AC1193" s="52"/>
      <c r="AD1193" s="52"/>
      <c r="AE1193" s="50">
        <f>IF(L1193="W",1,0)</f>
        <v>0</v>
      </c>
      <c r="AF1193" s="50">
        <f>IF(L1193="T",1,0)</f>
        <v>1</v>
      </c>
      <c r="AG1193" s="50">
        <f>IF(L1193="L",1,0)</f>
        <v>0</v>
      </c>
      <c r="AH1193" s="52" t="s">
        <v>1101</v>
      </c>
      <c r="AI1193" s="52" t="s">
        <v>1159</v>
      </c>
      <c r="AJ1193" s="52" t="s">
        <v>376</v>
      </c>
      <c r="AK1193" s="50" t="s">
        <v>658</v>
      </c>
      <c r="AL1193" s="52" t="s">
        <v>1101</v>
      </c>
      <c r="AM1193" s="52" t="s">
        <v>1159</v>
      </c>
      <c r="AN1193" s="52" t="s">
        <v>376</v>
      </c>
      <c r="AO1193" s="50" t="s">
        <v>658</v>
      </c>
      <c r="AP1193" s="52"/>
      <c r="AQ1193" s="52">
        <v>2</v>
      </c>
      <c r="AR1193" s="52"/>
      <c r="AS1193" s="52"/>
      <c r="AT1193" s="46"/>
      <c r="AU1193" s="52" t="s">
        <v>376</v>
      </c>
      <c r="AV1193" s="52"/>
      <c r="AW1193" s="52" t="s">
        <v>30</v>
      </c>
      <c r="AX1193" s="52"/>
      <c r="AY1193" s="52" t="s">
        <v>30</v>
      </c>
      <c r="AZ1193" s="52"/>
      <c r="BA1193" s="52"/>
      <c r="BB1193" s="60"/>
      <c r="BC1193" s="52"/>
      <c r="BD1193" s="60"/>
      <c r="BE1193" s="60"/>
      <c r="BF1193" s="35">
        <v>1</v>
      </c>
      <c r="BG1193" s="52">
        <v>1</v>
      </c>
      <c r="BH1193" s="52"/>
      <c r="BI1193" s="52" t="s">
        <v>1254</v>
      </c>
      <c r="BJ1193" s="52" t="s">
        <v>821</v>
      </c>
      <c r="BK1193" s="52">
        <v>1994</v>
      </c>
      <c r="BL1193" s="46" t="str">
        <f>BK1193&amp;BI1193</f>
        <v>1994Oldham Athletic</v>
      </c>
      <c r="BM1193" s="52" t="str">
        <f>IF(AD1193="Home",BI1193,IF(AD1193="Away",BJ1193,Q1193))</f>
        <v>London</v>
      </c>
      <c r="BN1193" s="52"/>
      <c r="BO1193" s="52"/>
      <c r="BP1193" s="52"/>
      <c r="BQ1193" s="52"/>
      <c r="BR1193" s="61"/>
      <c r="BS1193" s="61"/>
      <c r="BT1193" s="52"/>
      <c r="BU1193" s="52"/>
      <c r="BV1193" s="52" t="s">
        <v>376</v>
      </c>
      <c r="BW1193" s="52" t="s">
        <v>376</v>
      </c>
      <c r="BX1193" s="52"/>
      <c r="BY1193" s="52"/>
      <c r="BZ1193" s="53"/>
      <c r="CA1193" s="53"/>
      <c r="CB1193" s="93" t="str">
        <f>IF(OR(C1193="",A1193="",B1193=""),"",TEXT(C1193,"0000")&amp;TEXT(A1193,"00")&amp;TEXT(B1193,"00"))</f>
        <v>19940409</v>
      </c>
    </row>
    <row r="1194" spans="1:80" s="50" customFormat="1" ht="12.95" customHeight="1" x14ac:dyDescent="0.2">
      <c r="A1194" s="46">
        <v>4</v>
      </c>
      <c r="B1194" s="46">
        <v>9</v>
      </c>
      <c r="C1194" s="46">
        <v>1994</v>
      </c>
      <c r="D1194" s="52" t="s">
        <v>658</v>
      </c>
      <c r="E1194" s="52" t="s">
        <v>432</v>
      </c>
      <c r="F1194" s="52" t="s">
        <v>1010</v>
      </c>
      <c r="G1194" s="52"/>
      <c r="H1194" s="52" t="s">
        <v>1011</v>
      </c>
      <c r="I1194" s="52"/>
      <c r="J1194" s="56">
        <v>34433</v>
      </c>
      <c r="K1194" s="52" t="s">
        <v>821</v>
      </c>
      <c r="L1194" s="52" t="s">
        <v>1014</v>
      </c>
      <c r="M1194" s="52" t="s">
        <v>1254</v>
      </c>
      <c r="N1194" s="57">
        <v>1</v>
      </c>
      <c r="O1194" s="57">
        <v>1</v>
      </c>
      <c r="P1194" s="52" t="s">
        <v>1268</v>
      </c>
      <c r="Q1194" s="52" t="s">
        <v>1017</v>
      </c>
      <c r="R1194" s="52" t="s">
        <v>376</v>
      </c>
      <c r="S1194" s="52" t="s">
        <v>1023</v>
      </c>
      <c r="T1194" s="52"/>
      <c r="U1194" s="52"/>
      <c r="V1194" s="52"/>
      <c r="W1194" s="52"/>
      <c r="X1194" s="52"/>
      <c r="Y1194" s="52"/>
      <c r="Z1194" s="57"/>
      <c r="AA1194" s="52"/>
      <c r="AB1194" s="52"/>
      <c r="AC1194" s="52"/>
      <c r="AD1194" s="52"/>
      <c r="AE1194" s="50">
        <f>IF(L1194="W",1,0)</f>
        <v>0</v>
      </c>
      <c r="AF1194" s="50">
        <f>IF(L1194="T",1,0)</f>
        <v>1</v>
      </c>
      <c r="AG1194" s="50">
        <f>IF(L1194="L",1,0)</f>
        <v>0</v>
      </c>
      <c r="AH1194" s="52" t="s">
        <v>1101</v>
      </c>
      <c r="AI1194" s="52" t="s">
        <v>1159</v>
      </c>
      <c r="AJ1194" s="52" t="s">
        <v>376</v>
      </c>
      <c r="AK1194" s="50" t="s">
        <v>658</v>
      </c>
      <c r="AL1194" s="52" t="s">
        <v>1101</v>
      </c>
      <c r="AM1194" s="52" t="s">
        <v>1159</v>
      </c>
      <c r="AN1194" s="52" t="s">
        <v>376</v>
      </c>
      <c r="AO1194" s="50" t="s">
        <v>658</v>
      </c>
      <c r="AP1194" s="52"/>
      <c r="AQ1194" s="52">
        <v>2</v>
      </c>
      <c r="AR1194" s="52"/>
      <c r="AS1194" s="52"/>
      <c r="AT1194" s="46"/>
      <c r="AU1194" s="52" t="s">
        <v>376</v>
      </c>
      <c r="AV1194" s="52"/>
      <c r="AW1194" s="52" t="s">
        <v>30</v>
      </c>
      <c r="AX1194" s="52"/>
      <c r="AY1194" s="52" t="s">
        <v>30</v>
      </c>
      <c r="AZ1194" s="52"/>
      <c r="BA1194" s="52"/>
      <c r="BB1194" s="60"/>
      <c r="BC1194" s="52"/>
      <c r="BD1194" s="60"/>
      <c r="BE1194" s="60"/>
      <c r="BF1194" s="35">
        <v>1</v>
      </c>
      <c r="BG1194" s="52">
        <v>1</v>
      </c>
      <c r="BH1194" s="52"/>
      <c r="BI1194" s="52" t="s">
        <v>821</v>
      </c>
      <c r="BJ1194" s="52" t="s">
        <v>1254</v>
      </c>
      <c r="BK1194" s="52">
        <v>1994</v>
      </c>
      <c r="BL1194" s="46" t="str">
        <f>BK1194&amp;BI1194</f>
        <v>1994Manchester United</v>
      </c>
      <c r="BM1194" s="52" t="str">
        <f>IF(AD1194="Home",BI1194,IF(AD1194="Away",BJ1194,Q1194))</f>
        <v>London</v>
      </c>
      <c r="BN1194" s="52"/>
      <c r="BO1194" s="52"/>
      <c r="BP1194" s="52"/>
      <c r="BQ1194" s="52"/>
      <c r="BR1194" s="61"/>
      <c r="BS1194" s="61"/>
      <c r="BT1194" s="52"/>
      <c r="BU1194" s="52"/>
      <c r="BV1194" s="52" t="s">
        <v>376</v>
      </c>
      <c r="BW1194" s="52" t="s">
        <v>376</v>
      </c>
      <c r="BX1194" s="52"/>
      <c r="BY1194" s="52"/>
      <c r="BZ1194" s="53"/>
      <c r="CA1194" s="53"/>
      <c r="CB1194" s="93" t="str">
        <f>IF(OR(C1194="",A1194="",B1194=""),"",TEXT(C1194,"0000")&amp;TEXT(A1194,"00")&amp;TEXT(B1194,"00"))</f>
        <v>19940409</v>
      </c>
    </row>
    <row r="1195" spans="1:80" s="50" customFormat="1" ht="12.95" customHeight="1" x14ac:dyDescent="0.2">
      <c r="A1195" s="46">
        <v>4</v>
      </c>
      <c r="B1195" s="46">
        <v>9</v>
      </c>
      <c r="C1195" s="46">
        <v>1994</v>
      </c>
      <c r="D1195" s="46" t="s">
        <v>658</v>
      </c>
      <c r="E1195" s="46" t="s">
        <v>432</v>
      </c>
      <c r="F1195" s="47" t="s">
        <v>1010</v>
      </c>
      <c r="G1195" s="46"/>
      <c r="H1195" s="47" t="s">
        <v>1011</v>
      </c>
      <c r="I1195" s="47"/>
      <c r="J1195" s="48">
        <v>34433</v>
      </c>
      <c r="K1195" s="46" t="s">
        <v>1322</v>
      </c>
      <c r="L1195" s="46" t="s">
        <v>4</v>
      </c>
      <c r="M1195" s="46" t="s">
        <v>816</v>
      </c>
      <c r="N1195" s="49">
        <v>0</v>
      </c>
      <c r="O1195" s="49">
        <v>2</v>
      </c>
      <c r="P1195" s="47" t="s">
        <v>1268</v>
      </c>
      <c r="Q1195" s="47" t="s">
        <v>1017</v>
      </c>
      <c r="R1195" s="47" t="s">
        <v>376</v>
      </c>
      <c r="S1195" s="46"/>
      <c r="T1195" s="46"/>
      <c r="U1195" s="46"/>
      <c r="V1195" s="46"/>
      <c r="W1195" s="46"/>
      <c r="X1195" s="46"/>
      <c r="Y1195" s="46"/>
      <c r="Z1195" s="46"/>
      <c r="AA1195" s="46"/>
      <c r="AB1195" s="46"/>
      <c r="AC1195" s="46"/>
      <c r="AD1195" s="46"/>
      <c r="AE1195" s="50">
        <f>IF(L1195="W",1,0)</f>
        <v>0</v>
      </c>
      <c r="AF1195" s="50">
        <f>IF(L1195="T",1,0)</f>
        <v>0</v>
      </c>
      <c r="AG1195" s="50">
        <f>IF(L1195="L",1,0)</f>
        <v>1</v>
      </c>
      <c r="AH1195" s="46" t="s">
        <v>1325</v>
      </c>
      <c r="AI1195" s="46" t="s">
        <v>1326</v>
      </c>
      <c r="AJ1195" s="46" t="s">
        <v>376</v>
      </c>
      <c r="AK1195" s="46" t="s">
        <v>658</v>
      </c>
      <c r="AL1195" s="46" t="s">
        <v>1017</v>
      </c>
      <c r="AM1195" s="46" t="s">
        <v>1018</v>
      </c>
      <c r="AN1195" s="46" t="s">
        <v>376</v>
      </c>
      <c r="AO1195" s="46" t="s">
        <v>658</v>
      </c>
      <c r="AP1195" s="46"/>
      <c r="AQ1195" s="46">
        <v>2</v>
      </c>
      <c r="AR1195" s="46"/>
      <c r="AS1195" s="46"/>
      <c r="AT1195" s="46"/>
      <c r="AU1195" s="46" t="s">
        <v>376</v>
      </c>
      <c r="AV1195" s="46"/>
      <c r="AW1195" s="46" t="s">
        <v>30</v>
      </c>
      <c r="AX1195" s="46"/>
      <c r="AY1195" s="46" t="s">
        <v>30</v>
      </c>
      <c r="AZ1195" s="46"/>
      <c r="BA1195" s="47"/>
      <c r="BB1195" s="51"/>
      <c r="BC1195" s="46"/>
      <c r="BD1195" s="46"/>
      <c r="BE1195" s="46"/>
      <c r="BF1195" s="46">
        <v>1</v>
      </c>
      <c r="BG1195" s="46">
        <v>2</v>
      </c>
      <c r="BH1195" s="46">
        <v>1</v>
      </c>
      <c r="BI1195" s="46" t="s">
        <v>1322</v>
      </c>
      <c r="BJ1195" s="46" t="s">
        <v>816</v>
      </c>
      <c r="BK1195" s="46">
        <v>1994</v>
      </c>
      <c r="BL1195" s="46" t="str">
        <f>BK1195&amp;BI1195</f>
        <v>1994Luton Town</v>
      </c>
      <c r="BM1195" s="52" t="str">
        <f>IF(AD1195="Home",BI1195,IF(AD1195="Away",BJ1195,Q1195))</f>
        <v>London</v>
      </c>
      <c r="BN1195" s="46"/>
      <c r="BO1195" s="46"/>
      <c r="BP1195" s="46"/>
      <c r="BQ1195" s="46"/>
      <c r="BR1195" s="46"/>
      <c r="BS1195" s="46"/>
      <c r="BT1195" s="46"/>
      <c r="BU1195" s="46"/>
      <c r="BV1195" s="46" t="s">
        <v>376</v>
      </c>
      <c r="BW1195" s="46" t="s">
        <v>376</v>
      </c>
      <c r="BX1195" s="46"/>
      <c r="BY1195" s="52"/>
      <c r="BZ1195" s="53"/>
      <c r="CA1195" s="53"/>
      <c r="CB1195" s="93" t="str">
        <f>IF(OR(C1195="",A1195="",B1195=""),"",TEXT(C1195,"0000")&amp;TEXT(A1195,"00")&amp;TEXT(B1195,"00"))</f>
        <v>19940409</v>
      </c>
    </row>
    <row r="1196" spans="1:80" s="50" customFormat="1" ht="12.95" customHeight="1" x14ac:dyDescent="0.2">
      <c r="A1196" s="46">
        <v>4</v>
      </c>
      <c r="B1196" s="46">
        <v>13</v>
      </c>
      <c r="C1196" s="46">
        <v>1994</v>
      </c>
      <c r="D1196" s="52" t="s">
        <v>658</v>
      </c>
      <c r="E1196" s="52" t="s">
        <v>432</v>
      </c>
      <c r="F1196" s="52" t="s">
        <v>1010</v>
      </c>
      <c r="G1196" s="52"/>
      <c r="H1196" s="52" t="s">
        <v>1011</v>
      </c>
      <c r="I1196" s="52" t="s">
        <v>1023</v>
      </c>
      <c r="J1196" s="56">
        <v>34437</v>
      </c>
      <c r="K1196" s="52" t="s">
        <v>821</v>
      </c>
      <c r="L1196" s="52" t="s">
        <v>3</v>
      </c>
      <c r="M1196" s="52" t="s">
        <v>1254</v>
      </c>
      <c r="N1196" s="57">
        <v>4</v>
      </c>
      <c r="O1196" s="57">
        <v>1</v>
      </c>
      <c r="P1196" s="52" t="s">
        <v>1209</v>
      </c>
      <c r="Q1196" s="52" t="s">
        <v>1101</v>
      </c>
      <c r="R1196" s="52" t="s">
        <v>376</v>
      </c>
      <c r="S1196" s="52"/>
      <c r="T1196" s="52"/>
      <c r="U1196" s="52"/>
      <c r="V1196" s="52"/>
      <c r="W1196" s="52"/>
      <c r="X1196" s="52"/>
      <c r="Y1196" s="52"/>
      <c r="Z1196" s="57"/>
      <c r="AA1196" s="52"/>
      <c r="AB1196" s="52"/>
      <c r="AC1196" s="52"/>
      <c r="AD1196" s="52"/>
      <c r="AE1196" s="50">
        <f>IF(L1196="W",1,0)</f>
        <v>1</v>
      </c>
      <c r="AF1196" s="50">
        <f>IF(L1196="T",1,0)</f>
        <v>0</v>
      </c>
      <c r="AG1196" s="50">
        <f>IF(L1196="L",1,0)</f>
        <v>0</v>
      </c>
      <c r="AH1196" s="52" t="s">
        <v>1101</v>
      </c>
      <c r="AI1196" s="52" t="s">
        <v>1159</v>
      </c>
      <c r="AJ1196" s="52" t="s">
        <v>376</v>
      </c>
      <c r="AK1196" s="50" t="s">
        <v>658</v>
      </c>
      <c r="AL1196" s="52" t="s">
        <v>1101</v>
      </c>
      <c r="AM1196" s="52" t="s">
        <v>1159</v>
      </c>
      <c r="AN1196" s="52" t="s">
        <v>376</v>
      </c>
      <c r="AO1196" s="50" t="s">
        <v>658</v>
      </c>
      <c r="AP1196" s="52"/>
      <c r="AQ1196" s="52">
        <v>2</v>
      </c>
      <c r="AR1196" s="52"/>
      <c r="AS1196" s="52"/>
      <c r="AT1196" s="46"/>
      <c r="AU1196" s="52" t="s">
        <v>376</v>
      </c>
      <c r="AV1196" s="52"/>
      <c r="AW1196" s="52" t="s">
        <v>30</v>
      </c>
      <c r="AX1196" s="52"/>
      <c r="AY1196" s="52" t="s">
        <v>30</v>
      </c>
      <c r="AZ1196" s="52"/>
      <c r="BA1196" s="52"/>
      <c r="BB1196" s="60"/>
      <c r="BC1196" s="52"/>
      <c r="BD1196" s="60"/>
      <c r="BE1196" s="60"/>
      <c r="BF1196" s="35">
        <v>1</v>
      </c>
      <c r="BG1196" s="52">
        <v>1</v>
      </c>
      <c r="BH1196" s="52"/>
      <c r="BI1196" s="52" t="s">
        <v>821</v>
      </c>
      <c r="BJ1196" s="52" t="s">
        <v>1254</v>
      </c>
      <c r="BK1196" s="52">
        <v>1994</v>
      </c>
      <c r="BL1196" s="46" t="str">
        <f>BK1196&amp;BI1196</f>
        <v>1994Manchester United</v>
      </c>
      <c r="BM1196" s="52" t="str">
        <f>IF(AD1196="Home",BI1196,IF(AD1196="Away",BJ1196,Q1196))</f>
        <v>Manchester</v>
      </c>
      <c r="BN1196" s="52"/>
      <c r="BO1196" s="52"/>
      <c r="BP1196" s="52"/>
      <c r="BQ1196" s="52"/>
      <c r="BR1196" s="61"/>
      <c r="BS1196" s="61"/>
      <c r="BT1196" s="52"/>
      <c r="BU1196" s="52"/>
      <c r="BV1196" s="52" t="s">
        <v>376</v>
      </c>
      <c r="BW1196" s="52" t="s">
        <v>376</v>
      </c>
      <c r="BX1196" s="52"/>
      <c r="BY1196" s="52"/>
      <c r="BZ1196" s="53"/>
      <c r="CA1196" s="53"/>
      <c r="CB1196" s="93" t="str">
        <f>IF(OR(C1196="",A1196="",B1196=""),"",TEXT(C1196,"0000")&amp;TEXT(A1196,"00")&amp;TEXT(B1196,"00"))</f>
        <v>19940413</v>
      </c>
    </row>
    <row r="1197" spans="1:80" s="50" customFormat="1" ht="12.95" customHeight="1" x14ac:dyDescent="0.2">
      <c r="A1197" s="46">
        <v>4</v>
      </c>
      <c r="B1197" s="46">
        <v>13</v>
      </c>
      <c r="C1197" s="46">
        <v>1994</v>
      </c>
      <c r="D1197" s="52" t="s">
        <v>658</v>
      </c>
      <c r="E1197" s="52" t="s">
        <v>432</v>
      </c>
      <c r="F1197" s="52" t="s">
        <v>1010</v>
      </c>
      <c r="G1197" s="52"/>
      <c r="H1197" s="52" t="s">
        <v>1011</v>
      </c>
      <c r="I1197" s="52" t="s">
        <v>1023</v>
      </c>
      <c r="J1197" s="56">
        <v>34437</v>
      </c>
      <c r="K1197" s="52" t="s">
        <v>1254</v>
      </c>
      <c r="L1197" s="52" t="s">
        <v>4</v>
      </c>
      <c r="M1197" s="52" t="s">
        <v>821</v>
      </c>
      <c r="N1197" s="57">
        <v>1</v>
      </c>
      <c r="O1197" s="57">
        <v>4</v>
      </c>
      <c r="P1197" s="52" t="s">
        <v>1209</v>
      </c>
      <c r="Q1197" s="52" t="s">
        <v>1101</v>
      </c>
      <c r="R1197" s="52" t="s">
        <v>376</v>
      </c>
      <c r="S1197" s="52"/>
      <c r="T1197" s="52"/>
      <c r="U1197" s="52"/>
      <c r="V1197" s="52"/>
      <c r="W1197" s="52"/>
      <c r="X1197" s="52"/>
      <c r="Y1197" s="52"/>
      <c r="Z1197" s="57"/>
      <c r="AA1197" s="52"/>
      <c r="AB1197" s="52"/>
      <c r="AC1197" s="52"/>
      <c r="AD1197" s="52"/>
      <c r="AE1197" s="50">
        <f>IF(L1197="W",1,0)</f>
        <v>0</v>
      </c>
      <c r="AF1197" s="50">
        <f>IF(L1197="T",1,0)</f>
        <v>0</v>
      </c>
      <c r="AG1197" s="50">
        <f>IF(L1197="L",1,0)</f>
        <v>1</v>
      </c>
      <c r="AH1197" s="52" t="s">
        <v>1101</v>
      </c>
      <c r="AI1197" s="52" t="s">
        <v>1159</v>
      </c>
      <c r="AJ1197" s="52" t="s">
        <v>376</v>
      </c>
      <c r="AK1197" s="50" t="s">
        <v>658</v>
      </c>
      <c r="AL1197" s="52" t="s">
        <v>1101</v>
      </c>
      <c r="AM1197" s="52" t="s">
        <v>1159</v>
      </c>
      <c r="AN1197" s="52" t="s">
        <v>376</v>
      </c>
      <c r="AO1197" s="50" t="s">
        <v>658</v>
      </c>
      <c r="AP1197" s="52"/>
      <c r="AQ1197" s="52">
        <v>2</v>
      </c>
      <c r="AR1197" s="52"/>
      <c r="AS1197" s="52">
        <v>1</v>
      </c>
      <c r="AT1197" s="46"/>
      <c r="AU1197" s="52" t="s">
        <v>376</v>
      </c>
      <c r="AV1197" s="52"/>
      <c r="AW1197" s="52" t="s">
        <v>30</v>
      </c>
      <c r="AX1197" s="52"/>
      <c r="AY1197" s="52" t="s">
        <v>30</v>
      </c>
      <c r="AZ1197" s="52"/>
      <c r="BA1197" s="52"/>
      <c r="BB1197" s="60"/>
      <c r="BC1197" s="52"/>
      <c r="BD1197" s="60"/>
      <c r="BE1197" s="60"/>
      <c r="BF1197" s="35">
        <v>1</v>
      </c>
      <c r="BG1197" s="52">
        <v>1</v>
      </c>
      <c r="BH1197" s="52"/>
      <c r="BI1197" s="52" t="s">
        <v>1254</v>
      </c>
      <c r="BJ1197" s="52" t="s">
        <v>821</v>
      </c>
      <c r="BK1197" s="52">
        <v>1994</v>
      </c>
      <c r="BL1197" s="46" t="str">
        <f>BK1197&amp;BI1197</f>
        <v>1994Oldham Athletic</v>
      </c>
      <c r="BM1197" s="52" t="str">
        <f>IF(AD1197="Home",BI1197,IF(AD1197="Away",BJ1197,Q1197))</f>
        <v>Manchester</v>
      </c>
      <c r="BN1197" s="52"/>
      <c r="BO1197" s="52"/>
      <c r="BP1197" s="52"/>
      <c r="BQ1197" s="52"/>
      <c r="BR1197" s="61"/>
      <c r="BS1197" s="61"/>
      <c r="BT1197" s="52"/>
      <c r="BU1197" s="52"/>
      <c r="BV1197" s="52" t="s">
        <v>376</v>
      </c>
      <c r="BW1197" s="52" t="s">
        <v>376</v>
      </c>
      <c r="BX1197" s="52"/>
      <c r="BY1197" s="52"/>
      <c r="BZ1197" s="53"/>
      <c r="CA1197" s="53"/>
      <c r="CB1197" s="93" t="str">
        <f>IF(OR(C1197="",A1197="",B1197=""),"",TEXT(C1197,"0000")&amp;TEXT(A1197,"00")&amp;TEXT(B1197,"00"))</f>
        <v>19940413</v>
      </c>
    </row>
    <row r="1198" spans="1:80" s="50" customFormat="1" ht="12.95" customHeight="1" x14ac:dyDescent="0.2">
      <c r="A1198" s="46">
        <v>5</v>
      </c>
      <c r="B1198" s="46">
        <v>14</v>
      </c>
      <c r="C1198" s="46">
        <v>1994</v>
      </c>
      <c r="D1198" s="52" t="s">
        <v>658</v>
      </c>
      <c r="E1198" s="52" t="s">
        <v>432</v>
      </c>
      <c r="F1198" s="52" t="s">
        <v>1010</v>
      </c>
      <c r="G1198" s="52"/>
      <c r="H1198" s="52" t="s">
        <v>40</v>
      </c>
      <c r="I1198" s="52"/>
      <c r="J1198" s="56">
        <v>34468</v>
      </c>
      <c r="K1198" s="52" t="s">
        <v>821</v>
      </c>
      <c r="L1198" s="52" t="s">
        <v>3</v>
      </c>
      <c r="M1198" s="52" t="s">
        <v>816</v>
      </c>
      <c r="N1198" s="57">
        <v>4</v>
      </c>
      <c r="O1198" s="57">
        <v>0</v>
      </c>
      <c r="P1198" s="52" t="s">
        <v>1268</v>
      </c>
      <c r="Q1198" s="52" t="s">
        <v>1017</v>
      </c>
      <c r="R1198" s="52" t="s">
        <v>376</v>
      </c>
      <c r="S1198" s="52"/>
      <c r="T1198" s="52"/>
      <c r="U1198" s="52"/>
      <c r="V1198" s="52"/>
      <c r="W1198" s="52"/>
      <c r="X1198" s="52"/>
      <c r="Y1198" s="52"/>
      <c r="Z1198" s="57"/>
      <c r="AA1198" s="52"/>
      <c r="AB1198" s="52"/>
      <c r="AC1198" s="52"/>
      <c r="AD1198" s="52"/>
      <c r="AE1198" s="50">
        <f>IF(L1198="W",1,0)</f>
        <v>1</v>
      </c>
      <c r="AF1198" s="50">
        <f>IF(L1198="T",1,0)</f>
        <v>0</v>
      </c>
      <c r="AG1198" s="50">
        <f>IF(L1198="L",1,0)</f>
        <v>0</v>
      </c>
      <c r="AH1198" s="52" t="s">
        <v>1101</v>
      </c>
      <c r="AI1198" s="52" t="s">
        <v>1159</v>
      </c>
      <c r="AJ1198" s="52" t="s">
        <v>376</v>
      </c>
      <c r="AK1198" s="50" t="s">
        <v>658</v>
      </c>
      <c r="AL1198" s="52" t="s">
        <v>1017</v>
      </c>
      <c r="AM1198" s="52" t="s">
        <v>1018</v>
      </c>
      <c r="AN1198" s="52" t="s">
        <v>376</v>
      </c>
      <c r="AO1198" s="50" t="s">
        <v>658</v>
      </c>
      <c r="AP1198" s="52"/>
      <c r="AQ1198" s="52">
        <v>1</v>
      </c>
      <c r="AR1198" s="52"/>
      <c r="AS1198" s="52" t="s">
        <v>1393</v>
      </c>
      <c r="AT1198" s="46"/>
      <c r="AU1198" s="52" t="s">
        <v>376</v>
      </c>
      <c r="AV1198" s="52"/>
      <c r="AW1198" s="52" t="s">
        <v>30</v>
      </c>
      <c r="AX1198" s="52"/>
      <c r="AY1198" s="57" t="s">
        <v>30</v>
      </c>
      <c r="AZ1198" s="52"/>
      <c r="BA1198" s="52"/>
      <c r="BB1198" s="60" t="s">
        <v>30</v>
      </c>
      <c r="BC1198" s="52" t="s">
        <v>30</v>
      </c>
      <c r="BD1198" s="60"/>
      <c r="BE1198" s="60"/>
      <c r="BF1198" s="35">
        <v>1</v>
      </c>
      <c r="BG1198" s="52">
        <v>1</v>
      </c>
      <c r="BH1198" s="52"/>
      <c r="BI1198" s="52" t="s">
        <v>821</v>
      </c>
      <c r="BJ1198" s="52" t="s">
        <v>816</v>
      </c>
      <c r="BK1198" s="52">
        <v>1994</v>
      </c>
      <c r="BL1198" s="46" t="str">
        <f>BK1198&amp;BI1198</f>
        <v>1994Manchester United</v>
      </c>
      <c r="BM1198" s="52" t="str">
        <f>IF(AD1198="Home",BI1198,IF(AD1198="Away",BJ1198,Q1198))</f>
        <v>London</v>
      </c>
      <c r="BN1198" s="52"/>
      <c r="BO1198" s="52"/>
      <c r="BP1198" s="52"/>
      <c r="BQ1198" s="52"/>
      <c r="BR1198" s="61"/>
      <c r="BS1198" s="61"/>
      <c r="BT1198" s="52"/>
      <c r="BU1198" s="52"/>
      <c r="BV1198" s="52" t="s">
        <v>376</v>
      </c>
      <c r="BW1198" s="52" t="s">
        <v>376</v>
      </c>
      <c r="BX1198" s="52"/>
      <c r="BY1198" s="52"/>
      <c r="BZ1198" s="53"/>
      <c r="CA1198" s="53"/>
      <c r="CB1198" s="93" t="str">
        <f>IF(OR(C1198="",A1198="",B1198=""),"",TEXT(C1198,"0000")&amp;TEXT(A1198,"00")&amp;TEXT(B1198,"00"))</f>
        <v>19940514</v>
      </c>
    </row>
    <row r="1199" spans="1:80" s="50" customFormat="1" ht="12.95" customHeight="1" x14ac:dyDescent="0.2">
      <c r="A1199" s="46">
        <v>5</v>
      </c>
      <c r="B1199" s="46">
        <v>14</v>
      </c>
      <c r="C1199" s="46">
        <v>1994</v>
      </c>
      <c r="D1199" s="52" t="s">
        <v>658</v>
      </c>
      <c r="E1199" s="52" t="s">
        <v>432</v>
      </c>
      <c r="F1199" s="52" t="s">
        <v>1010</v>
      </c>
      <c r="G1199" s="52"/>
      <c r="H1199" s="52" t="s">
        <v>40</v>
      </c>
      <c r="I1199" s="52"/>
      <c r="J1199" s="56">
        <v>34468</v>
      </c>
      <c r="K1199" s="52" t="s">
        <v>816</v>
      </c>
      <c r="L1199" s="52" t="s">
        <v>4</v>
      </c>
      <c r="M1199" s="52" t="s">
        <v>821</v>
      </c>
      <c r="N1199" s="57">
        <v>0</v>
      </c>
      <c r="O1199" s="57">
        <v>4</v>
      </c>
      <c r="P1199" s="52" t="s">
        <v>1268</v>
      </c>
      <c r="Q1199" s="52" t="s">
        <v>1017</v>
      </c>
      <c r="R1199" s="52" t="s">
        <v>376</v>
      </c>
      <c r="S1199" s="52"/>
      <c r="T1199" s="52"/>
      <c r="U1199" s="52"/>
      <c r="V1199" s="52"/>
      <c r="W1199" s="52"/>
      <c r="X1199" s="52"/>
      <c r="Y1199" s="52"/>
      <c r="Z1199" s="57"/>
      <c r="AA1199" s="52"/>
      <c r="AB1199" s="52"/>
      <c r="AC1199" s="52"/>
      <c r="AD1199" s="52"/>
      <c r="AE1199" s="50">
        <f>IF(L1199="W",1,0)</f>
        <v>0</v>
      </c>
      <c r="AF1199" s="50">
        <f>IF(L1199="T",1,0)</f>
        <v>0</v>
      </c>
      <c r="AG1199" s="50">
        <f>IF(L1199="L",1,0)</f>
        <v>1</v>
      </c>
      <c r="AH1199" s="52" t="s">
        <v>1017</v>
      </c>
      <c r="AI1199" s="52" t="s">
        <v>1018</v>
      </c>
      <c r="AJ1199" s="52" t="s">
        <v>376</v>
      </c>
      <c r="AK1199" s="50" t="s">
        <v>658</v>
      </c>
      <c r="AL1199" s="52" t="s">
        <v>1101</v>
      </c>
      <c r="AM1199" s="52" t="s">
        <v>1159</v>
      </c>
      <c r="AN1199" s="52" t="s">
        <v>376</v>
      </c>
      <c r="AO1199" s="50" t="s">
        <v>658</v>
      </c>
      <c r="AP1199" s="52"/>
      <c r="AQ1199" s="52">
        <v>1</v>
      </c>
      <c r="AR1199" s="52"/>
      <c r="AS1199" s="52">
        <v>1</v>
      </c>
      <c r="AT1199" s="46"/>
      <c r="AU1199" s="52" t="s">
        <v>376</v>
      </c>
      <c r="AV1199" s="52"/>
      <c r="AW1199" s="52" t="s">
        <v>30</v>
      </c>
      <c r="AX1199" s="52"/>
      <c r="AY1199" s="52" t="s">
        <v>30</v>
      </c>
      <c r="AZ1199" s="52"/>
      <c r="BA1199" s="52"/>
      <c r="BB1199" s="60"/>
      <c r="BC1199" s="52" t="s">
        <v>30</v>
      </c>
      <c r="BD1199" s="60"/>
      <c r="BE1199" s="60" t="s">
        <v>1397</v>
      </c>
      <c r="BF1199" s="35">
        <v>1</v>
      </c>
      <c r="BG1199" s="52">
        <v>1</v>
      </c>
      <c r="BH1199" s="52"/>
      <c r="BI1199" s="52" t="s">
        <v>816</v>
      </c>
      <c r="BJ1199" s="52" t="s">
        <v>821</v>
      </c>
      <c r="BK1199" s="52">
        <v>1994</v>
      </c>
      <c r="BL1199" s="46" t="str">
        <f>BK1199&amp;BI1199</f>
        <v>1994Chelsea</v>
      </c>
      <c r="BM1199" s="52" t="str">
        <f>IF(AD1199="Home",BI1199,IF(AD1199="Away",BJ1199,Q1199))</f>
        <v>London</v>
      </c>
      <c r="BN1199" s="52"/>
      <c r="BO1199" s="52"/>
      <c r="BP1199" s="52"/>
      <c r="BQ1199" s="52"/>
      <c r="BR1199" s="61"/>
      <c r="BS1199" s="61"/>
      <c r="BT1199" s="52"/>
      <c r="BU1199" s="52"/>
      <c r="BV1199" s="52" t="s">
        <v>376</v>
      </c>
      <c r="BW1199" s="52" t="s">
        <v>376</v>
      </c>
      <c r="BX1199" s="52"/>
      <c r="BY1199" s="52"/>
      <c r="BZ1199" s="53"/>
      <c r="CA1199" s="53"/>
      <c r="CB1199" s="93" t="str">
        <f>IF(OR(C1199="",A1199="",B1199=""),"",TEXT(C1199,"0000")&amp;TEXT(A1199,"00")&amp;TEXT(B1199,"00"))</f>
        <v>19940514</v>
      </c>
    </row>
    <row r="1200" spans="1:80" s="50" customFormat="1" ht="12.95" customHeight="1" x14ac:dyDescent="0.2">
      <c r="A1200" s="46">
        <v>2</v>
      </c>
      <c r="B1200" s="46">
        <v>12</v>
      </c>
      <c r="C1200" s="46">
        <v>1995</v>
      </c>
      <c r="D1200" s="46" t="s">
        <v>658</v>
      </c>
      <c r="E1200" s="46" t="s">
        <v>407</v>
      </c>
      <c r="F1200" s="54" t="s">
        <v>1327</v>
      </c>
      <c r="G1200" s="46"/>
      <c r="H1200" s="54" t="s">
        <v>1011</v>
      </c>
      <c r="I1200" s="54">
        <v>1</v>
      </c>
      <c r="J1200" s="55">
        <v>34742</v>
      </c>
      <c r="K1200" s="46" t="s">
        <v>1243</v>
      </c>
      <c r="L1200" s="46" t="s">
        <v>3</v>
      </c>
      <c r="M1200" s="46" t="s">
        <v>1157</v>
      </c>
      <c r="N1200" s="49">
        <v>2</v>
      </c>
      <c r="O1200" s="49">
        <v>1</v>
      </c>
      <c r="P1200" s="54" t="s">
        <v>1352</v>
      </c>
      <c r="Q1200" s="54" t="s">
        <v>1244</v>
      </c>
      <c r="R1200" s="54" t="s">
        <v>376</v>
      </c>
      <c r="S1200" s="46"/>
      <c r="T1200" s="46"/>
      <c r="U1200" s="46"/>
      <c r="V1200" s="46"/>
      <c r="W1200" s="46"/>
      <c r="X1200" s="46"/>
      <c r="Y1200" s="46"/>
      <c r="Z1200" s="46"/>
      <c r="AA1200" s="46"/>
      <c r="AB1200" s="46"/>
      <c r="AC1200" s="46"/>
      <c r="AD1200" s="46" t="s">
        <v>1033</v>
      </c>
      <c r="AE1200" s="50">
        <f>IF(L1200="W",1,0)</f>
        <v>1</v>
      </c>
      <c r="AF1200" s="50">
        <f>IF(L1200="T",1,0)</f>
        <v>0</v>
      </c>
      <c r="AG1200" s="50">
        <f>IF(L1200="L",1,0)</f>
        <v>0</v>
      </c>
      <c r="AH1200" s="46" t="s">
        <v>1244</v>
      </c>
      <c r="AI1200" s="46" t="s">
        <v>1245</v>
      </c>
      <c r="AJ1200" s="46" t="s">
        <v>376</v>
      </c>
      <c r="AK1200" s="46" t="s">
        <v>658</v>
      </c>
      <c r="AL1200" s="46" t="s">
        <v>1101</v>
      </c>
      <c r="AM1200" s="46" t="s">
        <v>1159</v>
      </c>
      <c r="AN1200" s="46" t="s">
        <v>376</v>
      </c>
      <c r="AO1200" s="46" t="s">
        <v>658</v>
      </c>
      <c r="AP1200" s="46"/>
      <c r="AQ1200" s="46">
        <v>2</v>
      </c>
      <c r="AR1200" s="46"/>
      <c r="AS1200" s="46"/>
      <c r="AT1200" s="46"/>
      <c r="AU1200" s="46" t="s">
        <v>376</v>
      </c>
      <c r="AV1200" s="46"/>
      <c r="AW1200" s="46" t="s">
        <v>30</v>
      </c>
      <c r="AX1200" s="46"/>
      <c r="AY1200" s="46"/>
      <c r="AZ1200" s="46" t="s">
        <v>30</v>
      </c>
      <c r="BA1200" s="54"/>
      <c r="BB1200" s="51"/>
      <c r="BC1200" s="46"/>
      <c r="BD1200" s="46"/>
      <c r="BE1200" s="46"/>
      <c r="BF1200" s="46">
        <v>1</v>
      </c>
      <c r="BG1200" s="46">
        <v>2</v>
      </c>
      <c r="BH1200" s="46">
        <v>2</v>
      </c>
      <c r="BI1200" s="46" t="s">
        <v>1243</v>
      </c>
      <c r="BJ1200" s="46" t="s">
        <v>1157</v>
      </c>
      <c r="BK1200" s="46">
        <v>1995</v>
      </c>
      <c r="BL1200" s="46" t="str">
        <f>BK1200&amp;BI1200</f>
        <v>1995Swindon Town</v>
      </c>
      <c r="BM1200" s="52" t="str">
        <f>IF(AD1200="Home",BI1200,IF(AD1200="Away",BJ1200,Q1200))</f>
        <v>Swindon Town</v>
      </c>
      <c r="BN1200" s="46"/>
      <c r="BO1200" s="46"/>
      <c r="BP1200" s="46"/>
      <c r="BQ1200" s="46"/>
      <c r="BR1200" s="46"/>
      <c r="BS1200" s="46"/>
      <c r="BT1200" s="46"/>
      <c r="BU1200" s="46"/>
      <c r="BV1200" s="46" t="s">
        <v>376</v>
      </c>
      <c r="BW1200" s="46" t="s">
        <v>376</v>
      </c>
      <c r="BX1200" s="46"/>
      <c r="BZ1200" s="53"/>
      <c r="CA1200" s="53"/>
      <c r="CB1200" s="93" t="str">
        <f>IF(OR(C1200="",A1200="",B1200=""),"",TEXT(C1200,"0000")&amp;TEXT(A1200,"00")&amp;TEXT(B1200,"00"))</f>
        <v>19950212</v>
      </c>
    </row>
    <row r="1201" spans="1:80" s="50" customFormat="1" ht="12.95" customHeight="1" x14ac:dyDescent="0.2">
      <c r="A1201" s="46">
        <v>2</v>
      </c>
      <c r="B1201" s="46">
        <v>12</v>
      </c>
      <c r="C1201" s="46">
        <v>1995</v>
      </c>
      <c r="D1201" s="46" t="s">
        <v>658</v>
      </c>
      <c r="E1201" s="46" t="s">
        <v>407</v>
      </c>
      <c r="F1201" s="54" t="s">
        <v>1327</v>
      </c>
      <c r="G1201" s="46"/>
      <c r="H1201" s="54" t="s">
        <v>1011</v>
      </c>
      <c r="I1201" s="54">
        <v>1</v>
      </c>
      <c r="J1201" s="55">
        <v>34742</v>
      </c>
      <c r="K1201" s="46" t="s">
        <v>1157</v>
      </c>
      <c r="L1201" s="46" t="s">
        <v>4</v>
      </c>
      <c r="M1201" s="46" t="s">
        <v>1243</v>
      </c>
      <c r="N1201" s="49">
        <v>1</v>
      </c>
      <c r="O1201" s="49">
        <v>2</v>
      </c>
      <c r="P1201" s="54" t="s">
        <v>1352</v>
      </c>
      <c r="Q1201" s="54" t="s">
        <v>1244</v>
      </c>
      <c r="R1201" s="54" t="s">
        <v>376</v>
      </c>
      <c r="S1201" s="46"/>
      <c r="T1201" s="46"/>
      <c r="U1201" s="46"/>
      <c r="V1201" s="46"/>
      <c r="W1201" s="46"/>
      <c r="X1201" s="46"/>
      <c r="Y1201" s="46"/>
      <c r="Z1201" s="46"/>
      <c r="AA1201" s="46"/>
      <c r="AB1201" s="46"/>
      <c r="AC1201" s="46"/>
      <c r="AD1201" s="46" t="s">
        <v>1037</v>
      </c>
      <c r="AE1201" s="50">
        <f>IF(L1201="W",1,0)</f>
        <v>0</v>
      </c>
      <c r="AF1201" s="50">
        <f>IF(L1201="T",1,0)</f>
        <v>0</v>
      </c>
      <c r="AG1201" s="50">
        <f>IF(L1201="L",1,0)</f>
        <v>1</v>
      </c>
      <c r="AH1201" s="46" t="s">
        <v>1101</v>
      </c>
      <c r="AI1201" s="46" t="s">
        <v>1159</v>
      </c>
      <c r="AJ1201" s="46" t="s">
        <v>376</v>
      </c>
      <c r="AK1201" s="46" t="s">
        <v>658</v>
      </c>
      <c r="AL1201" s="46" t="s">
        <v>1244</v>
      </c>
      <c r="AM1201" s="46" t="s">
        <v>1245</v>
      </c>
      <c r="AN1201" s="46" t="s">
        <v>376</v>
      </c>
      <c r="AO1201" s="46" t="s">
        <v>658</v>
      </c>
      <c r="AP1201" s="46"/>
      <c r="AQ1201" s="46">
        <v>2</v>
      </c>
      <c r="AR1201" s="46"/>
      <c r="AS1201" s="46"/>
      <c r="AT1201" s="46"/>
      <c r="AU1201" s="46" t="s">
        <v>376</v>
      </c>
      <c r="AV1201" s="46"/>
      <c r="AW1201" s="46" t="s">
        <v>30</v>
      </c>
      <c r="AX1201" s="46"/>
      <c r="AY1201" s="46"/>
      <c r="AZ1201" s="46" t="s">
        <v>30</v>
      </c>
      <c r="BA1201" s="54"/>
      <c r="BB1201" s="51"/>
      <c r="BC1201" s="46"/>
      <c r="BD1201" s="46"/>
      <c r="BE1201" s="46"/>
      <c r="BF1201" s="46">
        <v>1</v>
      </c>
      <c r="BG1201" s="46">
        <v>2</v>
      </c>
      <c r="BH1201" s="46">
        <v>2</v>
      </c>
      <c r="BI1201" s="46" t="s">
        <v>1157</v>
      </c>
      <c r="BJ1201" s="46" t="s">
        <v>1243</v>
      </c>
      <c r="BK1201" s="46">
        <v>1995</v>
      </c>
      <c r="BL1201" s="46" t="str">
        <f>BK1201&amp;BI1201</f>
        <v>1995Bolton Wanderers</v>
      </c>
      <c r="BM1201" s="52" t="str">
        <f>IF(AD1201="Home",BI1201,IF(AD1201="Away",BJ1201,Q1201))</f>
        <v>Swindon Town</v>
      </c>
      <c r="BN1201" s="46"/>
      <c r="BO1201" s="46"/>
      <c r="BP1201" s="46"/>
      <c r="BQ1201" s="46"/>
      <c r="BR1201" s="46"/>
      <c r="BS1201" s="46"/>
      <c r="BT1201" s="46"/>
      <c r="BU1201" s="46"/>
      <c r="BV1201" s="46" t="s">
        <v>376</v>
      </c>
      <c r="BW1201" s="46" t="s">
        <v>376</v>
      </c>
      <c r="BX1201" s="46"/>
      <c r="BZ1201" s="53"/>
      <c r="CA1201" s="53"/>
      <c r="CB1201" s="93" t="str">
        <f>IF(OR(C1201="",A1201="",B1201=""),"",TEXT(C1201,"0000")&amp;TEXT(A1201,"00")&amp;TEXT(B1201,"00"))</f>
        <v>19950212</v>
      </c>
    </row>
    <row r="1202" spans="1:80" s="50" customFormat="1" ht="12.95" customHeight="1" x14ac:dyDescent="0.2">
      <c r="A1202" s="46">
        <v>2</v>
      </c>
      <c r="B1202" s="46">
        <v>15</v>
      </c>
      <c r="C1202" s="46">
        <v>1995</v>
      </c>
      <c r="D1202" s="52" t="s">
        <v>658</v>
      </c>
      <c r="E1202" s="52" t="s">
        <v>407</v>
      </c>
      <c r="F1202" s="52" t="s">
        <v>1327</v>
      </c>
      <c r="G1202" s="52"/>
      <c r="H1202" s="52" t="s">
        <v>1011</v>
      </c>
      <c r="I1202" s="52">
        <v>1</v>
      </c>
      <c r="J1202" s="56">
        <v>34745</v>
      </c>
      <c r="K1202" s="52" t="s">
        <v>588</v>
      </c>
      <c r="L1202" s="52" t="s">
        <v>3</v>
      </c>
      <c r="M1202" s="52" t="s">
        <v>798</v>
      </c>
      <c r="N1202" s="57">
        <v>1</v>
      </c>
      <c r="O1202" s="57">
        <v>0</v>
      </c>
      <c r="P1202" s="52" t="s">
        <v>1141</v>
      </c>
      <c r="Q1202" s="52" t="s">
        <v>588</v>
      </c>
      <c r="R1202" s="52" t="s">
        <v>376</v>
      </c>
      <c r="S1202" s="52"/>
      <c r="T1202" s="52"/>
      <c r="U1202" s="52"/>
      <c r="V1202" s="52"/>
      <c r="W1202" s="52"/>
      <c r="X1202" s="52"/>
      <c r="Y1202" s="52"/>
      <c r="Z1202" s="57"/>
      <c r="AA1202" s="58">
        <v>1</v>
      </c>
      <c r="AB1202" s="58">
        <v>0</v>
      </c>
      <c r="AC1202" s="59">
        <v>0</v>
      </c>
      <c r="AD1202" s="52" t="s">
        <v>1033</v>
      </c>
      <c r="AE1202" s="50">
        <f>IF(L1202="W",1,0)</f>
        <v>1</v>
      </c>
      <c r="AF1202" s="50">
        <f>IF(L1202="T",1,0)</f>
        <v>0</v>
      </c>
      <c r="AG1202" s="50">
        <f>IF(L1202="L",1,0)</f>
        <v>0</v>
      </c>
      <c r="AH1202" s="52" t="s">
        <v>588</v>
      </c>
      <c r="AI1202" s="52" t="s">
        <v>1175</v>
      </c>
      <c r="AJ1202" s="52" t="s">
        <v>376</v>
      </c>
      <c r="AK1202" s="50" t="s">
        <v>658</v>
      </c>
      <c r="AL1202" s="52" t="s">
        <v>1017</v>
      </c>
      <c r="AM1202" s="52" t="s">
        <v>1018</v>
      </c>
      <c r="AN1202" s="52" t="s">
        <v>376</v>
      </c>
      <c r="AO1202" s="50" t="s">
        <v>658</v>
      </c>
      <c r="AP1202" s="52"/>
      <c r="AQ1202" s="52">
        <v>2</v>
      </c>
      <c r="AR1202" s="52"/>
      <c r="AS1202" s="52"/>
      <c r="AT1202" s="46"/>
      <c r="AU1202" s="52" t="s">
        <v>376</v>
      </c>
      <c r="AV1202" s="52"/>
      <c r="AW1202" s="52" t="s">
        <v>30</v>
      </c>
      <c r="AX1202" s="52"/>
      <c r="AY1202" s="52"/>
      <c r="AZ1202" s="52" t="s">
        <v>30</v>
      </c>
      <c r="BA1202" s="52"/>
      <c r="BB1202" s="60"/>
      <c r="BC1202" s="52"/>
      <c r="BD1202" s="60"/>
      <c r="BE1202" s="60"/>
      <c r="BF1202" s="35">
        <v>1</v>
      </c>
      <c r="BG1202" s="52">
        <v>1</v>
      </c>
      <c r="BH1202" s="52"/>
      <c r="BI1202" s="52" t="s">
        <v>588</v>
      </c>
      <c r="BJ1202" s="52" t="s">
        <v>798</v>
      </c>
      <c r="BK1202" s="52">
        <v>1995</v>
      </c>
      <c r="BL1202" s="46" t="str">
        <f>BK1202&amp;BI1202</f>
        <v>1995Liverpool</v>
      </c>
      <c r="BM1202" s="52" t="str">
        <f>IF(AD1202="Home",BI1202,IF(AD1202="Away",BJ1202,Q1202))</f>
        <v>Liverpool</v>
      </c>
      <c r="BN1202" s="52"/>
      <c r="BO1202" s="52"/>
      <c r="BP1202" s="52"/>
      <c r="BQ1202" s="52"/>
      <c r="BR1202" s="52"/>
      <c r="BS1202" s="52"/>
      <c r="BT1202" s="52"/>
      <c r="BU1202" s="52"/>
      <c r="BV1202" s="52" t="s">
        <v>376</v>
      </c>
      <c r="BW1202" s="52" t="s">
        <v>376</v>
      </c>
      <c r="BX1202" s="52"/>
      <c r="BY1202" s="52"/>
      <c r="BZ1202" s="53"/>
      <c r="CA1202" s="53"/>
      <c r="CB1202" s="93" t="str">
        <f>IF(OR(C1202="",A1202="",B1202=""),"",TEXT(C1202,"0000")&amp;TEXT(A1202,"00")&amp;TEXT(B1202,"00"))</f>
        <v>19950215</v>
      </c>
    </row>
    <row r="1203" spans="1:80" s="50" customFormat="1" ht="12.95" customHeight="1" x14ac:dyDescent="0.2">
      <c r="A1203" s="46">
        <v>2</v>
      </c>
      <c r="B1203" s="46">
        <v>15</v>
      </c>
      <c r="C1203" s="46">
        <v>1995</v>
      </c>
      <c r="D1203" s="52" t="s">
        <v>658</v>
      </c>
      <c r="E1203" s="52" t="s">
        <v>407</v>
      </c>
      <c r="F1203" s="52" t="s">
        <v>1327</v>
      </c>
      <c r="G1203" s="52"/>
      <c r="H1203" s="52" t="s">
        <v>1011</v>
      </c>
      <c r="I1203" s="52">
        <v>1</v>
      </c>
      <c r="J1203" s="56">
        <v>34745</v>
      </c>
      <c r="K1203" s="52" t="s">
        <v>798</v>
      </c>
      <c r="L1203" s="52" t="s">
        <v>4</v>
      </c>
      <c r="M1203" s="52" t="s">
        <v>588</v>
      </c>
      <c r="N1203" s="57">
        <v>0</v>
      </c>
      <c r="O1203" s="57">
        <v>1</v>
      </c>
      <c r="P1203" s="52" t="s">
        <v>1141</v>
      </c>
      <c r="Q1203" s="52" t="s">
        <v>588</v>
      </c>
      <c r="R1203" s="52" t="s">
        <v>376</v>
      </c>
      <c r="S1203" s="52"/>
      <c r="T1203" s="52"/>
      <c r="U1203" s="52"/>
      <c r="V1203" s="52"/>
      <c r="W1203" s="52"/>
      <c r="X1203" s="52"/>
      <c r="Y1203" s="52"/>
      <c r="Z1203" s="57"/>
      <c r="AA1203" s="58">
        <v>0</v>
      </c>
      <c r="AB1203" s="58">
        <v>1</v>
      </c>
      <c r="AC1203" s="59">
        <v>0</v>
      </c>
      <c r="AD1203" s="52" t="s">
        <v>1037</v>
      </c>
      <c r="AE1203" s="50">
        <f>IF(L1203="W",1,0)</f>
        <v>0</v>
      </c>
      <c r="AF1203" s="50">
        <f>IF(L1203="T",1,0)</f>
        <v>0</v>
      </c>
      <c r="AG1203" s="50">
        <f>IF(L1203="L",1,0)</f>
        <v>1</v>
      </c>
      <c r="AH1203" s="52" t="s">
        <v>1017</v>
      </c>
      <c r="AI1203" s="52" t="s">
        <v>1018</v>
      </c>
      <c r="AJ1203" s="52" t="s">
        <v>376</v>
      </c>
      <c r="AK1203" s="50" t="s">
        <v>658</v>
      </c>
      <c r="AL1203" s="52" t="s">
        <v>588</v>
      </c>
      <c r="AM1203" s="52" t="s">
        <v>1175</v>
      </c>
      <c r="AN1203" s="52" t="s">
        <v>376</v>
      </c>
      <c r="AO1203" s="50" t="s">
        <v>658</v>
      </c>
      <c r="AP1203" s="52"/>
      <c r="AQ1203" s="52">
        <v>2</v>
      </c>
      <c r="AR1203" s="52"/>
      <c r="AS1203" s="52"/>
      <c r="AT1203" s="46"/>
      <c r="AU1203" s="52" t="s">
        <v>376</v>
      </c>
      <c r="AV1203" s="52"/>
      <c r="AW1203" s="52" t="s">
        <v>30</v>
      </c>
      <c r="AX1203" s="52"/>
      <c r="AY1203" s="52"/>
      <c r="AZ1203" s="52" t="s">
        <v>30</v>
      </c>
      <c r="BA1203" s="52"/>
      <c r="BB1203" s="60"/>
      <c r="BC1203" s="52"/>
      <c r="BD1203" s="60"/>
      <c r="BE1203" s="60"/>
      <c r="BF1203" s="35">
        <v>1</v>
      </c>
      <c r="BG1203" s="52">
        <v>1</v>
      </c>
      <c r="BH1203" s="52"/>
      <c r="BI1203" s="52" t="s">
        <v>798</v>
      </c>
      <c r="BJ1203" s="52" t="s">
        <v>588</v>
      </c>
      <c r="BK1203" s="52">
        <v>1995</v>
      </c>
      <c r="BL1203" s="46" t="str">
        <f>BK1203&amp;BI1203</f>
        <v>1995Crystal Palace</v>
      </c>
      <c r="BM1203" s="52" t="str">
        <f>IF(AD1203="Home",BI1203,IF(AD1203="Away",BJ1203,Q1203))</f>
        <v>Liverpool</v>
      </c>
      <c r="BN1203" s="52"/>
      <c r="BO1203" s="52"/>
      <c r="BP1203" s="52"/>
      <c r="BQ1203" s="52"/>
      <c r="BR1203" s="52"/>
      <c r="BS1203" s="52"/>
      <c r="BT1203" s="52"/>
      <c r="BU1203" s="52"/>
      <c r="BV1203" s="52" t="s">
        <v>376</v>
      </c>
      <c r="BW1203" s="52" t="s">
        <v>376</v>
      </c>
      <c r="BX1203" s="52"/>
      <c r="BY1203" s="52"/>
      <c r="BZ1203" s="53"/>
      <c r="CA1203" s="53"/>
      <c r="CB1203" s="93" t="str">
        <f>IF(OR(C1203="",A1203="",B1203=""),"",TEXT(C1203,"0000")&amp;TEXT(A1203,"00")&amp;TEXT(B1203,"00"))</f>
        <v>19950215</v>
      </c>
    </row>
    <row r="1204" spans="1:80" s="50" customFormat="1" ht="12.95" customHeight="1" x14ac:dyDescent="0.2">
      <c r="A1204" s="46">
        <v>3</v>
      </c>
      <c r="B1204" s="46">
        <v>8</v>
      </c>
      <c r="C1204" s="46">
        <v>1995</v>
      </c>
      <c r="D1204" s="46" t="s">
        <v>658</v>
      </c>
      <c r="E1204" s="46" t="s">
        <v>407</v>
      </c>
      <c r="F1204" s="54" t="s">
        <v>1327</v>
      </c>
      <c r="G1204" s="46"/>
      <c r="H1204" s="54" t="s">
        <v>1011</v>
      </c>
      <c r="I1204" s="54">
        <v>2</v>
      </c>
      <c r="J1204" s="55">
        <v>34766</v>
      </c>
      <c r="K1204" s="46" t="s">
        <v>1157</v>
      </c>
      <c r="L1204" s="46" t="s">
        <v>3</v>
      </c>
      <c r="M1204" s="46" t="s">
        <v>1243</v>
      </c>
      <c r="N1204" s="49">
        <v>3</v>
      </c>
      <c r="O1204" s="49">
        <v>1</v>
      </c>
      <c r="P1204" s="54" t="s">
        <v>1209</v>
      </c>
      <c r="Q1204" s="54" t="s">
        <v>1101</v>
      </c>
      <c r="R1204" s="54" t="s">
        <v>376</v>
      </c>
      <c r="S1204" s="46"/>
      <c r="T1204" s="46"/>
      <c r="U1204" s="46"/>
      <c r="V1204" s="46"/>
      <c r="W1204" s="46"/>
      <c r="X1204" s="46"/>
      <c r="Y1204" s="46"/>
      <c r="Z1204" s="46"/>
      <c r="AA1204" s="46"/>
      <c r="AB1204" s="46"/>
      <c r="AC1204" s="46"/>
      <c r="AD1204" s="46" t="s">
        <v>1033</v>
      </c>
      <c r="AE1204" s="50">
        <f>IF(L1204="W",1,0)</f>
        <v>1</v>
      </c>
      <c r="AF1204" s="50">
        <f>IF(L1204="T",1,0)</f>
        <v>0</v>
      </c>
      <c r="AG1204" s="50">
        <f>IF(L1204="L",1,0)</f>
        <v>0</v>
      </c>
      <c r="AH1204" s="46" t="s">
        <v>1101</v>
      </c>
      <c r="AI1204" s="46" t="s">
        <v>1159</v>
      </c>
      <c r="AJ1204" s="46" t="s">
        <v>376</v>
      </c>
      <c r="AK1204" s="46" t="s">
        <v>658</v>
      </c>
      <c r="AL1204" s="46" t="s">
        <v>1244</v>
      </c>
      <c r="AM1204" s="46" t="s">
        <v>1245</v>
      </c>
      <c r="AN1204" s="46" t="s">
        <v>376</v>
      </c>
      <c r="AO1204" s="46" t="s">
        <v>658</v>
      </c>
      <c r="AP1204" s="46"/>
      <c r="AQ1204" s="46">
        <v>2</v>
      </c>
      <c r="AR1204" s="46"/>
      <c r="AS1204" s="46"/>
      <c r="AT1204" s="46"/>
      <c r="AU1204" s="46" t="s">
        <v>376</v>
      </c>
      <c r="AV1204" s="46"/>
      <c r="AW1204" s="46" t="s">
        <v>30</v>
      </c>
      <c r="AX1204" s="46"/>
      <c r="AY1204" s="46"/>
      <c r="AZ1204" s="46" t="s">
        <v>30</v>
      </c>
      <c r="BA1204" s="54"/>
      <c r="BB1204" s="51"/>
      <c r="BC1204" s="46"/>
      <c r="BD1204" s="46"/>
      <c r="BE1204" s="46"/>
      <c r="BF1204" s="46">
        <v>1</v>
      </c>
      <c r="BG1204" s="46">
        <v>2</v>
      </c>
      <c r="BH1204" s="46">
        <v>2</v>
      </c>
      <c r="BI1204" s="46" t="s">
        <v>1157</v>
      </c>
      <c r="BJ1204" s="46" t="s">
        <v>1243</v>
      </c>
      <c r="BK1204" s="46">
        <v>1995</v>
      </c>
      <c r="BL1204" s="46" t="str">
        <f>BK1204&amp;BI1204</f>
        <v>1995Bolton Wanderers</v>
      </c>
      <c r="BM1204" s="52" t="str">
        <f>IF(AD1204="Home",BI1204,IF(AD1204="Away",BJ1204,Q1204))</f>
        <v>Bolton Wanderers</v>
      </c>
      <c r="BN1204" s="46"/>
      <c r="BO1204" s="46"/>
      <c r="BP1204" s="46"/>
      <c r="BQ1204" s="46"/>
      <c r="BR1204" s="46"/>
      <c r="BS1204" s="46"/>
      <c r="BT1204" s="46"/>
      <c r="BU1204" s="46"/>
      <c r="BV1204" s="46" t="s">
        <v>376</v>
      </c>
      <c r="BW1204" s="46" t="s">
        <v>376</v>
      </c>
      <c r="BX1204" s="46"/>
      <c r="BY1204" s="52"/>
      <c r="BZ1204" s="53"/>
      <c r="CA1204" s="53"/>
      <c r="CB1204" s="93" t="str">
        <f>IF(OR(C1204="",A1204="",B1204=""),"",TEXT(C1204,"0000")&amp;TEXT(A1204,"00")&amp;TEXT(B1204,"00"))</f>
        <v>19950308</v>
      </c>
    </row>
    <row r="1205" spans="1:80" s="50" customFormat="1" ht="12.95" customHeight="1" x14ac:dyDescent="0.2">
      <c r="A1205" s="46">
        <v>3</v>
      </c>
      <c r="B1205" s="46">
        <v>8</v>
      </c>
      <c r="C1205" s="46">
        <v>1995</v>
      </c>
      <c r="D1205" s="46" t="s">
        <v>658</v>
      </c>
      <c r="E1205" s="46" t="s">
        <v>407</v>
      </c>
      <c r="F1205" s="54" t="s">
        <v>1327</v>
      </c>
      <c r="G1205" s="46"/>
      <c r="H1205" s="54" t="s">
        <v>1011</v>
      </c>
      <c r="I1205" s="54">
        <v>2</v>
      </c>
      <c r="J1205" s="55">
        <v>34766</v>
      </c>
      <c r="K1205" s="46" t="s">
        <v>1243</v>
      </c>
      <c r="L1205" s="46" t="s">
        <v>4</v>
      </c>
      <c r="M1205" s="46" t="s">
        <v>1157</v>
      </c>
      <c r="N1205" s="49">
        <v>1</v>
      </c>
      <c r="O1205" s="49">
        <v>3</v>
      </c>
      <c r="P1205" s="54" t="s">
        <v>1209</v>
      </c>
      <c r="Q1205" s="54" t="s">
        <v>1101</v>
      </c>
      <c r="R1205" s="54" t="s">
        <v>376</v>
      </c>
      <c r="S1205" s="46"/>
      <c r="T1205" s="46"/>
      <c r="U1205" s="46"/>
      <c r="V1205" s="46"/>
      <c r="W1205" s="46"/>
      <c r="X1205" s="46"/>
      <c r="Y1205" s="46"/>
      <c r="Z1205" s="46"/>
      <c r="AA1205" s="46"/>
      <c r="AB1205" s="46"/>
      <c r="AC1205" s="46"/>
      <c r="AD1205" s="46" t="s">
        <v>1037</v>
      </c>
      <c r="AE1205" s="50">
        <f>IF(L1205="W",1,0)</f>
        <v>0</v>
      </c>
      <c r="AF1205" s="50">
        <f>IF(L1205="T",1,0)</f>
        <v>0</v>
      </c>
      <c r="AG1205" s="50">
        <f>IF(L1205="L",1,0)</f>
        <v>1</v>
      </c>
      <c r="AH1205" s="46" t="s">
        <v>1244</v>
      </c>
      <c r="AI1205" s="46" t="s">
        <v>1245</v>
      </c>
      <c r="AJ1205" s="46" t="s">
        <v>376</v>
      </c>
      <c r="AK1205" s="46" t="s">
        <v>658</v>
      </c>
      <c r="AL1205" s="46" t="s">
        <v>1101</v>
      </c>
      <c r="AM1205" s="46" t="s">
        <v>1159</v>
      </c>
      <c r="AN1205" s="46" t="s">
        <v>376</v>
      </c>
      <c r="AO1205" s="46" t="s">
        <v>658</v>
      </c>
      <c r="AP1205" s="46"/>
      <c r="AQ1205" s="46">
        <v>2</v>
      </c>
      <c r="AR1205" s="46"/>
      <c r="AS1205" s="46"/>
      <c r="AT1205" s="46"/>
      <c r="AU1205" s="46" t="s">
        <v>376</v>
      </c>
      <c r="AV1205" s="46"/>
      <c r="AW1205" s="46" t="s">
        <v>30</v>
      </c>
      <c r="AX1205" s="46"/>
      <c r="AY1205" s="46"/>
      <c r="AZ1205" s="46" t="s">
        <v>30</v>
      </c>
      <c r="BA1205" s="54"/>
      <c r="BB1205" s="51"/>
      <c r="BC1205" s="46"/>
      <c r="BD1205" s="46"/>
      <c r="BE1205" s="46"/>
      <c r="BF1205" s="46">
        <v>1</v>
      </c>
      <c r="BG1205" s="46">
        <v>2</v>
      </c>
      <c r="BH1205" s="46">
        <v>2</v>
      </c>
      <c r="BI1205" s="46" t="s">
        <v>1243</v>
      </c>
      <c r="BJ1205" s="46" t="s">
        <v>1157</v>
      </c>
      <c r="BK1205" s="46">
        <v>1995</v>
      </c>
      <c r="BL1205" s="46" t="str">
        <f>BK1205&amp;BI1205</f>
        <v>1995Swindon Town</v>
      </c>
      <c r="BM1205" s="52" t="str">
        <f>IF(AD1205="Home",BI1205,IF(AD1205="Away",BJ1205,Q1205))</f>
        <v>Bolton Wanderers</v>
      </c>
      <c r="BN1205" s="46"/>
      <c r="BO1205" s="46"/>
      <c r="BP1205" s="46"/>
      <c r="BQ1205" s="46"/>
      <c r="BR1205" s="46"/>
      <c r="BS1205" s="46"/>
      <c r="BT1205" s="46"/>
      <c r="BU1205" s="46"/>
      <c r="BV1205" s="46" t="s">
        <v>376</v>
      </c>
      <c r="BW1205" s="46" t="s">
        <v>376</v>
      </c>
      <c r="BX1205" s="46"/>
      <c r="BY1205" s="52"/>
      <c r="BZ1205" s="53"/>
      <c r="CA1205" s="53"/>
      <c r="CB1205" s="93" t="str">
        <f>IF(OR(C1205="",A1205="",B1205=""),"",TEXT(C1205,"0000")&amp;TEXT(A1205,"00")&amp;TEXT(B1205,"00"))</f>
        <v>19950308</v>
      </c>
    </row>
    <row r="1206" spans="1:80" s="50" customFormat="1" ht="12.95" customHeight="1" x14ac:dyDescent="0.2">
      <c r="A1206" s="46">
        <v>3</v>
      </c>
      <c r="B1206" s="46">
        <v>8</v>
      </c>
      <c r="C1206" s="46">
        <v>1995</v>
      </c>
      <c r="D1206" s="52" t="s">
        <v>658</v>
      </c>
      <c r="E1206" s="52" t="s">
        <v>407</v>
      </c>
      <c r="F1206" s="52" t="s">
        <v>1327</v>
      </c>
      <c r="G1206" s="52"/>
      <c r="H1206" s="52" t="s">
        <v>1011</v>
      </c>
      <c r="I1206" s="52">
        <v>2</v>
      </c>
      <c r="J1206" s="56">
        <v>34766</v>
      </c>
      <c r="K1206" s="52" t="s">
        <v>798</v>
      </c>
      <c r="L1206" s="52" t="s">
        <v>4</v>
      </c>
      <c r="M1206" s="52" t="s">
        <v>588</v>
      </c>
      <c r="N1206" s="57">
        <v>0</v>
      </c>
      <c r="O1206" s="57">
        <v>1</v>
      </c>
      <c r="P1206" s="52" t="s">
        <v>1391</v>
      </c>
      <c r="Q1206" s="52" t="s">
        <v>1017</v>
      </c>
      <c r="R1206" s="52" t="s">
        <v>376</v>
      </c>
      <c r="S1206" s="52"/>
      <c r="T1206" s="52"/>
      <c r="U1206" s="52"/>
      <c r="V1206" s="52"/>
      <c r="W1206" s="52"/>
      <c r="X1206" s="52"/>
      <c r="Y1206" s="52"/>
      <c r="Z1206" s="57"/>
      <c r="AA1206" s="58">
        <v>0</v>
      </c>
      <c r="AB1206" s="58">
        <v>2</v>
      </c>
      <c r="AC1206" s="59">
        <v>0</v>
      </c>
      <c r="AD1206" s="52" t="s">
        <v>1033</v>
      </c>
      <c r="AE1206" s="50">
        <f>IF(L1206="W",1,0)</f>
        <v>0</v>
      </c>
      <c r="AF1206" s="50">
        <f>IF(L1206="T",1,0)</f>
        <v>0</v>
      </c>
      <c r="AG1206" s="50">
        <f>IF(L1206="L",1,0)</f>
        <v>1</v>
      </c>
      <c r="AH1206" s="52" t="s">
        <v>1017</v>
      </c>
      <c r="AI1206" s="52" t="s">
        <v>1018</v>
      </c>
      <c r="AJ1206" s="52" t="s">
        <v>376</v>
      </c>
      <c r="AK1206" s="50" t="s">
        <v>658</v>
      </c>
      <c r="AL1206" s="52" t="s">
        <v>588</v>
      </c>
      <c r="AM1206" s="52" t="s">
        <v>1175</v>
      </c>
      <c r="AN1206" s="52" t="s">
        <v>376</v>
      </c>
      <c r="AO1206" s="50" t="s">
        <v>658</v>
      </c>
      <c r="AP1206" s="52"/>
      <c r="AQ1206" s="52">
        <v>2</v>
      </c>
      <c r="AR1206" s="52"/>
      <c r="AS1206" s="52">
        <v>1</v>
      </c>
      <c r="AT1206" s="46"/>
      <c r="AU1206" s="52" t="s">
        <v>376</v>
      </c>
      <c r="AV1206" s="52"/>
      <c r="AW1206" s="52" t="s">
        <v>30</v>
      </c>
      <c r="AX1206" s="52"/>
      <c r="AY1206" s="52"/>
      <c r="AZ1206" s="52" t="s">
        <v>30</v>
      </c>
      <c r="BA1206" s="52"/>
      <c r="BB1206" s="60"/>
      <c r="BC1206" s="52"/>
      <c r="BD1206" s="60"/>
      <c r="BE1206" s="60"/>
      <c r="BF1206" s="35">
        <v>1</v>
      </c>
      <c r="BG1206" s="52">
        <v>1</v>
      </c>
      <c r="BH1206" s="52"/>
      <c r="BI1206" s="52" t="s">
        <v>798</v>
      </c>
      <c r="BJ1206" s="52" t="s">
        <v>588</v>
      </c>
      <c r="BK1206" s="52">
        <v>1995</v>
      </c>
      <c r="BL1206" s="46" t="str">
        <f>BK1206&amp;BI1206</f>
        <v>1995Crystal Palace</v>
      </c>
      <c r="BM1206" s="52" t="str">
        <f>IF(AD1206="Home",BI1206,IF(AD1206="Away",BJ1206,Q1206))</f>
        <v>Crystal Palace</v>
      </c>
      <c r="BN1206" s="52"/>
      <c r="BO1206" s="52"/>
      <c r="BP1206" s="52"/>
      <c r="BQ1206" s="52"/>
      <c r="BR1206" s="52"/>
      <c r="BS1206" s="52"/>
      <c r="BT1206" s="52"/>
      <c r="BU1206" s="52"/>
      <c r="BV1206" s="52" t="s">
        <v>376</v>
      </c>
      <c r="BW1206" s="52" t="s">
        <v>376</v>
      </c>
      <c r="BX1206" s="52"/>
      <c r="BY1206" s="52"/>
      <c r="BZ1206" s="53"/>
      <c r="CA1206" s="53"/>
      <c r="CB1206" s="93" t="str">
        <f>IF(OR(C1206="",A1206="",B1206=""),"",TEXT(C1206,"0000")&amp;TEXT(A1206,"00")&amp;TEXT(B1206,"00"))</f>
        <v>19950308</v>
      </c>
    </row>
    <row r="1207" spans="1:80" s="50" customFormat="1" ht="12.95" customHeight="1" x14ac:dyDescent="0.2">
      <c r="A1207" s="46">
        <v>3</v>
      </c>
      <c r="B1207" s="46">
        <v>8</v>
      </c>
      <c r="C1207" s="46">
        <v>1995</v>
      </c>
      <c r="D1207" s="52" t="s">
        <v>658</v>
      </c>
      <c r="E1207" s="52" t="s">
        <v>407</v>
      </c>
      <c r="F1207" s="52" t="s">
        <v>1327</v>
      </c>
      <c r="G1207" s="52"/>
      <c r="H1207" s="52" t="s">
        <v>1011</v>
      </c>
      <c r="I1207" s="52">
        <v>2</v>
      </c>
      <c r="J1207" s="56">
        <v>34766</v>
      </c>
      <c r="K1207" s="52" t="s">
        <v>588</v>
      </c>
      <c r="L1207" s="52" t="s">
        <v>3</v>
      </c>
      <c r="M1207" s="52" t="s">
        <v>798</v>
      </c>
      <c r="N1207" s="57">
        <v>1</v>
      </c>
      <c r="O1207" s="57">
        <v>0</v>
      </c>
      <c r="P1207" s="52" t="s">
        <v>1391</v>
      </c>
      <c r="Q1207" s="52" t="s">
        <v>1017</v>
      </c>
      <c r="R1207" s="52" t="s">
        <v>376</v>
      </c>
      <c r="S1207" s="52"/>
      <c r="T1207" s="52"/>
      <c r="U1207" s="52"/>
      <c r="V1207" s="52"/>
      <c r="W1207" s="52"/>
      <c r="X1207" s="52"/>
      <c r="Y1207" s="52"/>
      <c r="Z1207" s="57"/>
      <c r="AA1207" s="58">
        <v>2</v>
      </c>
      <c r="AB1207" s="58">
        <v>0</v>
      </c>
      <c r="AC1207" s="59">
        <v>1</v>
      </c>
      <c r="AD1207" s="52" t="s">
        <v>1037</v>
      </c>
      <c r="AE1207" s="50">
        <f>IF(L1207="W",1,0)</f>
        <v>1</v>
      </c>
      <c r="AF1207" s="50">
        <f>IF(L1207="T",1,0)</f>
        <v>0</v>
      </c>
      <c r="AG1207" s="50">
        <f>IF(L1207="L",1,0)</f>
        <v>0</v>
      </c>
      <c r="AH1207" s="52" t="s">
        <v>588</v>
      </c>
      <c r="AI1207" s="52" t="s">
        <v>1175</v>
      </c>
      <c r="AJ1207" s="52" t="s">
        <v>376</v>
      </c>
      <c r="AK1207" s="50" t="s">
        <v>658</v>
      </c>
      <c r="AL1207" s="52" t="s">
        <v>1017</v>
      </c>
      <c r="AM1207" s="52" t="s">
        <v>1018</v>
      </c>
      <c r="AN1207" s="52" t="s">
        <v>376</v>
      </c>
      <c r="AO1207" s="50" t="s">
        <v>658</v>
      </c>
      <c r="AP1207" s="52"/>
      <c r="AQ1207" s="52">
        <v>2</v>
      </c>
      <c r="AR1207" s="52"/>
      <c r="AS1207" s="52"/>
      <c r="AT1207" s="46"/>
      <c r="AU1207" s="52" t="s">
        <v>376</v>
      </c>
      <c r="AV1207" s="52"/>
      <c r="AW1207" s="52" t="s">
        <v>30</v>
      </c>
      <c r="AX1207" s="52"/>
      <c r="AY1207" s="52"/>
      <c r="AZ1207" s="52" t="s">
        <v>30</v>
      </c>
      <c r="BA1207" s="52"/>
      <c r="BB1207" s="60"/>
      <c r="BC1207" s="52"/>
      <c r="BD1207" s="60"/>
      <c r="BE1207" s="60"/>
      <c r="BF1207" s="35">
        <v>1</v>
      </c>
      <c r="BG1207" s="52">
        <v>1</v>
      </c>
      <c r="BH1207" s="52"/>
      <c r="BI1207" s="52" t="s">
        <v>588</v>
      </c>
      <c r="BJ1207" s="52" t="s">
        <v>798</v>
      </c>
      <c r="BK1207" s="52">
        <v>1995</v>
      </c>
      <c r="BL1207" s="46" t="str">
        <f>BK1207&amp;BI1207</f>
        <v>1995Liverpool</v>
      </c>
      <c r="BM1207" s="52" t="str">
        <f>IF(AD1207="Home",BI1207,IF(AD1207="Away",BJ1207,Q1207))</f>
        <v>Crystal Palace</v>
      </c>
      <c r="BN1207" s="52"/>
      <c r="BO1207" s="52"/>
      <c r="BP1207" s="52"/>
      <c r="BQ1207" s="52"/>
      <c r="BR1207" s="52"/>
      <c r="BS1207" s="52"/>
      <c r="BT1207" s="52"/>
      <c r="BU1207" s="52"/>
      <c r="BV1207" s="52" t="s">
        <v>376</v>
      </c>
      <c r="BW1207" s="52" t="s">
        <v>376</v>
      </c>
      <c r="BX1207" s="52"/>
      <c r="BY1207" s="52"/>
      <c r="BZ1207" s="53"/>
      <c r="CA1207" s="53"/>
      <c r="CB1207" s="93" t="str">
        <f>IF(OR(C1207="",A1207="",B1207=""),"",TEXT(C1207,"0000")&amp;TEXT(A1207,"00")&amp;TEXT(B1207,"00"))</f>
        <v>19950308</v>
      </c>
    </row>
    <row r="1208" spans="1:80" s="50" customFormat="1" ht="12.95" customHeight="1" x14ac:dyDescent="0.2">
      <c r="A1208" s="46">
        <v>4</v>
      </c>
      <c r="B1208" s="46">
        <v>2</v>
      </c>
      <c r="C1208" s="46">
        <v>1995</v>
      </c>
      <c r="D1208" s="52" t="s">
        <v>658</v>
      </c>
      <c r="E1208" s="52" t="s">
        <v>407</v>
      </c>
      <c r="F1208" s="52" t="s">
        <v>1327</v>
      </c>
      <c r="G1208" s="52"/>
      <c r="H1208" s="52" t="s">
        <v>40</v>
      </c>
      <c r="I1208" s="52"/>
      <c r="J1208" s="56">
        <v>34791</v>
      </c>
      <c r="K1208" s="52" t="s">
        <v>588</v>
      </c>
      <c r="L1208" s="52" t="s">
        <v>3</v>
      </c>
      <c r="M1208" s="52" t="s">
        <v>1157</v>
      </c>
      <c r="N1208" s="57">
        <v>2</v>
      </c>
      <c r="O1208" s="57">
        <v>1</v>
      </c>
      <c r="P1208" s="52" t="s">
        <v>1268</v>
      </c>
      <c r="Q1208" s="52" t="s">
        <v>1017</v>
      </c>
      <c r="R1208" s="52" t="s">
        <v>376</v>
      </c>
      <c r="S1208" s="52"/>
      <c r="T1208" s="52"/>
      <c r="U1208" s="52"/>
      <c r="V1208" s="52"/>
      <c r="W1208" s="52"/>
      <c r="X1208" s="52"/>
      <c r="Y1208" s="52"/>
      <c r="Z1208" s="57"/>
      <c r="AA1208" s="52"/>
      <c r="AB1208" s="52"/>
      <c r="AC1208" s="52"/>
      <c r="AD1208" s="52"/>
      <c r="AE1208" s="50">
        <f>IF(L1208="W",1,0)</f>
        <v>1</v>
      </c>
      <c r="AF1208" s="50">
        <f>IF(L1208="T",1,0)</f>
        <v>0</v>
      </c>
      <c r="AG1208" s="50">
        <f>IF(L1208="L",1,0)</f>
        <v>0</v>
      </c>
      <c r="AH1208" s="52" t="s">
        <v>588</v>
      </c>
      <c r="AI1208" s="52" t="s">
        <v>1175</v>
      </c>
      <c r="AJ1208" s="52" t="s">
        <v>376</v>
      </c>
      <c r="AK1208" s="50" t="s">
        <v>658</v>
      </c>
      <c r="AL1208" s="52" t="s">
        <v>1101</v>
      </c>
      <c r="AM1208" s="52" t="s">
        <v>1159</v>
      </c>
      <c r="AN1208" s="52" t="s">
        <v>376</v>
      </c>
      <c r="AO1208" s="50" t="s">
        <v>658</v>
      </c>
      <c r="AP1208" s="52"/>
      <c r="AQ1208" s="52">
        <v>1</v>
      </c>
      <c r="AR1208" s="52"/>
      <c r="AS1208" s="52" t="s">
        <v>1393</v>
      </c>
      <c r="AT1208" s="46"/>
      <c r="AU1208" s="52" t="s">
        <v>376</v>
      </c>
      <c r="AV1208" s="52"/>
      <c r="AW1208" s="52" t="s">
        <v>30</v>
      </c>
      <c r="AX1208" s="52"/>
      <c r="AY1208" s="52"/>
      <c r="AZ1208" s="57" t="s">
        <v>30</v>
      </c>
      <c r="BA1208" s="52"/>
      <c r="BB1208" s="60" t="s">
        <v>30</v>
      </c>
      <c r="BC1208" s="52" t="s">
        <v>30</v>
      </c>
      <c r="BD1208" s="60"/>
      <c r="BE1208" s="60" t="s">
        <v>1400</v>
      </c>
      <c r="BF1208" s="35">
        <v>1</v>
      </c>
      <c r="BG1208" s="52">
        <v>1</v>
      </c>
      <c r="BH1208" s="52">
        <v>2</v>
      </c>
      <c r="BI1208" s="52" t="s">
        <v>588</v>
      </c>
      <c r="BJ1208" s="52" t="s">
        <v>1157</v>
      </c>
      <c r="BK1208" s="52">
        <v>1995</v>
      </c>
      <c r="BL1208" s="46" t="str">
        <f>BK1208&amp;BI1208</f>
        <v>1995Liverpool</v>
      </c>
      <c r="BM1208" s="52" t="str">
        <f>IF(AD1208="Home",BI1208,IF(AD1208="Away",BJ1208,Q1208))</f>
        <v>London</v>
      </c>
      <c r="BN1208" s="52"/>
      <c r="BO1208" s="52"/>
      <c r="BP1208" s="52"/>
      <c r="BQ1208" s="52"/>
      <c r="BR1208" s="52"/>
      <c r="BS1208" s="52"/>
      <c r="BT1208" s="52"/>
      <c r="BU1208" s="52"/>
      <c r="BV1208" s="52" t="s">
        <v>376</v>
      </c>
      <c r="BW1208" s="52" t="s">
        <v>376</v>
      </c>
      <c r="BX1208" s="52"/>
      <c r="BY1208" s="52"/>
      <c r="BZ1208" s="53"/>
      <c r="CA1208" s="53"/>
      <c r="CB1208" s="93" t="str">
        <f>IF(OR(C1208="",A1208="",B1208=""),"",TEXT(C1208,"0000")&amp;TEXT(A1208,"00")&amp;TEXT(B1208,"00"))</f>
        <v>19950402</v>
      </c>
    </row>
    <row r="1209" spans="1:80" s="50" customFormat="1" ht="12.95" customHeight="1" x14ac:dyDescent="0.2">
      <c r="A1209" s="46">
        <v>4</v>
      </c>
      <c r="B1209" s="46">
        <v>2</v>
      </c>
      <c r="C1209" s="46">
        <v>1995</v>
      </c>
      <c r="D1209" s="46" t="s">
        <v>658</v>
      </c>
      <c r="E1209" s="46" t="s">
        <v>407</v>
      </c>
      <c r="F1209" s="54" t="s">
        <v>1327</v>
      </c>
      <c r="G1209" s="46"/>
      <c r="H1209" s="54" t="s">
        <v>40</v>
      </c>
      <c r="I1209" s="54"/>
      <c r="J1209" s="55">
        <v>34791</v>
      </c>
      <c r="K1209" s="46" t="s">
        <v>1157</v>
      </c>
      <c r="L1209" s="46" t="s">
        <v>4</v>
      </c>
      <c r="M1209" s="46" t="s">
        <v>588</v>
      </c>
      <c r="N1209" s="49">
        <v>1</v>
      </c>
      <c r="O1209" s="49">
        <v>2</v>
      </c>
      <c r="P1209" s="54" t="s">
        <v>1268</v>
      </c>
      <c r="Q1209" s="54" t="s">
        <v>1017</v>
      </c>
      <c r="R1209" s="54" t="s">
        <v>376</v>
      </c>
      <c r="S1209" s="46"/>
      <c r="T1209" s="46"/>
      <c r="U1209" s="46"/>
      <c r="V1209" s="46"/>
      <c r="W1209" s="46"/>
      <c r="X1209" s="46"/>
      <c r="Y1209" s="46"/>
      <c r="Z1209" s="46"/>
      <c r="AA1209" s="46"/>
      <c r="AB1209" s="46"/>
      <c r="AC1209" s="46"/>
      <c r="AD1209" s="46"/>
      <c r="AE1209" s="50">
        <f>IF(L1209="W",1,0)</f>
        <v>0</v>
      </c>
      <c r="AF1209" s="50">
        <f>IF(L1209="T",1,0)</f>
        <v>0</v>
      </c>
      <c r="AG1209" s="50">
        <f>IF(L1209="L",1,0)</f>
        <v>1</v>
      </c>
      <c r="AH1209" s="46" t="s">
        <v>1101</v>
      </c>
      <c r="AI1209" s="46" t="s">
        <v>1159</v>
      </c>
      <c r="AJ1209" s="46" t="s">
        <v>376</v>
      </c>
      <c r="AK1209" s="46" t="s">
        <v>658</v>
      </c>
      <c r="AL1209" s="46" t="s">
        <v>588</v>
      </c>
      <c r="AM1209" s="46" t="s">
        <v>1175</v>
      </c>
      <c r="AN1209" s="46" t="s">
        <v>376</v>
      </c>
      <c r="AO1209" s="46" t="s">
        <v>658</v>
      </c>
      <c r="AP1209" s="46"/>
      <c r="AQ1209" s="46">
        <v>1</v>
      </c>
      <c r="AR1209" s="46"/>
      <c r="AS1209" s="46"/>
      <c r="AT1209" s="46"/>
      <c r="AU1209" s="46" t="s">
        <v>376</v>
      </c>
      <c r="AV1209" s="46"/>
      <c r="AW1209" s="46" t="s">
        <v>30</v>
      </c>
      <c r="AX1209" s="46"/>
      <c r="AY1209" s="46"/>
      <c r="AZ1209" s="46" t="s">
        <v>30</v>
      </c>
      <c r="BA1209" s="54"/>
      <c r="BB1209" s="51"/>
      <c r="BC1209" s="46" t="s">
        <v>30</v>
      </c>
      <c r="BD1209" s="46"/>
      <c r="BE1209" s="46"/>
      <c r="BF1209" s="46">
        <v>1</v>
      </c>
      <c r="BG1209" s="46">
        <v>2</v>
      </c>
      <c r="BH1209" s="46">
        <v>1</v>
      </c>
      <c r="BI1209" s="46" t="s">
        <v>1157</v>
      </c>
      <c r="BJ1209" s="46" t="s">
        <v>588</v>
      </c>
      <c r="BK1209" s="46">
        <v>1995</v>
      </c>
      <c r="BL1209" s="46" t="str">
        <f>BK1209&amp;BI1209</f>
        <v>1995Bolton Wanderers</v>
      </c>
      <c r="BM1209" s="52" t="str">
        <f>IF(AD1209="Home",BI1209,IF(AD1209="Away",BJ1209,Q1209))</f>
        <v>London</v>
      </c>
      <c r="BN1209" s="46"/>
      <c r="BO1209" s="46"/>
      <c r="BP1209" s="46"/>
      <c r="BQ1209" s="46"/>
      <c r="BR1209" s="46"/>
      <c r="BS1209" s="46"/>
      <c r="BT1209" s="46"/>
      <c r="BU1209" s="46"/>
      <c r="BV1209" s="46" t="s">
        <v>376</v>
      </c>
      <c r="BW1209" s="46" t="s">
        <v>376</v>
      </c>
      <c r="BX1209" s="46"/>
      <c r="BY1209" s="52"/>
      <c r="BZ1209" s="53"/>
      <c r="CA1209" s="53"/>
      <c r="CB1209" s="93" t="str">
        <f>IF(OR(C1209="",A1209="",B1209=""),"",TEXT(C1209,"0000")&amp;TEXT(A1209,"00")&amp;TEXT(B1209,"00"))</f>
        <v>19950402</v>
      </c>
    </row>
    <row r="1210" spans="1:80" s="50" customFormat="1" ht="12.95" customHeight="1" x14ac:dyDescent="0.2">
      <c r="A1210" s="46">
        <v>4</v>
      </c>
      <c r="B1210" s="46">
        <v>9</v>
      </c>
      <c r="C1210" s="46">
        <v>1995</v>
      </c>
      <c r="D1210" s="52" t="s">
        <v>658</v>
      </c>
      <c r="E1210" s="52" t="s">
        <v>407</v>
      </c>
      <c r="F1210" s="52" t="s">
        <v>1010</v>
      </c>
      <c r="G1210" s="52"/>
      <c r="H1210" s="52" t="s">
        <v>1011</v>
      </c>
      <c r="I1210" s="52"/>
      <c r="J1210" s="56">
        <v>34798</v>
      </c>
      <c r="K1210" s="52" t="s">
        <v>804</v>
      </c>
      <c r="L1210" s="52" t="s">
        <v>3</v>
      </c>
      <c r="M1210" s="52" t="s">
        <v>813</v>
      </c>
      <c r="N1210" s="57">
        <v>4</v>
      </c>
      <c r="O1210" s="57">
        <v>1</v>
      </c>
      <c r="P1210" s="52" t="s">
        <v>1240</v>
      </c>
      <c r="Q1210" s="52" t="s">
        <v>1241</v>
      </c>
      <c r="R1210" s="52" t="s">
        <v>376</v>
      </c>
      <c r="S1210" s="52"/>
      <c r="T1210" s="52"/>
      <c r="U1210" s="52"/>
      <c r="V1210" s="52"/>
      <c r="W1210" s="52"/>
      <c r="X1210" s="52"/>
      <c r="Y1210" s="52"/>
      <c r="Z1210" s="57"/>
      <c r="AA1210" s="52"/>
      <c r="AB1210" s="52"/>
      <c r="AC1210" s="52"/>
      <c r="AD1210" s="52"/>
      <c r="AE1210" s="50">
        <f>IF(L1210="W",1,0)</f>
        <v>1</v>
      </c>
      <c r="AF1210" s="50">
        <f>IF(L1210="T",1,0)</f>
        <v>0</v>
      </c>
      <c r="AG1210" s="50">
        <f>IF(L1210="L",1,0)</f>
        <v>0</v>
      </c>
      <c r="AH1210" s="52" t="s">
        <v>588</v>
      </c>
      <c r="AI1210" s="52" t="s">
        <v>1175</v>
      </c>
      <c r="AJ1210" s="52" t="s">
        <v>376</v>
      </c>
      <c r="AK1210" s="50" t="s">
        <v>658</v>
      </c>
      <c r="AL1210" s="52" t="s">
        <v>1017</v>
      </c>
      <c r="AM1210" s="52" t="s">
        <v>1018</v>
      </c>
      <c r="AN1210" s="52" t="s">
        <v>376</v>
      </c>
      <c r="AO1210" s="50" t="s">
        <v>658</v>
      </c>
      <c r="AP1210" s="52"/>
      <c r="AQ1210" s="52">
        <v>2</v>
      </c>
      <c r="AR1210" s="52"/>
      <c r="AS1210" s="52"/>
      <c r="AT1210" s="46"/>
      <c r="AU1210" s="52" t="s">
        <v>376</v>
      </c>
      <c r="AV1210" s="52"/>
      <c r="AW1210" s="52" t="s">
        <v>30</v>
      </c>
      <c r="AX1210" s="52"/>
      <c r="AY1210" s="52" t="s">
        <v>30</v>
      </c>
      <c r="AZ1210" s="52"/>
      <c r="BA1210" s="52"/>
      <c r="BB1210" s="60"/>
      <c r="BC1210" s="52"/>
      <c r="BD1210" s="60"/>
      <c r="BE1210" s="60"/>
      <c r="BF1210" s="35">
        <v>1</v>
      </c>
      <c r="BG1210" s="52">
        <v>1</v>
      </c>
      <c r="BH1210" s="52"/>
      <c r="BI1210" s="52" t="s">
        <v>804</v>
      </c>
      <c r="BJ1210" s="52" t="s">
        <v>813</v>
      </c>
      <c r="BK1210" s="52">
        <v>1995</v>
      </c>
      <c r="BL1210" s="46" t="str">
        <f>BK1210&amp;BI1210</f>
        <v>1995Everton</v>
      </c>
      <c r="BM1210" s="52" t="str">
        <f>IF(AD1210="Home",BI1210,IF(AD1210="Away",BJ1210,Q1210))</f>
        <v>Leeds</v>
      </c>
      <c r="BN1210" s="52"/>
      <c r="BO1210" s="52"/>
      <c r="BP1210" s="52"/>
      <c r="BQ1210" s="52"/>
      <c r="BR1210" s="52"/>
      <c r="BS1210" s="52"/>
      <c r="BT1210" s="52"/>
      <c r="BU1210" s="52"/>
      <c r="BV1210" s="52" t="s">
        <v>376</v>
      </c>
      <c r="BW1210" s="52" t="s">
        <v>376</v>
      </c>
      <c r="BX1210" s="52"/>
      <c r="BY1210" s="52"/>
      <c r="BZ1210" s="53"/>
      <c r="CA1210" s="53"/>
      <c r="CB1210" s="93" t="str">
        <f>IF(OR(C1210="",A1210="",B1210=""),"",TEXT(C1210,"0000")&amp;TEXT(A1210,"00")&amp;TEXT(B1210,"00"))</f>
        <v>19950409</v>
      </c>
    </row>
    <row r="1211" spans="1:80" s="50" customFormat="1" ht="12.95" customHeight="1" x14ac:dyDescent="0.2">
      <c r="A1211" s="46">
        <v>4</v>
      </c>
      <c r="B1211" s="46">
        <v>9</v>
      </c>
      <c r="C1211" s="46">
        <v>1995</v>
      </c>
      <c r="D1211" s="52" t="s">
        <v>658</v>
      </c>
      <c r="E1211" s="52" t="s">
        <v>407</v>
      </c>
      <c r="F1211" s="52" t="s">
        <v>1010</v>
      </c>
      <c r="G1211" s="52"/>
      <c r="H1211" s="52" t="s">
        <v>1011</v>
      </c>
      <c r="I1211" s="52"/>
      <c r="J1211" s="56">
        <v>34798</v>
      </c>
      <c r="K1211" s="52" t="s">
        <v>813</v>
      </c>
      <c r="L1211" s="52" t="s">
        <v>4</v>
      </c>
      <c r="M1211" s="52" t="s">
        <v>804</v>
      </c>
      <c r="N1211" s="57">
        <v>1</v>
      </c>
      <c r="O1211" s="57">
        <v>4</v>
      </c>
      <c r="P1211" s="52" t="s">
        <v>1240</v>
      </c>
      <c r="Q1211" s="52" t="s">
        <v>1241</v>
      </c>
      <c r="R1211" s="52" t="s">
        <v>376</v>
      </c>
      <c r="S1211" s="52"/>
      <c r="T1211" s="52"/>
      <c r="U1211" s="52"/>
      <c r="V1211" s="52"/>
      <c r="W1211" s="52"/>
      <c r="X1211" s="52"/>
      <c r="Y1211" s="52"/>
      <c r="Z1211" s="57"/>
      <c r="AA1211" s="52"/>
      <c r="AB1211" s="52"/>
      <c r="AC1211" s="52"/>
      <c r="AD1211" s="52"/>
      <c r="AE1211" s="50">
        <f>IF(L1211="W",1,0)</f>
        <v>0</v>
      </c>
      <c r="AF1211" s="50">
        <f>IF(L1211="T",1,0)</f>
        <v>0</v>
      </c>
      <c r="AG1211" s="50">
        <f>IF(L1211="L",1,0)</f>
        <v>1</v>
      </c>
      <c r="AH1211" s="52" t="s">
        <v>1017</v>
      </c>
      <c r="AI1211" s="52" t="s">
        <v>1018</v>
      </c>
      <c r="AJ1211" s="52" t="s">
        <v>376</v>
      </c>
      <c r="AK1211" s="50" t="s">
        <v>658</v>
      </c>
      <c r="AL1211" s="52" t="s">
        <v>588</v>
      </c>
      <c r="AM1211" s="52" t="s">
        <v>1175</v>
      </c>
      <c r="AN1211" s="52" t="s">
        <v>376</v>
      </c>
      <c r="AO1211" s="50" t="s">
        <v>658</v>
      </c>
      <c r="AP1211" s="52"/>
      <c r="AQ1211" s="52">
        <v>2</v>
      </c>
      <c r="AR1211" s="52"/>
      <c r="AS1211" s="52">
        <v>1</v>
      </c>
      <c r="AT1211" s="46"/>
      <c r="AU1211" s="52" t="s">
        <v>376</v>
      </c>
      <c r="AV1211" s="52"/>
      <c r="AW1211" s="52" t="s">
        <v>30</v>
      </c>
      <c r="AX1211" s="52"/>
      <c r="AY1211" s="52" t="s">
        <v>30</v>
      </c>
      <c r="AZ1211" s="52"/>
      <c r="BA1211" s="52"/>
      <c r="BB1211" s="60"/>
      <c r="BC1211" s="52"/>
      <c r="BD1211" s="60"/>
      <c r="BE1211" s="60"/>
      <c r="BF1211" s="35">
        <v>1</v>
      </c>
      <c r="BG1211" s="52">
        <v>1</v>
      </c>
      <c r="BH1211" s="52"/>
      <c r="BI1211" s="52" t="s">
        <v>813</v>
      </c>
      <c r="BJ1211" s="52" t="s">
        <v>804</v>
      </c>
      <c r="BK1211" s="52">
        <v>1995</v>
      </c>
      <c r="BL1211" s="46" t="str">
        <f>BK1211&amp;BI1211</f>
        <v>1995Tottenham Hotspur</v>
      </c>
      <c r="BM1211" s="52" t="str">
        <f>IF(AD1211="Home",BI1211,IF(AD1211="Away",BJ1211,Q1211))</f>
        <v>Leeds</v>
      </c>
      <c r="BN1211" s="52"/>
      <c r="BO1211" s="52"/>
      <c r="BP1211" s="52"/>
      <c r="BQ1211" s="52"/>
      <c r="BR1211" s="52"/>
      <c r="BS1211" s="52"/>
      <c r="BT1211" s="52"/>
      <c r="BU1211" s="52"/>
      <c r="BV1211" s="52" t="s">
        <v>376</v>
      </c>
      <c r="BW1211" s="52" t="s">
        <v>376</v>
      </c>
      <c r="BX1211" s="52"/>
      <c r="BY1211" s="52"/>
      <c r="BZ1211" s="53"/>
      <c r="CA1211" s="53"/>
      <c r="CB1211" s="93" t="str">
        <f>IF(OR(C1211="",A1211="",B1211=""),"",TEXT(C1211,"0000")&amp;TEXT(A1211,"00")&amp;TEXT(B1211,"00"))</f>
        <v>19950409</v>
      </c>
    </row>
    <row r="1212" spans="1:80" s="50" customFormat="1" ht="12.95" customHeight="1" x14ac:dyDescent="0.2">
      <c r="A1212" s="46">
        <v>4</v>
      </c>
      <c r="B1212" s="46">
        <v>9</v>
      </c>
      <c r="C1212" s="46">
        <v>1995</v>
      </c>
      <c r="D1212" s="52" t="s">
        <v>658</v>
      </c>
      <c r="E1212" s="52" t="s">
        <v>407</v>
      </c>
      <c r="F1212" s="52" t="s">
        <v>1010</v>
      </c>
      <c r="G1212" s="52"/>
      <c r="H1212" s="52" t="s">
        <v>1011</v>
      </c>
      <c r="I1212" s="52"/>
      <c r="J1212" s="56">
        <v>34798</v>
      </c>
      <c r="K1212" s="52" t="s">
        <v>821</v>
      </c>
      <c r="L1212" s="52" t="s">
        <v>1014</v>
      </c>
      <c r="M1212" s="52" t="s">
        <v>798</v>
      </c>
      <c r="N1212" s="57">
        <v>2</v>
      </c>
      <c r="O1212" s="57">
        <v>2</v>
      </c>
      <c r="P1212" s="52" t="s">
        <v>1219</v>
      </c>
      <c r="Q1212" s="52" t="s">
        <v>1111</v>
      </c>
      <c r="R1212" s="52" t="s">
        <v>376</v>
      </c>
      <c r="S1212" s="52" t="s">
        <v>1023</v>
      </c>
      <c r="T1212" s="52"/>
      <c r="U1212" s="52"/>
      <c r="V1212" s="52"/>
      <c r="W1212" s="52"/>
      <c r="X1212" s="52"/>
      <c r="Y1212" s="52"/>
      <c r="Z1212" s="57"/>
      <c r="AA1212" s="52"/>
      <c r="AB1212" s="52"/>
      <c r="AC1212" s="52"/>
      <c r="AD1212" s="52"/>
      <c r="AE1212" s="50">
        <f>IF(L1212="W",1,0)</f>
        <v>0</v>
      </c>
      <c r="AF1212" s="50">
        <f>IF(L1212="T",1,0)</f>
        <v>1</v>
      </c>
      <c r="AG1212" s="50">
        <f>IF(L1212="L",1,0)</f>
        <v>0</v>
      </c>
      <c r="AH1212" s="52" t="s">
        <v>1101</v>
      </c>
      <c r="AI1212" s="52" t="s">
        <v>1159</v>
      </c>
      <c r="AJ1212" s="52" t="s">
        <v>376</v>
      </c>
      <c r="AK1212" s="50" t="s">
        <v>658</v>
      </c>
      <c r="AL1212" s="52" t="s">
        <v>1017</v>
      </c>
      <c r="AM1212" s="52" t="s">
        <v>1018</v>
      </c>
      <c r="AN1212" s="52" t="s">
        <v>376</v>
      </c>
      <c r="AO1212" s="50" t="s">
        <v>658</v>
      </c>
      <c r="AP1212" s="52"/>
      <c r="AQ1212" s="52">
        <v>2</v>
      </c>
      <c r="AR1212" s="52"/>
      <c r="AS1212" s="52"/>
      <c r="AT1212" s="46"/>
      <c r="AU1212" s="52" t="s">
        <v>376</v>
      </c>
      <c r="AV1212" s="52"/>
      <c r="AW1212" s="52" t="s">
        <v>30</v>
      </c>
      <c r="AX1212" s="52"/>
      <c r="AY1212" s="52" t="s">
        <v>30</v>
      </c>
      <c r="AZ1212" s="52"/>
      <c r="BA1212" s="52"/>
      <c r="BB1212" s="60"/>
      <c r="BC1212" s="52"/>
      <c r="BD1212" s="60"/>
      <c r="BE1212" s="60"/>
      <c r="BF1212" s="35">
        <v>1</v>
      </c>
      <c r="BG1212" s="52">
        <v>1</v>
      </c>
      <c r="BH1212" s="52"/>
      <c r="BI1212" s="52" t="s">
        <v>821</v>
      </c>
      <c r="BJ1212" s="52" t="s">
        <v>798</v>
      </c>
      <c r="BK1212" s="52">
        <v>1995</v>
      </c>
      <c r="BL1212" s="46" t="str">
        <f>BK1212&amp;BI1212</f>
        <v>1995Manchester United</v>
      </c>
      <c r="BM1212" s="52" t="str">
        <f>IF(AD1212="Home",BI1212,IF(AD1212="Away",BJ1212,Q1212))</f>
        <v>Birmingham</v>
      </c>
      <c r="BN1212" s="52"/>
      <c r="BO1212" s="52"/>
      <c r="BP1212" s="52"/>
      <c r="BQ1212" s="52"/>
      <c r="BR1212" s="52"/>
      <c r="BS1212" s="52"/>
      <c r="BT1212" s="52"/>
      <c r="BU1212" s="52"/>
      <c r="BV1212" s="52" t="s">
        <v>376</v>
      </c>
      <c r="BW1212" s="52" t="s">
        <v>376</v>
      </c>
      <c r="BX1212" s="52"/>
      <c r="BY1212" s="52"/>
      <c r="BZ1212" s="53"/>
      <c r="CA1212" s="53"/>
      <c r="CB1212" s="93" t="str">
        <f>IF(OR(C1212="",A1212="",B1212=""),"",TEXT(C1212,"0000")&amp;TEXT(A1212,"00")&amp;TEXT(B1212,"00"))</f>
        <v>19950409</v>
      </c>
    </row>
    <row r="1213" spans="1:80" s="50" customFormat="1" ht="12.95" customHeight="1" x14ac:dyDescent="0.2">
      <c r="A1213" s="46">
        <v>4</v>
      </c>
      <c r="B1213" s="46">
        <v>9</v>
      </c>
      <c r="C1213" s="46">
        <v>1995</v>
      </c>
      <c r="D1213" s="52" t="s">
        <v>658</v>
      </c>
      <c r="E1213" s="52" t="s">
        <v>407</v>
      </c>
      <c r="F1213" s="52" t="s">
        <v>1010</v>
      </c>
      <c r="G1213" s="52"/>
      <c r="H1213" s="52" t="s">
        <v>1011</v>
      </c>
      <c r="I1213" s="52"/>
      <c r="J1213" s="56">
        <v>34798</v>
      </c>
      <c r="K1213" s="52" t="s">
        <v>798</v>
      </c>
      <c r="L1213" s="52" t="s">
        <v>1014</v>
      </c>
      <c r="M1213" s="52" t="s">
        <v>821</v>
      </c>
      <c r="N1213" s="57">
        <v>2</v>
      </c>
      <c r="O1213" s="57">
        <v>2</v>
      </c>
      <c r="P1213" s="52" t="s">
        <v>1219</v>
      </c>
      <c r="Q1213" s="52" t="s">
        <v>1111</v>
      </c>
      <c r="R1213" s="52" t="s">
        <v>376</v>
      </c>
      <c r="S1213" s="52" t="s">
        <v>1023</v>
      </c>
      <c r="T1213" s="52"/>
      <c r="U1213" s="52"/>
      <c r="V1213" s="52"/>
      <c r="W1213" s="52"/>
      <c r="X1213" s="52"/>
      <c r="Y1213" s="52"/>
      <c r="Z1213" s="57"/>
      <c r="AA1213" s="52"/>
      <c r="AB1213" s="52"/>
      <c r="AC1213" s="52"/>
      <c r="AD1213" s="52"/>
      <c r="AE1213" s="50">
        <f>IF(L1213="W",1,0)</f>
        <v>0</v>
      </c>
      <c r="AF1213" s="50">
        <f>IF(L1213="T",1,0)</f>
        <v>1</v>
      </c>
      <c r="AG1213" s="50">
        <f>IF(L1213="L",1,0)</f>
        <v>0</v>
      </c>
      <c r="AH1213" s="52" t="s">
        <v>1017</v>
      </c>
      <c r="AI1213" s="52" t="s">
        <v>1018</v>
      </c>
      <c r="AJ1213" s="52" t="s">
        <v>376</v>
      </c>
      <c r="AK1213" s="50" t="s">
        <v>658</v>
      </c>
      <c r="AL1213" s="52" t="s">
        <v>1101</v>
      </c>
      <c r="AM1213" s="52" t="s">
        <v>1159</v>
      </c>
      <c r="AN1213" s="52" t="s">
        <v>376</v>
      </c>
      <c r="AO1213" s="50" t="s">
        <v>658</v>
      </c>
      <c r="AP1213" s="52"/>
      <c r="AQ1213" s="52">
        <v>2</v>
      </c>
      <c r="AR1213" s="52"/>
      <c r="AS1213" s="52"/>
      <c r="AT1213" s="46"/>
      <c r="AU1213" s="52" t="s">
        <v>376</v>
      </c>
      <c r="AV1213" s="52"/>
      <c r="AW1213" s="52" t="s">
        <v>30</v>
      </c>
      <c r="AX1213" s="52"/>
      <c r="AY1213" s="52" t="s">
        <v>30</v>
      </c>
      <c r="AZ1213" s="52"/>
      <c r="BA1213" s="52"/>
      <c r="BB1213" s="60"/>
      <c r="BC1213" s="52"/>
      <c r="BD1213" s="60"/>
      <c r="BE1213" s="60"/>
      <c r="BF1213" s="35">
        <v>1</v>
      </c>
      <c r="BG1213" s="52">
        <v>1</v>
      </c>
      <c r="BH1213" s="52"/>
      <c r="BI1213" s="52" t="s">
        <v>798</v>
      </c>
      <c r="BJ1213" s="52" t="s">
        <v>821</v>
      </c>
      <c r="BK1213" s="52">
        <v>1995</v>
      </c>
      <c r="BL1213" s="46" t="str">
        <f>BK1213&amp;BI1213</f>
        <v>1995Crystal Palace</v>
      </c>
      <c r="BM1213" s="52" t="str">
        <f>IF(AD1213="Home",BI1213,IF(AD1213="Away",BJ1213,Q1213))</f>
        <v>Birmingham</v>
      </c>
      <c r="BN1213" s="52"/>
      <c r="BO1213" s="52"/>
      <c r="BP1213" s="52"/>
      <c r="BQ1213" s="52"/>
      <c r="BR1213" s="52"/>
      <c r="BS1213" s="52"/>
      <c r="BT1213" s="52"/>
      <c r="BU1213" s="52"/>
      <c r="BV1213" s="52" t="s">
        <v>376</v>
      </c>
      <c r="BW1213" s="52" t="s">
        <v>376</v>
      </c>
      <c r="BX1213" s="52"/>
      <c r="BY1213" s="52"/>
      <c r="BZ1213" s="53"/>
      <c r="CA1213" s="53"/>
      <c r="CB1213" s="93" t="str">
        <f>IF(OR(C1213="",A1213="",B1213=""),"",TEXT(C1213,"0000")&amp;TEXT(A1213,"00")&amp;TEXT(B1213,"00"))</f>
        <v>19950409</v>
      </c>
    </row>
    <row r="1214" spans="1:80" s="50" customFormat="1" ht="12.95" customHeight="1" x14ac:dyDescent="0.2">
      <c r="A1214" s="46">
        <v>4</v>
      </c>
      <c r="B1214" s="46">
        <v>12</v>
      </c>
      <c r="C1214" s="46">
        <v>1995</v>
      </c>
      <c r="D1214" s="52" t="s">
        <v>658</v>
      </c>
      <c r="E1214" s="52" t="s">
        <v>407</v>
      </c>
      <c r="F1214" s="52" t="s">
        <v>1010</v>
      </c>
      <c r="G1214" s="52"/>
      <c r="H1214" s="52" t="s">
        <v>1011</v>
      </c>
      <c r="I1214" s="52" t="s">
        <v>1023</v>
      </c>
      <c r="J1214" s="56">
        <v>34801</v>
      </c>
      <c r="K1214" s="52" t="s">
        <v>821</v>
      </c>
      <c r="L1214" s="52" t="s">
        <v>3</v>
      </c>
      <c r="M1214" s="52" t="s">
        <v>798</v>
      </c>
      <c r="N1214" s="57">
        <v>2</v>
      </c>
      <c r="O1214" s="57">
        <v>0</v>
      </c>
      <c r="P1214" s="52" t="s">
        <v>1219</v>
      </c>
      <c r="Q1214" s="52" t="s">
        <v>1111</v>
      </c>
      <c r="R1214" s="52" t="s">
        <v>376</v>
      </c>
      <c r="S1214" s="52"/>
      <c r="T1214" s="52"/>
      <c r="U1214" s="52"/>
      <c r="V1214" s="52"/>
      <c r="W1214" s="52"/>
      <c r="X1214" s="52"/>
      <c r="Y1214" s="52"/>
      <c r="Z1214" s="57"/>
      <c r="AA1214" s="52"/>
      <c r="AB1214" s="52"/>
      <c r="AC1214" s="52"/>
      <c r="AD1214" s="52"/>
      <c r="AE1214" s="50">
        <f>IF(L1214="W",1,0)</f>
        <v>1</v>
      </c>
      <c r="AF1214" s="50">
        <f>IF(L1214="T",1,0)</f>
        <v>0</v>
      </c>
      <c r="AG1214" s="50">
        <f>IF(L1214="L",1,0)</f>
        <v>0</v>
      </c>
      <c r="AH1214" s="52" t="s">
        <v>1101</v>
      </c>
      <c r="AI1214" s="52" t="s">
        <v>1159</v>
      </c>
      <c r="AJ1214" s="52" t="s">
        <v>376</v>
      </c>
      <c r="AK1214" s="50" t="s">
        <v>658</v>
      </c>
      <c r="AL1214" s="52" t="s">
        <v>1017</v>
      </c>
      <c r="AM1214" s="52" t="s">
        <v>1018</v>
      </c>
      <c r="AN1214" s="52" t="s">
        <v>376</v>
      </c>
      <c r="AO1214" s="50" t="s">
        <v>658</v>
      </c>
      <c r="AP1214" s="52"/>
      <c r="AQ1214" s="52">
        <v>2</v>
      </c>
      <c r="AR1214" s="52"/>
      <c r="AS1214" s="52"/>
      <c r="AT1214" s="46"/>
      <c r="AU1214" s="52" t="s">
        <v>376</v>
      </c>
      <c r="AV1214" s="52"/>
      <c r="AW1214" s="52" t="s">
        <v>30</v>
      </c>
      <c r="AX1214" s="52"/>
      <c r="AY1214" s="52" t="s">
        <v>30</v>
      </c>
      <c r="AZ1214" s="52"/>
      <c r="BA1214" s="52"/>
      <c r="BB1214" s="60"/>
      <c r="BC1214" s="52"/>
      <c r="BD1214" s="60"/>
      <c r="BE1214" s="60"/>
      <c r="BF1214" s="35">
        <v>1</v>
      </c>
      <c r="BG1214" s="52">
        <v>1</v>
      </c>
      <c r="BH1214" s="52"/>
      <c r="BI1214" s="52" t="s">
        <v>821</v>
      </c>
      <c r="BJ1214" s="52" t="s">
        <v>798</v>
      </c>
      <c r="BK1214" s="52">
        <v>1995</v>
      </c>
      <c r="BL1214" s="46" t="str">
        <f>BK1214&amp;BI1214</f>
        <v>1995Manchester United</v>
      </c>
      <c r="BM1214" s="52" t="str">
        <f>IF(AD1214="Home",BI1214,IF(AD1214="Away",BJ1214,Q1214))</f>
        <v>Birmingham</v>
      </c>
      <c r="BN1214" s="52"/>
      <c r="BO1214" s="52"/>
      <c r="BP1214" s="52"/>
      <c r="BQ1214" s="52"/>
      <c r="BR1214" s="52"/>
      <c r="BS1214" s="52"/>
      <c r="BT1214" s="52"/>
      <c r="BU1214" s="52"/>
      <c r="BV1214" s="52" t="s">
        <v>376</v>
      </c>
      <c r="BW1214" s="52" t="s">
        <v>376</v>
      </c>
      <c r="BX1214" s="52"/>
      <c r="BY1214" s="52"/>
      <c r="BZ1214" s="53"/>
      <c r="CA1214" s="53"/>
      <c r="CB1214" s="93" t="str">
        <f>IF(OR(C1214="",A1214="",B1214=""),"",TEXT(C1214,"0000")&amp;TEXT(A1214,"00")&amp;TEXT(B1214,"00"))</f>
        <v>19950412</v>
      </c>
    </row>
    <row r="1215" spans="1:80" s="50" customFormat="1" ht="12.95" customHeight="1" x14ac:dyDescent="0.2">
      <c r="A1215" s="46">
        <v>4</v>
      </c>
      <c r="B1215" s="46">
        <v>12</v>
      </c>
      <c r="C1215" s="46">
        <v>1995</v>
      </c>
      <c r="D1215" s="52" t="s">
        <v>658</v>
      </c>
      <c r="E1215" s="52" t="s">
        <v>407</v>
      </c>
      <c r="F1215" s="52" t="s">
        <v>1010</v>
      </c>
      <c r="G1215" s="52"/>
      <c r="H1215" s="52" t="s">
        <v>1011</v>
      </c>
      <c r="I1215" s="52" t="s">
        <v>1023</v>
      </c>
      <c r="J1215" s="56">
        <v>34801</v>
      </c>
      <c r="K1215" s="52" t="s">
        <v>798</v>
      </c>
      <c r="L1215" s="52" t="s">
        <v>4</v>
      </c>
      <c r="M1215" s="52" t="s">
        <v>821</v>
      </c>
      <c r="N1215" s="57">
        <v>0</v>
      </c>
      <c r="O1215" s="57">
        <v>2</v>
      </c>
      <c r="P1215" s="52" t="s">
        <v>1219</v>
      </c>
      <c r="Q1215" s="52" t="s">
        <v>1111</v>
      </c>
      <c r="R1215" s="52" t="s">
        <v>376</v>
      </c>
      <c r="S1215" s="52"/>
      <c r="T1215" s="52"/>
      <c r="U1215" s="52"/>
      <c r="V1215" s="52"/>
      <c r="W1215" s="52"/>
      <c r="X1215" s="52"/>
      <c r="Y1215" s="52"/>
      <c r="Z1215" s="57"/>
      <c r="AA1215" s="52"/>
      <c r="AB1215" s="52"/>
      <c r="AC1215" s="52"/>
      <c r="AD1215" s="52"/>
      <c r="AE1215" s="50">
        <f>IF(L1215="W",1,0)</f>
        <v>0</v>
      </c>
      <c r="AF1215" s="50">
        <f>IF(L1215="T",1,0)</f>
        <v>0</v>
      </c>
      <c r="AG1215" s="50">
        <f>IF(L1215="L",1,0)</f>
        <v>1</v>
      </c>
      <c r="AH1215" s="52" t="s">
        <v>1017</v>
      </c>
      <c r="AI1215" s="52" t="s">
        <v>1018</v>
      </c>
      <c r="AJ1215" s="52" t="s">
        <v>376</v>
      </c>
      <c r="AK1215" s="50" t="s">
        <v>658</v>
      </c>
      <c r="AL1215" s="52" t="s">
        <v>1101</v>
      </c>
      <c r="AM1215" s="52" t="s">
        <v>1159</v>
      </c>
      <c r="AN1215" s="52" t="s">
        <v>376</v>
      </c>
      <c r="AO1215" s="50" t="s">
        <v>658</v>
      </c>
      <c r="AP1215" s="52"/>
      <c r="AQ1215" s="52">
        <v>2</v>
      </c>
      <c r="AR1215" s="52"/>
      <c r="AS1215" s="52">
        <v>1</v>
      </c>
      <c r="AT1215" s="46"/>
      <c r="AU1215" s="52" t="s">
        <v>376</v>
      </c>
      <c r="AV1215" s="52"/>
      <c r="AW1215" s="52" t="s">
        <v>30</v>
      </c>
      <c r="AX1215" s="52"/>
      <c r="AY1215" s="52" t="s">
        <v>30</v>
      </c>
      <c r="AZ1215" s="52"/>
      <c r="BA1215" s="52"/>
      <c r="BB1215" s="60"/>
      <c r="BC1215" s="52"/>
      <c r="BD1215" s="60"/>
      <c r="BE1215" s="60"/>
      <c r="BF1215" s="35">
        <v>1</v>
      </c>
      <c r="BG1215" s="52">
        <v>1</v>
      </c>
      <c r="BH1215" s="52"/>
      <c r="BI1215" s="52" t="s">
        <v>798</v>
      </c>
      <c r="BJ1215" s="52" t="s">
        <v>821</v>
      </c>
      <c r="BK1215" s="52">
        <v>1995</v>
      </c>
      <c r="BL1215" s="46" t="str">
        <f>BK1215&amp;BI1215</f>
        <v>1995Crystal Palace</v>
      </c>
      <c r="BM1215" s="52" t="str">
        <f>IF(AD1215="Home",BI1215,IF(AD1215="Away",BJ1215,Q1215))</f>
        <v>Birmingham</v>
      </c>
      <c r="BN1215" s="52"/>
      <c r="BO1215" s="52"/>
      <c r="BP1215" s="52"/>
      <c r="BQ1215" s="52"/>
      <c r="BR1215" s="52"/>
      <c r="BS1215" s="52"/>
      <c r="BT1215" s="52"/>
      <c r="BU1215" s="52"/>
      <c r="BV1215" s="52" t="s">
        <v>376</v>
      </c>
      <c r="BW1215" s="52" t="s">
        <v>376</v>
      </c>
      <c r="BX1215" s="52"/>
      <c r="BY1215" s="52"/>
      <c r="BZ1215" s="53"/>
      <c r="CA1215" s="53"/>
      <c r="CB1215" s="93" t="str">
        <f>IF(OR(C1215="",A1215="",B1215=""),"",TEXT(C1215,"0000")&amp;TEXT(A1215,"00")&amp;TEXT(B1215,"00"))</f>
        <v>19950412</v>
      </c>
    </row>
    <row r="1216" spans="1:80" s="50" customFormat="1" ht="12.95" customHeight="1" x14ac:dyDescent="0.2">
      <c r="A1216" s="46">
        <v>5</v>
      </c>
      <c r="B1216" s="46">
        <v>20</v>
      </c>
      <c r="C1216" s="46">
        <v>1995</v>
      </c>
      <c r="D1216" s="52" t="s">
        <v>658</v>
      </c>
      <c r="E1216" s="52" t="s">
        <v>407</v>
      </c>
      <c r="F1216" s="52" t="s">
        <v>1010</v>
      </c>
      <c r="G1216" s="52"/>
      <c r="H1216" s="52" t="s">
        <v>40</v>
      </c>
      <c r="I1216" s="52"/>
      <c r="J1216" s="56">
        <v>34839</v>
      </c>
      <c r="K1216" s="52" t="s">
        <v>804</v>
      </c>
      <c r="L1216" s="52" t="s">
        <v>3</v>
      </c>
      <c r="M1216" s="52" t="s">
        <v>821</v>
      </c>
      <c r="N1216" s="57">
        <v>1</v>
      </c>
      <c r="O1216" s="57">
        <v>0</v>
      </c>
      <c r="P1216" s="52" t="s">
        <v>1268</v>
      </c>
      <c r="Q1216" s="52" t="s">
        <v>1017</v>
      </c>
      <c r="R1216" s="52" t="s">
        <v>376</v>
      </c>
      <c r="S1216" s="52"/>
      <c r="T1216" s="52"/>
      <c r="U1216" s="52"/>
      <c r="V1216" s="52"/>
      <c r="W1216" s="52"/>
      <c r="X1216" s="52"/>
      <c r="Y1216" s="52"/>
      <c r="Z1216" s="57"/>
      <c r="AA1216" s="52"/>
      <c r="AB1216" s="52"/>
      <c r="AC1216" s="52"/>
      <c r="AD1216" s="52"/>
      <c r="AE1216" s="50">
        <f>IF(L1216="W",1,0)</f>
        <v>1</v>
      </c>
      <c r="AF1216" s="50">
        <f>IF(L1216="T",1,0)</f>
        <v>0</v>
      </c>
      <c r="AG1216" s="50">
        <f>IF(L1216="L",1,0)</f>
        <v>0</v>
      </c>
      <c r="AH1216" s="52" t="s">
        <v>588</v>
      </c>
      <c r="AI1216" s="52" t="s">
        <v>1175</v>
      </c>
      <c r="AJ1216" s="52" t="s">
        <v>376</v>
      </c>
      <c r="AK1216" s="50" t="s">
        <v>658</v>
      </c>
      <c r="AL1216" s="52" t="s">
        <v>1101</v>
      </c>
      <c r="AM1216" s="52" t="s">
        <v>1159</v>
      </c>
      <c r="AN1216" s="52" t="s">
        <v>376</v>
      </c>
      <c r="AO1216" s="50" t="s">
        <v>658</v>
      </c>
      <c r="AP1216" s="52"/>
      <c r="AQ1216" s="52">
        <v>1</v>
      </c>
      <c r="AR1216" s="52"/>
      <c r="AS1216" s="52" t="s">
        <v>1393</v>
      </c>
      <c r="AT1216" s="46"/>
      <c r="AU1216" s="52" t="s">
        <v>376</v>
      </c>
      <c r="AV1216" s="52"/>
      <c r="AW1216" s="52" t="s">
        <v>30</v>
      </c>
      <c r="AX1216" s="52"/>
      <c r="AY1216" s="57" t="s">
        <v>30</v>
      </c>
      <c r="AZ1216" s="52"/>
      <c r="BA1216" s="52"/>
      <c r="BB1216" s="60" t="s">
        <v>30</v>
      </c>
      <c r="BC1216" s="52" t="s">
        <v>30</v>
      </c>
      <c r="BD1216" s="60"/>
      <c r="BE1216" s="60" t="s">
        <v>1397</v>
      </c>
      <c r="BF1216" s="35">
        <v>1</v>
      </c>
      <c r="BG1216" s="52">
        <v>1</v>
      </c>
      <c r="BH1216" s="52"/>
      <c r="BI1216" s="52" t="s">
        <v>804</v>
      </c>
      <c r="BJ1216" s="52" t="s">
        <v>821</v>
      </c>
      <c r="BK1216" s="52">
        <v>1995</v>
      </c>
      <c r="BL1216" s="46" t="str">
        <f>BK1216&amp;BI1216</f>
        <v>1995Everton</v>
      </c>
      <c r="BM1216" s="52" t="str">
        <f>IF(AD1216="Home",BI1216,IF(AD1216="Away",BJ1216,Q1216))</f>
        <v>London</v>
      </c>
      <c r="BN1216" s="52"/>
      <c r="BO1216" s="52"/>
      <c r="BP1216" s="52"/>
      <c r="BQ1216" s="52"/>
      <c r="BR1216" s="52"/>
      <c r="BS1216" s="52"/>
      <c r="BT1216" s="52"/>
      <c r="BU1216" s="52"/>
      <c r="BV1216" s="52" t="s">
        <v>376</v>
      </c>
      <c r="BW1216" s="52" t="s">
        <v>376</v>
      </c>
      <c r="BX1216" s="52"/>
      <c r="BY1216" s="52"/>
      <c r="BZ1216" s="53"/>
      <c r="CA1216" s="53"/>
      <c r="CB1216" s="93" t="str">
        <f>IF(OR(C1216="",A1216="",B1216=""),"",TEXT(C1216,"0000")&amp;TEXT(A1216,"00")&amp;TEXT(B1216,"00"))</f>
        <v>19950520</v>
      </c>
    </row>
    <row r="1217" spans="1:80" s="50" customFormat="1" ht="12.95" customHeight="1" x14ac:dyDescent="0.2">
      <c r="A1217" s="46">
        <v>5</v>
      </c>
      <c r="B1217" s="46">
        <v>20</v>
      </c>
      <c r="C1217" s="46">
        <v>1995</v>
      </c>
      <c r="D1217" s="52" t="s">
        <v>658</v>
      </c>
      <c r="E1217" s="52" t="s">
        <v>407</v>
      </c>
      <c r="F1217" s="52" t="s">
        <v>1010</v>
      </c>
      <c r="G1217" s="52"/>
      <c r="H1217" s="52" t="s">
        <v>40</v>
      </c>
      <c r="I1217" s="52"/>
      <c r="J1217" s="56">
        <v>34839</v>
      </c>
      <c r="K1217" s="52" t="s">
        <v>821</v>
      </c>
      <c r="L1217" s="52" t="s">
        <v>4</v>
      </c>
      <c r="M1217" s="52" t="s">
        <v>804</v>
      </c>
      <c r="N1217" s="57">
        <v>0</v>
      </c>
      <c r="O1217" s="57">
        <v>1</v>
      </c>
      <c r="P1217" s="52" t="s">
        <v>1268</v>
      </c>
      <c r="Q1217" s="52" t="s">
        <v>1017</v>
      </c>
      <c r="R1217" s="52" t="s">
        <v>376</v>
      </c>
      <c r="S1217" s="52"/>
      <c r="T1217" s="52"/>
      <c r="U1217" s="52"/>
      <c r="V1217" s="52"/>
      <c r="W1217" s="52"/>
      <c r="X1217" s="52"/>
      <c r="Y1217" s="52"/>
      <c r="Z1217" s="57"/>
      <c r="AA1217" s="52"/>
      <c r="AB1217" s="52"/>
      <c r="AC1217" s="52"/>
      <c r="AD1217" s="52"/>
      <c r="AE1217" s="50">
        <f>IF(L1217="W",1,0)</f>
        <v>0</v>
      </c>
      <c r="AF1217" s="50">
        <f>IF(L1217="T",1,0)</f>
        <v>0</v>
      </c>
      <c r="AG1217" s="50">
        <f>IF(L1217="L",1,0)</f>
        <v>1</v>
      </c>
      <c r="AH1217" s="52" t="s">
        <v>1101</v>
      </c>
      <c r="AI1217" s="52" t="s">
        <v>1159</v>
      </c>
      <c r="AJ1217" s="52" t="s">
        <v>376</v>
      </c>
      <c r="AK1217" s="50" t="s">
        <v>658</v>
      </c>
      <c r="AL1217" s="52" t="s">
        <v>588</v>
      </c>
      <c r="AM1217" s="52" t="s">
        <v>1175</v>
      </c>
      <c r="AN1217" s="52" t="s">
        <v>376</v>
      </c>
      <c r="AO1217" s="50" t="s">
        <v>658</v>
      </c>
      <c r="AP1217" s="52"/>
      <c r="AQ1217" s="52">
        <v>1</v>
      </c>
      <c r="AR1217" s="52"/>
      <c r="AS1217" s="52">
        <v>1</v>
      </c>
      <c r="AT1217" s="46"/>
      <c r="AU1217" s="52" t="s">
        <v>376</v>
      </c>
      <c r="AV1217" s="52"/>
      <c r="AW1217" s="52" t="s">
        <v>30</v>
      </c>
      <c r="AX1217" s="52"/>
      <c r="AY1217" s="52" t="s">
        <v>30</v>
      </c>
      <c r="AZ1217" s="52"/>
      <c r="BA1217" s="52"/>
      <c r="BB1217" s="60"/>
      <c r="BC1217" s="52" t="s">
        <v>30</v>
      </c>
      <c r="BD1217" s="60"/>
      <c r="BE1217" s="60"/>
      <c r="BF1217" s="35">
        <v>1</v>
      </c>
      <c r="BG1217" s="52">
        <v>1</v>
      </c>
      <c r="BH1217" s="52"/>
      <c r="BI1217" s="52" t="s">
        <v>821</v>
      </c>
      <c r="BJ1217" s="52" t="s">
        <v>804</v>
      </c>
      <c r="BK1217" s="52">
        <v>1995</v>
      </c>
      <c r="BL1217" s="46" t="str">
        <f>BK1217&amp;BI1217</f>
        <v>1995Manchester United</v>
      </c>
      <c r="BM1217" s="52" t="str">
        <f>IF(AD1217="Home",BI1217,IF(AD1217="Away",BJ1217,Q1217))</f>
        <v>London</v>
      </c>
      <c r="BN1217" s="52"/>
      <c r="BO1217" s="52"/>
      <c r="BP1217" s="52"/>
      <c r="BQ1217" s="52"/>
      <c r="BR1217" s="52"/>
      <c r="BS1217" s="52"/>
      <c r="BT1217" s="52"/>
      <c r="BU1217" s="52"/>
      <c r="BV1217" s="52" t="s">
        <v>376</v>
      </c>
      <c r="BW1217" s="52" t="s">
        <v>376</v>
      </c>
      <c r="BX1217" s="52"/>
      <c r="BY1217" s="52"/>
      <c r="BZ1217" s="53"/>
      <c r="CA1217" s="53"/>
      <c r="CB1217" s="93" t="str">
        <f>IF(OR(C1217="",A1217="",B1217=""),"",TEXT(C1217,"0000")&amp;TEXT(A1217,"00")&amp;TEXT(B1217,"00"))</f>
        <v>19950520</v>
      </c>
    </row>
    <row r="1218" spans="1:80" s="50" customFormat="1" ht="12.95" customHeight="1" x14ac:dyDescent="0.2">
      <c r="A1218" s="46">
        <v>2</v>
      </c>
      <c r="B1218" s="46">
        <v>11</v>
      </c>
      <c r="C1218" s="46">
        <v>1996</v>
      </c>
      <c r="D1218" s="46" t="s">
        <v>658</v>
      </c>
      <c r="E1218" s="46" t="s">
        <v>358</v>
      </c>
      <c r="F1218" s="54" t="s">
        <v>1327</v>
      </c>
      <c r="G1218" s="46"/>
      <c r="H1218" s="54" t="s">
        <v>1011</v>
      </c>
      <c r="I1218" s="54">
        <v>1</v>
      </c>
      <c r="J1218" s="55">
        <v>35106</v>
      </c>
      <c r="K1218" s="46" t="s">
        <v>1125</v>
      </c>
      <c r="L1218" s="46" t="s">
        <v>4</v>
      </c>
      <c r="M1218" s="46" t="s">
        <v>794</v>
      </c>
      <c r="N1218" s="49">
        <v>1</v>
      </c>
      <c r="O1218" s="49">
        <v>2</v>
      </c>
      <c r="P1218" s="54" t="s">
        <v>1232</v>
      </c>
      <c r="Q1218" s="54" t="s">
        <v>1111</v>
      </c>
      <c r="R1218" s="54" t="s">
        <v>376</v>
      </c>
      <c r="S1218" s="46"/>
      <c r="T1218" s="46"/>
      <c r="U1218" s="46"/>
      <c r="V1218" s="46"/>
      <c r="W1218" s="46"/>
      <c r="X1218" s="46"/>
      <c r="Y1218" s="46"/>
      <c r="Z1218" s="46"/>
      <c r="AA1218" s="46"/>
      <c r="AB1218" s="46"/>
      <c r="AC1218" s="46"/>
      <c r="AD1218" s="46" t="s">
        <v>1033</v>
      </c>
      <c r="AE1218" s="50">
        <f>IF(L1218="W",1,0)</f>
        <v>0</v>
      </c>
      <c r="AF1218" s="50">
        <f>IF(L1218="T",1,0)</f>
        <v>0</v>
      </c>
      <c r="AG1218" s="50">
        <f>IF(L1218="L",1,0)</f>
        <v>1</v>
      </c>
      <c r="AH1218" s="46" t="s">
        <v>1111</v>
      </c>
      <c r="AI1218" s="46" t="s">
        <v>1126</v>
      </c>
      <c r="AJ1218" s="46" t="s">
        <v>376</v>
      </c>
      <c r="AK1218" s="46" t="s">
        <v>658</v>
      </c>
      <c r="AL1218" s="46" t="s">
        <v>1241</v>
      </c>
      <c r="AM1218" s="46" t="s">
        <v>1260</v>
      </c>
      <c r="AN1218" s="46" t="s">
        <v>376</v>
      </c>
      <c r="AO1218" s="46" t="s">
        <v>658</v>
      </c>
      <c r="AP1218" s="46"/>
      <c r="AQ1218" s="46">
        <v>2</v>
      </c>
      <c r="AR1218" s="46"/>
      <c r="AS1218" s="46"/>
      <c r="AT1218" s="46"/>
      <c r="AU1218" s="46" t="s">
        <v>376</v>
      </c>
      <c r="AV1218" s="46"/>
      <c r="AW1218" s="46" t="s">
        <v>30</v>
      </c>
      <c r="AX1218" s="46"/>
      <c r="AY1218" s="46"/>
      <c r="AZ1218" s="46" t="s">
        <v>30</v>
      </c>
      <c r="BA1218" s="54"/>
      <c r="BB1218" s="51"/>
      <c r="BC1218" s="46"/>
      <c r="BD1218" s="46"/>
      <c r="BE1218" s="46"/>
      <c r="BF1218" s="46">
        <v>1</v>
      </c>
      <c r="BG1218" s="46">
        <v>2</v>
      </c>
      <c r="BH1218" s="46">
        <v>1</v>
      </c>
      <c r="BI1218" s="46" t="s">
        <v>1125</v>
      </c>
      <c r="BJ1218" s="46" t="s">
        <v>794</v>
      </c>
      <c r="BK1218" s="46">
        <v>1996</v>
      </c>
      <c r="BL1218" s="46" t="str">
        <f>BK1218&amp;BI1218</f>
        <v>1996Birmingham City</v>
      </c>
      <c r="BM1218" s="52" t="str">
        <f>IF(AD1218="Home",BI1218,IF(AD1218="Away",BJ1218,Q1218))</f>
        <v>Birmingham City</v>
      </c>
      <c r="BN1218" s="46"/>
      <c r="BO1218" s="46"/>
      <c r="BP1218" s="46"/>
      <c r="BQ1218" s="46"/>
      <c r="BR1218" s="46"/>
      <c r="BS1218" s="46"/>
      <c r="BT1218" s="46"/>
      <c r="BU1218" s="46"/>
      <c r="BV1218" s="46" t="s">
        <v>376</v>
      </c>
      <c r="BW1218" s="46" t="s">
        <v>376</v>
      </c>
      <c r="BX1218" s="46"/>
      <c r="BY1218" s="52"/>
      <c r="BZ1218" s="53"/>
      <c r="CA1218" s="53"/>
      <c r="CB1218" s="93" t="str">
        <f>IF(OR(C1218="",A1218="",B1218=""),"",TEXT(C1218,"0000")&amp;TEXT(A1218,"00")&amp;TEXT(B1218,"00"))</f>
        <v>19960211</v>
      </c>
    </row>
    <row r="1219" spans="1:80" s="50" customFormat="1" ht="12.95" customHeight="1" x14ac:dyDescent="0.2">
      <c r="A1219" s="46">
        <v>2</v>
      </c>
      <c r="B1219" s="46">
        <v>11</v>
      </c>
      <c r="C1219" s="46">
        <v>1996</v>
      </c>
      <c r="D1219" s="52" t="s">
        <v>658</v>
      </c>
      <c r="E1219" s="52" t="s">
        <v>358</v>
      </c>
      <c r="F1219" s="52" t="s">
        <v>1327</v>
      </c>
      <c r="G1219" s="52"/>
      <c r="H1219" s="52" t="s">
        <v>1011</v>
      </c>
      <c r="I1219" s="52">
        <v>1</v>
      </c>
      <c r="J1219" s="56">
        <v>35106</v>
      </c>
      <c r="K1219" s="52" t="s">
        <v>794</v>
      </c>
      <c r="L1219" s="52" t="s">
        <v>3</v>
      </c>
      <c r="M1219" s="52" t="s">
        <v>1125</v>
      </c>
      <c r="N1219" s="57">
        <v>2</v>
      </c>
      <c r="O1219" s="57">
        <v>1</v>
      </c>
      <c r="P1219" s="52" t="s">
        <v>1232</v>
      </c>
      <c r="Q1219" s="52" t="s">
        <v>1111</v>
      </c>
      <c r="R1219" s="52" t="s">
        <v>376</v>
      </c>
      <c r="S1219" s="52"/>
      <c r="T1219" s="52"/>
      <c r="U1219" s="52"/>
      <c r="V1219" s="52"/>
      <c r="W1219" s="52"/>
      <c r="X1219" s="52"/>
      <c r="Y1219" s="52"/>
      <c r="Z1219" s="57"/>
      <c r="AA1219" s="58">
        <v>2</v>
      </c>
      <c r="AB1219" s="58">
        <v>1</v>
      </c>
      <c r="AC1219" s="59">
        <v>2</v>
      </c>
      <c r="AD1219" s="52" t="s">
        <v>1037</v>
      </c>
      <c r="AE1219" s="50">
        <f>IF(L1219="W",1,0)</f>
        <v>1</v>
      </c>
      <c r="AF1219" s="50">
        <f>IF(L1219="T",1,0)</f>
        <v>0</v>
      </c>
      <c r="AG1219" s="50">
        <f>IF(L1219="L",1,0)</f>
        <v>0</v>
      </c>
      <c r="AH1219" s="52" t="s">
        <v>1241</v>
      </c>
      <c r="AI1219" s="52" t="s">
        <v>1260</v>
      </c>
      <c r="AJ1219" s="52" t="s">
        <v>376</v>
      </c>
      <c r="AK1219" s="50" t="s">
        <v>658</v>
      </c>
      <c r="AL1219" s="52" t="s">
        <v>1111</v>
      </c>
      <c r="AM1219" s="52" t="s">
        <v>1126</v>
      </c>
      <c r="AN1219" s="52" t="s">
        <v>376</v>
      </c>
      <c r="AO1219" s="50" t="s">
        <v>658</v>
      </c>
      <c r="AP1219" s="52"/>
      <c r="AQ1219" s="52">
        <v>2</v>
      </c>
      <c r="AR1219" s="52"/>
      <c r="AS1219" s="52"/>
      <c r="AT1219" s="46"/>
      <c r="AU1219" s="52" t="s">
        <v>376</v>
      </c>
      <c r="AV1219" s="52"/>
      <c r="AW1219" s="52" t="s">
        <v>30</v>
      </c>
      <c r="AX1219" s="52"/>
      <c r="AY1219" s="52"/>
      <c r="AZ1219" s="52" t="s">
        <v>30</v>
      </c>
      <c r="BA1219" s="52"/>
      <c r="BB1219" s="60"/>
      <c r="BC1219" s="52"/>
      <c r="BD1219" s="60"/>
      <c r="BE1219" s="60"/>
      <c r="BF1219" s="35">
        <v>1</v>
      </c>
      <c r="BG1219" s="52">
        <v>1</v>
      </c>
      <c r="BH1219" s="52"/>
      <c r="BI1219" s="52" t="s">
        <v>794</v>
      </c>
      <c r="BJ1219" s="52" t="s">
        <v>1125</v>
      </c>
      <c r="BK1219" s="52">
        <v>1996</v>
      </c>
      <c r="BL1219" s="46" t="str">
        <f>BK1219&amp;BI1219</f>
        <v>1996Leeds United</v>
      </c>
      <c r="BM1219" s="52" t="str">
        <f>IF(AD1219="Home",BI1219,IF(AD1219="Away",BJ1219,Q1219))</f>
        <v>Birmingham City</v>
      </c>
      <c r="BN1219" s="52"/>
      <c r="BO1219" s="52"/>
      <c r="BP1219" s="52"/>
      <c r="BQ1219" s="52"/>
      <c r="BR1219" s="52"/>
      <c r="BS1219" s="52"/>
      <c r="BT1219" s="52"/>
      <c r="BU1219" s="52"/>
      <c r="BV1219" s="52" t="s">
        <v>376</v>
      </c>
      <c r="BW1219" s="52" t="s">
        <v>376</v>
      </c>
      <c r="BX1219" s="52"/>
      <c r="BY1219" s="52"/>
      <c r="BZ1219" s="53"/>
      <c r="CA1219" s="53"/>
      <c r="CB1219" s="93" t="str">
        <f>IF(OR(C1219="",A1219="",B1219=""),"",TEXT(C1219,"0000")&amp;TEXT(A1219,"00")&amp;TEXT(B1219,"00"))</f>
        <v>19960211</v>
      </c>
    </row>
    <row r="1220" spans="1:80" s="50" customFormat="1" ht="12.95" customHeight="1" x14ac:dyDescent="0.2">
      <c r="A1220" s="46">
        <v>2</v>
      </c>
      <c r="B1220" s="46">
        <v>14</v>
      </c>
      <c r="C1220" s="46">
        <v>1996</v>
      </c>
      <c r="D1220" s="52" t="s">
        <v>658</v>
      </c>
      <c r="E1220" s="52" t="s">
        <v>358</v>
      </c>
      <c r="F1220" s="52" t="s">
        <v>1327</v>
      </c>
      <c r="G1220" s="52"/>
      <c r="H1220" s="52" t="s">
        <v>1011</v>
      </c>
      <c r="I1220" s="52">
        <v>1</v>
      </c>
      <c r="J1220" s="56">
        <v>35109</v>
      </c>
      <c r="K1220" s="52" t="s">
        <v>587</v>
      </c>
      <c r="L1220" s="52" t="s">
        <v>1014</v>
      </c>
      <c r="M1220" s="52" t="s">
        <v>806</v>
      </c>
      <c r="N1220" s="57">
        <v>2</v>
      </c>
      <c r="O1220" s="57">
        <v>2</v>
      </c>
      <c r="P1220" s="52" t="s">
        <v>1281</v>
      </c>
      <c r="Q1220" s="52" t="s">
        <v>1017</v>
      </c>
      <c r="R1220" s="52" t="s">
        <v>376</v>
      </c>
      <c r="S1220" s="52"/>
      <c r="T1220" s="52"/>
      <c r="U1220" s="52"/>
      <c r="V1220" s="52"/>
      <c r="W1220" s="52"/>
      <c r="X1220" s="52"/>
      <c r="Y1220" s="52"/>
      <c r="Z1220" s="57"/>
      <c r="AA1220" s="58">
        <v>2</v>
      </c>
      <c r="AB1220" s="58">
        <v>2</v>
      </c>
      <c r="AC1220" s="59">
        <v>0</v>
      </c>
      <c r="AD1220" s="52" t="s">
        <v>1033</v>
      </c>
      <c r="AE1220" s="50">
        <f>IF(L1220="W",1,0)</f>
        <v>0</v>
      </c>
      <c r="AF1220" s="50">
        <f>IF(L1220="T",1,0)</f>
        <v>1</v>
      </c>
      <c r="AG1220" s="50">
        <f>IF(L1220="L",1,0)</f>
        <v>0</v>
      </c>
      <c r="AH1220" s="52" t="s">
        <v>1017</v>
      </c>
      <c r="AI1220" s="52" t="s">
        <v>1018</v>
      </c>
      <c r="AJ1220" s="52" t="s">
        <v>376</v>
      </c>
      <c r="AK1220" s="50" t="s">
        <v>658</v>
      </c>
      <c r="AL1220" s="52" t="s">
        <v>1111</v>
      </c>
      <c r="AM1220" s="52" t="s">
        <v>1126</v>
      </c>
      <c r="AN1220" s="52" t="s">
        <v>376</v>
      </c>
      <c r="AO1220" s="50" t="s">
        <v>658</v>
      </c>
      <c r="AP1220" s="52"/>
      <c r="AQ1220" s="52">
        <v>2</v>
      </c>
      <c r="AR1220" s="52"/>
      <c r="AS1220" s="52"/>
      <c r="AT1220" s="46"/>
      <c r="AU1220" s="52" t="s">
        <v>376</v>
      </c>
      <c r="AV1220" s="52"/>
      <c r="AW1220" s="52" t="s">
        <v>30</v>
      </c>
      <c r="AX1220" s="52"/>
      <c r="AY1220" s="52"/>
      <c r="AZ1220" s="52" t="s">
        <v>30</v>
      </c>
      <c r="BA1220" s="52"/>
      <c r="BB1220" s="60"/>
      <c r="BC1220" s="52"/>
      <c r="BD1220" s="60"/>
      <c r="BE1220" s="60"/>
      <c r="BF1220" s="35">
        <v>1</v>
      </c>
      <c r="BG1220" s="52">
        <v>1</v>
      </c>
      <c r="BH1220" s="52"/>
      <c r="BI1220" s="52" t="s">
        <v>587</v>
      </c>
      <c r="BJ1220" s="52" t="s">
        <v>806</v>
      </c>
      <c r="BK1220" s="52">
        <v>1996</v>
      </c>
      <c r="BL1220" s="46" t="str">
        <f>BK1220&amp;BI1220</f>
        <v>1996Arsenal</v>
      </c>
      <c r="BM1220" s="52" t="str">
        <f>IF(AD1220="Home",BI1220,IF(AD1220="Away",BJ1220,Q1220))</f>
        <v>Arsenal</v>
      </c>
      <c r="BN1220" s="52"/>
      <c r="BO1220" s="52"/>
      <c r="BP1220" s="52"/>
      <c r="BQ1220" s="52"/>
      <c r="BR1220" s="52"/>
      <c r="BS1220" s="52"/>
      <c r="BT1220" s="52"/>
      <c r="BU1220" s="52"/>
      <c r="BV1220" s="52" t="s">
        <v>376</v>
      </c>
      <c r="BW1220" s="52" t="s">
        <v>376</v>
      </c>
      <c r="BX1220" s="52"/>
      <c r="BY1220" s="52"/>
      <c r="BZ1220" s="53"/>
      <c r="CA1220" s="53"/>
      <c r="CB1220" s="93" t="str">
        <f>IF(OR(C1220="",A1220="",B1220=""),"",TEXT(C1220,"0000")&amp;TEXT(A1220,"00")&amp;TEXT(B1220,"00"))</f>
        <v>19960214</v>
      </c>
    </row>
    <row r="1221" spans="1:80" s="50" customFormat="1" ht="12.95" customHeight="1" x14ac:dyDescent="0.2">
      <c r="A1221" s="46">
        <v>2</v>
      </c>
      <c r="B1221" s="46">
        <v>14</v>
      </c>
      <c r="C1221" s="46">
        <v>1996</v>
      </c>
      <c r="D1221" s="52" t="s">
        <v>658</v>
      </c>
      <c r="E1221" s="52" t="s">
        <v>358</v>
      </c>
      <c r="F1221" s="52" t="s">
        <v>1327</v>
      </c>
      <c r="G1221" s="52"/>
      <c r="H1221" s="52" t="s">
        <v>1011</v>
      </c>
      <c r="I1221" s="52">
        <v>1</v>
      </c>
      <c r="J1221" s="56">
        <v>35109</v>
      </c>
      <c r="K1221" s="52" t="s">
        <v>806</v>
      </c>
      <c r="L1221" s="52" t="s">
        <v>1014</v>
      </c>
      <c r="M1221" s="52" t="s">
        <v>587</v>
      </c>
      <c r="N1221" s="57">
        <v>2</v>
      </c>
      <c r="O1221" s="57">
        <v>2</v>
      </c>
      <c r="P1221" s="52" t="s">
        <v>1281</v>
      </c>
      <c r="Q1221" s="52" t="s">
        <v>1017</v>
      </c>
      <c r="R1221" s="52" t="s">
        <v>376</v>
      </c>
      <c r="S1221" s="52"/>
      <c r="T1221" s="52"/>
      <c r="U1221" s="52"/>
      <c r="V1221" s="52"/>
      <c r="W1221" s="52"/>
      <c r="X1221" s="52"/>
      <c r="Y1221" s="52"/>
      <c r="Z1221" s="57"/>
      <c r="AA1221" s="58">
        <v>2</v>
      </c>
      <c r="AB1221" s="58">
        <v>2</v>
      </c>
      <c r="AC1221" s="59">
        <v>2</v>
      </c>
      <c r="AD1221" s="52" t="s">
        <v>1037</v>
      </c>
      <c r="AE1221" s="50">
        <f>IF(L1221="W",1,0)</f>
        <v>0</v>
      </c>
      <c r="AF1221" s="50">
        <f>IF(L1221="T",1,0)</f>
        <v>1</v>
      </c>
      <c r="AG1221" s="50">
        <f>IF(L1221="L",1,0)</f>
        <v>0</v>
      </c>
      <c r="AH1221" s="52" t="s">
        <v>1111</v>
      </c>
      <c r="AI1221" s="52" t="s">
        <v>1126</v>
      </c>
      <c r="AJ1221" s="52" t="s">
        <v>376</v>
      </c>
      <c r="AK1221" s="50" t="s">
        <v>658</v>
      </c>
      <c r="AL1221" s="52" t="s">
        <v>1017</v>
      </c>
      <c r="AM1221" s="52" t="s">
        <v>1018</v>
      </c>
      <c r="AN1221" s="52" t="s">
        <v>376</v>
      </c>
      <c r="AO1221" s="50" t="s">
        <v>658</v>
      </c>
      <c r="AP1221" s="52"/>
      <c r="AQ1221" s="52">
        <v>2</v>
      </c>
      <c r="AR1221" s="52"/>
      <c r="AS1221" s="52"/>
      <c r="AT1221" s="46"/>
      <c r="AU1221" s="52" t="s">
        <v>376</v>
      </c>
      <c r="AV1221" s="52"/>
      <c r="AW1221" s="52" t="s">
        <v>30</v>
      </c>
      <c r="AX1221" s="52"/>
      <c r="AY1221" s="52"/>
      <c r="AZ1221" s="52" t="s">
        <v>30</v>
      </c>
      <c r="BA1221" s="52"/>
      <c r="BB1221" s="60"/>
      <c r="BC1221" s="52"/>
      <c r="BD1221" s="60"/>
      <c r="BE1221" s="60"/>
      <c r="BF1221" s="35">
        <v>1</v>
      </c>
      <c r="BG1221" s="52">
        <v>1</v>
      </c>
      <c r="BH1221" s="52"/>
      <c r="BI1221" s="52" t="s">
        <v>806</v>
      </c>
      <c r="BJ1221" s="52" t="s">
        <v>587</v>
      </c>
      <c r="BK1221" s="52">
        <v>1996</v>
      </c>
      <c r="BL1221" s="46" t="str">
        <f>BK1221&amp;BI1221</f>
        <v>1996Aston Villa</v>
      </c>
      <c r="BM1221" s="52" t="str">
        <f>IF(AD1221="Home",BI1221,IF(AD1221="Away",BJ1221,Q1221))</f>
        <v>Arsenal</v>
      </c>
      <c r="BN1221" s="52"/>
      <c r="BO1221" s="52"/>
      <c r="BP1221" s="52"/>
      <c r="BQ1221" s="52"/>
      <c r="BR1221" s="52"/>
      <c r="BS1221" s="52"/>
      <c r="BT1221" s="52"/>
      <c r="BU1221" s="52"/>
      <c r="BV1221" s="52" t="s">
        <v>376</v>
      </c>
      <c r="BW1221" s="52" t="s">
        <v>376</v>
      </c>
      <c r="BX1221" s="52"/>
      <c r="BY1221" s="52"/>
      <c r="BZ1221" s="53"/>
      <c r="CA1221" s="53"/>
      <c r="CB1221" s="93" t="str">
        <f>IF(OR(C1221="",A1221="",B1221=""),"",TEXT(C1221,"0000")&amp;TEXT(A1221,"00")&amp;TEXT(B1221,"00"))</f>
        <v>19960214</v>
      </c>
    </row>
    <row r="1222" spans="1:80" s="50" customFormat="1" ht="12.95" customHeight="1" x14ac:dyDescent="0.2">
      <c r="A1222" s="46">
        <v>2</v>
      </c>
      <c r="B1222" s="46">
        <v>21</v>
      </c>
      <c r="C1222" s="46">
        <v>1996</v>
      </c>
      <c r="D1222" s="52" t="s">
        <v>658</v>
      </c>
      <c r="E1222" s="52" t="s">
        <v>358</v>
      </c>
      <c r="F1222" s="52" t="s">
        <v>1327</v>
      </c>
      <c r="G1222" s="52"/>
      <c r="H1222" s="52" t="s">
        <v>1011</v>
      </c>
      <c r="I1222" s="52">
        <v>2</v>
      </c>
      <c r="J1222" s="56">
        <v>35116</v>
      </c>
      <c r="K1222" s="52" t="s">
        <v>806</v>
      </c>
      <c r="L1222" s="52" t="s">
        <v>3</v>
      </c>
      <c r="M1222" s="52" t="s">
        <v>587</v>
      </c>
      <c r="N1222" s="57">
        <v>0</v>
      </c>
      <c r="O1222" s="57">
        <v>0</v>
      </c>
      <c r="P1222" s="52" t="s">
        <v>1219</v>
      </c>
      <c r="Q1222" s="52" t="s">
        <v>1111</v>
      </c>
      <c r="R1222" s="52" t="s">
        <v>376</v>
      </c>
      <c r="S1222" s="52"/>
      <c r="T1222" s="52"/>
      <c r="U1222" s="52"/>
      <c r="V1222" s="52"/>
      <c r="W1222" s="52"/>
      <c r="X1222" s="52"/>
      <c r="Y1222" s="52"/>
      <c r="Z1222" s="57"/>
      <c r="AA1222" s="58">
        <v>2</v>
      </c>
      <c r="AB1222" s="58">
        <v>2</v>
      </c>
      <c r="AC1222" s="59">
        <v>2</v>
      </c>
      <c r="AD1222" s="52" t="s">
        <v>1033</v>
      </c>
      <c r="AE1222" s="50">
        <f>IF(L1222="W",1,0)</f>
        <v>1</v>
      </c>
      <c r="AF1222" s="50">
        <f>IF(L1222="T",1,0)</f>
        <v>0</v>
      </c>
      <c r="AG1222" s="50">
        <f>IF(L1222="L",1,0)</f>
        <v>0</v>
      </c>
      <c r="AH1222" s="52" t="s">
        <v>1111</v>
      </c>
      <c r="AI1222" s="52" t="s">
        <v>1126</v>
      </c>
      <c r="AJ1222" s="52" t="s">
        <v>376</v>
      </c>
      <c r="AK1222" s="50" t="s">
        <v>658</v>
      </c>
      <c r="AL1222" s="52" t="s">
        <v>1017</v>
      </c>
      <c r="AM1222" s="52" t="s">
        <v>1018</v>
      </c>
      <c r="AN1222" s="52" t="s">
        <v>376</v>
      </c>
      <c r="AO1222" s="50" t="s">
        <v>658</v>
      </c>
      <c r="AP1222" s="52"/>
      <c r="AQ1222" s="52">
        <v>2</v>
      </c>
      <c r="AR1222" s="52"/>
      <c r="AS1222" s="52"/>
      <c r="AT1222" s="46"/>
      <c r="AU1222" s="52" t="s">
        <v>376</v>
      </c>
      <c r="AV1222" s="52"/>
      <c r="AW1222" s="52" t="s">
        <v>30</v>
      </c>
      <c r="AX1222" s="52"/>
      <c r="AY1222" s="52"/>
      <c r="AZ1222" s="52" t="s">
        <v>30</v>
      </c>
      <c r="BA1222" s="52"/>
      <c r="BB1222" s="60"/>
      <c r="BC1222" s="52"/>
      <c r="BD1222" s="60"/>
      <c r="BE1222" s="60"/>
      <c r="BF1222" s="35">
        <v>1</v>
      </c>
      <c r="BG1222" s="52">
        <v>1</v>
      </c>
      <c r="BH1222" s="52"/>
      <c r="BI1222" s="52" t="s">
        <v>806</v>
      </c>
      <c r="BJ1222" s="52" t="s">
        <v>587</v>
      </c>
      <c r="BK1222" s="52">
        <v>1996</v>
      </c>
      <c r="BL1222" s="46" t="str">
        <f>BK1222&amp;BI1222</f>
        <v>1996Aston Villa</v>
      </c>
      <c r="BM1222" s="52" t="str">
        <f>IF(AD1222="Home",BI1222,IF(AD1222="Away",BJ1222,Q1222))</f>
        <v>Aston Villa</v>
      </c>
      <c r="BN1222" s="52"/>
      <c r="BO1222" s="52"/>
      <c r="BP1222" s="52"/>
      <c r="BQ1222" s="52"/>
      <c r="BR1222" s="52"/>
      <c r="BS1222" s="52"/>
      <c r="BT1222" s="52"/>
      <c r="BU1222" s="52"/>
      <c r="BV1222" s="52" t="s">
        <v>376</v>
      </c>
      <c r="BW1222" s="52" t="s">
        <v>376</v>
      </c>
      <c r="BX1222" s="52"/>
      <c r="BY1222" s="52"/>
      <c r="BZ1222" s="53"/>
      <c r="CA1222" s="53"/>
      <c r="CB1222" s="93" t="str">
        <f>IF(OR(C1222="",A1222="",B1222=""),"",TEXT(C1222,"0000")&amp;TEXT(A1222,"00")&amp;TEXT(B1222,"00"))</f>
        <v>19960221</v>
      </c>
    </row>
    <row r="1223" spans="1:80" s="50" customFormat="1" ht="12.95" customHeight="1" x14ac:dyDescent="0.2">
      <c r="A1223" s="46">
        <v>2</v>
      </c>
      <c r="B1223" s="46">
        <v>21</v>
      </c>
      <c r="C1223" s="46">
        <v>1996</v>
      </c>
      <c r="D1223" s="52" t="s">
        <v>658</v>
      </c>
      <c r="E1223" s="52" t="s">
        <v>358</v>
      </c>
      <c r="F1223" s="52" t="s">
        <v>1327</v>
      </c>
      <c r="G1223" s="52"/>
      <c r="H1223" s="52" t="s">
        <v>1011</v>
      </c>
      <c r="I1223" s="52">
        <v>2</v>
      </c>
      <c r="J1223" s="56">
        <v>35116</v>
      </c>
      <c r="K1223" s="52" t="s">
        <v>587</v>
      </c>
      <c r="L1223" s="52" t="s">
        <v>4</v>
      </c>
      <c r="M1223" s="52" t="s">
        <v>806</v>
      </c>
      <c r="N1223" s="57">
        <v>0</v>
      </c>
      <c r="O1223" s="57">
        <v>0</v>
      </c>
      <c r="P1223" s="52" t="s">
        <v>1219</v>
      </c>
      <c r="Q1223" s="52" t="s">
        <v>1111</v>
      </c>
      <c r="R1223" s="52" t="s">
        <v>376</v>
      </c>
      <c r="S1223" s="52"/>
      <c r="T1223" s="52"/>
      <c r="U1223" s="52"/>
      <c r="V1223" s="52"/>
      <c r="W1223" s="52"/>
      <c r="X1223" s="52"/>
      <c r="Y1223" s="52"/>
      <c r="Z1223" s="57"/>
      <c r="AA1223" s="58">
        <v>2</v>
      </c>
      <c r="AB1223" s="58">
        <v>2</v>
      </c>
      <c r="AC1223" s="59">
        <v>0</v>
      </c>
      <c r="AD1223" s="52" t="s">
        <v>1037</v>
      </c>
      <c r="AE1223" s="50">
        <f>IF(L1223="W",1,0)</f>
        <v>0</v>
      </c>
      <c r="AF1223" s="50">
        <f>IF(L1223="T",1,0)</f>
        <v>0</v>
      </c>
      <c r="AG1223" s="50">
        <f>IF(L1223="L",1,0)</f>
        <v>1</v>
      </c>
      <c r="AH1223" s="52" t="s">
        <v>1017</v>
      </c>
      <c r="AI1223" s="52" t="s">
        <v>1018</v>
      </c>
      <c r="AJ1223" s="52" t="s">
        <v>376</v>
      </c>
      <c r="AK1223" s="50" t="s">
        <v>658</v>
      </c>
      <c r="AL1223" s="52" t="s">
        <v>1111</v>
      </c>
      <c r="AM1223" s="52" t="s">
        <v>1126</v>
      </c>
      <c r="AN1223" s="52" t="s">
        <v>376</v>
      </c>
      <c r="AO1223" s="50" t="s">
        <v>658</v>
      </c>
      <c r="AP1223" s="52"/>
      <c r="AQ1223" s="52">
        <v>2</v>
      </c>
      <c r="AR1223" s="52"/>
      <c r="AS1223" s="52">
        <v>1</v>
      </c>
      <c r="AT1223" s="46"/>
      <c r="AU1223" s="52" t="s">
        <v>376</v>
      </c>
      <c r="AV1223" s="52"/>
      <c r="AW1223" s="52" t="s">
        <v>30</v>
      </c>
      <c r="AX1223" s="52"/>
      <c r="AY1223" s="52"/>
      <c r="AZ1223" s="52" t="s">
        <v>30</v>
      </c>
      <c r="BA1223" s="52"/>
      <c r="BB1223" s="60"/>
      <c r="BC1223" s="52"/>
      <c r="BD1223" s="60"/>
      <c r="BE1223" s="60"/>
      <c r="BF1223" s="35">
        <v>1</v>
      </c>
      <c r="BG1223" s="52">
        <v>1</v>
      </c>
      <c r="BH1223" s="52"/>
      <c r="BI1223" s="52" t="s">
        <v>587</v>
      </c>
      <c r="BJ1223" s="52" t="s">
        <v>806</v>
      </c>
      <c r="BK1223" s="52">
        <v>1996</v>
      </c>
      <c r="BL1223" s="46" t="str">
        <f>BK1223&amp;BI1223</f>
        <v>1996Arsenal</v>
      </c>
      <c r="BM1223" s="52" t="str">
        <f>IF(AD1223="Home",BI1223,IF(AD1223="Away",BJ1223,Q1223))</f>
        <v>Aston Villa</v>
      </c>
      <c r="BN1223" s="52"/>
      <c r="BO1223" s="52"/>
      <c r="BP1223" s="52"/>
      <c r="BQ1223" s="52"/>
      <c r="BR1223" s="52"/>
      <c r="BS1223" s="52"/>
      <c r="BT1223" s="52"/>
      <c r="BU1223" s="52"/>
      <c r="BV1223" s="52" t="s">
        <v>376</v>
      </c>
      <c r="BW1223" s="52" t="s">
        <v>376</v>
      </c>
      <c r="BX1223" s="52"/>
      <c r="BY1223" s="52"/>
      <c r="BZ1223" s="53"/>
      <c r="CA1223" s="53"/>
      <c r="CB1223" s="93" t="str">
        <f>IF(OR(C1223="",A1223="",B1223=""),"",TEXT(C1223,"0000")&amp;TEXT(A1223,"00")&amp;TEXT(B1223,"00"))</f>
        <v>19960221</v>
      </c>
    </row>
    <row r="1224" spans="1:80" s="50" customFormat="1" ht="12.95" customHeight="1" x14ac:dyDescent="0.2">
      <c r="A1224" s="46">
        <v>2</v>
      </c>
      <c r="B1224" s="46">
        <v>25</v>
      </c>
      <c r="C1224" s="46">
        <v>1996</v>
      </c>
      <c r="D1224" s="52" t="s">
        <v>658</v>
      </c>
      <c r="E1224" s="52" t="s">
        <v>358</v>
      </c>
      <c r="F1224" s="52" t="s">
        <v>1327</v>
      </c>
      <c r="G1224" s="52"/>
      <c r="H1224" s="52" t="s">
        <v>1011</v>
      </c>
      <c r="I1224" s="52">
        <v>2</v>
      </c>
      <c r="J1224" s="56">
        <v>35120</v>
      </c>
      <c r="K1224" s="52" t="s">
        <v>794</v>
      </c>
      <c r="L1224" s="52" t="s">
        <v>3</v>
      </c>
      <c r="M1224" s="52" t="s">
        <v>1125</v>
      </c>
      <c r="N1224" s="57">
        <v>3</v>
      </c>
      <c r="O1224" s="57">
        <v>0</v>
      </c>
      <c r="P1224" s="52" t="s">
        <v>1240</v>
      </c>
      <c r="Q1224" s="52" t="s">
        <v>1241</v>
      </c>
      <c r="R1224" s="52" t="s">
        <v>376</v>
      </c>
      <c r="S1224" s="52"/>
      <c r="T1224" s="52"/>
      <c r="U1224" s="52"/>
      <c r="V1224" s="52"/>
      <c r="W1224" s="52"/>
      <c r="X1224" s="52"/>
      <c r="Y1224" s="52"/>
      <c r="Z1224" s="57"/>
      <c r="AA1224" s="58">
        <v>5</v>
      </c>
      <c r="AB1224" s="58">
        <v>1</v>
      </c>
      <c r="AC1224" s="59">
        <v>2</v>
      </c>
      <c r="AD1224" s="52" t="s">
        <v>1033</v>
      </c>
      <c r="AE1224" s="50">
        <f>IF(L1224="W",1,0)</f>
        <v>1</v>
      </c>
      <c r="AF1224" s="50">
        <f>IF(L1224="T",1,0)</f>
        <v>0</v>
      </c>
      <c r="AG1224" s="50">
        <f>IF(L1224="L",1,0)</f>
        <v>0</v>
      </c>
      <c r="AH1224" s="52" t="s">
        <v>1241</v>
      </c>
      <c r="AI1224" s="52" t="s">
        <v>1260</v>
      </c>
      <c r="AJ1224" s="52" t="s">
        <v>376</v>
      </c>
      <c r="AK1224" s="50" t="s">
        <v>658</v>
      </c>
      <c r="AL1224" s="52" t="s">
        <v>1111</v>
      </c>
      <c r="AM1224" s="52" t="s">
        <v>1126</v>
      </c>
      <c r="AN1224" s="52" t="s">
        <v>376</v>
      </c>
      <c r="AO1224" s="50" t="s">
        <v>658</v>
      </c>
      <c r="AP1224" s="52"/>
      <c r="AQ1224" s="52">
        <v>2</v>
      </c>
      <c r="AR1224" s="52"/>
      <c r="AS1224" s="52"/>
      <c r="AT1224" s="46"/>
      <c r="AU1224" s="52" t="s">
        <v>376</v>
      </c>
      <c r="AV1224" s="52"/>
      <c r="AW1224" s="52" t="s">
        <v>30</v>
      </c>
      <c r="AX1224" s="52"/>
      <c r="AY1224" s="52"/>
      <c r="AZ1224" s="52" t="s">
        <v>30</v>
      </c>
      <c r="BA1224" s="52"/>
      <c r="BB1224" s="60"/>
      <c r="BC1224" s="52"/>
      <c r="BD1224" s="60"/>
      <c r="BE1224" s="60"/>
      <c r="BF1224" s="35">
        <v>1</v>
      </c>
      <c r="BG1224" s="52">
        <v>1</v>
      </c>
      <c r="BH1224" s="52"/>
      <c r="BI1224" s="52" t="s">
        <v>794</v>
      </c>
      <c r="BJ1224" s="52" t="s">
        <v>1125</v>
      </c>
      <c r="BK1224" s="52">
        <v>1996</v>
      </c>
      <c r="BL1224" s="46" t="str">
        <f>BK1224&amp;BI1224</f>
        <v>1996Leeds United</v>
      </c>
      <c r="BM1224" s="52" t="str">
        <f>IF(AD1224="Home",BI1224,IF(AD1224="Away",BJ1224,Q1224))</f>
        <v>Leeds United</v>
      </c>
      <c r="BN1224" s="52"/>
      <c r="BO1224" s="52"/>
      <c r="BP1224" s="52"/>
      <c r="BQ1224" s="52"/>
      <c r="BR1224" s="52"/>
      <c r="BS1224" s="52"/>
      <c r="BT1224" s="52"/>
      <c r="BU1224" s="52"/>
      <c r="BV1224" s="52" t="s">
        <v>376</v>
      </c>
      <c r="BW1224" s="52" t="s">
        <v>376</v>
      </c>
      <c r="BX1224" s="52"/>
      <c r="BY1224" s="52"/>
      <c r="BZ1224" s="53"/>
      <c r="CA1224" s="53"/>
      <c r="CB1224" s="93" t="str">
        <f>IF(OR(C1224="",A1224="",B1224=""),"",TEXT(C1224,"0000")&amp;TEXT(A1224,"00")&amp;TEXT(B1224,"00"))</f>
        <v>19960225</v>
      </c>
    </row>
    <row r="1225" spans="1:80" s="50" customFormat="1" ht="12.95" customHeight="1" x14ac:dyDescent="0.2">
      <c r="A1225" s="46">
        <v>2</v>
      </c>
      <c r="B1225" s="46">
        <v>25</v>
      </c>
      <c r="C1225" s="46">
        <v>1996</v>
      </c>
      <c r="D1225" s="46" t="s">
        <v>658</v>
      </c>
      <c r="E1225" s="46" t="s">
        <v>358</v>
      </c>
      <c r="F1225" s="54" t="s">
        <v>1327</v>
      </c>
      <c r="G1225" s="46"/>
      <c r="H1225" s="54" t="s">
        <v>1011</v>
      </c>
      <c r="I1225" s="54">
        <v>2</v>
      </c>
      <c r="J1225" s="55">
        <v>35120</v>
      </c>
      <c r="K1225" s="46" t="s">
        <v>1125</v>
      </c>
      <c r="L1225" s="46" t="s">
        <v>4</v>
      </c>
      <c r="M1225" s="46" t="s">
        <v>794</v>
      </c>
      <c r="N1225" s="49">
        <v>0</v>
      </c>
      <c r="O1225" s="49">
        <v>3</v>
      </c>
      <c r="P1225" s="54" t="s">
        <v>1240</v>
      </c>
      <c r="Q1225" s="54" t="s">
        <v>1241</v>
      </c>
      <c r="R1225" s="54" t="s">
        <v>376</v>
      </c>
      <c r="S1225" s="46"/>
      <c r="T1225" s="46"/>
      <c r="U1225" s="46"/>
      <c r="V1225" s="46"/>
      <c r="W1225" s="46"/>
      <c r="X1225" s="46"/>
      <c r="Y1225" s="46"/>
      <c r="Z1225" s="46"/>
      <c r="AA1225" s="46"/>
      <c r="AB1225" s="46"/>
      <c r="AC1225" s="46"/>
      <c r="AD1225" s="46" t="s">
        <v>1037</v>
      </c>
      <c r="AE1225" s="50">
        <f>IF(L1225="W",1,0)</f>
        <v>0</v>
      </c>
      <c r="AF1225" s="50">
        <f>IF(L1225="T",1,0)</f>
        <v>0</v>
      </c>
      <c r="AG1225" s="50">
        <f>IF(L1225="L",1,0)</f>
        <v>1</v>
      </c>
      <c r="AH1225" s="46" t="s">
        <v>1111</v>
      </c>
      <c r="AI1225" s="46" t="s">
        <v>1126</v>
      </c>
      <c r="AJ1225" s="46" t="s">
        <v>376</v>
      </c>
      <c r="AK1225" s="46" t="s">
        <v>658</v>
      </c>
      <c r="AL1225" s="46" t="s">
        <v>1241</v>
      </c>
      <c r="AM1225" s="46" t="s">
        <v>1260</v>
      </c>
      <c r="AN1225" s="46" t="s">
        <v>376</v>
      </c>
      <c r="AO1225" s="46" t="s">
        <v>658</v>
      </c>
      <c r="AP1225" s="46"/>
      <c r="AQ1225" s="46">
        <v>2</v>
      </c>
      <c r="AR1225" s="46"/>
      <c r="AS1225" s="46"/>
      <c r="AT1225" s="46"/>
      <c r="AU1225" s="46" t="s">
        <v>376</v>
      </c>
      <c r="AV1225" s="46"/>
      <c r="AW1225" s="46" t="s">
        <v>30</v>
      </c>
      <c r="AX1225" s="46"/>
      <c r="AY1225" s="46"/>
      <c r="AZ1225" s="46" t="s">
        <v>30</v>
      </c>
      <c r="BA1225" s="54"/>
      <c r="BB1225" s="51"/>
      <c r="BC1225" s="46"/>
      <c r="BD1225" s="46"/>
      <c r="BE1225" s="46"/>
      <c r="BF1225" s="46">
        <v>1</v>
      </c>
      <c r="BG1225" s="46">
        <v>2</v>
      </c>
      <c r="BH1225" s="46">
        <v>1</v>
      </c>
      <c r="BI1225" s="46" t="s">
        <v>1125</v>
      </c>
      <c r="BJ1225" s="46" t="s">
        <v>794</v>
      </c>
      <c r="BK1225" s="46">
        <v>1996</v>
      </c>
      <c r="BL1225" s="46" t="str">
        <f>BK1225&amp;BI1225</f>
        <v>1996Birmingham City</v>
      </c>
      <c r="BM1225" s="52" t="str">
        <f>IF(AD1225="Home",BI1225,IF(AD1225="Away",BJ1225,Q1225))</f>
        <v>Leeds United</v>
      </c>
      <c r="BN1225" s="46"/>
      <c r="BO1225" s="46"/>
      <c r="BP1225" s="46"/>
      <c r="BQ1225" s="46"/>
      <c r="BR1225" s="46"/>
      <c r="BS1225" s="46"/>
      <c r="BT1225" s="46"/>
      <c r="BU1225" s="46"/>
      <c r="BV1225" s="46" t="s">
        <v>376</v>
      </c>
      <c r="BW1225" s="46" t="s">
        <v>376</v>
      </c>
      <c r="BX1225" s="46"/>
      <c r="BY1225" s="52"/>
      <c r="BZ1225" s="53"/>
      <c r="CA1225" s="53"/>
      <c r="CB1225" s="93" t="str">
        <f>IF(OR(C1225="",A1225="",B1225=""),"",TEXT(C1225,"0000")&amp;TEXT(A1225,"00")&amp;TEXT(B1225,"00"))</f>
        <v>19960225</v>
      </c>
    </row>
    <row r="1226" spans="1:80" s="50" customFormat="1" ht="12.95" customHeight="1" x14ac:dyDescent="0.2">
      <c r="A1226" s="46">
        <v>3</v>
      </c>
      <c r="B1226" s="46">
        <v>24</v>
      </c>
      <c r="C1226" s="46">
        <v>1996</v>
      </c>
      <c r="D1226" s="52" t="s">
        <v>658</v>
      </c>
      <c r="E1226" s="52" t="s">
        <v>358</v>
      </c>
      <c r="F1226" s="52" t="s">
        <v>1327</v>
      </c>
      <c r="G1226" s="52"/>
      <c r="H1226" s="52" t="s">
        <v>40</v>
      </c>
      <c r="I1226" s="52"/>
      <c r="J1226" s="56">
        <v>35148</v>
      </c>
      <c r="K1226" s="52" t="s">
        <v>806</v>
      </c>
      <c r="L1226" s="52" t="s">
        <v>3</v>
      </c>
      <c r="M1226" s="52" t="s">
        <v>794</v>
      </c>
      <c r="N1226" s="57">
        <v>3</v>
      </c>
      <c r="O1226" s="57">
        <v>0</v>
      </c>
      <c r="P1226" s="52" t="s">
        <v>1268</v>
      </c>
      <c r="Q1226" s="52" t="s">
        <v>1017</v>
      </c>
      <c r="R1226" s="52" t="s">
        <v>376</v>
      </c>
      <c r="S1226" s="52"/>
      <c r="T1226" s="52"/>
      <c r="U1226" s="52"/>
      <c r="V1226" s="52"/>
      <c r="W1226" s="52"/>
      <c r="X1226" s="52"/>
      <c r="Y1226" s="52"/>
      <c r="Z1226" s="57"/>
      <c r="AA1226" s="52"/>
      <c r="AB1226" s="52"/>
      <c r="AC1226" s="52"/>
      <c r="AD1226" s="52"/>
      <c r="AE1226" s="50">
        <f>IF(L1226="W",1,0)</f>
        <v>1</v>
      </c>
      <c r="AF1226" s="50">
        <f>IF(L1226="T",1,0)</f>
        <v>0</v>
      </c>
      <c r="AG1226" s="50">
        <f>IF(L1226="L",1,0)</f>
        <v>0</v>
      </c>
      <c r="AH1226" s="52" t="s">
        <v>1111</v>
      </c>
      <c r="AI1226" s="52" t="s">
        <v>1126</v>
      </c>
      <c r="AJ1226" s="52" t="s">
        <v>376</v>
      </c>
      <c r="AK1226" s="50" t="s">
        <v>658</v>
      </c>
      <c r="AL1226" s="52" t="s">
        <v>1241</v>
      </c>
      <c r="AM1226" s="52" t="s">
        <v>1260</v>
      </c>
      <c r="AN1226" s="52" t="s">
        <v>376</v>
      </c>
      <c r="AO1226" s="50" t="s">
        <v>658</v>
      </c>
      <c r="AP1226" s="52"/>
      <c r="AQ1226" s="52">
        <v>1</v>
      </c>
      <c r="AR1226" s="52"/>
      <c r="AS1226" s="52" t="s">
        <v>1393</v>
      </c>
      <c r="AT1226" s="46"/>
      <c r="AU1226" s="52" t="s">
        <v>376</v>
      </c>
      <c r="AV1226" s="52"/>
      <c r="AW1226" s="52" t="s">
        <v>30</v>
      </c>
      <c r="AX1226" s="52"/>
      <c r="AY1226" s="52"/>
      <c r="AZ1226" s="57" t="s">
        <v>30</v>
      </c>
      <c r="BA1226" s="52"/>
      <c r="BB1226" s="60" t="s">
        <v>30</v>
      </c>
      <c r="BC1226" s="52" t="s">
        <v>30</v>
      </c>
      <c r="BD1226" s="60"/>
      <c r="BE1226" s="60" t="s">
        <v>1400</v>
      </c>
      <c r="BF1226" s="35">
        <v>1</v>
      </c>
      <c r="BG1226" s="52">
        <v>1</v>
      </c>
      <c r="BH1226" s="52"/>
      <c r="BI1226" s="52" t="s">
        <v>806</v>
      </c>
      <c r="BJ1226" s="52" t="s">
        <v>794</v>
      </c>
      <c r="BK1226" s="52">
        <v>1996</v>
      </c>
      <c r="BL1226" s="46" t="str">
        <f>BK1226&amp;BI1226</f>
        <v>1996Aston Villa</v>
      </c>
      <c r="BM1226" s="52" t="str">
        <f>IF(AD1226="Home",BI1226,IF(AD1226="Away",BJ1226,Q1226))</f>
        <v>London</v>
      </c>
      <c r="BN1226" s="52"/>
      <c r="BO1226" s="52"/>
      <c r="BP1226" s="52"/>
      <c r="BQ1226" s="52"/>
      <c r="BR1226" s="52"/>
      <c r="BS1226" s="52"/>
      <c r="BT1226" s="52"/>
      <c r="BU1226" s="52"/>
      <c r="BV1226" s="52" t="s">
        <v>376</v>
      </c>
      <c r="BW1226" s="52" t="s">
        <v>376</v>
      </c>
      <c r="BX1226" s="52"/>
      <c r="BY1226" s="52"/>
      <c r="BZ1226" s="53"/>
      <c r="CA1226" s="53"/>
      <c r="CB1226" s="93" t="str">
        <f>IF(OR(C1226="",A1226="",B1226=""),"",TEXT(C1226,"0000")&amp;TEXT(A1226,"00")&amp;TEXT(B1226,"00"))</f>
        <v>19960324</v>
      </c>
    </row>
    <row r="1227" spans="1:80" s="50" customFormat="1" ht="12.95" customHeight="1" x14ac:dyDescent="0.2">
      <c r="A1227" s="46">
        <v>3</v>
      </c>
      <c r="B1227" s="46">
        <v>24</v>
      </c>
      <c r="C1227" s="46">
        <v>1996</v>
      </c>
      <c r="D1227" s="52" t="s">
        <v>658</v>
      </c>
      <c r="E1227" s="52" t="s">
        <v>358</v>
      </c>
      <c r="F1227" s="52" t="s">
        <v>1327</v>
      </c>
      <c r="G1227" s="52"/>
      <c r="H1227" s="52" t="s">
        <v>40</v>
      </c>
      <c r="I1227" s="52"/>
      <c r="J1227" s="56">
        <v>35148</v>
      </c>
      <c r="K1227" s="52" t="s">
        <v>794</v>
      </c>
      <c r="L1227" s="52" t="s">
        <v>4</v>
      </c>
      <c r="M1227" s="52" t="s">
        <v>806</v>
      </c>
      <c r="N1227" s="57">
        <v>0</v>
      </c>
      <c r="O1227" s="57">
        <v>3</v>
      </c>
      <c r="P1227" s="52" t="s">
        <v>1268</v>
      </c>
      <c r="Q1227" s="52" t="s">
        <v>1017</v>
      </c>
      <c r="R1227" s="52" t="s">
        <v>376</v>
      </c>
      <c r="S1227" s="52"/>
      <c r="T1227" s="52"/>
      <c r="U1227" s="52"/>
      <c r="V1227" s="52"/>
      <c r="W1227" s="52"/>
      <c r="X1227" s="52"/>
      <c r="Y1227" s="52"/>
      <c r="Z1227" s="57"/>
      <c r="AA1227" s="52"/>
      <c r="AB1227" s="52"/>
      <c r="AC1227" s="52"/>
      <c r="AD1227" s="52"/>
      <c r="AE1227" s="50">
        <f>IF(L1227="W",1,0)</f>
        <v>0</v>
      </c>
      <c r="AF1227" s="50">
        <f>IF(L1227="T",1,0)</f>
        <v>0</v>
      </c>
      <c r="AG1227" s="50">
        <f>IF(L1227="L",1,0)</f>
        <v>1</v>
      </c>
      <c r="AH1227" s="52" t="s">
        <v>1241</v>
      </c>
      <c r="AI1227" s="52" t="s">
        <v>1260</v>
      </c>
      <c r="AJ1227" s="52" t="s">
        <v>376</v>
      </c>
      <c r="AK1227" s="50" t="s">
        <v>658</v>
      </c>
      <c r="AL1227" s="52" t="s">
        <v>1111</v>
      </c>
      <c r="AM1227" s="52" t="s">
        <v>1126</v>
      </c>
      <c r="AN1227" s="52" t="s">
        <v>376</v>
      </c>
      <c r="AO1227" s="50" t="s">
        <v>658</v>
      </c>
      <c r="AP1227" s="52"/>
      <c r="AQ1227" s="52">
        <v>1</v>
      </c>
      <c r="AR1227" s="52"/>
      <c r="AS1227" s="52">
        <v>1</v>
      </c>
      <c r="AT1227" s="46"/>
      <c r="AU1227" s="52" t="s">
        <v>376</v>
      </c>
      <c r="AV1227" s="52"/>
      <c r="AW1227" s="52" t="s">
        <v>30</v>
      </c>
      <c r="AX1227" s="52"/>
      <c r="AY1227" s="52"/>
      <c r="AZ1227" s="52" t="s">
        <v>30</v>
      </c>
      <c r="BA1227" s="52"/>
      <c r="BB1227" s="60"/>
      <c r="BC1227" s="52" t="s">
        <v>30</v>
      </c>
      <c r="BD1227" s="60"/>
      <c r="BE1227" s="60"/>
      <c r="BF1227" s="35">
        <v>1</v>
      </c>
      <c r="BG1227" s="52">
        <v>1</v>
      </c>
      <c r="BH1227" s="52"/>
      <c r="BI1227" s="52" t="s">
        <v>794</v>
      </c>
      <c r="BJ1227" s="52" t="s">
        <v>806</v>
      </c>
      <c r="BK1227" s="52">
        <v>1996</v>
      </c>
      <c r="BL1227" s="46" t="str">
        <f>BK1227&amp;BI1227</f>
        <v>1996Leeds United</v>
      </c>
      <c r="BM1227" s="52" t="str">
        <f>IF(AD1227="Home",BI1227,IF(AD1227="Away",BJ1227,Q1227))</f>
        <v>London</v>
      </c>
      <c r="BN1227" s="52"/>
      <c r="BO1227" s="52"/>
      <c r="BP1227" s="52"/>
      <c r="BQ1227" s="52"/>
      <c r="BR1227" s="52"/>
      <c r="BS1227" s="52"/>
      <c r="BT1227" s="52"/>
      <c r="BU1227" s="52"/>
      <c r="BV1227" s="52" t="s">
        <v>376</v>
      </c>
      <c r="BW1227" s="52" t="s">
        <v>376</v>
      </c>
      <c r="BX1227" s="52"/>
      <c r="BY1227" s="52"/>
      <c r="BZ1227" s="53"/>
      <c r="CA1227" s="53"/>
      <c r="CB1227" s="93" t="str">
        <f>IF(OR(C1227="",A1227="",B1227=""),"",TEXT(C1227,"0000")&amp;TEXT(A1227,"00")&amp;TEXT(B1227,"00"))</f>
        <v>19960324</v>
      </c>
    </row>
    <row r="1228" spans="1:80" s="50" customFormat="1" ht="12.95" customHeight="1" x14ac:dyDescent="0.2">
      <c r="A1228" s="46">
        <v>3</v>
      </c>
      <c r="B1228" s="46">
        <v>31</v>
      </c>
      <c r="C1228" s="46">
        <v>1996</v>
      </c>
      <c r="D1228" s="52" t="s">
        <v>658</v>
      </c>
      <c r="E1228" s="52" t="s">
        <v>358</v>
      </c>
      <c r="F1228" s="52" t="s">
        <v>1010</v>
      </c>
      <c r="G1228" s="52"/>
      <c r="H1228" s="52" t="s">
        <v>1011</v>
      </c>
      <c r="I1228" s="52"/>
      <c r="J1228" s="56">
        <v>35155</v>
      </c>
      <c r="K1228" s="52" t="s">
        <v>588</v>
      </c>
      <c r="L1228" s="52" t="s">
        <v>3</v>
      </c>
      <c r="M1228" s="52" t="s">
        <v>806</v>
      </c>
      <c r="N1228" s="57">
        <v>3</v>
      </c>
      <c r="O1228" s="57">
        <v>0</v>
      </c>
      <c r="P1228" s="52" t="s">
        <v>1246</v>
      </c>
      <c r="Q1228" s="52" t="s">
        <v>1101</v>
      </c>
      <c r="R1228" s="52" t="s">
        <v>376</v>
      </c>
      <c r="S1228" s="52"/>
      <c r="T1228" s="52"/>
      <c r="U1228" s="52"/>
      <c r="V1228" s="52"/>
      <c r="W1228" s="52"/>
      <c r="X1228" s="52"/>
      <c r="Y1228" s="52"/>
      <c r="Z1228" s="57"/>
      <c r="AA1228" s="52"/>
      <c r="AB1228" s="52"/>
      <c r="AC1228" s="52"/>
      <c r="AD1228" s="52"/>
      <c r="AE1228" s="50">
        <f>IF(L1228="W",1,0)</f>
        <v>1</v>
      </c>
      <c r="AF1228" s="50">
        <f>IF(L1228="T",1,0)</f>
        <v>0</v>
      </c>
      <c r="AG1228" s="50">
        <f>IF(L1228="L",1,0)</f>
        <v>0</v>
      </c>
      <c r="AH1228" s="52" t="s">
        <v>588</v>
      </c>
      <c r="AI1228" s="52" t="s">
        <v>1175</v>
      </c>
      <c r="AJ1228" s="52" t="s">
        <v>376</v>
      </c>
      <c r="AK1228" s="50" t="s">
        <v>658</v>
      </c>
      <c r="AL1228" s="52" t="s">
        <v>1111</v>
      </c>
      <c r="AM1228" s="52" t="s">
        <v>1126</v>
      </c>
      <c r="AN1228" s="52" t="s">
        <v>376</v>
      </c>
      <c r="AO1228" s="50" t="s">
        <v>658</v>
      </c>
      <c r="AP1228" s="52"/>
      <c r="AQ1228" s="52">
        <v>2</v>
      </c>
      <c r="AR1228" s="52"/>
      <c r="AS1228" s="52"/>
      <c r="AT1228" s="46"/>
      <c r="AU1228" s="52" t="s">
        <v>376</v>
      </c>
      <c r="AV1228" s="52"/>
      <c r="AW1228" s="52" t="s">
        <v>30</v>
      </c>
      <c r="AX1228" s="52"/>
      <c r="AY1228" s="52" t="s">
        <v>30</v>
      </c>
      <c r="AZ1228" s="52"/>
      <c r="BA1228" s="52"/>
      <c r="BB1228" s="60"/>
      <c r="BC1228" s="52"/>
      <c r="BD1228" s="60"/>
      <c r="BE1228" s="60"/>
      <c r="BF1228" s="35">
        <v>1</v>
      </c>
      <c r="BG1228" s="52">
        <v>1</v>
      </c>
      <c r="BH1228" s="52"/>
      <c r="BI1228" s="52" t="s">
        <v>588</v>
      </c>
      <c r="BJ1228" s="52" t="s">
        <v>806</v>
      </c>
      <c r="BK1228" s="52">
        <v>1996</v>
      </c>
      <c r="BL1228" s="46" t="str">
        <f>BK1228&amp;BI1228</f>
        <v>1996Liverpool</v>
      </c>
      <c r="BM1228" s="52" t="str">
        <f>IF(AD1228="Home",BI1228,IF(AD1228="Away",BJ1228,Q1228))</f>
        <v>Manchester</v>
      </c>
      <c r="BN1228" s="52"/>
      <c r="BO1228" s="52"/>
      <c r="BP1228" s="52"/>
      <c r="BQ1228" s="52"/>
      <c r="BR1228" s="52"/>
      <c r="BS1228" s="52"/>
      <c r="BT1228" s="52"/>
      <c r="BU1228" s="52"/>
      <c r="BV1228" s="52" t="s">
        <v>376</v>
      </c>
      <c r="BW1228" s="52" t="s">
        <v>376</v>
      </c>
      <c r="BX1228" s="52"/>
      <c r="BY1228" s="52"/>
      <c r="BZ1228" s="53"/>
      <c r="CA1228" s="53"/>
      <c r="CB1228" s="93" t="str">
        <f>IF(OR(C1228="",A1228="",B1228=""),"",TEXT(C1228,"0000")&amp;TEXT(A1228,"00")&amp;TEXT(B1228,"00"))</f>
        <v>19960331</v>
      </c>
    </row>
    <row r="1229" spans="1:80" s="50" customFormat="1" ht="12.95" customHeight="1" x14ac:dyDescent="0.2">
      <c r="A1229" s="46">
        <v>3</v>
      </c>
      <c r="B1229" s="46">
        <v>31</v>
      </c>
      <c r="C1229" s="46">
        <v>1996</v>
      </c>
      <c r="D1229" s="52" t="s">
        <v>658</v>
      </c>
      <c r="E1229" s="52" t="s">
        <v>358</v>
      </c>
      <c r="F1229" s="52" t="s">
        <v>1010</v>
      </c>
      <c r="G1229" s="52"/>
      <c r="H1229" s="52" t="s">
        <v>1011</v>
      </c>
      <c r="I1229" s="52"/>
      <c r="J1229" s="56">
        <v>35155</v>
      </c>
      <c r="K1229" s="52" t="s">
        <v>806</v>
      </c>
      <c r="L1229" s="52" t="s">
        <v>4</v>
      </c>
      <c r="M1229" s="52" t="s">
        <v>588</v>
      </c>
      <c r="N1229" s="57">
        <v>0</v>
      </c>
      <c r="O1229" s="57">
        <v>3</v>
      </c>
      <c r="P1229" s="52" t="s">
        <v>1246</v>
      </c>
      <c r="Q1229" s="52" t="s">
        <v>1101</v>
      </c>
      <c r="R1229" s="52" t="s">
        <v>376</v>
      </c>
      <c r="S1229" s="52"/>
      <c r="T1229" s="52"/>
      <c r="U1229" s="52"/>
      <c r="V1229" s="52"/>
      <c r="W1229" s="52"/>
      <c r="X1229" s="52"/>
      <c r="Y1229" s="52"/>
      <c r="Z1229" s="57"/>
      <c r="AA1229" s="52"/>
      <c r="AB1229" s="52"/>
      <c r="AC1229" s="52"/>
      <c r="AD1229" s="52"/>
      <c r="AE1229" s="50">
        <f>IF(L1229="W",1,0)</f>
        <v>0</v>
      </c>
      <c r="AF1229" s="50">
        <f>IF(L1229="T",1,0)</f>
        <v>0</v>
      </c>
      <c r="AG1229" s="50">
        <f>IF(L1229="L",1,0)</f>
        <v>1</v>
      </c>
      <c r="AH1229" s="52" t="s">
        <v>1111</v>
      </c>
      <c r="AI1229" s="52" t="s">
        <v>1126</v>
      </c>
      <c r="AJ1229" s="52" t="s">
        <v>376</v>
      </c>
      <c r="AK1229" s="50" t="s">
        <v>658</v>
      </c>
      <c r="AL1229" s="52" t="s">
        <v>588</v>
      </c>
      <c r="AM1229" s="52" t="s">
        <v>1175</v>
      </c>
      <c r="AN1229" s="52" t="s">
        <v>376</v>
      </c>
      <c r="AO1229" s="50" t="s">
        <v>658</v>
      </c>
      <c r="AP1229" s="52"/>
      <c r="AQ1229" s="52">
        <v>2</v>
      </c>
      <c r="AR1229" s="52"/>
      <c r="AS1229" s="52">
        <v>1</v>
      </c>
      <c r="AT1229" s="46"/>
      <c r="AU1229" s="52" t="s">
        <v>376</v>
      </c>
      <c r="AV1229" s="52"/>
      <c r="AW1229" s="52" t="s">
        <v>30</v>
      </c>
      <c r="AX1229" s="52"/>
      <c r="AY1229" s="52" t="s">
        <v>30</v>
      </c>
      <c r="AZ1229" s="52"/>
      <c r="BA1229" s="52"/>
      <c r="BB1229" s="60"/>
      <c r="BC1229" s="52"/>
      <c r="BD1229" s="60"/>
      <c r="BE1229" s="60"/>
      <c r="BF1229" s="35">
        <v>1</v>
      </c>
      <c r="BG1229" s="52">
        <v>1</v>
      </c>
      <c r="BH1229" s="52"/>
      <c r="BI1229" s="52" t="s">
        <v>806</v>
      </c>
      <c r="BJ1229" s="52" t="s">
        <v>588</v>
      </c>
      <c r="BK1229" s="52">
        <v>1996</v>
      </c>
      <c r="BL1229" s="46" t="str">
        <f>BK1229&amp;BI1229</f>
        <v>1996Aston Villa</v>
      </c>
      <c r="BM1229" s="52" t="str">
        <f>IF(AD1229="Home",BI1229,IF(AD1229="Away",BJ1229,Q1229))</f>
        <v>Manchester</v>
      </c>
      <c r="BN1229" s="52"/>
      <c r="BO1229" s="52"/>
      <c r="BP1229" s="52"/>
      <c r="BQ1229" s="52"/>
      <c r="BR1229" s="52"/>
      <c r="BS1229" s="52"/>
      <c r="BT1229" s="52"/>
      <c r="BU1229" s="52"/>
      <c r="BV1229" s="52" t="s">
        <v>376</v>
      </c>
      <c r="BW1229" s="52" t="s">
        <v>376</v>
      </c>
      <c r="BX1229" s="52"/>
      <c r="BY1229" s="52"/>
      <c r="BZ1229" s="53"/>
      <c r="CA1229" s="53"/>
      <c r="CB1229" s="93" t="str">
        <f>IF(OR(C1229="",A1229="",B1229=""),"",TEXT(C1229,"0000")&amp;TEXT(A1229,"00")&amp;TEXT(B1229,"00"))</f>
        <v>19960331</v>
      </c>
    </row>
    <row r="1230" spans="1:80" s="50" customFormat="1" ht="12.95" customHeight="1" x14ac:dyDescent="0.2">
      <c r="A1230" s="46">
        <v>3</v>
      </c>
      <c r="B1230" s="46">
        <v>31</v>
      </c>
      <c r="C1230" s="46">
        <v>1996</v>
      </c>
      <c r="D1230" s="52" t="s">
        <v>658</v>
      </c>
      <c r="E1230" s="52" t="s">
        <v>358</v>
      </c>
      <c r="F1230" s="52" t="s">
        <v>1010</v>
      </c>
      <c r="G1230" s="52"/>
      <c r="H1230" s="52" t="s">
        <v>1011</v>
      </c>
      <c r="I1230" s="52"/>
      <c r="J1230" s="56">
        <v>35155</v>
      </c>
      <c r="K1230" s="52" t="s">
        <v>821</v>
      </c>
      <c r="L1230" s="52" t="s">
        <v>3</v>
      </c>
      <c r="M1230" s="52" t="s">
        <v>816</v>
      </c>
      <c r="N1230" s="57">
        <v>2</v>
      </c>
      <c r="O1230" s="57">
        <v>1</v>
      </c>
      <c r="P1230" s="52" t="s">
        <v>1219</v>
      </c>
      <c r="Q1230" s="52" t="s">
        <v>1111</v>
      </c>
      <c r="R1230" s="52" t="s">
        <v>376</v>
      </c>
      <c r="S1230" s="52"/>
      <c r="T1230" s="52"/>
      <c r="U1230" s="52"/>
      <c r="V1230" s="52"/>
      <c r="W1230" s="52"/>
      <c r="X1230" s="52"/>
      <c r="Y1230" s="52"/>
      <c r="Z1230" s="57"/>
      <c r="AA1230" s="52"/>
      <c r="AB1230" s="52"/>
      <c r="AC1230" s="52"/>
      <c r="AD1230" s="52"/>
      <c r="AE1230" s="50">
        <f>IF(L1230="W",1,0)</f>
        <v>1</v>
      </c>
      <c r="AF1230" s="50">
        <f>IF(L1230="T",1,0)</f>
        <v>0</v>
      </c>
      <c r="AG1230" s="50">
        <f>IF(L1230="L",1,0)</f>
        <v>0</v>
      </c>
      <c r="AH1230" s="52" t="s">
        <v>1101</v>
      </c>
      <c r="AI1230" s="52" t="s">
        <v>1159</v>
      </c>
      <c r="AJ1230" s="52" t="s">
        <v>376</v>
      </c>
      <c r="AK1230" s="50" t="s">
        <v>658</v>
      </c>
      <c r="AL1230" s="52" t="s">
        <v>1017</v>
      </c>
      <c r="AM1230" s="52" t="s">
        <v>1018</v>
      </c>
      <c r="AN1230" s="52" t="s">
        <v>376</v>
      </c>
      <c r="AO1230" s="50" t="s">
        <v>658</v>
      </c>
      <c r="AP1230" s="52"/>
      <c r="AQ1230" s="52">
        <v>2</v>
      </c>
      <c r="AR1230" s="52"/>
      <c r="AS1230" s="52"/>
      <c r="AT1230" s="46"/>
      <c r="AU1230" s="52" t="s">
        <v>376</v>
      </c>
      <c r="AV1230" s="52"/>
      <c r="AW1230" s="52" t="s">
        <v>30</v>
      </c>
      <c r="AX1230" s="52"/>
      <c r="AY1230" s="52" t="s">
        <v>30</v>
      </c>
      <c r="AZ1230" s="52"/>
      <c r="BA1230" s="52"/>
      <c r="BB1230" s="60"/>
      <c r="BC1230" s="52"/>
      <c r="BD1230" s="60"/>
      <c r="BE1230" s="60"/>
      <c r="BF1230" s="35">
        <v>1</v>
      </c>
      <c r="BG1230" s="52">
        <v>1</v>
      </c>
      <c r="BH1230" s="52"/>
      <c r="BI1230" s="52" t="s">
        <v>821</v>
      </c>
      <c r="BJ1230" s="52" t="s">
        <v>816</v>
      </c>
      <c r="BK1230" s="52">
        <v>1996</v>
      </c>
      <c r="BL1230" s="46" t="str">
        <f>BK1230&amp;BI1230</f>
        <v>1996Manchester United</v>
      </c>
      <c r="BM1230" s="52" t="str">
        <f>IF(AD1230="Home",BI1230,IF(AD1230="Away",BJ1230,Q1230))</f>
        <v>Birmingham</v>
      </c>
      <c r="BN1230" s="52"/>
      <c r="BO1230" s="52"/>
      <c r="BP1230" s="52"/>
      <c r="BQ1230" s="52"/>
      <c r="BR1230" s="52"/>
      <c r="BS1230" s="52"/>
      <c r="BT1230" s="52"/>
      <c r="BU1230" s="52"/>
      <c r="BV1230" s="52" t="s">
        <v>376</v>
      </c>
      <c r="BW1230" s="52" t="s">
        <v>376</v>
      </c>
      <c r="BX1230" s="52"/>
      <c r="BY1230" s="52"/>
      <c r="BZ1230" s="53"/>
      <c r="CA1230" s="53"/>
      <c r="CB1230" s="93" t="str">
        <f>IF(OR(C1230="",A1230="",B1230=""),"",TEXT(C1230,"0000")&amp;TEXT(A1230,"00")&amp;TEXT(B1230,"00"))</f>
        <v>19960331</v>
      </c>
    </row>
    <row r="1231" spans="1:80" s="50" customFormat="1" ht="12.95" customHeight="1" x14ac:dyDescent="0.2">
      <c r="A1231" s="46">
        <v>3</v>
      </c>
      <c r="B1231" s="46">
        <v>31</v>
      </c>
      <c r="C1231" s="46">
        <v>1996</v>
      </c>
      <c r="D1231" s="52" t="s">
        <v>658</v>
      </c>
      <c r="E1231" s="52" t="s">
        <v>358</v>
      </c>
      <c r="F1231" s="52" t="s">
        <v>1010</v>
      </c>
      <c r="G1231" s="52"/>
      <c r="H1231" s="52" t="s">
        <v>1011</v>
      </c>
      <c r="I1231" s="52"/>
      <c r="J1231" s="56">
        <v>35155</v>
      </c>
      <c r="K1231" s="52" t="s">
        <v>816</v>
      </c>
      <c r="L1231" s="52" t="s">
        <v>4</v>
      </c>
      <c r="M1231" s="52" t="s">
        <v>821</v>
      </c>
      <c r="N1231" s="57">
        <v>1</v>
      </c>
      <c r="O1231" s="57">
        <v>2</v>
      </c>
      <c r="P1231" s="52" t="s">
        <v>1219</v>
      </c>
      <c r="Q1231" s="52" t="s">
        <v>1111</v>
      </c>
      <c r="R1231" s="52" t="s">
        <v>376</v>
      </c>
      <c r="S1231" s="52"/>
      <c r="T1231" s="52"/>
      <c r="U1231" s="52"/>
      <c r="V1231" s="52"/>
      <c r="W1231" s="52"/>
      <c r="X1231" s="52"/>
      <c r="Y1231" s="52"/>
      <c r="Z1231" s="57"/>
      <c r="AA1231" s="52"/>
      <c r="AB1231" s="52"/>
      <c r="AC1231" s="52"/>
      <c r="AD1231" s="52"/>
      <c r="AE1231" s="50">
        <f>IF(L1231="W",1,0)</f>
        <v>0</v>
      </c>
      <c r="AF1231" s="50">
        <f>IF(L1231="T",1,0)</f>
        <v>0</v>
      </c>
      <c r="AG1231" s="50">
        <f>IF(L1231="L",1,0)</f>
        <v>1</v>
      </c>
      <c r="AH1231" s="52" t="s">
        <v>1017</v>
      </c>
      <c r="AI1231" s="52" t="s">
        <v>1018</v>
      </c>
      <c r="AJ1231" s="52" t="s">
        <v>376</v>
      </c>
      <c r="AK1231" s="50" t="s">
        <v>658</v>
      </c>
      <c r="AL1231" s="52" t="s">
        <v>1101</v>
      </c>
      <c r="AM1231" s="52" t="s">
        <v>1159</v>
      </c>
      <c r="AN1231" s="52" t="s">
        <v>376</v>
      </c>
      <c r="AO1231" s="50" t="s">
        <v>658</v>
      </c>
      <c r="AP1231" s="52"/>
      <c r="AQ1231" s="52">
        <v>2</v>
      </c>
      <c r="AR1231" s="52"/>
      <c r="AS1231" s="52">
        <v>1</v>
      </c>
      <c r="AT1231" s="46"/>
      <c r="AU1231" s="52" t="s">
        <v>376</v>
      </c>
      <c r="AV1231" s="52"/>
      <c r="AW1231" s="52" t="s">
        <v>30</v>
      </c>
      <c r="AX1231" s="52"/>
      <c r="AY1231" s="52" t="s">
        <v>30</v>
      </c>
      <c r="AZ1231" s="52"/>
      <c r="BA1231" s="52"/>
      <c r="BB1231" s="60"/>
      <c r="BC1231" s="52"/>
      <c r="BD1231" s="60"/>
      <c r="BE1231" s="60"/>
      <c r="BF1231" s="35">
        <v>1</v>
      </c>
      <c r="BG1231" s="52">
        <v>1</v>
      </c>
      <c r="BH1231" s="52"/>
      <c r="BI1231" s="52" t="s">
        <v>816</v>
      </c>
      <c r="BJ1231" s="52" t="s">
        <v>821</v>
      </c>
      <c r="BK1231" s="52">
        <v>1996</v>
      </c>
      <c r="BL1231" s="46" t="str">
        <f>BK1231&amp;BI1231</f>
        <v>1996Chelsea</v>
      </c>
      <c r="BM1231" s="52" t="str">
        <f>IF(AD1231="Home",BI1231,IF(AD1231="Away",BJ1231,Q1231))</f>
        <v>Birmingham</v>
      </c>
      <c r="BN1231" s="52"/>
      <c r="BO1231" s="52"/>
      <c r="BP1231" s="52"/>
      <c r="BQ1231" s="52"/>
      <c r="BR1231" s="52"/>
      <c r="BS1231" s="52"/>
      <c r="BT1231" s="52"/>
      <c r="BU1231" s="52"/>
      <c r="BV1231" s="52" t="s">
        <v>376</v>
      </c>
      <c r="BW1231" s="52" t="s">
        <v>376</v>
      </c>
      <c r="BX1231" s="52"/>
      <c r="BY1231" s="52"/>
      <c r="BZ1231" s="53"/>
      <c r="CA1231" s="53"/>
      <c r="CB1231" s="93" t="str">
        <f>IF(OR(C1231="",A1231="",B1231=""),"",TEXT(C1231,"0000")&amp;TEXT(A1231,"00")&amp;TEXT(B1231,"00"))</f>
        <v>19960331</v>
      </c>
    </row>
    <row r="1232" spans="1:80" s="50" customFormat="1" ht="12.95" customHeight="1" x14ac:dyDescent="0.2">
      <c r="A1232" s="46">
        <v>5</v>
      </c>
      <c r="B1232" s="46">
        <v>11</v>
      </c>
      <c r="C1232" s="46">
        <v>1996</v>
      </c>
      <c r="D1232" s="52" t="s">
        <v>658</v>
      </c>
      <c r="E1232" s="52" t="s">
        <v>358</v>
      </c>
      <c r="F1232" s="52" t="s">
        <v>1010</v>
      </c>
      <c r="G1232" s="52"/>
      <c r="H1232" s="52" t="s">
        <v>40</v>
      </c>
      <c r="I1232" s="52"/>
      <c r="J1232" s="56">
        <v>35196</v>
      </c>
      <c r="K1232" s="52" t="s">
        <v>821</v>
      </c>
      <c r="L1232" s="52" t="s">
        <v>3</v>
      </c>
      <c r="M1232" s="52" t="s">
        <v>588</v>
      </c>
      <c r="N1232" s="57">
        <v>1</v>
      </c>
      <c r="O1232" s="57">
        <v>0</v>
      </c>
      <c r="P1232" s="52" t="s">
        <v>1268</v>
      </c>
      <c r="Q1232" s="52" t="s">
        <v>1017</v>
      </c>
      <c r="R1232" s="52" t="s">
        <v>376</v>
      </c>
      <c r="S1232" s="52"/>
      <c r="T1232" s="52"/>
      <c r="U1232" s="52"/>
      <c r="V1232" s="52"/>
      <c r="W1232" s="52"/>
      <c r="X1232" s="52"/>
      <c r="Y1232" s="52"/>
      <c r="Z1232" s="57"/>
      <c r="AA1232" s="52"/>
      <c r="AB1232" s="52"/>
      <c r="AC1232" s="52"/>
      <c r="AD1232" s="52"/>
      <c r="AE1232" s="50">
        <f>IF(L1232="W",1,0)</f>
        <v>1</v>
      </c>
      <c r="AF1232" s="50">
        <f>IF(L1232="T",1,0)</f>
        <v>0</v>
      </c>
      <c r="AG1232" s="50">
        <f>IF(L1232="L",1,0)</f>
        <v>0</v>
      </c>
      <c r="AH1232" s="52" t="s">
        <v>1101</v>
      </c>
      <c r="AI1232" s="52" t="s">
        <v>1159</v>
      </c>
      <c r="AJ1232" s="52" t="s">
        <v>376</v>
      </c>
      <c r="AK1232" s="50" t="s">
        <v>658</v>
      </c>
      <c r="AL1232" s="52" t="s">
        <v>588</v>
      </c>
      <c r="AM1232" s="52" t="s">
        <v>1175</v>
      </c>
      <c r="AN1232" s="52" t="s">
        <v>376</v>
      </c>
      <c r="AO1232" s="50" t="s">
        <v>658</v>
      </c>
      <c r="AP1232" s="52"/>
      <c r="AQ1232" s="52">
        <v>1</v>
      </c>
      <c r="AR1232" s="52"/>
      <c r="AS1232" s="52" t="s">
        <v>1393</v>
      </c>
      <c r="AT1232" s="46" t="s">
        <v>1369</v>
      </c>
      <c r="AU1232" s="52" t="s">
        <v>376</v>
      </c>
      <c r="AV1232" s="52"/>
      <c r="AW1232" s="52" t="s">
        <v>30</v>
      </c>
      <c r="AX1232" s="52"/>
      <c r="AY1232" s="57" t="s">
        <v>30</v>
      </c>
      <c r="AZ1232" s="52"/>
      <c r="BA1232" s="52"/>
      <c r="BB1232" s="60" t="s">
        <v>30</v>
      </c>
      <c r="BC1232" s="52" t="s">
        <v>30</v>
      </c>
      <c r="BD1232" s="60"/>
      <c r="BE1232" s="60"/>
      <c r="BF1232" s="35">
        <v>1</v>
      </c>
      <c r="BG1232" s="52">
        <v>1</v>
      </c>
      <c r="BH1232" s="52"/>
      <c r="BI1232" s="52" t="s">
        <v>821</v>
      </c>
      <c r="BJ1232" s="52" t="s">
        <v>588</v>
      </c>
      <c r="BK1232" s="52">
        <v>1996</v>
      </c>
      <c r="BL1232" s="46" t="str">
        <f>BK1232&amp;BI1232</f>
        <v>1996Manchester United</v>
      </c>
      <c r="BM1232" s="52" t="str">
        <f>IF(AD1232="Home",BI1232,IF(AD1232="Away",BJ1232,Q1232))</f>
        <v>London</v>
      </c>
      <c r="BN1232" s="52"/>
      <c r="BO1232" s="52"/>
      <c r="BP1232" s="52"/>
      <c r="BQ1232" s="52"/>
      <c r="BR1232" s="52"/>
      <c r="BS1232" s="52"/>
      <c r="BT1232" s="52"/>
      <c r="BU1232" s="52"/>
      <c r="BV1232" s="52" t="s">
        <v>376</v>
      </c>
      <c r="BW1232" s="52" t="s">
        <v>376</v>
      </c>
      <c r="BX1232" s="52"/>
      <c r="BY1232" s="52"/>
      <c r="BZ1232" s="53"/>
      <c r="CA1232" s="53"/>
      <c r="CB1232" s="93" t="str">
        <f>IF(OR(C1232="",A1232="",B1232=""),"",TEXT(C1232,"0000")&amp;TEXT(A1232,"00")&amp;TEXT(B1232,"00"))</f>
        <v>19960511</v>
      </c>
    </row>
    <row r="1233" spans="1:80" s="50" customFormat="1" ht="12.95" customHeight="1" x14ac:dyDescent="0.2">
      <c r="A1233" s="46">
        <v>5</v>
      </c>
      <c r="B1233" s="46">
        <v>11</v>
      </c>
      <c r="C1233" s="46">
        <v>1996</v>
      </c>
      <c r="D1233" s="52" t="s">
        <v>658</v>
      </c>
      <c r="E1233" s="52" t="s">
        <v>358</v>
      </c>
      <c r="F1233" s="52" t="s">
        <v>1010</v>
      </c>
      <c r="G1233" s="52"/>
      <c r="H1233" s="52" t="s">
        <v>40</v>
      </c>
      <c r="I1233" s="52"/>
      <c r="J1233" s="56">
        <v>35196</v>
      </c>
      <c r="K1233" s="52" t="s">
        <v>588</v>
      </c>
      <c r="L1233" s="52" t="s">
        <v>4</v>
      </c>
      <c r="M1233" s="52" t="s">
        <v>821</v>
      </c>
      <c r="N1233" s="57">
        <v>0</v>
      </c>
      <c r="O1233" s="57">
        <v>1</v>
      </c>
      <c r="P1233" s="52" t="s">
        <v>1268</v>
      </c>
      <c r="Q1233" s="52" t="s">
        <v>1017</v>
      </c>
      <c r="R1233" s="52" t="s">
        <v>376</v>
      </c>
      <c r="S1233" s="52"/>
      <c r="T1233" s="52"/>
      <c r="U1233" s="52"/>
      <c r="V1233" s="52"/>
      <c r="W1233" s="52"/>
      <c r="X1233" s="52"/>
      <c r="Y1233" s="52"/>
      <c r="Z1233" s="57"/>
      <c r="AA1233" s="52"/>
      <c r="AB1233" s="52"/>
      <c r="AC1233" s="52"/>
      <c r="AD1233" s="52"/>
      <c r="AE1233" s="50">
        <f>IF(L1233="W",1,0)</f>
        <v>0</v>
      </c>
      <c r="AF1233" s="50">
        <f>IF(L1233="T",1,0)</f>
        <v>0</v>
      </c>
      <c r="AG1233" s="50">
        <f>IF(L1233="L",1,0)</f>
        <v>1</v>
      </c>
      <c r="AH1233" s="52" t="s">
        <v>588</v>
      </c>
      <c r="AI1233" s="52" t="s">
        <v>1175</v>
      </c>
      <c r="AJ1233" s="52" t="s">
        <v>376</v>
      </c>
      <c r="AK1233" s="50" t="s">
        <v>658</v>
      </c>
      <c r="AL1233" s="52" t="s">
        <v>1101</v>
      </c>
      <c r="AM1233" s="52" t="s">
        <v>1159</v>
      </c>
      <c r="AN1233" s="52" t="s">
        <v>376</v>
      </c>
      <c r="AO1233" s="50" t="s">
        <v>658</v>
      </c>
      <c r="AP1233" s="52"/>
      <c r="AQ1233" s="52">
        <v>1</v>
      </c>
      <c r="AR1233" s="52"/>
      <c r="AS1233" s="52">
        <v>1</v>
      </c>
      <c r="AT1233" s="46" t="s">
        <v>1369</v>
      </c>
      <c r="AU1233" s="52" t="s">
        <v>376</v>
      </c>
      <c r="AV1233" s="52"/>
      <c r="AW1233" s="52" t="s">
        <v>30</v>
      </c>
      <c r="AX1233" s="52"/>
      <c r="AY1233" s="52" t="s">
        <v>30</v>
      </c>
      <c r="AZ1233" s="52"/>
      <c r="BA1233" s="52"/>
      <c r="BB1233" s="60"/>
      <c r="BC1233" s="52" t="s">
        <v>30</v>
      </c>
      <c r="BD1233" s="60"/>
      <c r="BE1233" s="60" t="s">
        <v>1397</v>
      </c>
      <c r="BF1233" s="35">
        <v>1</v>
      </c>
      <c r="BG1233" s="52">
        <v>1</v>
      </c>
      <c r="BH1233" s="52"/>
      <c r="BI1233" s="52" t="s">
        <v>588</v>
      </c>
      <c r="BJ1233" s="52" t="s">
        <v>821</v>
      </c>
      <c r="BK1233" s="52">
        <v>1996</v>
      </c>
      <c r="BL1233" s="46" t="str">
        <f>BK1233&amp;BI1233</f>
        <v>1996Liverpool</v>
      </c>
      <c r="BM1233" s="52" t="str">
        <f>IF(AD1233="Home",BI1233,IF(AD1233="Away",BJ1233,Q1233))</f>
        <v>London</v>
      </c>
      <c r="BN1233" s="52"/>
      <c r="BO1233" s="52"/>
      <c r="BP1233" s="52"/>
      <c r="BQ1233" s="52"/>
      <c r="BR1233" s="52"/>
      <c r="BS1233" s="52"/>
      <c r="BT1233" s="52"/>
      <c r="BU1233" s="52"/>
      <c r="BV1233" s="52" t="s">
        <v>376</v>
      </c>
      <c r="BW1233" s="52" t="s">
        <v>376</v>
      </c>
      <c r="BX1233" s="52"/>
      <c r="BY1233" s="52"/>
      <c r="BZ1233" s="53"/>
      <c r="CA1233" s="53"/>
      <c r="CB1233" s="93" t="str">
        <f>IF(OR(C1233="",A1233="",B1233=""),"",TEXT(C1233,"0000")&amp;TEXT(A1233,"00")&amp;TEXT(B1233,"00"))</f>
        <v>19960511</v>
      </c>
    </row>
    <row r="1234" spans="1:80" s="50" customFormat="1" ht="12.95" customHeight="1" x14ac:dyDescent="0.2">
      <c r="A1234" s="46">
        <v>2</v>
      </c>
      <c r="B1234" s="46">
        <v>18</v>
      </c>
      <c r="C1234" s="46">
        <v>1997</v>
      </c>
      <c r="D1234" s="52" t="s">
        <v>658</v>
      </c>
      <c r="E1234" s="52" t="s">
        <v>352</v>
      </c>
      <c r="F1234" s="52" t="s">
        <v>1327</v>
      </c>
      <c r="G1234" s="52"/>
      <c r="H1234" s="52" t="s">
        <v>1011</v>
      </c>
      <c r="I1234" s="52">
        <v>1</v>
      </c>
      <c r="J1234" s="56">
        <v>35479</v>
      </c>
      <c r="K1234" s="52" t="s">
        <v>1291</v>
      </c>
      <c r="L1234" s="52" t="s">
        <v>1014</v>
      </c>
      <c r="M1234" s="52" t="s">
        <v>1387</v>
      </c>
      <c r="N1234" s="57">
        <v>0</v>
      </c>
      <c r="O1234" s="57">
        <v>0</v>
      </c>
      <c r="P1234" s="52" t="s">
        <v>1277</v>
      </c>
      <c r="Q1234" s="52" t="s">
        <v>1278</v>
      </c>
      <c r="R1234" s="52" t="s">
        <v>376</v>
      </c>
      <c r="S1234" s="52"/>
      <c r="T1234" s="52"/>
      <c r="U1234" s="52"/>
      <c r="V1234" s="52"/>
      <c r="W1234" s="52"/>
      <c r="X1234" s="52"/>
      <c r="Y1234" s="52"/>
      <c r="Z1234" s="57"/>
      <c r="AA1234" s="58">
        <v>0</v>
      </c>
      <c r="AB1234" s="58">
        <v>0</v>
      </c>
      <c r="AC1234" s="59">
        <v>0</v>
      </c>
      <c r="AD1234" s="52" t="s">
        <v>1033</v>
      </c>
      <c r="AE1234" s="50">
        <f>IF(L1234="W",1,0)</f>
        <v>0</v>
      </c>
      <c r="AF1234" s="50">
        <f>IF(L1234="T",1,0)</f>
        <v>1</v>
      </c>
      <c r="AG1234" s="50">
        <f>IF(L1234="L",1,0)</f>
        <v>0</v>
      </c>
      <c r="AH1234" s="52" t="s">
        <v>1278</v>
      </c>
      <c r="AI1234" s="52" t="s">
        <v>1292</v>
      </c>
      <c r="AJ1234" s="52" t="s">
        <v>376</v>
      </c>
      <c r="AK1234" s="50" t="s">
        <v>658</v>
      </c>
      <c r="AL1234" s="52" t="s">
        <v>1017</v>
      </c>
      <c r="AM1234" s="52" t="s">
        <v>1018</v>
      </c>
      <c r="AN1234" s="52" t="s">
        <v>376</v>
      </c>
      <c r="AO1234" s="50" t="s">
        <v>658</v>
      </c>
      <c r="AP1234" s="52"/>
      <c r="AQ1234" s="52">
        <v>2</v>
      </c>
      <c r="AR1234" s="52"/>
      <c r="AS1234" s="52"/>
      <c r="AT1234" s="46"/>
      <c r="AU1234" s="52" t="s">
        <v>376</v>
      </c>
      <c r="AV1234" s="52"/>
      <c r="AW1234" s="52" t="s">
        <v>30</v>
      </c>
      <c r="AX1234" s="52"/>
      <c r="AY1234" s="52"/>
      <c r="AZ1234" s="52" t="s">
        <v>30</v>
      </c>
      <c r="BA1234" s="52"/>
      <c r="BB1234" s="60"/>
      <c r="BC1234" s="52"/>
      <c r="BD1234" s="60"/>
      <c r="BE1234" s="60"/>
      <c r="BF1234" s="35">
        <v>1</v>
      </c>
      <c r="BG1234" s="52">
        <v>1</v>
      </c>
      <c r="BH1234" s="52"/>
      <c r="BI1234" s="52" t="s">
        <v>1291</v>
      </c>
      <c r="BJ1234" s="52" t="s">
        <v>1388</v>
      </c>
      <c r="BK1234" s="52">
        <v>1997</v>
      </c>
      <c r="BL1234" s="46" t="str">
        <f>BK1234&amp;BI1234</f>
        <v>1997Leicester City</v>
      </c>
      <c r="BM1234" s="52" t="str">
        <f>IF(AD1234="Home",BI1234,IF(AD1234="Away",BJ1234,Q1234))</f>
        <v>Leicester City</v>
      </c>
      <c r="BN1234" s="52"/>
      <c r="BO1234" s="52"/>
      <c r="BP1234" s="52"/>
      <c r="BQ1234" s="52"/>
      <c r="BR1234" s="52"/>
      <c r="BS1234" s="52"/>
      <c r="BT1234" s="52"/>
      <c r="BU1234" s="52"/>
      <c r="BV1234" s="52" t="s">
        <v>376</v>
      </c>
      <c r="BW1234" s="52" t="s">
        <v>376</v>
      </c>
      <c r="BX1234" s="52"/>
      <c r="BY1234" s="52"/>
      <c r="BZ1234" s="53"/>
      <c r="CA1234" s="53"/>
      <c r="CB1234" s="93" t="str">
        <f>IF(OR(C1234="",A1234="",B1234=""),"",TEXT(C1234,"0000")&amp;TEXT(A1234,"00")&amp;TEXT(B1234,"00"))</f>
        <v>19970218</v>
      </c>
    </row>
    <row r="1235" spans="1:80" s="50" customFormat="1" ht="12.95" customHeight="1" x14ac:dyDescent="0.2">
      <c r="A1235" s="46">
        <v>2</v>
      </c>
      <c r="B1235" s="46">
        <v>18</v>
      </c>
      <c r="C1235" s="46">
        <v>1997</v>
      </c>
      <c r="D1235" s="52" t="s">
        <v>658</v>
      </c>
      <c r="E1235" s="52" t="s">
        <v>352</v>
      </c>
      <c r="F1235" s="52" t="s">
        <v>1327</v>
      </c>
      <c r="G1235" s="52"/>
      <c r="H1235" s="52" t="s">
        <v>1011</v>
      </c>
      <c r="I1235" s="52">
        <v>1</v>
      </c>
      <c r="J1235" s="56">
        <v>35479</v>
      </c>
      <c r="K1235" s="52" t="s">
        <v>1387</v>
      </c>
      <c r="L1235" s="52" t="s">
        <v>1014</v>
      </c>
      <c r="M1235" s="52" t="s">
        <v>1291</v>
      </c>
      <c r="N1235" s="57">
        <v>0</v>
      </c>
      <c r="O1235" s="57">
        <v>0</v>
      </c>
      <c r="P1235" s="52" t="s">
        <v>1277</v>
      </c>
      <c r="Q1235" s="52" t="s">
        <v>1278</v>
      </c>
      <c r="R1235" s="52" t="s">
        <v>376</v>
      </c>
      <c r="S1235" s="52"/>
      <c r="T1235" s="52"/>
      <c r="U1235" s="52"/>
      <c r="V1235" s="52"/>
      <c r="W1235" s="52"/>
      <c r="X1235" s="52"/>
      <c r="Y1235" s="52"/>
      <c r="Z1235" s="57"/>
      <c r="AA1235" s="58">
        <v>0</v>
      </c>
      <c r="AB1235" s="58">
        <v>0</v>
      </c>
      <c r="AC1235" s="59">
        <v>0</v>
      </c>
      <c r="AD1235" s="52" t="s">
        <v>1037</v>
      </c>
      <c r="AE1235" s="50">
        <f>IF(L1235="W",1,0)</f>
        <v>0</v>
      </c>
      <c r="AF1235" s="50">
        <f>IF(L1235="T",1,0)</f>
        <v>1</v>
      </c>
      <c r="AG1235" s="50">
        <f>IF(L1235="L",1,0)</f>
        <v>0</v>
      </c>
      <c r="AH1235" s="52" t="s">
        <v>1017</v>
      </c>
      <c r="AI1235" s="52" t="s">
        <v>1018</v>
      </c>
      <c r="AJ1235" s="52" t="s">
        <v>376</v>
      </c>
      <c r="AK1235" s="50" t="s">
        <v>658</v>
      </c>
      <c r="AL1235" s="52" t="s">
        <v>1278</v>
      </c>
      <c r="AM1235" s="52" t="s">
        <v>1292</v>
      </c>
      <c r="AN1235" s="52" t="s">
        <v>376</v>
      </c>
      <c r="AO1235" s="50" t="s">
        <v>658</v>
      </c>
      <c r="AP1235" s="52"/>
      <c r="AQ1235" s="52">
        <v>2</v>
      </c>
      <c r="AR1235" s="52"/>
      <c r="AS1235" s="52"/>
      <c r="AT1235" s="46"/>
      <c r="AU1235" s="52" t="s">
        <v>376</v>
      </c>
      <c r="AV1235" s="52"/>
      <c r="AW1235" s="52" t="s">
        <v>30</v>
      </c>
      <c r="AX1235" s="52"/>
      <c r="AY1235" s="52"/>
      <c r="AZ1235" s="52" t="s">
        <v>30</v>
      </c>
      <c r="BA1235" s="52"/>
      <c r="BB1235" s="60"/>
      <c r="BC1235" s="52"/>
      <c r="BD1235" s="60"/>
      <c r="BE1235" s="60"/>
      <c r="BF1235" s="35">
        <v>1</v>
      </c>
      <c r="BG1235" s="52">
        <v>1</v>
      </c>
      <c r="BH1235" s="52"/>
      <c r="BI1235" s="52" t="s">
        <v>1388</v>
      </c>
      <c r="BJ1235" s="52" t="s">
        <v>1291</v>
      </c>
      <c r="BK1235" s="52">
        <v>1997</v>
      </c>
      <c r="BL1235" s="46" t="str">
        <f>BK1235&amp;BI1235</f>
        <v>1997Milton Keynes Dons</v>
      </c>
      <c r="BM1235" s="52" t="str">
        <f>IF(AD1235="Home",BI1235,IF(AD1235="Away",BJ1235,Q1235))</f>
        <v>Leicester City</v>
      </c>
      <c r="BN1235" s="52"/>
      <c r="BO1235" s="52"/>
      <c r="BP1235" s="52"/>
      <c r="BQ1235" s="52"/>
      <c r="BR1235" s="52"/>
      <c r="BS1235" s="52"/>
      <c r="BT1235" s="52"/>
      <c r="BU1235" s="52"/>
      <c r="BV1235" s="52" t="s">
        <v>376</v>
      </c>
      <c r="BW1235" s="52" t="s">
        <v>376</v>
      </c>
      <c r="BX1235" s="52"/>
      <c r="BY1235" s="52"/>
      <c r="BZ1235" s="53"/>
      <c r="CA1235" s="53"/>
      <c r="CB1235" s="93" t="str">
        <f>IF(OR(C1235="",A1235="",B1235=""),"",TEXT(C1235,"0000")&amp;TEXT(A1235,"00")&amp;TEXT(B1235,"00"))</f>
        <v>19970218</v>
      </c>
    </row>
    <row r="1236" spans="1:80" s="50" customFormat="1" ht="12.95" customHeight="1" x14ac:dyDescent="0.2">
      <c r="A1236" s="46">
        <v>2</v>
      </c>
      <c r="B1236" s="46">
        <v>26</v>
      </c>
      <c r="C1236" s="46">
        <v>1997</v>
      </c>
      <c r="D1236" s="46" t="s">
        <v>658</v>
      </c>
      <c r="E1236" s="46" t="s">
        <v>352</v>
      </c>
      <c r="F1236" s="54" t="s">
        <v>1327</v>
      </c>
      <c r="G1236" s="46"/>
      <c r="H1236" s="54" t="s">
        <v>1011</v>
      </c>
      <c r="I1236" s="54">
        <v>1</v>
      </c>
      <c r="J1236" s="55">
        <v>35487</v>
      </c>
      <c r="K1236" s="46" t="s">
        <v>1401</v>
      </c>
      <c r="L1236" s="46" t="s">
        <v>4</v>
      </c>
      <c r="M1236" s="46" t="s">
        <v>1366</v>
      </c>
      <c r="N1236" s="49">
        <v>0</v>
      </c>
      <c r="O1236" s="49">
        <v>2</v>
      </c>
      <c r="P1236" s="54" t="s">
        <v>1402</v>
      </c>
      <c r="Q1236" s="54" t="s">
        <v>1101</v>
      </c>
      <c r="R1236" s="54" t="s">
        <v>376</v>
      </c>
      <c r="S1236" s="46"/>
      <c r="T1236" s="46"/>
      <c r="U1236" s="46"/>
      <c r="V1236" s="46"/>
      <c r="W1236" s="46"/>
      <c r="X1236" s="46"/>
      <c r="Y1236" s="46"/>
      <c r="Z1236" s="46"/>
      <c r="AA1236" s="46"/>
      <c r="AB1236" s="46"/>
      <c r="AC1236" s="46"/>
      <c r="AD1236" s="46" t="s">
        <v>1033</v>
      </c>
      <c r="AE1236" s="50">
        <f>IF(L1236="W",1,0)</f>
        <v>0</v>
      </c>
      <c r="AF1236" s="50">
        <f>IF(L1236="T",1,0)</f>
        <v>0</v>
      </c>
      <c r="AG1236" s="50">
        <f>IF(L1236="L",1,0)</f>
        <v>1</v>
      </c>
      <c r="AH1236" s="46" t="s">
        <v>1101</v>
      </c>
      <c r="AI1236" s="46" t="s">
        <v>1159</v>
      </c>
      <c r="AJ1236" s="46" t="s">
        <v>376</v>
      </c>
      <c r="AK1236" s="46" t="s">
        <v>658</v>
      </c>
      <c r="AL1236" s="46" t="s">
        <v>1366</v>
      </c>
      <c r="AM1236" s="46" t="s">
        <v>1317</v>
      </c>
      <c r="AN1236" s="46" t="s">
        <v>376</v>
      </c>
      <c r="AO1236" s="46" t="s">
        <v>658</v>
      </c>
      <c r="AP1236" s="46"/>
      <c r="AQ1236" s="46">
        <v>2</v>
      </c>
      <c r="AR1236" s="46"/>
      <c r="AS1236" s="46"/>
      <c r="AT1236" s="46"/>
      <c r="AU1236" s="46" t="s">
        <v>376</v>
      </c>
      <c r="AV1236" s="46"/>
      <c r="AW1236" s="46" t="s">
        <v>30</v>
      </c>
      <c r="AX1236" s="46"/>
      <c r="AY1236" s="46"/>
      <c r="AZ1236" s="46" t="s">
        <v>30</v>
      </c>
      <c r="BA1236" s="54"/>
      <c r="BB1236" s="51"/>
      <c r="BC1236" s="46"/>
      <c r="BD1236" s="46"/>
      <c r="BE1236" s="46"/>
      <c r="BF1236" s="46">
        <v>1</v>
      </c>
      <c r="BG1236" s="46">
        <v>3</v>
      </c>
      <c r="BH1236" s="46">
        <v>1</v>
      </c>
      <c r="BI1236" s="46" t="s">
        <v>1401</v>
      </c>
      <c r="BJ1236" s="46" t="s">
        <v>1366</v>
      </c>
      <c r="BK1236" s="46">
        <v>1997</v>
      </c>
      <c r="BL1236" s="46" t="str">
        <f>BK1236&amp;BI1236</f>
        <v>1997Stockport County</v>
      </c>
      <c r="BM1236" s="52" t="str">
        <f>IF(AD1236="Home",BI1236,IF(AD1236="Away",BJ1236,Q1236))</f>
        <v>Stockport County</v>
      </c>
      <c r="BN1236" s="46"/>
      <c r="BO1236" s="46"/>
      <c r="BP1236" s="46"/>
      <c r="BQ1236" s="46"/>
      <c r="BR1236" s="46"/>
      <c r="BS1236" s="46"/>
      <c r="BT1236" s="46"/>
      <c r="BU1236" s="46"/>
      <c r="BV1236" s="46" t="s">
        <v>376</v>
      </c>
      <c r="BW1236" s="46" t="s">
        <v>376</v>
      </c>
      <c r="BX1236" s="46"/>
      <c r="BY1236" s="52"/>
      <c r="BZ1236" s="53"/>
      <c r="CA1236" s="53"/>
      <c r="CB1236" s="93" t="str">
        <f>IF(OR(C1236="",A1236="",B1236=""),"",TEXT(C1236,"0000")&amp;TEXT(A1236,"00")&amp;TEXT(B1236,"00"))</f>
        <v>19970226</v>
      </c>
    </row>
    <row r="1237" spans="1:80" s="50" customFormat="1" ht="12.95" customHeight="1" x14ac:dyDescent="0.2">
      <c r="A1237" s="46">
        <v>2</v>
      </c>
      <c r="B1237" s="46">
        <v>26</v>
      </c>
      <c r="C1237" s="46">
        <v>1997</v>
      </c>
      <c r="D1237" s="52" t="s">
        <v>658</v>
      </c>
      <c r="E1237" s="52" t="s">
        <v>352</v>
      </c>
      <c r="F1237" s="52" t="s">
        <v>1327</v>
      </c>
      <c r="G1237" s="52"/>
      <c r="H1237" s="52" t="s">
        <v>1011</v>
      </c>
      <c r="I1237" s="52">
        <v>1</v>
      </c>
      <c r="J1237" s="56">
        <v>35487</v>
      </c>
      <c r="K1237" s="52" t="s">
        <v>1366</v>
      </c>
      <c r="L1237" s="52" t="s">
        <v>3</v>
      </c>
      <c r="M1237" s="52" t="s">
        <v>1401</v>
      </c>
      <c r="N1237" s="57">
        <v>2</v>
      </c>
      <c r="O1237" s="57">
        <v>0</v>
      </c>
      <c r="P1237" s="52" t="s">
        <v>1402</v>
      </c>
      <c r="Q1237" s="52" t="s">
        <v>1101</v>
      </c>
      <c r="R1237" s="52" t="s">
        <v>376</v>
      </c>
      <c r="S1237" s="52"/>
      <c r="T1237" s="52"/>
      <c r="U1237" s="52"/>
      <c r="V1237" s="52"/>
      <c r="W1237" s="52"/>
      <c r="X1237" s="52"/>
      <c r="Y1237" s="52"/>
      <c r="Z1237" s="57"/>
      <c r="AA1237" s="58">
        <v>2</v>
      </c>
      <c r="AB1237" s="58">
        <v>0</v>
      </c>
      <c r="AC1237" s="59">
        <v>2</v>
      </c>
      <c r="AD1237" s="52" t="s">
        <v>1037</v>
      </c>
      <c r="AE1237" s="50">
        <f>IF(L1237="W",1,0)</f>
        <v>1</v>
      </c>
      <c r="AF1237" s="50">
        <f>IF(L1237="T",1,0)</f>
        <v>0</v>
      </c>
      <c r="AG1237" s="50">
        <f>IF(L1237="L",1,0)</f>
        <v>0</v>
      </c>
      <c r="AH1237" s="52" t="s">
        <v>1366</v>
      </c>
      <c r="AI1237" s="52" t="s">
        <v>1317</v>
      </c>
      <c r="AJ1237" s="52" t="s">
        <v>376</v>
      </c>
      <c r="AK1237" s="50" t="s">
        <v>658</v>
      </c>
      <c r="AL1237" s="52" t="s">
        <v>1101</v>
      </c>
      <c r="AM1237" s="52" t="s">
        <v>1159</v>
      </c>
      <c r="AN1237" s="52" t="s">
        <v>376</v>
      </c>
      <c r="AO1237" s="50" t="s">
        <v>658</v>
      </c>
      <c r="AP1237" s="52"/>
      <c r="AQ1237" s="52">
        <v>2</v>
      </c>
      <c r="AR1237" s="52"/>
      <c r="AS1237" s="52"/>
      <c r="AT1237" s="46"/>
      <c r="AU1237" s="52" t="s">
        <v>376</v>
      </c>
      <c r="AV1237" s="52"/>
      <c r="AW1237" s="52" t="s">
        <v>30</v>
      </c>
      <c r="AX1237" s="52"/>
      <c r="AY1237" s="52"/>
      <c r="AZ1237" s="52" t="s">
        <v>30</v>
      </c>
      <c r="BA1237" s="52"/>
      <c r="BB1237" s="60"/>
      <c r="BC1237" s="52"/>
      <c r="BD1237" s="60"/>
      <c r="BE1237" s="60"/>
      <c r="BF1237" s="35">
        <v>1</v>
      </c>
      <c r="BG1237" s="52">
        <v>1</v>
      </c>
      <c r="BH1237" s="52"/>
      <c r="BI1237" s="52" t="s">
        <v>1366</v>
      </c>
      <c r="BJ1237" s="52" t="s">
        <v>1401</v>
      </c>
      <c r="BK1237" s="52">
        <v>1997</v>
      </c>
      <c r="BL1237" s="46" t="str">
        <f>BK1237&amp;BI1237</f>
        <v>1997Middlesbrough</v>
      </c>
      <c r="BM1237" s="52" t="str">
        <f>IF(AD1237="Home",BI1237,IF(AD1237="Away",BJ1237,Q1237))</f>
        <v>Stockport County</v>
      </c>
      <c r="BN1237" s="52"/>
      <c r="BO1237" s="52"/>
      <c r="BP1237" s="52"/>
      <c r="BQ1237" s="52"/>
      <c r="BR1237" s="52"/>
      <c r="BS1237" s="52"/>
      <c r="BT1237" s="52"/>
      <c r="BU1237" s="52"/>
      <c r="BV1237" s="52" t="s">
        <v>376</v>
      </c>
      <c r="BW1237" s="52" t="s">
        <v>376</v>
      </c>
      <c r="BX1237" s="52"/>
      <c r="BY1237" s="52"/>
      <c r="BZ1237" s="53"/>
      <c r="CA1237" s="53"/>
      <c r="CB1237" s="93" t="str">
        <f>IF(OR(C1237="",A1237="",B1237=""),"",TEXT(C1237,"0000")&amp;TEXT(A1237,"00")&amp;TEXT(B1237,"00"))</f>
        <v>19970226</v>
      </c>
    </row>
    <row r="1238" spans="1:80" s="50" customFormat="1" ht="12.95" customHeight="1" x14ac:dyDescent="0.2">
      <c r="A1238" s="46">
        <v>3</v>
      </c>
      <c r="B1238" s="46">
        <v>11</v>
      </c>
      <c r="C1238" s="46">
        <v>1997</v>
      </c>
      <c r="D1238" s="52" t="s">
        <v>658</v>
      </c>
      <c r="E1238" s="52" t="s">
        <v>352</v>
      </c>
      <c r="F1238" s="52" t="s">
        <v>1327</v>
      </c>
      <c r="G1238" s="52"/>
      <c r="H1238" s="52" t="s">
        <v>1011</v>
      </c>
      <c r="I1238" s="52">
        <v>2</v>
      </c>
      <c r="J1238" s="56">
        <v>35500</v>
      </c>
      <c r="K1238" s="52" t="s">
        <v>1387</v>
      </c>
      <c r="L1238" s="52" t="s">
        <v>4</v>
      </c>
      <c r="M1238" s="52" t="s">
        <v>1291</v>
      </c>
      <c r="N1238" s="57">
        <v>1</v>
      </c>
      <c r="O1238" s="57">
        <v>1</v>
      </c>
      <c r="P1238" s="52" t="s">
        <v>1391</v>
      </c>
      <c r="Q1238" s="52" t="s">
        <v>1017</v>
      </c>
      <c r="R1238" s="52" t="s">
        <v>376</v>
      </c>
      <c r="S1238" s="52"/>
      <c r="T1238" s="52"/>
      <c r="U1238" s="52"/>
      <c r="V1238" s="52"/>
      <c r="W1238" s="52"/>
      <c r="X1238" s="52"/>
      <c r="Y1238" s="52"/>
      <c r="Z1238" s="57"/>
      <c r="AA1238" s="58">
        <v>1</v>
      </c>
      <c r="AB1238" s="58">
        <v>1</v>
      </c>
      <c r="AC1238" s="59">
        <v>0</v>
      </c>
      <c r="AD1238" s="52" t="s">
        <v>1033</v>
      </c>
      <c r="AE1238" s="50">
        <f>IF(L1238="W",1,0)</f>
        <v>0</v>
      </c>
      <c r="AF1238" s="50">
        <f>IF(L1238="T",1,0)</f>
        <v>0</v>
      </c>
      <c r="AG1238" s="50">
        <f>IF(L1238="L",1,0)</f>
        <v>1</v>
      </c>
      <c r="AH1238" s="52" t="s">
        <v>1017</v>
      </c>
      <c r="AI1238" s="52" t="s">
        <v>1018</v>
      </c>
      <c r="AJ1238" s="52" t="s">
        <v>376</v>
      </c>
      <c r="AK1238" s="50" t="s">
        <v>658</v>
      </c>
      <c r="AL1238" s="52" t="s">
        <v>1278</v>
      </c>
      <c r="AM1238" s="52" t="s">
        <v>1292</v>
      </c>
      <c r="AN1238" s="52" t="s">
        <v>376</v>
      </c>
      <c r="AO1238" s="50" t="s">
        <v>658</v>
      </c>
      <c r="AP1238" s="52"/>
      <c r="AQ1238" s="52">
        <v>2</v>
      </c>
      <c r="AR1238" s="52"/>
      <c r="AS1238" s="52">
        <v>1</v>
      </c>
      <c r="AT1238" s="46"/>
      <c r="AU1238" s="52" t="s">
        <v>376</v>
      </c>
      <c r="AV1238" s="52"/>
      <c r="AW1238" s="52" t="s">
        <v>30</v>
      </c>
      <c r="AX1238" s="52"/>
      <c r="AY1238" s="52"/>
      <c r="AZ1238" s="52" t="s">
        <v>30</v>
      </c>
      <c r="BA1238" s="52"/>
      <c r="BB1238" s="60"/>
      <c r="BC1238" s="52"/>
      <c r="BD1238" s="60"/>
      <c r="BE1238" s="60"/>
      <c r="BF1238" s="35">
        <v>1</v>
      </c>
      <c r="BG1238" s="52">
        <v>1</v>
      </c>
      <c r="BH1238" s="52"/>
      <c r="BI1238" s="52" t="s">
        <v>1388</v>
      </c>
      <c r="BJ1238" s="52" t="s">
        <v>1291</v>
      </c>
      <c r="BK1238" s="52">
        <v>1997</v>
      </c>
      <c r="BL1238" s="46" t="str">
        <f>BK1238&amp;BI1238</f>
        <v>1997Milton Keynes Dons</v>
      </c>
      <c r="BM1238" s="52" t="str">
        <f>IF(AD1238="Home",BI1238,IF(AD1238="Away",BJ1238,Q1238))</f>
        <v>Milton Keynes Dons</v>
      </c>
      <c r="BN1238" s="52"/>
      <c r="BO1238" s="52"/>
      <c r="BP1238" s="52"/>
      <c r="BQ1238" s="52"/>
      <c r="BR1238" s="52"/>
      <c r="BS1238" s="52"/>
      <c r="BT1238" s="52"/>
      <c r="BU1238" s="52"/>
      <c r="BV1238" s="52" t="s">
        <v>376</v>
      </c>
      <c r="BW1238" s="52" t="s">
        <v>376</v>
      </c>
      <c r="BX1238" s="52"/>
      <c r="BY1238" s="52"/>
      <c r="BZ1238" s="53"/>
      <c r="CA1238" s="53"/>
      <c r="CB1238" s="93" t="str">
        <f>IF(OR(C1238="",A1238="",B1238=""),"",TEXT(C1238,"0000")&amp;TEXT(A1238,"00")&amp;TEXT(B1238,"00"))</f>
        <v>19970311</v>
      </c>
    </row>
    <row r="1239" spans="1:80" s="50" customFormat="1" ht="12.95" customHeight="1" x14ac:dyDescent="0.2">
      <c r="A1239" s="46">
        <v>3</v>
      </c>
      <c r="B1239" s="46">
        <v>11</v>
      </c>
      <c r="C1239" s="46">
        <v>1997</v>
      </c>
      <c r="D1239" s="52" t="s">
        <v>658</v>
      </c>
      <c r="E1239" s="52" t="s">
        <v>352</v>
      </c>
      <c r="F1239" s="52" t="s">
        <v>1327</v>
      </c>
      <c r="G1239" s="52"/>
      <c r="H1239" s="52" t="s">
        <v>1011</v>
      </c>
      <c r="I1239" s="52">
        <v>2</v>
      </c>
      <c r="J1239" s="56">
        <v>35500</v>
      </c>
      <c r="K1239" s="52" t="s">
        <v>1291</v>
      </c>
      <c r="L1239" s="52" t="s">
        <v>3</v>
      </c>
      <c r="M1239" s="52" t="s">
        <v>1387</v>
      </c>
      <c r="N1239" s="57">
        <v>1</v>
      </c>
      <c r="O1239" s="57">
        <v>1</v>
      </c>
      <c r="P1239" s="52" t="s">
        <v>1391</v>
      </c>
      <c r="Q1239" s="52" t="s">
        <v>1017</v>
      </c>
      <c r="R1239" s="52" t="s">
        <v>376</v>
      </c>
      <c r="S1239" s="52"/>
      <c r="T1239" s="52"/>
      <c r="U1239" s="52"/>
      <c r="V1239" s="52"/>
      <c r="W1239" s="52"/>
      <c r="X1239" s="52"/>
      <c r="Y1239" s="52"/>
      <c r="Z1239" s="57"/>
      <c r="AA1239" s="58">
        <v>1</v>
      </c>
      <c r="AB1239" s="58">
        <v>1</v>
      </c>
      <c r="AC1239" s="59">
        <v>1</v>
      </c>
      <c r="AD1239" s="52" t="s">
        <v>1037</v>
      </c>
      <c r="AE1239" s="50">
        <f>IF(L1239="W",1,0)</f>
        <v>1</v>
      </c>
      <c r="AF1239" s="50">
        <f>IF(L1239="T",1,0)</f>
        <v>0</v>
      </c>
      <c r="AG1239" s="50">
        <f>IF(L1239="L",1,0)</f>
        <v>0</v>
      </c>
      <c r="AH1239" s="52" t="s">
        <v>1278</v>
      </c>
      <c r="AI1239" s="52" t="s">
        <v>1292</v>
      </c>
      <c r="AJ1239" s="52" t="s">
        <v>376</v>
      </c>
      <c r="AK1239" s="50" t="s">
        <v>658</v>
      </c>
      <c r="AL1239" s="52" t="s">
        <v>1017</v>
      </c>
      <c r="AM1239" s="52" t="s">
        <v>1018</v>
      </c>
      <c r="AN1239" s="52" t="s">
        <v>376</v>
      </c>
      <c r="AO1239" s="50" t="s">
        <v>658</v>
      </c>
      <c r="AP1239" s="52"/>
      <c r="AQ1239" s="52">
        <v>2</v>
      </c>
      <c r="AR1239" s="52"/>
      <c r="AS1239" s="52"/>
      <c r="AT1239" s="46"/>
      <c r="AU1239" s="52" t="s">
        <v>376</v>
      </c>
      <c r="AV1239" s="52"/>
      <c r="AW1239" s="52" t="s">
        <v>30</v>
      </c>
      <c r="AX1239" s="52"/>
      <c r="AY1239" s="52"/>
      <c r="AZ1239" s="52" t="s">
        <v>30</v>
      </c>
      <c r="BA1239" s="52"/>
      <c r="BB1239" s="60"/>
      <c r="BC1239" s="52"/>
      <c r="BD1239" s="60"/>
      <c r="BE1239" s="60"/>
      <c r="BF1239" s="35">
        <v>1</v>
      </c>
      <c r="BG1239" s="52">
        <v>1</v>
      </c>
      <c r="BH1239" s="52"/>
      <c r="BI1239" s="52" t="s">
        <v>1291</v>
      </c>
      <c r="BJ1239" s="52" t="s">
        <v>1388</v>
      </c>
      <c r="BK1239" s="52">
        <v>1997</v>
      </c>
      <c r="BL1239" s="46" t="str">
        <f>BK1239&amp;BI1239</f>
        <v>1997Leicester City</v>
      </c>
      <c r="BM1239" s="52" t="str">
        <f>IF(AD1239="Home",BI1239,IF(AD1239="Away",BJ1239,Q1239))</f>
        <v>Milton Keynes Dons</v>
      </c>
      <c r="BN1239" s="52"/>
      <c r="BO1239" s="52"/>
      <c r="BP1239" s="52"/>
      <c r="BQ1239" s="52"/>
      <c r="BR1239" s="52"/>
      <c r="BS1239" s="52"/>
      <c r="BT1239" s="52"/>
      <c r="BU1239" s="52"/>
      <c r="BV1239" s="52" t="s">
        <v>376</v>
      </c>
      <c r="BW1239" s="52" t="s">
        <v>376</v>
      </c>
      <c r="BX1239" s="52"/>
      <c r="BY1239" s="52"/>
      <c r="BZ1239" s="53"/>
      <c r="CA1239" s="53"/>
      <c r="CB1239" s="93" t="str">
        <f>IF(OR(C1239="",A1239="",B1239=""),"",TEXT(C1239,"0000")&amp;TEXT(A1239,"00")&amp;TEXT(B1239,"00"))</f>
        <v>19970311</v>
      </c>
    </row>
    <row r="1240" spans="1:80" s="50" customFormat="1" ht="12.95" customHeight="1" x14ac:dyDescent="0.2">
      <c r="A1240" s="46">
        <v>3</v>
      </c>
      <c r="B1240" s="46">
        <v>12</v>
      </c>
      <c r="C1240" s="46">
        <v>1997</v>
      </c>
      <c r="D1240" s="52" t="s">
        <v>658</v>
      </c>
      <c r="E1240" s="52" t="s">
        <v>352</v>
      </c>
      <c r="F1240" s="52" t="s">
        <v>1327</v>
      </c>
      <c r="G1240" s="52"/>
      <c r="H1240" s="52" t="s">
        <v>1011</v>
      </c>
      <c r="I1240" s="52">
        <v>2</v>
      </c>
      <c r="J1240" s="56">
        <v>35501</v>
      </c>
      <c r="K1240" s="52" t="s">
        <v>1366</v>
      </c>
      <c r="L1240" s="52" t="s">
        <v>4</v>
      </c>
      <c r="M1240" s="52" t="s">
        <v>1401</v>
      </c>
      <c r="N1240" s="57">
        <v>0</v>
      </c>
      <c r="O1240" s="57">
        <v>1</v>
      </c>
      <c r="P1240" s="52" t="s">
        <v>1403</v>
      </c>
      <c r="Q1240" s="52" t="s">
        <v>1366</v>
      </c>
      <c r="R1240" s="52" t="s">
        <v>376</v>
      </c>
      <c r="S1240" s="52"/>
      <c r="T1240" s="52"/>
      <c r="U1240" s="52"/>
      <c r="V1240" s="52"/>
      <c r="W1240" s="52"/>
      <c r="X1240" s="52"/>
      <c r="Y1240" s="52"/>
      <c r="Z1240" s="57"/>
      <c r="AA1240" s="58">
        <v>2</v>
      </c>
      <c r="AB1240" s="58">
        <v>1</v>
      </c>
      <c r="AC1240" s="59">
        <v>2</v>
      </c>
      <c r="AD1240" s="52" t="s">
        <v>1033</v>
      </c>
      <c r="AE1240" s="50">
        <f>IF(L1240="W",1,0)</f>
        <v>0</v>
      </c>
      <c r="AF1240" s="50">
        <f>IF(L1240="T",1,0)</f>
        <v>0</v>
      </c>
      <c r="AG1240" s="50">
        <f>IF(L1240="L",1,0)</f>
        <v>1</v>
      </c>
      <c r="AH1240" s="52" t="s">
        <v>1366</v>
      </c>
      <c r="AI1240" s="52" t="s">
        <v>1317</v>
      </c>
      <c r="AJ1240" s="52" t="s">
        <v>376</v>
      </c>
      <c r="AK1240" s="50" t="s">
        <v>658</v>
      </c>
      <c r="AL1240" s="52" t="s">
        <v>1101</v>
      </c>
      <c r="AM1240" s="52" t="s">
        <v>1159</v>
      </c>
      <c r="AN1240" s="52" t="s">
        <v>376</v>
      </c>
      <c r="AO1240" s="50" t="s">
        <v>658</v>
      </c>
      <c r="AP1240" s="52"/>
      <c r="AQ1240" s="52">
        <v>2</v>
      </c>
      <c r="AR1240" s="52"/>
      <c r="AS1240" s="52"/>
      <c r="AT1240" s="46"/>
      <c r="AU1240" s="52" t="s">
        <v>376</v>
      </c>
      <c r="AV1240" s="52"/>
      <c r="AW1240" s="52" t="s">
        <v>30</v>
      </c>
      <c r="AX1240" s="52"/>
      <c r="AY1240" s="52"/>
      <c r="AZ1240" s="52" t="s">
        <v>30</v>
      </c>
      <c r="BA1240" s="52"/>
      <c r="BB1240" s="60"/>
      <c r="BC1240" s="52"/>
      <c r="BD1240" s="60"/>
      <c r="BE1240" s="60"/>
      <c r="BF1240" s="35">
        <v>1</v>
      </c>
      <c r="BG1240" s="52">
        <v>1</v>
      </c>
      <c r="BH1240" s="52"/>
      <c r="BI1240" s="52" t="s">
        <v>1366</v>
      </c>
      <c r="BJ1240" s="52" t="s">
        <v>1401</v>
      </c>
      <c r="BK1240" s="52">
        <v>1997</v>
      </c>
      <c r="BL1240" s="46" t="str">
        <f>BK1240&amp;BI1240</f>
        <v>1997Middlesbrough</v>
      </c>
      <c r="BM1240" s="52" t="str">
        <f>IF(AD1240="Home",BI1240,IF(AD1240="Away",BJ1240,Q1240))</f>
        <v>Middlesbrough</v>
      </c>
      <c r="BN1240" s="52"/>
      <c r="BO1240" s="52"/>
      <c r="BP1240" s="52"/>
      <c r="BQ1240" s="52"/>
      <c r="BR1240" s="52"/>
      <c r="BS1240" s="52"/>
      <c r="BT1240" s="52"/>
      <c r="BU1240" s="52"/>
      <c r="BV1240" s="52" t="s">
        <v>376</v>
      </c>
      <c r="BW1240" s="52" t="s">
        <v>376</v>
      </c>
      <c r="BX1240" s="52"/>
      <c r="BY1240" s="52"/>
      <c r="BZ1240" s="53"/>
      <c r="CA1240" s="53"/>
      <c r="CB1240" s="93" t="str">
        <f>IF(OR(C1240="",A1240="",B1240=""),"",TEXT(C1240,"0000")&amp;TEXT(A1240,"00")&amp;TEXT(B1240,"00"))</f>
        <v>19970312</v>
      </c>
    </row>
    <row r="1241" spans="1:80" s="50" customFormat="1" ht="12.95" customHeight="1" x14ac:dyDescent="0.2">
      <c r="A1241" s="46">
        <v>3</v>
      </c>
      <c r="B1241" s="46">
        <v>12</v>
      </c>
      <c r="C1241" s="46">
        <v>1997</v>
      </c>
      <c r="D1241" s="46" t="s">
        <v>658</v>
      </c>
      <c r="E1241" s="46" t="s">
        <v>352</v>
      </c>
      <c r="F1241" s="54" t="s">
        <v>1327</v>
      </c>
      <c r="G1241" s="46"/>
      <c r="H1241" s="54" t="s">
        <v>1011</v>
      </c>
      <c r="I1241" s="54">
        <v>2</v>
      </c>
      <c r="J1241" s="55">
        <v>35501</v>
      </c>
      <c r="K1241" s="46" t="s">
        <v>1401</v>
      </c>
      <c r="L1241" s="46" t="s">
        <v>3</v>
      </c>
      <c r="M1241" s="46" t="s">
        <v>1366</v>
      </c>
      <c r="N1241" s="49">
        <v>1</v>
      </c>
      <c r="O1241" s="49">
        <v>0</v>
      </c>
      <c r="P1241" s="54" t="s">
        <v>1403</v>
      </c>
      <c r="Q1241" s="54" t="s">
        <v>1366</v>
      </c>
      <c r="R1241" s="54" t="s">
        <v>376</v>
      </c>
      <c r="S1241" s="46"/>
      <c r="T1241" s="46"/>
      <c r="U1241" s="46"/>
      <c r="V1241" s="46"/>
      <c r="W1241" s="46"/>
      <c r="X1241" s="46"/>
      <c r="Y1241" s="46"/>
      <c r="Z1241" s="46"/>
      <c r="AA1241" s="46"/>
      <c r="AB1241" s="46"/>
      <c r="AC1241" s="46"/>
      <c r="AD1241" s="46" t="s">
        <v>1037</v>
      </c>
      <c r="AE1241" s="50">
        <f>IF(L1241="W",1,0)</f>
        <v>1</v>
      </c>
      <c r="AF1241" s="50">
        <f>IF(L1241="T",1,0)</f>
        <v>0</v>
      </c>
      <c r="AG1241" s="50">
        <f>IF(L1241="L",1,0)</f>
        <v>0</v>
      </c>
      <c r="AH1241" s="46" t="s">
        <v>1101</v>
      </c>
      <c r="AI1241" s="46" t="s">
        <v>1159</v>
      </c>
      <c r="AJ1241" s="46" t="s">
        <v>376</v>
      </c>
      <c r="AK1241" s="46" t="s">
        <v>658</v>
      </c>
      <c r="AL1241" s="46" t="s">
        <v>1366</v>
      </c>
      <c r="AM1241" s="46" t="s">
        <v>1317</v>
      </c>
      <c r="AN1241" s="46" t="s">
        <v>376</v>
      </c>
      <c r="AO1241" s="46" t="s">
        <v>658</v>
      </c>
      <c r="AP1241" s="46"/>
      <c r="AQ1241" s="46">
        <v>2</v>
      </c>
      <c r="AR1241" s="46"/>
      <c r="AS1241" s="46"/>
      <c r="AT1241" s="46"/>
      <c r="AU1241" s="46" t="s">
        <v>376</v>
      </c>
      <c r="AV1241" s="46"/>
      <c r="AW1241" s="46" t="s">
        <v>30</v>
      </c>
      <c r="AX1241" s="46"/>
      <c r="AY1241" s="46"/>
      <c r="AZ1241" s="46" t="s">
        <v>30</v>
      </c>
      <c r="BA1241" s="54"/>
      <c r="BB1241" s="51"/>
      <c r="BC1241" s="46"/>
      <c r="BD1241" s="46"/>
      <c r="BE1241" s="46"/>
      <c r="BF1241" s="46">
        <v>1</v>
      </c>
      <c r="BG1241" s="46">
        <v>3</v>
      </c>
      <c r="BH1241" s="46">
        <v>1</v>
      </c>
      <c r="BI1241" s="46" t="s">
        <v>1401</v>
      </c>
      <c r="BJ1241" s="46" t="s">
        <v>1366</v>
      </c>
      <c r="BK1241" s="46">
        <v>1997</v>
      </c>
      <c r="BL1241" s="46" t="str">
        <f>BK1241&amp;BI1241</f>
        <v>1997Stockport County</v>
      </c>
      <c r="BM1241" s="52" t="str">
        <f>IF(AD1241="Home",BI1241,IF(AD1241="Away",BJ1241,Q1241))</f>
        <v>Middlesbrough</v>
      </c>
      <c r="BN1241" s="46"/>
      <c r="BO1241" s="46"/>
      <c r="BP1241" s="46"/>
      <c r="BQ1241" s="46"/>
      <c r="BR1241" s="46"/>
      <c r="BS1241" s="46"/>
      <c r="BT1241" s="46"/>
      <c r="BU1241" s="46"/>
      <c r="BV1241" s="46" t="s">
        <v>376</v>
      </c>
      <c r="BW1241" s="46" t="s">
        <v>376</v>
      </c>
      <c r="BX1241" s="46"/>
      <c r="BY1241" s="52"/>
      <c r="BZ1241" s="53"/>
      <c r="CA1241" s="53"/>
      <c r="CB1241" s="93" t="str">
        <f>IF(OR(C1241="",A1241="",B1241=""),"",TEXT(C1241,"0000")&amp;TEXT(A1241,"00")&amp;TEXT(B1241,"00"))</f>
        <v>19970312</v>
      </c>
    </row>
    <row r="1242" spans="1:80" s="50" customFormat="1" ht="12.95" customHeight="1" x14ac:dyDescent="0.2">
      <c r="A1242" s="46">
        <v>4</v>
      </c>
      <c r="B1242" s="46">
        <v>6</v>
      </c>
      <c r="C1242" s="46">
        <v>1997</v>
      </c>
      <c r="D1242" s="52" t="s">
        <v>658</v>
      </c>
      <c r="E1242" s="52" t="s">
        <v>352</v>
      </c>
      <c r="F1242" s="52" t="s">
        <v>1327</v>
      </c>
      <c r="G1242" s="52"/>
      <c r="H1242" s="52" t="s">
        <v>40</v>
      </c>
      <c r="I1242" s="52"/>
      <c r="J1242" s="56">
        <v>35526</v>
      </c>
      <c r="K1242" s="52" t="s">
        <v>1366</v>
      </c>
      <c r="L1242" s="52" t="s">
        <v>1014</v>
      </c>
      <c r="M1242" s="52" t="s">
        <v>1291</v>
      </c>
      <c r="N1242" s="57">
        <v>1</v>
      </c>
      <c r="O1242" s="57">
        <v>1</v>
      </c>
      <c r="P1242" s="52" t="s">
        <v>1268</v>
      </c>
      <c r="Q1242" s="52" t="s">
        <v>1017</v>
      </c>
      <c r="R1242" s="52" t="s">
        <v>376</v>
      </c>
      <c r="S1242" s="52" t="s">
        <v>1023</v>
      </c>
      <c r="T1242" s="52"/>
      <c r="U1242" s="52"/>
      <c r="V1242" s="52"/>
      <c r="W1242" s="52"/>
      <c r="X1242" s="52"/>
      <c r="Y1242" s="52"/>
      <c r="Z1242" s="57"/>
      <c r="AA1242" s="52"/>
      <c r="AB1242" s="52"/>
      <c r="AC1242" s="52"/>
      <c r="AD1242" s="52"/>
      <c r="AE1242" s="50">
        <f>IF(L1242="W",1,0)</f>
        <v>0</v>
      </c>
      <c r="AF1242" s="50">
        <f>IF(L1242="T",1,0)</f>
        <v>1</v>
      </c>
      <c r="AG1242" s="50">
        <f>IF(L1242="L",1,0)</f>
        <v>0</v>
      </c>
      <c r="AH1242" s="52" t="s">
        <v>1366</v>
      </c>
      <c r="AI1242" s="52" t="s">
        <v>1317</v>
      </c>
      <c r="AJ1242" s="52" t="s">
        <v>376</v>
      </c>
      <c r="AK1242" s="50" t="s">
        <v>658</v>
      </c>
      <c r="AL1242" s="52" t="s">
        <v>1278</v>
      </c>
      <c r="AM1242" s="52" t="s">
        <v>1292</v>
      </c>
      <c r="AN1242" s="52" t="s">
        <v>376</v>
      </c>
      <c r="AO1242" s="50" t="s">
        <v>658</v>
      </c>
      <c r="AP1242" s="52"/>
      <c r="AQ1242" s="52">
        <v>1</v>
      </c>
      <c r="AR1242" s="52"/>
      <c r="AS1242" s="52"/>
      <c r="AT1242" s="46"/>
      <c r="AU1242" s="52" t="s">
        <v>376</v>
      </c>
      <c r="AV1242" s="52"/>
      <c r="AW1242" s="52" t="s">
        <v>30</v>
      </c>
      <c r="AX1242" s="52"/>
      <c r="AY1242" s="52"/>
      <c r="AZ1242" s="52" t="s">
        <v>30</v>
      </c>
      <c r="BA1242" s="52"/>
      <c r="BB1242" s="60"/>
      <c r="BC1242" s="52" t="s">
        <v>30</v>
      </c>
      <c r="BD1242" s="60"/>
      <c r="BE1242" s="60"/>
      <c r="BF1242" s="35">
        <v>1</v>
      </c>
      <c r="BG1242" s="52">
        <v>1</v>
      </c>
      <c r="BH1242" s="52"/>
      <c r="BI1242" s="52" t="s">
        <v>1366</v>
      </c>
      <c r="BJ1242" s="52" t="s">
        <v>1291</v>
      </c>
      <c r="BK1242" s="52">
        <v>1997</v>
      </c>
      <c r="BL1242" s="46" t="str">
        <f>BK1242&amp;BI1242</f>
        <v>1997Middlesbrough</v>
      </c>
      <c r="BM1242" s="52" t="str">
        <f>IF(AD1242="Home",BI1242,IF(AD1242="Away",BJ1242,Q1242))</f>
        <v>London</v>
      </c>
      <c r="BN1242" s="52"/>
      <c r="BO1242" s="52"/>
      <c r="BP1242" s="52"/>
      <c r="BQ1242" s="52"/>
      <c r="BR1242" s="52"/>
      <c r="BS1242" s="52"/>
      <c r="BT1242" s="52"/>
      <c r="BU1242" s="52"/>
      <c r="BV1242" s="52" t="s">
        <v>376</v>
      </c>
      <c r="BW1242" s="52" t="s">
        <v>376</v>
      </c>
      <c r="BX1242" s="52"/>
      <c r="BY1242" s="52"/>
      <c r="BZ1242" s="53"/>
      <c r="CA1242" s="53"/>
      <c r="CB1242" s="93" t="str">
        <f>IF(OR(C1242="",A1242="",B1242=""),"",TEXT(C1242,"0000")&amp;TEXT(A1242,"00")&amp;TEXT(B1242,"00"))</f>
        <v>19970406</v>
      </c>
    </row>
    <row r="1243" spans="1:80" s="50" customFormat="1" ht="12.95" customHeight="1" x14ac:dyDescent="0.2">
      <c r="A1243" s="46">
        <v>4</v>
      </c>
      <c r="B1243" s="46">
        <v>6</v>
      </c>
      <c r="C1243" s="46">
        <v>1997</v>
      </c>
      <c r="D1243" s="52" t="s">
        <v>658</v>
      </c>
      <c r="E1243" s="52" t="s">
        <v>352</v>
      </c>
      <c r="F1243" s="52" t="s">
        <v>1327</v>
      </c>
      <c r="G1243" s="52"/>
      <c r="H1243" s="52" t="s">
        <v>40</v>
      </c>
      <c r="I1243" s="52"/>
      <c r="J1243" s="56">
        <v>35526</v>
      </c>
      <c r="K1243" s="52" t="s">
        <v>1291</v>
      </c>
      <c r="L1243" s="52" t="s">
        <v>1014</v>
      </c>
      <c r="M1243" s="52" t="s">
        <v>1366</v>
      </c>
      <c r="N1243" s="57">
        <v>1</v>
      </c>
      <c r="O1243" s="57">
        <v>1</v>
      </c>
      <c r="P1243" s="52" t="s">
        <v>1268</v>
      </c>
      <c r="Q1243" s="52" t="s">
        <v>1017</v>
      </c>
      <c r="R1243" s="52" t="s">
        <v>376</v>
      </c>
      <c r="S1243" s="52" t="s">
        <v>1023</v>
      </c>
      <c r="T1243" s="52"/>
      <c r="U1243" s="52"/>
      <c r="V1243" s="52"/>
      <c r="W1243" s="52"/>
      <c r="X1243" s="52"/>
      <c r="Y1243" s="52"/>
      <c r="Z1243" s="57"/>
      <c r="AA1243" s="52"/>
      <c r="AB1243" s="52"/>
      <c r="AC1243" s="52"/>
      <c r="AD1243" s="52"/>
      <c r="AE1243" s="50">
        <f>IF(L1243="W",1,0)</f>
        <v>0</v>
      </c>
      <c r="AF1243" s="50">
        <f>IF(L1243="T",1,0)</f>
        <v>1</v>
      </c>
      <c r="AG1243" s="50">
        <f>IF(L1243="L",1,0)</f>
        <v>0</v>
      </c>
      <c r="AH1243" s="52" t="s">
        <v>1278</v>
      </c>
      <c r="AI1243" s="52" t="s">
        <v>1292</v>
      </c>
      <c r="AJ1243" s="52" t="s">
        <v>376</v>
      </c>
      <c r="AK1243" s="50" t="s">
        <v>658</v>
      </c>
      <c r="AL1243" s="52" t="s">
        <v>1366</v>
      </c>
      <c r="AM1243" s="52" t="s">
        <v>1317</v>
      </c>
      <c r="AN1243" s="52" t="s">
        <v>376</v>
      </c>
      <c r="AO1243" s="50" t="s">
        <v>658</v>
      </c>
      <c r="AP1243" s="52"/>
      <c r="AQ1243" s="52">
        <v>1</v>
      </c>
      <c r="AR1243" s="52"/>
      <c r="AS1243" s="52"/>
      <c r="AT1243" s="46"/>
      <c r="AU1243" s="52" t="s">
        <v>376</v>
      </c>
      <c r="AV1243" s="52"/>
      <c r="AW1243" s="52" t="s">
        <v>30</v>
      </c>
      <c r="AX1243" s="52"/>
      <c r="AY1243" s="52"/>
      <c r="AZ1243" s="52" t="s">
        <v>30</v>
      </c>
      <c r="BA1243" s="52"/>
      <c r="BB1243" s="60"/>
      <c r="BC1243" s="52" t="s">
        <v>30</v>
      </c>
      <c r="BD1243" s="60"/>
      <c r="BE1243" s="60"/>
      <c r="BF1243" s="35">
        <v>1</v>
      </c>
      <c r="BG1243" s="52">
        <v>1</v>
      </c>
      <c r="BH1243" s="52"/>
      <c r="BI1243" s="52" t="s">
        <v>1291</v>
      </c>
      <c r="BJ1243" s="52" t="s">
        <v>1366</v>
      </c>
      <c r="BK1243" s="52">
        <v>1997</v>
      </c>
      <c r="BL1243" s="46" t="str">
        <f>BK1243&amp;BI1243</f>
        <v>1997Leicester City</v>
      </c>
      <c r="BM1243" s="52" t="str">
        <f>IF(AD1243="Home",BI1243,IF(AD1243="Away",BJ1243,Q1243))</f>
        <v>London</v>
      </c>
      <c r="BN1243" s="52"/>
      <c r="BO1243" s="52"/>
      <c r="BP1243" s="52"/>
      <c r="BQ1243" s="52"/>
      <c r="BR1243" s="52"/>
      <c r="BS1243" s="52"/>
      <c r="BT1243" s="52"/>
      <c r="BU1243" s="52"/>
      <c r="BV1243" s="52" t="s">
        <v>376</v>
      </c>
      <c r="BW1243" s="52" t="s">
        <v>376</v>
      </c>
      <c r="BX1243" s="52"/>
      <c r="BY1243" s="52"/>
      <c r="BZ1243" s="53"/>
      <c r="CA1243" s="53"/>
      <c r="CB1243" s="93" t="str">
        <f>IF(OR(C1243="",A1243="",B1243=""),"",TEXT(C1243,"0000")&amp;TEXT(A1243,"00")&amp;TEXT(B1243,"00"))</f>
        <v>19970406</v>
      </c>
    </row>
    <row r="1244" spans="1:80" s="50" customFormat="1" ht="12.95" customHeight="1" x14ac:dyDescent="0.2">
      <c r="A1244" s="46">
        <v>4</v>
      </c>
      <c r="B1244" s="46">
        <v>13</v>
      </c>
      <c r="C1244" s="46">
        <v>1997</v>
      </c>
      <c r="D1244" s="52" t="s">
        <v>658</v>
      </c>
      <c r="E1244" s="52" t="s">
        <v>352</v>
      </c>
      <c r="F1244" s="52" t="s">
        <v>1010</v>
      </c>
      <c r="G1244" s="52"/>
      <c r="H1244" s="52" t="s">
        <v>1011</v>
      </c>
      <c r="I1244" s="52"/>
      <c r="J1244" s="56">
        <v>35533</v>
      </c>
      <c r="K1244" s="52" t="s">
        <v>816</v>
      </c>
      <c r="L1244" s="52" t="s">
        <v>3</v>
      </c>
      <c r="M1244" s="52" t="s">
        <v>1387</v>
      </c>
      <c r="N1244" s="57">
        <v>3</v>
      </c>
      <c r="O1244" s="57">
        <v>0</v>
      </c>
      <c r="P1244" s="52" t="s">
        <v>1281</v>
      </c>
      <c r="Q1244" s="52" t="s">
        <v>1017</v>
      </c>
      <c r="R1244" s="52" t="s">
        <v>376</v>
      </c>
      <c r="S1244" s="52"/>
      <c r="T1244" s="52"/>
      <c r="U1244" s="52"/>
      <c r="V1244" s="52"/>
      <c r="W1244" s="52"/>
      <c r="X1244" s="52"/>
      <c r="Y1244" s="52"/>
      <c r="Z1244" s="57"/>
      <c r="AA1244" s="52"/>
      <c r="AB1244" s="52"/>
      <c r="AC1244" s="52"/>
      <c r="AD1244" s="52"/>
      <c r="AE1244" s="50">
        <f>IF(L1244="W",1,0)</f>
        <v>1</v>
      </c>
      <c r="AF1244" s="50">
        <f>IF(L1244="T",1,0)</f>
        <v>0</v>
      </c>
      <c r="AG1244" s="50">
        <f>IF(L1244="L",1,0)</f>
        <v>0</v>
      </c>
      <c r="AH1244" s="52" t="s">
        <v>1017</v>
      </c>
      <c r="AI1244" s="52" t="s">
        <v>1018</v>
      </c>
      <c r="AJ1244" s="52" t="s">
        <v>376</v>
      </c>
      <c r="AK1244" s="50" t="s">
        <v>658</v>
      </c>
      <c r="AL1244" s="52" t="s">
        <v>1017</v>
      </c>
      <c r="AM1244" s="52" t="s">
        <v>1018</v>
      </c>
      <c r="AN1244" s="52" t="s">
        <v>376</v>
      </c>
      <c r="AO1244" s="50" t="s">
        <v>658</v>
      </c>
      <c r="AP1244" s="52"/>
      <c r="AQ1244" s="52">
        <v>2</v>
      </c>
      <c r="AR1244" s="52"/>
      <c r="AS1244" s="52"/>
      <c r="AT1244" s="46"/>
      <c r="AU1244" s="52" t="s">
        <v>376</v>
      </c>
      <c r="AV1244" s="52"/>
      <c r="AW1244" s="52" t="s">
        <v>30</v>
      </c>
      <c r="AX1244" s="52"/>
      <c r="AY1244" s="52" t="s">
        <v>30</v>
      </c>
      <c r="AZ1244" s="52"/>
      <c r="BA1244" s="52"/>
      <c r="BB1244" s="60"/>
      <c r="BC1244" s="52"/>
      <c r="BD1244" s="60"/>
      <c r="BE1244" s="60"/>
      <c r="BF1244" s="35">
        <v>1</v>
      </c>
      <c r="BG1244" s="52">
        <v>1</v>
      </c>
      <c r="BH1244" s="52"/>
      <c r="BI1244" s="52" t="s">
        <v>816</v>
      </c>
      <c r="BJ1244" s="52" t="s">
        <v>1388</v>
      </c>
      <c r="BK1244" s="52">
        <v>1997</v>
      </c>
      <c r="BL1244" s="46" t="str">
        <f>BK1244&amp;BI1244</f>
        <v>1997Chelsea</v>
      </c>
      <c r="BM1244" s="52" t="str">
        <f>IF(AD1244="Home",BI1244,IF(AD1244="Away",BJ1244,Q1244))</f>
        <v>London</v>
      </c>
      <c r="BN1244" s="52"/>
      <c r="BO1244" s="52"/>
      <c r="BP1244" s="52"/>
      <c r="BQ1244" s="52"/>
      <c r="BR1244" s="52"/>
      <c r="BS1244" s="52"/>
      <c r="BT1244" s="52"/>
      <c r="BU1244" s="52"/>
      <c r="BV1244" s="52" t="s">
        <v>376</v>
      </c>
      <c r="BW1244" s="52" t="s">
        <v>376</v>
      </c>
      <c r="BX1244" s="52"/>
      <c r="BY1244" s="52"/>
      <c r="BZ1244" s="53"/>
      <c r="CA1244" s="53"/>
      <c r="CB1244" s="93" t="str">
        <f>IF(OR(C1244="",A1244="",B1244=""),"",TEXT(C1244,"0000")&amp;TEXT(A1244,"00")&amp;TEXT(B1244,"00"))</f>
        <v>19970413</v>
      </c>
    </row>
    <row r="1245" spans="1:80" s="50" customFormat="1" ht="12.95" customHeight="1" x14ac:dyDescent="0.2">
      <c r="A1245" s="46">
        <v>4</v>
      </c>
      <c r="B1245" s="46">
        <v>13</v>
      </c>
      <c r="C1245" s="46">
        <v>1997</v>
      </c>
      <c r="D1245" s="52" t="s">
        <v>658</v>
      </c>
      <c r="E1245" s="52" t="s">
        <v>352</v>
      </c>
      <c r="F1245" s="52" t="s">
        <v>1010</v>
      </c>
      <c r="G1245" s="52"/>
      <c r="H1245" s="52" t="s">
        <v>1011</v>
      </c>
      <c r="I1245" s="52"/>
      <c r="J1245" s="56">
        <v>35533</v>
      </c>
      <c r="K1245" s="52" t="s">
        <v>1387</v>
      </c>
      <c r="L1245" s="52" t="s">
        <v>4</v>
      </c>
      <c r="M1245" s="52" t="s">
        <v>816</v>
      </c>
      <c r="N1245" s="57">
        <v>0</v>
      </c>
      <c r="O1245" s="57">
        <v>3</v>
      </c>
      <c r="P1245" s="52" t="s">
        <v>1281</v>
      </c>
      <c r="Q1245" s="52" t="s">
        <v>1017</v>
      </c>
      <c r="R1245" s="52" t="s">
        <v>376</v>
      </c>
      <c r="S1245" s="52"/>
      <c r="T1245" s="52"/>
      <c r="U1245" s="52"/>
      <c r="V1245" s="52"/>
      <c r="W1245" s="52"/>
      <c r="X1245" s="52"/>
      <c r="Y1245" s="52"/>
      <c r="Z1245" s="57"/>
      <c r="AA1245" s="52"/>
      <c r="AB1245" s="52"/>
      <c r="AC1245" s="52"/>
      <c r="AD1245" s="52"/>
      <c r="AE1245" s="50">
        <f>IF(L1245="W",1,0)</f>
        <v>0</v>
      </c>
      <c r="AF1245" s="50">
        <f>IF(L1245="T",1,0)</f>
        <v>0</v>
      </c>
      <c r="AG1245" s="50">
        <f>IF(L1245="L",1,0)</f>
        <v>1</v>
      </c>
      <c r="AH1245" s="52" t="s">
        <v>1017</v>
      </c>
      <c r="AI1245" s="52" t="s">
        <v>1018</v>
      </c>
      <c r="AJ1245" s="52" t="s">
        <v>376</v>
      </c>
      <c r="AK1245" s="50" t="s">
        <v>658</v>
      </c>
      <c r="AL1245" s="52" t="s">
        <v>1017</v>
      </c>
      <c r="AM1245" s="52" t="s">
        <v>1018</v>
      </c>
      <c r="AN1245" s="52" t="s">
        <v>376</v>
      </c>
      <c r="AO1245" s="50" t="s">
        <v>658</v>
      </c>
      <c r="AP1245" s="52"/>
      <c r="AQ1245" s="52">
        <v>2</v>
      </c>
      <c r="AR1245" s="52"/>
      <c r="AS1245" s="52">
        <v>1</v>
      </c>
      <c r="AT1245" s="46"/>
      <c r="AU1245" s="52" t="s">
        <v>376</v>
      </c>
      <c r="AV1245" s="52"/>
      <c r="AW1245" s="52" t="s">
        <v>30</v>
      </c>
      <c r="AX1245" s="52"/>
      <c r="AY1245" s="52" t="s">
        <v>30</v>
      </c>
      <c r="AZ1245" s="52"/>
      <c r="BA1245" s="52"/>
      <c r="BB1245" s="60"/>
      <c r="BC1245" s="52"/>
      <c r="BD1245" s="60"/>
      <c r="BE1245" s="60"/>
      <c r="BF1245" s="35">
        <v>1</v>
      </c>
      <c r="BG1245" s="52">
        <v>1</v>
      </c>
      <c r="BH1245" s="52"/>
      <c r="BI1245" s="52" t="s">
        <v>1388</v>
      </c>
      <c r="BJ1245" s="52" t="s">
        <v>816</v>
      </c>
      <c r="BK1245" s="52">
        <v>1997</v>
      </c>
      <c r="BL1245" s="46" t="str">
        <f>BK1245&amp;BI1245</f>
        <v>1997Milton Keynes Dons</v>
      </c>
      <c r="BM1245" s="52" t="str">
        <f>IF(AD1245="Home",BI1245,IF(AD1245="Away",BJ1245,Q1245))</f>
        <v>London</v>
      </c>
      <c r="BN1245" s="52"/>
      <c r="BO1245" s="52"/>
      <c r="BP1245" s="52"/>
      <c r="BQ1245" s="52"/>
      <c r="BR1245" s="52"/>
      <c r="BS1245" s="52"/>
      <c r="BT1245" s="52"/>
      <c r="BU1245" s="52"/>
      <c r="BV1245" s="52" t="s">
        <v>376</v>
      </c>
      <c r="BW1245" s="52" t="s">
        <v>376</v>
      </c>
      <c r="BX1245" s="52"/>
      <c r="BY1245" s="52"/>
      <c r="BZ1245" s="53"/>
      <c r="CA1245" s="53"/>
      <c r="CB1245" s="93" t="str">
        <f>IF(OR(C1245="",A1245="",B1245=""),"",TEXT(C1245,"0000")&amp;TEXT(A1245,"00")&amp;TEXT(B1245,"00"))</f>
        <v>19970413</v>
      </c>
    </row>
    <row r="1246" spans="1:80" s="50" customFormat="1" ht="12.95" customHeight="1" x14ac:dyDescent="0.2">
      <c r="A1246" s="46">
        <v>4</v>
      </c>
      <c r="B1246" s="46">
        <v>13</v>
      </c>
      <c r="C1246" s="46">
        <v>1997</v>
      </c>
      <c r="D1246" s="52" t="s">
        <v>658</v>
      </c>
      <c r="E1246" s="52" t="s">
        <v>352</v>
      </c>
      <c r="F1246" s="52" t="s">
        <v>1010</v>
      </c>
      <c r="G1246" s="52"/>
      <c r="H1246" s="52" t="s">
        <v>1011</v>
      </c>
      <c r="I1246" s="52"/>
      <c r="J1246" s="56">
        <v>35533</v>
      </c>
      <c r="K1246" s="52" t="s">
        <v>1366</v>
      </c>
      <c r="L1246" s="52" t="s">
        <v>1014</v>
      </c>
      <c r="M1246" s="52" t="s">
        <v>1404</v>
      </c>
      <c r="N1246" s="57">
        <v>3</v>
      </c>
      <c r="O1246" s="57">
        <v>3</v>
      </c>
      <c r="P1246" s="52" t="s">
        <v>1246</v>
      </c>
      <c r="Q1246" s="52" t="s">
        <v>1101</v>
      </c>
      <c r="R1246" s="52" t="s">
        <v>376</v>
      </c>
      <c r="S1246" s="52" t="s">
        <v>1023</v>
      </c>
      <c r="T1246" s="52"/>
      <c r="U1246" s="52"/>
      <c r="V1246" s="52"/>
      <c r="W1246" s="52"/>
      <c r="X1246" s="52"/>
      <c r="Y1246" s="52"/>
      <c r="Z1246" s="57"/>
      <c r="AA1246" s="52"/>
      <c r="AB1246" s="52"/>
      <c r="AC1246" s="52"/>
      <c r="AD1246" s="52"/>
      <c r="AE1246" s="50">
        <f>IF(L1246="W",1,0)</f>
        <v>0</v>
      </c>
      <c r="AF1246" s="50">
        <f>IF(L1246="T",1,0)</f>
        <v>1</v>
      </c>
      <c r="AG1246" s="50">
        <f>IF(L1246="L",1,0)</f>
        <v>0</v>
      </c>
      <c r="AH1246" s="52" t="s">
        <v>1366</v>
      </c>
      <c r="AI1246" s="52" t="s">
        <v>1317</v>
      </c>
      <c r="AJ1246" s="52" t="s">
        <v>376</v>
      </c>
      <c r="AK1246" s="50" t="s">
        <v>658</v>
      </c>
      <c r="AL1246" s="52" t="s">
        <v>1404</v>
      </c>
      <c r="AM1246" s="52" t="s">
        <v>1146</v>
      </c>
      <c r="AN1246" s="52" t="s">
        <v>376</v>
      </c>
      <c r="AO1246" s="50" t="s">
        <v>658</v>
      </c>
      <c r="AP1246" s="52"/>
      <c r="AQ1246" s="52">
        <v>2</v>
      </c>
      <c r="AR1246" s="52"/>
      <c r="AS1246" s="52"/>
      <c r="AT1246" s="46"/>
      <c r="AU1246" s="52" t="s">
        <v>376</v>
      </c>
      <c r="AV1246" s="52"/>
      <c r="AW1246" s="52" t="s">
        <v>30</v>
      </c>
      <c r="AX1246" s="52"/>
      <c r="AY1246" s="52" t="s">
        <v>30</v>
      </c>
      <c r="AZ1246" s="52"/>
      <c r="BA1246" s="52"/>
      <c r="BB1246" s="60"/>
      <c r="BC1246" s="52"/>
      <c r="BD1246" s="60"/>
      <c r="BE1246" s="60"/>
      <c r="BF1246" s="35">
        <v>1</v>
      </c>
      <c r="BG1246" s="52">
        <v>1</v>
      </c>
      <c r="BH1246" s="52"/>
      <c r="BI1246" s="52" t="s">
        <v>1366</v>
      </c>
      <c r="BJ1246" s="52" t="s">
        <v>1404</v>
      </c>
      <c r="BK1246" s="52">
        <v>1997</v>
      </c>
      <c r="BL1246" s="46" t="str">
        <f>BK1246&amp;BI1246</f>
        <v>1997Middlesbrough</v>
      </c>
      <c r="BM1246" s="52" t="str">
        <f>IF(AD1246="Home",BI1246,IF(AD1246="Away",BJ1246,Q1246))</f>
        <v>Manchester</v>
      </c>
      <c r="BN1246" s="52"/>
      <c r="BO1246" s="52"/>
      <c r="BP1246" s="52"/>
      <c r="BQ1246" s="52"/>
      <c r="BR1246" s="52"/>
      <c r="BS1246" s="52"/>
      <c r="BT1246" s="52"/>
      <c r="BU1246" s="52"/>
      <c r="BV1246" s="52" t="s">
        <v>376</v>
      </c>
      <c r="BW1246" s="52" t="s">
        <v>376</v>
      </c>
      <c r="BX1246" s="52"/>
      <c r="BY1246" s="52"/>
      <c r="BZ1246" s="53"/>
      <c r="CA1246" s="53"/>
      <c r="CB1246" s="93" t="str">
        <f>IF(OR(C1246="",A1246="",B1246=""),"",TEXT(C1246,"0000")&amp;TEXT(A1246,"00")&amp;TEXT(B1246,"00"))</f>
        <v>19970413</v>
      </c>
    </row>
    <row r="1247" spans="1:80" s="50" customFormat="1" ht="12.95" customHeight="1" x14ac:dyDescent="0.2">
      <c r="A1247" s="46">
        <v>4</v>
      </c>
      <c r="B1247" s="46">
        <v>13</v>
      </c>
      <c r="C1247" s="46">
        <v>1997</v>
      </c>
      <c r="D1247" s="46" t="s">
        <v>658</v>
      </c>
      <c r="E1247" s="46" t="s">
        <v>352</v>
      </c>
      <c r="F1247" s="47" t="s">
        <v>1010</v>
      </c>
      <c r="G1247" s="46"/>
      <c r="H1247" s="47" t="s">
        <v>1011</v>
      </c>
      <c r="I1247" s="47"/>
      <c r="J1247" s="48">
        <v>35533</v>
      </c>
      <c r="K1247" s="46" t="s">
        <v>1404</v>
      </c>
      <c r="L1247" s="46" t="s">
        <v>1014</v>
      </c>
      <c r="M1247" s="46" t="s">
        <v>1366</v>
      </c>
      <c r="N1247" s="49">
        <v>3</v>
      </c>
      <c r="O1247" s="49">
        <v>3</v>
      </c>
      <c r="P1247" s="47" t="s">
        <v>1246</v>
      </c>
      <c r="Q1247" s="47" t="s">
        <v>1101</v>
      </c>
      <c r="R1247" s="47" t="s">
        <v>376</v>
      </c>
      <c r="S1247" s="46"/>
      <c r="T1247" s="46"/>
      <c r="U1247" s="46"/>
      <c r="V1247" s="46"/>
      <c r="W1247" s="46"/>
      <c r="X1247" s="46"/>
      <c r="Y1247" s="46"/>
      <c r="Z1247" s="46"/>
      <c r="AA1247" s="46"/>
      <c r="AB1247" s="46"/>
      <c r="AC1247" s="46"/>
      <c r="AD1247" s="46"/>
      <c r="AE1247" s="50">
        <f>IF(L1247="W",1,0)</f>
        <v>0</v>
      </c>
      <c r="AF1247" s="50">
        <f>IF(L1247="T",1,0)</f>
        <v>1</v>
      </c>
      <c r="AG1247" s="50">
        <f>IF(L1247="L",1,0)</f>
        <v>0</v>
      </c>
      <c r="AH1247" s="46" t="s">
        <v>1404</v>
      </c>
      <c r="AI1247" s="46" t="s">
        <v>1146</v>
      </c>
      <c r="AJ1247" s="46" t="s">
        <v>376</v>
      </c>
      <c r="AK1247" s="46" t="s">
        <v>658</v>
      </c>
      <c r="AL1247" s="46" t="s">
        <v>1366</v>
      </c>
      <c r="AM1247" s="46" t="s">
        <v>1317</v>
      </c>
      <c r="AN1247" s="46" t="s">
        <v>376</v>
      </c>
      <c r="AO1247" s="46" t="s">
        <v>658</v>
      </c>
      <c r="AP1247" s="46"/>
      <c r="AQ1247" s="46">
        <v>2</v>
      </c>
      <c r="AR1247" s="46"/>
      <c r="AS1247" s="46"/>
      <c r="AT1247" s="46"/>
      <c r="AU1247" s="46" t="s">
        <v>376</v>
      </c>
      <c r="AV1247" s="46"/>
      <c r="AW1247" s="46" t="s">
        <v>30</v>
      </c>
      <c r="AX1247" s="46"/>
      <c r="AY1247" s="46" t="s">
        <v>30</v>
      </c>
      <c r="AZ1247" s="46"/>
      <c r="BA1247" s="47"/>
      <c r="BB1247" s="51"/>
      <c r="BC1247" s="46"/>
      <c r="BD1247" s="46"/>
      <c r="BE1247" s="46"/>
      <c r="BF1247" s="46">
        <v>1</v>
      </c>
      <c r="BG1247" s="46">
        <v>3</v>
      </c>
      <c r="BH1247" s="46">
        <v>1</v>
      </c>
      <c r="BI1247" s="46" t="s">
        <v>1404</v>
      </c>
      <c r="BJ1247" s="46" t="s">
        <v>1366</v>
      </c>
      <c r="BK1247" s="46">
        <v>1997</v>
      </c>
      <c r="BL1247" s="46" t="str">
        <f>BK1247&amp;BI1247</f>
        <v>1997Chesterfield</v>
      </c>
      <c r="BM1247" s="52" t="str">
        <f>IF(AD1247="Home",BI1247,IF(AD1247="Away",BJ1247,Q1247))</f>
        <v>Manchester</v>
      </c>
      <c r="BN1247" s="46"/>
      <c r="BO1247" s="46"/>
      <c r="BP1247" s="46"/>
      <c r="BQ1247" s="46"/>
      <c r="BR1247" s="46"/>
      <c r="BS1247" s="46"/>
      <c r="BT1247" s="46"/>
      <c r="BU1247" s="46"/>
      <c r="BV1247" s="46" t="s">
        <v>376</v>
      </c>
      <c r="BW1247" s="46" t="s">
        <v>376</v>
      </c>
      <c r="BX1247" s="46"/>
      <c r="BY1247" s="52"/>
      <c r="BZ1247" s="53"/>
      <c r="CA1247" s="53"/>
      <c r="CB1247" s="93" t="str">
        <f>IF(OR(C1247="",A1247="",B1247=""),"",TEXT(C1247,"0000")&amp;TEXT(A1247,"00")&amp;TEXT(B1247,"00"))</f>
        <v>19970413</v>
      </c>
    </row>
    <row r="1248" spans="1:80" s="50" customFormat="1" ht="12.95" customHeight="1" x14ac:dyDescent="0.2">
      <c r="A1248" s="46">
        <v>4</v>
      </c>
      <c r="B1248" s="46">
        <v>16</v>
      </c>
      <c r="C1248" s="46">
        <v>1997</v>
      </c>
      <c r="D1248" s="52" t="s">
        <v>658</v>
      </c>
      <c r="E1248" s="52" t="s">
        <v>352</v>
      </c>
      <c r="F1248" s="52" t="s">
        <v>1327</v>
      </c>
      <c r="G1248" s="52"/>
      <c r="H1248" s="52" t="s">
        <v>40</v>
      </c>
      <c r="I1248" s="52" t="s">
        <v>1023</v>
      </c>
      <c r="J1248" s="56">
        <v>35536</v>
      </c>
      <c r="K1248" s="52" t="s">
        <v>1291</v>
      </c>
      <c r="L1248" s="52" t="s">
        <v>3</v>
      </c>
      <c r="M1248" s="52" t="s">
        <v>1366</v>
      </c>
      <c r="N1248" s="57">
        <v>1</v>
      </c>
      <c r="O1248" s="57">
        <v>0</v>
      </c>
      <c r="P1248" s="52" t="s">
        <v>1268</v>
      </c>
      <c r="Q1248" s="52" t="s">
        <v>1017</v>
      </c>
      <c r="R1248" s="52" t="s">
        <v>376</v>
      </c>
      <c r="S1248" s="52"/>
      <c r="T1248" s="52"/>
      <c r="U1248" s="52"/>
      <c r="V1248" s="52"/>
      <c r="W1248" s="52"/>
      <c r="X1248" s="52"/>
      <c r="Y1248" s="52"/>
      <c r="Z1248" s="57"/>
      <c r="AA1248" s="52"/>
      <c r="AB1248" s="52"/>
      <c r="AC1248" s="52"/>
      <c r="AD1248" s="52"/>
      <c r="AE1248" s="50">
        <f>IF(L1248="W",1,0)</f>
        <v>1</v>
      </c>
      <c r="AF1248" s="50">
        <f>IF(L1248="T",1,0)</f>
        <v>0</v>
      </c>
      <c r="AG1248" s="50">
        <f>IF(L1248="L",1,0)</f>
        <v>0</v>
      </c>
      <c r="AH1248" s="52" t="s">
        <v>1278</v>
      </c>
      <c r="AI1248" s="52" t="s">
        <v>1292</v>
      </c>
      <c r="AJ1248" s="52" t="s">
        <v>376</v>
      </c>
      <c r="AK1248" s="50" t="s">
        <v>658</v>
      </c>
      <c r="AL1248" s="52" t="s">
        <v>1366</v>
      </c>
      <c r="AM1248" s="52" t="s">
        <v>1317</v>
      </c>
      <c r="AN1248" s="52" t="s">
        <v>376</v>
      </c>
      <c r="AO1248" s="50" t="s">
        <v>658</v>
      </c>
      <c r="AP1248" s="52"/>
      <c r="AQ1248" s="52">
        <v>1</v>
      </c>
      <c r="AR1248" s="52"/>
      <c r="AS1248" s="52" t="s">
        <v>1393</v>
      </c>
      <c r="AT1248" s="46"/>
      <c r="AU1248" s="52" t="s">
        <v>376</v>
      </c>
      <c r="AV1248" s="52"/>
      <c r="AW1248" s="52" t="s">
        <v>30</v>
      </c>
      <c r="AX1248" s="52"/>
      <c r="AY1248" s="52"/>
      <c r="AZ1248" s="57" t="s">
        <v>30</v>
      </c>
      <c r="BA1248" s="52"/>
      <c r="BB1248" s="60" t="s">
        <v>30</v>
      </c>
      <c r="BC1248" s="52" t="s">
        <v>30</v>
      </c>
      <c r="BD1248" s="60"/>
      <c r="BE1248" s="60" t="s">
        <v>1400</v>
      </c>
      <c r="BF1248" s="35">
        <v>1</v>
      </c>
      <c r="BG1248" s="52">
        <v>1</v>
      </c>
      <c r="BH1248" s="52"/>
      <c r="BI1248" s="52" t="s">
        <v>1291</v>
      </c>
      <c r="BJ1248" s="52" t="s">
        <v>1366</v>
      </c>
      <c r="BK1248" s="52">
        <v>1997</v>
      </c>
      <c r="BL1248" s="46" t="str">
        <f>BK1248&amp;BI1248</f>
        <v>1997Leicester City</v>
      </c>
      <c r="BM1248" s="52" t="str">
        <f>IF(AD1248="Home",BI1248,IF(AD1248="Away",BJ1248,Q1248))</f>
        <v>London</v>
      </c>
      <c r="BN1248" s="52"/>
      <c r="BO1248" s="52"/>
      <c r="BP1248" s="52"/>
      <c r="BQ1248" s="52"/>
      <c r="BR1248" s="52"/>
      <c r="BS1248" s="52"/>
      <c r="BT1248" s="52"/>
      <c r="BU1248" s="52"/>
      <c r="BV1248" s="52" t="s">
        <v>376</v>
      </c>
      <c r="BW1248" s="52" t="s">
        <v>376</v>
      </c>
      <c r="BX1248" s="52"/>
      <c r="BY1248" s="52"/>
      <c r="BZ1248" s="53"/>
      <c r="CA1248" s="53"/>
      <c r="CB1248" s="93" t="str">
        <f>IF(OR(C1248="",A1248="",B1248=""),"",TEXT(C1248,"0000")&amp;TEXT(A1248,"00")&amp;TEXT(B1248,"00"))</f>
        <v>19970416</v>
      </c>
    </row>
    <row r="1249" spans="1:80" s="50" customFormat="1" ht="12.95" customHeight="1" x14ac:dyDescent="0.2">
      <c r="A1249" s="46">
        <v>4</v>
      </c>
      <c r="B1249" s="46">
        <v>16</v>
      </c>
      <c r="C1249" s="46">
        <v>1997</v>
      </c>
      <c r="D1249" s="52" t="s">
        <v>658</v>
      </c>
      <c r="E1249" s="52" t="s">
        <v>352</v>
      </c>
      <c r="F1249" s="52" t="s">
        <v>1327</v>
      </c>
      <c r="G1249" s="52"/>
      <c r="H1249" s="52" t="s">
        <v>40</v>
      </c>
      <c r="I1249" s="52" t="s">
        <v>1023</v>
      </c>
      <c r="J1249" s="56">
        <v>35536</v>
      </c>
      <c r="K1249" s="52" t="s">
        <v>1366</v>
      </c>
      <c r="L1249" s="52" t="s">
        <v>4</v>
      </c>
      <c r="M1249" s="52" t="s">
        <v>1291</v>
      </c>
      <c r="N1249" s="57">
        <v>0</v>
      </c>
      <c r="O1249" s="57">
        <v>1</v>
      </c>
      <c r="P1249" s="52" t="s">
        <v>1268</v>
      </c>
      <c r="Q1249" s="52" t="s">
        <v>1017</v>
      </c>
      <c r="R1249" s="52" t="s">
        <v>376</v>
      </c>
      <c r="S1249" s="52"/>
      <c r="T1249" s="52"/>
      <c r="U1249" s="52"/>
      <c r="V1249" s="52"/>
      <c r="W1249" s="52"/>
      <c r="X1249" s="52"/>
      <c r="Y1249" s="52"/>
      <c r="Z1249" s="57"/>
      <c r="AA1249" s="52"/>
      <c r="AB1249" s="52"/>
      <c r="AC1249" s="52"/>
      <c r="AD1249" s="52"/>
      <c r="AE1249" s="50">
        <f>IF(L1249="W",1,0)</f>
        <v>0</v>
      </c>
      <c r="AF1249" s="50">
        <f>IF(L1249="T",1,0)</f>
        <v>0</v>
      </c>
      <c r="AG1249" s="50">
        <f>IF(L1249="L",1,0)</f>
        <v>1</v>
      </c>
      <c r="AH1249" s="52" t="s">
        <v>1366</v>
      </c>
      <c r="AI1249" s="52" t="s">
        <v>1317</v>
      </c>
      <c r="AJ1249" s="52" t="s">
        <v>376</v>
      </c>
      <c r="AK1249" s="50" t="s">
        <v>658</v>
      </c>
      <c r="AL1249" s="52" t="s">
        <v>1278</v>
      </c>
      <c r="AM1249" s="52" t="s">
        <v>1292</v>
      </c>
      <c r="AN1249" s="52" t="s">
        <v>376</v>
      </c>
      <c r="AO1249" s="50" t="s">
        <v>658</v>
      </c>
      <c r="AP1249" s="52"/>
      <c r="AQ1249" s="52">
        <v>1</v>
      </c>
      <c r="AR1249" s="52"/>
      <c r="AS1249" s="52">
        <v>1</v>
      </c>
      <c r="AT1249" s="46"/>
      <c r="AU1249" s="52" t="s">
        <v>376</v>
      </c>
      <c r="AV1249" s="52"/>
      <c r="AW1249" s="52" t="s">
        <v>30</v>
      </c>
      <c r="AX1249" s="52"/>
      <c r="AY1249" s="52"/>
      <c r="AZ1249" s="52" t="s">
        <v>30</v>
      </c>
      <c r="BA1249" s="52"/>
      <c r="BB1249" s="60"/>
      <c r="BC1249" s="52" t="s">
        <v>30</v>
      </c>
      <c r="BD1249" s="60"/>
      <c r="BE1249" s="60"/>
      <c r="BF1249" s="35">
        <v>1</v>
      </c>
      <c r="BG1249" s="52">
        <v>1</v>
      </c>
      <c r="BH1249" s="52"/>
      <c r="BI1249" s="52" t="s">
        <v>1366</v>
      </c>
      <c r="BJ1249" s="52" t="s">
        <v>1291</v>
      </c>
      <c r="BK1249" s="52">
        <v>1997</v>
      </c>
      <c r="BL1249" s="46" t="str">
        <f>BK1249&amp;BI1249</f>
        <v>1997Middlesbrough</v>
      </c>
      <c r="BM1249" s="52" t="str">
        <f>IF(AD1249="Home",BI1249,IF(AD1249="Away",BJ1249,Q1249))</f>
        <v>London</v>
      </c>
      <c r="BN1249" s="52"/>
      <c r="BO1249" s="52"/>
      <c r="BP1249" s="52"/>
      <c r="BQ1249" s="52"/>
      <c r="BR1249" s="52"/>
      <c r="BS1249" s="52"/>
      <c r="BT1249" s="52"/>
      <c r="BU1249" s="52"/>
      <c r="BV1249" s="52" t="s">
        <v>376</v>
      </c>
      <c r="BW1249" s="52" t="s">
        <v>376</v>
      </c>
      <c r="BX1249" s="52"/>
      <c r="BY1249" s="52"/>
      <c r="BZ1249" s="53"/>
      <c r="CA1249" s="53"/>
      <c r="CB1249" s="93" t="str">
        <f>IF(OR(C1249="",A1249="",B1249=""),"",TEXT(C1249,"0000")&amp;TEXT(A1249,"00")&amp;TEXT(B1249,"00"))</f>
        <v>19970416</v>
      </c>
    </row>
    <row r="1250" spans="1:80" s="50" customFormat="1" ht="12.95" customHeight="1" x14ac:dyDescent="0.2">
      <c r="A1250" s="46">
        <v>4</v>
      </c>
      <c r="B1250" s="46">
        <v>22</v>
      </c>
      <c r="C1250" s="46">
        <v>1997</v>
      </c>
      <c r="D1250" s="52" t="s">
        <v>658</v>
      </c>
      <c r="E1250" s="52" t="s">
        <v>352</v>
      </c>
      <c r="F1250" s="52" t="s">
        <v>1010</v>
      </c>
      <c r="G1250" s="52"/>
      <c r="H1250" s="52" t="s">
        <v>1011</v>
      </c>
      <c r="I1250" s="52" t="s">
        <v>1023</v>
      </c>
      <c r="J1250" s="56">
        <v>35542</v>
      </c>
      <c r="K1250" s="52" t="s">
        <v>1366</v>
      </c>
      <c r="L1250" s="52" t="s">
        <v>3</v>
      </c>
      <c r="M1250" s="52" t="s">
        <v>1404</v>
      </c>
      <c r="N1250" s="57">
        <v>3</v>
      </c>
      <c r="O1250" s="57">
        <v>0</v>
      </c>
      <c r="P1250" s="52" t="s">
        <v>1252</v>
      </c>
      <c r="Q1250" s="52" t="s">
        <v>1097</v>
      </c>
      <c r="R1250" s="52" t="s">
        <v>376</v>
      </c>
      <c r="S1250" s="52"/>
      <c r="T1250" s="52"/>
      <c r="U1250" s="52"/>
      <c r="V1250" s="52"/>
      <c r="W1250" s="52"/>
      <c r="X1250" s="52"/>
      <c r="Y1250" s="52"/>
      <c r="Z1250" s="57"/>
      <c r="AA1250" s="52"/>
      <c r="AB1250" s="52"/>
      <c r="AC1250" s="52"/>
      <c r="AD1250" s="52"/>
      <c r="AE1250" s="50">
        <f>IF(L1250="W",1,0)</f>
        <v>1</v>
      </c>
      <c r="AF1250" s="50">
        <f>IF(L1250="T",1,0)</f>
        <v>0</v>
      </c>
      <c r="AG1250" s="50">
        <f>IF(L1250="L",1,0)</f>
        <v>0</v>
      </c>
      <c r="AH1250" s="52" t="s">
        <v>1366</v>
      </c>
      <c r="AI1250" s="52" t="s">
        <v>1317</v>
      </c>
      <c r="AJ1250" s="52" t="s">
        <v>376</v>
      </c>
      <c r="AK1250" s="50" t="s">
        <v>658</v>
      </c>
      <c r="AL1250" s="52" t="s">
        <v>1404</v>
      </c>
      <c r="AM1250" s="52" t="s">
        <v>1146</v>
      </c>
      <c r="AN1250" s="52" t="s">
        <v>376</v>
      </c>
      <c r="AO1250" s="50" t="s">
        <v>658</v>
      </c>
      <c r="AP1250" s="52"/>
      <c r="AQ1250" s="52">
        <v>2</v>
      </c>
      <c r="AR1250" s="52"/>
      <c r="AS1250" s="52"/>
      <c r="AT1250" s="46"/>
      <c r="AU1250" s="52" t="s">
        <v>376</v>
      </c>
      <c r="AV1250" s="52"/>
      <c r="AW1250" s="52" t="s">
        <v>30</v>
      </c>
      <c r="AX1250" s="52"/>
      <c r="AY1250" s="52" t="s">
        <v>30</v>
      </c>
      <c r="AZ1250" s="52"/>
      <c r="BA1250" s="52"/>
      <c r="BB1250" s="60"/>
      <c r="BC1250" s="52"/>
      <c r="BD1250" s="60"/>
      <c r="BE1250" s="60"/>
      <c r="BF1250" s="35">
        <v>1</v>
      </c>
      <c r="BG1250" s="52">
        <v>1</v>
      </c>
      <c r="BH1250" s="52"/>
      <c r="BI1250" s="52" t="s">
        <v>1366</v>
      </c>
      <c r="BJ1250" s="52" t="s">
        <v>1404</v>
      </c>
      <c r="BK1250" s="52">
        <v>1997</v>
      </c>
      <c r="BL1250" s="46" t="str">
        <f>BK1250&amp;BI1250</f>
        <v>1997Middlesbrough</v>
      </c>
      <c r="BM1250" s="52" t="str">
        <f>IF(AD1250="Home",BI1250,IF(AD1250="Away",BJ1250,Q1250))</f>
        <v>Sheffield</v>
      </c>
      <c r="BN1250" s="52"/>
      <c r="BO1250" s="52"/>
      <c r="BP1250" s="52"/>
      <c r="BQ1250" s="52"/>
      <c r="BR1250" s="52"/>
      <c r="BS1250" s="52"/>
      <c r="BT1250" s="52"/>
      <c r="BU1250" s="52"/>
      <c r="BV1250" s="52" t="s">
        <v>376</v>
      </c>
      <c r="BW1250" s="52" t="s">
        <v>376</v>
      </c>
      <c r="BX1250" s="52"/>
      <c r="BZ1250" s="53"/>
      <c r="CA1250" s="53"/>
      <c r="CB1250" s="93" t="str">
        <f>IF(OR(C1250="",A1250="",B1250=""),"",TEXT(C1250,"0000")&amp;TEXT(A1250,"00")&amp;TEXT(B1250,"00"))</f>
        <v>19970422</v>
      </c>
    </row>
    <row r="1251" spans="1:80" s="50" customFormat="1" ht="12.95" customHeight="1" x14ac:dyDescent="0.2">
      <c r="A1251" s="46">
        <v>4</v>
      </c>
      <c r="B1251" s="46">
        <v>22</v>
      </c>
      <c r="C1251" s="46">
        <v>1997</v>
      </c>
      <c r="D1251" s="46" t="s">
        <v>658</v>
      </c>
      <c r="E1251" s="46" t="s">
        <v>352</v>
      </c>
      <c r="F1251" s="47" t="s">
        <v>1010</v>
      </c>
      <c r="G1251" s="46"/>
      <c r="H1251" s="47" t="s">
        <v>1011</v>
      </c>
      <c r="I1251" s="47" t="s">
        <v>1023</v>
      </c>
      <c r="J1251" s="48">
        <v>35542</v>
      </c>
      <c r="K1251" s="46" t="s">
        <v>1404</v>
      </c>
      <c r="L1251" s="46" t="s">
        <v>4</v>
      </c>
      <c r="M1251" s="46" t="s">
        <v>1366</v>
      </c>
      <c r="N1251" s="49">
        <v>0</v>
      </c>
      <c r="O1251" s="49">
        <v>3</v>
      </c>
      <c r="P1251" s="47" t="s">
        <v>1252</v>
      </c>
      <c r="Q1251" s="47" t="s">
        <v>1097</v>
      </c>
      <c r="R1251" s="47" t="s">
        <v>376</v>
      </c>
      <c r="S1251" s="46"/>
      <c r="T1251" s="46"/>
      <c r="U1251" s="46"/>
      <c r="V1251" s="46"/>
      <c r="W1251" s="46"/>
      <c r="X1251" s="46"/>
      <c r="Y1251" s="46"/>
      <c r="Z1251" s="46"/>
      <c r="AA1251" s="46"/>
      <c r="AB1251" s="46"/>
      <c r="AC1251" s="46"/>
      <c r="AD1251" s="46"/>
      <c r="AE1251" s="50">
        <f>IF(L1251="W",1,0)</f>
        <v>0</v>
      </c>
      <c r="AF1251" s="50">
        <f>IF(L1251="T",1,0)</f>
        <v>0</v>
      </c>
      <c r="AG1251" s="50">
        <f>IF(L1251="L",1,0)</f>
        <v>1</v>
      </c>
      <c r="AH1251" s="46" t="s">
        <v>1404</v>
      </c>
      <c r="AI1251" s="46" t="s">
        <v>1146</v>
      </c>
      <c r="AJ1251" s="46" t="s">
        <v>376</v>
      </c>
      <c r="AK1251" s="46" t="s">
        <v>658</v>
      </c>
      <c r="AL1251" s="46" t="s">
        <v>1366</v>
      </c>
      <c r="AM1251" s="46" t="s">
        <v>1317</v>
      </c>
      <c r="AN1251" s="46" t="s">
        <v>376</v>
      </c>
      <c r="AO1251" s="46" t="s">
        <v>658</v>
      </c>
      <c r="AP1251" s="46"/>
      <c r="AQ1251" s="46">
        <v>2</v>
      </c>
      <c r="AR1251" s="46"/>
      <c r="AS1251" s="46"/>
      <c r="AT1251" s="46"/>
      <c r="AU1251" s="46" t="s">
        <v>376</v>
      </c>
      <c r="AV1251" s="46"/>
      <c r="AW1251" s="46" t="s">
        <v>30</v>
      </c>
      <c r="AX1251" s="46"/>
      <c r="AY1251" s="46" t="s">
        <v>30</v>
      </c>
      <c r="AZ1251" s="46"/>
      <c r="BA1251" s="47"/>
      <c r="BB1251" s="51"/>
      <c r="BC1251" s="46"/>
      <c r="BD1251" s="46"/>
      <c r="BE1251" s="46"/>
      <c r="BF1251" s="46">
        <v>1</v>
      </c>
      <c r="BG1251" s="46">
        <v>3</v>
      </c>
      <c r="BH1251" s="46">
        <v>1</v>
      </c>
      <c r="BI1251" s="46" t="s">
        <v>1404</v>
      </c>
      <c r="BJ1251" s="46" t="s">
        <v>1366</v>
      </c>
      <c r="BK1251" s="46">
        <v>1997</v>
      </c>
      <c r="BL1251" s="46" t="str">
        <f>BK1251&amp;BI1251</f>
        <v>1997Chesterfield</v>
      </c>
      <c r="BM1251" s="52" t="str">
        <f>IF(AD1251="Home",BI1251,IF(AD1251="Away",BJ1251,Q1251))</f>
        <v>Sheffield</v>
      </c>
      <c r="BN1251" s="46"/>
      <c r="BO1251" s="46"/>
      <c r="BP1251" s="46"/>
      <c r="BQ1251" s="46"/>
      <c r="BR1251" s="46"/>
      <c r="BS1251" s="46"/>
      <c r="BT1251" s="46"/>
      <c r="BU1251" s="46"/>
      <c r="BV1251" s="46" t="s">
        <v>376</v>
      </c>
      <c r="BW1251" s="46" t="s">
        <v>376</v>
      </c>
      <c r="BX1251" s="46"/>
      <c r="BZ1251" s="53"/>
      <c r="CA1251" s="53"/>
      <c r="CB1251" s="93" t="str">
        <f>IF(OR(C1251="",A1251="",B1251=""),"",TEXT(C1251,"0000")&amp;TEXT(A1251,"00")&amp;TEXT(B1251,"00"))</f>
        <v>19970422</v>
      </c>
    </row>
    <row r="1252" spans="1:80" s="50" customFormat="1" ht="12.95" customHeight="1" x14ac:dyDescent="0.2">
      <c r="A1252" s="46">
        <v>5</v>
      </c>
      <c r="B1252" s="46">
        <v>17</v>
      </c>
      <c r="C1252" s="46">
        <v>1997</v>
      </c>
      <c r="D1252" s="52" t="s">
        <v>658</v>
      </c>
      <c r="E1252" s="52" t="s">
        <v>352</v>
      </c>
      <c r="F1252" s="52" t="s">
        <v>1010</v>
      </c>
      <c r="G1252" s="52"/>
      <c r="H1252" s="52" t="s">
        <v>40</v>
      </c>
      <c r="I1252" s="52"/>
      <c r="J1252" s="56">
        <v>35567</v>
      </c>
      <c r="K1252" s="52" t="s">
        <v>816</v>
      </c>
      <c r="L1252" s="52" t="s">
        <v>3</v>
      </c>
      <c r="M1252" s="52" t="s">
        <v>1366</v>
      </c>
      <c r="N1252" s="57">
        <v>2</v>
      </c>
      <c r="O1252" s="57">
        <v>0</v>
      </c>
      <c r="P1252" s="52" t="s">
        <v>1268</v>
      </c>
      <c r="Q1252" s="52" t="s">
        <v>1017</v>
      </c>
      <c r="R1252" s="52" t="s">
        <v>376</v>
      </c>
      <c r="S1252" s="52"/>
      <c r="T1252" s="52"/>
      <c r="U1252" s="52"/>
      <c r="V1252" s="52"/>
      <c r="W1252" s="52"/>
      <c r="X1252" s="52"/>
      <c r="Y1252" s="52"/>
      <c r="Z1252" s="57"/>
      <c r="AA1252" s="52"/>
      <c r="AB1252" s="52"/>
      <c r="AC1252" s="52"/>
      <c r="AD1252" s="52"/>
      <c r="AE1252" s="50">
        <f>IF(L1252="W",1,0)</f>
        <v>1</v>
      </c>
      <c r="AF1252" s="50">
        <f>IF(L1252="T",1,0)</f>
        <v>0</v>
      </c>
      <c r="AG1252" s="50">
        <f>IF(L1252="L",1,0)</f>
        <v>0</v>
      </c>
      <c r="AH1252" s="52" t="s">
        <v>1017</v>
      </c>
      <c r="AI1252" s="52" t="s">
        <v>1018</v>
      </c>
      <c r="AJ1252" s="52" t="s">
        <v>376</v>
      </c>
      <c r="AK1252" s="50" t="s">
        <v>658</v>
      </c>
      <c r="AL1252" s="52" t="s">
        <v>1366</v>
      </c>
      <c r="AM1252" s="52" t="s">
        <v>1317</v>
      </c>
      <c r="AN1252" s="52" t="s">
        <v>376</v>
      </c>
      <c r="AO1252" s="50" t="s">
        <v>658</v>
      </c>
      <c r="AP1252" s="52"/>
      <c r="AQ1252" s="52">
        <v>1</v>
      </c>
      <c r="AR1252" s="52"/>
      <c r="AS1252" s="52" t="s">
        <v>1393</v>
      </c>
      <c r="AT1252" s="46"/>
      <c r="AU1252" s="52" t="s">
        <v>376</v>
      </c>
      <c r="AV1252" s="52"/>
      <c r="AW1252" s="52" t="s">
        <v>30</v>
      </c>
      <c r="AX1252" s="52"/>
      <c r="AY1252" s="57" t="s">
        <v>30</v>
      </c>
      <c r="AZ1252" s="52"/>
      <c r="BA1252" s="52"/>
      <c r="BB1252" s="60" t="s">
        <v>30</v>
      </c>
      <c r="BC1252" s="52" t="s">
        <v>30</v>
      </c>
      <c r="BD1252" s="60"/>
      <c r="BE1252" s="60" t="s">
        <v>1397</v>
      </c>
      <c r="BF1252" s="35">
        <v>1</v>
      </c>
      <c r="BG1252" s="52">
        <v>1</v>
      </c>
      <c r="BH1252" s="52"/>
      <c r="BI1252" s="52" t="s">
        <v>816</v>
      </c>
      <c r="BJ1252" s="52" t="s">
        <v>1366</v>
      </c>
      <c r="BK1252" s="52">
        <v>1997</v>
      </c>
      <c r="BL1252" s="46" t="str">
        <f>BK1252&amp;BI1252</f>
        <v>1997Chelsea</v>
      </c>
      <c r="BM1252" s="52" t="str">
        <f>IF(AD1252="Home",BI1252,IF(AD1252="Away",BJ1252,Q1252))</f>
        <v>London</v>
      </c>
      <c r="BN1252" s="52"/>
      <c r="BO1252" s="52"/>
      <c r="BP1252" s="52"/>
      <c r="BQ1252" s="52"/>
      <c r="BR1252" s="52"/>
      <c r="BS1252" s="52"/>
      <c r="BT1252" s="52"/>
      <c r="BU1252" s="52"/>
      <c r="BV1252" s="52" t="s">
        <v>376</v>
      </c>
      <c r="BW1252" s="52" t="s">
        <v>376</v>
      </c>
      <c r="BX1252" s="52"/>
      <c r="BY1252" s="52"/>
      <c r="BZ1252" s="53"/>
      <c r="CA1252" s="53"/>
      <c r="CB1252" s="93" t="str">
        <f>IF(OR(C1252="",A1252="",B1252=""),"",TEXT(C1252,"0000")&amp;TEXT(A1252,"00")&amp;TEXT(B1252,"00"))</f>
        <v>19970517</v>
      </c>
    </row>
    <row r="1253" spans="1:80" s="50" customFormat="1" ht="12.95" customHeight="1" x14ac:dyDescent="0.2">
      <c r="A1253" s="46">
        <v>5</v>
      </c>
      <c r="B1253" s="46">
        <v>17</v>
      </c>
      <c r="C1253" s="46">
        <v>1997</v>
      </c>
      <c r="D1253" s="52" t="s">
        <v>658</v>
      </c>
      <c r="E1253" s="52" t="s">
        <v>352</v>
      </c>
      <c r="F1253" s="52" t="s">
        <v>1010</v>
      </c>
      <c r="G1253" s="52"/>
      <c r="H1253" s="52" t="s">
        <v>40</v>
      </c>
      <c r="I1253" s="52"/>
      <c r="J1253" s="56">
        <v>35567</v>
      </c>
      <c r="K1253" s="52" t="s">
        <v>1366</v>
      </c>
      <c r="L1253" s="52" t="s">
        <v>4</v>
      </c>
      <c r="M1253" s="52" t="s">
        <v>816</v>
      </c>
      <c r="N1253" s="57">
        <v>0</v>
      </c>
      <c r="O1253" s="57">
        <v>2</v>
      </c>
      <c r="P1253" s="52" t="s">
        <v>1268</v>
      </c>
      <c r="Q1253" s="52" t="s">
        <v>1017</v>
      </c>
      <c r="R1253" s="52" t="s">
        <v>376</v>
      </c>
      <c r="S1253" s="52"/>
      <c r="T1253" s="52"/>
      <c r="U1253" s="52"/>
      <c r="V1253" s="52"/>
      <c r="W1253" s="52"/>
      <c r="X1253" s="52"/>
      <c r="Y1253" s="52"/>
      <c r="Z1253" s="57"/>
      <c r="AA1253" s="52"/>
      <c r="AB1253" s="52"/>
      <c r="AC1253" s="52"/>
      <c r="AD1253" s="52"/>
      <c r="AE1253" s="50">
        <f>IF(L1253="W",1,0)</f>
        <v>0</v>
      </c>
      <c r="AF1253" s="50">
        <f>IF(L1253="T",1,0)</f>
        <v>0</v>
      </c>
      <c r="AG1253" s="50">
        <f>IF(L1253="L",1,0)</f>
        <v>1</v>
      </c>
      <c r="AH1253" s="52" t="s">
        <v>1366</v>
      </c>
      <c r="AI1253" s="52" t="s">
        <v>1317</v>
      </c>
      <c r="AJ1253" s="52" t="s">
        <v>376</v>
      </c>
      <c r="AK1253" s="50" t="s">
        <v>658</v>
      </c>
      <c r="AL1253" s="52" t="s">
        <v>1017</v>
      </c>
      <c r="AM1253" s="52" t="s">
        <v>1018</v>
      </c>
      <c r="AN1253" s="52" t="s">
        <v>376</v>
      </c>
      <c r="AO1253" s="50" t="s">
        <v>658</v>
      </c>
      <c r="AP1253" s="52"/>
      <c r="AQ1253" s="52">
        <v>1</v>
      </c>
      <c r="AR1253" s="52"/>
      <c r="AS1253" s="52">
        <v>1</v>
      </c>
      <c r="AT1253" s="46"/>
      <c r="AU1253" s="52" t="s">
        <v>376</v>
      </c>
      <c r="AV1253" s="52"/>
      <c r="AW1253" s="52" t="s">
        <v>30</v>
      </c>
      <c r="AX1253" s="52"/>
      <c r="AY1253" s="52" t="s">
        <v>30</v>
      </c>
      <c r="AZ1253" s="52"/>
      <c r="BA1253" s="52"/>
      <c r="BB1253" s="60"/>
      <c r="BC1253" s="52" t="s">
        <v>30</v>
      </c>
      <c r="BD1253" s="60"/>
      <c r="BE1253" s="60"/>
      <c r="BF1253" s="35">
        <v>1</v>
      </c>
      <c r="BG1253" s="52">
        <v>1</v>
      </c>
      <c r="BH1253" s="52"/>
      <c r="BI1253" s="52" t="s">
        <v>1366</v>
      </c>
      <c r="BJ1253" s="52" t="s">
        <v>816</v>
      </c>
      <c r="BK1253" s="52">
        <v>1997</v>
      </c>
      <c r="BL1253" s="46" t="str">
        <f>BK1253&amp;BI1253</f>
        <v>1997Middlesbrough</v>
      </c>
      <c r="BM1253" s="52" t="str">
        <f>IF(AD1253="Home",BI1253,IF(AD1253="Away",BJ1253,Q1253))</f>
        <v>London</v>
      </c>
      <c r="BN1253" s="52"/>
      <c r="BO1253" s="52"/>
      <c r="BP1253" s="52"/>
      <c r="BQ1253" s="52"/>
      <c r="BR1253" s="52"/>
      <c r="BS1253" s="52"/>
      <c r="BT1253" s="52"/>
      <c r="BU1253" s="52"/>
      <c r="BV1253" s="52" t="s">
        <v>376</v>
      </c>
      <c r="BW1253" s="52" t="s">
        <v>376</v>
      </c>
      <c r="BX1253" s="52"/>
      <c r="BY1253" s="52"/>
      <c r="BZ1253" s="53"/>
      <c r="CA1253" s="53"/>
      <c r="CB1253" s="93" t="str">
        <f>IF(OR(C1253="",A1253="",B1253=""),"",TEXT(C1253,"0000")&amp;TEXT(A1253,"00")&amp;TEXT(B1253,"00"))</f>
        <v>19970517</v>
      </c>
    </row>
    <row r="1254" spans="1:80" s="50" customFormat="1" ht="12.95" customHeight="1" x14ac:dyDescent="0.2">
      <c r="A1254" s="46">
        <v>1</v>
      </c>
      <c r="B1254" s="46">
        <v>27</v>
      </c>
      <c r="C1254" s="46">
        <v>1998</v>
      </c>
      <c r="D1254" s="52" t="s">
        <v>658</v>
      </c>
      <c r="E1254" s="52" t="s">
        <v>345</v>
      </c>
      <c r="F1254" s="52" t="s">
        <v>1327</v>
      </c>
      <c r="G1254" s="52"/>
      <c r="H1254" s="52" t="s">
        <v>1011</v>
      </c>
      <c r="I1254" s="52">
        <v>1</v>
      </c>
      <c r="J1254" s="56">
        <v>35822</v>
      </c>
      <c r="K1254" s="52" t="s">
        <v>588</v>
      </c>
      <c r="L1254" s="52" t="s">
        <v>3</v>
      </c>
      <c r="M1254" s="52" t="s">
        <v>1366</v>
      </c>
      <c r="N1254" s="57">
        <v>2</v>
      </c>
      <c r="O1254" s="57">
        <v>1</v>
      </c>
      <c r="P1254" s="52" t="s">
        <v>1141</v>
      </c>
      <c r="Q1254" s="52" t="s">
        <v>588</v>
      </c>
      <c r="R1254" s="52" t="s">
        <v>376</v>
      </c>
      <c r="S1254" s="52"/>
      <c r="T1254" s="52"/>
      <c r="U1254" s="52"/>
      <c r="V1254" s="52"/>
      <c r="W1254" s="52"/>
      <c r="X1254" s="52"/>
      <c r="Y1254" s="52"/>
      <c r="Z1254" s="57"/>
      <c r="AA1254" s="58">
        <v>2</v>
      </c>
      <c r="AB1254" s="58">
        <v>1</v>
      </c>
      <c r="AC1254" s="59">
        <v>0</v>
      </c>
      <c r="AD1254" s="52" t="s">
        <v>1033</v>
      </c>
      <c r="AE1254" s="50">
        <f>IF(L1254="W",1,0)</f>
        <v>1</v>
      </c>
      <c r="AF1254" s="50">
        <f>IF(L1254="T",1,0)</f>
        <v>0</v>
      </c>
      <c r="AG1254" s="50">
        <f>IF(L1254="L",1,0)</f>
        <v>0</v>
      </c>
      <c r="AH1254" s="52" t="s">
        <v>588</v>
      </c>
      <c r="AI1254" s="52" t="s">
        <v>1175</v>
      </c>
      <c r="AJ1254" s="52" t="s">
        <v>376</v>
      </c>
      <c r="AK1254" s="50" t="s">
        <v>658</v>
      </c>
      <c r="AL1254" s="52" t="s">
        <v>1366</v>
      </c>
      <c r="AM1254" s="52" t="s">
        <v>1317</v>
      </c>
      <c r="AN1254" s="52" t="s">
        <v>376</v>
      </c>
      <c r="AO1254" s="50" t="s">
        <v>658</v>
      </c>
      <c r="AP1254" s="52"/>
      <c r="AQ1254" s="52">
        <v>2</v>
      </c>
      <c r="AR1254" s="52"/>
      <c r="AS1254" s="52"/>
      <c r="AT1254" s="46"/>
      <c r="AU1254" s="52" t="s">
        <v>376</v>
      </c>
      <c r="AV1254" s="52"/>
      <c r="AW1254" s="52" t="s">
        <v>30</v>
      </c>
      <c r="AX1254" s="52"/>
      <c r="AY1254" s="52"/>
      <c r="AZ1254" s="52" t="s">
        <v>30</v>
      </c>
      <c r="BA1254" s="52"/>
      <c r="BB1254" s="60"/>
      <c r="BC1254" s="52"/>
      <c r="BD1254" s="60"/>
      <c r="BE1254" s="60"/>
      <c r="BF1254" s="35">
        <v>1</v>
      </c>
      <c r="BG1254" s="52">
        <v>1</v>
      </c>
      <c r="BH1254" s="52"/>
      <c r="BI1254" s="52" t="s">
        <v>588</v>
      </c>
      <c r="BJ1254" s="52" t="s">
        <v>1366</v>
      </c>
      <c r="BK1254" s="52">
        <v>1998</v>
      </c>
      <c r="BL1254" s="46" t="str">
        <f>BK1254&amp;BI1254</f>
        <v>1998Liverpool</v>
      </c>
      <c r="BM1254" s="52" t="str">
        <f>IF(AD1254="Home",BI1254,IF(AD1254="Away",BJ1254,Q1254))</f>
        <v>Liverpool</v>
      </c>
      <c r="BN1254" s="52"/>
      <c r="BO1254" s="52"/>
      <c r="BP1254" s="52"/>
      <c r="BQ1254" s="52"/>
      <c r="BR1254" s="52"/>
      <c r="BS1254" s="52"/>
      <c r="BT1254" s="52"/>
      <c r="BU1254" s="52"/>
      <c r="BV1254" s="52" t="s">
        <v>376</v>
      </c>
      <c r="BW1254" s="52" t="s">
        <v>376</v>
      </c>
      <c r="BX1254" s="52"/>
      <c r="BY1254" s="52"/>
      <c r="BZ1254" s="53"/>
      <c r="CA1254" s="53"/>
      <c r="CB1254" s="93" t="str">
        <f>IF(OR(C1254="",A1254="",B1254=""),"",TEXT(C1254,"0000")&amp;TEXT(A1254,"00")&amp;TEXT(B1254,"00"))</f>
        <v>19980127</v>
      </c>
    </row>
    <row r="1255" spans="1:80" s="50" customFormat="1" ht="12.95" customHeight="1" x14ac:dyDescent="0.2">
      <c r="A1255" s="46">
        <v>1</v>
      </c>
      <c r="B1255" s="46">
        <v>27</v>
      </c>
      <c r="C1255" s="46">
        <v>1998</v>
      </c>
      <c r="D1255" s="46" t="s">
        <v>658</v>
      </c>
      <c r="E1255" s="46" t="s">
        <v>345</v>
      </c>
      <c r="F1255" s="54" t="s">
        <v>1327</v>
      </c>
      <c r="G1255" s="46"/>
      <c r="H1255" s="54" t="s">
        <v>1011</v>
      </c>
      <c r="I1255" s="54">
        <v>1</v>
      </c>
      <c r="J1255" s="55">
        <v>35822</v>
      </c>
      <c r="K1255" s="46" t="s">
        <v>1366</v>
      </c>
      <c r="L1255" s="46" t="s">
        <v>4</v>
      </c>
      <c r="M1255" s="46" t="s">
        <v>588</v>
      </c>
      <c r="N1255" s="49">
        <v>1</v>
      </c>
      <c r="O1255" s="49">
        <v>2</v>
      </c>
      <c r="P1255" s="54" t="s">
        <v>1141</v>
      </c>
      <c r="Q1255" s="54" t="s">
        <v>588</v>
      </c>
      <c r="R1255" s="54" t="s">
        <v>376</v>
      </c>
      <c r="S1255" s="46"/>
      <c r="T1255" s="46"/>
      <c r="U1255" s="46"/>
      <c r="V1255" s="46"/>
      <c r="W1255" s="46"/>
      <c r="X1255" s="46"/>
      <c r="Y1255" s="46"/>
      <c r="Z1255" s="46"/>
      <c r="AA1255" s="46"/>
      <c r="AB1255" s="46"/>
      <c r="AC1255" s="46"/>
      <c r="AD1255" s="46" t="s">
        <v>1037</v>
      </c>
      <c r="AE1255" s="50">
        <f>IF(L1255="W",1,0)</f>
        <v>0</v>
      </c>
      <c r="AF1255" s="50">
        <f>IF(L1255="T",1,0)</f>
        <v>0</v>
      </c>
      <c r="AG1255" s="50">
        <f>IF(L1255="L",1,0)</f>
        <v>1</v>
      </c>
      <c r="AH1255" s="46" t="s">
        <v>1366</v>
      </c>
      <c r="AI1255" s="46" t="s">
        <v>1317</v>
      </c>
      <c r="AJ1255" s="46" t="s">
        <v>376</v>
      </c>
      <c r="AK1255" s="46" t="s">
        <v>658</v>
      </c>
      <c r="AL1255" s="46" t="s">
        <v>588</v>
      </c>
      <c r="AM1255" s="46" t="s">
        <v>1175</v>
      </c>
      <c r="AN1255" s="46" t="s">
        <v>376</v>
      </c>
      <c r="AO1255" s="46" t="s">
        <v>658</v>
      </c>
      <c r="AP1255" s="46"/>
      <c r="AQ1255" s="46">
        <v>2</v>
      </c>
      <c r="AR1255" s="46"/>
      <c r="AS1255" s="46"/>
      <c r="AT1255" s="46"/>
      <c r="AU1255" s="46" t="s">
        <v>376</v>
      </c>
      <c r="AV1255" s="46"/>
      <c r="AW1255" s="46" t="s">
        <v>30</v>
      </c>
      <c r="AX1255" s="46"/>
      <c r="AY1255" s="46"/>
      <c r="AZ1255" s="46" t="s">
        <v>30</v>
      </c>
      <c r="BA1255" s="54"/>
      <c r="BB1255" s="51"/>
      <c r="BC1255" s="46"/>
      <c r="BD1255" s="46"/>
      <c r="BE1255" s="46"/>
      <c r="BF1255" s="46">
        <v>1</v>
      </c>
      <c r="BG1255" s="46">
        <v>2</v>
      </c>
      <c r="BH1255" s="46">
        <v>1</v>
      </c>
      <c r="BI1255" s="46" t="s">
        <v>1366</v>
      </c>
      <c r="BJ1255" s="46" t="s">
        <v>588</v>
      </c>
      <c r="BK1255" s="46">
        <v>1998</v>
      </c>
      <c r="BL1255" s="46" t="str">
        <f>BK1255&amp;BI1255</f>
        <v>1998Middlesbrough</v>
      </c>
      <c r="BM1255" s="52" t="str">
        <f>IF(AD1255="Home",BI1255,IF(AD1255="Away",BJ1255,Q1255))</f>
        <v>Liverpool</v>
      </c>
      <c r="BN1255" s="46"/>
      <c r="BO1255" s="46"/>
      <c r="BP1255" s="46"/>
      <c r="BQ1255" s="46"/>
      <c r="BR1255" s="46"/>
      <c r="BS1255" s="46"/>
      <c r="BT1255" s="46"/>
      <c r="BU1255" s="46"/>
      <c r="BV1255" s="46" t="s">
        <v>376</v>
      </c>
      <c r="BW1255" s="46" t="s">
        <v>376</v>
      </c>
      <c r="BX1255" s="46"/>
      <c r="BY1255" s="52"/>
      <c r="BZ1255" s="53"/>
      <c r="CA1255" s="53"/>
      <c r="CB1255" s="93" t="str">
        <f>IF(OR(C1255="",A1255="",B1255=""),"",TEXT(C1255,"0000")&amp;TEXT(A1255,"00")&amp;TEXT(B1255,"00"))</f>
        <v>19980127</v>
      </c>
    </row>
    <row r="1256" spans="1:80" s="50" customFormat="1" ht="12.95" customHeight="1" x14ac:dyDescent="0.2">
      <c r="A1256" s="46">
        <v>1</v>
      </c>
      <c r="B1256" s="46">
        <v>28</v>
      </c>
      <c r="C1256" s="46">
        <v>1998</v>
      </c>
      <c r="D1256" s="52" t="s">
        <v>658</v>
      </c>
      <c r="E1256" s="52" t="s">
        <v>345</v>
      </c>
      <c r="F1256" s="52" t="s">
        <v>1327</v>
      </c>
      <c r="G1256" s="52"/>
      <c r="H1256" s="52" t="s">
        <v>1011</v>
      </c>
      <c r="I1256" s="52">
        <v>1</v>
      </c>
      <c r="J1256" s="56">
        <v>35823</v>
      </c>
      <c r="K1256" s="52" t="s">
        <v>587</v>
      </c>
      <c r="L1256" s="52" t="s">
        <v>3</v>
      </c>
      <c r="M1256" s="52" t="s">
        <v>816</v>
      </c>
      <c r="N1256" s="57">
        <v>2</v>
      </c>
      <c r="O1256" s="57">
        <v>1</v>
      </c>
      <c r="P1256" s="52" t="s">
        <v>1281</v>
      </c>
      <c r="Q1256" s="52" t="s">
        <v>1017</v>
      </c>
      <c r="R1256" s="52" t="s">
        <v>376</v>
      </c>
      <c r="S1256" s="52"/>
      <c r="T1256" s="52"/>
      <c r="U1256" s="52"/>
      <c r="V1256" s="52"/>
      <c r="W1256" s="52"/>
      <c r="X1256" s="52"/>
      <c r="Y1256" s="52"/>
      <c r="Z1256" s="57"/>
      <c r="AA1256" s="58">
        <v>2</v>
      </c>
      <c r="AB1256" s="58">
        <v>1</v>
      </c>
      <c r="AC1256" s="59">
        <v>0</v>
      </c>
      <c r="AD1256" s="52" t="s">
        <v>1033</v>
      </c>
      <c r="AE1256" s="50">
        <f>IF(L1256="W",1,0)</f>
        <v>1</v>
      </c>
      <c r="AF1256" s="50">
        <f>IF(L1256="T",1,0)</f>
        <v>0</v>
      </c>
      <c r="AG1256" s="50">
        <f>IF(L1256="L",1,0)</f>
        <v>0</v>
      </c>
      <c r="AH1256" s="52" t="s">
        <v>1017</v>
      </c>
      <c r="AI1256" s="52" t="s">
        <v>1018</v>
      </c>
      <c r="AJ1256" s="52" t="s">
        <v>376</v>
      </c>
      <c r="AK1256" s="50" t="s">
        <v>658</v>
      </c>
      <c r="AL1256" s="52" t="s">
        <v>1017</v>
      </c>
      <c r="AM1256" s="52" t="s">
        <v>1018</v>
      </c>
      <c r="AN1256" s="52" t="s">
        <v>376</v>
      </c>
      <c r="AO1256" s="50" t="s">
        <v>658</v>
      </c>
      <c r="AP1256" s="52"/>
      <c r="AQ1256" s="52">
        <v>2</v>
      </c>
      <c r="AR1256" s="52"/>
      <c r="AS1256" s="52"/>
      <c r="AT1256" s="46" t="s">
        <v>1308</v>
      </c>
      <c r="AU1256" s="52" t="s">
        <v>376</v>
      </c>
      <c r="AV1256" s="52"/>
      <c r="AW1256" s="52" t="s">
        <v>30</v>
      </c>
      <c r="AX1256" s="52"/>
      <c r="AY1256" s="52"/>
      <c r="AZ1256" s="52" t="s">
        <v>30</v>
      </c>
      <c r="BA1256" s="52"/>
      <c r="BB1256" s="60"/>
      <c r="BC1256" s="52"/>
      <c r="BD1256" s="60"/>
      <c r="BE1256" s="60"/>
      <c r="BF1256" s="35">
        <v>1</v>
      </c>
      <c r="BG1256" s="52">
        <v>1</v>
      </c>
      <c r="BH1256" s="52"/>
      <c r="BI1256" s="52" t="s">
        <v>587</v>
      </c>
      <c r="BJ1256" s="52" t="s">
        <v>816</v>
      </c>
      <c r="BK1256" s="52">
        <v>1998</v>
      </c>
      <c r="BL1256" s="46" t="str">
        <f>BK1256&amp;BI1256</f>
        <v>1998Arsenal</v>
      </c>
      <c r="BM1256" s="52" t="str">
        <f>IF(AD1256="Home",BI1256,IF(AD1256="Away",BJ1256,Q1256))</f>
        <v>Arsenal</v>
      </c>
      <c r="BN1256" s="52"/>
      <c r="BO1256" s="52"/>
      <c r="BP1256" s="52"/>
      <c r="BQ1256" s="52"/>
      <c r="BR1256" s="52"/>
      <c r="BS1256" s="52"/>
      <c r="BT1256" s="52"/>
      <c r="BU1256" s="52"/>
      <c r="BV1256" s="52" t="s">
        <v>376</v>
      </c>
      <c r="BW1256" s="52" t="s">
        <v>376</v>
      </c>
      <c r="BX1256" s="52"/>
      <c r="BY1256" s="52"/>
      <c r="BZ1256" s="53"/>
      <c r="CA1256" s="53"/>
      <c r="CB1256" s="93" t="str">
        <f>IF(OR(C1256="",A1256="",B1256=""),"",TEXT(C1256,"0000")&amp;TEXT(A1256,"00")&amp;TEXT(B1256,"00"))</f>
        <v>19980128</v>
      </c>
    </row>
    <row r="1257" spans="1:80" s="50" customFormat="1" ht="12.95" customHeight="1" x14ac:dyDescent="0.2">
      <c r="A1257" s="46">
        <v>1</v>
      </c>
      <c r="B1257" s="46">
        <v>28</v>
      </c>
      <c r="C1257" s="46">
        <v>1998</v>
      </c>
      <c r="D1257" s="52" t="s">
        <v>658</v>
      </c>
      <c r="E1257" s="52" t="s">
        <v>345</v>
      </c>
      <c r="F1257" s="52" t="s">
        <v>1327</v>
      </c>
      <c r="G1257" s="52"/>
      <c r="H1257" s="52" t="s">
        <v>1011</v>
      </c>
      <c r="I1257" s="52">
        <v>1</v>
      </c>
      <c r="J1257" s="56">
        <v>35823</v>
      </c>
      <c r="K1257" s="52" t="s">
        <v>816</v>
      </c>
      <c r="L1257" s="52" t="s">
        <v>4</v>
      </c>
      <c r="M1257" s="52" t="s">
        <v>587</v>
      </c>
      <c r="N1257" s="57">
        <v>1</v>
      </c>
      <c r="O1257" s="57">
        <v>2</v>
      </c>
      <c r="P1257" s="52" t="s">
        <v>1281</v>
      </c>
      <c r="Q1257" s="52" t="s">
        <v>1017</v>
      </c>
      <c r="R1257" s="52" t="s">
        <v>376</v>
      </c>
      <c r="S1257" s="52"/>
      <c r="T1257" s="52"/>
      <c r="U1257" s="52"/>
      <c r="V1257" s="52"/>
      <c r="W1257" s="52"/>
      <c r="X1257" s="52"/>
      <c r="Y1257" s="52"/>
      <c r="Z1257" s="57"/>
      <c r="AA1257" s="58">
        <v>1</v>
      </c>
      <c r="AB1257" s="58">
        <v>2</v>
      </c>
      <c r="AC1257" s="59">
        <v>1</v>
      </c>
      <c r="AD1257" s="52" t="s">
        <v>1037</v>
      </c>
      <c r="AE1257" s="50">
        <f>IF(L1257="W",1,0)</f>
        <v>0</v>
      </c>
      <c r="AF1257" s="50">
        <f>IF(L1257="T",1,0)</f>
        <v>0</v>
      </c>
      <c r="AG1257" s="50">
        <f>IF(L1257="L",1,0)</f>
        <v>1</v>
      </c>
      <c r="AH1257" s="52" t="s">
        <v>1017</v>
      </c>
      <c r="AI1257" s="52" t="s">
        <v>1018</v>
      </c>
      <c r="AJ1257" s="52" t="s">
        <v>376</v>
      </c>
      <c r="AK1257" s="50" t="s">
        <v>658</v>
      </c>
      <c r="AL1257" s="52" t="s">
        <v>1017</v>
      </c>
      <c r="AM1257" s="52" t="s">
        <v>1018</v>
      </c>
      <c r="AN1257" s="52" t="s">
        <v>376</v>
      </c>
      <c r="AO1257" s="50" t="s">
        <v>658</v>
      </c>
      <c r="AP1257" s="52"/>
      <c r="AQ1257" s="52">
        <v>2</v>
      </c>
      <c r="AR1257" s="52"/>
      <c r="AS1257" s="52"/>
      <c r="AT1257" s="46" t="s">
        <v>1308</v>
      </c>
      <c r="AU1257" s="52" t="s">
        <v>376</v>
      </c>
      <c r="AV1257" s="52"/>
      <c r="AW1257" s="52" t="s">
        <v>30</v>
      </c>
      <c r="AX1257" s="52"/>
      <c r="AY1257" s="52"/>
      <c r="AZ1257" s="52" t="s">
        <v>30</v>
      </c>
      <c r="BA1257" s="52"/>
      <c r="BB1257" s="60"/>
      <c r="BC1257" s="52"/>
      <c r="BD1257" s="60"/>
      <c r="BE1257" s="60"/>
      <c r="BF1257" s="35">
        <v>1</v>
      </c>
      <c r="BG1257" s="52">
        <v>1</v>
      </c>
      <c r="BH1257" s="52"/>
      <c r="BI1257" s="52" t="s">
        <v>816</v>
      </c>
      <c r="BJ1257" s="52" t="s">
        <v>587</v>
      </c>
      <c r="BK1257" s="52">
        <v>1998</v>
      </c>
      <c r="BL1257" s="46" t="str">
        <f>BK1257&amp;BI1257</f>
        <v>1998Chelsea</v>
      </c>
      <c r="BM1257" s="52" t="str">
        <f>IF(AD1257="Home",BI1257,IF(AD1257="Away",BJ1257,Q1257))</f>
        <v>Arsenal</v>
      </c>
      <c r="BN1257" s="52"/>
      <c r="BO1257" s="52"/>
      <c r="BP1257" s="52"/>
      <c r="BQ1257" s="52"/>
      <c r="BR1257" s="52"/>
      <c r="BS1257" s="52"/>
      <c r="BT1257" s="52"/>
      <c r="BU1257" s="52"/>
      <c r="BV1257" s="52" t="s">
        <v>376</v>
      </c>
      <c r="BW1257" s="52" t="s">
        <v>376</v>
      </c>
      <c r="BX1257" s="52"/>
      <c r="BY1257" s="52"/>
      <c r="BZ1257" s="53"/>
      <c r="CA1257" s="53"/>
      <c r="CB1257" s="93" t="str">
        <f>IF(OR(C1257="",A1257="",B1257=""),"",TEXT(C1257,"0000")&amp;TEXT(A1257,"00")&amp;TEXT(B1257,"00"))</f>
        <v>19980128</v>
      </c>
    </row>
    <row r="1258" spans="1:80" s="50" customFormat="1" ht="12.95" customHeight="1" x14ac:dyDescent="0.2">
      <c r="A1258" s="46">
        <v>2</v>
      </c>
      <c r="B1258" s="46">
        <v>18</v>
      </c>
      <c r="C1258" s="46">
        <v>1998</v>
      </c>
      <c r="D1258" s="46" t="s">
        <v>658</v>
      </c>
      <c r="E1258" s="46" t="s">
        <v>345</v>
      </c>
      <c r="F1258" s="54" t="s">
        <v>1327</v>
      </c>
      <c r="G1258" s="46"/>
      <c r="H1258" s="54" t="s">
        <v>1011</v>
      </c>
      <c r="I1258" s="54">
        <v>2</v>
      </c>
      <c r="J1258" s="55">
        <v>35844</v>
      </c>
      <c r="K1258" s="46" t="s">
        <v>1366</v>
      </c>
      <c r="L1258" s="46" t="s">
        <v>3</v>
      </c>
      <c r="M1258" s="46" t="s">
        <v>588</v>
      </c>
      <c r="N1258" s="49">
        <v>2</v>
      </c>
      <c r="O1258" s="49">
        <v>0</v>
      </c>
      <c r="P1258" s="54" t="s">
        <v>1403</v>
      </c>
      <c r="Q1258" s="54" t="s">
        <v>1366</v>
      </c>
      <c r="R1258" s="54" t="s">
        <v>376</v>
      </c>
      <c r="S1258" s="46"/>
      <c r="T1258" s="46"/>
      <c r="U1258" s="46"/>
      <c r="V1258" s="46"/>
      <c r="W1258" s="46"/>
      <c r="X1258" s="46"/>
      <c r="Y1258" s="46"/>
      <c r="Z1258" s="46"/>
      <c r="AA1258" s="46"/>
      <c r="AB1258" s="46"/>
      <c r="AC1258" s="46"/>
      <c r="AD1258" s="46" t="s">
        <v>1033</v>
      </c>
      <c r="AE1258" s="50">
        <f>IF(L1258="W",1,0)</f>
        <v>1</v>
      </c>
      <c r="AF1258" s="50">
        <f>IF(L1258="T",1,0)</f>
        <v>0</v>
      </c>
      <c r="AG1258" s="50">
        <f>IF(L1258="L",1,0)</f>
        <v>0</v>
      </c>
      <c r="AH1258" s="46" t="s">
        <v>1366</v>
      </c>
      <c r="AI1258" s="46" t="s">
        <v>1317</v>
      </c>
      <c r="AJ1258" s="46" t="s">
        <v>376</v>
      </c>
      <c r="AK1258" s="46" t="s">
        <v>658</v>
      </c>
      <c r="AL1258" s="46" t="s">
        <v>588</v>
      </c>
      <c r="AM1258" s="46" t="s">
        <v>1175</v>
      </c>
      <c r="AN1258" s="46" t="s">
        <v>376</v>
      </c>
      <c r="AO1258" s="46" t="s">
        <v>658</v>
      </c>
      <c r="AP1258" s="46"/>
      <c r="AQ1258" s="46">
        <v>2</v>
      </c>
      <c r="AR1258" s="46"/>
      <c r="AS1258" s="46"/>
      <c r="AT1258" s="46"/>
      <c r="AU1258" s="46" t="s">
        <v>376</v>
      </c>
      <c r="AV1258" s="46"/>
      <c r="AW1258" s="46" t="s">
        <v>30</v>
      </c>
      <c r="AX1258" s="46"/>
      <c r="AY1258" s="46"/>
      <c r="AZ1258" s="46" t="s">
        <v>30</v>
      </c>
      <c r="BA1258" s="54"/>
      <c r="BB1258" s="51"/>
      <c r="BC1258" s="46"/>
      <c r="BD1258" s="46"/>
      <c r="BE1258" s="46"/>
      <c r="BF1258" s="46">
        <v>1</v>
      </c>
      <c r="BG1258" s="46">
        <v>2</v>
      </c>
      <c r="BH1258" s="46">
        <v>1</v>
      </c>
      <c r="BI1258" s="46" t="s">
        <v>1366</v>
      </c>
      <c r="BJ1258" s="46" t="s">
        <v>588</v>
      </c>
      <c r="BK1258" s="46">
        <v>1998</v>
      </c>
      <c r="BL1258" s="46" t="str">
        <f>BK1258&amp;BI1258</f>
        <v>1998Middlesbrough</v>
      </c>
      <c r="BM1258" s="52" t="str">
        <f>IF(AD1258="Home",BI1258,IF(AD1258="Away",BJ1258,Q1258))</f>
        <v>Middlesbrough</v>
      </c>
      <c r="BN1258" s="46"/>
      <c r="BO1258" s="46"/>
      <c r="BP1258" s="46"/>
      <c r="BQ1258" s="46"/>
      <c r="BR1258" s="46"/>
      <c r="BS1258" s="46"/>
      <c r="BT1258" s="46"/>
      <c r="BU1258" s="46"/>
      <c r="BV1258" s="46" t="s">
        <v>376</v>
      </c>
      <c r="BW1258" s="46" t="s">
        <v>376</v>
      </c>
      <c r="BX1258" s="46"/>
      <c r="BY1258" s="52"/>
      <c r="BZ1258" s="53"/>
      <c r="CA1258" s="53"/>
      <c r="CB1258" s="93" t="str">
        <f>IF(OR(C1258="",A1258="",B1258=""),"",TEXT(C1258,"0000")&amp;TEXT(A1258,"00")&amp;TEXT(B1258,"00"))</f>
        <v>19980218</v>
      </c>
    </row>
    <row r="1259" spans="1:80" s="50" customFormat="1" ht="12.95" customHeight="1" x14ac:dyDescent="0.2">
      <c r="A1259" s="46">
        <v>2</v>
      </c>
      <c r="B1259" s="46">
        <v>18</v>
      </c>
      <c r="C1259" s="46">
        <v>1998</v>
      </c>
      <c r="D1259" s="52" t="s">
        <v>658</v>
      </c>
      <c r="E1259" s="52" t="s">
        <v>345</v>
      </c>
      <c r="F1259" s="52" t="s">
        <v>1327</v>
      </c>
      <c r="G1259" s="52"/>
      <c r="H1259" s="52" t="s">
        <v>1011</v>
      </c>
      <c r="I1259" s="52">
        <v>2</v>
      </c>
      <c r="J1259" s="56">
        <v>35844</v>
      </c>
      <c r="K1259" s="52" t="s">
        <v>588</v>
      </c>
      <c r="L1259" s="52" t="s">
        <v>4</v>
      </c>
      <c r="M1259" s="52" t="s">
        <v>1366</v>
      </c>
      <c r="N1259" s="57">
        <v>0</v>
      </c>
      <c r="O1259" s="57">
        <v>2</v>
      </c>
      <c r="P1259" s="52" t="s">
        <v>1403</v>
      </c>
      <c r="Q1259" s="52" t="s">
        <v>1366</v>
      </c>
      <c r="R1259" s="52" t="s">
        <v>376</v>
      </c>
      <c r="S1259" s="52"/>
      <c r="T1259" s="52"/>
      <c r="U1259" s="52"/>
      <c r="V1259" s="52"/>
      <c r="W1259" s="52"/>
      <c r="X1259" s="52"/>
      <c r="Y1259" s="52"/>
      <c r="Z1259" s="57"/>
      <c r="AA1259" s="58">
        <v>2</v>
      </c>
      <c r="AB1259" s="58">
        <v>3</v>
      </c>
      <c r="AC1259" s="59">
        <v>0</v>
      </c>
      <c r="AD1259" s="52" t="s">
        <v>1037</v>
      </c>
      <c r="AE1259" s="50">
        <f>IF(L1259="W",1,0)</f>
        <v>0</v>
      </c>
      <c r="AF1259" s="50">
        <f>IF(L1259="T",1,0)</f>
        <v>0</v>
      </c>
      <c r="AG1259" s="50">
        <f>IF(L1259="L",1,0)</f>
        <v>1</v>
      </c>
      <c r="AH1259" s="52" t="s">
        <v>588</v>
      </c>
      <c r="AI1259" s="52" t="s">
        <v>1175</v>
      </c>
      <c r="AJ1259" s="52" t="s">
        <v>376</v>
      </c>
      <c r="AK1259" s="50" t="s">
        <v>658</v>
      </c>
      <c r="AL1259" s="52" t="s">
        <v>1366</v>
      </c>
      <c r="AM1259" s="52" t="s">
        <v>1317</v>
      </c>
      <c r="AN1259" s="52" t="s">
        <v>376</v>
      </c>
      <c r="AO1259" s="50" t="s">
        <v>658</v>
      </c>
      <c r="AP1259" s="52"/>
      <c r="AQ1259" s="52">
        <v>2</v>
      </c>
      <c r="AR1259" s="52"/>
      <c r="AS1259" s="52">
        <v>1</v>
      </c>
      <c r="AT1259" s="46"/>
      <c r="AU1259" s="52" t="s">
        <v>376</v>
      </c>
      <c r="AV1259" s="52"/>
      <c r="AW1259" s="52" t="s">
        <v>30</v>
      </c>
      <c r="AX1259" s="52"/>
      <c r="AY1259" s="52"/>
      <c r="AZ1259" s="52" t="s">
        <v>30</v>
      </c>
      <c r="BA1259" s="52"/>
      <c r="BB1259" s="60"/>
      <c r="BC1259" s="52"/>
      <c r="BD1259" s="60"/>
      <c r="BE1259" s="60"/>
      <c r="BF1259" s="35">
        <v>1</v>
      </c>
      <c r="BG1259" s="52">
        <v>1</v>
      </c>
      <c r="BH1259" s="52"/>
      <c r="BI1259" s="52" t="s">
        <v>588</v>
      </c>
      <c r="BJ1259" s="52" t="s">
        <v>1366</v>
      </c>
      <c r="BK1259" s="52">
        <v>1998</v>
      </c>
      <c r="BL1259" s="46" t="str">
        <f>BK1259&amp;BI1259</f>
        <v>1998Liverpool</v>
      </c>
      <c r="BM1259" s="52" t="str">
        <f>IF(AD1259="Home",BI1259,IF(AD1259="Away",BJ1259,Q1259))</f>
        <v>Middlesbrough</v>
      </c>
      <c r="BN1259" s="52"/>
      <c r="BO1259" s="52"/>
      <c r="BP1259" s="52"/>
      <c r="BQ1259" s="52"/>
      <c r="BR1259" s="52"/>
      <c r="BS1259" s="52"/>
      <c r="BT1259" s="52"/>
      <c r="BU1259" s="52"/>
      <c r="BV1259" s="52" t="s">
        <v>376</v>
      </c>
      <c r="BW1259" s="52" t="s">
        <v>376</v>
      </c>
      <c r="BX1259" s="52"/>
      <c r="BY1259" s="52"/>
      <c r="BZ1259" s="53"/>
      <c r="CA1259" s="53"/>
      <c r="CB1259" s="93" t="str">
        <f>IF(OR(C1259="",A1259="",B1259=""),"",TEXT(C1259,"0000")&amp;TEXT(A1259,"00")&amp;TEXT(B1259,"00"))</f>
        <v>19980218</v>
      </c>
    </row>
    <row r="1260" spans="1:80" s="50" customFormat="1" ht="12.95" customHeight="1" x14ac:dyDescent="0.2">
      <c r="A1260" s="46">
        <v>2</v>
      </c>
      <c r="B1260" s="46">
        <v>18</v>
      </c>
      <c r="C1260" s="46">
        <v>1998</v>
      </c>
      <c r="D1260" s="52" t="s">
        <v>658</v>
      </c>
      <c r="E1260" s="52" t="s">
        <v>345</v>
      </c>
      <c r="F1260" s="52" t="s">
        <v>1327</v>
      </c>
      <c r="G1260" s="52"/>
      <c r="H1260" s="52" t="s">
        <v>1011</v>
      </c>
      <c r="I1260" s="52">
        <v>2</v>
      </c>
      <c r="J1260" s="56">
        <v>35844</v>
      </c>
      <c r="K1260" s="52" t="s">
        <v>816</v>
      </c>
      <c r="L1260" s="52" t="s">
        <v>3</v>
      </c>
      <c r="M1260" s="52" t="s">
        <v>587</v>
      </c>
      <c r="N1260" s="57">
        <v>3</v>
      </c>
      <c r="O1260" s="57">
        <v>1</v>
      </c>
      <c r="P1260" s="52" t="s">
        <v>1234</v>
      </c>
      <c r="Q1260" s="52" t="s">
        <v>1017</v>
      </c>
      <c r="R1260" s="52" t="s">
        <v>376</v>
      </c>
      <c r="S1260" s="52"/>
      <c r="T1260" s="52"/>
      <c r="U1260" s="52"/>
      <c r="V1260" s="52"/>
      <c r="W1260" s="52"/>
      <c r="X1260" s="52"/>
      <c r="Y1260" s="52"/>
      <c r="Z1260" s="57"/>
      <c r="AA1260" s="58">
        <v>4</v>
      </c>
      <c r="AB1260" s="58">
        <v>3</v>
      </c>
      <c r="AC1260" s="59">
        <v>1</v>
      </c>
      <c r="AD1260" s="52" t="s">
        <v>1033</v>
      </c>
      <c r="AE1260" s="50">
        <f>IF(L1260="W",1,0)</f>
        <v>1</v>
      </c>
      <c r="AF1260" s="50">
        <f>IF(L1260="T",1,0)</f>
        <v>0</v>
      </c>
      <c r="AG1260" s="50">
        <f>IF(L1260="L",1,0)</f>
        <v>0</v>
      </c>
      <c r="AH1260" s="52" t="s">
        <v>1017</v>
      </c>
      <c r="AI1260" s="52" t="s">
        <v>1018</v>
      </c>
      <c r="AJ1260" s="52" t="s">
        <v>376</v>
      </c>
      <c r="AK1260" s="50" t="s">
        <v>658</v>
      </c>
      <c r="AL1260" s="52" t="s">
        <v>1017</v>
      </c>
      <c r="AM1260" s="52" t="s">
        <v>1018</v>
      </c>
      <c r="AN1260" s="52" t="s">
        <v>376</v>
      </c>
      <c r="AO1260" s="50" t="s">
        <v>658</v>
      </c>
      <c r="AP1260" s="52"/>
      <c r="AQ1260" s="52">
        <v>2</v>
      </c>
      <c r="AR1260" s="52"/>
      <c r="AS1260" s="52"/>
      <c r="AT1260" s="46" t="s">
        <v>1308</v>
      </c>
      <c r="AU1260" s="52" t="s">
        <v>376</v>
      </c>
      <c r="AV1260" s="52"/>
      <c r="AW1260" s="52" t="s">
        <v>30</v>
      </c>
      <c r="AX1260" s="52"/>
      <c r="AY1260" s="52"/>
      <c r="AZ1260" s="52" t="s">
        <v>30</v>
      </c>
      <c r="BA1260" s="52"/>
      <c r="BB1260" s="60"/>
      <c r="BC1260" s="52"/>
      <c r="BD1260" s="60"/>
      <c r="BE1260" s="60"/>
      <c r="BF1260" s="35">
        <v>1</v>
      </c>
      <c r="BG1260" s="52">
        <v>1</v>
      </c>
      <c r="BH1260" s="52"/>
      <c r="BI1260" s="52" t="s">
        <v>816</v>
      </c>
      <c r="BJ1260" s="52" t="s">
        <v>587</v>
      </c>
      <c r="BK1260" s="52">
        <v>1998</v>
      </c>
      <c r="BL1260" s="46" t="str">
        <f>BK1260&amp;BI1260</f>
        <v>1998Chelsea</v>
      </c>
      <c r="BM1260" s="52" t="str">
        <f>IF(AD1260="Home",BI1260,IF(AD1260="Away",BJ1260,Q1260))</f>
        <v>Chelsea</v>
      </c>
      <c r="BN1260" s="52"/>
      <c r="BO1260" s="52"/>
      <c r="BP1260" s="52"/>
      <c r="BQ1260" s="52"/>
      <c r="BR1260" s="52"/>
      <c r="BS1260" s="52"/>
      <c r="BT1260" s="52"/>
      <c r="BU1260" s="52"/>
      <c r="BV1260" s="52" t="s">
        <v>376</v>
      </c>
      <c r="BW1260" s="52" t="s">
        <v>376</v>
      </c>
      <c r="BX1260" s="52"/>
      <c r="BY1260" s="52"/>
      <c r="BZ1260" s="53"/>
      <c r="CA1260" s="53"/>
      <c r="CB1260" s="93" t="str">
        <f>IF(OR(C1260="",A1260="",B1260=""),"",TEXT(C1260,"0000")&amp;TEXT(A1260,"00")&amp;TEXT(B1260,"00"))</f>
        <v>19980218</v>
      </c>
    </row>
    <row r="1261" spans="1:80" s="50" customFormat="1" ht="12.95" customHeight="1" x14ac:dyDescent="0.2">
      <c r="A1261" s="46">
        <v>2</v>
      </c>
      <c r="B1261" s="46">
        <v>18</v>
      </c>
      <c r="C1261" s="46">
        <v>1998</v>
      </c>
      <c r="D1261" s="52" t="s">
        <v>658</v>
      </c>
      <c r="E1261" s="52" t="s">
        <v>345</v>
      </c>
      <c r="F1261" s="52" t="s">
        <v>1327</v>
      </c>
      <c r="G1261" s="52"/>
      <c r="H1261" s="52" t="s">
        <v>1011</v>
      </c>
      <c r="I1261" s="52">
        <v>2</v>
      </c>
      <c r="J1261" s="56">
        <v>35844</v>
      </c>
      <c r="K1261" s="52" t="s">
        <v>587</v>
      </c>
      <c r="L1261" s="52" t="s">
        <v>4</v>
      </c>
      <c r="M1261" s="52" t="s">
        <v>816</v>
      </c>
      <c r="N1261" s="57">
        <v>1</v>
      </c>
      <c r="O1261" s="57">
        <v>3</v>
      </c>
      <c r="P1261" s="52" t="s">
        <v>1234</v>
      </c>
      <c r="Q1261" s="52" t="s">
        <v>1017</v>
      </c>
      <c r="R1261" s="52" t="s">
        <v>376</v>
      </c>
      <c r="S1261" s="52"/>
      <c r="T1261" s="52"/>
      <c r="U1261" s="52"/>
      <c r="V1261" s="52"/>
      <c r="W1261" s="52"/>
      <c r="X1261" s="52"/>
      <c r="Y1261" s="52"/>
      <c r="Z1261" s="57"/>
      <c r="AA1261" s="58">
        <v>3</v>
      </c>
      <c r="AB1261" s="58">
        <v>4</v>
      </c>
      <c r="AC1261" s="59">
        <v>1</v>
      </c>
      <c r="AD1261" s="52" t="s">
        <v>1037</v>
      </c>
      <c r="AE1261" s="50">
        <f>IF(L1261="W",1,0)</f>
        <v>0</v>
      </c>
      <c r="AF1261" s="50">
        <f>IF(L1261="T",1,0)</f>
        <v>0</v>
      </c>
      <c r="AG1261" s="50">
        <f>IF(L1261="L",1,0)</f>
        <v>1</v>
      </c>
      <c r="AH1261" s="52" t="s">
        <v>1017</v>
      </c>
      <c r="AI1261" s="52" t="s">
        <v>1018</v>
      </c>
      <c r="AJ1261" s="52" t="s">
        <v>376</v>
      </c>
      <c r="AK1261" s="50" t="s">
        <v>658</v>
      </c>
      <c r="AL1261" s="52" t="s">
        <v>1017</v>
      </c>
      <c r="AM1261" s="52" t="s">
        <v>1018</v>
      </c>
      <c r="AN1261" s="52" t="s">
        <v>376</v>
      </c>
      <c r="AO1261" s="50" t="s">
        <v>658</v>
      </c>
      <c r="AP1261" s="52"/>
      <c r="AQ1261" s="52">
        <v>2</v>
      </c>
      <c r="AR1261" s="52"/>
      <c r="AS1261" s="52">
        <v>1</v>
      </c>
      <c r="AT1261" s="46" t="s">
        <v>1308</v>
      </c>
      <c r="AU1261" s="52" t="s">
        <v>376</v>
      </c>
      <c r="AV1261" s="52"/>
      <c r="AW1261" s="52" t="s">
        <v>30</v>
      </c>
      <c r="AX1261" s="52"/>
      <c r="AY1261" s="52"/>
      <c r="AZ1261" s="52" t="s">
        <v>30</v>
      </c>
      <c r="BA1261" s="52"/>
      <c r="BB1261" s="60"/>
      <c r="BC1261" s="52"/>
      <c r="BD1261" s="60"/>
      <c r="BE1261" s="60"/>
      <c r="BF1261" s="35">
        <v>1</v>
      </c>
      <c r="BG1261" s="52">
        <v>1</v>
      </c>
      <c r="BH1261" s="52"/>
      <c r="BI1261" s="52" t="s">
        <v>587</v>
      </c>
      <c r="BJ1261" s="52" t="s">
        <v>816</v>
      </c>
      <c r="BK1261" s="52">
        <v>1998</v>
      </c>
      <c r="BL1261" s="46" t="str">
        <f>BK1261&amp;BI1261</f>
        <v>1998Arsenal</v>
      </c>
      <c r="BM1261" s="52" t="str">
        <f>IF(AD1261="Home",BI1261,IF(AD1261="Away",BJ1261,Q1261))</f>
        <v>Chelsea</v>
      </c>
      <c r="BN1261" s="52"/>
      <c r="BO1261" s="52"/>
      <c r="BP1261" s="52"/>
      <c r="BQ1261" s="52"/>
      <c r="BR1261" s="52"/>
      <c r="BS1261" s="52"/>
      <c r="BT1261" s="52"/>
      <c r="BU1261" s="52"/>
      <c r="BV1261" s="52" t="s">
        <v>376</v>
      </c>
      <c r="BW1261" s="52" t="s">
        <v>376</v>
      </c>
      <c r="BX1261" s="52"/>
      <c r="BY1261" s="52"/>
      <c r="BZ1261" s="53"/>
      <c r="CA1261" s="53"/>
      <c r="CB1261" s="93" t="str">
        <f>IF(OR(C1261="",A1261="",B1261=""),"",TEXT(C1261,"0000")&amp;TEXT(A1261,"00")&amp;TEXT(B1261,"00"))</f>
        <v>19980218</v>
      </c>
    </row>
    <row r="1262" spans="1:80" s="50" customFormat="1" ht="12.95" customHeight="1" x14ac:dyDescent="0.2">
      <c r="A1262" s="46">
        <v>3</v>
      </c>
      <c r="B1262" s="46">
        <v>29</v>
      </c>
      <c r="C1262" s="46">
        <v>1998</v>
      </c>
      <c r="D1262" s="52" t="s">
        <v>658</v>
      </c>
      <c r="E1262" s="52" t="s">
        <v>345</v>
      </c>
      <c r="F1262" s="52" t="s">
        <v>1327</v>
      </c>
      <c r="G1262" s="52"/>
      <c r="H1262" s="52" t="s">
        <v>40</v>
      </c>
      <c r="I1262" s="52"/>
      <c r="J1262" s="56">
        <v>35883</v>
      </c>
      <c r="K1262" s="52" t="s">
        <v>816</v>
      </c>
      <c r="L1262" s="52" t="s">
        <v>3</v>
      </c>
      <c r="M1262" s="52" t="s">
        <v>1366</v>
      </c>
      <c r="N1262" s="57">
        <v>2</v>
      </c>
      <c r="O1262" s="57">
        <v>0</v>
      </c>
      <c r="P1262" s="52" t="s">
        <v>1268</v>
      </c>
      <c r="Q1262" s="52" t="s">
        <v>1017</v>
      </c>
      <c r="R1262" s="52" t="s">
        <v>376</v>
      </c>
      <c r="S1262" s="52"/>
      <c r="T1262" s="52"/>
      <c r="U1262" s="52"/>
      <c r="V1262" s="52"/>
      <c r="W1262" s="52"/>
      <c r="X1262" s="52"/>
      <c r="Y1262" s="52"/>
      <c r="Z1262" s="57"/>
      <c r="AA1262" s="52"/>
      <c r="AB1262" s="52"/>
      <c r="AC1262" s="52"/>
      <c r="AD1262" s="52"/>
      <c r="AE1262" s="50">
        <f>IF(L1262="W",1,0)</f>
        <v>1</v>
      </c>
      <c r="AF1262" s="50">
        <f>IF(L1262="T",1,0)</f>
        <v>0</v>
      </c>
      <c r="AG1262" s="50">
        <f>IF(L1262="L",1,0)</f>
        <v>0</v>
      </c>
      <c r="AH1262" s="52" t="s">
        <v>1017</v>
      </c>
      <c r="AI1262" s="52" t="s">
        <v>1018</v>
      </c>
      <c r="AJ1262" s="52" t="s">
        <v>376</v>
      </c>
      <c r="AK1262" s="50" t="s">
        <v>658</v>
      </c>
      <c r="AL1262" s="52" t="s">
        <v>1366</v>
      </c>
      <c r="AM1262" s="52" t="s">
        <v>1317</v>
      </c>
      <c r="AN1262" s="52" t="s">
        <v>376</v>
      </c>
      <c r="AO1262" s="50" t="s">
        <v>658</v>
      </c>
      <c r="AP1262" s="52"/>
      <c r="AQ1262" s="52">
        <v>1</v>
      </c>
      <c r="AR1262" s="52"/>
      <c r="AS1262" s="52" t="s">
        <v>1393</v>
      </c>
      <c r="AT1262" s="46"/>
      <c r="AU1262" s="52" t="s">
        <v>376</v>
      </c>
      <c r="AV1262" s="52"/>
      <c r="AW1262" s="52" t="s">
        <v>30</v>
      </c>
      <c r="AX1262" s="52"/>
      <c r="AY1262" s="52"/>
      <c r="AZ1262" s="57" t="s">
        <v>30</v>
      </c>
      <c r="BA1262" s="52"/>
      <c r="BB1262" s="60" t="s">
        <v>30</v>
      </c>
      <c r="BC1262" s="52" t="s">
        <v>30</v>
      </c>
      <c r="BD1262" s="60"/>
      <c r="BE1262" s="60" t="s">
        <v>1394</v>
      </c>
      <c r="BF1262" s="35">
        <v>1</v>
      </c>
      <c r="BG1262" s="52">
        <v>1</v>
      </c>
      <c r="BH1262" s="52"/>
      <c r="BI1262" s="52" t="s">
        <v>816</v>
      </c>
      <c r="BJ1262" s="52" t="s">
        <v>1366</v>
      </c>
      <c r="BK1262" s="52">
        <v>1998</v>
      </c>
      <c r="BL1262" s="46" t="str">
        <f>BK1262&amp;BI1262</f>
        <v>1998Chelsea</v>
      </c>
      <c r="BM1262" s="52" t="str">
        <f>IF(AD1262="Home",BI1262,IF(AD1262="Away",BJ1262,Q1262))</f>
        <v>London</v>
      </c>
      <c r="BN1262" s="52"/>
      <c r="BO1262" s="52"/>
      <c r="BP1262" s="52"/>
      <c r="BQ1262" s="52"/>
      <c r="BR1262" s="52"/>
      <c r="BS1262" s="52"/>
      <c r="BT1262" s="52"/>
      <c r="BU1262" s="52"/>
      <c r="BV1262" s="52" t="s">
        <v>376</v>
      </c>
      <c r="BW1262" s="52" t="s">
        <v>376</v>
      </c>
      <c r="BX1262" s="52"/>
      <c r="BY1262" s="52"/>
      <c r="BZ1262" s="53"/>
      <c r="CA1262" s="53"/>
      <c r="CB1262" s="93" t="str">
        <f>IF(OR(C1262="",A1262="",B1262=""),"",TEXT(C1262,"0000")&amp;TEXT(A1262,"00")&amp;TEXT(B1262,"00"))</f>
        <v>19980329</v>
      </c>
    </row>
    <row r="1263" spans="1:80" s="50" customFormat="1" ht="12.95" customHeight="1" x14ac:dyDescent="0.2">
      <c r="A1263" s="46">
        <v>3</v>
      </c>
      <c r="B1263" s="46">
        <v>29</v>
      </c>
      <c r="C1263" s="46">
        <v>1998</v>
      </c>
      <c r="D1263" s="46" t="s">
        <v>658</v>
      </c>
      <c r="E1263" s="46" t="s">
        <v>345</v>
      </c>
      <c r="F1263" s="54" t="s">
        <v>1327</v>
      </c>
      <c r="G1263" s="46"/>
      <c r="H1263" s="54" t="s">
        <v>40</v>
      </c>
      <c r="I1263" s="54"/>
      <c r="J1263" s="55">
        <v>35883</v>
      </c>
      <c r="K1263" s="46" t="s">
        <v>1366</v>
      </c>
      <c r="L1263" s="46" t="s">
        <v>4</v>
      </c>
      <c r="M1263" s="46" t="s">
        <v>816</v>
      </c>
      <c r="N1263" s="49">
        <v>0</v>
      </c>
      <c r="O1263" s="49">
        <v>2</v>
      </c>
      <c r="P1263" s="54" t="s">
        <v>1268</v>
      </c>
      <c r="Q1263" s="54" t="s">
        <v>1017</v>
      </c>
      <c r="R1263" s="54" t="s">
        <v>376</v>
      </c>
      <c r="S1263" s="46"/>
      <c r="T1263" s="46"/>
      <c r="U1263" s="46"/>
      <c r="V1263" s="46"/>
      <c r="W1263" s="46"/>
      <c r="X1263" s="46"/>
      <c r="Y1263" s="46"/>
      <c r="Z1263" s="46"/>
      <c r="AA1263" s="46"/>
      <c r="AB1263" s="46"/>
      <c r="AC1263" s="46"/>
      <c r="AD1263" s="46"/>
      <c r="AE1263" s="50">
        <f>IF(L1263="W",1,0)</f>
        <v>0</v>
      </c>
      <c r="AF1263" s="50">
        <f>IF(L1263="T",1,0)</f>
        <v>0</v>
      </c>
      <c r="AG1263" s="50">
        <f>IF(L1263="L",1,0)</f>
        <v>1</v>
      </c>
      <c r="AH1263" s="46" t="s">
        <v>1366</v>
      </c>
      <c r="AI1263" s="46" t="s">
        <v>1317</v>
      </c>
      <c r="AJ1263" s="46" t="s">
        <v>376</v>
      </c>
      <c r="AK1263" s="46" t="s">
        <v>658</v>
      </c>
      <c r="AL1263" s="46" t="s">
        <v>1017</v>
      </c>
      <c r="AM1263" s="46" t="s">
        <v>1018</v>
      </c>
      <c r="AN1263" s="46" t="s">
        <v>376</v>
      </c>
      <c r="AO1263" s="46" t="s">
        <v>658</v>
      </c>
      <c r="AP1263" s="46"/>
      <c r="AQ1263" s="46">
        <v>1</v>
      </c>
      <c r="AR1263" s="46"/>
      <c r="AS1263" s="46"/>
      <c r="AT1263" s="46"/>
      <c r="AU1263" s="46" t="s">
        <v>376</v>
      </c>
      <c r="AV1263" s="46"/>
      <c r="AW1263" s="46" t="s">
        <v>30</v>
      </c>
      <c r="AX1263" s="46"/>
      <c r="AY1263" s="46"/>
      <c r="AZ1263" s="46" t="s">
        <v>30</v>
      </c>
      <c r="BA1263" s="54"/>
      <c r="BB1263" s="51"/>
      <c r="BC1263" s="46" t="s">
        <v>30</v>
      </c>
      <c r="BD1263" s="46"/>
      <c r="BE1263" s="46"/>
      <c r="BF1263" s="46">
        <v>1</v>
      </c>
      <c r="BG1263" s="46">
        <v>2</v>
      </c>
      <c r="BH1263" s="46">
        <v>1</v>
      </c>
      <c r="BI1263" s="46" t="s">
        <v>1366</v>
      </c>
      <c r="BJ1263" s="46" t="s">
        <v>816</v>
      </c>
      <c r="BK1263" s="46">
        <v>1998</v>
      </c>
      <c r="BL1263" s="46" t="str">
        <f>BK1263&amp;BI1263</f>
        <v>1998Middlesbrough</v>
      </c>
      <c r="BM1263" s="52" t="str">
        <f>IF(AD1263="Home",BI1263,IF(AD1263="Away",BJ1263,Q1263))</f>
        <v>London</v>
      </c>
      <c r="BN1263" s="46"/>
      <c r="BO1263" s="46"/>
      <c r="BP1263" s="46"/>
      <c r="BQ1263" s="46"/>
      <c r="BR1263" s="46"/>
      <c r="BS1263" s="46"/>
      <c r="BT1263" s="46"/>
      <c r="BU1263" s="46"/>
      <c r="BV1263" s="46" t="s">
        <v>376</v>
      </c>
      <c r="BW1263" s="46" t="s">
        <v>376</v>
      </c>
      <c r="BX1263" s="46"/>
      <c r="BY1263" s="52"/>
      <c r="BZ1263" s="53"/>
      <c r="CA1263" s="53"/>
      <c r="CB1263" s="93" t="str">
        <f>IF(OR(C1263="",A1263="",B1263=""),"",TEXT(C1263,"0000")&amp;TEXT(A1263,"00")&amp;TEXT(B1263,"00"))</f>
        <v>19980329</v>
      </c>
    </row>
    <row r="1264" spans="1:80" s="50" customFormat="1" ht="12.95" customHeight="1" x14ac:dyDescent="0.2">
      <c r="A1264" s="46">
        <v>4</v>
      </c>
      <c r="B1264" s="46">
        <v>5</v>
      </c>
      <c r="C1264" s="46">
        <v>1998</v>
      </c>
      <c r="D1264" s="52" t="s">
        <v>658</v>
      </c>
      <c r="E1264" s="52" t="s">
        <v>345</v>
      </c>
      <c r="F1264" s="52" t="s">
        <v>1010</v>
      </c>
      <c r="G1264" s="52"/>
      <c r="H1264" s="52" t="s">
        <v>1011</v>
      </c>
      <c r="I1264" s="52"/>
      <c r="J1264" s="56">
        <v>35890</v>
      </c>
      <c r="K1264" s="52" t="s">
        <v>805</v>
      </c>
      <c r="L1264" s="52" t="s">
        <v>3</v>
      </c>
      <c r="M1264" s="52" t="s">
        <v>1207</v>
      </c>
      <c r="N1264" s="57">
        <v>1</v>
      </c>
      <c r="O1264" s="57">
        <v>0</v>
      </c>
      <c r="P1264" s="52" t="s">
        <v>1246</v>
      </c>
      <c r="Q1264" s="52" t="s">
        <v>1101</v>
      </c>
      <c r="R1264" s="52" t="s">
        <v>376</v>
      </c>
      <c r="S1264" s="52"/>
      <c r="T1264" s="52"/>
      <c r="U1264" s="52"/>
      <c r="V1264" s="52"/>
      <c r="W1264" s="52"/>
      <c r="X1264" s="52"/>
      <c r="Y1264" s="52"/>
      <c r="Z1264" s="57"/>
      <c r="AA1264" s="52"/>
      <c r="AB1264" s="52"/>
      <c r="AC1264" s="52"/>
      <c r="AD1264" s="52"/>
      <c r="AE1264" s="50">
        <f>IF(L1264="W",1,0)</f>
        <v>1</v>
      </c>
      <c r="AF1264" s="50">
        <f>IF(L1264="T",1,0)</f>
        <v>0</v>
      </c>
      <c r="AG1264" s="50">
        <f>IF(L1264="L",1,0)</f>
        <v>0</v>
      </c>
      <c r="AH1264" s="52" t="s">
        <v>1227</v>
      </c>
      <c r="AI1264" s="52" t="s">
        <v>1164</v>
      </c>
      <c r="AJ1264" s="52" t="s">
        <v>376</v>
      </c>
      <c r="AK1264" s="50" t="s">
        <v>658</v>
      </c>
      <c r="AL1264" s="52" t="s">
        <v>1097</v>
      </c>
      <c r="AM1264" s="52" t="s">
        <v>1098</v>
      </c>
      <c r="AN1264" s="52" t="s">
        <v>376</v>
      </c>
      <c r="AO1264" s="50" t="s">
        <v>658</v>
      </c>
      <c r="AP1264" s="52"/>
      <c r="AQ1264" s="52">
        <v>2</v>
      </c>
      <c r="AR1264" s="52"/>
      <c r="AS1264" s="52"/>
      <c r="AT1264" s="46"/>
      <c r="AU1264" s="52" t="s">
        <v>376</v>
      </c>
      <c r="AV1264" s="52"/>
      <c r="AW1264" s="52" t="s">
        <v>30</v>
      </c>
      <c r="AX1264" s="52"/>
      <c r="AY1264" s="52" t="s">
        <v>30</v>
      </c>
      <c r="AZ1264" s="52"/>
      <c r="BA1264" s="52"/>
      <c r="BB1264" s="60"/>
      <c r="BC1264" s="52"/>
      <c r="BD1264" s="60"/>
      <c r="BE1264" s="60"/>
      <c r="BF1264" s="35">
        <v>1</v>
      </c>
      <c r="BG1264" s="52">
        <v>1</v>
      </c>
      <c r="BH1264" s="52"/>
      <c r="BI1264" s="52" t="s">
        <v>805</v>
      </c>
      <c r="BJ1264" s="52" t="s">
        <v>1207</v>
      </c>
      <c r="BK1264" s="52">
        <v>1998</v>
      </c>
      <c r="BL1264" s="46" t="str">
        <f>BK1264&amp;BI1264</f>
        <v>1998Newcastle United</v>
      </c>
      <c r="BM1264" s="52" t="str">
        <f>IF(AD1264="Home",BI1264,IF(AD1264="Away",BJ1264,Q1264))</f>
        <v>Manchester</v>
      </c>
      <c r="BN1264" s="52"/>
      <c r="BO1264" s="52"/>
      <c r="BP1264" s="52"/>
      <c r="BQ1264" s="52"/>
      <c r="BR1264" s="52"/>
      <c r="BS1264" s="52"/>
      <c r="BT1264" s="52"/>
      <c r="BU1264" s="52"/>
      <c r="BV1264" s="52" t="s">
        <v>376</v>
      </c>
      <c r="BW1264" s="52" t="s">
        <v>376</v>
      </c>
      <c r="BX1264" s="52"/>
      <c r="BY1264" s="52"/>
      <c r="BZ1264" s="53"/>
      <c r="CA1264" s="53"/>
      <c r="CB1264" s="93" t="str">
        <f>IF(OR(C1264="",A1264="",B1264=""),"",TEXT(C1264,"0000")&amp;TEXT(A1264,"00")&amp;TEXT(B1264,"00"))</f>
        <v>19980405</v>
      </c>
    </row>
    <row r="1265" spans="1:80" s="50" customFormat="1" ht="12.95" customHeight="1" x14ac:dyDescent="0.2">
      <c r="A1265" s="46">
        <v>4</v>
      </c>
      <c r="B1265" s="46">
        <v>5</v>
      </c>
      <c r="C1265" s="46">
        <v>1998</v>
      </c>
      <c r="D1265" s="46" t="s">
        <v>658</v>
      </c>
      <c r="E1265" s="46" t="s">
        <v>345</v>
      </c>
      <c r="F1265" s="47" t="s">
        <v>1010</v>
      </c>
      <c r="G1265" s="46"/>
      <c r="H1265" s="47" t="s">
        <v>1011</v>
      </c>
      <c r="I1265" s="47"/>
      <c r="J1265" s="48">
        <v>35890</v>
      </c>
      <c r="K1265" s="46" t="s">
        <v>1207</v>
      </c>
      <c r="L1265" s="46" t="s">
        <v>4</v>
      </c>
      <c r="M1265" s="46" t="s">
        <v>805</v>
      </c>
      <c r="N1265" s="49">
        <v>0</v>
      </c>
      <c r="O1265" s="49">
        <v>1</v>
      </c>
      <c r="P1265" s="47" t="s">
        <v>1246</v>
      </c>
      <c r="Q1265" s="47" t="s">
        <v>1101</v>
      </c>
      <c r="R1265" s="47" t="s">
        <v>376</v>
      </c>
      <c r="S1265" s="46"/>
      <c r="T1265" s="46"/>
      <c r="U1265" s="46"/>
      <c r="V1265" s="46"/>
      <c r="W1265" s="46"/>
      <c r="X1265" s="46"/>
      <c r="Y1265" s="46"/>
      <c r="Z1265" s="46"/>
      <c r="AA1265" s="46"/>
      <c r="AB1265" s="46"/>
      <c r="AC1265" s="46"/>
      <c r="AD1265" s="46"/>
      <c r="AE1265" s="50">
        <f>IF(L1265="W",1,0)</f>
        <v>0</v>
      </c>
      <c r="AF1265" s="50">
        <f>IF(L1265="T",1,0)</f>
        <v>0</v>
      </c>
      <c r="AG1265" s="50">
        <f>IF(L1265="L",1,0)</f>
        <v>1</v>
      </c>
      <c r="AH1265" s="46" t="s">
        <v>1097</v>
      </c>
      <c r="AI1265" s="46" t="s">
        <v>1098</v>
      </c>
      <c r="AJ1265" s="46" t="s">
        <v>376</v>
      </c>
      <c r="AK1265" s="46" t="s">
        <v>658</v>
      </c>
      <c r="AL1265" s="46" t="s">
        <v>1227</v>
      </c>
      <c r="AM1265" s="46" t="s">
        <v>1164</v>
      </c>
      <c r="AN1265" s="46" t="s">
        <v>376</v>
      </c>
      <c r="AO1265" s="46" t="s">
        <v>658</v>
      </c>
      <c r="AP1265" s="46"/>
      <c r="AQ1265" s="46">
        <v>2</v>
      </c>
      <c r="AR1265" s="46"/>
      <c r="AS1265" s="46"/>
      <c r="AT1265" s="46"/>
      <c r="AU1265" s="46" t="s">
        <v>376</v>
      </c>
      <c r="AV1265" s="46"/>
      <c r="AW1265" s="46" t="s">
        <v>30</v>
      </c>
      <c r="AX1265" s="46"/>
      <c r="AY1265" s="46" t="s">
        <v>30</v>
      </c>
      <c r="AZ1265" s="46"/>
      <c r="BA1265" s="47"/>
      <c r="BB1265" s="51"/>
      <c r="BC1265" s="46"/>
      <c r="BD1265" s="46"/>
      <c r="BE1265" s="46"/>
      <c r="BF1265" s="46">
        <v>1</v>
      </c>
      <c r="BG1265" s="46">
        <v>2</v>
      </c>
      <c r="BH1265" s="46">
        <v>1</v>
      </c>
      <c r="BI1265" s="46" t="s">
        <v>1207</v>
      </c>
      <c r="BJ1265" s="46" t="s">
        <v>805</v>
      </c>
      <c r="BK1265" s="46">
        <v>1998</v>
      </c>
      <c r="BL1265" s="46" t="str">
        <f>BK1265&amp;BI1265</f>
        <v>1998Sheffield United</v>
      </c>
      <c r="BM1265" s="52" t="str">
        <f>IF(AD1265="Home",BI1265,IF(AD1265="Away",BJ1265,Q1265))</f>
        <v>Manchester</v>
      </c>
      <c r="BN1265" s="46"/>
      <c r="BO1265" s="46"/>
      <c r="BP1265" s="46"/>
      <c r="BQ1265" s="46"/>
      <c r="BR1265" s="46"/>
      <c r="BS1265" s="46"/>
      <c r="BT1265" s="46"/>
      <c r="BU1265" s="46"/>
      <c r="BV1265" s="46" t="s">
        <v>376</v>
      </c>
      <c r="BW1265" s="46" t="s">
        <v>376</v>
      </c>
      <c r="BX1265" s="46"/>
      <c r="BY1265" s="52"/>
      <c r="BZ1265" s="53"/>
      <c r="CA1265" s="53"/>
      <c r="CB1265" s="93" t="str">
        <f>IF(OR(C1265="",A1265="",B1265=""),"",TEXT(C1265,"0000")&amp;TEXT(A1265,"00")&amp;TEXT(B1265,"00"))</f>
        <v>19980405</v>
      </c>
    </row>
    <row r="1266" spans="1:80" s="50" customFormat="1" ht="12.95" customHeight="1" x14ac:dyDescent="0.2">
      <c r="A1266" s="46">
        <v>4</v>
      </c>
      <c r="B1266" s="46">
        <v>5</v>
      </c>
      <c r="C1266" s="46">
        <v>1998</v>
      </c>
      <c r="D1266" s="52" t="s">
        <v>658</v>
      </c>
      <c r="E1266" s="52" t="s">
        <v>345</v>
      </c>
      <c r="F1266" s="52" t="s">
        <v>1010</v>
      </c>
      <c r="G1266" s="52"/>
      <c r="H1266" s="52" t="s">
        <v>1011</v>
      </c>
      <c r="I1266" s="52"/>
      <c r="J1266" s="56">
        <v>35890</v>
      </c>
      <c r="K1266" s="52" t="s">
        <v>587</v>
      </c>
      <c r="L1266" s="52" t="s">
        <v>3</v>
      </c>
      <c r="M1266" s="52" t="s">
        <v>1151</v>
      </c>
      <c r="N1266" s="57">
        <v>1</v>
      </c>
      <c r="O1266" s="57">
        <v>0</v>
      </c>
      <c r="P1266" s="52" t="s">
        <v>1219</v>
      </c>
      <c r="Q1266" s="52" t="s">
        <v>1111</v>
      </c>
      <c r="R1266" s="52" t="s">
        <v>376</v>
      </c>
      <c r="S1266" s="52"/>
      <c r="T1266" s="52"/>
      <c r="U1266" s="52"/>
      <c r="V1266" s="52"/>
      <c r="W1266" s="52"/>
      <c r="X1266" s="52"/>
      <c r="Y1266" s="52"/>
      <c r="Z1266" s="57"/>
      <c r="AA1266" s="52"/>
      <c r="AB1266" s="52"/>
      <c r="AC1266" s="52"/>
      <c r="AD1266" s="52"/>
      <c r="AE1266" s="50">
        <f>IF(L1266="W",1,0)</f>
        <v>1</v>
      </c>
      <c r="AF1266" s="50">
        <f>IF(L1266="T",1,0)</f>
        <v>0</v>
      </c>
      <c r="AG1266" s="50">
        <f>IF(L1266="L",1,0)</f>
        <v>0</v>
      </c>
      <c r="AH1266" s="52" t="s">
        <v>1017</v>
      </c>
      <c r="AI1266" s="52" t="s">
        <v>1018</v>
      </c>
      <c r="AJ1266" s="52" t="s">
        <v>376</v>
      </c>
      <c r="AK1266" s="50" t="s">
        <v>658</v>
      </c>
      <c r="AL1266" s="52" t="s">
        <v>1111</v>
      </c>
      <c r="AM1266" s="52" t="s">
        <v>1126</v>
      </c>
      <c r="AN1266" s="52" t="s">
        <v>376</v>
      </c>
      <c r="AO1266" s="50" t="s">
        <v>658</v>
      </c>
      <c r="AP1266" s="52"/>
      <c r="AQ1266" s="52">
        <v>2</v>
      </c>
      <c r="AR1266" s="52"/>
      <c r="AS1266" s="52"/>
      <c r="AT1266" s="46"/>
      <c r="AU1266" s="52" t="s">
        <v>376</v>
      </c>
      <c r="AV1266" s="52"/>
      <c r="AW1266" s="52" t="s">
        <v>30</v>
      </c>
      <c r="AX1266" s="52"/>
      <c r="AY1266" s="52" t="s">
        <v>30</v>
      </c>
      <c r="AZ1266" s="52"/>
      <c r="BA1266" s="52"/>
      <c r="BB1266" s="60"/>
      <c r="BC1266" s="52"/>
      <c r="BD1266" s="60"/>
      <c r="BE1266" s="60"/>
      <c r="BF1266" s="35">
        <v>1</v>
      </c>
      <c r="BG1266" s="52">
        <v>1</v>
      </c>
      <c r="BH1266" s="52"/>
      <c r="BI1266" s="52" t="s">
        <v>587</v>
      </c>
      <c r="BJ1266" s="52" t="s">
        <v>1151</v>
      </c>
      <c r="BK1266" s="52">
        <v>1998</v>
      </c>
      <c r="BL1266" s="46" t="str">
        <f>BK1266&amp;BI1266</f>
        <v>1998Arsenal</v>
      </c>
      <c r="BM1266" s="52" t="str">
        <f>IF(AD1266="Home",BI1266,IF(AD1266="Away",BJ1266,Q1266))</f>
        <v>Birmingham</v>
      </c>
      <c r="BN1266" s="52"/>
      <c r="BO1266" s="52"/>
      <c r="BP1266" s="52"/>
      <c r="BQ1266" s="52"/>
      <c r="BR1266" s="52"/>
      <c r="BS1266" s="52"/>
      <c r="BT1266" s="52"/>
      <c r="BU1266" s="52"/>
      <c r="BV1266" s="52" t="s">
        <v>376</v>
      </c>
      <c r="BW1266" s="52" t="s">
        <v>376</v>
      </c>
      <c r="BX1266" s="52"/>
      <c r="BY1266" s="52"/>
      <c r="BZ1266" s="53"/>
      <c r="CA1266" s="53"/>
      <c r="CB1266" s="93" t="str">
        <f>IF(OR(C1266="",A1266="",B1266=""),"",TEXT(C1266,"0000")&amp;TEXT(A1266,"00")&amp;TEXT(B1266,"00"))</f>
        <v>19980405</v>
      </c>
    </row>
    <row r="1267" spans="1:80" s="50" customFormat="1" ht="12.95" customHeight="1" x14ac:dyDescent="0.2">
      <c r="A1267" s="46">
        <v>4</v>
      </c>
      <c r="B1267" s="46">
        <v>5</v>
      </c>
      <c r="C1267" s="46">
        <v>1998</v>
      </c>
      <c r="D1267" s="46" t="s">
        <v>658</v>
      </c>
      <c r="E1267" s="46" t="s">
        <v>345</v>
      </c>
      <c r="F1267" s="47" t="s">
        <v>1010</v>
      </c>
      <c r="G1267" s="46"/>
      <c r="H1267" s="47" t="s">
        <v>1011</v>
      </c>
      <c r="I1267" s="47"/>
      <c r="J1267" s="48">
        <v>35890</v>
      </c>
      <c r="K1267" s="46" t="s">
        <v>1151</v>
      </c>
      <c r="L1267" s="46" t="s">
        <v>4</v>
      </c>
      <c r="M1267" s="46" t="s">
        <v>587</v>
      </c>
      <c r="N1267" s="49">
        <v>0</v>
      </c>
      <c r="O1267" s="49">
        <v>1</v>
      </c>
      <c r="P1267" s="47" t="s">
        <v>1219</v>
      </c>
      <c r="Q1267" s="47" t="s">
        <v>1111</v>
      </c>
      <c r="R1267" s="47" t="s">
        <v>376</v>
      </c>
      <c r="S1267" s="46"/>
      <c r="T1267" s="46"/>
      <c r="U1267" s="46"/>
      <c r="V1267" s="46"/>
      <c r="W1267" s="46"/>
      <c r="X1267" s="46"/>
      <c r="Y1267" s="46"/>
      <c r="Z1267" s="46"/>
      <c r="AA1267" s="46"/>
      <c r="AB1267" s="46"/>
      <c r="AC1267" s="46"/>
      <c r="AD1267" s="46"/>
      <c r="AE1267" s="50">
        <f>IF(L1267="W",1,0)</f>
        <v>0</v>
      </c>
      <c r="AF1267" s="50">
        <f>IF(L1267="T",1,0)</f>
        <v>0</v>
      </c>
      <c r="AG1267" s="50">
        <f>IF(L1267="L",1,0)</f>
        <v>1</v>
      </c>
      <c r="AH1267" s="46" t="s">
        <v>1111</v>
      </c>
      <c r="AI1267" s="46" t="s">
        <v>1126</v>
      </c>
      <c r="AJ1267" s="46" t="s">
        <v>376</v>
      </c>
      <c r="AK1267" s="46" t="s">
        <v>658</v>
      </c>
      <c r="AL1267" s="46" t="s">
        <v>1017</v>
      </c>
      <c r="AM1267" s="46" t="s">
        <v>1018</v>
      </c>
      <c r="AN1267" s="46" t="s">
        <v>376</v>
      </c>
      <c r="AO1267" s="46" t="s">
        <v>658</v>
      </c>
      <c r="AP1267" s="46"/>
      <c r="AQ1267" s="46">
        <v>2</v>
      </c>
      <c r="AR1267" s="46"/>
      <c r="AS1267" s="46"/>
      <c r="AT1267" s="46"/>
      <c r="AU1267" s="46" t="s">
        <v>376</v>
      </c>
      <c r="AV1267" s="46"/>
      <c r="AW1267" s="46" t="s">
        <v>30</v>
      </c>
      <c r="AX1267" s="46"/>
      <c r="AY1267" s="46" t="s">
        <v>30</v>
      </c>
      <c r="AZ1267" s="46"/>
      <c r="BA1267" s="47"/>
      <c r="BB1267" s="51"/>
      <c r="BC1267" s="46"/>
      <c r="BD1267" s="46"/>
      <c r="BE1267" s="46"/>
      <c r="BF1267" s="46">
        <v>1</v>
      </c>
      <c r="BG1267" s="46">
        <v>2</v>
      </c>
      <c r="BH1267" s="46">
        <v>1</v>
      </c>
      <c r="BI1267" s="46" t="s">
        <v>1151</v>
      </c>
      <c r="BJ1267" s="46" t="s">
        <v>587</v>
      </c>
      <c r="BK1267" s="46">
        <v>1998</v>
      </c>
      <c r="BL1267" s="46" t="str">
        <f>BK1267&amp;BI1267</f>
        <v>1998Wolverhampton Wanderers</v>
      </c>
      <c r="BM1267" s="52" t="str">
        <f>IF(AD1267="Home",BI1267,IF(AD1267="Away",BJ1267,Q1267))</f>
        <v>Birmingham</v>
      </c>
      <c r="BN1267" s="46"/>
      <c r="BO1267" s="46"/>
      <c r="BP1267" s="46"/>
      <c r="BQ1267" s="46"/>
      <c r="BR1267" s="46"/>
      <c r="BS1267" s="46"/>
      <c r="BT1267" s="46"/>
      <c r="BU1267" s="46"/>
      <c r="BV1267" s="46" t="s">
        <v>376</v>
      </c>
      <c r="BW1267" s="46" t="s">
        <v>376</v>
      </c>
      <c r="BX1267" s="46"/>
      <c r="BY1267" s="52"/>
      <c r="BZ1267" s="53"/>
      <c r="CA1267" s="53"/>
      <c r="CB1267" s="93" t="str">
        <f>IF(OR(C1267="",A1267="",B1267=""),"",TEXT(C1267,"0000")&amp;TEXT(A1267,"00")&amp;TEXT(B1267,"00"))</f>
        <v>19980405</v>
      </c>
    </row>
    <row r="1268" spans="1:80" s="50" customFormat="1" ht="12.95" customHeight="1" x14ac:dyDescent="0.2">
      <c r="A1268" s="46">
        <v>5</v>
      </c>
      <c r="B1268" s="46">
        <v>16</v>
      </c>
      <c r="C1268" s="46">
        <v>1998</v>
      </c>
      <c r="D1268" s="52" t="s">
        <v>658</v>
      </c>
      <c r="E1268" s="52" t="s">
        <v>345</v>
      </c>
      <c r="F1268" s="52" t="s">
        <v>1010</v>
      </c>
      <c r="G1268" s="52"/>
      <c r="H1268" s="52" t="s">
        <v>40</v>
      </c>
      <c r="I1268" s="52"/>
      <c r="J1268" s="56">
        <v>35931</v>
      </c>
      <c r="K1268" s="52" t="s">
        <v>587</v>
      </c>
      <c r="L1268" s="52" t="s">
        <v>3</v>
      </c>
      <c r="M1268" s="52" t="s">
        <v>805</v>
      </c>
      <c r="N1268" s="57">
        <v>2</v>
      </c>
      <c r="O1268" s="57">
        <v>0</v>
      </c>
      <c r="P1268" s="52" t="s">
        <v>1268</v>
      </c>
      <c r="Q1268" s="52" t="s">
        <v>1017</v>
      </c>
      <c r="R1268" s="52" t="s">
        <v>376</v>
      </c>
      <c r="S1268" s="52"/>
      <c r="T1268" s="52"/>
      <c r="U1268" s="52"/>
      <c r="V1268" s="52"/>
      <c r="W1268" s="52"/>
      <c r="X1268" s="52"/>
      <c r="Y1268" s="52"/>
      <c r="Z1268" s="57"/>
      <c r="AA1268" s="52"/>
      <c r="AB1268" s="52"/>
      <c r="AC1268" s="52"/>
      <c r="AD1268" s="52"/>
      <c r="AE1268" s="50">
        <f>IF(L1268="W",1,0)</f>
        <v>1</v>
      </c>
      <c r="AF1268" s="50">
        <f>IF(L1268="T",1,0)</f>
        <v>0</v>
      </c>
      <c r="AG1268" s="50">
        <f>IF(L1268="L",1,0)</f>
        <v>0</v>
      </c>
      <c r="AH1268" s="52" t="s">
        <v>1017</v>
      </c>
      <c r="AI1268" s="52" t="s">
        <v>1018</v>
      </c>
      <c r="AJ1268" s="52" t="s">
        <v>376</v>
      </c>
      <c r="AK1268" s="50" t="s">
        <v>658</v>
      </c>
      <c r="AL1268" s="52" t="s">
        <v>1227</v>
      </c>
      <c r="AM1268" s="52" t="s">
        <v>1164</v>
      </c>
      <c r="AN1268" s="52" t="s">
        <v>376</v>
      </c>
      <c r="AO1268" s="50" t="s">
        <v>658</v>
      </c>
      <c r="AP1268" s="52"/>
      <c r="AQ1268" s="52">
        <v>1</v>
      </c>
      <c r="AR1268" s="52"/>
      <c r="AS1268" s="52" t="s">
        <v>1393</v>
      </c>
      <c r="AT1268" s="46"/>
      <c r="AU1268" s="52" t="s">
        <v>376</v>
      </c>
      <c r="AV1268" s="52"/>
      <c r="AW1268" s="52" t="s">
        <v>30</v>
      </c>
      <c r="AX1268" s="52"/>
      <c r="AY1268" s="57" t="s">
        <v>30</v>
      </c>
      <c r="AZ1268" s="52"/>
      <c r="BA1268" s="52"/>
      <c r="BB1268" s="60" t="s">
        <v>30</v>
      </c>
      <c r="BC1268" s="52" t="s">
        <v>30</v>
      </c>
      <c r="BD1268" s="60"/>
      <c r="BE1268" s="60"/>
      <c r="BF1268" s="35">
        <v>1</v>
      </c>
      <c r="BG1268" s="52">
        <v>1</v>
      </c>
      <c r="BH1268" s="52"/>
      <c r="BI1268" s="52" t="s">
        <v>587</v>
      </c>
      <c r="BJ1268" s="52" t="s">
        <v>805</v>
      </c>
      <c r="BK1268" s="52">
        <v>1998</v>
      </c>
      <c r="BL1268" s="46" t="str">
        <f>BK1268&amp;BI1268</f>
        <v>1998Arsenal</v>
      </c>
      <c r="BM1268" s="52" t="str">
        <f>IF(AD1268="Home",BI1268,IF(AD1268="Away",BJ1268,Q1268))</f>
        <v>London</v>
      </c>
      <c r="BN1268" s="52"/>
      <c r="BO1268" s="52"/>
      <c r="BP1268" s="52"/>
      <c r="BQ1268" s="52"/>
      <c r="BR1268" s="52"/>
      <c r="BS1268" s="52"/>
      <c r="BT1268" s="52"/>
      <c r="BU1268" s="52"/>
      <c r="BV1268" s="52" t="s">
        <v>376</v>
      </c>
      <c r="BW1268" s="52" t="s">
        <v>376</v>
      </c>
      <c r="BX1268" s="52"/>
      <c r="BY1268" s="52"/>
      <c r="BZ1268" s="53"/>
      <c r="CA1268" s="53"/>
      <c r="CB1268" s="93" t="str">
        <f>IF(OR(C1268="",A1268="",B1268=""),"",TEXT(C1268,"0000")&amp;TEXT(A1268,"00")&amp;TEXT(B1268,"00"))</f>
        <v>19980516</v>
      </c>
    </row>
    <row r="1269" spans="1:80" s="50" customFormat="1" ht="12.95" customHeight="1" x14ac:dyDescent="0.2">
      <c r="A1269" s="46">
        <v>5</v>
      </c>
      <c r="B1269" s="46">
        <v>16</v>
      </c>
      <c r="C1269" s="46">
        <v>1998</v>
      </c>
      <c r="D1269" s="52" t="s">
        <v>658</v>
      </c>
      <c r="E1269" s="52" t="s">
        <v>345</v>
      </c>
      <c r="F1269" s="52" t="s">
        <v>1010</v>
      </c>
      <c r="G1269" s="52"/>
      <c r="H1269" s="52" t="s">
        <v>40</v>
      </c>
      <c r="I1269" s="52"/>
      <c r="J1269" s="56">
        <v>35931</v>
      </c>
      <c r="K1269" s="52" t="s">
        <v>805</v>
      </c>
      <c r="L1269" s="52" t="s">
        <v>4</v>
      </c>
      <c r="M1269" s="52" t="s">
        <v>587</v>
      </c>
      <c r="N1269" s="57">
        <v>0</v>
      </c>
      <c r="O1269" s="57">
        <v>2</v>
      </c>
      <c r="P1269" s="52" t="s">
        <v>1268</v>
      </c>
      <c r="Q1269" s="52" t="s">
        <v>1017</v>
      </c>
      <c r="R1269" s="52" t="s">
        <v>376</v>
      </c>
      <c r="S1269" s="52"/>
      <c r="T1269" s="52"/>
      <c r="U1269" s="52"/>
      <c r="V1269" s="52"/>
      <c r="W1269" s="52"/>
      <c r="X1269" s="52"/>
      <c r="Y1269" s="52"/>
      <c r="Z1269" s="57"/>
      <c r="AA1269" s="52"/>
      <c r="AB1269" s="52"/>
      <c r="AC1269" s="52"/>
      <c r="AD1269" s="52"/>
      <c r="AE1269" s="50">
        <f>IF(L1269="W",1,0)</f>
        <v>0</v>
      </c>
      <c r="AF1269" s="50">
        <f>IF(L1269="T",1,0)</f>
        <v>0</v>
      </c>
      <c r="AG1269" s="50">
        <f>IF(L1269="L",1,0)</f>
        <v>1</v>
      </c>
      <c r="AH1269" s="52" t="s">
        <v>1227</v>
      </c>
      <c r="AI1269" s="52" t="s">
        <v>1164</v>
      </c>
      <c r="AJ1269" s="52" t="s">
        <v>376</v>
      </c>
      <c r="AK1269" s="50" t="s">
        <v>658</v>
      </c>
      <c r="AL1269" s="52" t="s">
        <v>1017</v>
      </c>
      <c r="AM1269" s="52" t="s">
        <v>1018</v>
      </c>
      <c r="AN1269" s="52" t="s">
        <v>376</v>
      </c>
      <c r="AO1269" s="50" t="s">
        <v>658</v>
      </c>
      <c r="AP1269" s="52"/>
      <c r="AQ1269" s="52">
        <v>1</v>
      </c>
      <c r="AR1269" s="52"/>
      <c r="AS1269" s="52">
        <v>1</v>
      </c>
      <c r="AT1269" s="46"/>
      <c r="AU1269" s="52" t="s">
        <v>376</v>
      </c>
      <c r="AV1269" s="52"/>
      <c r="AW1269" s="52" t="s">
        <v>30</v>
      </c>
      <c r="AX1269" s="52"/>
      <c r="AY1269" s="52" t="s">
        <v>30</v>
      </c>
      <c r="AZ1269" s="52"/>
      <c r="BA1269" s="52"/>
      <c r="BB1269" s="60"/>
      <c r="BC1269" s="52" t="s">
        <v>30</v>
      </c>
      <c r="BD1269" s="60"/>
      <c r="BE1269" s="60" t="s">
        <v>1397</v>
      </c>
      <c r="BF1269" s="35">
        <v>1</v>
      </c>
      <c r="BG1269" s="52">
        <v>1</v>
      </c>
      <c r="BH1269" s="52"/>
      <c r="BI1269" s="52" t="s">
        <v>805</v>
      </c>
      <c r="BJ1269" s="52" t="s">
        <v>587</v>
      </c>
      <c r="BK1269" s="52">
        <v>1998</v>
      </c>
      <c r="BL1269" s="46" t="str">
        <f>BK1269&amp;BI1269</f>
        <v>1998Newcastle United</v>
      </c>
      <c r="BM1269" s="52" t="str">
        <f>IF(AD1269="Home",BI1269,IF(AD1269="Away",BJ1269,Q1269))</f>
        <v>London</v>
      </c>
      <c r="BN1269" s="52"/>
      <c r="BO1269" s="52"/>
      <c r="BP1269" s="52"/>
      <c r="BQ1269" s="52"/>
      <c r="BR1269" s="52"/>
      <c r="BS1269" s="52"/>
      <c r="BT1269" s="52"/>
      <c r="BU1269" s="52"/>
      <c r="BV1269" s="52" t="s">
        <v>376</v>
      </c>
      <c r="BW1269" s="52" t="s">
        <v>376</v>
      </c>
      <c r="BX1269" s="52"/>
      <c r="BY1269" s="52"/>
      <c r="BZ1269" s="53"/>
      <c r="CA1269" s="53"/>
      <c r="CB1269" s="93" t="str">
        <f>IF(OR(C1269="",A1269="",B1269=""),"",TEXT(C1269,"0000")&amp;TEXT(A1269,"00")&amp;TEXT(B1269,"00"))</f>
        <v>19980516</v>
      </c>
    </row>
    <row r="1270" spans="1:80" s="50" customFormat="1" ht="12.95" customHeight="1" x14ac:dyDescent="0.2">
      <c r="A1270" s="46">
        <v>1</v>
      </c>
      <c r="B1270" s="46">
        <v>26</v>
      </c>
      <c r="C1270" s="46">
        <v>1999</v>
      </c>
      <c r="D1270" s="46" t="s">
        <v>658</v>
      </c>
      <c r="E1270" s="46" t="s">
        <v>338</v>
      </c>
      <c r="F1270" s="54" t="s">
        <v>1327</v>
      </c>
      <c r="G1270" s="46"/>
      <c r="H1270" s="54" t="s">
        <v>1011</v>
      </c>
      <c r="I1270" s="54">
        <v>1</v>
      </c>
      <c r="J1270" s="55">
        <v>36186</v>
      </c>
      <c r="K1270" s="46" t="s">
        <v>793</v>
      </c>
      <c r="L1270" s="46" t="s">
        <v>4</v>
      </c>
      <c r="M1270" s="46" t="s">
        <v>1291</v>
      </c>
      <c r="N1270" s="49">
        <v>1</v>
      </c>
      <c r="O1270" s="49">
        <v>2</v>
      </c>
      <c r="P1270" s="54" t="s">
        <v>1405</v>
      </c>
      <c r="Q1270" s="54" t="s">
        <v>793</v>
      </c>
      <c r="R1270" s="54" t="s">
        <v>376</v>
      </c>
      <c r="S1270" s="46"/>
      <c r="T1270" s="46"/>
      <c r="U1270" s="46"/>
      <c r="V1270" s="46"/>
      <c r="W1270" s="46"/>
      <c r="X1270" s="46"/>
      <c r="Y1270" s="46"/>
      <c r="Z1270" s="46"/>
      <c r="AA1270" s="46"/>
      <c r="AB1270" s="46"/>
      <c r="AC1270" s="46"/>
      <c r="AD1270" s="46" t="s">
        <v>1033</v>
      </c>
      <c r="AE1270" s="50">
        <f>IF(L1270="W",1,0)</f>
        <v>0</v>
      </c>
      <c r="AF1270" s="50">
        <f>IF(L1270="T",1,0)</f>
        <v>0</v>
      </c>
      <c r="AG1270" s="50">
        <f>IF(L1270="L",1,0)</f>
        <v>1</v>
      </c>
      <c r="AH1270" s="46" t="s">
        <v>793</v>
      </c>
      <c r="AI1270" s="46" t="s">
        <v>1164</v>
      </c>
      <c r="AJ1270" s="46" t="s">
        <v>376</v>
      </c>
      <c r="AK1270" s="46" t="s">
        <v>658</v>
      </c>
      <c r="AL1270" s="46" t="s">
        <v>1278</v>
      </c>
      <c r="AM1270" s="46" t="s">
        <v>1292</v>
      </c>
      <c r="AN1270" s="46" t="s">
        <v>376</v>
      </c>
      <c r="AO1270" s="46" t="s">
        <v>658</v>
      </c>
      <c r="AP1270" s="46"/>
      <c r="AQ1270" s="46">
        <v>2</v>
      </c>
      <c r="AR1270" s="46"/>
      <c r="AS1270" s="46"/>
      <c r="AT1270" s="46"/>
      <c r="AU1270" s="46" t="s">
        <v>376</v>
      </c>
      <c r="AV1270" s="46"/>
      <c r="AW1270" s="46" t="s">
        <v>30</v>
      </c>
      <c r="AX1270" s="46"/>
      <c r="AY1270" s="46"/>
      <c r="AZ1270" s="46" t="s">
        <v>30</v>
      </c>
      <c r="BA1270" s="54"/>
      <c r="BB1270" s="51"/>
      <c r="BC1270" s="46"/>
      <c r="BD1270" s="46"/>
      <c r="BE1270" s="46"/>
      <c r="BF1270" s="46">
        <v>1</v>
      </c>
      <c r="BG1270" s="46">
        <v>2</v>
      </c>
      <c r="BH1270" s="46">
        <v>1</v>
      </c>
      <c r="BI1270" s="46" t="s">
        <v>793</v>
      </c>
      <c r="BJ1270" s="46" t="s">
        <v>1291</v>
      </c>
      <c r="BK1270" s="46">
        <v>1999</v>
      </c>
      <c r="BL1270" s="46" t="str">
        <f>BK1270&amp;BI1270</f>
        <v>1999Sunderland</v>
      </c>
      <c r="BM1270" s="52" t="str">
        <f>IF(AD1270="Home",BI1270,IF(AD1270="Away",BJ1270,Q1270))</f>
        <v>Sunderland</v>
      </c>
      <c r="BN1270" s="46"/>
      <c r="BO1270" s="46"/>
      <c r="BP1270" s="46"/>
      <c r="BQ1270" s="46"/>
      <c r="BR1270" s="46"/>
      <c r="BS1270" s="46"/>
      <c r="BT1270" s="46"/>
      <c r="BU1270" s="46"/>
      <c r="BV1270" s="46" t="s">
        <v>376</v>
      </c>
      <c r="BW1270" s="46" t="s">
        <v>376</v>
      </c>
      <c r="BX1270" s="46"/>
      <c r="BZ1270" s="53"/>
      <c r="CA1270" s="53"/>
      <c r="CB1270" s="93" t="str">
        <f>IF(OR(C1270="",A1270="",B1270=""),"",TEXT(C1270,"0000")&amp;TEXT(A1270,"00")&amp;TEXT(B1270,"00"))</f>
        <v>19990126</v>
      </c>
    </row>
    <row r="1271" spans="1:80" s="50" customFormat="1" ht="12.95" customHeight="1" x14ac:dyDescent="0.2">
      <c r="A1271" s="46">
        <v>1</v>
      </c>
      <c r="B1271" s="46">
        <v>26</v>
      </c>
      <c r="C1271" s="46">
        <v>1999</v>
      </c>
      <c r="D1271" s="52" t="s">
        <v>658</v>
      </c>
      <c r="E1271" s="52" t="s">
        <v>338</v>
      </c>
      <c r="F1271" s="52" t="s">
        <v>1327</v>
      </c>
      <c r="G1271" s="52"/>
      <c r="H1271" s="52" t="s">
        <v>1011</v>
      </c>
      <c r="I1271" s="52">
        <v>1</v>
      </c>
      <c r="J1271" s="56">
        <v>36186</v>
      </c>
      <c r="K1271" s="52" t="s">
        <v>1291</v>
      </c>
      <c r="L1271" s="52" t="s">
        <v>3</v>
      </c>
      <c r="M1271" s="52" t="s">
        <v>793</v>
      </c>
      <c r="N1271" s="57">
        <v>2</v>
      </c>
      <c r="O1271" s="57">
        <v>1</v>
      </c>
      <c r="P1271" s="52" t="s">
        <v>1405</v>
      </c>
      <c r="Q1271" s="52" t="s">
        <v>793</v>
      </c>
      <c r="R1271" s="52" t="s">
        <v>376</v>
      </c>
      <c r="S1271" s="52"/>
      <c r="T1271" s="52"/>
      <c r="U1271" s="52"/>
      <c r="V1271" s="52"/>
      <c r="W1271" s="52"/>
      <c r="X1271" s="52"/>
      <c r="Y1271" s="52"/>
      <c r="Z1271" s="57"/>
      <c r="AA1271" s="58">
        <v>2</v>
      </c>
      <c r="AB1271" s="58">
        <v>1</v>
      </c>
      <c r="AC1271" s="59">
        <v>2</v>
      </c>
      <c r="AD1271" s="52" t="s">
        <v>1037</v>
      </c>
      <c r="AE1271" s="50">
        <f>IF(L1271="W",1,0)</f>
        <v>1</v>
      </c>
      <c r="AF1271" s="50">
        <f>IF(L1271="T",1,0)</f>
        <v>0</v>
      </c>
      <c r="AG1271" s="50">
        <f>IF(L1271="L",1,0)</f>
        <v>0</v>
      </c>
      <c r="AH1271" s="52" t="s">
        <v>1278</v>
      </c>
      <c r="AI1271" s="52" t="s">
        <v>1292</v>
      </c>
      <c r="AJ1271" s="52" t="s">
        <v>376</v>
      </c>
      <c r="AK1271" s="50" t="s">
        <v>658</v>
      </c>
      <c r="AL1271" s="52" t="s">
        <v>793</v>
      </c>
      <c r="AM1271" s="52" t="s">
        <v>1164</v>
      </c>
      <c r="AN1271" s="52" t="s">
        <v>376</v>
      </c>
      <c r="AO1271" s="50" t="s">
        <v>658</v>
      </c>
      <c r="AP1271" s="52"/>
      <c r="AQ1271" s="52">
        <v>2</v>
      </c>
      <c r="AR1271" s="52"/>
      <c r="AS1271" s="52"/>
      <c r="AT1271" s="46"/>
      <c r="AU1271" s="52" t="s">
        <v>376</v>
      </c>
      <c r="AV1271" s="52"/>
      <c r="AW1271" s="52" t="s">
        <v>30</v>
      </c>
      <c r="AX1271" s="52"/>
      <c r="AY1271" s="52"/>
      <c r="AZ1271" s="52" t="s">
        <v>30</v>
      </c>
      <c r="BA1271" s="52"/>
      <c r="BB1271" s="60"/>
      <c r="BC1271" s="52"/>
      <c r="BD1271" s="60"/>
      <c r="BE1271" s="60"/>
      <c r="BF1271" s="35">
        <v>1</v>
      </c>
      <c r="BG1271" s="52">
        <v>1</v>
      </c>
      <c r="BH1271" s="52"/>
      <c r="BI1271" s="52" t="s">
        <v>1291</v>
      </c>
      <c r="BJ1271" s="52" t="s">
        <v>793</v>
      </c>
      <c r="BK1271" s="52">
        <v>1999</v>
      </c>
      <c r="BL1271" s="46" t="str">
        <f>BK1271&amp;BI1271</f>
        <v>1999Leicester City</v>
      </c>
      <c r="BM1271" s="52" t="str">
        <f>IF(AD1271="Home",BI1271,IF(AD1271="Away",BJ1271,Q1271))</f>
        <v>Sunderland</v>
      </c>
      <c r="BN1271" s="52"/>
      <c r="BO1271" s="52"/>
      <c r="BP1271" s="52"/>
      <c r="BQ1271" s="52"/>
      <c r="BR1271" s="52"/>
      <c r="BS1271" s="52"/>
      <c r="BT1271" s="52"/>
      <c r="BU1271" s="52"/>
      <c r="BV1271" s="52" t="s">
        <v>376</v>
      </c>
      <c r="BW1271" s="52" t="s">
        <v>376</v>
      </c>
      <c r="BX1271" s="52"/>
      <c r="BZ1271" s="53"/>
      <c r="CA1271" s="53"/>
      <c r="CB1271" s="93" t="str">
        <f>IF(OR(C1271="",A1271="",B1271=""),"",TEXT(C1271,"0000")&amp;TEXT(A1271,"00")&amp;TEXT(B1271,"00"))</f>
        <v>19990126</v>
      </c>
    </row>
    <row r="1272" spans="1:80" s="50" customFormat="1" ht="12.95" customHeight="1" x14ac:dyDescent="0.2">
      <c r="A1272" s="46">
        <v>1</v>
      </c>
      <c r="B1272" s="46">
        <v>27</v>
      </c>
      <c r="C1272" s="46">
        <v>1999</v>
      </c>
      <c r="D1272" s="52" t="s">
        <v>658</v>
      </c>
      <c r="E1272" s="52" t="s">
        <v>338</v>
      </c>
      <c r="F1272" s="52" t="s">
        <v>1327</v>
      </c>
      <c r="G1272" s="52"/>
      <c r="H1272" s="52" t="s">
        <v>1011</v>
      </c>
      <c r="I1272" s="52">
        <v>1</v>
      </c>
      <c r="J1272" s="56">
        <v>36187</v>
      </c>
      <c r="K1272" s="52" t="s">
        <v>813</v>
      </c>
      <c r="L1272" s="52" t="s">
        <v>1014</v>
      </c>
      <c r="M1272" s="52" t="s">
        <v>1387</v>
      </c>
      <c r="N1272" s="57">
        <v>0</v>
      </c>
      <c r="O1272" s="57">
        <v>0</v>
      </c>
      <c r="P1272" s="52" t="s">
        <v>1222</v>
      </c>
      <c r="Q1272" s="52" t="s">
        <v>1017</v>
      </c>
      <c r="R1272" s="52" t="s">
        <v>376</v>
      </c>
      <c r="S1272" s="52"/>
      <c r="T1272" s="52"/>
      <c r="U1272" s="52"/>
      <c r="V1272" s="52"/>
      <c r="W1272" s="52"/>
      <c r="X1272" s="52"/>
      <c r="Y1272" s="52"/>
      <c r="Z1272" s="57"/>
      <c r="AA1272" s="58">
        <v>0</v>
      </c>
      <c r="AB1272" s="58">
        <v>0</v>
      </c>
      <c r="AC1272" s="59">
        <v>0</v>
      </c>
      <c r="AD1272" s="52" t="s">
        <v>1033</v>
      </c>
      <c r="AE1272" s="50">
        <f>IF(L1272="W",1,0)</f>
        <v>0</v>
      </c>
      <c r="AF1272" s="50">
        <f>IF(L1272="T",1,0)</f>
        <v>1</v>
      </c>
      <c r="AG1272" s="50">
        <f>IF(L1272="L",1,0)</f>
        <v>0</v>
      </c>
      <c r="AH1272" s="52" t="s">
        <v>1017</v>
      </c>
      <c r="AI1272" s="52" t="s">
        <v>1018</v>
      </c>
      <c r="AJ1272" s="52" t="s">
        <v>376</v>
      </c>
      <c r="AK1272" s="50" t="s">
        <v>658</v>
      </c>
      <c r="AL1272" s="52" t="s">
        <v>1017</v>
      </c>
      <c r="AM1272" s="52" t="s">
        <v>1018</v>
      </c>
      <c r="AN1272" s="52" t="s">
        <v>376</v>
      </c>
      <c r="AO1272" s="50" t="s">
        <v>658</v>
      </c>
      <c r="AP1272" s="52"/>
      <c r="AQ1272" s="52">
        <v>2</v>
      </c>
      <c r="AR1272" s="52"/>
      <c r="AS1272" s="52"/>
      <c r="AT1272" s="46"/>
      <c r="AU1272" s="52" t="s">
        <v>376</v>
      </c>
      <c r="AV1272" s="52"/>
      <c r="AW1272" s="52" t="s">
        <v>30</v>
      </c>
      <c r="AX1272" s="52"/>
      <c r="AY1272" s="52"/>
      <c r="AZ1272" s="52" t="s">
        <v>30</v>
      </c>
      <c r="BA1272" s="52"/>
      <c r="BB1272" s="60"/>
      <c r="BC1272" s="52"/>
      <c r="BD1272" s="60"/>
      <c r="BE1272" s="60"/>
      <c r="BF1272" s="35">
        <v>1</v>
      </c>
      <c r="BG1272" s="52">
        <v>1</v>
      </c>
      <c r="BH1272" s="52"/>
      <c r="BI1272" s="52" t="s">
        <v>813</v>
      </c>
      <c r="BJ1272" s="52" t="s">
        <v>1388</v>
      </c>
      <c r="BK1272" s="52">
        <v>1999</v>
      </c>
      <c r="BL1272" s="46" t="str">
        <f>BK1272&amp;BI1272</f>
        <v>1999Tottenham Hotspur</v>
      </c>
      <c r="BM1272" s="52" t="str">
        <f>IF(AD1272="Home",BI1272,IF(AD1272="Away",BJ1272,Q1272))</f>
        <v>Tottenham Hotspur</v>
      </c>
      <c r="BN1272" s="52"/>
      <c r="BO1272" s="52"/>
      <c r="BP1272" s="52"/>
      <c r="BQ1272" s="52"/>
      <c r="BR1272" s="52"/>
      <c r="BS1272" s="52"/>
      <c r="BT1272" s="52"/>
      <c r="BU1272" s="52"/>
      <c r="BV1272" s="52" t="s">
        <v>376</v>
      </c>
      <c r="BW1272" s="52" t="s">
        <v>376</v>
      </c>
      <c r="BX1272" s="52"/>
      <c r="BY1272" s="52"/>
      <c r="BZ1272" s="53"/>
      <c r="CA1272" s="53"/>
      <c r="CB1272" s="93" t="str">
        <f>IF(OR(C1272="",A1272="",B1272=""),"",TEXT(C1272,"0000")&amp;TEXT(A1272,"00")&amp;TEXT(B1272,"00"))</f>
        <v>19990127</v>
      </c>
    </row>
    <row r="1273" spans="1:80" s="50" customFormat="1" ht="12.95" customHeight="1" x14ac:dyDescent="0.2">
      <c r="A1273" s="46">
        <v>1</v>
      </c>
      <c r="B1273" s="46">
        <v>27</v>
      </c>
      <c r="C1273" s="46">
        <v>1999</v>
      </c>
      <c r="D1273" s="52" t="s">
        <v>658</v>
      </c>
      <c r="E1273" s="52" t="s">
        <v>338</v>
      </c>
      <c r="F1273" s="52" t="s">
        <v>1327</v>
      </c>
      <c r="G1273" s="52"/>
      <c r="H1273" s="52" t="s">
        <v>1011</v>
      </c>
      <c r="I1273" s="52">
        <v>1</v>
      </c>
      <c r="J1273" s="56">
        <v>36187</v>
      </c>
      <c r="K1273" s="52" t="s">
        <v>1387</v>
      </c>
      <c r="L1273" s="52" t="s">
        <v>1014</v>
      </c>
      <c r="M1273" s="52" t="s">
        <v>813</v>
      </c>
      <c r="N1273" s="57">
        <v>0</v>
      </c>
      <c r="O1273" s="57">
        <v>0</v>
      </c>
      <c r="P1273" s="52" t="s">
        <v>1222</v>
      </c>
      <c r="Q1273" s="52" t="s">
        <v>1017</v>
      </c>
      <c r="R1273" s="52" t="s">
        <v>376</v>
      </c>
      <c r="S1273" s="52"/>
      <c r="T1273" s="52"/>
      <c r="U1273" s="52"/>
      <c r="V1273" s="52"/>
      <c r="W1273" s="52"/>
      <c r="X1273" s="52"/>
      <c r="Y1273" s="52"/>
      <c r="Z1273" s="57"/>
      <c r="AA1273" s="58">
        <v>0</v>
      </c>
      <c r="AB1273" s="58">
        <v>0</v>
      </c>
      <c r="AC1273" s="59">
        <v>0</v>
      </c>
      <c r="AD1273" s="52" t="s">
        <v>1037</v>
      </c>
      <c r="AE1273" s="50">
        <f>IF(L1273="W",1,0)</f>
        <v>0</v>
      </c>
      <c r="AF1273" s="50">
        <f>IF(L1273="T",1,0)</f>
        <v>1</v>
      </c>
      <c r="AG1273" s="50">
        <f>IF(L1273="L",1,0)</f>
        <v>0</v>
      </c>
      <c r="AH1273" s="52" t="s">
        <v>1017</v>
      </c>
      <c r="AI1273" s="52" t="s">
        <v>1018</v>
      </c>
      <c r="AJ1273" s="52" t="s">
        <v>376</v>
      </c>
      <c r="AK1273" s="50" t="s">
        <v>658</v>
      </c>
      <c r="AL1273" s="52" t="s">
        <v>1017</v>
      </c>
      <c r="AM1273" s="52" t="s">
        <v>1018</v>
      </c>
      <c r="AN1273" s="52" t="s">
        <v>376</v>
      </c>
      <c r="AO1273" s="50" t="s">
        <v>658</v>
      </c>
      <c r="AP1273" s="52"/>
      <c r="AQ1273" s="52">
        <v>2</v>
      </c>
      <c r="AR1273" s="52"/>
      <c r="AS1273" s="52"/>
      <c r="AT1273" s="46"/>
      <c r="AU1273" s="52" t="s">
        <v>376</v>
      </c>
      <c r="AV1273" s="52"/>
      <c r="AW1273" s="52" t="s">
        <v>30</v>
      </c>
      <c r="AX1273" s="52"/>
      <c r="AY1273" s="52"/>
      <c r="AZ1273" s="52" t="s">
        <v>30</v>
      </c>
      <c r="BA1273" s="52"/>
      <c r="BB1273" s="60"/>
      <c r="BC1273" s="52"/>
      <c r="BD1273" s="60"/>
      <c r="BE1273" s="60"/>
      <c r="BF1273" s="35">
        <v>1</v>
      </c>
      <c r="BG1273" s="52">
        <v>1</v>
      </c>
      <c r="BH1273" s="52"/>
      <c r="BI1273" s="52" t="s">
        <v>1388</v>
      </c>
      <c r="BJ1273" s="52" t="s">
        <v>813</v>
      </c>
      <c r="BK1273" s="52">
        <v>1999</v>
      </c>
      <c r="BL1273" s="46" t="str">
        <f>BK1273&amp;BI1273</f>
        <v>1999Milton Keynes Dons</v>
      </c>
      <c r="BM1273" s="52" t="str">
        <f>IF(AD1273="Home",BI1273,IF(AD1273="Away",BJ1273,Q1273))</f>
        <v>Tottenham Hotspur</v>
      </c>
      <c r="BN1273" s="52"/>
      <c r="BO1273" s="52"/>
      <c r="BP1273" s="52"/>
      <c r="BQ1273" s="52"/>
      <c r="BR1273" s="52"/>
      <c r="BS1273" s="52"/>
      <c r="BT1273" s="52"/>
      <c r="BU1273" s="52"/>
      <c r="BV1273" s="52" t="s">
        <v>376</v>
      </c>
      <c r="BW1273" s="52" t="s">
        <v>376</v>
      </c>
      <c r="BX1273" s="52"/>
      <c r="BY1273" s="52"/>
      <c r="BZ1273" s="53"/>
      <c r="CA1273" s="53"/>
      <c r="CB1273" s="93" t="str">
        <f>IF(OR(C1273="",A1273="",B1273=""),"",TEXT(C1273,"0000")&amp;TEXT(A1273,"00")&amp;TEXT(B1273,"00"))</f>
        <v>19990127</v>
      </c>
    </row>
    <row r="1274" spans="1:80" s="50" customFormat="1" ht="12.95" customHeight="1" x14ac:dyDescent="0.2">
      <c r="A1274" s="46">
        <v>2</v>
      </c>
      <c r="B1274" s="46">
        <v>16</v>
      </c>
      <c r="C1274" s="46">
        <v>1999</v>
      </c>
      <c r="D1274" s="52" t="s">
        <v>658</v>
      </c>
      <c r="E1274" s="52" t="s">
        <v>338</v>
      </c>
      <c r="F1274" s="52" t="s">
        <v>1327</v>
      </c>
      <c r="G1274" s="52"/>
      <c r="H1274" s="52" t="s">
        <v>1011</v>
      </c>
      <c r="I1274" s="52">
        <v>2</v>
      </c>
      <c r="J1274" s="56">
        <v>36207</v>
      </c>
      <c r="K1274" s="52" t="s">
        <v>1387</v>
      </c>
      <c r="L1274" s="52" t="s">
        <v>4</v>
      </c>
      <c r="M1274" s="52" t="s">
        <v>813</v>
      </c>
      <c r="N1274" s="57">
        <v>0</v>
      </c>
      <c r="O1274" s="57">
        <v>1</v>
      </c>
      <c r="P1274" s="52" t="s">
        <v>1391</v>
      </c>
      <c r="Q1274" s="52" t="s">
        <v>1017</v>
      </c>
      <c r="R1274" s="52" t="s">
        <v>376</v>
      </c>
      <c r="S1274" s="52"/>
      <c r="T1274" s="52"/>
      <c r="U1274" s="52"/>
      <c r="V1274" s="52"/>
      <c r="W1274" s="52"/>
      <c r="X1274" s="52"/>
      <c r="Y1274" s="52"/>
      <c r="Z1274" s="57"/>
      <c r="AA1274" s="58">
        <v>0</v>
      </c>
      <c r="AB1274" s="58">
        <v>1</v>
      </c>
      <c r="AC1274" s="59">
        <v>0</v>
      </c>
      <c r="AD1274" s="52" t="s">
        <v>1033</v>
      </c>
      <c r="AE1274" s="50">
        <f>IF(L1274="W",1,0)</f>
        <v>0</v>
      </c>
      <c r="AF1274" s="50">
        <f>IF(L1274="T",1,0)</f>
        <v>0</v>
      </c>
      <c r="AG1274" s="50">
        <f>IF(L1274="L",1,0)</f>
        <v>1</v>
      </c>
      <c r="AH1274" s="52" t="s">
        <v>1017</v>
      </c>
      <c r="AI1274" s="52" t="s">
        <v>1018</v>
      </c>
      <c r="AJ1274" s="52" t="s">
        <v>376</v>
      </c>
      <c r="AK1274" s="50" t="s">
        <v>658</v>
      </c>
      <c r="AL1274" s="52" t="s">
        <v>1017</v>
      </c>
      <c r="AM1274" s="52" t="s">
        <v>1018</v>
      </c>
      <c r="AN1274" s="52" t="s">
        <v>376</v>
      </c>
      <c r="AO1274" s="50" t="s">
        <v>658</v>
      </c>
      <c r="AP1274" s="52"/>
      <c r="AQ1274" s="52">
        <v>2</v>
      </c>
      <c r="AR1274" s="52"/>
      <c r="AS1274" s="52">
        <v>1</v>
      </c>
      <c r="AT1274" s="46"/>
      <c r="AU1274" s="52" t="s">
        <v>376</v>
      </c>
      <c r="AV1274" s="52"/>
      <c r="AW1274" s="52" t="s">
        <v>30</v>
      </c>
      <c r="AX1274" s="52"/>
      <c r="AY1274" s="52"/>
      <c r="AZ1274" s="52" t="s">
        <v>30</v>
      </c>
      <c r="BA1274" s="52"/>
      <c r="BB1274" s="60"/>
      <c r="BC1274" s="52"/>
      <c r="BD1274" s="60"/>
      <c r="BE1274" s="60"/>
      <c r="BF1274" s="35">
        <v>1</v>
      </c>
      <c r="BG1274" s="52">
        <v>1</v>
      </c>
      <c r="BH1274" s="52"/>
      <c r="BI1274" s="52" t="s">
        <v>1388</v>
      </c>
      <c r="BJ1274" s="52" t="s">
        <v>813</v>
      </c>
      <c r="BK1274" s="52">
        <v>1999</v>
      </c>
      <c r="BL1274" s="46" t="str">
        <f>BK1274&amp;BI1274</f>
        <v>1999Milton Keynes Dons</v>
      </c>
      <c r="BM1274" s="52" t="str">
        <f>IF(AD1274="Home",BI1274,IF(AD1274="Away",BJ1274,Q1274))</f>
        <v>Milton Keynes Dons</v>
      </c>
      <c r="BN1274" s="52"/>
      <c r="BO1274" s="52"/>
      <c r="BP1274" s="52"/>
      <c r="BQ1274" s="52"/>
      <c r="BR1274" s="52"/>
      <c r="BS1274" s="52"/>
      <c r="BT1274" s="52"/>
      <c r="BU1274" s="52"/>
      <c r="BV1274" s="52" t="s">
        <v>376</v>
      </c>
      <c r="BW1274" s="52" t="s">
        <v>376</v>
      </c>
      <c r="BX1274" s="52"/>
      <c r="BY1274" s="52"/>
      <c r="BZ1274" s="53"/>
      <c r="CA1274" s="53"/>
      <c r="CB1274" s="93" t="str">
        <f>IF(OR(C1274="",A1274="",B1274=""),"",TEXT(C1274,"0000")&amp;TEXT(A1274,"00")&amp;TEXT(B1274,"00"))</f>
        <v>19990216</v>
      </c>
    </row>
    <row r="1275" spans="1:80" s="50" customFormat="1" ht="12.95" customHeight="1" x14ac:dyDescent="0.2">
      <c r="A1275" s="46">
        <v>2</v>
      </c>
      <c r="B1275" s="46">
        <v>16</v>
      </c>
      <c r="C1275" s="46">
        <v>1999</v>
      </c>
      <c r="D1275" s="52" t="s">
        <v>658</v>
      </c>
      <c r="E1275" s="52" t="s">
        <v>338</v>
      </c>
      <c r="F1275" s="52" t="s">
        <v>1327</v>
      </c>
      <c r="G1275" s="52"/>
      <c r="H1275" s="52" t="s">
        <v>1011</v>
      </c>
      <c r="I1275" s="52">
        <v>2</v>
      </c>
      <c r="J1275" s="56">
        <v>36207</v>
      </c>
      <c r="K1275" s="52" t="s">
        <v>813</v>
      </c>
      <c r="L1275" s="52" t="s">
        <v>3</v>
      </c>
      <c r="M1275" s="52" t="s">
        <v>1387</v>
      </c>
      <c r="N1275" s="57">
        <v>1</v>
      </c>
      <c r="O1275" s="57">
        <v>0</v>
      </c>
      <c r="P1275" s="52" t="s">
        <v>1391</v>
      </c>
      <c r="Q1275" s="52" t="s">
        <v>1017</v>
      </c>
      <c r="R1275" s="52" t="s">
        <v>376</v>
      </c>
      <c r="S1275" s="52"/>
      <c r="T1275" s="52"/>
      <c r="U1275" s="52"/>
      <c r="V1275" s="52"/>
      <c r="W1275" s="52"/>
      <c r="X1275" s="52"/>
      <c r="Y1275" s="52"/>
      <c r="Z1275" s="57"/>
      <c r="AA1275" s="58">
        <v>1</v>
      </c>
      <c r="AB1275" s="58">
        <v>0</v>
      </c>
      <c r="AC1275" s="59">
        <v>1</v>
      </c>
      <c r="AD1275" s="52" t="s">
        <v>1037</v>
      </c>
      <c r="AE1275" s="50">
        <f>IF(L1275="W",1,0)</f>
        <v>1</v>
      </c>
      <c r="AF1275" s="50">
        <f>IF(L1275="T",1,0)</f>
        <v>0</v>
      </c>
      <c r="AG1275" s="50">
        <f>IF(L1275="L",1,0)</f>
        <v>0</v>
      </c>
      <c r="AH1275" s="52" t="s">
        <v>1017</v>
      </c>
      <c r="AI1275" s="52" t="s">
        <v>1018</v>
      </c>
      <c r="AJ1275" s="52" t="s">
        <v>376</v>
      </c>
      <c r="AK1275" s="50" t="s">
        <v>658</v>
      </c>
      <c r="AL1275" s="52" t="s">
        <v>1017</v>
      </c>
      <c r="AM1275" s="52" t="s">
        <v>1018</v>
      </c>
      <c r="AN1275" s="52" t="s">
        <v>376</v>
      </c>
      <c r="AO1275" s="50" t="s">
        <v>658</v>
      </c>
      <c r="AP1275" s="52"/>
      <c r="AQ1275" s="52">
        <v>2</v>
      </c>
      <c r="AR1275" s="52"/>
      <c r="AS1275" s="52"/>
      <c r="AT1275" s="46"/>
      <c r="AU1275" s="52" t="s">
        <v>376</v>
      </c>
      <c r="AV1275" s="52"/>
      <c r="AW1275" s="52" t="s">
        <v>30</v>
      </c>
      <c r="AX1275" s="52"/>
      <c r="AY1275" s="52"/>
      <c r="AZ1275" s="52" t="s">
        <v>30</v>
      </c>
      <c r="BA1275" s="52"/>
      <c r="BB1275" s="60"/>
      <c r="BC1275" s="52"/>
      <c r="BD1275" s="60"/>
      <c r="BE1275" s="60"/>
      <c r="BF1275" s="35">
        <v>1</v>
      </c>
      <c r="BG1275" s="52">
        <v>1</v>
      </c>
      <c r="BH1275" s="52"/>
      <c r="BI1275" s="52" t="s">
        <v>813</v>
      </c>
      <c r="BJ1275" s="52" t="s">
        <v>1388</v>
      </c>
      <c r="BK1275" s="52">
        <v>1999</v>
      </c>
      <c r="BL1275" s="46" t="str">
        <f>BK1275&amp;BI1275</f>
        <v>1999Tottenham Hotspur</v>
      </c>
      <c r="BM1275" s="52" t="str">
        <f>IF(AD1275="Home",BI1275,IF(AD1275="Away",BJ1275,Q1275))</f>
        <v>Milton Keynes Dons</v>
      </c>
      <c r="BN1275" s="52"/>
      <c r="BO1275" s="52"/>
      <c r="BP1275" s="52"/>
      <c r="BQ1275" s="52"/>
      <c r="BR1275" s="52"/>
      <c r="BS1275" s="52"/>
      <c r="BT1275" s="52"/>
      <c r="BU1275" s="52"/>
      <c r="BV1275" s="52" t="s">
        <v>376</v>
      </c>
      <c r="BW1275" s="52" t="s">
        <v>376</v>
      </c>
      <c r="BX1275" s="52"/>
      <c r="BY1275" s="52"/>
      <c r="BZ1275" s="53"/>
      <c r="CA1275" s="53"/>
      <c r="CB1275" s="93" t="str">
        <f>IF(OR(C1275="",A1275="",B1275=""),"",TEXT(C1275,"0000")&amp;TEXT(A1275,"00")&amp;TEXT(B1275,"00"))</f>
        <v>19990216</v>
      </c>
    </row>
    <row r="1276" spans="1:80" s="50" customFormat="1" ht="12.95" customHeight="1" x14ac:dyDescent="0.2">
      <c r="A1276" s="46">
        <v>2</v>
      </c>
      <c r="B1276" s="46">
        <v>17</v>
      </c>
      <c r="C1276" s="46">
        <v>1999</v>
      </c>
      <c r="D1276" s="52" t="s">
        <v>658</v>
      </c>
      <c r="E1276" s="52" t="s">
        <v>338</v>
      </c>
      <c r="F1276" s="52" t="s">
        <v>1327</v>
      </c>
      <c r="G1276" s="52"/>
      <c r="H1276" s="52" t="s">
        <v>1011</v>
      </c>
      <c r="I1276" s="52">
        <v>2</v>
      </c>
      <c r="J1276" s="56">
        <v>36208</v>
      </c>
      <c r="K1276" s="52" t="s">
        <v>1291</v>
      </c>
      <c r="L1276" s="52" t="s">
        <v>1014</v>
      </c>
      <c r="M1276" s="52" t="s">
        <v>793</v>
      </c>
      <c r="N1276" s="57">
        <v>1</v>
      </c>
      <c r="O1276" s="57">
        <v>1</v>
      </c>
      <c r="P1276" s="52" t="s">
        <v>1277</v>
      </c>
      <c r="Q1276" s="52" t="s">
        <v>1278</v>
      </c>
      <c r="R1276" s="52" t="s">
        <v>376</v>
      </c>
      <c r="S1276" s="52"/>
      <c r="T1276" s="52"/>
      <c r="U1276" s="52"/>
      <c r="V1276" s="52"/>
      <c r="W1276" s="52"/>
      <c r="X1276" s="52"/>
      <c r="Y1276" s="52"/>
      <c r="Z1276" s="57"/>
      <c r="AA1276" s="58">
        <v>3</v>
      </c>
      <c r="AB1276" s="58">
        <v>2</v>
      </c>
      <c r="AC1276" s="59">
        <v>2</v>
      </c>
      <c r="AD1276" s="52" t="s">
        <v>1033</v>
      </c>
      <c r="AE1276" s="50">
        <f>IF(L1276="W",1,0)</f>
        <v>0</v>
      </c>
      <c r="AF1276" s="50">
        <f>IF(L1276="T",1,0)</f>
        <v>1</v>
      </c>
      <c r="AG1276" s="50">
        <f>IF(L1276="L",1,0)</f>
        <v>0</v>
      </c>
      <c r="AH1276" s="52" t="s">
        <v>1278</v>
      </c>
      <c r="AI1276" s="52" t="s">
        <v>1292</v>
      </c>
      <c r="AJ1276" s="52" t="s">
        <v>376</v>
      </c>
      <c r="AK1276" s="50" t="s">
        <v>658</v>
      </c>
      <c r="AL1276" s="52" t="s">
        <v>793</v>
      </c>
      <c r="AM1276" s="52" t="s">
        <v>1164</v>
      </c>
      <c r="AN1276" s="52" t="s">
        <v>376</v>
      </c>
      <c r="AO1276" s="50" t="s">
        <v>658</v>
      </c>
      <c r="AP1276" s="52"/>
      <c r="AQ1276" s="52">
        <v>2</v>
      </c>
      <c r="AR1276" s="52"/>
      <c r="AS1276" s="52"/>
      <c r="AT1276" s="46"/>
      <c r="AU1276" s="52" t="s">
        <v>376</v>
      </c>
      <c r="AV1276" s="52"/>
      <c r="AW1276" s="52" t="s">
        <v>30</v>
      </c>
      <c r="AX1276" s="52"/>
      <c r="AY1276" s="52"/>
      <c r="AZ1276" s="52" t="s">
        <v>30</v>
      </c>
      <c r="BA1276" s="52"/>
      <c r="BB1276" s="60"/>
      <c r="BC1276" s="52"/>
      <c r="BD1276" s="60"/>
      <c r="BE1276" s="60"/>
      <c r="BF1276" s="35">
        <v>1</v>
      </c>
      <c r="BG1276" s="52">
        <v>1</v>
      </c>
      <c r="BH1276" s="52"/>
      <c r="BI1276" s="52" t="s">
        <v>1291</v>
      </c>
      <c r="BJ1276" s="52" t="s">
        <v>793</v>
      </c>
      <c r="BK1276" s="52">
        <v>1999</v>
      </c>
      <c r="BL1276" s="46" t="str">
        <f>BK1276&amp;BI1276</f>
        <v>1999Leicester City</v>
      </c>
      <c r="BM1276" s="52" t="str">
        <f>IF(AD1276="Home",BI1276,IF(AD1276="Away",BJ1276,Q1276))</f>
        <v>Leicester City</v>
      </c>
      <c r="BN1276" s="52"/>
      <c r="BO1276" s="52"/>
      <c r="BP1276" s="52"/>
      <c r="BQ1276" s="52"/>
      <c r="BR1276" s="52"/>
      <c r="BS1276" s="52"/>
      <c r="BT1276" s="52"/>
      <c r="BU1276" s="52"/>
      <c r="BV1276" s="52" t="s">
        <v>376</v>
      </c>
      <c r="BW1276" s="52" t="s">
        <v>376</v>
      </c>
      <c r="BX1276" s="52"/>
      <c r="BY1276" s="52"/>
      <c r="BZ1276" s="53"/>
      <c r="CA1276" s="53"/>
      <c r="CB1276" s="93" t="str">
        <f>IF(OR(C1276="",A1276="",B1276=""),"",TEXT(C1276,"0000")&amp;TEXT(A1276,"00")&amp;TEXT(B1276,"00"))</f>
        <v>19990217</v>
      </c>
    </row>
    <row r="1277" spans="1:80" s="50" customFormat="1" ht="12.95" customHeight="1" x14ac:dyDescent="0.2">
      <c r="A1277" s="46">
        <v>2</v>
      </c>
      <c r="B1277" s="46">
        <v>17</v>
      </c>
      <c r="C1277" s="46">
        <v>1999</v>
      </c>
      <c r="D1277" s="46" t="s">
        <v>658</v>
      </c>
      <c r="E1277" s="46" t="s">
        <v>338</v>
      </c>
      <c r="F1277" s="54" t="s">
        <v>1327</v>
      </c>
      <c r="G1277" s="46"/>
      <c r="H1277" s="54" t="s">
        <v>1011</v>
      </c>
      <c r="I1277" s="54">
        <v>2</v>
      </c>
      <c r="J1277" s="55">
        <v>36208</v>
      </c>
      <c r="K1277" s="46" t="s">
        <v>793</v>
      </c>
      <c r="L1277" s="46" t="s">
        <v>1014</v>
      </c>
      <c r="M1277" s="46" t="s">
        <v>1291</v>
      </c>
      <c r="N1277" s="49">
        <v>1</v>
      </c>
      <c r="O1277" s="49">
        <v>1</v>
      </c>
      <c r="P1277" s="54" t="s">
        <v>1277</v>
      </c>
      <c r="Q1277" s="54" t="s">
        <v>1278</v>
      </c>
      <c r="R1277" s="54" t="s">
        <v>376</v>
      </c>
      <c r="S1277" s="46"/>
      <c r="T1277" s="46"/>
      <c r="U1277" s="46"/>
      <c r="V1277" s="46"/>
      <c r="W1277" s="46"/>
      <c r="X1277" s="46"/>
      <c r="Y1277" s="46"/>
      <c r="Z1277" s="46"/>
      <c r="AA1277" s="46"/>
      <c r="AB1277" s="46"/>
      <c r="AC1277" s="46"/>
      <c r="AD1277" s="46" t="s">
        <v>1037</v>
      </c>
      <c r="AE1277" s="50">
        <f>IF(L1277="W",1,0)</f>
        <v>0</v>
      </c>
      <c r="AF1277" s="50">
        <f>IF(L1277="T",1,0)</f>
        <v>1</v>
      </c>
      <c r="AG1277" s="50">
        <f>IF(L1277="L",1,0)</f>
        <v>0</v>
      </c>
      <c r="AH1277" s="46" t="s">
        <v>793</v>
      </c>
      <c r="AI1277" s="46" t="s">
        <v>1164</v>
      </c>
      <c r="AJ1277" s="46" t="s">
        <v>376</v>
      </c>
      <c r="AK1277" s="46" t="s">
        <v>658</v>
      </c>
      <c r="AL1277" s="46" t="s">
        <v>1278</v>
      </c>
      <c r="AM1277" s="46" t="s">
        <v>1292</v>
      </c>
      <c r="AN1277" s="46" t="s">
        <v>376</v>
      </c>
      <c r="AO1277" s="46" t="s">
        <v>658</v>
      </c>
      <c r="AP1277" s="46"/>
      <c r="AQ1277" s="46">
        <v>2</v>
      </c>
      <c r="AR1277" s="46"/>
      <c r="AS1277" s="46"/>
      <c r="AT1277" s="46"/>
      <c r="AU1277" s="46" t="s">
        <v>376</v>
      </c>
      <c r="AV1277" s="46"/>
      <c r="AW1277" s="46" t="s">
        <v>30</v>
      </c>
      <c r="AX1277" s="46"/>
      <c r="AY1277" s="46"/>
      <c r="AZ1277" s="46" t="s">
        <v>30</v>
      </c>
      <c r="BA1277" s="54"/>
      <c r="BB1277" s="51"/>
      <c r="BC1277" s="46"/>
      <c r="BD1277" s="46"/>
      <c r="BE1277" s="46"/>
      <c r="BF1277" s="46">
        <v>1</v>
      </c>
      <c r="BG1277" s="46">
        <v>2</v>
      </c>
      <c r="BH1277" s="46">
        <v>1</v>
      </c>
      <c r="BI1277" s="46" t="s">
        <v>793</v>
      </c>
      <c r="BJ1277" s="46" t="s">
        <v>1291</v>
      </c>
      <c r="BK1277" s="46">
        <v>1999</v>
      </c>
      <c r="BL1277" s="46" t="str">
        <f>BK1277&amp;BI1277</f>
        <v>1999Sunderland</v>
      </c>
      <c r="BM1277" s="52" t="str">
        <f>IF(AD1277="Home",BI1277,IF(AD1277="Away",BJ1277,Q1277))</f>
        <v>Leicester City</v>
      </c>
      <c r="BN1277" s="46"/>
      <c r="BO1277" s="46"/>
      <c r="BP1277" s="46"/>
      <c r="BQ1277" s="46"/>
      <c r="BR1277" s="46"/>
      <c r="BS1277" s="46"/>
      <c r="BT1277" s="46"/>
      <c r="BU1277" s="46"/>
      <c r="BV1277" s="46" t="s">
        <v>376</v>
      </c>
      <c r="BW1277" s="46" t="s">
        <v>376</v>
      </c>
      <c r="BX1277" s="46"/>
      <c r="BY1277" s="52"/>
      <c r="BZ1277" s="53"/>
      <c r="CA1277" s="53"/>
      <c r="CB1277" s="93" t="str">
        <f>IF(OR(C1277="",A1277="",B1277=""),"",TEXT(C1277,"0000")&amp;TEXT(A1277,"00")&amp;TEXT(B1277,"00"))</f>
        <v>19990217</v>
      </c>
    </row>
    <row r="1278" spans="1:80" s="50" customFormat="1" ht="12.95" customHeight="1" x14ac:dyDescent="0.2">
      <c r="A1278" s="46">
        <v>3</v>
      </c>
      <c r="B1278" s="46">
        <v>21</v>
      </c>
      <c r="C1278" s="46">
        <v>1999</v>
      </c>
      <c r="D1278" s="52" t="s">
        <v>658</v>
      </c>
      <c r="E1278" s="52" t="s">
        <v>338</v>
      </c>
      <c r="F1278" s="52" t="s">
        <v>1327</v>
      </c>
      <c r="G1278" s="52"/>
      <c r="H1278" s="52" t="s">
        <v>40</v>
      </c>
      <c r="I1278" s="52"/>
      <c r="J1278" s="56">
        <v>36240</v>
      </c>
      <c r="K1278" s="52" t="s">
        <v>813</v>
      </c>
      <c r="L1278" s="52" t="s">
        <v>3</v>
      </c>
      <c r="M1278" s="52" t="s">
        <v>1291</v>
      </c>
      <c r="N1278" s="57">
        <v>1</v>
      </c>
      <c r="O1278" s="57">
        <v>0</v>
      </c>
      <c r="P1278" s="52" t="s">
        <v>1268</v>
      </c>
      <c r="Q1278" s="52" t="s">
        <v>1017</v>
      </c>
      <c r="R1278" s="52" t="s">
        <v>376</v>
      </c>
      <c r="S1278" s="52"/>
      <c r="T1278" s="52"/>
      <c r="U1278" s="52"/>
      <c r="V1278" s="52"/>
      <c r="W1278" s="52"/>
      <c r="X1278" s="52"/>
      <c r="Y1278" s="52"/>
      <c r="Z1278" s="57"/>
      <c r="AA1278" s="52"/>
      <c r="AB1278" s="52"/>
      <c r="AC1278" s="52"/>
      <c r="AD1278" s="52"/>
      <c r="AE1278" s="50">
        <f>IF(L1278="W",1,0)</f>
        <v>1</v>
      </c>
      <c r="AF1278" s="50">
        <f>IF(L1278="T",1,0)</f>
        <v>0</v>
      </c>
      <c r="AG1278" s="50">
        <f>IF(L1278="L",1,0)</f>
        <v>0</v>
      </c>
      <c r="AH1278" s="52" t="s">
        <v>1017</v>
      </c>
      <c r="AI1278" s="52" t="s">
        <v>1018</v>
      </c>
      <c r="AJ1278" s="52" t="s">
        <v>376</v>
      </c>
      <c r="AK1278" s="50" t="s">
        <v>658</v>
      </c>
      <c r="AL1278" s="52" t="s">
        <v>1278</v>
      </c>
      <c r="AM1278" s="52" t="s">
        <v>1292</v>
      </c>
      <c r="AN1278" s="52" t="s">
        <v>376</v>
      </c>
      <c r="AO1278" s="50" t="s">
        <v>658</v>
      </c>
      <c r="AP1278" s="52"/>
      <c r="AQ1278" s="52">
        <v>1</v>
      </c>
      <c r="AR1278" s="52"/>
      <c r="AS1278" s="52" t="s">
        <v>1393</v>
      </c>
      <c r="AT1278" s="46"/>
      <c r="AU1278" s="52" t="s">
        <v>376</v>
      </c>
      <c r="AV1278" s="52"/>
      <c r="AW1278" s="52" t="s">
        <v>30</v>
      </c>
      <c r="AX1278" s="52"/>
      <c r="AY1278" s="52"/>
      <c r="AZ1278" s="57" t="s">
        <v>30</v>
      </c>
      <c r="BA1278" s="52"/>
      <c r="BB1278" s="60" t="s">
        <v>30</v>
      </c>
      <c r="BC1278" s="52" t="s">
        <v>30</v>
      </c>
      <c r="BD1278" s="60"/>
      <c r="BE1278" s="60" t="s">
        <v>1400</v>
      </c>
      <c r="BF1278" s="35">
        <v>1</v>
      </c>
      <c r="BG1278" s="52">
        <v>1</v>
      </c>
      <c r="BH1278" s="52"/>
      <c r="BI1278" s="52" t="s">
        <v>813</v>
      </c>
      <c r="BJ1278" s="52" t="s">
        <v>1291</v>
      </c>
      <c r="BK1278" s="52">
        <v>1999</v>
      </c>
      <c r="BL1278" s="46" t="str">
        <f>BK1278&amp;BI1278</f>
        <v>1999Tottenham Hotspur</v>
      </c>
      <c r="BM1278" s="52" t="str">
        <f>IF(AD1278="Home",BI1278,IF(AD1278="Away",BJ1278,Q1278))</f>
        <v>London</v>
      </c>
      <c r="BN1278" s="52"/>
      <c r="BO1278" s="52"/>
      <c r="BP1278" s="52"/>
      <c r="BQ1278" s="52"/>
      <c r="BR1278" s="52"/>
      <c r="BS1278" s="52"/>
      <c r="BT1278" s="52"/>
      <c r="BU1278" s="52"/>
      <c r="BV1278" s="52" t="s">
        <v>376</v>
      </c>
      <c r="BW1278" s="52" t="s">
        <v>376</v>
      </c>
      <c r="BX1278" s="52"/>
      <c r="BY1278" s="52"/>
      <c r="BZ1278" s="53"/>
      <c r="CA1278" s="53"/>
      <c r="CB1278" s="93" t="str">
        <f>IF(OR(C1278="",A1278="",B1278=""),"",TEXT(C1278,"0000")&amp;TEXT(A1278,"00")&amp;TEXT(B1278,"00"))</f>
        <v>19990321</v>
      </c>
    </row>
    <row r="1279" spans="1:80" s="50" customFormat="1" ht="12.95" customHeight="1" x14ac:dyDescent="0.2">
      <c r="A1279" s="46">
        <v>3</v>
      </c>
      <c r="B1279" s="46">
        <v>21</v>
      </c>
      <c r="C1279" s="46">
        <v>1999</v>
      </c>
      <c r="D1279" s="52" t="s">
        <v>658</v>
      </c>
      <c r="E1279" s="52" t="s">
        <v>338</v>
      </c>
      <c r="F1279" s="52" t="s">
        <v>1327</v>
      </c>
      <c r="G1279" s="52"/>
      <c r="H1279" s="52" t="s">
        <v>40</v>
      </c>
      <c r="I1279" s="52"/>
      <c r="J1279" s="56">
        <v>36240</v>
      </c>
      <c r="K1279" s="52" t="s">
        <v>1291</v>
      </c>
      <c r="L1279" s="52" t="s">
        <v>4</v>
      </c>
      <c r="M1279" s="52" t="s">
        <v>813</v>
      </c>
      <c r="N1279" s="57">
        <v>0</v>
      </c>
      <c r="O1279" s="57">
        <v>1</v>
      </c>
      <c r="P1279" s="52" t="s">
        <v>1268</v>
      </c>
      <c r="Q1279" s="52" t="s">
        <v>1017</v>
      </c>
      <c r="R1279" s="52" t="s">
        <v>376</v>
      </c>
      <c r="S1279" s="52"/>
      <c r="T1279" s="52"/>
      <c r="U1279" s="52"/>
      <c r="V1279" s="52"/>
      <c r="W1279" s="52"/>
      <c r="X1279" s="52"/>
      <c r="Y1279" s="52"/>
      <c r="Z1279" s="57"/>
      <c r="AA1279" s="52"/>
      <c r="AB1279" s="52"/>
      <c r="AC1279" s="52"/>
      <c r="AD1279" s="52"/>
      <c r="AE1279" s="50">
        <f>IF(L1279="W",1,0)</f>
        <v>0</v>
      </c>
      <c r="AF1279" s="50">
        <f>IF(L1279="T",1,0)</f>
        <v>0</v>
      </c>
      <c r="AG1279" s="50">
        <f>IF(L1279="L",1,0)</f>
        <v>1</v>
      </c>
      <c r="AH1279" s="52" t="s">
        <v>1278</v>
      </c>
      <c r="AI1279" s="52" t="s">
        <v>1292</v>
      </c>
      <c r="AJ1279" s="52" t="s">
        <v>376</v>
      </c>
      <c r="AK1279" s="50" t="s">
        <v>658</v>
      </c>
      <c r="AL1279" s="52" t="s">
        <v>1017</v>
      </c>
      <c r="AM1279" s="52" t="s">
        <v>1018</v>
      </c>
      <c r="AN1279" s="52" t="s">
        <v>376</v>
      </c>
      <c r="AO1279" s="50" t="s">
        <v>658</v>
      </c>
      <c r="AP1279" s="52"/>
      <c r="AQ1279" s="52">
        <v>1</v>
      </c>
      <c r="AR1279" s="52"/>
      <c r="AS1279" s="52">
        <v>1</v>
      </c>
      <c r="AT1279" s="46"/>
      <c r="AU1279" s="52" t="s">
        <v>376</v>
      </c>
      <c r="AV1279" s="52"/>
      <c r="AW1279" s="52" t="s">
        <v>30</v>
      </c>
      <c r="AX1279" s="52"/>
      <c r="AY1279" s="52"/>
      <c r="AZ1279" s="52" t="s">
        <v>30</v>
      </c>
      <c r="BA1279" s="52"/>
      <c r="BB1279" s="60"/>
      <c r="BC1279" s="52" t="s">
        <v>30</v>
      </c>
      <c r="BD1279" s="60"/>
      <c r="BE1279" s="60"/>
      <c r="BF1279" s="35">
        <v>1</v>
      </c>
      <c r="BG1279" s="52">
        <v>1</v>
      </c>
      <c r="BH1279" s="52"/>
      <c r="BI1279" s="52" t="s">
        <v>1291</v>
      </c>
      <c r="BJ1279" s="52" t="s">
        <v>813</v>
      </c>
      <c r="BK1279" s="52">
        <v>1999</v>
      </c>
      <c r="BL1279" s="46" t="str">
        <f>BK1279&amp;BI1279</f>
        <v>1999Leicester City</v>
      </c>
      <c r="BM1279" s="52" t="str">
        <f>IF(AD1279="Home",BI1279,IF(AD1279="Away",BJ1279,Q1279))</f>
        <v>London</v>
      </c>
      <c r="BN1279" s="52"/>
      <c r="BO1279" s="52"/>
      <c r="BP1279" s="52"/>
      <c r="BQ1279" s="52"/>
      <c r="BR1279" s="52"/>
      <c r="BS1279" s="52"/>
      <c r="BT1279" s="52"/>
      <c r="BU1279" s="52"/>
      <c r="BV1279" s="52" t="s">
        <v>376</v>
      </c>
      <c r="BW1279" s="52" t="s">
        <v>376</v>
      </c>
      <c r="BX1279" s="52"/>
      <c r="BY1279" s="52"/>
      <c r="BZ1279" s="53"/>
      <c r="CA1279" s="53"/>
      <c r="CB1279" s="93" t="str">
        <f>IF(OR(C1279="",A1279="",B1279=""),"",TEXT(C1279,"0000")&amp;TEXT(A1279,"00")&amp;TEXT(B1279,"00"))</f>
        <v>19990321</v>
      </c>
    </row>
    <row r="1280" spans="1:80" s="50" customFormat="1" ht="12.95" customHeight="1" x14ac:dyDescent="0.2">
      <c r="A1280" s="46">
        <v>4</v>
      </c>
      <c r="B1280" s="46">
        <v>11</v>
      </c>
      <c r="C1280" s="46">
        <v>1999</v>
      </c>
      <c r="D1280" s="52" t="s">
        <v>658</v>
      </c>
      <c r="E1280" s="52" t="s">
        <v>338</v>
      </c>
      <c r="F1280" s="52" t="s">
        <v>1010</v>
      </c>
      <c r="G1280" s="52"/>
      <c r="H1280" s="52" t="s">
        <v>1011</v>
      </c>
      <c r="I1280" s="52"/>
      <c r="J1280" s="56">
        <v>36261</v>
      </c>
      <c r="K1280" s="52" t="s">
        <v>821</v>
      </c>
      <c r="L1280" s="52" t="s">
        <v>1014</v>
      </c>
      <c r="M1280" s="52" t="s">
        <v>587</v>
      </c>
      <c r="N1280" s="57">
        <v>0</v>
      </c>
      <c r="O1280" s="57">
        <v>0</v>
      </c>
      <c r="P1280" s="52" t="s">
        <v>1246</v>
      </c>
      <c r="Q1280" s="52" t="s">
        <v>1101</v>
      </c>
      <c r="R1280" s="52" t="s">
        <v>376</v>
      </c>
      <c r="S1280" s="52" t="s">
        <v>1395</v>
      </c>
      <c r="T1280" s="52"/>
      <c r="U1280" s="52"/>
      <c r="V1280" s="52"/>
      <c r="W1280" s="52"/>
      <c r="X1280" s="52"/>
      <c r="Y1280" s="52"/>
      <c r="Z1280" s="57"/>
      <c r="AA1280" s="52"/>
      <c r="AB1280" s="52"/>
      <c r="AC1280" s="52"/>
      <c r="AD1280" s="52" t="s">
        <v>1033</v>
      </c>
      <c r="AE1280" s="50">
        <f>IF(L1280="W",1,0)</f>
        <v>0</v>
      </c>
      <c r="AF1280" s="50">
        <f>IF(L1280="T",1,0)</f>
        <v>1</v>
      </c>
      <c r="AG1280" s="50">
        <f>IF(L1280="L",1,0)</f>
        <v>0</v>
      </c>
      <c r="AH1280" s="52" t="s">
        <v>1101</v>
      </c>
      <c r="AI1280" s="52" t="s">
        <v>1159</v>
      </c>
      <c r="AJ1280" s="52" t="s">
        <v>376</v>
      </c>
      <c r="AK1280" s="50" t="s">
        <v>658</v>
      </c>
      <c r="AL1280" s="52" t="s">
        <v>1017</v>
      </c>
      <c r="AM1280" s="52" t="s">
        <v>1018</v>
      </c>
      <c r="AN1280" s="52" t="s">
        <v>376</v>
      </c>
      <c r="AO1280" s="50" t="s">
        <v>658</v>
      </c>
      <c r="AP1280" s="52"/>
      <c r="AQ1280" s="52">
        <v>2</v>
      </c>
      <c r="AR1280" s="52"/>
      <c r="AS1280" s="52"/>
      <c r="AT1280" s="46"/>
      <c r="AU1280" s="52" t="s">
        <v>376</v>
      </c>
      <c r="AV1280" s="52"/>
      <c r="AW1280" s="52" t="s">
        <v>30</v>
      </c>
      <c r="AX1280" s="52"/>
      <c r="AY1280" s="52" t="s">
        <v>30</v>
      </c>
      <c r="AZ1280" s="52"/>
      <c r="BA1280" s="52"/>
      <c r="BB1280" s="60"/>
      <c r="BC1280" s="52"/>
      <c r="BD1280" s="60"/>
      <c r="BE1280" s="60"/>
      <c r="BF1280" s="35">
        <v>1</v>
      </c>
      <c r="BG1280" s="52">
        <v>1</v>
      </c>
      <c r="BH1280" s="52"/>
      <c r="BI1280" s="52" t="s">
        <v>821</v>
      </c>
      <c r="BJ1280" s="52" t="s">
        <v>587</v>
      </c>
      <c r="BK1280" s="52">
        <v>1999</v>
      </c>
      <c r="BL1280" s="46" t="str">
        <f>BK1280&amp;BI1280</f>
        <v>1999Manchester United</v>
      </c>
      <c r="BM1280" s="52" t="str">
        <f>IF(AD1280="Home",BI1280,IF(AD1280="Away",BJ1280,Q1280))</f>
        <v>Manchester United</v>
      </c>
      <c r="BN1280" s="52"/>
      <c r="BO1280" s="52"/>
      <c r="BP1280" s="52"/>
      <c r="BQ1280" s="52"/>
      <c r="BR1280" s="52"/>
      <c r="BS1280" s="52"/>
      <c r="BT1280" s="52"/>
      <c r="BU1280" s="52"/>
      <c r="BV1280" s="52" t="s">
        <v>376</v>
      </c>
      <c r="BW1280" s="52" t="s">
        <v>376</v>
      </c>
      <c r="BX1280" s="52"/>
      <c r="BY1280" s="52"/>
      <c r="BZ1280" s="53"/>
      <c r="CA1280" s="53"/>
      <c r="CB1280" s="93" t="str">
        <f>IF(OR(C1280="",A1280="",B1280=""),"",TEXT(C1280,"0000")&amp;TEXT(A1280,"00")&amp;TEXT(B1280,"00"))</f>
        <v>19990411</v>
      </c>
    </row>
    <row r="1281" spans="1:80" s="50" customFormat="1" ht="12.95" customHeight="1" x14ac:dyDescent="0.2">
      <c r="A1281" s="46">
        <v>4</v>
      </c>
      <c r="B1281" s="46">
        <v>11</v>
      </c>
      <c r="C1281" s="46">
        <v>1999</v>
      </c>
      <c r="D1281" s="52" t="s">
        <v>658</v>
      </c>
      <c r="E1281" s="52" t="s">
        <v>338</v>
      </c>
      <c r="F1281" s="52" t="s">
        <v>1010</v>
      </c>
      <c r="G1281" s="52"/>
      <c r="H1281" s="52" t="s">
        <v>1011</v>
      </c>
      <c r="I1281" s="52"/>
      <c r="J1281" s="56">
        <v>36261</v>
      </c>
      <c r="K1281" s="52" t="s">
        <v>587</v>
      </c>
      <c r="L1281" s="52" t="s">
        <v>1014</v>
      </c>
      <c r="M1281" s="52" t="s">
        <v>821</v>
      </c>
      <c r="N1281" s="57">
        <v>0</v>
      </c>
      <c r="O1281" s="57">
        <v>0</v>
      </c>
      <c r="P1281" s="52" t="s">
        <v>1246</v>
      </c>
      <c r="Q1281" s="52" t="s">
        <v>1101</v>
      </c>
      <c r="R1281" s="52" t="s">
        <v>376</v>
      </c>
      <c r="S1281" s="52" t="s">
        <v>1395</v>
      </c>
      <c r="T1281" s="52"/>
      <c r="U1281" s="52"/>
      <c r="V1281" s="52"/>
      <c r="W1281" s="52"/>
      <c r="X1281" s="52"/>
      <c r="Y1281" s="52"/>
      <c r="Z1281" s="57"/>
      <c r="AA1281" s="52"/>
      <c r="AB1281" s="52"/>
      <c r="AC1281" s="52"/>
      <c r="AD1281" s="52" t="s">
        <v>1037</v>
      </c>
      <c r="AE1281" s="50">
        <f>IF(L1281="W",1,0)</f>
        <v>0</v>
      </c>
      <c r="AF1281" s="50">
        <f>IF(L1281="T",1,0)</f>
        <v>1</v>
      </c>
      <c r="AG1281" s="50">
        <f>IF(L1281="L",1,0)</f>
        <v>0</v>
      </c>
      <c r="AH1281" s="52" t="s">
        <v>1017</v>
      </c>
      <c r="AI1281" s="52" t="s">
        <v>1018</v>
      </c>
      <c r="AJ1281" s="52" t="s">
        <v>376</v>
      </c>
      <c r="AK1281" s="50" t="s">
        <v>658</v>
      </c>
      <c r="AL1281" s="52" t="s">
        <v>1101</v>
      </c>
      <c r="AM1281" s="52" t="s">
        <v>1159</v>
      </c>
      <c r="AN1281" s="52" t="s">
        <v>376</v>
      </c>
      <c r="AO1281" s="50" t="s">
        <v>658</v>
      </c>
      <c r="AP1281" s="52"/>
      <c r="AQ1281" s="52">
        <v>2</v>
      </c>
      <c r="AR1281" s="52"/>
      <c r="AS1281" s="52"/>
      <c r="AT1281" s="46"/>
      <c r="AU1281" s="52" t="s">
        <v>376</v>
      </c>
      <c r="AV1281" s="52"/>
      <c r="AW1281" s="52" t="s">
        <v>30</v>
      </c>
      <c r="AX1281" s="52"/>
      <c r="AY1281" s="52" t="s">
        <v>30</v>
      </c>
      <c r="AZ1281" s="52"/>
      <c r="BA1281" s="52"/>
      <c r="BB1281" s="60"/>
      <c r="BC1281" s="52"/>
      <c r="BD1281" s="60"/>
      <c r="BE1281" s="60"/>
      <c r="BF1281" s="35">
        <v>1</v>
      </c>
      <c r="BG1281" s="52">
        <v>1</v>
      </c>
      <c r="BH1281" s="52"/>
      <c r="BI1281" s="52" t="s">
        <v>587</v>
      </c>
      <c r="BJ1281" s="52" t="s">
        <v>821</v>
      </c>
      <c r="BK1281" s="52">
        <v>1999</v>
      </c>
      <c r="BL1281" s="46" t="str">
        <f>BK1281&amp;BI1281</f>
        <v>1999Arsenal</v>
      </c>
      <c r="BM1281" s="52" t="str">
        <f>IF(AD1281="Home",BI1281,IF(AD1281="Away",BJ1281,Q1281))</f>
        <v>Manchester United</v>
      </c>
      <c r="BN1281" s="52"/>
      <c r="BO1281" s="52"/>
      <c r="BP1281" s="52"/>
      <c r="BQ1281" s="52"/>
      <c r="BR1281" s="52"/>
      <c r="BS1281" s="52"/>
      <c r="BT1281" s="52"/>
      <c r="BU1281" s="52"/>
      <c r="BV1281" s="52" t="s">
        <v>376</v>
      </c>
      <c r="BW1281" s="52" t="s">
        <v>376</v>
      </c>
      <c r="BX1281" s="52"/>
      <c r="BY1281" s="52"/>
      <c r="BZ1281" s="53"/>
      <c r="CA1281" s="53"/>
      <c r="CB1281" s="93" t="str">
        <f>IF(OR(C1281="",A1281="",B1281=""),"",TEXT(C1281,"0000")&amp;TEXT(A1281,"00")&amp;TEXT(B1281,"00"))</f>
        <v>19990411</v>
      </c>
    </row>
    <row r="1282" spans="1:80" s="50" customFormat="1" ht="12.95" customHeight="1" x14ac:dyDescent="0.2">
      <c r="A1282" s="46">
        <v>4</v>
      </c>
      <c r="B1282" s="46">
        <v>11</v>
      </c>
      <c r="C1282" s="46">
        <v>1999</v>
      </c>
      <c r="D1282" s="52" t="s">
        <v>658</v>
      </c>
      <c r="E1282" s="52" t="s">
        <v>338</v>
      </c>
      <c r="F1282" s="52" t="s">
        <v>1010</v>
      </c>
      <c r="G1282" s="52"/>
      <c r="H1282" s="52" t="s">
        <v>1011</v>
      </c>
      <c r="I1282" s="52"/>
      <c r="J1282" s="56">
        <v>36261</v>
      </c>
      <c r="K1282" s="52" t="s">
        <v>805</v>
      </c>
      <c r="L1282" s="52" t="s">
        <v>3</v>
      </c>
      <c r="M1282" s="52" t="s">
        <v>813</v>
      </c>
      <c r="N1282" s="57">
        <v>2</v>
      </c>
      <c r="O1282" s="57">
        <v>0</v>
      </c>
      <c r="P1282" s="52" t="s">
        <v>1246</v>
      </c>
      <c r="Q1282" s="52" t="s">
        <v>1101</v>
      </c>
      <c r="R1282" s="52" t="s">
        <v>376</v>
      </c>
      <c r="S1282" s="52" t="s">
        <v>1396</v>
      </c>
      <c r="T1282" s="52"/>
      <c r="U1282" s="52"/>
      <c r="V1282" s="52"/>
      <c r="W1282" s="52"/>
      <c r="X1282" s="52"/>
      <c r="Y1282" s="52"/>
      <c r="Z1282" s="57"/>
      <c r="AA1282" s="52"/>
      <c r="AB1282" s="52"/>
      <c r="AC1282" s="52"/>
      <c r="AD1282" s="52"/>
      <c r="AE1282" s="50">
        <f>IF(L1282="W",1,0)</f>
        <v>1</v>
      </c>
      <c r="AF1282" s="50">
        <f>IF(L1282="T",1,0)</f>
        <v>0</v>
      </c>
      <c r="AG1282" s="50">
        <f>IF(L1282="L",1,0)</f>
        <v>0</v>
      </c>
      <c r="AH1282" s="52" t="s">
        <v>1227</v>
      </c>
      <c r="AI1282" s="52" t="s">
        <v>1164</v>
      </c>
      <c r="AJ1282" s="52" t="s">
        <v>376</v>
      </c>
      <c r="AK1282" s="50" t="s">
        <v>658</v>
      </c>
      <c r="AL1282" s="52" t="s">
        <v>1017</v>
      </c>
      <c r="AM1282" s="52" t="s">
        <v>1018</v>
      </c>
      <c r="AN1282" s="52" t="s">
        <v>376</v>
      </c>
      <c r="AO1282" s="50" t="s">
        <v>658</v>
      </c>
      <c r="AP1282" s="52"/>
      <c r="AQ1282" s="52">
        <v>2</v>
      </c>
      <c r="AR1282" s="52"/>
      <c r="AS1282" s="52"/>
      <c r="AT1282" s="46"/>
      <c r="AU1282" s="52" t="s">
        <v>376</v>
      </c>
      <c r="AV1282" s="52"/>
      <c r="AW1282" s="52" t="s">
        <v>30</v>
      </c>
      <c r="AX1282" s="52"/>
      <c r="AY1282" s="52" t="s">
        <v>30</v>
      </c>
      <c r="AZ1282" s="52"/>
      <c r="BA1282" s="52"/>
      <c r="BB1282" s="60"/>
      <c r="BC1282" s="52"/>
      <c r="BD1282" s="60"/>
      <c r="BE1282" s="60"/>
      <c r="BF1282" s="35">
        <v>1</v>
      </c>
      <c r="BG1282" s="52">
        <v>1</v>
      </c>
      <c r="BH1282" s="52"/>
      <c r="BI1282" s="52" t="s">
        <v>805</v>
      </c>
      <c r="BJ1282" s="52" t="s">
        <v>813</v>
      </c>
      <c r="BK1282" s="52">
        <v>1999</v>
      </c>
      <c r="BL1282" s="46" t="str">
        <f>BK1282&amp;BI1282</f>
        <v>1999Newcastle United</v>
      </c>
      <c r="BM1282" s="52" t="str">
        <f>IF(AD1282="Home",BI1282,IF(AD1282="Away",BJ1282,Q1282))</f>
        <v>Manchester</v>
      </c>
      <c r="BN1282" s="52"/>
      <c r="BO1282" s="52"/>
      <c r="BP1282" s="52"/>
      <c r="BQ1282" s="52"/>
      <c r="BR1282" s="52"/>
      <c r="BS1282" s="52"/>
      <c r="BT1282" s="52"/>
      <c r="BU1282" s="52"/>
      <c r="BV1282" s="52" t="s">
        <v>376</v>
      </c>
      <c r="BW1282" s="52" t="s">
        <v>376</v>
      </c>
      <c r="BX1282" s="52"/>
      <c r="BY1282" s="52"/>
      <c r="BZ1282" s="53"/>
      <c r="CA1282" s="53"/>
      <c r="CB1282" s="93" t="str">
        <f>IF(OR(C1282="",A1282="",B1282=""),"",TEXT(C1282,"0000")&amp;TEXT(A1282,"00")&amp;TEXT(B1282,"00"))</f>
        <v>19990411</v>
      </c>
    </row>
    <row r="1283" spans="1:80" s="50" customFormat="1" ht="12.95" customHeight="1" x14ac:dyDescent="0.2">
      <c r="A1283" s="46">
        <v>4</v>
      </c>
      <c r="B1283" s="46">
        <v>11</v>
      </c>
      <c r="C1283" s="46">
        <v>1999</v>
      </c>
      <c r="D1283" s="52" t="s">
        <v>658</v>
      </c>
      <c r="E1283" s="52" t="s">
        <v>338</v>
      </c>
      <c r="F1283" s="52" t="s">
        <v>1010</v>
      </c>
      <c r="G1283" s="52"/>
      <c r="H1283" s="52" t="s">
        <v>1011</v>
      </c>
      <c r="I1283" s="52"/>
      <c r="J1283" s="56">
        <v>36261</v>
      </c>
      <c r="K1283" s="52" t="s">
        <v>813</v>
      </c>
      <c r="L1283" s="52" t="s">
        <v>4</v>
      </c>
      <c r="M1283" s="52" t="s">
        <v>805</v>
      </c>
      <c r="N1283" s="57">
        <v>0</v>
      </c>
      <c r="O1283" s="57">
        <v>2</v>
      </c>
      <c r="P1283" s="52" t="s">
        <v>1246</v>
      </c>
      <c r="Q1283" s="52" t="s">
        <v>1101</v>
      </c>
      <c r="R1283" s="52" t="s">
        <v>376</v>
      </c>
      <c r="S1283" s="52" t="s">
        <v>1396</v>
      </c>
      <c r="T1283" s="52"/>
      <c r="U1283" s="52"/>
      <c r="V1283" s="52"/>
      <c r="W1283" s="52"/>
      <c r="X1283" s="52"/>
      <c r="Y1283" s="52"/>
      <c r="Z1283" s="57"/>
      <c r="AA1283" s="52"/>
      <c r="AB1283" s="52"/>
      <c r="AC1283" s="52"/>
      <c r="AD1283" s="52"/>
      <c r="AE1283" s="50">
        <f>IF(L1283="W",1,0)</f>
        <v>0</v>
      </c>
      <c r="AF1283" s="50">
        <f>IF(L1283="T",1,0)</f>
        <v>0</v>
      </c>
      <c r="AG1283" s="50">
        <f>IF(L1283="L",1,0)</f>
        <v>1</v>
      </c>
      <c r="AH1283" s="52" t="s">
        <v>1017</v>
      </c>
      <c r="AI1283" s="52" t="s">
        <v>1018</v>
      </c>
      <c r="AJ1283" s="52" t="s">
        <v>376</v>
      </c>
      <c r="AK1283" s="50" t="s">
        <v>658</v>
      </c>
      <c r="AL1283" s="52" t="s">
        <v>1227</v>
      </c>
      <c r="AM1283" s="52" t="s">
        <v>1164</v>
      </c>
      <c r="AN1283" s="52" t="s">
        <v>376</v>
      </c>
      <c r="AO1283" s="50" t="s">
        <v>658</v>
      </c>
      <c r="AP1283" s="52"/>
      <c r="AQ1283" s="52">
        <v>2</v>
      </c>
      <c r="AR1283" s="52"/>
      <c r="AS1283" s="52">
        <v>1</v>
      </c>
      <c r="AT1283" s="46"/>
      <c r="AU1283" s="52" t="s">
        <v>376</v>
      </c>
      <c r="AV1283" s="52"/>
      <c r="AW1283" s="52" t="s">
        <v>30</v>
      </c>
      <c r="AX1283" s="52"/>
      <c r="AY1283" s="52" t="s">
        <v>30</v>
      </c>
      <c r="AZ1283" s="52"/>
      <c r="BA1283" s="52"/>
      <c r="BB1283" s="60"/>
      <c r="BC1283" s="52"/>
      <c r="BD1283" s="60"/>
      <c r="BE1283" s="60"/>
      <c r="BF1283" s="35">
        <v>1</v>
      </c>
      <c r="BG1283" s="52">
        <v>1</v>
      </c>
      <c r="BH1283" s="52"/>
      <c r="BI1283" s="52" t="s">
        <v>813</v>
      </c>
      <c r="BJ1283" s="52" t="s">
        <v>805</v>
      </c>
      <c r="BK1283" s="52">
        <v>1999</v>
      </c>
      <c r="BL1283" s="46" t="str">
        <f>BK1283&amp;BI1283</f>
        <v>1999Tottenham Hotspur</v>
      </c>
      <c r="BM1283" s="52" t="str">
        <f>IF(AD1283="Home",BI1283,IF(AD1283="Away",BJ1283,Q1283))</f>
        <v>Manchester</v>
      </c>
      <c r="BN1283" s="52"/>
      <c r="BO1283" s="52"/>
      <c r="BP1283" s="52"/>
      <c r="BQ1283" s="52"/>
      <c r="BR1283" s="52"/>
      <c r="BS1283" s="52"/>
      <c r="BT1283" s="52"/>
      <c r="BU1283" s="52"/>
      <c r="BV1283" s="52" t="s">
        <v>376</v>
      </c>
      <c r="BW1283" s="52" t="s">
        <v>376</v>
      </c>
      <c r="BX1283" s="52"/>
      <c r="BY1283" s="52"/>
      <c r="BZ1283" s="53"/>
      <c r="CA1283" s="53"/>
      <c r="CB1283" s="93" t="str">
        <f>IF(OR(C1283="",A1283="",B1283=""),"",TEXT(C1283,"0000")&amp;TEXT(A1283,"00")&amp;TEXT(B1283,"00"))</f>
        <v>19990411</v>
      </c>
    </row>
    <row r="1284" spans="1:80" s="50" customFormat="1" ht="12.95" customHeight="1" x14ac:dyDescent="0.2">
      <c r="A1284" s="46">
        <v>4</v>
      </c>
      <c r="B1284" s="46">
        <v>14</v>
      </c>
      <c r="C1284" s="46">
        <v>1999</v>
      </c>
      <c r="D1284" s="52" t="s">
        <v>658</v>
      </c>
      <c r="E1284" s="52" t="s">
        <v>338</v>
      </c>
      <c r="F1284" s="52" t="s">
        <v>1010</v>
      </c>
      <c r="G1284" s="52"/>
      <c r="H1284" s="52" t="s">
        <v>1011</v>
      </c>
      <c r="I1284" s="52" t="s">
        <v>1023</v>
      </c>
      <c r="J1284" s="56">
        <v>36264</v>
      </c>
      <c r="K1284" s="52" t="s">
        <v>821</v>
      </c>
      <c r="L1284" s="52" t="s">
        <v>3</v>
      </c>
      <c r="M1284" s="52" t="s">
        <v>587</v>
      </c>
      <c r="N1284" s="57">
        <v>2</v>
      </c>
      <c r="O1284" s="57">
        <v>1</v>
      </c>
      <c r="P1284" s="52" t="s">
        <v>1219</v>
      </c>
      <c r="Q1284" s="52" t="s">
        <v>1111</v>
      </c>
      <c r="R1284" s="52" t="s">
        <v>376</v>
      </c>
      <c r="S1284" s="52" t="s">
        <v>1396</v>
      </c>
      <c r="T1284" s="52"/>
      <c r="U1284" s="52"/>
      <c r="V1284" s="52"/>
      <c r="W1284" s="52"/>
      <c r="X1284" s="52"/>
      <c r="Y1284" s="52"/>
      <c r="Z1284" s="57"/>
      <c r="AA1284" s="52"/>
      <c r="AB1284" s="52"/>
      <c r="AC1284" s="52"/>
      <c r="AD1284" s="52"/>
      <c r="AE1284" s="50">
        <f>IF(L1284="W",1,0)</f>
        <v>1</v>
      </c>
      <c r="AF1284" s="50">
        <f>IF(L1284="T",1,0)</f>
        <v>0</v>
      </c>
      <c r="AG1284" s="50">
        <f>IF(L1284="L",1,0)</f>
        <v>0</v>
      </c>
      <c r="AH1284" s="52" t="s">
        <v>1101</v>
      </c>
      <c r="AI1284" s="52" t="s">
        <v>1159</v>
      </c>
      <c r="AJ1284" s="52" t="s">
        <v>376</v>
      </c>
      <c r="AK1284" s="50" t="s">
        <v>658</v>
      </c>
      <c r="AL1284" s="52" t="s">
        <v>1017</v>
      </c>
      <c r="AM1284" s="52" t="s">
        <v>1018</v>
      </c>
      <c r="AN1284" s="52" t="s">
        <v>376</v>
      </c>
      <c r="AO1284" s="50" t="s">
        <v>658</v>
      </c>
      <c r="AP1284" s="52"/>
      <c r="AQ1284" s="52">
        <v>2</v>
      </c>
      <c r="AR1284" s="52"/>
      <c r="AS1284" s="52"/>
      <c r="AT1284" s="46"/>
      <c r="AU1284" s="52" t="s">
        <v>376</v>
      </c>
      <c r="AV1284" s="52"/>
      <c r="AW1284" s="52" t="s">
        <v>30</v>
      </c>
      <c r="AX1284" s="52"/>
      <c r="AY1284" s="52" t="s">
        <v>30</v>
      </c>
      <c r="AZ1284" s="52"/>
      <c r="BA1284" s="52"/>
      <c r="BB1284" s="60"/>
      <c r="BC1284" s="52"/>
      <c r="BD1284" s="60"/>
      <c r="BE1284" s="60"/>
      <c r="BF1284" s="35">
        <v>1</v>
      </c>
      <c r="BG1284" s="52">
        <v>1</v>
      </c>
      <c r="BH1284" s="52"/>
      <c r="BI1284" s="52" t="s">
        <v>821</v>
      </c>
      <c r="BJ1284" s="52" t="s">
        <v>587</v>
      </c>
      <c r="BK1284" s="52">
        <v>1999</v>
      </c>
      <c r="BL1284" s="46" t="str">
        <f>BK1284&amp;BI1284</f>
        <v>1999Manchester United</v>
      </c>
      <c r="BM1284" s="52" t="str">
        <f>IF(AD1284="Home",BI1284,IF(AD1284="Away",BJ1284,Q1284))</f>
        <v>Birmingham</v>
      </c>
      <c r="BN1284" s="52"/>
      <c r="BO1284" s="52"/>
      <c r="BP1284" s="52"/>
      <c r="BQ1284" s="52"/>
      <c r="BR1284" s="52"/>
      <c r="BS1284" s="52"/>
      <c r="BT1284" s="52"/>
      <c r="BU1284" s="52"/>
      <c r="BV1284" s="52" t="s">
        <v>376</v>
      </c>
      <c r="BW1284" s="52" t="s">
        <v>376</v>
      </c>
      <c r="BX1284" s="52"/>
      <c r="BY1284" s="52"/>
      <c r="BZ1284" s="53"/>
      <c r="CA1284" s="53"/>
      <c r="CB1284" s="93" t="str">
        <f>IF(OR(C1284="",A1284="",B1284=""),"",TEXT(C1284,"0000")&amp;TEXT(A1284,"00")&amp;TEXT(B1284,"00"))</f>
        <v>19990414</v>
      </c>
    </row>
    <row r="1285" spans="1:80" s="50" customFormat="1" ht="12.95" customHeight="1" x14ac:dyDescent="0.2">
      <c r="A1285" s="46">
        <v>4</v>
      </c>
      <c r="B1285" s="46">
        <v>14</v>
      </c>
      <c r="C1285" s="46">
        <v>1999</v>
      </c>
      <c r="D1285" s="52" t="s">
        <v>658</v>
      </c>
      <c r="E1285" s="52" t="s">
        <v>338</v>
      </c>
      <c r="F1285" s="52" t="s">
        <v>1010</v>
      </c>
      <c r="G1285" s="52"/>
      <c r="H1285" s="52" t="s">
        <v>1011</v>
      </c>
      <c r="I1285" s="52" t="s">
        <v>1023</v>
      </c>
      <c r="J1285" s="56">
        <v>36264</v>
      </c>
      <c r="K1285" s="52" t="s">
        <v>587</v>
      </c>
      <c r="L1285" s="52" t="s">
        <v>4</v>
      </c>
      <c r="M1285" s="52" t="s">
        <v>821</v>
      </c>
      <c r="N1285" s="57">
        <v>1</v>
      </c>
      <c r="O1285" s="57">
        <v>2</v>
      </c>
      <c r="P1285" s="52" t="s">
        <v>1219</v>
      </c>
      <c r="Q1285" s="52" t="s">
        <v>1111</v>
      </c>
      <c r="R1285" s="52" t="s">
        <v>376</v>
      </c>
      <c r="S1285" s="52" t="s">
        <v>1396</v>
      </c>
      <c r="T1285" s="52"/>
      <c r="U1285" s="52"/>
      <c r="V1285" s="52"/>
      <c r="W1285" s="52"/>
      <c r="X1285" s="52"/>
      <c r="Y1285" s="52"/>
      <c r="Z1285" s="57"/>
      <c r="AA1285" s="52"/>
      <c r="AB1285" s="52"/>
      <c r="AC1285" s="52"/>
      <c r="AD1285" s="52"/>
      <c r="AE1285" s="50">
        <f>IF(L1285="W",1,0)</f>
        <v>0</v>
      </c>
      <c r="AF1285" s="50">
        <f>IF(L1285="T",1,0)</f>
        <v>0</v>
      </c>
      <c r="AG1285" s="50">
        <f>IF(L1285="L",1,0)</f>
        <v>1</v>
      </c>
      <c r="AH1285" s="52" t="s">
        <v>1017</v>
      </c>
      <c r="AI1285" s="52" t="s">
        <v>1018</v>
      </c>
      <c r="AJ1285" s="52" t="s">
        <v>376</v>
      </c>
      <c r="AK1285" s="50" t="s">
        <v>658</v>
      </c>
      <c r="AL1285" s="52" t="s">
        <v>1101</v>
      </c>
      <c r="AM1285" s="52" t="s">
        <v>1159</v>
      </c>
      <c r="AN1285" s="52" t="s">
        <v>376</v>
      </c>
      <c r="AO1285" s="50" t="s">
        <v>658</v>
      </c>
      <c r="AP1285" s="52"/>
      <c r="AQ1285" s="52">
        <v>2</v>
      </c>
      <c r="AR1285" s="52"/>
      <c r="AS1285" s="52">
        <v>1</v>
      </c>
      <c r="AT1285" s="46"/>
      <c r="AU1285" s="52" t="s">
        <v>376</v>
      </c>
      <c r="AV1285" s="52"/>
      <c r="AW1285" s="52" t="s">
        <v>30</v>
      </c>
      <c r="AX1285" s="52"/>
      <c r="AY1285" s="52" t="s">
        <v>30</v>
      </c>
      <c r="AZ1285" s="52"/>
      <c r="BA1285" s="52"/>
      <c r="BB1285" s="60"/>
      <c r="BC1285" s="52"/>
      <c r="BD1285" s="60"/>
      <c r="BE1285" s="60"/>
      <c r="BF1285" s="35">
        <v>1</v>
      </c>
      <c r="BG1285" s="52">
        <v>1</v>
      </c>
      <c r="BH1285" s="52"/>
      <c r="BI1285" s="52" t="s">
        <v>587</v>
      </c>
      <c r="BJ1285" s="52" t="s">
        <v>821</v>
      </c>
      <c r="BK1285" s="52">
        <v>1999</v>
      </c>
      <c r="BL1285" s="46" t="str">
        <f>BK1285&amp;BI1285</f>
        <v>1999Arsenal</v>
      </c>
      <c r="BM1285" s="52" t="str">
        <f>IF(AD1285="Home",BI1285,IF(AD1285="Away",BJ1285,Q1285))</f>
        <v>Birmingham</v>
      </c>
      <c r="BN1285" s="52"/>
      <c r="BO1285" s="52"/>
      <c r="BP1285" s="52"/>
      <c r="BQ1285" s="52"/>
      <c r="BR1285" s="52"/>
      <c r="BS1285" s="52"/>
      <c r="BT1285" s="52"/>
      <c r="BU1285" s="52"/>
      <c r="BV1285" s="52" t="s">
        <v>376</v>
      </c>
      <c r="BW1285" s="52" t="s">
        <v>376</v>
      </c>
      <c r="BX1285" s="52"/>
      <c r="BY1285" s="52"/>
      <c r="BZ1285" s="53"/>
      <c r="CA1285" s="53"/>
      <c r="CB1285" s="93" t="str">
        <f>IF(OR(C1285="",A1285="",B1285=""),"",TEXT(C1285,"0000")&amp;TEXT(A1285,"00")&amp;TEXT(B1285,"00"))</f>
        <v>19990414</v>
      </c>
    </row>
    <row r="1286" spans="1:80" s="50" customFormat="1" ht="12.95" customHeight="1" x14ac:dyDescent="0.2">
      <c r="A1286" s="46">
        <v>5</v>
      </c>
      <c r="B1286" s="46">
        <v>22</v>
      </c>
      <c r="C1286" s="46">
        <v>1999</v>
      </c>
      <c r="D1286" s="52" t="s">
        <v>658</v>
      </c>
      <c r="E1286" s="52" t="s">
        <v>338</v>
      </c>
      <c r="F1286" s="52" t="s">
        <v>1010</v>
      </c>
      <c r="G1286" s="52"/>
      <c r="H1286" s="52" t="s">
        <v>40</v>
      </c>
      <c r="I1286" s="52"/>
      <c r="J1286" s="56">
        <v>36302</v>
      </c>
      <c r="K1286" s="52" t="s">
        <v>821</v>
      </c>
      <c r="L1286" s="52" t="s">
        <v>3</v>
      </c>
      <c r="M1286" s="52" t="s">
        <v>805</v>
      </c>
      <c r="N1286" s="57">
        <v>2</v>
      </c>
      <c r="O1286" s="57">
        <v>0</v>
      </c>
      <c r="P1286" s="52" t="s">
        <v>1268</v>
      </c>
      <c r="Q1286" s="52" t="s">
        <v>1017</v>
      </c>
      <c r="R1286" s="52" t="s">
        <v>376</v>
      </c>
      <c r="S1286" s="52"/>
      <c r="T1286" s="52"/>
      <c r="U1286" s="52"/>
      <c r="V1286" s="52"/>
      <c r="W1286" s="52"/>
      <c r="X1286" s="52"/>
      <c r="Y1286" s="52"/>
      <c r="Z1286" s="57"/>
      <c r="AA1286" s="52"/>
      <c r="AB1286" s="52"/>
      <c r="AC1286" s="52"/>
      <c r="AD1286" s="52"/>
      <c r="AE1286" s="50">
        <f>IF(L1286="W",1,0)</f>
        <v>1</v>
      </c>
      <c r="AF1286" s="50">
        <f>IF(L1286="T",1,0)</f>
        <v>0</v>
      </c>
      <c r="AG1286" s="50">
        <f>IF(L1286="L",1,0)</f>
        <v>0</v>
      </c>
      <c r="AH1286" s="52" t="s">
        <v>1101</v>
      </c>
      <c r="AI1286" s="52" t="s">
        <v>1159</v>
      </c>
      <c r="AJ1286" s="52" t="s">
        <v>376</v>
      </c>
      <c r="AK1286" s="50" t="s">
        <v>658</v>
      </c>
      <c r="AL1286" s="52" t="s">
        <v>1227</v>
      </c>
      <c r="AM1286" s="52" t="s">
        <v>1164</v>
      </c>
      <c r="AN1286" s="52" t="s">
        <v>376</v>
      </c>
      <c r="AO1286" s="50" t="s">
        <v>658</v>
      </c>
      <c r="AP1286" s="52"/>
      <c r="AQ1286" s="52">
        <v>1</v>
      </c>
      <c r="AR1286" s="52"/>
      <c r="AS1286" s="52" t="s">
        <v>1393</v>
      </c>
      <c r="AT1286" s="46"/>
      <c r="AU1286" s="52" t="s">
        <v>376</v>
      </c>
      <c r="AV1286" s="52"/>
      <c r="AW1286" s="52" t="s">
        <v>30</v>
      </c>
      <c r="AX1286" s="52"/>
      <c r="AY1286" s="57" t="s">
        <v>30</v>
      </c>
      <c r="AZ1286" s="52"/>
      <c r="BA1286" s="52"/>
      <c r="BB1286" s="60" t="s">
        <v>30</v>
      </c>
      <c r="BC1286" s="52" t="s">
        <v>30</v>
      </c>
      <c r="BD1286" s="60"/>
      <c r="BE1286" s="60"/>
      <c r="BF1286" s="35">
        <v>1</v>
      </c>
      <c r="BG1286" s="52">
        <v>1</v>
      </c>
      <c r="BH1286" s="52"/>
      <c r="BI1286" s="52" t="s">
        <v>821</v>
      </c>
      <c r="BJ1286" s="52" t="s">
        <v>805</v>
      </c>
      <c r="BK1286" s="52">
        <v>1999</v>
      </c>
      <c r="BL1286" s="46" t="str">
        <f>BK1286&amp;BI1286</f>
        <v>1999Manchester United</v>
      </c>
      <c r="BM1286" s="52" t="str">
        <f>IF(AD1286="Home",BI1286,IF(AD1286="Away",BJ1286,Q1286))</f>
        <v>London</v>
      </c>
      <c r="BN1286" s="52"/>
      <c r="BO1286" s="52"/>
      <c r="BP1286" s="52"/>
      <c r="BQ1286" s="52"/>
      <c r="BR1286" s="52"/>
      <c r="BS1286" s="52"/>
      <c r="BT1286" s="52"/>
      <c r="BU1286" s="52"/>
      <c r="BV1286" s="52" t="s">
        <v>376</v>
      </c>
      <c r="BW1286" s="52" t="s">
        <v>376</v>
      </c>
      <c r="BX1286" s="52"/>
      <c r="BY1286" s="52"/>
      <c r="BZ1286" s="53"/>
      <c r="CA1286" s="53"/>
      <c r="CB1286" s="93" t="str">
        <f>IF(OR(C1286="",A1286="",B1286=""),"",TEXT(C1286,"0000")&amp;TEXT(A1286,"00")&amp;TEXT(B1286,"00"))</f>
        <v>19990522</v>
      </c>
    </row>
    <row r="1287" spans="1:80" s="50" customFormat="1" ht="12.95" customHeight="1" x14ac:dyDescent="0.2">
      <c r="A1287" s="46">
        <v>5</v>
      </c>
      <c r="B1287" s="46">
        <v>22</v>
      </c>
      <c r="C1287" s="46">
        <v>1999</v>
      </c>
      <c r="D1287" s="52" t="s">
        <v>658</v>
      </c>
      <c r="E1287" s="52" t="s">
        <v>338</v>
      </c>
      <c r="F1287" s="52" t="s">
        <v>1010</v>
      </c>
      <c r="G1287" s="52"/>
      <c r="H1287" s="52" t="s">
        <v>40</v>
      </c>
      <c r="I1287" s="52"/>
      <c r="J1287" s="56">
        <v>36302</v>
      </c>
      <c r="K1287" s="52" t="s">
        <v>805</v>
      </c>
      <c r="L1287" s="52" t="s">
        <v>4</v>
      </c>
      <c r="M1287" s="52" t="s">
        <v>821</v>
      </c>
      <c r="N1287" s="57">
        <v>0</v>
      </c>
      <c r="O1287" s="57">
        <v>2</v>
      </c>
      <c r="P1287" s="52" t="s">
        <v>1268</v>
      </c>
      <c r="Q1287" s="52" t="s">
        <v>1017</v>
      </c>
      <c r="R1287" s="52" t="s">
        <v>376</v>
      </c>
      <c r="S1287" s="52"/>
      <c r="T1287" s="52"/>
      <c r="U1287" s="52"/>
      <c r="V1287" s="52"/>
      <c r="W1287" s="52"/>
      <c r="X1287" s="52"/>
      <c r="Y1287" s="52"/>
      <c r="Z1287" s="57"/>
      <c r="AA1287" s="52"/>
      <c r="AB1287" s="52"/>
      <c r="AC1287" s="52"/>
      <c r="AD1287" s="52"/>
      <c r="AE1287" s="50">
        <f>IF(L1287="W",1,0)</f>
        <v>0</v>
      </c>
      <c r="AF1287" s="50">
        <f>IF(L1287="T",1,0)</f>
        <v>0</v>
      </c>
      <c r="AG1287" s="50">
        <f>IF(L1287="L",1,0)</f>
        <v>1</v>
      </c>
      <c r="AH1287" s="52" t="s">
        <v>1227</v>
      </c>
      <c r="AI1287" s="52" t="s">
        <v>1164</v>
      </c>
      <c r="AJ1287" s="52" t="s">
        <v>376</v>
      </c>
      <c r="AK1287" s="50" t="s">
        <v>658</v>
      </c>
      <c r="AL1287" s="52" t="s">
        <v>1101</v>
      </c>
      <c r="AM1287" s="52" t="s">
        <v>1159</v>
      </c>
      <c r="AN1287" s="52" t="s">
        <v>376</v>
      </c>
      <c r="AO1287" s="50" t="s">
        <v>658</v>
      </c>
      <c r="AP1287" s="52"/>
      <c r="AQ1287" s="52">
        <v>1</v>
      </c>
      <c r="AR1287" s="52"/>
      <c r="AS1287" s="52">
        <v>1</v>
      </c>
      <c r="AT1287" s="46"/>
      <c r="AU1287" s="52" t="s">
        <v>376</v>
      </c>
      <c r="AV1287" s="52"/>
      <c r="AW1287" s="52" t="s">
        <v>30</v>
      </c>
      <c r="AX1287" s="52"/>
      <c r="AY1287" s="52" t="s">
        <v>30</v>
      </c>
      <c r="AZ1287" s="52"/>
      <c r="BA1287" s="52"/>
      <c r="BB1287" s="60"/>
      <c r="BC1287" s="52" t="s">
        <v>30</v>
      </c>
      <c r="BD1287" s="60"/>
      <c r="BE1287" s="60" t="s">
        <v>1400</v>
      </c>
      <c r="BF1287" s="35">
        <v>1</v>
      </c>
      <c r="BG1287" s="52">
        <v>1</v>
      </c>
      <c r="BH1287" s="52"/>
      <c r="BI1287" s="52" t="s">
        <v>805</v>
      </c>
      <c r="BJ1287" s="52" t="s">
        <v>821</v>
      </c>
      <c r="BK1287" s="52">
        <v>1999</v>
      </c>
      <c r="BL1287" s="46" t="str">
        <f>BK1287&amp;BI1287</f>
        <v>1999Newcastle United</v>
      </c>
      <c r="BM1287" s="52" t="str">
        <f>IF(AD1287="Home",BI1287,IF(AD1287="Away",BJ1287,Q1287))</f>
        <v>London</v>
      </c>
      <c r="BN1287" s="52"/>
      <c r="BO1287" s="52"/>
      <c r="BP1287" s="52"/>
      <c r="BQ1287" s="52"/>
      <c r="BR1287" s="52"/>
      <c r="BS1287" s="52"/>
      <c r="BT1287" s="52"/>
      <c r="BU1287" s="52"/>
      <c r="BV1287" s="52" t="s">
        <v>376</v>
      </c>
      <c r="BW1287" s="52" t="s">
        <v>376</v>
      </c>
      <c r="BX1287" s="52"/>
      <c r="BY1287" s="52"/>
      <c r="BZ1287" s="53"/>
      <c r="CA1287" s="53"/>
      <c r="CB1287" s="93" t="str">
        <f>IF(OR(C1287="",A1287="",B1287=""),"",TEXT(C1287,"0000")&amp;TEXT(A1287,"00")&amp;TEXT(B1287,"00"))</f>
        <v>19990522</v>
      </c>
    </row>
    <row r="1288" spans="1:80" s="50" customFormat="1" ht="12.95" customHeight="1" x14ac:dyDescent="0.2">
      <c r="A1288" s="46">
        <v>1</v>
      </c>
      <c r="B1288" s="46">
        <v>12</v>
      </c>
      <c r="C1288" s="46">
        <v>2000</v>
      </c>
      <c r="D1288" s="46" t="s">
        <v>658</v>
      </c>
      <c r="E1288" s="46" t="s">
        <v>327</v>
      </c>
      <c r="F1288" s="54" t="s">
        <v>1327</v>
      </c>
      <c r="G1288" s="46"/>
      <c r="H1288" s="54" t="s">
        <v>1011</v>
      </c>
      <c r="I1288" s="54">
        <v>1</v>
      </c>
      <c r="J1288" s="55">
        <v>36537</v>
      </c>
      <c r="K1288" s="46" t="s">
        <v>1157</v>
      </c>
      <c r="L1288" s="46" t="s">
        <v>4</v>
      </c>
      <c r="M1288" s="46" t="s">
        <v>1398</v>
      </c>
      <c r="N1288" s="49">
        <v>0</v>
      </c>
      <c r="O1288" s="49">
        <v>1</v>
      </c>
      <c r="P1288" s="54" t="s">
        <v>1406</v>
      </c>
      <c r="Q1288" s="54" t="s">
        <v>1101</v>
      </c>
      <c r="R1288" s="54" t="s">
        <v>376</v>
      </c>
      <c r="S1288" s="46"/>
      <c r="T1288" s="46"/>
      <c r="U1288" s="46"/>
      <c r="V1288" s="46"/>
      <c r="W1288" s="46"/>
      <c r="X1288" s="46"/>
      <c r="Y1288" s="46"/>
      <c r="Z1288" s="46"/>
      <c r="AA1288" s="46"/>
      <c r="AB1288" s="46"/>
      <c r="AC1288" s="46"/>
      <c r="AD1288" s="46" t="s">
        <v>1033</v>
      </c>
      <c r="AE1288" s="50">
        <f>IF(L1288="W",1,0)</f>
        <v>0</v>
      </c>
      <c r="AF1288" s="50">
        <f>IF(L1288="T",1,0)</f>
        <v>0</v>
      </c>
      <c r="AG1288" s="50">
        <f>IF(L1288="L",1,0)</f>
        <v>1</v>
      </c>
      <c r="AH1288" s="46" t="s">
        <v>1101</v>
      </c>
      <c r="AI1288" s="46" t="s">
        <v>1159</v>
      </c>
      <c r="AJ1288" s="46" t="s">
        <v>376</v>
      </c>
      <c r="AK1288" s="46" t="s">
        <v>658</v>
      </c>
      <c r="AL1288" s="46" t="s">
        <v>588</v>
      </c>
      <c r="AM1288" s="46" t="s">
        <v>1175</v>
      </c>
      <c r="AN1288" s="46" t="s">
        <v>376</v>
      </c>
      <c r="AO1288" s="46" t="s">
        <v>658</v>
      </c>
      <c r="AP1288" s="46"/>
      <c r="AQ1288" s="46">
        <v>2</v>
      </c>
      <c r="AR1288" s="46"/>
      <c r="AS1288" s="46"/>
      <c r="AT1288" s="46"/>
      <c r="AU1288" s="46" t="s">
        <v>376</v>
      </c>
      <c r="AV1288" s="46"/>
      <c r="AW1288" s="46" t="s">
        <v>30</v>
      </c>
      <c r="AX1288" s="46"/>
      <c r="AY1288" s="46"/>
      <c r="AZ1288" s="46" t="s">
        <v>30</v>
      </c>
      <c r="BA1288" s="54"/>
      <c r="BB1288" s="51"/>
      <c r="BC1288" s="46"/>
      <c r="BD1288" s="46"/>
      <c r="BE1288" s="46"/>
      <c r="BF1288" s="46">
        <v>1</v>
      </c>
      <c r="BG1288" s="46">
        <v>2</v>
      </c>
      <c r="BH1288" s="46">
        <v>2</v>
      </c>
      <c r="BI1288" s="46" t="s">
        <v>1157</v>
      </c>
      <c r="BJ1288" s="46" t="s">
        <v>1398</v>
      </c>
      <c r="BK1288" s="46">
        <v>2000</v>
      </c>
      <c r="BL1288" s="46" t="str">
        <f>BK1288&amp;BI1288</f>
        <v>2000Bolton Wanderers</v>
      </c>
      <c r="BM1288" s="52" t="str">
        <f>IF(AD1288="Home",BI1288,IF(AD1288="Away",BJ1288,Q1288))</f>
        <v>Bolton Wanderers</v>
      </c>
      <c r="BN1288" s="46"/>
      <c r="BO1288" s="46"/>
      <c r="BP1288" s="46"/>
      <c r="BQ1288" s="46"/>
      <c r="BR1288" s="46"/>
      <c r="BS1288" s="46"/>
      <c r="BT1288" s="46"/>
      <c r="BU1288" s="46"/>
      <c r="BV1288" s="46" t="s">
        <v>376</v>
      </c>
      <c r="BW1288" s="46" t="s">
        <v>376</v>
      </c>
      <c r="BX1288" s="46"/>
      <c r="BY1288" s="52"/>
      <c r="BZ1288" s="53"/>
      <c r="CA1288" s="53"/>
      <c r="CB1288" s="93" t="str">
        <f>IF(OR(C1288="",A1288="",B1288=""),"",TEXT(C1288,"0000")&amp;TEXT(A1288,"00")&amp;TEXT(B1288,"00"))</f>
        <v>20000112</v>
      </c>
    </row>
    <row r="1289" spans="1:80" s="50" customFormat="1" ht="12.95" customHeight="1" x14ac:dyDescent="0.2">
      <c r="A1289" s="46">
        <v>1</v>
      </c>
      <c r="B1289" s="46">
        <v>12</v>
      </c>
      <c r="C1289" s="46">
        <v>2000</v>
      </c>
      <c r="D1289" s="46" t="s">
        <v>658</v>
      </c>
      <c r="E1289" s="46" t="s">
        <v>327</v>
      </c>
      <c r="F1289" s="54" t="s">
        <v>1327</v>
      </c>
      <c r="G1289" s="46"/>
      <c r="H1289" s="54" t="s">
        <v>1011</v>
      </c>
      <c r="I1289" s="54">
        <v>1</v>
      </c>
      <c r="J1289" s="55">
        <v>36537</v>
      </c>
      <c r="K1289" s="46" t="s">
        <v>1398</v>
      </c>
      <c r="L1289" s="46" t="s">
        <v>3</v>
      </c>
      <c r="M1289" s="46" t="s">
        <v>1157</v>
      </c>
      <c r="N1289" s="49">
        <v>1</v>
      </c>
      <c r="O1289" s="49">
        <v>0</v>
      </c>
      <c r="P1289" s="54" t="s">
        <v>1406</v>
      </c>
      <c r="Q1289" s="54" t="s">
        <v>1101</v>
      </c>
      <c r="R1289" s="54" t="s">
        <v>376</v>
      </c>
      <c r="S1289" s="46"/>
      <c r="T1289" s="46"/>
      <c r="U1289" s="46"/>
      <c r="V1289" s="46"/>
      <c r="W1289" s="46"/>
      <c r="X1289" s="46"/>
      <c r="Y1289" s="46"/>
      <c r="Z1289" s="46"/>
      <c r="AA1289" s="46"/>
      <c r="AB1289" s="46"/>
      <c r="AC1289" s="46"/>
      <c r="AD1289" s="46" t="s">
        <v>1037</v>
      </c>
      <c r="AE1289" s="50">
        <f>IF(L1289="W",1,0)</f>
        <v>1</v>
      </c>
      <c r="AF1289" s="50">
        <f>IF(L1289="T",1,0)</f>
        <v>0</v>
      </c>
      <c r="AG1289" s="50">
        <f>IF(L1289="L",1,0)</f>
        <v>0</v>
      </c>
      <c r="AH1289" s="46" t="s">
        <v>588</v>
      </c>
      <c r="AI1289" s="46" t="s">
        <v>1175</v>
      </c>
      <c r="AJ1289" s="46" t="s">
        <v>376</v>
      </c>
      <c r="AK1289" s="46" t="s">
        <v>658</v>
      </c>
      <c r="AL1289" s="46" t="s">
        <v>1101</v>
      </c>
      <c r="AM1289" s="46" t="s">
        <v>1159</v>
      </c>
      <c r="AN1289" s="46" t="s">
        <v>376</v>
      </c>
      <c r="AO1289" s="46" t="s">
        <v>658</v>
      </c>
      <c r="AP1289" s="46"/>
      <c r="AQ1289" s="46">
        <v>2</v>
      </c>
      <c r="AR1289" s="46"/>
      <c r="AS1289" s="46"/>
      <c r="AT1289" s="46"/>
      <c r="AU1289" s="46" t="s">
        <v>376</v>
      </c>
      <c r="AV1289" s="46"/>
      <c r="AW1289" s="46" t="s">
        <v>30</v>
      </c>
      <c r="AX1289" s="46"/>
      <c r="AY1289" s="46"/>
      <c r="AZ1289" s="46" t="s">
        <v>30</v>
      </c>
      <c r="BA1289" s="54"/>
      <c r="BB1289" s="51"/>
      <c r="BC1289" s="46"/>
      <c r="BD1289" s="46"/>
      <c r="BE1289" s="46"/>
      <c r="BF1289" s="46">
        <v>1</v>
      </c>
      <c r="BG1289" s="46">
        <v>2</v>
      </c>
      <c r="BH1289" s="46">
        <v>2</v>
      </c>
      <c r="BI1289" s="46" t="s">
        <v>1398</v>
      </c>
      <c r="BJ1289" s="46" t="s">
        <v>1157</v>
      </c>
      <c r="BK1289" s="46">
        <v>2000</v>
      </c>
      <c r="BL1289" s="46" t="str">
        <f>BK1289&amp;BI1289</f>
        <v>2000Tranmere Rovers</v>
      </c>
      <c r="BM1289" s="52" t="str">
        <f>IF(AD1289="Home",BI1289,IF(AD1289="Away",BJ1289,Q1289))</f>
        <v>Bolton Wanderers</v>
      </c>
      <c r="BN1289" s="46"/>
      <c r="BO1289" s="46"/>
      <c r="BP1289" s="46"/>
      <c r="BQ1289" s="46"/>
      <c r="BR1289" s="46"/>
      <c r="BS1289" s="46"/>
      <c r="BT1289" s="46"/>
      <c r="BU1289" s="46"/>
      <c r="BV1289" s="46" t="s">
        <v>376</v>
      </c>
      <c r="BW1289" s="46" t="s">
        <v>376</v>
      </c>
      <c r="BX1289" s="46"/>
      <c r="BY1289" s="52"/>
      <c r="BZ1289" s="53"/>
      <c r="CA1289" s="53"/>
      <c r="CB1289" s="93" t="str">
        <f>IF(OR(C1289="",A1289="",B1289=""),"",TEXT(C1289,"0000")&amp;TEXT(A1289,"00")&amp;TEXT(B1289,"00"))</f>
        <v>20000112</v>
      </c>
    </row>
    <row r="1290" spans="1:80" s="50" customFormat="1" ht="12.95" customHeight="1" x14ac:dyDescent="0.2">
      <c r="A1290" s="46">
        <v>1</v>
      </c>
      <c r="B1290" s="46">
        <v>25</v>
      </c>
      <c r="C1290" s="46">
        <v>2000</v>
      </c>
      <c r="D1290" s="52" t="s">
        <v>658</v>
      </c>
      <c r="E1290" s="52" t="s">
        <v>327</v>
      </c>
      <c r="F1290" s="52" t="s">
        <v>1327</v>
      </c>
      <c r="G1290" s="52"/>
      <c r="H1290" s="52" t="s">
        <v>1011</v>
      </c>
      <c r="I1290" s="52">
        <v>1</v>
      </c>
      <c r="J1290" s="56">
        <v>36550</v>
      </c>
      <c r="K1290" s="52" t="s">
        <v>806</v>
      </c>
      <c r="L1290" s="52" t="s">
        <v>1014</v>
      </c>
      <c r="M1290" s="52" t="s">
        <v>1291</v>
      </c>
      <c r="N1290" s="57">
        <v>0</v>
      </c>
      <c r="O1290" s="57">
        <v>0</v>
      </c>
      <c r="P1290" s="52" t="s">
        <v>1219</v>
      </c>
      <c r="Q1290" s="52" t="s">
        <v>1111</v>
      </c>
      <c r="R1290" s="52" t="s">
        <v>376</v>
      </c>
      <c r="S1290" s="52"/>
      <c r="T1290" s="52"/>
      <c r="U1290" s="52"/>
      <c r="V1290" s="52"/>
      <c r="W1290" s="52"/>
      <c r="X1290" s="52"/>
      <c r="Y1290" s="52"/>
      <c r="Z1290" s="57"/>
      <c r="AA1290" s="58">
        <v>0</v>
      </c>
      <c r="AB1290" s="58">
        <v>0</v>
      </c>
      <c r="AC1290" s="59">
        <v>0</v>
      </c>
      <c r="AD1290" s="52" t="s">
        <v>1033</v>
      </c>
      <c r="AE1290" s="50">
        <f>IF(L1290="W",1,0)</f>
        <v>0</v>
      </c>
      <c r="AF1290" s="50">
        <f>IF(L1290="T",1,0)</f>
        <v>1</v>
      </c>
      <c r="AG1290" s="50">
        <f>IF(L1290="L",1,0)</f>
        <v>0</v>
      </c>
      <c r="AH1290" s="52" t="s">
        <v>1111</v>
      </c>
      <c r="AI1290" s="52" t="s">
        <v>1126</v>
      </c>
      <c r="AJ1290" s="52" t="s">
        <v>376</v>
      </c>
      <c r="AK1290" s="50" t="s">
        <v>658</v>
      </c>
      <c r="AL1290" s="52" t="s">
        <v>1278</v>
      </c>
      <c r="AM1290" s="52" t="s">
        <v>1292</v>
      </c>
      <c r="AN1290" s="52" t="s">
        <v>376</v>
      </c>
      <c r="AO1290" s="50" t="s">
        <v>658</v>
      </c>
      <c r="AP1290" s="52"/>
      <c r="AQ1290" s="52">
        <v>2</v>
      </c>
      <c r="AR1290" s="52"/>
      <c r="AS1290" s="52"/>
      <c r="AT1290" s="46"/>
      <c r="AU1290" s="52" t="s">
        <v>376</v>
      </c>
      <c r="AV1290" s="52"/>
      <c r="AW1290" s="52" t="s">
        <v>30</v>
      </c>
      <c r="AX1290" s="52"/>
      <c r="AY1290" s="52"/>
      <c r="AZ1290" s="52" t="s">
        <v>30</v>
      </c>
      <c r="BA1290" s="52"/>
      <c r="BB1290" s="60"/>
      <c r="BC1290" s="52"/>
      <c r="BD1290" s="60"/>
      <c r="BE1290" s="60"/>
      <c r="BF1290" s="35">
        <v>1</v>
      </c>
      <c r="BG1290" s="52">
        <v>1</v>
      </c>
      <c r="BH1290" s="52"/>
      <c r="BI1290" s="52" t="s">
        <v>806</v>
      </c>
      <c r="BJ1290" s="52" t="s">
        <v>1291</v>
      </c>
      <c r="BK1290" s="52">
        <v>2000</v>
      </c>
      <c r="BL1290" s="46" t="str">
        <f>BK1290&amp;BI1290</f>
        <v>2000Aston Villa</v>
      </c>
      <c r="BM1290" s="52" t="str">
        <f>IF(AD1290="Home",BI1290,IF(AD1290="Away",BJ1290,Q1290))</f>
        <v>Aston Villa</v>
      </c>
      <c r="BN1290" s="52"/>
      <c r="BO1290" s="52"/>
      <c r="BP1290" s="52"/>
      <c r="BQ1290" s="52"/>
      <c r="BR1290" s="52"/>
      <c r="BS1290" s="52"/>
      <c r="BT1290" s="52"/>
      <c r="BU1290" s="52"/>
      <c r="BV1290" s="52" t="s">
        <v>376</v>
      </c>
      <c r="BW1290" s="52" t="s">
        <v>376</v>
      </c>
      <c r="BX1290" s="52"/>
      <c r="BY1290" s="52"/>
      <c r="BZ1290" s="53"/>
      <c r="CA1290" s="53"/>
      <c r="CB1290" s="93" t="str">
        <f>IF(OR(C1290="",A1290="",B1290=""),"",TEXT(C1290,"0000")&amp;TEXT(A1290,"00")&amp;TEXT(B1290,"00"))</f>
        <v>20000125</v>
      </c>
    </row>
    <row r="1291" spans="1:80" s="50" customFormat="1" ht="12.95" customHeight="1" x14ac:dyDescent="0.2">
      <c r="A1291" s="46">
        <v>1</v>
      </c>
      <c r="B1291" s="46">
        <v>25</v>
      </c>
      <c r="C1291" s="46">
        <v>2000</v>
      </c>
      <c r="D1291" s="52" t="s">
        <v>658</v>
      </c>
      <c r="E1291" s="52" t="s">
        <v>327</v>
      </c>
      <c r="F1291" s="52" t="s">
        <v>1327</v>
      </c>
      <c r="G1291" s="52"/>
      <c r="H1291" s="52" t="s">
        <v>1011</v>
      </c>
      <c r="I1291" s="52">
        <v>1</v>
      </c>
      <c r="J1291" s="56">
        <v>36550</v>
      </c>
      <c r="K1291" s="52" t="s">
        <v>1291</v>
      </c>
      <c r="L1291" s="52" t="s">
        <v>1014</v>
      </c>
      <c r="M1291" s="52" t="s">
        <v>806</v>
      </c>
      <c r="N1291" s="57">
        <v>0</v>
      </c>
      <c r="O1291" s="57">
        <v>0</v>
      </c>
      <c r="P1291" s="52" t="s">
        <v>1219</v>
      </c>
      <c r="Q1291" s="52" t="s">
        <v>1111</v>
      </c>
      <c r="R1291" s="52" t="s">
        <v>376</v>
      </c>
      <c r="S1291" s="52"/>
      <c r="T1291" s="52"/>
      <c r="U1291" s="52"/>
      <c r="V1291" s="52"/>
      <c r="W1291" s="52"/>
      <c r="X1291" s="52"/>
      <c r="Y1291" s="52"/>
      <c r="Z1291" s="57"/>
      <c r="AA1291" s="58">
        <v>0</v>
      </c>
      <c r="AB1291" s="58">
        <v>0</v>
      </c>
      <c r="AC1291" s="59">
        <v>0</v>
      </c>
      <c r="AD1291" s="52" t="s">
        <v>1037</v>
      </c>
      <c r="AE1291" s="50">
        <f>IF(L1291="W",1,0)</f>
        <v>0</v>
      </c>
      <c r="AF1291" s="50">
        <f>IF(L1291="T",1,0)</f>
        <v>1</v>
      </c>
      <c r="AG1291" s="50">
        <f>IF(L1291="L",1,0)</f>
        <v>0</v>
      </c>
      <c r="AH1291" s="52" t="s">
        <v>1278</v>
      </c>
      <c r="AI1291" s="52" t="s">
        <v>1292</v>
      </c>
      <c r="AJ1291" s="52" t="s">
        <v>376</v>
      </c>
      <c r="AK1291" s="50" t="s">
        <v>658</v>
      </c>
      <c r="AL1291" s="52" t="s">
        <v>1111</v>
      </c>
      <c r="AM1291" s="52" t="s">
        <v>1126</v>
      </c>
      <c r="AN1291" s="52" t="s">
        <v>376</v>
      </c>
      <c r="AO1291" s="50" t="s">
        <v>658</v>
      </c>
      <c r="AP1291" s="52"/>
      <c r="AQ1291" s="52">
        <v>2</v>
      </c>
      <c r="AR1291" s="52"/>
      <c r="AS1291" s="52"/>
      <c r="AT1291" s="46"/>
      <c r="AU1291" s="52" t="s">
        <v>376</v>
      </c>
      <c r="AV1291" s="52"/>
      <c r="AW1291" s="52" t="s">
        <v>30</v>
      </c>
      <c r="AX1291" s="52"/>
      <c r="AY1291" s="52"/>
      <c r="AZ1291" s="52" t="s">
        <v>30</v>
      </c>
      <c r="BA1291" s="52"/>
      <c r="BB1291" s="60"/>
      <c r="BC1291" s="52"/>
      <c r="BD1291" s="60"/>
      <c r="BE1291" s="60"/>
      <c r="BF1291" s="35">
        <v>1</v>
      </c>
      <c r="BG1291" s="52">
        <v>1</v>
      </c>
      <c r="BH1291" s="52"/>
      <c r="BI1291" s="52" t="s">
        <v>1291</v>
      </c>
      <c r="BJ1291" s="52" t="s">
        <v>806</v>
      </c>
      <c r="BK1291" s="52">
        <v>2000</v>
      </c>
      <c r="BL1291" s="46" t="str">
        <f>BK1291&amp;BI1291</f>
        <v>2000Leicester City</v>
      </c>
      <c r="BM1291" s="52" t="str">
        <f>IF(AD1291="Home",BI1291,IF(AD1291="Away",BJ1291,Q1291))</f>
        <v>Aston Villa</v>
      </c>
      <c r="BN1291" s="52"/>
      <c r="BO1291" s="52"/>
      <c r="BP1291" s="52"/>
      <c r="BQ1291" s="52"/>
      <c r="BR1291" s="52"/>
      <c r="BS1291" s="52"/>
      <c r="BT1291" s="52"/>
      <c r="BU1291" s="52"/>
      <c r="BV1291" s="52" t="s">
        <v>376</v>
      </c>
      <c r="BW1291" s="52" t="s">
        <v>376</v>
      </c>
      <c r="BX1291" s="52"/>
      <c r="BY1291" s="52"/>
      <c r="BZ1291" s="53"/>
      <c r="CA1291" s="53"/>
      <c r="CB1291" s="93" t="str">
        <f>IF(OR(C1291="",A1291="",B1291=""),"",TEXT(C1291,"0000")&amp;TEXT(A1291,"00")&amp;TEXT(B1291,"00"))</f>
        <v>20000125</v>
      </c>
    </row>
    <row r="1292" spans="1:80" s="50" customFormat="1" ht="12.95" customHeight="1" x14ac:dyDescent="0.2">
      <c r="A1292" s="46">
        <v>1</v>
      </c>
      <c r="B1292" s="46">
        <v>26</v>
      </c>
      <c r="C1292" s="46">
        <v>2000</v>
      </c>
      <c r="D1292" s="46" t="s">
        <v>658</v>
      </c>
      <c r="E1292" s="46" t="s">
        <v>327</v>
      </c>
      <c r="F1292" s="54" t="s">
        <v>1327</v>
      </c>
      <c r="G1292" s="46"/>
      <c r="H1292" s="54" t="s">
        <v>1011</v>
      </c>
      <c r="I1292" s="54">
        <v>2</v>
      </c>
      <c r="J1292" s="55">
        <v>36551</v>
      </c>
      <c r="K1292" s="46" t="s">
        <v>1398</v>
      </c>
      <c r="L1292" s="46" t="s">
        <v>3</v>
      </c>
      <c r="M1292" s="46" t="s">
        <v>1157</v>
      </c>
      <c r="N1292" s="49">
        <v>3</v>
      </c>
      <c r="O1292" s="49">
        <v>0</v>
      </c>
      <c r="P1292" s="54" t="s">
        <v>1399</v>
      </c>
      <c r="Q1292" s="54" t="s">
        <v>588</v>
      </c>
      <c r="R1292" s="54" t="s">
        <v>376</v>
      </c>
      <c r="S1292" s="46"/>
      <c r="T1292" s="46"/>
      <c r="U1292" s="46"/>
      <c r="V1292" s="46"/>
      <c r="W1292" s="46"/>
      <c r="X1292" s="46"/>
      <c r="Y1292" s="46"/>
      <c r="Z1292" s="46"/>
      <c r="AA1292" s="46"/>
      <c r="AB1292" s="46"/>
      <c r="AC1292" s="46"/>
      <c r="AD1292" s="46" t="s">
        <v>1033</v>
      </c>
      <c r="AE1292" s="50">
        <f>IF(L1292="W",1,0)</f>
        <v>1</v>
      </c>
      <c r="AF1292" s="50">
        <f>IF(L1292="T",1,0)</f>
        <v>0</v>
      </c>
      <c r="AG1292" s="50">
        <f>IF(L1292="L",1,0)</f>
        <v>0</v>
      </c>
      <c r="AH1292" s="46" t="s">
        <v>588</v>
      </c>
      <c r="AI1292" s="46" t="s">
        <v>1175</v>
      </c>
      <c r="AJ1292" s="46" t="s">
        <v>376</v>
      </c>
      <c r="AK1292" s="46" t="s">
        <v>658</v>
      </c>
      <c r="AL1292" s="46" t="s">
        <v>1101</v>
      </c>
      <c r="AM1292" s="46" t="s">
        <v>1159</v>
      </c>
      <c r="AN1292" s="46" t="s">
        <v>376</v>
      </c>
      <c r="AO1292" s="46" t="s">
        <v>658</v>
      </c>
      <c r="AP1292" s="46"/>
      <c r="AQ1292" s="46">
        <v>2</v>
      </c>
      <c r="AR1292" s="46"/>
      <c r="AS1292" s="46"/>
      <c r="AT1292" s="46"/>
      <c r="AU1292" s="46" t="s">
        <v>376</v>
      </c>
      <c r="AV1292" s="46"/>
      <c r="AW1292" s="46" t="s">
        <v>30</v>
      </c>
      <c r="AX1292" s="46"/>
      <c r="AY1292" s="46"/>
      <c r="AZ1292" s="46" t="s">
        <v>30</v>
      </c>
      <c r="BA1292" s="54"/>
      <c r="BB1292" s="51"/>
      <c r="BC1292" s="46"/>
      <c r="BD1292" s="46"/>
      <c r="BE1292" s="46"/>
      <c r="BF1292" s="46">
        <v>1</v>
      </c>
      <c r="BG1292" s="46">
        <v>2</v>
      </c>
      <c r="BH1292" s="46">
        <v>2</v>
      </c>
      <c r="BI1292" s="46" t="s">
        <v>1398</v>
      </c>
      <c r="BJ1292" s="46" t="s">
        <v>1157</v>
      </c>
      <c r="BK1292" s="46">
        <v>2000</v>
      </c>
      <c r="BL1292" s="46" t="str">
        <f>BK1292&amp;BI1292</f>
        <v>2000Tranmere Rovers</v>
      </c>
      <c r="BM1292" s="52" t="str">
        <f>IF(AD1292="Home",BI1292,IF(AD1292="Away",BJ1292,Q1292))</f>
        <v>Tranmere Rovers</v>
      </c>
      <c r="BN1292" s="46"/>
      <c r="BO1292" s="46"/>
      <c r="BP1292" s="46"/>
      <c r="BQ1292" s="46"/>
      <c r="BR1292" s="46"/>
      <c r="BS1292" s="46"/>
      <c r="BT1292" s="46"/>
      <c r="BU1292" s="46"/>
      <c r="BV1292" s="46" t="s">
        <v>376</v>
      </c>
      <c r="BW1292" s="46" t="s">
        <v>376</v>
      </c>
      <c r="BX1292" s="46"/>
      <c r="BY1292" s="52"/>
      <c r="BZ1292" s="53"/>
      <c r="CA1292" s="53"/>
      <c r="CB1292" s="93" t="str">
        <f>IF(OR(C1292="",A1292="",B1292=""),"",TEXT(C1292,"0000")&amp;TEXT(A1292,"00")&amp;TEXT(B1292,"00"))</f>
        <v>20000126</v>
      </c>
    </row>
    <row r="1293" spans="1:80" s="50" customFormat="1" ht="12.95" customHeight="1" x14ac:dyDescent="0.2">
      <c r="A1293" s="46">
        <v>1</v>
      </c>
      <c r="B1293" s="46">
        <v>26</v>
      </c>
      <c r="C1293" s="46">
        <v>2000</v>
      </c>
      <c r="D1293" s="46" t="s">
        <v>658</v>
      </c>
      <c r="E1293" s="46" t="s">
        <v>327</v>
      </c>
      <c r="F1293" s="54" t="s">
        <v>1327</v>
      </c>
      <c r="G1293" s="46"/>
      <c r="H1293" s="54" t="s">
        <v>1011</v>
      </c>
      <c r="I1293" s="54">
        <v>2</v>
      </c>
      <c r="J1293" s="55">
        <v>36551</v>
      </c>
      <c r="K1293" s="46" t="s">
        <v>1157</v>
      </c>
      <c r="L1293" s="46" t="s">
        <v>4</v>
      </c>
      <c r="M1293" s="46" t="s">
        <v>1398</v>
      </c>
      <c r="N1293" s="49">
        <v>0</v>
      </c>
      <c r="O1293" s="49">
        <v>3</v>
      </c>
      <c r="P1293" s="54" t="s">
        <v>1399</v>
      </c>
      <c r="Q1293" s="54" t="s">
        <v>588</v>
      </c>
      <c r="R1293" s="54" t="s">
        <v>376</v>
      </c>
      <c r="S1293" s="46"/>
      <c r="T1293" s="46"/>
      <c r="U1293" s="46"/>
      <c r="V1293" s="46"/>
      <c r="W1293" s="46"/>
      <c r="X1293" s="46"/>
      <c r="Y1293" s="46"/>
      <c r="Z1293" s="46"/>
      <c r="AA1293" s="46"/>
      <c r="AB1293" s="46"/>
      <c r="AC1293" s="46"/>
      <c r="AD1293" s="46" t="s">
        <v>1037</v>
      </c>
      <c r="AE1293" s="50">
        <f>IF(L1293="W",1,0)</f>
        <v>0</v>
      </c>
      <c r="AF1293" s="50">
        <f>IF(L1293="T",1,0)</f>
        <v>0</v>
      </c>
      <c r="AG1293" s="50">
        <f>IF(L1293="L",1,0)</f>
        <v>1</v>
      </c>
      <c r="AH1293" s="46" t="s">
        <v>1101</v>
      </c>
      <c r="AI1293" s="46" t="s">
        <v>1159</v>
      </c>
      <c r="AJ1293" s="46" t="s">
        <v>376</v>
      </c>
      <c r="AK1293" s="46" t="s">
        <v>658</v>
      </c>
      <c r="AL1293" s="46" t="s">
        <v>588</v>
      </c>
      <c r="AM1293" s="46" t="s">
        <v>1175</v>
      </c>
      <c r="AN1293" s="46" t="s">
        <v>376</v>
      </c>
      <c r="AO1293" s="46" t="s">
        <v>658</v>
      </c>
      <c r="AP1293" s="46"/>
      <c r="AQ1293" s="46">
        <v>2</v>
      </c>
      <c r="AR1293" s="46"/>
      <c r="AS1293" s="46"/>
      <c r="AT1293" s="46"/>
      <c r="AU1293" s="46" t="s">
        <v>376</v>
      </c>
      <c r="AV1293" s="46"/>
      <c r="AW1293" s="46" t="s">
        <v>30</v>
      </c>
      <c r="AX1293" s="46"/>
      <c r="AY1293" s="46"/>
      <c r="AZ1293" s="46" t="s">
        <v>30</v>
      </c>
      <c r="BA1293" s="54"/>
      <c r="BB1293" s="51"/>
      <c r="BC1293" s="46"/>
      <c r="BD1293" s="46"/>
      <c r="BE1293" s="46"/>
      <c r="BF1293" s="46">
        <v>1</v>
      </c>
      <c r="BG1293" s="46">
        <v>2</v>
      </c>
      <c r="BH1293" s="46">
        <v>2</v>
      </c>
      <c r="BI1293" s="46" t="s">
        <v>1157</v>
      </c>
      <c r="BJ1293" s="46" t="s">
        <v>1398</v>
      </c>
      <c r="BK1293" s="46">
        <v>2000</v>
      </c>
      <c r="BL1293" s="46" t="str">
        <f>BK1293&amp;BI1293</f>
        <v>2000Bolton Wanderers</v>
      </c>
      <c r="BM1293" s="52" t="str">
        <f>IF(AD1293="Home",BI1293,IF(AD1293="Away",BJ1293,Q1293))</f>
        <v>Tranmere Rovers</v>
      </c>
      <c r="BN1293" s="46"/>
      <c r="BO1293" s="46"/>
      <c r="BP1293" s="46"/>
      <c r="BQ1293" s="46"/>
      <c r="BR1293" s="46"/>
      <c r="BS1293" s="46"/>
      <c r="BT1293" s="46"/>
      <c r="BU1293" s="46"/>
      <c r="BV1293" s="46" t="s">
        <v>376</v>
      </c>
      <c r="BW1293" s="46" t="s">
        <v>376</v>
      </c>
      <c r="BX1293" s="46"/>
      <c r="BY1293" s="52"/>
      <c r="BZ1293" s="53"/>
      <c r="CA1293" s="53"/>
      <c r="CB1293" s="93" t="str">
        <f>IF(OR(C1293="",A1293="",B1293=""),"",TEXT(C1293,"0000")&amp;TEXT(A1293,"00")&amp;TEXT(B1293,"00"))</f>
        <v>20000126</v>
      </c>
    </row>
    <row r="1294" spans="1:80" s="50" customFormat="1" ht="12.95" customHeight="1" x14ac:dyDescent="0.2">
      <c r="A1294" s="46">
        <v>2</v>
      </c>
      <c r="B1294" s="46">
        <v>2</v>
      </c>
      <c r="C1294" s="46">
        <v>2000</v>
      </c>
      <c r="D1294" s="52" t="s">
        <v>658</v>
      </c>
      <c r="E1294" s="52" t="s">
        <v>327</v>
      </c>
      <c r="F1294" s="52" t="s">
        <v>1327</v>
      </c>
      <c r="G1294" s="52"/>
      <c r="H1294" s="52" t="s">
        <v>1011</v>
      </c>
      <c r="I1294" s="52">
        <v>2</v>
      </c>
      <c r="J1294" s="56">
        <v>36558</v>
      </c>
      <c r="K1294" s="52" t="s">
        <v>1291</v>
      </c>
      <c r="L1294" s="52" t="s">
        <v>3</v>
      </c>
      <c r="M1294" s="52" t="s">
        <v>806</v>
      </c>
      <c r="N1294" s="57">
        <v>1</v>
      </c>
      <c r="O1294" s="57">
        <v>0</v>
      </c>
      <c r="P1294" s="52" t="s">
        <v>1277</v>
      </c>
      <c r="Q1294" s="52" t="s">
        <v>1278</v>
      </c>
      <c r="R1294" s="52" t="s">
        <v>376</v>
      </c>
      <c r="S1294" s="52"/>
      <c r="T1294" s="52"/>
      <c r="U1294" s="52"/>
      <c r="V1294" s="52"/>
      <c r="W1294" s="52"/>
      <c r="X1294" s="52"/>
      <c r="Y1294" s="52"/>
      <c r="Z1294" s="57"/>
      <c r="AA1294" s="58">
        <v>1</v>
      </c>
      <c r="AB1294" s="58">
        <v>0</v>
      </c>
      <c r="AC1294" s="59">
        <v>0</v>
      </c>
      <c r="AD1294" s="52" t="s">
        <v>1033</v>
      </c>
      <c r="AE1294" s="50">
        <f>IF(L1294="W",1,0)</f>
        <v>1</v>
      </c>
      <c r="AF1294" s="50">
        <f>IF(L1294="T",1,0)</f>
        <v>0</v>
      </c>
      <c r="AG1294" s="50">
        <f>IF(L1294="L",1,0)</f>
        <v>0</v>
      </c>
      <c r="AH1294" s="52" t="s">
        <v>1278</v>
      </c>
      <c r="AI1294" s="52" t="s">
        <v>1292</v>
      </c>
      <c r="AJ1294" s="52" t="s">
        <v>376</v>
      </c>
      <c r="AK1294" s="50" t="s">
        <v>658</v>
      </c>
      <c r="AL1294" s="52" t="s">
        <v>1111</v>
      </c>
      <c r="AM1294" s="52" t="s">
        <v>1126</v>
      </c>
      <c r="AN1294" s="52" t="s">
        <v>376</v>
      </c>
      <c r="AO1294" s="50" t="s">
        <v>658</v>
      </c>
      <c r="AP1294" s="52"/>
      <c r="AQ1294" s="52">
        <v>2</v>
      </c>
      <c r="AR1294" s="52"/>
      <c r="AS1294" s="52"/>
      <c r="AT1294" s="46"/>
      <c r="AU1294" s="52" t="s">
        <v>376</v>
      </c>
      <c r="AV1294" s="52"/>
      <c r="AW1294" s="52" t="s">
        <v>30</v>
      </c>
      <c r="AX1294" s="52"/>
      <c r="AY1294" s="52"/>
      <c r="AZ1294" s="52" t="s">
        <v>30</v>
      </c>
      <c r="BA1294" s="52"/>
      <c r="BB1294" s="60"/>
      <c r="BC1294" s="52"/>
      <c r="BD1294" s="60"/>
      <c r="BE1294" s="60"/>
      <c r="BF1294" s="35">
        <v>1</v>
      </c>
      <c r="BG1294" s="52">
        <v>1</v>
      </c>
      <c r="BH1294" s="52"/>
      <c r="BI1294" s="52" t="s">
        <v>1291</v>
      </c>
      <c r="BJ1294" s="52" t="s">
        <v>806</v>
      </c>
      <c r="BK1294" s="52">
        <v>2000</v>
      </c>
      <c r="BL1294" s="46" t="str">
        <f>BK1294&amp;BI1294</f>
        <v>2000Leicester City</v>
      </c>
      <c r="BM1294" s="52" t="str">
        <f>IF(AD1294="Home",BI1294,IF(AD1294="Away",BJ1294,Q1294))</f>
        <v>Leicester City</v>
      </c>
      <c r="BN1294" s="52"/>
      <c r="BO1294" s="52"/>
      <c r="BP1294" s="52"/>
      <c r="BQ1294" s="52"/>
      <c r="BR1294" s="52"/>
      <c r="BS1294" s="52"/>
      <c r="BT1294" s="52"/>
      <c r="BU1294" s="52"/>
      <c r="BV1294" s="52" t="s">
        <v>376</v>
      </c>
      <c r="BW1294" s="52" t="s">
        <v>376</v>
      </c>
      <c r="BX1294" s="52"/>
      <c r="BY1294" s="52"/>
      <c r="BZ1294" s="53"/>
      <c r="CA1294" s="53"/>
      <c r="CB1294" s="93" t="str">
        <f>IF(OR(C1294="",A1294="",B1294=""),"",TEXT(C1294,"0000")&amp;TEXT(A1294,"00")&amp;TEXT(B1294,"00"))</f>
        <v>20000202</v>
      </c>
    </row>
    <row r="1295" spans="1:80" s="50" customFormat="1" ht="12.95" customHeight="1" x14ac:dyDescent="0.2">
      <c r="A1295" s="46">
        <v>2</v>
      </c>
      <c r="B1295" s="46">
        <v>2</v>
      </c>
      <c r="C1295" s="46">
        <v>2000</v>
      </c>
      <c r="D1295" s="52" t="s">
        <v>658</v>
      </c>
      <c r="E1295" s="52" t="s">
        <v>327</v>
      </c>
      <c r="F1295" s="52" t="s">
        <v>1327</v>
      </c>
      <c r="G1295" s="52"/>
      <c r="H1295" s="52" t="s">
        <v>1011</v>
      </c>
      <c r="I1295" s="52">
        <v>2</v>
      </c>
      <c r="J1295" s="56">
        <v>36558</v>
      </c>
      <c r="K1295" s="52" t="s">
        <v>806</v>
      </c>
      <c r="L1295" s="52" t="s">
        <v>4</v>
      </c>
      <c r="M1295" s="52" t="s">
        <v>1291</v>
      </c>
      <c r="N1295" s="57">
        <v>0</v>
      </c>
      <c r="O1295" s="57">
        <v>1</v>
      </c>
      <c r="P1295" s="52" t="s">
        <v>1277</v>
      </c>
      <c r="Q1295" s="52" t="s">
        <v>1278</v>
      </c>
      <c r="R1295" s="52" t="s">
        <v>376</v>
      </c>
      <c r="S1295" s="52"/>
      <c r="T1295" s="52"/>
      <c r="U1295" s="52"/>
      <c r="V1295" s="52"/>
      <c r="W1295" s="52"/>
      <c r="X1295" s="52"/>
      <c r="Y1295" s="52"/>
      <c r="Z1295" s="57"/>
      <c r="AA1295" s="58">
        <v>0</v>
      </c>
      <c r="AB1295" s="58">
        <v>1</v>
      </c>
      <c r="AC1295" s="59">
        <v>0</v>
      </c>
      <c r="AD1295" s="52" t="s">
        <v>1037</v>
      </c>
      <c r="AE1295" s="50">
        <f>IF(L1295="W",1,0)</f>
        <v>0</v>
      </c>
      <c r="AF1295" s="50">
        <f>IF(L1295="T",1,0)</f>
        <v>0</v>
      </c>
      <c r="AG1295" s="50">
        <f>IF(L1295="L",1,0)</f>
        <v>1</v>
      </c>
      <c r="AH1295" s="52" t="s">
        <v>1111</v>
      </c>
      <c r="AI1295" s="52" t="s">
        <v>1126</v>
      </c>
      <c r="AJ1295" s="52" t="s">
        <v>376</v>
      </c>
      <c r="AK1295" s="50" t="s">
        <v>658</v>
      </c>
      <c r="AL1295" s="52" t="s">
        <v>1278</v>
      </c>
      <c r="AM1295" s="52" t="s">
        <v>1292</v>
      </c>
      <c r="AN1295" s="52" t="s">
        <v>376</v>
      </c>
      <c r="AO1295" s="50" t="s">
        <v>658</v>
      </c>
      <c r="AP1295" s="52"/>
      <c r="AQ1295" s="52">
        <v>2</v>
      </c>
      <c r="AR1295" s="52"/>
      <c r="AS1295" s="52">
        <v>1</v>
      </c>
      <c r="AT1295" s="46"/>
      <c r="AU1295" s="52" t="s">
        <v>376</v>
      </c>
      <c r="AV1295" s="52"/>
      <c r="AW1295" s="52" t="s">
        <v>30</v>
      </c>
      <c r="AX1295" s="52"/>
      <c r="AY1295" s="52"/>
      <c r="AZ1295" s="52" t="s">
        <v>30</v>
      </c>
      <c r="BA1295" s="52"/>
      <c r="BB1295" s="60"/>
      <c r="BC1295" s="52"/>
      <c r="BD1295" s="60"/>
      <c r="BE1295" s="60"/>
      <c r="BF1295" s="35">
        <v>1</v>
      </c>
      <c r="BG1295" s="52">
        <v>1</v>
      </c>
      <c r="BH1295" s="52"/>
      <c r="BI1295" s="52" t="s">
        <v>806</v>
      </c>
      <c r="BJ1295" s="52" t="s">
        <v>1291</v>
      </c>
      <c r="BK1295" s="52">
        <v>2000</v>
      </c>
      <c r="BL1295" s="46" t="str">
        <f>BK1295&amp;BI1295</f>
        <v>2000Aston Villa</v>
      </c>
      <c r="BM1295" s="52" t="str">
        <f>IF(AD1295="Home",BI1295,IF(AD1295="Away",BJ1295,Q1295))</f>
        <v>Leicester City</v>
      </c>
      <c r="BN1295" s="52"/>
      <c r="BO1295" s="52"/>
      <c r="BP1295" s="52"/>
      <c r="BQ1295" s="52"/>
      <c r="BR1295" s="52"/>
      <c r="BS1295" s="52"/>
      <c r="BT1295" s="52"/>
      <c r="BU1295" s="52"/>
      <c r="BV1295" s="52" t="s">
        <v>376</v>
      </c>
      <c r="BW1295" s="52" t="s">
        <v>376</v>
      </c>
      <c r="BX1295" s="52"/>
      <c r="BY1295" s="52"/>
      <c r="BZ1295" s="53"/>
      <c r="CA1295" s="53"/>
      <c r="CB1295" s="93" t="str">
        <f>IF(OR(C1295="",A1295="",B1295=""),"",TEXT(C1295,"0000")&amp;TEXT(A1295,"00")&amp;TEXT(B1295,"00"))</f>
        <v>20000202</v>
      </c>
    </row>
    <row r="1296" spans="1:80" s="50" customFormat="1" ht="12.95" customHeight="1" x14ac:dyDescent="0.2">
      <c r="A1296" s="46">
        <v>2</v>
      </c>
      <c r="B1296" s="46">
        <v>27</v>
      </c>
      <c r="C1296" s="46">
        <v>2000</v>
      </c>
      <c r="D1296" s="52" t="s">
        <v>658</v>
      </c>
      <c r="E1296" s="52" t="s">
        <v>327</v>
      </c>
      <c r="F1296" s="52" t="s">
        <v>1327</v>
      </c>
      <c r="G1296" s="52"/>
      <c r="H1296" s="52" t="s">
        <v>40</v>
      </c>
      <c r="I1296" s="52"/>
      <c r="J1296" s="56">
        <v>36583</v>
      </c>
      <c r="K1296" s="52" t="s">
        <v>1291</v>
      </c>
      <c r="L1296" s="52" t="s">
        <v>3</v>
      </c>
      <c r="M1296" s="52" t="s">
        <v>1398</v>
      </c>
      <c r="N1296" s="57">
        <v>2</v>
      </c>
      <c r="O1296" s="57">
        <v>1</v>
      </c>
      <c r="P1296" s="52" t="s">
        <v>1268</v>
      </c>
      <c r="Q1296" s="52" t="s">
        <v>1017</v>
      </c>
      <c r="R1296" s="52" t="s">
        <v>376</v>
      </c>
      <c r="S1296" s="52"/>
      <c r="T1296" s="52"/>
      <c r="U1296" s="52"/>
      <c r="V1296" s="52"/>
      <c r="W1296" s="52"/>
      <c r="X1296" s="52"/>
      <c r="Y1296" s="52"/>
      <c r="Z1296" s="57"/>
      <c r="AA1296" s="52"/>
      <c r="AB1296" s="52"/>
      <c r="AC1296" s="52"/>
      <c r="AD1296" s="52"/>
      <c r="AE1296" s="50">
        <f>IF(L1296="W",1,0)</f>
        <v>1</v>
      </c>
      <c r="AF1296" s="50">
        <f>IF(L1296="T",1,0)</f>
        <v>0</v>
      </c>
      <c r="AG1296" s="50">
        <f>IF(L1296="L",1,0)</f>
        <v>0</v>
      </c>
      <c r="AH1296" s="52" t="s">
        <v>1278</v>
      </c>
      <c r="AI1296" s="52" t="s">
        <v>1292</v>
      </c>
      <c r="AJ1296" s="52" t="s">
        <v>376</v>
      </c>
      <c r="AK1296" s="50" t="s">
        <v>658</v>
      </c>
      <c r="AL1296" s="52" t="s">
        <v>588</v>
      </c>
      <c r="AM1296" s="52" t="s">
        <v>1175</v>
      </c>
      <c r="AN1296" s="52" t="s">
        <v>376</v>
      </c>
      <c r="AO1296" s="50" t="s">
        <v>658</v>
      </c>
      <c r="AP1296" s="52"/>
      <c r="AQ1296" s="52">
        <v>1</v>
      </c>
      <c r="AR1296" s="52"/>
      <c r="AS1296" s="52" t="s">
        <v>1393</v>
      </c>
      <c r="AT1296" s="46"/>
      <c r="AU1296" s="52" t="s">
        <v>376</v>
      </c>
      <c r="AV1296" s="52"/>
      <c r="AW1296" s="52" t="s">
        <v>30</v>
      </c>
      <c r="AX1296" s="52"/>
      <c r="AY1296" s="52"/>
      <c r="AZ1296" s="57" t="s">
        <v>30</v>
      </c>
      <c r="BA1296" s="52"/>
      <c r="BB1296" s="60" t="s">
        <v>30</v>
      </c>
      <c r="BC1296" s="52" t="s">
        <v>30</v>
      </c>
      <c r="BD1296" s="60"/>
      <c r="BE1296" s="60" t="s">
        <v>1400</v>
      </c>
      <c r="BF1296" s="35">
        <v>1</v>
      </c>
      <c r="BG1296" s="52">
        <v>1</v>
      </c>
      <c r="BH1296" s="52"/>
      <c r="BI1296" s="52" t="s">
        <v>1291</v>
      </c>
      <c r="BJ1296" s="52" t="s">
        <v>1398</v>
      </c>
      <c r="BK1296" s="52">
        <v>2000</v>
      </c>
      <c r="BL1296" s="46" t="str">
        <f>BK1296&amp;BI1296</f>
        <v>2000Leicester City</v>
      </c>
      <c r="BM1296" s="52" t="str">
        <f>IF(AD1296="Home",BI1296,IF(AD1296="Away",BJ1296,Q1296))</f>
        <v>London</v>
      </c>
      <c r="BN1296" s="52"/>
      <c r="BO1296" s="52"/>
      <c r="BP1296" s="52"/>
      <c r="BQ1296" s="52"/>
      <c r="BR1296" s="52"/>
      <c r="BS1296" s="52"/>
      <c r="BT1296" s="52"/>
      <c r="BU1296" s="52"/>
      <c r="BV1296" s="52" t="s">
        <v>376</v>
      </c>
      <c r="BW1296" s="52" t="s">
        <v>376</v>
      </c>
      <c r="BX1296" s="52"/>
      <c r="BY1296" s="52"/>
      <c r="BZ1296" s="53"/>
      <c r="CA1296" s="53"/>
      <c r="CB1296" s="93" t="str">
        <f>IF(OR(C1296="",A1296="",B1296=""),"",TEXT(C1296,"0000")&amp;TEXT(A1296,"00")&amp;TEXT(B1296,"00"))</f>
        <v>20000227</v>
      </c>
    </row>
    <row r="1297" spans="1:80" s="50" customFormat="1" ht="12.95" customHeight="1" x14ac:dyDescent="0.2">
      <c r="A1297" s="46">
        <v>2</v>
      </c>
      <c r="B1297" s="46">
        <v>27</v>
      </c>
      <c r="C1297" s="46">
        <v>2000</v>
      </c>
      <c r="D1297" s="46" t="s">
        <v>658</v>
      </c>
      <c r="E1297" s="46" t="s">
        <v>327</v>
      </c>
      <c r="F1297" s="54" t="s">
        <v>1327</v>
      </c>
      <c r="G1297" s="46"/>
      <c r="H1297" s="54" t="s">
        <v>40</v>
      </c>
      <c r="I1297" s="54"/>
      <c r="J1297" s="55">
        <v>36583</v>
      </c>
      <c r="K1297" s="46" t="s">
        <v>1398</v>
      </c>
      <c r="L1297" s="46" t="s">
        <v>4</v>
      </c>
      <c r="M1297" s="46" t="s">
        <v>1291</v>
      </c>
      <c r="N1297" s="49">
        <v>1</v>
      </c>
      <c r="O1297" s="49">
        <v>2</v>
      </c>
      <c r="P1297" s="54" t="s">
        <v>1268</v>
      </c>
      <c r="Q1297" s="54" t="s">
        <v>1017</v>
      </c>
      <c r="R1297" s="54" t="s">
        <v>376</v>
      </c>
      <c r="S1297" s="46"/>
      <c r="T1297" s="46"/>
      <c r="U1297" s="46"/>
      <c r="V1297" s="46"/>
      <c r="W1297" s="46"/>
      <c r="X1297" s="46"/>
      <c r="Y1297" s="46"/>
      <c r="Z1297" s="46"/>
      <c r="AA1297" s="46"/>
      <c r="AB1297" s="46"/>
      <c r="AC1297" s="46"/>
      <c r="AD1297" s="46"/>
      <c r="AE1297" s="50">
        <f>IF(L1297="W",1,0)</f>
        <v>0</v>
      </c>
      <c r="AF1297" s="50">
        <f>IF(L1297="T",1,0)</f>
        <v>0</v>
      </c>
      <c r="AG1297" s="50">
        <f>IF(L1297="L",1,0)</f>
        <v>1</v>
      </c>
      <c r="AH1297" s="46" t="s">
        <v>588</v>
      </c>
      <c r="AI1297" s="46" t="s">
        <v>1175</v>
      </c>
      <c r="AJ1297" s="46" t="s">
        <v>376</v>
      </c>
      <c r="AK1297" s="46" t="s">
        <v>658</v>
      </c>
      <c r="AL1297" s="46" t="s">
        <v>1278</v>
      </c>
      <c r="AM1297" s="46" t="s">
        <v>1292</v>
      </c>
      <c r="AN1297" s="46" t="s">
        <v>376</v>
      </c>
      <c r="AO1297" s="46" t="s">
        <v>658</v>
      </c>
      <c r="AP1297" s="46"/>
      <c r="AQ1297" s="46">
        <v>1</v>
      </c>
      <c r="AR1297" s="46"/>
      <c r="AS1297" s="46"/>
      <c r="AT1297" s="46"/>
      <c r="AU1297" s="46" t="s">
        <v>376</v>
      </c>
      <c r="AV1297" s="46"/>
      <c r="AW1297" s="46" t="s">
        <v>30</v>
      </c>
      <c r="AX1297" s="46"/>
      <c r="AY1297" s="46"/>
      <c r="AZ1297" s="46" t="s">
        <v>30</v>
      </c>
      <c r="BA1297" s="54"/>
      <c r="BB1297" s="51"/>
      <c r="BC1297" s="46" t="s">
        <v>30</v>
      </c>
      <c r="BD1297" s="46"/>
      <c r="BE1297" s="46"/>
      <c r="BF1297" s="46">
        <v>1</v>
      </c>
      <c r="BG1297" s="46">
        <v>2</v>
      </c>
      <c r="BH1297" s="46">
        <v>1</v>
      </c>
      <c r="BI1297" s="46" t="s">
        <v>1398</v>
      </c>
      <c r="BJ1297" s="46" t="s">
        <v>1291</v>
      </c>
      <c r="BK1297" s="46">
        <v>2000</v>
      </c>
      <c r="BL1297" s="46" t="str">
        <f>BK1297&amp;BI1297</f>
        <v>2000Tranmere Rovers</v>
      </c>
      <c r="BM1297" s="52" t="str">
        <f>IF(AD1297="Home",BI1297,IF(AD1297="Away",BJ1297,Q1297))</f>
        <v>London</v>
      </c>
      <c r="BN1297" s="46"/>
      <c r="BO1297" s="46"/>
      <c r="BP1297" s="46"/>
      <c r="BQ1297" s="46"/>
      <c r="BR1297" s="46"/>
      <c r="BS1297" s="46"/>
      <c r="BT1297" s="46"/>
      <c r="BU1297" s="46"/>
      <c r="BV1297" s="46" t="s">
        <v>376</v>
      </c>
      <c r="BW1297" s="46" t="s">
        <v>376</v>
      </c>
      <c r="BX1297" s="46"/>
      <c r="BY1297" s="52"/>
      <c r="BZ1297" s="53"/>
      <c r="CA1297" s="53"/>
      <c r="CB1297" s="93" t="str">
        <f>IF(OR(C1297="",A1297="",B1297=""),"",TEXT(C1297,"0000")&amp;TEXT(A1297,"00")&amp;TEXT(B1297,"00"))</f>
        <v>20000227</v>
      </c>
    </row>
    <row r="1298" spans="1:80" s="50" customFormat="1" ht="12.95" customHeight="1" x14ac:dyDescent="0.2">
      <c r="A1298" s="46">
        <v>4</v>
      </c>
      <c r="B1298" s="46">
        <v>2</v>
      </c>
      <c r="C1298" s="46">
        <v>2000</v>
      </c>
      <c r="D1298" s="52" t="s">
        <v>658</v>
      </c>
      <c r="E1298" s="52" t="s">
        <v>327</v>
      </c>
      <c r="F1298" s="52" t="s">
        <v>1010</v>
      </c>
      <c r="G1298" s="52"/>
      <c r="H1298" s="52" t="s">
        <v>1011</v>
      </c>
      <c r="I1298" s="52"/>
      <c r="J1298" s="56">
        <v>36618</v>
      </c>
      <c r="K1298" s="52" t="s">
        <v>806</v>
      </c>
      <c r="L1298" s="52" t="s">
        <v>3</v>
      </c>
      <c r="M1298" s="52" t="s">
        <v>1157</v>
      </c>
      <c r="N1298" s="57">
        <v>0</v>
      </c>
      <c r="O1298" s="57">
        <v>0</v>
      </c>
      <c r="P1298" s="52" t="s">
        <v>1268</v>
      </c>
      <c r="Q1298" s="52" t="s">
        <v>1017</v>
      </c>
      <c r="R1298" s="52" t="s">
        <v>376</v>
      </c>
      <c r="S1298" s="52" t="s">
        <v>1390</v>
      </c>
      <c r="T1298" s="52">
        <v>4</v>
      </c>
      <c r="U1298" s="52">
        <v>1</v>
      </c>
      <c r="V1298" s="52"/>
      <c r="W1298" s="52"/>
      <c r="X1298" s="52"/>
      <c r="Y1298" s="52"/>
      <c r="Z1298" s="57"/>
      <c r="AA1298" s="52"/>
      <c r="AB1298" s="52"/>
      <c r="AC1298" s="52"/>
      <c r="AD1298" s="52"/>
      <c r="AE1298" s="50">
        <f>IF(L1298="W",1,0)</f>
        <v>1</v>
      </c>
      <c r="AF1298" s="50">
        <f>IF(L1298="T",1,0)</f>
        <v>0</v>
      </c>
      <c r="AG1298" s="50">
        <f>IF(L1298="L",1,0)</f>
        <v>0</v>
      </c>
      <c r="AH1298" s="52" t="s">
        <v>1111</v>
      </c>
      <c r="AI1298" s="52" t="s">
        <v>1126</v>
      </c>
      <c r="AJ1298" s="52" t="s">
        <v>376</v>
      </c>
      <c r="AK1298" s="50" t="s">
        <v>658</v>
      </c>
      <c r="AL1298" s="52" t="s">
        <v>1101</v>
      </c>
      <c r="AM1298" s="52" t="s">
        <v>1159</v>
      </c>
      <c r="AN1298" s="52" t="s">
        <v>376</v>
      </c>
      <c r="AO1298" s="50" t="s">
        <v>658</v>
      </c>
      <c r="AP1298" s="52"/>
      <c r="AQ1298" s="52">
        <v>2</v>
      </c>
      <c r="AR1298" s="52"/>
      <c r="AS1298" s="52"/>
      <c r="AT1298" s="46"/>
      <c r="AU1298" s="52" t="s">
        <v>376</v>
      </c>
      <c r="AV1298" s="52"/>
      <c r="AW1298" s="52" t="s">
        <v>30</v>
      </c>
      <c r="AX1298" s="52"/>
      <c r="AY1298" s="52" t="s">
        <v>30</v>
      </c>
      <c r="AZ1298" s="52"/>
      <c r="BA1298" s="52"/>
      <c r="BB1298" s="60"/>
      <c r="BC1298" s="52"/>
      <c r="BD1298" s="60"/>
      <c r="BE1298" s="60"/>
      <c r="BF1298" s="35">
        <v>1</v>
      </c>
      <c r="BG1298" s="52">
        <v>1</v>
      </c>
      <c r="BH1298" s="52"/>
      <c r="BI1298" s="52" t="s">
        <v>806</v>
      </c>
      <c r="BJ1298" s="52" t="s">
        <v>1157</v>
      </c>
      <c r="BK1298" s="52">
        <v>2000</v>
      </c>
      <c r="BL1298" s="46" t="str">
        <f>BK1298&amp;BI1298</f>
        <v>2000Aston Villa</v>
      </c>
      <c r="BM1298" s="52" t="str">
        <f>IF(AD1298="Home",BI1298,IF(AD1298="Away",BJ1298,Q1298))</f>
        <v>London</v>
      </c>
      <c r="BN1298" s="52"/>
      <c r="BO1298" s="52"/>
      <c r="BP1298" s="52"/>
      <c r="BQ1298" s="52"/>
      <c r="BR1298" s="52"/>
      <c r="BS1298" s="52"/>
      <c r="BT1298" s="52"/>
      <c r="BU1298" s="52"/>
      <c r="BV1298" s="52" t="s">
        <v>376</v>
      </c>
      <c r="BW1298" s="52" t="s">
        <v>376</v>
      </c>
      <c r="BX1298" s="52"/>
      <c r="BY1298" s="52"/>
      <c r="BZ1298" s="53"/>
      <c r="CA1298" s="53"/>
      <c r="CB1298" s="93" t="str">
        <f>IF(OR(C1298="",A1298="",B1298=""),"",TEXT(C1298,"0000")&amp;TEXT(A1298,"00")&amp;TEXT(B1298,"00"))</f>
        <v>20000402</v>
      </c>
    </row>
    <row r="1299" spans="1:80" s="50" customFormat="1" ht="12.95" customHeight="1" x14ac:dyDescent="0.2">
      <c r="A1299" s="46">
        <v>4</v>
      </c>
      <c r="B1299" s="46">
        <v>2</v>
      </c>
      <c r="C1299" s="46">
        <v>2000</v>
      </c>
      <c r="D1299" s="46" t="s">
        <v>658</v>
      </c>
      <c r="E1299" s="46" t="s">
        <v>327</v>
      </c>
      <c r="F1299" s="47" t="s">
        <v>1010</v>
      </c>
      <c r="G1299" s="46"/>
      <c r="H1299" s="47" t="s">
        <v>1011</v>
      </c>
      <c r="I1299" s="47"/>
      <c r="J1299" s="48">
        <v>36618</v>
      </c>
      <c r="K1299" s="46" t="s">
        <v>1157</v>
      </c>
      <c r="L1299" s="46" t="s">
        <v>4</v>
      </c>
      <c r="M1299" s="46" t="s">
        <v>806</v>
      </c>
      <c r="N1299" s="49">
        <v>0</v>
      </c>
      <c r="O1299" s="49">
        <v>0</v>
      </c>
      <c r="P1299" s="47" t="s">
        <v>1268</v>
      </c>
      <c r="Q1299" s="47" t="s">
        <v>1017</v>
      </c>
      <c r="R1299" s="47" t="s">
        <v>376</v>
      </c>
      <c r="S1299" s="46"/>
      <c r="T1299" s="46"/>
      <c r="U1299" s="46"/>
      <c r="V1299" s="46"/>
      <c r="W1299" s="46"/>
      <c r="X1299" s="46"/>
      <c r="Y1299" s="46"/>
      <c r="Z1299" s="46"/>
      <c r="AA1299" s="46"/>
      <c r="AB1299" s="46"/>
      <c r="AC1299" s="46"/>
      <c r="AD1299" s="46"/>
      <c r="AE1299" s="50">
        <f>IF(L1299="W",1,0)</f>
        <v>0</v>
      </c>
      <c r="AF1299" s="50">
        <f>IF(L1299="T",1,0)</f>
        <v>0</v>
      </c>
      <c r="AG1299" s="50">
        <f>IF(L1299="L",1,0)</f>
        <v>1</v>
      </c>
      <c r="AH1299" s="46" t="s">
        <v>1101</v>
      </c>
      <c r="AI1299" s="46" t="s">
        <v>1159</v>
      </c>
      <c r="AJ1299" s="46" t="s">
        <v>376</v>
      </c>
      <c r="AK1299" s="46" t="s">
        <v>658</v>
      </c>
      <c r="AL1299" s="46" t="s">
        <v>1111</v>
      </c>
      <c r="AM1299" s="46" t="s">
        <v>1126</v>
      </c>
      <c r="AN1299" s="46" t="s">
        <v>376</v>
      </c>
      <c r="AO1299" s="46" t="s">
        <v>658</v>
      </c>
      <c r="AP1299" s="46"/>
      <c r="AQ1299" s="46">
        <v>2</v>
      </c>
      <c r="AR1299" s="46"/>
      <c r="AS1299" s="46"/>
      <c r="AT1299" s="46"/>
      <c r="AU1299" s="46" t="s">
        <v>376</v>
      </c>
      <c r="AV1299" s="46"/>
      <c r="AW1299" s="46" t="s">
        <v>30</v>
      </c>
      <c r="AX1299" s="46"/>
      <c r="AY1299" s="46" t="s">
        <v>30</v>
      </c>
      <c r="AZ1299" s="46"/>
      <c r="BA1299" s="47"/>
      <c r="BB1299" s="51"/>
      <c r="BC1299" s="46"/>
      <c r="BD1299" s="46"/>
      <c r="BE1299" s="46"/>
      <c r="BF1299" s="46">
        <v>1</v>
      </c>
      <c r="BG1299" s="46">
        <v>2</v>
      </c>
      <c r="BH1299" s="46">
        <v>1</v>
      </c>
      <c r="BI1299" s="46" t="s">
        <v>1157</v>
      </c>
      <c r="BJ1299" s="46" t="s">
        <v>806</v>
      </c>
      <c r="BK1299" s="46">
        <v>2000</v>
      </c>
      <c r="BL1299" s="46" t="str">
        <f>BK1299&amp;BI1299</f>
        <v>2000Bolton Wanderers</v>
      </c>
      <c r="BM1299" s="52" t="str">
        <f>IF(AD1299="Home",BI1299,IF(AD1299="Away",BJ1299,Q1299))</f>
        <v>London</v>
      </c>
      <c r="BN1299" s="46"/>
      <c r="BO1299" s="46"/>
      <c r="BP1299" s="46"/>
      <c r="BQ1299" s="46"/>
      <c r="BR1299" s="46"/>
      <c r="BS1299" s="46"/>
      <c r="BT1299" s="46"/>
      <c r="BU1299" s="46"/>
      <c r="BV1299" s="46" t="s">
        <v>376</v>
      </c>
      <c r="BW1299" s="46" t="s">
        <v>376</v>
      </c>
      <c r="BX1299" s="46"/>
      <c r="BY1299" s="52"/>
      <c r="BZ1299" s="53"/>
      <c r="CA1299" s="53"/>
      <c r="CB1299" s="93" t="str">
        <f>IF(OR(C1299="",A1299="",B1299=""),"",TEXT(C1299,"0000")&amp;TEXT(A1299,"00")&amp;TEXT(B1299,"00"))</f>
        <v>20000402</v>
      </c>
    </row>
    <row r="1300" spans="1:80" s="50" customFormat="1" ht="12.95" customHeight="1" x14ac:dyDescent="0.2">
      <c r="A1300" s="46">
        <v>4</v>
      </c>
      <c r="B1300" s="46">
        <v>9</v>
      </c>
      <c r="C1300" s="46">
        <v>2000</v>
      </c>
      <c r="D1300" s="52" t="s">
        <v>658</v>
      </c>
      <c r="E1300" s="52" t="s">
        <v>327</v>
      </c>
      <c r="F1300" s="52" t="s">
        <v>1010</v>
      </c>
      <c r="G1300" s="52"/>
      <c r="H1300" s="52" t="s">
        <v>1011</v>
      </c>
      <c r="I1300" s="52"/>
      <c r="J1300" s="56">
        <v>36625</v>
      </c>
      <c r="K1300" s="52" t="s">
        <v>816</v>
      </c>
      <c r="L1300" s="52" t="s">
        <v>3</v>
      </c>
      <c r="M1300" s="52" t="s">
        <v>805</v>
      </c>
      <c r="N1300" s="57">
        <v>2</v>
      </c>
      <c r="O1300" s="57">
        <v>1</v>
      </c>
      <c r="P1300" s="52" t="s">
        <v>1268</v>
      </c>
      <c r="Q1300" s="52" t="s">
        <v>1017</v>
      </c>
      <c r="R1300" s="52" t="s">
        <v>376</v>
      </c>
      <c r="S1300" s="52"/>
      <c r="T1300" s="52"/>
      <c r="U1300" s="52"/>
      <c r="V1300" s="52"/>
      <c r="W1300" s="52"/>
      <c r="X1300" s="52"/>
      <c r="Y1300" s="52"/>
      <c r="Z1300" s="57"/>
      <c r="AA1300" s="52"/>
      <c r="AB1300" s="52"/>
      <c r="AC1300" s="52"/>
      <c r="AD1300" s="52"/>
      <c r="AE1300" s="50">
        <f>IF(L1300="W",1,0)</f>
        <v>1</v>
      </c>
      <c r="AF1300" s="50">
        <f>IF(L1300="T",1,0)</f>
        <v>0</v>
      </c>
      <c r="AG1300" s="50">
        <f>IF(L1300="L",1,0)</f>
        <v>0</v>
      </c>
      <c r="AH1300" s="52" t="s">
        <v>1017</v>
      </c>
      <c r="AI1300" s="52" t="s">
        <v>1018</v>
      </c>
      <c r="AJ1300" s="52" t="s">
        <v>376</v>
      </c>
      <c r="AK1300" s="50" t="s">
        <v>658</v>
      </c>
      <c r="AL1300" s="52" t="s">
        <v>1227</v>
      </c>
      <c r="AM1300" s="52" t="s">
        <v>1164</v>
      </c>
      <c r="AN1300" s="52" t="s">
        <v>376</v>
      </c>
      <c r="AO1300" s="50" t="s">
        <v>658</v>
      </c>
      <c r="AP1300" s="52"/>
      <c r="AQ1300" s="52">
        <v>2</v>
      </c>
      <c r="AR1300" s="52"/>
      <c r="AS1300" s="52"/>
      <c r="AT1300" s="46"/>
      <c r="AU1300" s="52" t="s">
        <v>376</v>
      </c>
      <c r="AV1300" s="52"/>
      <c r="AW1300" s="52" t="s">
        <v>30</v>
      </c>
      <c r="AX1300" s="52"/>
      <c r="AY1300" s="52" t="s">
        <v>30</v>
      </c>
      <c r="AZ1300" s="52"/>
      <c r="BA1300" s="52"/>
      <c r="BB1300" s="60"/>
      <c r="BC1300" s="52"/>
      <c r="BD1300" s="60"/>
      <c r="BE1300" s="60"/>
      <c r="BF1300" s="35">
        <v>1</v>
      </c>
      <c r="BG1300" s="52">
        <v>1</v>
      </c>
      <c r="BH1300" s="52"/>
      <c r="BI1300" s="52" t="s">
        <v>816</v>
      </c>
      <c r="BJ1300" s="52" t="s">
        <v>805</v>
      </c>
      <c r="BK1300" s="52">
        <v>2000</v>
      </c>
      <c r="BL1300" s="46" t="str">
        <f>BK1300&amp;BI1300</f>
        <v>2000Chelsea</v>
      </c>
      <c r="BM1300" s="52" t="str">
        <f>IF(AD1300="Home",BI1300,IF(AD1300="Away",BJ1300,Q1300))</f>
        <v>London</v>
      </c>
      <c r="BN1300" s="52"/>
      <c r="BO1300" s="52"/>
      <c r="BP1300" s="52"/>
      <c r="BQ1300" s="52"/>
      <c r="BR1300" s="52"/>
      <c r="BS1300" s="52"/>
      <c r="BT1300" s="52"/>
      <c r="BU1300" s="52"/>
      <c r="BV1300" s="52" t="s">
        <v>376</v>
      </c>
      <c r="BW1300" s="52" t="s">
        <v>376</v>
      </c>
      <c r="BX1300" s="52"/>
      <c r="BY1300" s="52"/>
      <c r="BZ1300" s="53"/>
      <c r="CA1300" s="53"/>
      <c r="CB1300" s="93" t="str">
        <f>IF(OR(C1300="",A1300="",B1300=""),"",TEXT(C1300,"0000")&amp;TEXT(A1300,"00")&amp;TEXT(B1300,"00"))</f>
        <v>20000409</v>
      </c>
    </row>
    <row r="1301" spans="1:80" s="50" customFormat="1" ht="12.95" customHeight="1" x14ac:dyDescent="0.2">
      <c r="A1301" s="46">
        <v>4</v>
      </c>
      <c r="B1301" s="46">
        <v>9</v>
      </c>
      <c r="C1301" s="46">
        <v>2000</v>
      </c>
      <c r="D1301" s="52" t="s">
        <v>658</v>
      </c>
      <c r="E1301" s="52" t="s">
        <v>327</v>
      </c>
      <c r="F1301" s="52" t="s">
        <v>1010</v>
      </c>
      <c r="G1301" s="52"/>
      <c r="H1301" s="52" t="s">
        <v>1011</v>
      </c>
      <c r="I1301" s="52"/>
      <c r="J1301" s="56">
        <v>36625</v>
      </c>
      <c r="K1301" s="52" t="s">
        <v>805</v>
      </c>
      <c r="L1301" s="52" t="s">
        <v>4</v>
      </c>
      <c r="M1301" s="52" t="s">
        <v>816</v>
      </c>
      <c r="N1301" s="57">
        <v>1</v>
      </c>
      <c r="O1301" s="57">
        <v>2</v>
      </c>
      <c r="P1301" s="52" t="s">
        <v>1268</v>
      </c>
      <c r="Q1301" s="52" t="s">
        <v>1017</v>
      </c>
      <c r="R1301" s="52" t="s">
        <v>376</v>
      </c>
      <c r="S1301" s="52"/>
      <c r="T1301" s="52"/>
      <c r="U1301" s="52"/>
      <c r="V1301" s="52"/>
      <c r="W1301" s="52"/>
      <c r="X1301" s="52"/>
      <c r="Y1301" s="52"/>
      <c r="Z1301" s="57"/>
      <c r="AA1301" s="52"/>
      <c r="AB1301" s="52"/>
      <c r="AC1301" s="52"/>
      <c r="AD1301" s="52"/>
      <c r="AE1301" s="50">
        <f>IF(L1301="W",1,0)</f>
        <v>0</v>
      </c>
      <c r="AF1301" s="50">
        <f>IF(L1301="T",1,0)</f>
        <v>0</v>
      </c>
      <c r="AG1301" s="50">
        <f>IF(L1301="L",1,0)</f>
        <v>1</v>
      </c>
      <c r="AH1301" s="52" t="s">
        <v>1227</v>
      </c>
      <c r="AI1301" s="52" t="s">
        <v>1164</v>
      </c>
      <c r="AJ1301" s="52" t="s">
        <v>376</v>
      </c>
      <c r="AK1301" s="50" t="s">
        <v>658</v>
      </c>
      <c r="AL1301" s="52" t="s">
        <v>1017</v>
      </c>
      <c r="AM1301" s="52" t="s">
        <v>1018</v>
      </c>
      <c r="AN1301" s="52" t="s">
        <v>376</v>
      </c>
      <c r="AO1301" s="50" t="s">
        <v>658</v>
      </c>
      <c r="AP1301" s="52"/>
      <c r="AQ1301" s="52">
        <v>2</v>
      </c>
      <c r="AR1301" s="52"/>
      <c r="AS1301" s="52">
        <v>1</v>
      </c>
      <c r="AT1301" s="46"/>
      <c r="AU1301" s="52" t="s">
        <v>376</v>
      </c>
      <c r="AV1301" s="52"/>
      <c r="AW1301" s="52" t="s">
        <v>30</v>
      </c>
      <c r="AX1301" s="52"/>
      <c r="AY1301" s="52" t="s">
        <v>30</v>
      </c>
      <c r="AZ1301" s="52"/>
      <c r="BA1301" s="52"/>
      <c r="BB1301" s="60"/>
      <c r="BC1301" s="52"/>
      <c r="BD1301" s="60"/>
      <c r="BE1301" s="60"/>
      <c r="BF1301" s="35">
        <v>1</v>
      </c>
      <c r="BG1301" s="52">
        <v>1</v>
      </c>
      <c r="BH1301" s="52"/>
      <c r="BI1301" s="52" t="s">
        <v>805</v>
      </c>
      <c r="BJ1301" s="52" t="s">
        <v>816</v>
      </c>
      <c r="BK1301" s="52">
        <v>2000</v>
      </c>
      <c r="BL1301" s="46" t="str">
        <f>BK1301&amp;BI1301</f>
        <v>2000Newcastle United</v>
      </c>
      <c r="BM1301" s="52" t="str">
        <f>IF(AD1301="Home",BI1301,IF(AD1301="Away",BJ1301,Q1301))</f>
        <v>London</v>
      </c>
      <c r="BN1301" s="52"/>
      <c r="BO1301" s="52"/>
      <c r="BP1301" s="52"/>
      <c r="BQ1301" s="52"/>
      <c r="BR1301" s="52"/>
      <c r="BS1301" s="52"/>
      <c r="BT1301" s="52"/>
      <c r="BU1301" s="52"/>
      <c r="BV1301" s="52" t="s">
        <v>376</v>
      </c>
      <c r="BW1301" s="52" t="s">
        <v>376</v>
      </c>
      <c r="BX1301" s="52"/>
      <c r="BY1301" s="52"/>
      <c r="BZ1301" s="53"/>
      <c r="CA1301" s="53"/>
      <c r="CB1301" s="93" t="str">
        <f>IF(OR(C1301="",A1301="",B1301=""),"",TEXT(C1301,"0000")&amp;TEXT(A1301,"00")&amp;TEXT(B1301,"00"))</f>
        <v>20000409</v>
      </c>
    </row>
    <row r="1302" spans="1:80" s="50" customFormat="1" ht="12.95" customHeight="1" x14ac:dyDescent="0.2">
      <c r="A1302" s="46">
        <v>5</v>
      </c>
      <c r="B1302" s="46">
        <v>20</v>
      </c>
      <c r="C1302" s="46">
        <v>2000</v>
      </c>
      <c r="D1302" s="52" t="s">
        <v>658</v>
      </c>
      <c r="E1302" s="52" t="s">
        <v>327</v>
      </c>
      <c r="F1302" s="52" t="s">
        <v>1010</v>
      </c>
      <c r="G1302" s="52"/>
      <c r="H1302" s="52" t="s">
        <v>40</v>
      </c>
      <c r="I1302" s="52"/>
      <c r="J1302" s="56">
        <v>36666</v>
      </c>
      <c r="K1302" s="52" t="s">
        <v>816</v>
      </c>
      <c r="L1302" s="52" t="s">
        <v>3</v>
      </c>
      <c r="M1302" s="52" t="s">
        <v>806</v>
      </c>
      <c r="N1302" s="57">
        <v>1</v>
      </c>
      <c r="O1302" s="57">
        <v>0</v>
      </c>
      <c r="P1302" s="52" t="s">
        <v>1268</v>
      </c>
      <c r="Q1302" s="52" t="s">
        <v>1017</v>
      </c>
      <c r="R1302" s="52" t="s">
        <v>376</v>
      </c>
      <c r="S1302" s="52"/>
      <c r="T1302" s="52"/>
      <c r="U1302" s="52"/>
      <c r="V1302" s="52"/>
      <c r="W1302" s="52"/>
      <c r="X1302" s="52"/>
      <c r="Y1302" s="52"/>
      <c r="Z1302" s="57"/>
      <c r="AA1302" s="52"/>
      <c r="AB1302" s="52"/>
      <c r="AC1302" s="52"/>
      <c r="AD1302" s="52"/>
      <c r="AE1302" s="50">
        <f>IF(L1302="W",1,0)</f>
        <v>1</v>
      </c>
      <c r="AF1302" s="50">
        <f>IF(L1302="T",1,0)</f>
        <v>0</v>
      </c>
      <c r="AG1302" s="50">
        <f>IF(L1302="L",1,0)</f>
        <v>0</v>
      </c>
      <c r="AH1302" s="52" t="s">
        <v>1017</v>
      </c>
      <c r="AI1302" s="52" t="s">
        <v>1018</v>
      </c>
      <c r="AJ1302" s="52" t="s">
        <v>376</v>
      </c>
      <c r="AK1302" s="50" t="s">
        <v>658</v>
      </c>
      <c r="AL1302" s="52" t="s">
        <v>1111</v>
      </c>
      <c r="AM1302" s="52" t="s">
        <v>1126</v>
      </c>
      <c r="AN1302" s="52" t="s">
        <v>376</v>
      </c>
      <c r="AO1302" s="50" t="s">
        <v>658</v>
      </c>
      <c r="AP1302" s="52"/>
      <c r="AQ1302" s="52">
        <v>1</v>
      </c>
      <c r="AR1302" s="52"/>
      <c r="AS1302" s="52" t="s">
        <v>1393</v>
      </c>
      <c r="AT1302" s="46"/>
      <c r="AU1302" s="52" t="s">
        <v>376</v>
      </c>
      <c r="AV1302" s="52"/>
      <c r="AW1302" s="52" t="s">
        <v>30</v>
      </c>
      <c r="AX1302" s="52"/>
      <c r="AY1302" s="57" t="s">
        <v>30</v>
      </c>
      <c r="AZ1302" s="52"/>
      <c r="BA1302" s="52"/>
      <c r="BB1302" s="60" t="s">
        <v>30</v>
      </c>
      <c r="BC1302" s="52" t="s">
        <v>30</v>
      </c>
      <c r="BD1302" s="60"/>
      <c r="BE1302" s="60" t="s">
        <v>1400</v>
      </c>
      <c r="BF1302" s="35">
        <v>1</v>
      </c>
      <c r="BG1302" s="52">
        <v>1</v>
      </c>
      <c r="BH1302" s="52"/>
      <c r="BI1302" s="52" t="s">
        <v>816</v>
      </c>
      <c r="BJ1302" s="52" t="s">
        <v>806</v>
      </c>
      <c r="BK1302" s="52">
        <v>2000</v>
      </c>
      <c r="BL1302" s="46" t="str">
        <f>BK1302&amp;BI1302</f>
        <v>2000Chelsea</v>
      </c>
      <c r="BM1302" s="52" t="str">
        <f>IF(AD1302="Home",BI1302,IF(AD1302="Away",BJ1302,Q1302))</f>
        <v>London</v>
      </c>
      <c r="BN1302" s="52"/>
      <c r="BO1302" s="52"/>
      <c r="BP1302" s="52"/>
      <c r="BQ1302" s="52"/>
      <c r="BR1302" s="52"/>
      <c r="BS1302" s="52"/>
      <c r="BT1302" s="52"/>
      <c r="BU1302" s="52"/>
      <c r="BV1302" s="52" t="s">
        <v>376</v>
      </c>
      <c r="BW1302" s="52" t="s">
        <v>376</v>
      </c>
      <c r="BX1302" s="52"/>
      <c r="BY1302" s="52"/>
      <c r="BZ1302" s="53"/>
      <c r="CA1302" s="53"/>
      <c r="CB1302" s="93" t="str">
        <f>IF(OR(C1302="",A1302="",B1302=""),"",TEXT(C1302,"0000")&amp;TEXT(A1302,"00")&amp;TEXT(B1302,"00"))</f>
        <v>20000520</v>
      </c>
    </row>
    <row r="1303" spans="1:80" s="50" customFormat="1" ht="12.95" customHeight="1" x14ac:dyDescent="0.2">
      <c r="A1303" s="46">
        <v>5</v>
      </c>
      <c r="B1303" s="46">
        <v>20</v>
      </c>
      <c r="C1303" s="46">
        <v>2000</v>
      </c>
      <c r="D1303" s="52" t="s">
        <v>658</v>
      </c>
      <c r="E1303" s="52" t="s">
        <v>327</v>
      </c>
      <c r="F1303" s="52" t="s">
        <v>1010</v>
      </c>
      <c r="G1303" s="52"/>
      <c r="H1303" s="52" t="s">
        <v>40</v>
      </c>
      <c r="I1303" s="52"/>
      <c r="J1303" s="56">
        <v>36666</v>
      </c>
      <c r="K1303" s="52" t="s">
        <v>806</v>
      </c>
      <c r="L1303" s="52" t="s">
        <v>4</v>
      </c>
      <c r="M1303" s="52" t="s">
        <v>816</v>
      </c>
      <c r="N1303" s="57">
        <v>0</v>
      </c>
      <c r="O1303" s="57">
        <v>1</v>
      </c>
      <c r="P1303" s="52" t="s">
        <v>1268</v>
      </c>
      <c r="Q1303" s="52" t="s">
        <v>1017</v>
      </c>
      <c r="R1303" s="52" t="s">
        <v>376</v>
      </c>
      <c r="S1303" s="52"/>
      <c r="T1303" s="52"/>
      <c r="U1303" s="52"/>
      <c r="V1303" s="52"/>
      <c r="W1303" s="52"/>
      <c r="X1303" s="52"/>
      <c r="Y1303" s="52"/>
      <c r="Z1303" s="57"/>
      <c r="AA1303" s="52"/>
      <c r="AB1303" s="52"/>
      <c r="AC1303" s="52"/>
      <c r="AD1303" s="52"/>
      <c r="AE1303" s="50">
        <f>IF(L1303="W",1,0)</f>
        <v>0</v>
      </c>
      <c r="AF1303" s="50">
        <f>IF(L1303="T",1,0)</f>
        <v>0</v>
      </c>
      <c r="AG1303" s="50">
        <f>IF(L1303="L",1,0)</f>
        <v>1</v>
      </c>
      <c r="AH1303" s="52" t="s">
        <v>1111</v>
      </c>
      <c r="AI1303" s="52" t="s">
        <v>1126</v>
      </c>
      <c r="AJ1303" s="52" t="s">
        <v>376</v>
      </c>
      <c r="AK1303" s="50" t="s">
        <v>658</v>
      </c>
      <c r="AL1303" s="52" t="s">
        <v>1017</v>
      </c>
      <c r="AM1303" s="52" t="s">
        <v>1018</v>
      </c>
      <c r="AN1303" s="52" t="s">
        <v>376</v>
      </c>
      <c r="AO1303" s="50" t="s">
        <v>658</v>
      </c>
      <c r="AP1303" s="52"/>
      <c r="AQ1303" s="52">
        <v>1</v>
      </c>
      <c r="AR1303" s="52"/>
      <c r="AS1303" s="52">
        <v>1</v>
      </c>
      <c r="AT1303" s="46"/>
      <c r="AU1303" s="52" t="s">
        <v>376</v>
      </c>
      <c r="AV1303" s="52"/>
      <c r="AW1303" s="52" t="s">
        <v>30</v>
      </c>
      <c r="AX1303" s="52"/>
      <c r="AY1303" s="52" t="s">
        <v>30</v>
      </c>
      <c r="AZ1303" s="52"/>
      <c r="BA1303" s="52"/>
      <c r="BB1303" s="60"/>
      <c r="BC1303" s="52" t="s">
        <v>30</v>
      </c>
      <c r="BD1303" s="60"/>
      <c r="BE1303" s="60"/>
      <c r="BF1303" s="35">
        <v>1</v>
      </c>
      <c r="BG1303" s="52">
        <v>1</v>
      </c>
      <c r="BH1303" s="52"/>
      <c r="BI1303" s="52" t="s">
        <v>806</v>
      </c>
      <c r="BJ1303" s="52" t="s">
        <v>816</v>
      </c>
      <c r="BK1303" s="52">
        <v>2000</v>
      </c>
      <c r="BL1303" s="46" t="str">
        <f>BK1303&amp;BI1303</f>
        <v>2000Aston Villa</v>
      </c>
      <c r="BM1303" s="52" t="str">
        <f>IF(AD1303="Home",BI1303,IF(AD1303="Away",BJ1303,Q1303))</f>
        <v>London</v>
      </c>
      <c r="BN1303" s="52"/>
      <c r="BO1303" s="52"/>
      <c r="BP1303" s="52"/>
      <c r="BQ1303" s="52"/>
      <c r="BR1303" s="52"/>
      <c r="BS1303" s="52"/>
      <c r="BT1303" s="52"/>
      <c r="BU1303" s="52"/>
      <c r="BV1303" s="52" t="s">
        <v>376</v>
      </c>
      <c r="BW1303" s="52" t="s">
        <v>376</v>
      </c>
      <c r="BX1303" s="52"/>
      <c r="BY1303" s="52"/>
      <c r="BZ1303" s="53"/>
      <c r="CA1303" s="53"/>
      <c r="CB1303" s="93" t="str">
        <f>IF(OR(C1303="",A1303="",B1303=""),"",TEXT(C1303,"0000")&amp;TEXT(A1303,"00")&amp;TEXT(B1303,"00"))</f>
        <v>20000520</v>
      </c>
    </row>
    <row r="1304" spans="1:80" s="50" customFormat="1" ht="12.95" customHeight="1" x14ac:dyDescent="0.2">
      <c r="A1304" s="46">
        <v>1</v>
      </c>
      <c r="B1304" s="46">
        <v>9</v>
      </c>
      <c r="C1304" s="46">
        <v>2001</v>
      </c>
      <c r="D1304" s="52" t="s">
        <v>658</v>
      </c>
      <c r="E1304" s="52" t="s">
        <v>306</v>
      </c>
      <c r="F1304" s="52" t="s">
        <v>1327</v>
      </c>
      <c r="G1304" s="52"/>
      <c r="H1304" s="52" t="s">
        <v>1011</v>
      </c>
      <c r="I1304" s="52">
        <v>1</v>
      </c>
      <c r="J1304" s="56">
        <v>36900</v>
      </c>
      <c r="K1304" s="52" t="s">
        <v>1363</v>
      </c>
      <c r="L1304" s="52" t="s">
        <v>3</v>
      </c>
      <c r="M1304" s="52" t="s">
        <v>1125</v>
      </c>
      <c r="N1304" s="57">
        <v>1</v>
      </c>
      <c r="O1304" s="57">
        <v>0</v>
      </c>
      <c r="P1304" s="52" t="s">
        <v>1378</v>
      </c>
      <c r="Q1304" s="52" t="s">
        <v>1364</v>
      </c>
      <c r="R1304" s="52" t="s">
        <v>376</v>
      </c>
      <c r="S1304" s="52"/>
      <c r="T1304" s="52"/>
      <c r="U1304" s="52"/>
      <c r="V1304" s="52"/>
      <c r="W1304" s="52"/>
      <c r="X1304" s="52"/>
      <c r="Y1304" s="52"/>
      <c r="Z1304" s="57"/>
      <c r="AA1304" s="58">
        <v>1</v>
      </c>
      <c r="AB1304" s="58">
        <v>0</v>
      </c>
      <c r="AC1304" s="59">
        <v>0</v>
      </c>
      <c r="AD1304" s="52" t="s">
        <v>1033</v>
      </c>
      <c r="AE1304" s="50">
        <f>IF(L1304="W",1,0)</f>
        <v>1</v>
      </c>
      <c r="AF1304" s="50">
        <f>IF(L1304="T",1,0)</f>
        <v>0</v>
      </c>
      <c r="AG1304" s="50">
        <f>IF(L1304="L",1,0)</f>
        <v>0</v>
      </c>
      <c r="AH1304" s="52" t="s">
        <v>1364</v>
      </c>
      <c r="AI1304" s="52" t="s">
        <v>1365</v>
      </c>
      <c r="AJ1304" s="52" t="s">
        <v>376</v>
      </c>
      <c r="AK1304" s="50" t="s">
        <v>658</v>
      </c>
      <c r="AL1304" s="52" t="s">
        <v>1111</v>
      </c>
      <c r="AM1304" s="52" t="s">
        <v>1126</v>
      </c>
      <c r="AN1304" s="52" t="s">
        <v>376</v>
      </c>
      <c r="AO1304" s="50" t="s">
        <v>658</v>
      </c>
      <c r="AP1304" s="52"/>
      <c r="AQ1304" s="52">
        <v>2</v>
      </c>
      <c r="AR1304" s="52"/>
      <c r="AS1304" s="52"/>
      <c r="AT1304" s="46"/>
      <c r="AU1304" s="52" t="s">
        <v>376</v>
      </c>
      <c r="AV1304" s="52"/>
      <c r="AW1304" s="52" t="s">
        <v>30</v>
      </c>
      <c r="AX1304" s="52"/>
      <c r="AY1304" s="52"/>
      <c r="AZ1304" s="52" t="s">
        <v>30</v>
      </c>
      <c r="BA1304" s="52"/>
      <c r="BB1304" s="60"/>
      <c r="BC1304" s="52"/>
      <c r="BD1304" s="60"/>
      <c r="BE1304" s="60"/>
      <c r="BF1304" s="35">
        <v>1</v>
      </c>
      <c r="BG1304" s="52">
        <v>1</v>
      </c>
      <c r="BH1304" s="52"/>
      <c r="BI1304" s="52" t="s">
        <v>1363</v>
      </c>
      <c r="BJ1304" s="52" t="s">
        <v>1125</v>
      </c>
      <c r="BK1304" s="52">
        <v>2001</v>
      </c>
      <c r="BL1304" s="46" t="str">
        <f>BK1304&amp;BI1304</f>
        <v>2001Ipswich Town</v>
      </c>
      <c r="BM1304" s="52" t="str">
        <f>IF(AD1304="Home",BI1304,IF(AD1304="Away",BJ1304,Q1304))</f>
        <v>Ipswich Town</v>
      </c>
      <c r="BN1304" s="52"/>
      <c r="BO1304" s="52"/>
      <c r="BP1304" s="52"/>
      <c r="BQ1304" s="52"/>
      <c r="BR1304" s="52"/>
      <c r="BS1304" s="52"/>
      <c r="BT1304" s="52"/>
      <c r="BU1304" s="52"/>
      <c r="BV1304" s="52" t="s">
        <v>376</v>
      </c>
      <c r="BW1304" s="52" t="s">
        <v>376</v>
      </c>
      <c r="BX1304" s="52"/>
      <c r="BY1304" s="52"/>
      <c r="BZ1304" s="53"/>
      <c r="CA1304" s="53"/>
      <c r="CB1304" s="93" t="str">
        <f>IF(OR(C1304="",A1304="",B1304=""),"",TEXT(C1304,"0000")&amp;TEXT(A1304,"00")&amp;TEXT(B1304,"00"))</f>
        <v>20010109</v>
      </c>
    </row>
    <row r="1305" spans="1:80" s="50" customFormat="1" ht="12.95" customHeight="1" x14ac:dyDescent="0.2">
      <c r="A1305" s="46">
        <v>1</v>
      </c>
      <c r="B1305" s="46">
        <v>9</v>
      </c>
      <c r="C1305" s="46">
        <v>2001</v>
      </c>
      <c r="D1305" s="46" t="s">
        <v>658</v>
      </c>
      <c r="E1305" s="46" t="s">
        <v>306</v>
      </c>
      <c r="F1305" s="54" t="s">
        <v>1327</v>
      </c>
      <c r="G1305" s="46"/>
      <c r="H1305" s="54" t="s">
        <v>1011</v>
      </c>
      <c r="I1305" s="54">
        <v>1</v>
      </c>
      <c r="J1305" s="55">
        <v>36900</v>
      </c>
      <c r="K1305" s="46" t="s">
        <v>1125</v>
      </c>
      <c r="L1305" s="46" t="s">
        <v>4</v>
      </c>
      <c r="M1305" s="46" t="s">
        <v>1363</v>
      </c>
      <c r="N1305" s="49">
        <v>0</v>
      </c>
      <c r="O1305" s="49">
        <v>1</v>
      </c>
      <c r="P1305" s="54" t="s">
        <v>1378</v>
      </c>
      <c r="Q1305" s="54" t="s">
        <v>1364</v>
      </c>
      <c r="R1305" s="54" t="s">
        <v>376</v>
      </c>
      <c r="S1305" s="46"/>
      <c r="T1305" s="46"/>
      <c r="U1305" s="46"/>
      <c r="V1305" s="46"/>
      <c r="W1305" s="46"/>
      <c r="X1305" s="46"/>
      <c r="Y1305" s="46"/>
      <c r="Z1305" s="46"/>
      <c r="AA1305" s="46"/>
      <c r="AB1305" s="46"/>
      <c r="AC1305" s="46"/>
      <c r="AD1305" s="46" t="s">
        <v>1037</v>
      </c>
      <c r="AE1305" s="50">
        <f>IF(L1305="W",1,0)</f>
        <v>0</v>
      </c>
      <c r="AF1305" s="50">
        <f>IF(L1305="T",1,0)</f>
        <v>0</v>
      </c>
      <c r="AG1305" s="50">
        <f>IF(L1305="L",1,0)</f>
        <v>1</v>
      </c>
      <c r="AH1305" s="46" t="s">
        <v>1111</v>
      </c>
      <c r="AI1305" s="46" t="s">
        <v>1126</v>
      </c>
      <c r="AJ1305" s="46" t="s">
        <v>376</v>
      </c>
      <c r="AK1305" s="46" t="s">
        <v>658</v>
      </c>
      <c r="AL1305" s="46" t="s">
        <v>1364</v>
      </c>
      <c r="AM1305" s="46" t="s">
        <v>1365</v>
      </c>
      <c r="AN1305" s="46" t="s">
        <v>376</v>
      </c>
      <c r="AO1305" s="46" t="s">
        <v>658</v>
      </c>
      <c r="AP1305" s="46"/>
      <c r="AQ1305" s="46">
        <v>2</v>
      </c>
      <c r="AR1305" s="46"/>
      <c r="AS1305" s="46"/>
      <c r="AT1305" s="46"/>
      <c r="AU1305" s="46" t="s">
        <v>376</v>
      </c>
      <c r="AV1305" s="46"/>
      <c r="AW1305" s="46" t="s">
        <v>30</v>
      </c>
      <c r="AX1305" s="46"/>
      <c r="AY1305" s="46"/>
      <c r="AZ1305" s="46" t="s">
        <v>30</v>
      </c>
      <c r="BA1305" s="54"/>
      <c r="BB1305" s="51"/>
      <c r="BC1305" s="46"/>
      <c r="BD1305" s="46"/>
      <c r="BE1305" s="46"/>
      <c r="BF1305" s="46">
        <v>1</v>
      </c>
      <c r="BG1305" s="46">
        <v>2</v>
      </c>
      <c r="BH1305" s="46">
        <v>1</v>
      </c>
      <c r="BI1305" s="46" t="s">
        <v>1125</v>
      </c>
      <c r="BJ1305" s="46" t="s">
        <v>1363</v>
      </c>
      <c r="BK1305" s="46">
        <v>2001</v>
      </c>
      <c r="BL1305" s="46" t="str">
        <f>BK1305&amp;BI1305</f>
        <v>2001Birmingham City</v>
      </c>
      <c r="BM1305" s="52" t="str">
        <f>IF(AD1305="Home",BI1305,IF(AD1305="Away",BJ1305,Q1305))</f>
        <v>Ipswich Town</v>
      </c>
      <c r="BN1305" s="46"/>
      <c r="BO1305" s="46"/>
      <c r="BP1305" s="46"/>
      <c r="BQ1305" s="46"/>
      <c r="BR1305" s="46"/>
      <c r="BS1305" s="46"/>
      <c r="BT1305" s="46"/>
      <c r="BU1305" s="46"/>
      <c r="BV1305" s="46" t="s">
        <v>376</v>
      </c>
      <c r="BW1305" s="46" t="s">
        <v>376</v>
      </c>
      <c r="BX1305" s="46"/>
      <c r="BY1305" s="52"/>
      <c r="BZ1305" s="53"/>
      <c r="CA1305" s="53"/>
      <c r="CB1305" s="93" t="str">
        <f>IF(OR(C1305="",A1305="",B1305=""),"",TEXT(C1305,"0000")&amp;TEXT(A1305,"00")&amp;TEXT(B1305,"00"))</f>
        <v>20010109</v>
      </c>
    </row>
    <row r="1306" spans="1:80" s="50" customFormat="1" ht="12.95" customHeight="1" x14ac:dyDescent="0.2">
      <c r="A1306" s="46">
        <v>1</v>
      </c>
      <c r="B1306" s="46">
        <v>10</v>
      </c>
      <c r="C1306" s="46">
        <v>2001</v>
      </c>
      <c r="D1306" s="46" t="s">
        <v>658</v>
      </c>
      <c r="E1306" s="46" t="s">
        <v>306</v>
      </c>
      <c r="F1306" s="54" t="s">
        <v>1327</v>
      </c>
      <c r="G1306" s="46"/>
      <c r="H1306" s="54" t="s">
        <v>1011</v>
      </c>
      <c r="I1306" s="54">
        <v>1</v>
      </c>
      <c r="J1306" s="55">
        <v>36901</v>
      </c>
      <c r="K1306" s="46" t="s">
        <v>798</v>
      </c>
      <c r="L1306" s="46" t="s">
        <v>3</v>
      </c>
      <c r="M1306" s="46" t="s">
        <v>588</v>
      </c>
      <c r="N1306" s="49">
        <v>2</v>
      </c>
      <c r="O1306" s="49">
        <v>1</v>
      </c>
      <c r="P1306" s="54" t="s">
        <v>1391</v>
      </c>
      <c r="Q1306" s="54" t="s">
        <v>1017</v>
      </c>
      <c r="R1306" s="54" t="s">
        <v>376</v>
      </c>
      <c r="S1306" s="46"/>
      <c r="T1306" s="46"/>
      <c r="U1306" s="46"/>
      <c r="V1306" s="46"/>
      <c r="W1306" s="46"/>
      <c r="X1306" s="46"/>
      <c r="Y1306" s="46"/>
      <c r="Z1306" s="46"/>
      <c r="AA1306" s="46"/>
      <c r="AB1306" s="46"/>
      <c r="AC1306" s="46"/>
      <c r="AD1306" s="46" t="s">
        <v>1033</v>
      </c>
      <c r="AE1306" s="50">
        <f>IF(L1306="W",1,0)</f>
        <v>1</v>
      </c>
      <c r="AF1306" s="50">
        <f>IF(L1306="T",1,0)</f>
        <v>0</v>
      </c>
      <c r="AG1306" s="50">
        <f>IF(L1306="L",1,0)</f>
        <v>0</v>
      </c>
      <c r="AH1306" s="46" t="s">
        <v>1017</v>
      </c>
      <c r="AI1306" s="46" t="s">
        <v>1018</v>
      </c>
      <c r="AJ1306" s="46" t="s">
        <v>376</v>
      </c>
      <c r="AK1306" s="46" t="s">
        <v>658</v>
      </c>
      <c r="AL1306" s="46" t="s">
        <v>588</v>
      </c>
      <c r="AM1306" s="46" t="s">
        <v>1175</v>
      </c>
      <c r="AN1306" s="46" t="s">
        <v>376</v>
      </c>
      <c r="AO1306" s="46" t="s">
        <v>658</v>
      </c>
      <c r="AP1306" s="46"/>
      <c r="AQ1306" s="46">
        <v>2</v>
      </c>
      <c r="AR1306" s="46"/>
      <c r="AS1306" s="46"/>
      <c r="AT1306" s="46"/>
      <c r="AU1306" s="46" t="s">
        <v>376</v>
      </c>
      <c r="AV1306" s="46"/>
      <c r="AW1306" s="46" t="s">
        <v>30</v>
      </c>
      <c r="AX1306" s="46"/>
      <c r="AY1306" s="46"/>
      <c r="AZ1306" s="46" t="s">
        <v>30</v>
      </c>
      <c r="BA1306" s="54"/>
      <c r="BB1306" s="51"/>
      <c r="BC1306" s="46"/>
      <c r="BD1306" s="46"/>
      <c r="BE1306" s="46"/>
      <c r="BF1306" s="46">
        <v>1</v>
      </c>
      <c r="BG1306" s="46">
        <v>2</v>
      </c>
      <c r="BH1306" s="46">
        <v>1</v>
      </c>
      <c r="BI1306" s="46" t="s">
        <v>798</v>
      </c>
      <c r="BJ1306" s="46" t="s">
        <v>588</v>
      </c>
      <c r="BK1306" s="46">
        <v>2001</v>
      </c>
      <c r="BL1306" s="46" t="str">
        <f>BK1306&amp;BI1306</f>
        <v>2001Crystal Palace</v>
      </c>
      <c r="BM1306" s="52" t="str">
        <f>IF(AD1306="Home",BI1306,IF(AD1306="Away",BJ1306,Q1306))</f>
        <v>Crystal Palace</v>
      </c>
      <c r="BN1306" s="46"/>
      <c r="BO1306" s="46"/>
      <c r="BP1306" s="46"/>
      <c r="BQ1306" s="46"/>
      <c r="BR1306" s="46"/>
      <c r="BS1306" s="46"/>
      <c r="BT1306" s="46"/>
      <c r="BU1306" s="46"/>
      <c r="BV1306" s="46" t="s">
        <v>376</v>
      </c>
      <c r="BW1306" s="46" t="s">
        <v>376</v>
      </c>
      <c r="BX1306" s="46"/>
      <c r="BY1306" s="52"/>
      <c r="BZ1306" s="53"/>
      <c r="CA1306" s="53"/>
      <c r="CB1306" s="93" t="str">
        <f>IF(OR(C1306="",A1306="",B1306=""),"",TEXT(C1306,"0000")&amp;TEXT(A1306,"00")&amp;TEXT(B1306,"00"))</f>
        <v>20010110</v>
      </c>
    </row>
    <row r="1307" spans="1:80" s="50" customFormat="1" ht="12.95" customHeight="1" x14ac:dyDescent="0.2">
      <c r="A1307" s="46">
        <v>1</v>
      </c>
      <c r="B1307" s="46">
        <v>10</v>
      </c>
      <c r="C1307" s="46">
        <v>2001</v>
      </c>
      <c r="D1307" s="52" t="s">
        <v>658</v>
      </c>
      <c r="E1307" s="52" t="s">
        <v>306</v>
      </c>
      <c r="F1307" s="52" t="s">
        <v>1327</v>
      </c>
      <c r="G1307" s="52"/>
      <c r="H1307" s="52" t="s">
        <v>1011</v>
      </c>
      <c r="I1307" s="52">
        <v>1</v>
      </c>
      <c r="J1307" s="56">
        <v>36901</v>
      </c>
      <c r="K1307" s="52" t="s">
        <v>588</v>
      </c>
      <c r="L1307" s="52" t="s">
        <v>4</v>
      </c>
      <c r="M1307" s="52" t="s">
        <v>798</v>
      </c>
      <c r="N1307" s="57">
        <v>1</v>
      </c>
      <c r="O1307" s="57">
        <v>2</v>
      </c>
      <c r="P1307" s="52" t="s">
        <v>1391</v>
      </c>
      <c r="Q1307" s="52" t="s">
        <v>1017</v>
      </c>
      <c r="R1307" s="52" t="s">
        <v>376</v>
      </c>
      <c r="S1307" s="52"/>
      <c r="T1307" s="52"/>
      <c r="U1307" s="52"/>
      <c r="V1307" s="52"/>
      <c r="W1307" s="52"/>
      <c r="X1307" s="52"/>
      <c r="Y1307" s="52"/>
      <c r="Z1307" s="57"/>
      <c r="AA1307" s="58">
        <v>1</v>
      </c>
      <c r="AB1307" s="58">
        <v>2</v>
      </c>
      <c r="AC1307" s="59">
        <v>1</v>
      </c>
      <c r="AD1307" s="52" t="s">
        <v>1037</v>
      </c>
      <c r="AE1307" s="50">
        <f>IF(L1307="W",1,0)</f>
        <v>0</v>
      </c>
      <c r="AF1307" s="50">
        <f>IF(L1307="T",1,0)</f>
        <v>0</v>
      </c>
      <c r="AG1307" s="50">
        <f>IF(L1307="L",1,0)</f>
        <v>1</v>
      </c>
      <c r="AH1307" s="52" t="s">
        <v>588</v>
      </c>
      <c r="AI1307" s="52" t="s">
        <v>1175</v>
      </c>
      <c r="AJ1307" s="52" t="s">
        <v>376</v>
      </c>
      <c r="AK1307" s="50" t="s">
        <v>658</v>
      </c>
      <c r="AL1307" s="52" t="s">
        <v>1017</v>
      </c>
      <c r="AM1307" s="52" t="s">
        <v>1018</v>
      </c>
      <c r="AN1307" s="52" t="s">
        <v>376</v>
      </c>
      <c r="AO1307" s="50" t="s">
        <v>658</v>
      </c>
      <c r="AP1307" s="52"/>
      <c r="AQ1307" s="52">
        <v>2</v>
      </c>
      <c r="AR1307" s="52"/>
      <c r="AS1307" s="52"/>
      <c r="AT1307" s="46"/>
      <c r="AU1307" s="52" t="s">
        <v>376</v>
      </c>
      <c r="AV1307" s="52"/>
      <c r="AW1307" s="52" t="s">
        <v>30</v>
      </c>
      <c r="AX1307" s="52"/>
      <c r="AY1307" s="52"/>
      <c r="AZ1307" s="52" t="s">
        <v>30</v>
      </c>
      <c r="BA1307" s="52"/>
      <c r="BB1307" s="60"/>
      <c r="BC1307" s="52"/>
      <c r="BD1307" s="60"/>
      <c r="BE1307" s="60"/>
      <c r="BF1307" s="35">
        <v>1</v>
      </c>
      <c r="BG1307" s="52">
        <v>1</v>
      </c>
      <c r="BH1307" s="52"/>
      <c r="BI1307" s="52" t="s">
        <v>588</v>
      </c>
      <c r="BJ1307" s="52" t="s">
        <v>798</v>
      </c>
      <c r="BK1307" s="52">
        <v>2001</v>
      </c>
      <c r="BL1307" s="46" t="str">
        <f>BK1307&amp;BI1307</f>
        <v>2001Liverpool</v>
      </c>
      <c r="BM1307" s="52" t="str">
        <f>IF(AD1307="Home",BI1307,IF(AD1307="Away",BJ1307,Q1307))</f>
        <v>Crystal Palace</v>
      </c>
      <c r="BN1307" s="52"/>
      <c r="BO1307" s="52"/>
      <c r="BP1307" s="52"/>
      <c r="BQ1307" s="52"/>
      <c r="BR1307" s="52"/>
      <c r="BS1307" s="52"/>
      <c r="BT1307" s="52"/>
      <c r="BU1307" s="52"/>
      <c r="BV1307" s="52" t="s">
        <v>376</v>
      </c>
      <c r="BW1307" s="52" t="s">
        <v>376</v>
      </c>
      <c r="BX1307" s="52"/>
      <c r="BY1307" s="52"/>
      <c r="BZ1307" s="53"/>
      <c r="CA1307" s="53"/>
      <c r="CB1307" s="93" t="str">
        <f>IF(OR(C1307="",A1307="",B1307=""),"",TEXT(C1307,"0000")&amp;TEXT(A1307,"00")&amp;TEXT(B1307,"00"))</f>
        <v>20010110</v>
      </c>
    </row>
    <row r="1308" spans="1:80" s="50" customFormat="1" ht="12.95" customHeight="1" x14ac:dyDescent="0.2">
      <c r="A1308" s="46">
        <v>1</v>
      </c>
      <c r="B1308" s="46">
        <v>24</v>
      </c>
      <c r="C1308" s="46">
        <v>2001</v>
      </c>
      <c r="D1308" s="52" t="s">
        <v>658</v>
      </c>
      <c r="E1308" s="52" t="s">
        <v>306</v>
      </c>
      <c r="F1308" s="52" t="s">
        <v>1327</v>
      </c>
      <c r="G1308" s="52"/>
      <c r="H1308" s="52" t="s">
        <v>1011</v>
      </c>
      <c r="I1308" s="52">
        <v>2</v>
      </c>
      <c r="J1308" s="56">
        <v>36915</v>
      </c>
      <c r="K1308" s="52" t="s">
        <v>588</v>
      </c>
      <c r="L1308" s="52" t="s">
        <v>3</v>
      </c>
      <c r="M1308" s="52" t="s">
        <v>798</v>
      </c>
      <c r="N1308" s="57">
        <v>5</v>
      </c>
      <c r="O1308" s="57">
        <v>0</v>
      </c>
      <c r="P1308" s="52" t="s">
        <v>1141</v>
      </c>
      <c r="Q1308" s="52" t="s">
        <v>588</v>
      </c>
      <c r="R1308" s="52" t="s">
        <v>376</v>
      </c>
      <c r="S1308" s="52"/>
      <c r="T1308" s="52"/>
      <c r="U1308" s="52"/>
      <c r="V1308" s="52"/>
      <c r="W1308" s="52"/>
      <c r="X1308" s="52"/>
      <c r="Y1308" s="52"/>
      <c r="Z1308" s="57"/>
      <c r="AA1308" s="58">
        <v>6</v>
      </c>
      <c r="AB1308" s="58">
        <v>2</v>
      </c>
      <c r="AC1308" s="59">
        <v>1</v>
      </c>
      <c r="AD1308" s="52" t="s">
        <v>1033</v>
      </c>
      <c r="AE1308" s="50">
        <f>IF(L1308="W",1,0)</f>
        <v>1</v>
      </c>
      <c r="AF1308" s="50">
        <f>IF(L1308="T",1,0)</f>
        <v>0</v>
      </c>
      <c r="AG1308" s="50">
        <f>IF(L1308="L",1,0)</f>
        <v>0</v>
      </c>
      <c r="AH1308" s="52" t="s">
        <v>588</v>
      </c>
      <c r="AI1308" s="52" t="s">
        <v>1175</v>
      </c>
      <c r="AJ1308" s="52" t="s">
        <v>376</v>
      </c>
      <c r="AK1308" s="50" t="s">
        <v>658</v>
      </c>
      <c r="AL1308" s="52" t="s">
        <v>1017</v>
      </c>
      <c r="AM1308" s="52" t="s">
        <v>1018</v>
      </c>
      <c r="AN1308" s="52" t="s">
        <v>376</v>
      </c>
      <c r="AO1308" s="50" t="s">
        <v>658</v>
      </c>
      <c r="AP1308" s="52"/>
      <c r="AQ1308" s="52">
        <v>2</v>
      </c>
      <c r="AR1308" s="52"/>
      <c r="AS1308" s="52"/>
      <c r="AT1308" s="46"/>
      <c r="AU1308" s="52" t="s">
        <v>376</v>
      </c>
      <c r="AV1308" s="52"/>
      <c r="AW1308" s="52" t="s">
        <v>30</v>
      </c>
      <c r="AX1308" s="52"/>
      <c r="AY1308" s="52"/>
      <c r="AZ1308" s="52" t="s">
        <v>30</v>
      </c>
      <c r="BA1308" s="52"/>
      <c r="BB1308" s="60"/>
      <c r="BC1308" s="52"/>
      <c r="BD1308" s="60"/>
      <c r="BE1308" s="60"/>
      <c r="BF1308" s="35">
        <v>1</v>
      </c>
      <c r="BG1308" s="52">
        <v>1</v>
      </c>
      <c r="BH1308" s="52"/>
      <c r="BI1308" s="52" t="s">
        <v>588</v>
      </c>
      <c r="BJ1308" s="52" t="s">
        <v>798</v>
      </c>
      <c r="BK1308" s="52">
        <v>2001</v>
      </c>
      <c r="BL1308" s="46" t="str">
        <f>BK1308&amp;BI1308</f>
        <v>2001Liverpool</v>
      </c>
      <c r="BM1308" s="52" t="str">
        <f>IF(AD1308="Home",BI1308,IF(AD1308="Away",BJ1308,Q1308))</f>
        <v>Liverpool</v>
      </c>
      <c r="BN1308" s="52"/>
      <c r="BO1308" s="52"/>
      <c r="BP1308" s="52"/>
      <c r="BQ1308" s="52"/>
      <c r="BR1308" s="52"/>
      <c r="BS1308" s="52"/>
      <c r="BT1308" s="52"/>
      <c r="BU1308" s="52"/>
      <c r="BV1308" s="52" t="s">
        <v>376</v>
      </c>
      <c r="BW1308" s="52" t="s">
        <v>376</v>
      </c>
      <c r="BX1308" s="52"/>
      <c r="BY1308" s="52"/>
      <c r="BZ1308" s="53"/>
      <c r="CA1308" s="53"/>
      <c r="CB1308" s="93" t="str">
        <f>IF(OR(C1308="",A1308="",B1308=""),"",TEXT(C1308,"0000")&amp;TEXT(A1308,"00")&amp;TEXT(B1308,"00"))</f>
        <v>20010124</v>
      </c>
    </row>
    <row r="1309" spans="1:80" s="50" customFormat="1" ht="12.95" customHeight="1" x14ac:dyDescent="0.2">
      <c r="A1309" s="46">
        <v>1</v>
      </c>
      <c r="B1309" s="46">
        <v>24</v>
      </c>
      <c r="C1309" s="46">
        <v>2001</v>
      </c>
      <c r="D1309" s="46" t="s">
        <v>658</v>
      </c>
      <c r="E1309" s="46" t="s">
        <v>306</v>
      </c>
      <c r="F1309" s="54" t="s">
        <v>1327</v>
      </c>
      <c r="G1309" s="46"/>
      <c r="H1309" s="54" t="s">
        <v>1011</v>
      </c>
      <c r="I1309" s="54">
        <v>2</v>
      </c>
      <c r="J1309" s="55">
        <v>36915</v>
      </c>
      <c r="K1309" s="46" t="s">
        <v>798</v>
      </c>
      <c r="L1309" s="46" t="s">
        <v>4</v>
      </c>
      <c r="M1309" s="46" t="s">
        <v>588</v>
      </c>
      <c r="N1309" s="49">
        <v>0</v>
      </c>
      <c r="O1309" s="49">
        <v>5</v>
      </c>
      <c r="P1309" s="54" t="s">
        <v>1141</v>
      </c>
      <c r="Q1309" s="54" t="s">
        <v>588</v>
      </c>
      <c r="R1309" s="54" t="s">
        <v>376</v>
      </c>
      <c r="S1309" s="46"/>
      <c r="T1309" s="46"/>
      <c r="U1309" s="46"/>
      <c r="V1309" s="46"/>
      <c r="W1309" s="46"/>
      <c r="X1309" s="46"/>
      <c r="Y1309" s="46"/>
      <c r="Z1309" s="46"/>
      <c r="AA1309" s="46"/>
      <c r="AB1309" s="46"/>
      <c r="AC1309" s="46"/>
      <c r="AD1309" s="46" t="s">
        <v>1037</v>
      </c>
      <c r="AE1309" s="50">
        <f>IF(L1309="W",1,0)</f>
        <v>0</v>
      </c>
      <c r="AF1309" s="50">
        <f>IF(L1309="T",1,0)</f>
        <v>0</v>
      </c>
      <c r="AG1309" s="50">
        <f>IF(L1309="L",1,0)</f>
        <v>1</v>
      </c>
      <c r="AH1309" s="46" t="s">
        <v>1017</v>
      </c>
      <c r="AI1309" s="46" t="s">
        <v>1018</v>
      </c>
      <c r="AJ1309" s="46" t="s">
        <v>376</v>
      </c>
      <c r="AK1309" s="46" t="s">
        <v>658</v>
      </c>
      <c r="AL1309" s="46" t="s">
        <v>588</v>
      </c>
      <c r="AM1309" s="46" t="s">
        <v>1175</v>
      </c>
      <c r="AN1309" s="46" t="s">
        <v>376</v>
      </c>
      <c r="AO1309" s="46" t="s">
        <v>658</v>
      </c>
      <c r="AP1309" s="46"/>
      <c r="AQ1309" s="46">
        <v>2</v>
      </c>
      <c r="AR1309" s="46"/>
      <c r="AS1309" s="46"/>
      <c r="AT1309" s="46"/>
      <c r="AU1309" s="46" t="s">
        <v>376</v>
      </c>
      <c r="AV1309" s="46"/>
      <c r="AW1309" s="46" t="s">
        <v>30</v>
      </c>
      <c r="AX1309" s="46"/>
      <c r="AY1309" s="46"/>
      <c r="AZ1309" s="46" t="s">
        <v>30</v>
      </c>
      <c r="BA1309" s="54"/>
      <c r="BB1309" s="51"/>
      <c r="BC1309" s="46"/>
      <c r="BD1309" s="46"/>
      <c r="BE1309" s="46"/>
      <c r="BF1309" s="46">
        <v>1</v>
      </c>
      <c r="BG1309" s="46">
        <v>2</v>
      </c>
      <c r="BH1309" s="46">
        <v>1</v>
      </c>
      <c r="BI1309" s="46" t="s">
        <v>798</v>
      </c>
      <c r="BJ1309" s="46" t="s">
        <v>588</v>
      </c>
      <c r="BK1309" s="46">
        <v>2001</v>
      </c>
      <c r="BL1309" s="46" t="str">
        <f>BK1309&amp;BI1309</f>
        <v>2001Crystal Palace</v>
      </c>
      <c r="BM1309" s="52" t="str">
        <f>IF(AD1309="Home",BI1309,IF(AD1309="Away",BJ1309,Q1309))</f>
        <v>Liverpool</v>
      </c>
      <c r="BN1309" s="46"/>
      <c r="BO1309" s="46"/>
      <c r="BP1309" s="46"/>
      <c r="BQ1309" s="46"/>
      <c r="BR1309" s="46"/>
      <c r="BS1309" s="46"/>
      <c r="BT1309" s="46"/>
      <c r="BU1309" s="46"/>
      <c r="BV1309" s="46" t="s">
        <v>376</v>
      </c>
      <c r="BW1309" s="46" t="s">
        <v>376</v>
      </c>
      <c r="BX1309" s="46"/>
      <c r="BY1309" s="52"/>
      <c r="BZ1309" s="53"/>
      <c r="CA1309" s="53"/>
      <c r="CB1309" s="93" t="str">
        <f>IF(OR(C1309="",A1309="",B1309=""),"",TEXT(C1309,"0000")&amp;TEXT(A1309,"00")&amp;TEXT(B1309,"00"))</f>
        <v>20010124</v>
      </c>
    </row>
    <row r="1310" spans="1:80" s="50" customFormat="1" ht="12.95" customHeight="1" x14ac:dyDescent="0.2">
      <c r="A1310" s="46">
        <v>1</v>
      </c>
      <c r="B1310" s="46">
        <v>31</v>
      </c>
      <c r="C1310" s="46">
        <v>2001</v>
      </c>
      <c r="D1310" s="46" t="s">
        <v>658</v>
      </c>
      <c r="E1310" s="46" t="s">
        <v>306</v>
      </c>
      <c r="F1310" s="54" t="s">
        <v>1327</v>
      </c>
      <c r="G1310" s="46"/>
      <c r="H1310" s="54" t="s">
        <v>1011</v>
      </c>
      <c r="I1310" s="54">
        <v>2</v>
      </c>
      <c r="J1310" s="55">
        <v>36922</v>
      </c>
      <c r="K1310" s="46" t="s">
        <v>1125</v>
      </c>
      <c r="L1310" s="46" t="s">
        <v>3</v>
      </c>
      <c r="M1310" s="46" t="s">
        <v>1363</v>
      </c>
      <c r="N1310" s="49">
        <v>4</v>
      </c>
      <c r="O1310" s="49">
        <v>1</v>
      </c>
      <c r="P1310" s="54" t="s">
        <v>1232</v>
      </c>
      <c r="Q1310" s="54" t="s">
        <v>1111</v>
      </c>
      <c r="R1310" s="54" t="s">
        <v>376</v>
      </c>
      <c r="S1310" s="46"/>
      <c r="T1310" s="46"/>
      <c r="U1310" s="46"/>
      <c r="V1310" s="46"/>
      <c r="W1310" s="46"/>
      <c r="X1310" s="46"/>
      <c r="Y1310" s="46"/>
      <c r="Z1310" s="46"/>
      <c r="AA1310" s="46"/>
      <c r="AB1310" s="46"/>
      <c r="AC1310" s="46"/>
      <c r="AD1310" s="46" t="s">
        <v>1033</v>
      </c>
      <c r="AE1310" s="50">
        <f>IF(L1310="W",1,0)</f>
        <v>1</v>
      </c>
      <c r="AF1310" s="50">
        <f>IF(L1310="T",1,0)</f>
        <v>0</v>
      </c>
      <c r="AG1310" s="50">
        <f>IF(L1310="L",1,0)</f>
        <v>0</v>
      </c>
      <c r="AH1310" s="46" t="s">
        <v>1111</v>
      </c>
      <c r="AI1310" s="46" t="s">
        <v>1126</v>
      </c>
      <c r="AJ1310" s="46" t="s">
        <v>376</v>
      </c>
      <c r="AK1310" s="46" t="s">
        <v>658</v>
      </c>
      <c r="AL1310" s="46" t="s">
        <v>1364</v>
      </c>
      <c r="AM1310" s="46" t="s">
        <v>1365</v>
      </c>
      <c r="AN1310" s="46" t="s">
        <v>376</v>
      </c>
      <c r="AO1310" s="46" t="s">
        <v>658</v>
      </c>
      <c r="AP1310" s="46"/>
      <c r="AQ1310" s="46">
        <v>2</v>
      </c>
      <c r="AR1310" s="46"/>
      <c r="AS1310" s="46"/>
      <c r="AT1310" s="46"/>
      <c r="AU1310" s="46" t="s">
        <v>376</v>
      </c>
      <c r="AV1310" s="46"/>
      <c r="AW1310" s="46" t="s">
        <v>30</v>
      </c>
      <c r="AX1310" s="46"/>
      <c r="AY1310" s="46"/>
      <c r="AZ1310" s="46" t="s">
        <v>30</v>
      </c>
      <c r="BA1310" s="54"/>
      <c r="BB1310" s="51"/>
      <c r="BC1310" s="46"/>
      <c r="BD1310" s="46"/>
      <c r="BE1310" s="46"/>
      <c r="BF1310" s="46">
        <v>1</v>
      </c>
      <c r="BG1310" s="46">
        <v>2</v>
      </c>
      <c r="BH1310" s="46">
        <v>1</v>
      </c>
      <c r="BI1310" s="46" t="s">
        <v>1125</v>
      </c>
      <c r="BJ1310" s="46" t="s">
        <v>1363</v>
      </c>
      <c r="BK1310" s="46">
        <v>2001</v>
      </c>
      <c r="BL1310" s="46" t="str">
        <f>BK1310&amp;BI1310</f>
        <v>2001Birmingham City</v>
      </c>
      <c r="BM1310" s="52" t="str">
        <f>IF(AD1310="Home",BI1310,IF(AD1310="Away",BJ1310,Q1310))</f>
        <v>Birmingham City</v>
      </c>
      <c r="BN1310" s="46"/>
      <c r="BO1310" s="46"/>
      <c r="BP1310" s="46"/>
      <c r="BQ1310" s="46"/>
      <c r="BR1310" s="46"/>
      <c r="BS1310" s="46"/>
      <c r="BT1310" s="46"/>
      <c r="BU1310" s="46"/>
      <c r="BV1310" s="46" t="s">
        <v>376</v>
      </c>
      <c r="BW1310" s="46" t="s">
        <v>376</v>
      </c>
      <c r="BX1310" s="46"/>
      <c r="BY1310" s="52"/>
      <c r="BZ1310" s="53"/>
      <c r="CA1310" s="53"/>
      <c r="CB1310" s="93" t="str">
        <f>IF(OR(C1310="",A1310="",B1310=""),"",TEXT(C1310,"0000")&amp;TEXT(A1310,"00")&amp;TEXT(B1310,"00"))</f>
        <v>20010131</v>
      </c>
    </row>
    <row r="1311" spans="1:80" s="50" customFormat="1" ht="12.95" customHeight="1" x14ac:dyDescent="0.2">
      <c r="A1311" s="46">
        <v>1</v>
      </c>
      <c r="B1311" s="46">
        <v>31</v>
      </c>
      <c r="C1311" s="46">
        <v>2001</v>
      </c>
      <c r="D1311" s="52" t="s">
        <v>658</v>
      </c>
      <c r="E1311" s="52" t="s">
        <v>306</v>
      </c>
      <c r="F1311" s="52" t="s">
        <v>1327</v>
      </c>
      <c r="G1311" s="52"/>
      <c r="H1311" s="52" t="s">
        <v>1011</v>
      </c>
      <c r="I1311" s="52">
        <v>2</v>
      </c>
      <c r="J1311" s="56">
        <v>36922</v>
      </c>
      <c r="K1311" s="52" t="s">
        <v>1363</v>
      </c>
      <c r="L1311" s="52" t="s">
        <v>4</v>
      </c>
      <c r="M1311" s="52" t="s">
        <v>1125</v>
      </c>
      <c r="N1311" s="57">
        <v>1</v>
      </c>
      <c r="O1311" s="57">
        <v>4</v>
      </c>
      <c r="P1311" s="52" t="s">
        <v>1232</v>
      </c>
      <c r="Q1311" s="52" t="s">
        <v>1111</v>
      </c>
      <c r="R1311" s="52" t="s">
        <v>376</v>
      </c>
      <c r="S1311" s="52" t="s">
        <v>1396</v>
      </c>
      <c r="T1311" s="52"/>
      <c r="U1311" s="52"/>
      <c r="V1311" s="52"/>
      <c r="W1311" s="52"/>
      <c r="X1311" s="52"/>
      <c r="Y1311" s="52"/>
      <c r="Z1311" s="57"/>
      <c r="AA1311" s="58">
        <v>2</v>
      </c>
      <c r="AB1311" s="58">
        <v>4</v>
      </c>
      <c r="AC1311" s="59">
        <v>1</v>
      </c>
      <c r="AD1311" s="52" t="s">
        <v>1037</v>
      </c>
      <c r="AE1311" s="50">
        <f>IF(L1311="W",1,0)</f>
        <v>0</v>
      </c>
      <c r="AF1311" s="50">
        <f>IF(L1311="T",1,0)</f>
        <v>0</v>
      </c>
      <c r="AG1311" s="50">
        <f>IF(L1311="L",1,0)</f>
        <v>1</v>
      </c>
      <c r="AH1311" s="52" t="s">
        <v>1364</v>
      </c>
      <c r="AI1311" s="52" t="s">
        <v>1365</v>
      </c>
      <c r="AJ1311" s="52" t="s">
        <v>376</v>
      </c>
      <c r="AK1311" s="50" t="s">
        <v>658</v>
      </c>
      <c r="AL1311" s="52" t="s">
        <v>1111</v>
      </c>
      <c r="AM1311" s="52" t="s">
        <v>1126</v>
      </c>
      <c r="AN1311" s="52" t="s">
        <v>376</v>
      </c>
      <c r="AO1311" s="50" t="s">
        <v>658</v>
      </c>
      <c r="AP1311" s="52"/>
      <c r="AQ1311" s="52">
        <v>2</v>
      </c>
      <c r="AR1311" s="52"/>
      <c r="AS1311" s="52">
        <v>1</v>
      </c>
      <c r="AT1311" s="46"/>
      <c r="AU1311" s="52" t="s">
        <v>376</v>
      </c>
      <c r="AV1311" s="52"/>
      <c r="AW1311" s="52" t="s">
        <v>30</v>
      </c>
      <c r="AX1311" s="52"/>
      <c r="AY1311" s="52"/>
      <c r="AZ1311" s="52" t="s">
        <v>30</v>
      </c>
      <c r="BA1311" s="52"/>
      <c r="BB1311" s="60"/>
      <c r="BC1311" s="52"/>
      <c r="BD1311" s="60"/>
      <c r="BE1311" s="60"/>
      <c r="BF1311" s="35">
        <v>1</v>
      </c>
      <c r="BG1311" s="52">
        <v>1</v>
      </c>
      <c r="BH1311" s="52"/>
      <c r="BI1311" s="52" t="s">
        <v>1363</v>
      </c>
      <c r="BJ1311" s="52" t="s">
        <v>1125</v>
      </c>
      <c r="BK1311" s="52">
        <v>2001</v>
      </c>
      <c r="BL1311" s="46" t="str">
        <f>BK1311&amp;BI1311</f>
        <v>2001Ipswich Town</v>
      </c>
      <c r="BM1311" s="52" t="str">
        <f>IF(AD1311="Home",BI1311,IF(AD1311="Away",BJ1311,Q1311))</f>
        <v>Birmingham City</v>
      </c>
      <c r="BN1311" s="52"/>
      <c r="BO1311" s="52"/>
      <c r="BP1311" s="52"/>
      <c r="BQ1311" s="52"/>
      <c r="BR1311" s="52"/>
      <c r="BS1311" s="52"/>
      <c r="BT1311" s="52"/>
      <c r="BU1311" s="52"/>
      <c r="BV1311" s="52" t="s">
        <v>376</v>
      </c>
      <c r="BW1311" s="52" t="s">
        <v>376</v>
      </c>
      <c r="BX1311" s="52"/>
      <c r="BY1311" s="52"/>
      <c r="BZ1311" s="53"/>
      <c r="CA1311" s="53"/>
      <c r="CB1311" s="93" t="str">
        <f>IF(OR(C1311="",A1311="",B1311=""),"",TEXT(C1311,"0000")&amp;TEXT(A1311,"00")&amp;TEXT(B1311,"00"))</f>
        <v>20010131</v>
      </c>
    </row>
    <row r="1312" spans="1:80" s="50" customFormat="1" ht="12.95" customHeight="1" x14ac:dyDescent="0.2">
      <c r="A1312" s="46">
        <v>2</v>
      </c>
      <c r="B1312" s="46">
        <v>25</v>
      </c>
      <c r="C1312" s="46">
        <v>2001</v>
      </c>
      <c r="D1312" s="52" t="s">
        <v>658</v>
      </c>
      <c r="E1312" s="52" t="s">
        <v>306</v>
      </c>
      <c r="F1312" s="52" t="s">
        <v>1327</v>
      </c>
      <c r="G1312" s="52"/>
      <c r="H1312" s="52" t="s">
        <v>40</v>
      </c>
      <c r="I1312" s="52"/>
      <c r="J1312" s="56">
        <v>36947</v>
      </c>
      <c r="K1312" s="52" t="s">
        <v>588</v>
      </c>
      <c r="L1312" s="52" t="s">
        <v>3</v>
      </c>
      <c r="M1312" s="52" t="s">
        <v>1125</v>
      </c>
      <c r="N1312" s="57">
        <v>1</v>
      </c>
      <c r="O1312" s="57">
        <v>1</v>
      </c>
      <c r="P1312" s="52" t="s">
        <v>1407</v>
      </c>
      <c r="Q1312" s="52" t="s">
        <v>1263</v>
      </c>
      <c r="R1312" s="52" t="s">
        <v>1264</v>
      </c>
      <c r="S1312" s="52" t="s">
        <v>1390</v>
      </c>
      <c r="T1312" s="52">
        <v>5</v>
      </c>
      <c r="U1312" s="52">
        <v>4</v>
      </c>
      <c r="V1312" s="52"/>
      <c r="W1312" s="52"/>
      <c r="X1312" s="52"/>
      <c r="Y1312" s="52"/>
      <c r="Z1312" s="57"/>
      <c r="AA1312" s="52"/>
      <c r="AB1312" s="52"/>
      <c r="AC1312" s="52"/>
      <c r="AD1312" s="52"/>
      <c r="AE1312" s="50">
        <f>IF(L1312="W",1,0)</f>
        <v>1</v>
      </c>
      <c r="AF1312" s="50">
        <f>IF(L1312="T",1,0)</f>
        <v>0</v>
      </c>
      <c r="AG1312" s="50">
        <f>IF(L1312="L",1,0)</f>
        <v>0</v>
      </c>
      <c r="AH1312" s="52" t="s">
        <v>588</v>
      </c>
      <c r="AI1312" s="52" t="s">
        <v>1175</v>
      </c>
      <c r="AJ1312" s="52" t="s">
        <v>376</v>
      </c>
      <c r="AK1312" s="50" t="s">
        <v>658</v>
      </c>
      <c r="AL1312" s="52" t="s">
        <v>1111</v>
      </c>
      <c r="AM1312" s="52" t="s">
        <v>1126</v>
      </c>
      <c r="AN1312" s="52" t="s">
        <v>376</v>
      </c>
      <c r="AO1312" s="50" t="s">
        <v>658</v>
      </c>
      <c r="AP1312" s="52"/>
      <c r="AQ1312" s="52">
        <v>1</v>
      </c>
      <c r="AR1312" s="52"/>
      <c r="AS1312" s="52" t="s">
        <v>1393</v>
      </c>
      <c r="AT1312" s="46"/>
      <c r="AU1312" s="52" t="s">
        <v>376</v>
      </c>
      <c r="AV1312" s="52"/>
      <c r="AW1312" s="52" t="s">
        <v>30</v>
      </c>
      <c r="AX1312" s="52"/>
      <c r="AY1312" s="52"/>
      <c r="AZ1312" s="57" t="s">
        <v>30</v>
      </c>
      <c r="BA1312" s="52"/>
      <c r="BB1312" s="60" t="s">
        <v>30</v>
      </c>
      <c r="BC1312" s="52" t="s">
        <v>30</v>
      </c>
      <c r="BD1312" s="60"/>
      <c r="BE1312" s="60" t="s">
        <v>1394</v>
      </c>
      <c r="BF1312" s="35">
        <v>1</v>
      </c>
      <c r="BG1312" s="52">
        <v>1</v>
      </c>
      <c r="BH1312" s="52"/>
      <c r="BI1312" s="52" t="s">
        <v>588</v>
      </c>
      <c r="BJ1312" s="52" t="s">
        <v>1125</v>
      </c>
      <c r="BK1312" s="52">
        <v>2001</v>
      </c>
      <c r="BL1312" s="46" t="str">
        <f>BK1312&amp;BI1312</f>
        <v>2001Liverpool</v>
      </c>
      <c r="BM1312" s="52" t="str">
        <f>IF(AD1312="Home",BI1312,IF(AD1312="Away",BJ1312,Q1312))</f>
        <v>Cardiff</v>
      </c>
      <c r="BN1312" s="52"/>
      <c r="BO1312" s="52"/>
      <c r="BP1312" s="52"/>
      <c r="BQ1312" s="52"/>
      <c r="BR1312" s="52"/>
      <c r="BS1312" s="52"/>
      <c r="BT1312" s="52"/>
      <c r="BU1312" s="52"/>
      <c r="BV1312" s="52" t="s">
        <v>376</v>
      </c>
      <c r="BW1312" s="52" t="s">
        <v>376</v>
      </c>
      <c r="BX1312" s="52"/>
      <c r="BY1312" s="46"/>
      <c r="BZ1312" s="53"/>
      <c r="CA1312" s="53"/>
      <c r="CB1312" s="93" t="str">
        <f>IF(OR(C1312="",A1312="",B1312=""),"",TEXT(C1312,"0000")&amp;TEXT(A1312,"00")&amp;TEXT(B1312,"00"))</f>
        <v>20010225</v>
      </c>
    </row>
    <row r="1313" spans="1:80" s="50" customFormat="1" ht="12.95" customHeight="1" x14ac:dyDescent="0.2">
      <c r="A1313" s="46">
        <v>2</v>
      </c>
      <c r="B1313" s="46">
        <v>25</v>
      </c>
      <c r="C1313" s="46">
        <v>2001</v>
      </c>
      <c r="D1313" s="46" t="s">
        <v>658</v>
      </c>
      <c r="E1313" s="46" t="s">
        <v>306</v>
      </c>
      <c r="F1313" s="54" t="s">
        <v>1327</v>
      </c>
      <c r="G1313" s="46"/>
      <c r="H1313" s="54" t="s">
        <v>40</v>
      </c>
      <c r="I1313" s="54"/>
      <c r="J1313" s="55">
        <v>36947</v>
      </c>
      <c r="K1313" s="46" t="s">
        <v>1125</v>
      </c>
      <c r="L1313" s="46" t="s">
        <v>4</v>
      </c>
      <c r="M1313" s="46" t="s">
        <v>588</v>
      </c>
      <c r="N1313" s="49">
        <v>1</v>
      </c>
      <c r="O1313" s="49">
        <v>1</v>
      </c>
      <c r="P1313" s="47" t="s">
        <v>1407</v>
      </c>
      <c r="Q1313" s="47" t="s">
        <v>1263</v>
      </c>
      <c r="R1313" s="47" t="s">
        <v>1264</v>
      </c>
      <c r="S1313" s="46" t="s">
        <v>1390</v>
      </c>
      <c r="T1313" s="46"/>
      <c r="U1313" s="46"/>
      <c r="V1313" s="46"/>
      <c r="W1313" s="46"/>
      <c r="X1313" s="46"/>
      <c r="Y1313" s="46"/>
      <c r="Z1313" s="46"/>
      <c r="AA1313" s="46"/>
      <c r="AB1313" s="46"/>
      <c r="AC1313" s="46"/>
      <c r="AD1313" s="46"/>
      <c r="AE1313" s="50">
        <f>IF(L1313="W",1,0)</f>
        <v>0</v>
      </c>
      <c r="AF1313" s="50">
        <f>IF(L1313="T",1,0)</f>
        <v>0</v>
      </c>
      <c r="AG1313" s="50">
        <f>IF(L1313="L",1,0)</f>
        <v>1</v>
      </c>
      <c r="AH1313" s="46" t="s">
        <v>1111</v>
      </c>
      <c r="AI1313" s="46" t="s">
        <v>1126</v>
      </c>
      <c r="AJ1313" s="46" t="s">
        <v>376</v>
      </c>
      <c r="AK1313" s="46" t="s">
        <v>658</v>
      </c>
      <c r="AL1313" s="46" t="s">
        <v>588</v>
      </c>
      <c r="AM1313" s="46" t="s">
        <v>1175</v>
      </c>
      <c r="AN1313" s="46" t="s">
        <v>376</v>
      </c>
      <c r="AO1313" s="46" t="s">
        <v>658</v>
      </c>
      <c r="AP1313" s="46"/>
      <c r="AQ1313" s="46">
        <v>1</v>
      </c>
      <c r="AR1313" s="46"/>
      <c r="AS1313" s="46"/>
      <c r="AT1313" s="46"/>
      <c r="AU1313" s="46" t="s">
        <v>376</v>
      </c>
      <c r="AV1313" s="46"/>
      <c r="AW1313" s="46" t="s">
        <v>30</v>
      </c>
      <c r="AX1313" s="46"/>
      <c r="AY1313" s="46"/>
      <c r="AZ1313" s="46" t="s">
        <v>30</v>
      </c>
      <c r="BA1313" s="54"/>
      <c r="BB1313" s="51"/>
      <c r="BC1313" s="46" t="s">
        <v>30</v>
      </c>
      <c r="BD1313" s="46"/>
      <c r="BE1313" s="46"/>
      <c r="BF1313" s="46">
        <v>1</v>
      </c>
      <c r="BG1313" s="46">
        <v>2</v>
      </c>
      <c r="BH1313" s="46">
        <v>1</v>
      </c>
      <c r="BI1313" s="46" t="s">
        <v>1125</v>
      </c>
      <c r="BJ1313" s="46" t="s">
        <v>588</v>
      </c>
      <c r="BK1313" s="46">
        <v>2001</v>
      </c>
      <c r="BL1313" s="46" t="str">
        <f>BK1313&amp;BI1313</f>
        <v>2001Birmingham City</v>
      </c>
      <c r="BM1313" s="52" t="str">
        <f>IF(AD1313="Home",BI1313,IF(AD1313="Away",BJ1313,Q1313))</f>
        <v>Cardiff</v>
      </c>
      <c r="BN1313" s="46"/>
      <c r="BO1313" s="46"/>
      <c r="BP1313" s="46"/>
      <c r="BQ1313" s="46"/>
      <c r="BR1313" s="46"/>
      <c r="BS1313" s="46"/>
      <c r="BT1313" s="46"/>
      <c r="BU1313" s="46"/>
      <c r="BV1313" s="46" t="s">
        <v>376</v>
      </c>
      <c r="BW1313" s="46" t="s">
        <v>376</v>
      </c>
      <c r="BX1313" s="46"/>
      <c r="BY1313" s="46"/>
      <c r="BZ1313" s="53"/>
      <c r="CA1313" s="53"/>
      <c r="CB1313" s="93" t="str">
        <f>IF(OR(C1313="",A1313="",B1313=""),"",TEXT(C1313,"0000")&amp;TEXT(A1313,"00")&amp;TEXT(B1313,"00"))</f>
        <v>20010225</v>
      </c>
    </row>
    <row r="1314" spans="1:80" s="50" customFormat="1" ht="12.95" customHeight="1" x14ac:dyDescent="0.2">
      <c r="A1314" s="46">
        <v>4</v>
      </c>
      <c r="B1314" s="46">
        <v>8</v>
      </c>
      <c r="C1314" s="46">
        <v>2001</v>
      </c>
      <c r="D1314" s="52" t="s">
        <v>658</v>
      </c>
      <c r="E1314" s="52" t="s">
        <v>306</v>
      </c>
      <c r="F1314" s="52" t="s">
        <v>1010</v>
      </c>
      <c r="G1314" s="52"/>
      <c r="H1314" s="52" t="s">
        <v>1011</v>
      </c>
      <c r="I1314" s="52"/>
      <c r="J1314" s="56">
        <v>36989</v>
      </c>
      <c r="K1314" s="52" t="s">
        <v>587</v>
      </c>
      <c r="L1314" s="52" t="s">
        <v>3</v>
      </c>
      <c r="M1314" s="52" t="s">
        <v>813</v>
      </c>
      <c r="N1314" s="57">
        <v>2</v>
      </c>
      <c r="O1314" s="57">
        <v>1</v>
      </c>
      <c r="P1314" s="52" t="s">
        <v>1246</v>
      </c>
      <c r="Q1314" s="52" t="s">
        <v>1101</v>
      </c>
      <c r="R1314" s="52" t="s">
        <v>376</v>
      </c>
      <c r="S1314" s="52"/>
      <c r="T1314" s="52"/>
      <c r="U1314" s="52"/>
      <c r="V1314" s="52"/>
      <c r="W1314" s="52"/>
      <c r="X1314" s="52"/>
      <c r="Y1314" s="52"/>
      <c r="Z1314" s="57"/>
      <c r="AA1314" s="52"/>
      <c r="AB1314" s="52"/>
      <c r="AC1314" s="52"/>
      <c r="AD1314" s="52"/>
      <c r="AE1314" s="50">
        <f>IF(L1314="W",1,0)</f>
        <v>1</v>
      </c>
      <c r="AF1314" s="50">
        <f>IF(L1314="T",1,0)</f>
        <v>0</v>
      </c>
      <c r="AG1314" s="50">
        <f>IF(L1314="L",1,0)</f>
        <v>0</v>
      </c>
      <c r="AH1314" s="52" t="s">
        <v>1017</v>
      </c>
      <c r="AI1314" s="52" t="s">
        <v>1018</v>
      </c>
      <c r="AJ1314" s="52" t="s">
        <v>376</v>
      </c>
      <c r="AK1314" s="50" t="s">
        <v>658</v>
      </c>
      <c r="AL1314" s="52" t="s">
        <v>1017</v>
      </c>
      <c r="AM1314" s="52" t="s">
        <v>1018</v>
      </c>
      <c r="AN1314" s="52" t="s">
        <v>376</v>
      </c>
      <c r="AO1314" s="50" t="s">
        <v>658</v>
      </c>
      <c r="AP1314" s="52"/>
      <c r="AQ1314" s="52">
        <v>2</v>
      </c>
      <c r="AR1314" s="52"/>
      <c r="AS1314" s="52"/>
      <c r="AT1314" s="46" t="s">
        <v>1351</v>
      </c>
      <c r="AU1314" s="52" t="s">
        <v>376</v>
      </c>
      <c r="AV1314" s="52"/>
      <c r="AW1314" s="52" t="s">
        <v>30</v>
      </c>
      <c r="AX1314" s="52"/>
      <c r="AY1314" s="52" t="s">
        <v>30</v>
      </c>
      <c r="AZ1314" s="52"/>
      <c r="BA1314" s="52"/>
      <c r="BB1314" s="60"/>
      <c r="BC1314" s="52"/>
      <c r="BD1314" s="60"/>
      <c r="BE1314" s="60"/>
      <c r="BF1314" s="35">
        <v>1</v>
      </c>
      <c r="BG1314" s="52">
        <v>1</v>
      </c>
      <c r="BH1314" s="52"/>
      <c r="BI1314" s="52" t="s">
        <v>587</v>
      </c>
      <c r="BJ1314" s="52" t="s">
        <v>813</v>
      </c>
      <c r="BK1314" s="52">
        <v>2001</v>
      </c>
      <c r="BL1314" s="46" t="str">
        <f>BK1314&amp;BI1314</f>
        <v>2001Arsenal</v>
      </c>
      <c r="BM1314" s="52" t="str">
        <f>IF(AD1314="Home",BI1314,IF(AD1314="Away",BJ1314,Q1314))</f>
        <v>Manchester</v>
      </c>
      <c r="BN1314" s="52"/>
      <c r="BO1314" s="52"/>
      <c r="BP1314" s="52"/>
      <c r="BQ1314" s="52"/>
      <c r="BR1314" s="52"/>
      <c r="BS1314" s="52"/>
      <c r="BT1314" s="52"/>
      <c r="BU1314" s="52"/>
      <c r="BV1314" s="52" t="s">
        <v>376</v>
      </c>
      <c r="BW1314" s="52" t="s">
        <v>376</v>
      </c>
      <c r="BX1314" s="52"/>
      <c r="BY1314" s="52"/>
      <c r="BZ1314" s="53"/>
      <c r="CA1314" s="53"/>
      <c r="CB1314" s="93" t="str">
        <f>IF(OR(C1314="",A1314="",B1314=""),"",TEXT(C1314,"0000")&amp;TEXT(A1314,"00")&amp;TEXT(B1314,"00"))</f>
        <v>20010408</v>
      </c>
    </row>
    <row r="1315" spans="1:80" s="50" customFormat="1" ht="12.95" customHeight="1" x14ac:dyDescent="0.2">
      <c r="A1315" s="46">
        <v>4</v>
      </c>
      <c r="B1315" s="46">
        <v>8</v>
      </c>
      <c r="C1315" s="46">
        <v>2001</v>
      </c>
      <c r="D1315" s="52" t="s">
        <v>658</v>
      </c>
      <c r="E1315" s="52" t="s">
        <v>306</v>
      </c>
      <c r="F1315" s="52" t="s">
        <v>1010</v>
      </c>
      <c r="G1315" s="52"/>
      <c r="H1315" s="52" t="s">
        <v>1011</v>
      </c>
      <c r="I1315" s="52"/>
      <c r="J1315" s="56">
        <v>36989</v>
      </c>
      <c r="K1315" s="52" t="s">
        <v>813</v>
      </c>
      <c r="L1315" s="52" t="s">
        <v>4</v>
      </c>
      <c r="M1315" s="52" t="s">
        <v>587</v>
      </c>
      <c r="N1315" s="57">
        <v>1</v>
      </c>
      <c r="O1315" s="57">
        <v>2</v>
      </c>
      <c r="P1315" s="52" t="s">
        <v>1246</v>
      </c>
      <c r="Q1315" s="52" t="s">
        <v>1101</v>
      </c>
      <c r="R1315" s="52" t="s">
        <v>376</v>
      </c>
      <c r="S1315" s="52"/>
      <c r="T1315" s="52"/>
      <c r="U1315" s="52"/>
      <c r="V1315" s="52"/>
      <c r="W1315" s="52"/>
      <c r="X1315" s="52"/>
      <c r="Y1315" s="52"/>
      <c r="Z1315" s="57"/>
      <c r="AA1315" s="52"/>
      <c r="AB1315" s="52"/>
      <c r="AC1315" s="52"/>
      <c r="AD1315" s="52"/>
      <c r="AE1315" s="50">
        <f>IF(L1315="W",1,0)</f>
        <v>0</v>
      </c>
      <c r="AF1315" s="50">
        <f>IF(L1315="T",1,0)</f>
        <v>0</v>
      </c>
      <c r="AG1315" s="50">
        <f>IF(L1315="L",1,0)</f>
        <v>1</v>
      </c>
      <c r="AH1315" s="52" t="s">
        <v>1017</v>
      </c>
      <c r="AI1315" s="52" t="s">
        <v>1018</v>
      </c>
      <c r="AJ1315" s="52" t="s">
        <v>376</v>
      </c>
      <c r="AK1315" s="50" t="s">
        <v>658</v>
      </c>
      <c r="AL1315" s="52" t="s">
        <v>1017</v>
      </c>
      <c r="AM1315" s="52" t="s">
        <v>1018</v>
      </c>
      <c r="AN1315" s="52" t="s">
        <v>376</v>
      </c>
      <c r="AO1315" s="50" t="s">
        <v>658</v>
      </c>
      <c r="AP1315" s="52"/>
      <c r="AQ1315" s="52">
        <v>2</v>
      </c>
      <c r="AR1315" s="52"/>
      <c r="AS1315" s="52">
        <v>1</v>
      </c>
      <c r="AT1315" s="46" t="s">
        <v>1351</v>
      </c>
      <c r="AU1315" s="52" t="s">
        <v>376</v>
      </c>
      <c r="AV1315" s="52"/>
      <c r="AW1315" s="52" t="s">
        <v>30</v>
      </c>
      <c r="AX1315" s="52"/>
      <c r="AY1315" s="52" t="s">
        <v>30</v>
      </c>
      <c r="AZ1315" s="52"/>
      <c r="BA1315" s="52"/>
      <c r="BB1315" s="60"/>
      <c r="BC1315" s="52"/>
      <c r="BD1315" s="60"/>
      <c r="BE1315" s="60"/>
      <c r="BF1315" s="35">
        <v>1</v>
      </c>
      <c r="BG1315" s="52">
        <v>1</v>
      </c>
      <c r="BH1315" s="52"/>
      <c r="BI1315" s="52" t="s">
        <v>813</v>
      </c>
      <c r="BJ1315" s="52" t="s">
        <v>587</v>
      </c>
      <c r="BK1315" s="52">
        <v>2001</v>
      </c>
      <c r="BL1315" s="46" t="str">
        <f>BK1315&amp;BI1315</f>
        <v>2001Tottenham Hotspur</v>
      </c>
      <c r="BM1315" s="52" t="str">
        <f>IF(AD1315="Home",BI1315,IF(AD1315="Away",BJ1315,Q1315))</f>
        <v>Manchester</v>
      </c>
      <c r="BN1315" s="52"/>
      <c r="BO1315" s="52"/>
      <c r="BP1315" s="52"/>
      <c r="BQ1315" s="52"/>
      <c r="BR1315" s="52"/>
      <c r="BS1315" s="52"/>
      <c r="BT1315" s="52"/>
      <c r="BU1315" s="52"/>
      <c r="BV1315" s="52" t="s">
        <v>376</v>
      </c>
      <c r="BW1315" s="52" t="s">
        <v>376</v>
      </c>
      <c r="BX1315" s="52"/>
      <c r="BY1315" s="52"/>
      <c r="BZ1315" s="53"/>
      <c r="CA1315" s="53"/>
      <c r="CB1315" s="93" t="str">
        <f>IF(OR(C1315="",A1315="",B1315=""),"",TEXT(C1315,"0000")&amp;TEXT(A1315,"00")&amp;TEXT(B1315,"00"))</f>
        <v>20010408</v>
      </c>
    </row>
    <row r="1316" spans="1:80" s="50" customFormat="1" ht="12.95" customHeight="1" x14ac:dyDescent="0.2">
      <c r="A1316" s="46">
        <v>4</v>
      </c>
      <c r="B1316" s="46">
        <v>8</v>
      </c>
      <c r="C1316" s="46">
        <v>2001</v>
      </c>
      <c r="D1316" s="52" t="s">
        <v>658</v>
      </c>
      <c r="E1316" s="52" t="s">
        <v>306</v>
      </c>
      <c r="F1316" s="52" t="s">
        <v>1010</v>
      </c>
      <c r="G1316" s="52"/>
      <c r="H1316" s="52" t="s">
        <v>1011</v>
      </c>
      <c r="I1316" s="52"/>
      <c r="J1316" s="56">
        <v>36989</v>
      </c>
      <c r="K1316" s="52" t="s">
        <v>588</v>
      </c>
      <c r="L1316" s="52" t="s">
        <v>3</v>
      </c>
      <c r="M1316" s="52" t="s">
        <v>1408</v>
      </c>
      <c r="N1316" s="57">
        <v>2</v>
      </c>
      <c r="O1316" s="57">
        <v>1</v>
      </c>
      <c r="P1316" s="52" t="s">
        <v>1219</v>
      </c>
      <c r="Q1316" s="52" t="s">
        <v>1111</v>
      </c>
      <c r="R1316" s="52" t="s">
        <v>376</v>
      </c>
      <c r="S1316" s="52"/>
      <c r="T1316" s="52"/>
      <c r="U1316" s="52"/>
      <c r="V1316" s="52"/>
      <c r="W1316" s="52"/>
      <c r="X1316" s="52"/>
      <c r="Y1316" s="52"/>
      <c r="Z1316" s="57"/>
      <c r="AA1316" s="52"/>
      <c r="AB1316" s="52"/>
      <c r="AC1316" s="52"/>
      <c r="AD1316" s="52"/>
      <c r="AE1316" s="50">
        <f>IF(L1316="W",1,0)</f>
        <v>1</v>
      </c>
      <c r="AF1316" s="50">
        <f>IF(L1316="T",1,0)</f>
        <v>0</v>
      </c>
      <c r="AG1316" s="50">
        <f>IF(L1316="L",1,0)</f>
        <v>0</v>
      </c>
      <c r="AH1316" s="52" t="s">
        <v>588</v>
      </c>
      <c r="AI1316" s="52" t="s">
        <v>1175</v>
      </c>
      <c r="AJ1316" s="52" t="s">
        <v>376</v>
      </c>
      <c r="AK1316" s="50" t="s">
        <v>658</v>
      </c>
      <c r="AL1316" s="52" t="s">
        <v>1409</v>
      </c>
      <c r="AM1316" s="52" t="s">
        <v>1091</v>
      </c>
      <c r="AN1316" s="52" t="s">
        <v>376</v>
      </c>
      <c r="AO1316" s="50" t="s">
        <v>658</v>
      </c>
      <c r="AP1316" s="52"/>
      <c r="AQ1316" s="52">
        <v>2</v>
      </c>
      <c r="AR1316" s="52"/>
      <c r="AS1316" s="52"/>
      <c r="AT1316" s="46"/>
      <c r="AU1316" s="52" t="s">
        <v>376</v>
      </c>
      <c r="AV1316" s="52"/>
      <c r="AW1316" s="52" t="s">
        <v>30</v>
      </c>
      <c r="AX1316" s="52"/>
      <c r="AY1316" s="52" t="s">
        <v>30</v>
      </c>
      <c r="AZ1316" s="52"/>
      <c r="BA1316" s="52"/>
      <c r="BB1316" s="60"/>
      <c r="BC1316" s="52"/>
      <c r="BD1316" s="60"/>
      <c r="BE1316" s="60"/>
      <c r="BF1316" s="35">
        <v>1</v>
      </c>
      <c r="BG1316" s="52">
        <v>1</v>
      </c>
      <c r="BH1316" s="52"/>
      <c r="BI1316" s="52" t="s">
        <v>588</v>
      </c>
      <c r="BJ1316" s="52" t="s">
        <v>1408</v>
      </c>
      <c r="BK1316" s="52">
        <v>2001</v>
      </c>
      <c r="BL1316" s="46" t="str">
        <f>BK1316&amp;BI1316</f>
        <v>2001Liverpool</v>
      </c>
      <c r="BM1316" s="52" t="str">
        <f>IF(AD1316="Home",BI1316,IF(AD1316="Away",BJ1316,Q1316))</f>
        <v>Birmingham</v>
      </c>
      <c r="BN1316" s="52"/>
      <c r="BO1316" s="52"/>
      <c r="BP1316" s="52"/>
      <c r="BQ1316" s="52"/>
      <c r="BR1316" s="52"/>
      <c r="BS1316" s="52"/>
      <c r="BT1316" s="52"/>
      <c r="BU1316" s="52"/>
      <c r="BV1316" s="52" t="s">
        <v>376</v>
      </c>
      <c r="BW1316" s="52" t="s">
        <v>376</v>
      </c>
      <c r="BX1316" s="52"/>
      <c r="BY1316" s="52"/>
      <c r="BZ1316" s="53"/>
      <c r="CA1316" s="53"/>
      <c r="CB1316" s="93" t="str">
        <f>IF(OR(C1316="",A1316="",B1316=""),"",TEXT(C1316,"0000")&amp;TEXT(A1316,"00")&amp;TEXT(B1316,"00"))</f>
        <v>20010408</v>
      </c>
    </row>
    <row r="1317" spans="1:80" s="50" customFormat="1" ht="12.95" customHeight="1" x14ac:dyDescent="0.2">
      <c r="A1317" s="46">
        <v>4</v>
      </c>
      <c r="B1317" s="46">
        <v>8</v>
      </c>
      <c r="C1317" s="46">
        <v>2001</v>
      </c>
      <c r="D1317" s="46" t="s">
        <v>658</v>
      </c>
      <c r="E1317" s="46" t="s">
        <v>306</v>
      </c>
      <c r="F1317" s="47" t="s">
        <v>1010</v>
      </c>
      <c r="G1317" s="46"/>
      <c r="H1317" s="47" t="s">
        <v>1011</v>
      </c>
      <c r="I1317" s="47"/>
      <c r="J1317" s="48">
        <v>36989</v>
      </c>
      <c r="K1317" s="46" t="s">
        <v>1408</v>
      </c>
      <c r="L1317" s="46" t="s">
        <v>4</v>
      </c>
      <c r="M1317" s="46" t="s">
        <v>588</v>
      </c>
      <c r="N1317" s="49">
        <v>1</v>
      </c>
      <c r="O1317" s="49">
        <v>2</v>
      </c>
      <c r="P1317" s="47" t="s">
        <v>1219</v>
      </c>
      <c r="Q1317" s="47" t="s">
        <v>1111</v>
      </c>
      <c r="R1317" s="47" t="s">
        <v>376</v>
      </c>
      <c r="S1317" s="46"/>
      <c r="T1317" s="46"/>
      <c r="U1317" s="46"/>
      <c r="V1317" s="46"/>
      <c r="W1317" s="46"/>
      <c r="X1317" s="46"/>
      <c r="Y1317" s="46"/>
      <c r="Z1317" s="46"/>
      <c r="AA1317" s="46"/>
      <c r="AB1317" s="46"/>
      <c r="AC1317" s="46"/>
      <c r="AD1317" s="46"/>
      <c r="AE1317" s="50">
        <f>IF(L1317="W",1,0)</f>
        <v>0</v>
      </c>
      <c r="AF1317" s="50">
        <f>IF(L1317="T",1,0)</f>
        <v>0</v>
      </c>
      <c r="AG1317" s="50">
        <f>IF(L1317="L",1,0)</f>
        <v>1</v>
      </c>
      <c r="AH1317" s="46" t="s">
        <v>1409</v>
      </c>
      <c r="AI1317" s="46" t="s">
        <v>1091</v>
      </c>
      <c r="AJ1317" s="46" t="s">
        <v>376</v>
      </c>
      <c r="AK1317" s="46" t="s">
        <v>658</v>
      </c>
      <c r="AL1317" s="46" t="s">
        <v>588</v>
      </c>
      <c r="AM1317" s="46" t="s">
        <v>1175</v>
      </c>
      <c r="AN1317" s="46" t="s">
        <v>376</v>
      </c>
      <c r="AO1317" s="46" t="s">
        <v>658</v>
      </c>
      <c r="AP1317" s="46"/>
      <c r="AQ1317" s="46">
        <v>2</v>
      </c>
      <c r="AR1317" s="46"/>
      <c r="AS1317" s="46"/>
      <c r="AT1317" s="46"/>
      <c r="AU1317" s="46" t="s">
        <v>376</v>
      </c>
      <c r="AV1317" s="46"/>
      <c r="AW1317" s="46" t="s">
        <v>30</v>
      </c>
      <c r="AX1317" s="46"/>
      <c r="AY1317" s="46" t="s">
        <v>30</v>
      </c>
      <c r="AZ1317" s="46"/>
      <c r="BA1317" s="47"/>
      <c r="BB1317" s="51"/>
      <c r="BC1317" s="46"/>
      <c r="BD1317" s="46"/>
      <c r="BE1317" s="46"/>
      <c r="BF1317" s="46">
        <v>1</v>
      </c>
      <c r="BG1317" s="46">
        <v>3</v>
      </c>
      <c r="BH1317" s="46">
        <v>1</v>
      </c>
      <c r="BI1317" s="46" t="s">
        <v>1408</v>
      </c>
      <c r="BJ1317" s="46" t="s">
        <v>588</v>
      </c>
      <c r="BK1317" s="46">
        <v>2001</v>
      </c>
      <c r="BL1317" s="46" t="str">
        <f>BK1317&amp;BI1317</f>
        <v>2001Wycombe Wanderers</v>
      </c>
      <c r="BM1317" s="52" t="str">
        <f>IF(AD1317="Home",BI1317,IF(AD1317="Away",BJ1317,Q1317))</f>
        <v>Birmingham</v>
      </c>
      <c r="BN1317" s="46"/>
      <c r="BO1317" s="46"/>
      <c r="BP1317" s="46"/>
      <c r="BQ1317" s="46"/>
      <c r="BR1317" s="46"/>
      <c r="BS1317" s="46"/>
      <c r="BT1317" s="46"/>
      <c r="BU1317" s="46"/>
      <c r="BV1317" s="46" t="s">
        <v>376</v>
      </c>
      <c r="BW1317" s="46" t="s">
        <v>376</v>
      </c>
      <c r="BX1317" s="46"/>
      <c r="BY1317" s="52"/>
      <c r="BZ1317" s="53"/>
      <c r="CA1317" s="53"/>
      <c r="CB1317" s="93" t="str">
        <f>IF(OR(C1317="",A1317="",B1317=""),"",TEXT(C1317,"0000")&amp;TEXT(A1317,"00")&amp;TEXT(B1317,"00"))</f>
        <v>20010408</v>
      </c>
    </row>
    <row r="1318" spans="1:80" s="50" customFormat="1" ht="12.95" customHeight="1" x14ac:dyDescent="0.2">
      <c r="A1318" s="46">
        <v>5</v>
      </c>
      <c r="B1318" s="46">
        <v>12</v>
      </c>
      <c r="C1318" s="46">
        <v>2001</v>
      </c>
      <c r="D1318" s="52" t="s">
        <v>658</v>
      </c>
      <c r="E1318" s="52" t="s">
        <v>306</v>
      </c>
      <c r="F1318" s="52" t="s">
        <v>1010</v>
      </c>
      <c r="G1318" s="52"/>
      <c r="H1318" s="52" t="s">
        <v>40</v>
      </c>
      <c r="I1318" s="52"/>
      <c r="J1318" s="56">
        <v>37023</v>
      </c>
      <c r="K1318" s="52" t="s">
        <v>588</v>
      </c>
      <c r="L1318" s="52" t="s">
        <v>3</v>
      </c>
      <c r="M1318" s="52" t="s">
        <v>587</v>
      </c>
      <c r="N1318" s="57">
        <v>2</v>
      </c>
      <c r="O1318" s="57">
        <v>1</v>
      </c>
      <c r="P1318" s="52" t="s">
        <v>1407</v>
      </c>
      <c r="Q1318" s="52" t="s">
        <v>1263</v>
      </c>
      <c r="R1318" s="52" t="s">
        <v>1264</v>
      </c>
      <c r="S1318" s="52"/>
      <c r="T1318" s="52"/>
      <c r="U1318" s="52"/>
      <c r="V1318" s="52"/>
      <c r="W1318" s="52"/>
      <c r="X1318" s="52"/>
      <c r="Y1318" s="52"/>
      <c r="Z1318" s="57"/>
      <c r="AA1318" s="52"/>
      <c r="AB1318" s="52"/>
      <c r="AC1318" s="52"/>
      <c r="AD1318" s="52"/>
      <c r="AE1318" s="50">
        <f>IF(L1318="W",1,0)</f>
        <v>1</v>
      </c>
      <c r="AF1318" s="50">
        <f>IF(L1318="T",1,0)</f>
        <v>0</v>
      </c>
      <c r="AG1318" s="50">
        <f>IF(L1318="L",1,0)</f>
        <v>0</v>
      </c>
      <c r="AH1318" s="52" t="s">
        <v>588</v>
      </c>
      <c r="AI1318" s="52" t="s">
        <v>1175</v>
      </c>
      <c r="AJ1318" s="52" t="s">
        <v>376</v>
      </c>
      <c r="AK1318" s="50" t="s">
        <v>658</v>
      </c>
      <c r="AL1318" s="52" t="s">
        <v>1017</v>
      </c>
      <c r="AM1318" s="52" t="s">
        <v>1018</v>
      </c>
      <c r="AN1318" s="52" t="s">
        <v>376</v>
      </c>
      <c r="AO1318" s="50" t="s">
        <v>658</v>
      </c>
      <c r="AP1318" s="52"/>
      <c r="AQ1318" s="52">
        <v>1</v>
      </c>
      <c r="AR1318" s="52"/>
      <c r="AS1318" s="52" t="s">
        <v>1393</v>
      </c>
      <c r="AT1318" s="46"/>
      <c r="AU1318" s="52" t="s">
        <v>376</v>
      </c>
      <c r="AV1318" s="52"/>
      <c r="AW1318" s="52" t="s">
        <v>30</v>
      </c>
      <c r="AX1318" s="52"/>
      <c r="AY1318" s="57" t="s">
        <v>30</v>
      </c>
      <c r="AZ1318" s="52"/>
      <c r="BA1318" s="52"/>
      <c r="BB1318" s="60" t="s">
        <v>30</v>
      </c>
      <c r="BC1318" s="52" t="s">
        <v>30</v>
      </c>
      <c r="BD1318" s="60"/>
      <c r="BE1318" s="60"/>
      <c r="BF1318" s="35">
        <v>1</v>
      </c>
      <c r="BG1318" s="52">
        <v>1</v>
      </c>
      <c r="BH1318" s="52"/>
      <c r="BI1318" s="52" t="s">
        <v>588</v>
      </c>
      <c r="BJ1318" s="52" t="s">
        <v>587</v>
      </c>
      <c r="BK1318" s="52">
        <v>2001</v>
      </c>
      <c r="BL1318" s="46" t="str">
        <f>BK1318&amp;BI1318</f>
        <v>2001Liverpool</v>
      </c>
      <c r="BM1318" s="52" t="str">
        <f>IF(AD1318="Home",BI1318,IF(AD1318="Away",BJ1318,Q1318))</f>
        <v>Cardiff</v>
      </c>
      <c r="BN1318" s="52"/>
      <c r="BO1318" s="52"/>
      <c r="BP1318" s="52"/>
      <c r="BQ1318" s="52"/>
      <c r="BR1318" s="52"/>
      <c r="BS1318" s="52"/>
      <c r="BT1318" s="52"/>
      <c r="BU1318" s="52"/>
      <c r="BV1318" s="52" t="s">
        <v>376</v>
      </c>
      <c r="BW1318" s="52" t="s">
        <v>376</v>
      </c>
      <c r="BX1318" s="52"/>
      <c r="BY1318" s="46"/>
      <c r="BZ1318" s="53"/>
      <c r="CA1318" s="53"/>
      <c r="CB1318" s="93" t="str">
        <f>IF(OR(C1318="",A1318="",B1318=""),"",TEXT(C1318,"0000")&amp;TEXT(A1318,"00")&amp;TEXT(B1318,"00"))</f>
        <v>20010512</v>
      </c>
    </row>
    <row r="1319" spans="1:80" s="50" customFormat="1" ht="12.95" customHeight="1" x14ac:dyDescent="0.2">
      <c r="A1319" s="46">
        <v>5</v>
      </c>
      <c r="B1319" s="46">
        <v>12</v>
      </c>
      <c r="C1319" s="46">
        <v>2001</v>
      </c>
      <c r="D1319" s="52" t="s">
        <v>658</v>
      </c>
      <c r="E1319" s="52" t="s">
        <v>306</v>
      </c>
      <c r="F1319" s="52" t="s">
        <v>1010</v>
      </c>
      <c r="G1319" s="52"/>
      <c r="H1319" s="52" t="s">
        <v>40</v>
      </c>
      <c r="I1319" s="52"/>
      <c r="J1319" s="56">
        <v>37023</v>
      </c>
      <c r="K1319" s="52" t="s">
        <v>587</v>
      </c>
      <c r="L1319" s="52" t="s">
        <v>4</v>
      </c>
      <c r="M1319" s="52" t="s">
        <v>588</v>
      </c>
      <c r="N1319" s="57">
        <v>1</v>
      </c>
      <c r="O1319" s="57">
        <v>2</v>
      </c>
      <c r="P1319" s="52" t="s">
        <v>1407</v>
      </c>
      <c r="Q1319" s="52" t="s">
        <v>1263</v>
      </c>
      <c r="R1319" s="52" t="s">
        <v>1264</v>
      </c>
      <c r="S1319" s="52"/>
      <c r="T1319" s="52"/>
      <c r="U1319" s="52"/>
      <c r="V1319" s="52"/>
      <c r="W1319" s="52"/>
      <c r="X1319" s="52"/>
      <c r="Y1319" s="52"/>
      <c r="Z1319" s="57"/>
      <c r="AA1319" s="52"/>
      <c r="AB1319" s="52"/>
      <c r="AC1319" s="52"/>
      <c r="AD1319" s="52"/>
      <c r="AE1319" s="50">
        <f>IF(L1319="W",1,0)</f>
        <v>0</v>
      </c>
      <c r="AF1319" s="50">
        <f>IF(L1319="T",1,0)</f>
        <v>0</v>
      </c>
      <c r="AG1319" s="50">
        <f>IF(L1319="L",1,0)</f>
        <v>1</v>
      </c>
      <c r="AH1319" s="52" t="s">
        <v>1017</v>
      </c>
      <c r="AI1319" s="52" t="s">
        <v>1018</v>
      </c>
      <c r="AJ1319" s="52" t="s">
        <v>376</v>
      </c>
      <c r="AK1319" s="50" t="s">
        <v>658</v>
      </c>
      <c r="AL1319" s="52" t="s">
        <v>588</v>
      </c>
      <c r="AM1319" s="52" t="s">
        <v>1175</v>
      </c>
      <c r="AN1319" s="52" t="s">
        <v>376</v>
      </c>
      <c r="AO1319" s="50" t="s">
        <v>658</v>
      </c>
      <c r="AP1319" s="52"/>
      <c r="AQ1319" s="52">
        <v>1</v>
      </c>
      <c r="AR1319" s="52"/>
      <c r="AS1319" s="52">
        <v>1</v>
      </c>
      <c r="AT1319" s="46"/>
      <c r="AU1319" s="52" t="s">
        <v>376</v>
      </c>
      <c r="AV1319" s="52"/>
      <c r="AW1319" s="52" t="s">
        <v>30</v>
      </c>
      <c r="AX1319" s="52"/>
      <c r="AY1319" s="52" t="s">
        <v>30</v>
      </c>
      <c r="AZ1319" s="52"/>
      <c r="BA1319" s="52"/>
      <c r="BB1319" s="60"/>
      <c r="BC1319" s="52" t="s">
        <v>30</v>
      </c>
      <c r="BD1319" s="60"/>
      <c r="BE1319" s="60" t="s">
        <v>1394</v>
      </c>
      <c r="BF1319" s="35">
        <v>1</v>
      </c>
      <c r="BG1319" s="52">
        <v>1</v>
      </c>
      <c r="BH1319" s="52"/>
      <c r="BI1319" s="52" t="s">
        <v>587</v>
      </c>
      <c r="BJ1319" s="52" t="s">
        <v>588</v>
      </c>
      <c r="BK1319" s="52">
        <v>2001</v>
      </c>
      <c r="BL1319" s="46" t="str">
        <f>BK1319&amp;BI1319</f>
        <v>2001Arsenal</v>
      </c>
      <c r="BM1319" s="52" t="str">
        <f>IF(AD1319="Home",BI1319,IF(AD1319="Away",BJ1319,Q1319))</f>
        <v>Cardiff</v>
      </c>
      <c r="BN1319" s="52"/>
      <c r="BO1319" s="52"/>
      <c r="BP1319" s="52"/>
      <c r="BQ1319" s="52"/>
      <c r="BR1319" s="52"/>
      <c r="BS1319" s="52"/>
      <c r="BT1319" s="52"/>
      <c r="BU1319" s="52"/>
      <c r="BV1319" s="52" t="s">
        <v>376</v>
      </c>
      <c r="BW1319" s="52" t="s">
        <v>376</v>
      </c>
      <c r="BX1319" s="52"/>
      <c r="BY1319" s="46"/>
      <c r="BZ1319" s="53"/>
      <c r="CA1319" s="53"/>
      <c r="CB1319" s="93" t="str">
        <f>IF(OR(C1319="",A1319="",B1319=""),"",TEXT(C1319,"0000")&amp;TEXT(A1319,"00")&amp;TEXT(B1319,"00"))</f>
        <v>20010512</v>
      </c>
    </row>
    <row r="1320" spans="1:80" s="46" customFormat="1" ht="12.95" customHeight="1" x14ac:dyDescent="0.2">
      <c r="A1320" s="46">
        <v>1</v>
      </c>
      <c r="B1320" s="46">
        <v>8</v>
      </c>
      <c r="C1320" s="46">
        <v>2002</v>
      </c>
      <c r="D1320" s="46" t="s">
        <v>658</v>
      </c>
      <c r="E1320" s="46" t="s">
        <v>299</v>
      </c>
      <c r="F1320" s="54" t="s">
        <v>1327</v>
      </c>
      <c r="H1320" s="54" t="s">
        <v>1011</v>
      </c>
      <c r="I1320" s="54">
        <v>1</v>
      </c>
      <c r="J1320" s="55">
        <v>37264</v>
      </c>
      <c r="K1320" s="46" t="s">
        <v>1093</v>
      </c>
      <c r="L1320" s="46" t="s">
        <v>4</v>
      </c>
      <c r="M1320" s="46" t="s">
        <v>1094</v>
      </c>
      <c r="N1320" s="49">
        <v>1</v>
      </c>
      <c r="O1320" s="49">
        <v>2</v>
      </c>
      <c r="P1320" s="54" t="s">
        <v>1252</v>
      </c>
      <c r="Q1320" s="54" t="s">
        <v>1097</v>
      </c>
      <c r="R1320" s="54" t="s">
        <v>376</v>
      </c>
      <c r="AD1320" s="46" t="s">
        <v>1033</v>
      </c>
      <c r="AE1320" s="50">
        <f>IF(L1320="W",1,0)</f>
        <v>0</v>
      </c>
      <c r="AF1320" s="50">
        <f>IF(L1320="T",1,0)</f>
        <v>0</v>
      </c>
      <c r="AG1320" s="50">
        <f>IF(L1320="L",1,0)</f>
        <v>1</v>
      </c>
      <c r="AH1320" s="46" t="s">
        <v>1097</v>
      </c>
      <c r="AI1320" s="46" t="s">
        <v>1098</v>
      </c>
      <c r="AJ1320" s="46" t="s">
        <v>376</v>
      </c>
      <c r="AK1320" s="46" t="s">
        <v>658</v>
      </c>
      <c r="AL1320" s="46" t="s">
        <v>1085</v>
      </c>
      <c r="AM1320" s="46" t="s">
        <v>1086</v>
      </c>
      <c r="AN1320" s="46" t="s">
        <v>376</v>
      </c>
      <c r="AO1320" s="46" t="s">
        <v>658</v>
      </c>
      <c r="AQ1320" s="46">
        <v>2</v>
      </c>
      <c r="AU1320" s="46" t="s">
        <v>376</v>
      </c>
      <c r="AW1320" s="46" t="s">
        <v>30</v>
      </c>
      <c r="AZ1320" s="46" t="s">
        <v>30</v>
      </c>
      <c r="BA1320" s="54"/>
      <c r="BB1320" s="51"/>
      <c r="BF1320" s="46">
        <v>1</v>
      </c>
      <c r="BG1320" s="46">
        <v>2</v>
      </c>
      <c r="BH1320" s="46">
        <v>1</v>
      </c>
      <c r="BI1320" s="46" t="s">
        <v>1093</v>
      </c>
      <c r="BJ1320" s="46" t="s">
        <v>1094</v>
      </c>
      <c r="BK1320" s="46">
        <v>2002</v>
      </c>
      <c r="BL1320" s="46" t="str">
        <f>BK1320&amp;BI1320</f>
        <v>2002Sheffield Wednesday</v>
      </c>
      <c r="BM1320" s="52" t="str">
        <f>IF(AD1320="Home",BI1320,IF(AD1320="Away",BJ1320,Q1320))</f>
        <v>Sheffield Wednesday</v>
      </c>
      <c r="BV1320" s="46" t="s">
        <v>376</v>
      </c>
      <c r="BW1320" s="46" t="s">
        <v>376</v>
      </c>
      <c r="BY1320" s="50"/>
      <c r="BZ1320" s="53"/>
      <c r="CA1320" s="53"/>
      <c r="CB1320" s="93" t="str">
        <f>IF(OR(C1320="",A1320="",B1320=""),"",TEXT(C1320,"0000")&amp;TEXT(A1320,"00")&amp;TEXT(B1320,"00"))</f>
        <v>20020108</v>
      </c>
    </row>
    <row r="1321" spans="1:80" s="46" customFormat="1" ht="12.95" customHeight="1" x14ac:dyDescent="0.2">
      <c r="A1321" s="46">
        <v>1</v>
      </c>
      <c r="B1321" s="46">
        <v>8</v>
      </c>
      <c r="C1321" s="46">
        <v>2002</v>
      </c>
      <c r="D1321" s="52" t="s">
        <v>658</v>
      </c>
      <c r="E1321" s="52" t="s">
        <v>299</v>
      </c>
      <c r="F1321" s="52" t="s">
        <v>1327</v>
      </c>
      <c r="G1321" s="52"/>
      <c r="H1321" s="52" t="s">
        <v>1011</v>
      </c>
      <c r="I1321" s="52">
        <v>1</v>
      </c>
      <c r="J1321" s="56">
        <v>37264</v>
      </c>
      <c r="K1321" s="52" t="s">
        <v>1094</v>
      </c>
      <c r="L1321" s="52" t="s">
        <v>3</v>
      </c>
      <c r="M1321" s="52" t="s">
        <v>1093</v>
      </c>
      <c r="N1321" s="57">
        <v>2</v>
      </c>
      <c r="O1321" s="57">
        <v>1</v>
      </c>
      <c r="P1321" s="52" t="s">
        <v>1252</v>
      </c>
      <c r="Q1321" s="52" t="s">
        <v>1097</v>
      </c>
      <c r="R1321" s="52" t="s">
        <v>376</v>
      </c>
      <c r="S1321" s="52"/>
      <c r="T1321" s="52"/>
      <c r="U1321" s="52"/>
      <c r="V1321" s="52"/>
      <c r="W1321" s="52"/>
      <c r="X1321" s="52"/>
      <c r="Y1321" s="52"/>
      <c r="Z1321" s="57"/>
      <c r="AA1321" s="58">
        <v>2</v>
      </c>
      <c r="AB1321" s="58">
        <v>1</v>
      </c>
      <c r="AC1321" s="59">
        <v>2</v>
      </c>
      <c r="AD1321" s="52" t="s">
        <v>1037</v>
      </c>
      <c r="AE1321" s="50">
        <f>IF(L1321="W",1,0)</f>
        <v>1</v>
      </c>
      <c r="AF1321" s="50">
        <f>IF(L1321="T",1,0)</f>
        <v>0</v>
      </c>
      <c r="AG1321" s="50">
        <f>IF(L1321="L",1,0)</f>
        <v>0</v>
      </c>
      <c r="AH1321" s="52" t="s">
        <v>1085</v>
      </c>
      <c r="AI1321" s="52" t="s">
        <v>1086</v>
      </c>
      <c r="AJ1321" s="52" t="s">
        <v>376</v>
      </c>
      <c r="AK1321" s="50" t="s">
        <v>658</v>
      </c>
      <c r="AL1321" s="52" t="s">
        <v>1097</v>
      </c>
      <c r="AM1321" s="52" t="s">
        <v>1098</v>
      </c>
      <c r="AN1321" s="52" t="s">
        <v>376</v>
      </c>
      <c r="AO1321" s="50" t="s">
        <v>658</v>
      </c>
      <c r="AP1321" s="52"/>
      <c r="AQ1321" s="52">
        <v>2</v>
      </c>
      <c r="AR1321" s="52"/>
      <c r="AS1321" s="52"/>
      <c r="AU1321" s="52" t="s">
        <v>376</v>
      </c>
      <c r="AV1321" s="52"/>
      <c r="AW1321" s="52" t="s">
        <v>30</v>
      </c>
      <c r="AX1321" s="52"/>
      <c r="AY1321" s="52"/>
      <c r="AZ1321" s="52" t="s">
        <v>30</v>
      </c>
      <c r="BA1321" s="52"/>
      <c r="BB1321" s="60"/>
      <c r="BC1321" s="52"/>
      <c r="BD1321" s="60"/>
      <c r="BE1321" s="60"/>
      <c r="BF1321" s="35">
        <v>1</v>
      </c>
      <c r="BG1321" s="52">
        <v>1</v>
      </c>
      <c r="BH1321" s="52"/>
      <c r="BI1321" s="52" t="s">
        <v>1094</v>
      </c>
      <c r="BJ1321" s="52" t="s">
        <v>1093</v>
      </c>
      <c r="BK1321" s="52">
        <v>2002</v>
      </c>
      <c r="BL1321" s="46" t="str">
        <f>BK1321&amp;BI1321</f>
        <v>2002Blackburn Rovers</v>
      </c>
      <c r="BM1321" s="52" t="str">
        <f>IF(AD1321="Home",BI1321,IF(AD1321="Away",BJ1321,Q1321))</f>
        <v>Sheffield Wednesday</v>
      </c>
      <c r="BN1321" s="52"/>
      <c r="BO1321" s="52"/>
      <c r="BP1321" s="52"/>
      <c r="BQ1321" s="52"/>
      <c r="BR1321" s="52"/>
      <c r="BS1321" s="52"/>
      <c r="BT1321" s="52"/>
      <c r="BU1321" s="52"/>
      <c r="BV1321" s="52" t="s">
        <v>376</v>
      </c>
      <c r="BW1321" s="52" t="s">
        <v>376</v>
      </c>
      <c r="BX1321" s="52"/>
      <c r="BY1321" s="50"/>
      <c r="BZ1321" s="53"/>
      <c r="CA1321" s="53"/>
      <c r="CB1321" s="93" t="str">
        <f>IF(OR(C1321="",A1321="",B1321=""),"",TEXT(C1321,"0000")&amp;TEXT(A1321,"00")&amp;TEXT(B1321,"00"))</f>
        <v>20020108</v>
      </c>
    </row>
    <row r="1322" spans="1:80" s="46" customFormat="1" ht="12.95" customHeight="1" x14ac:dyDescent="0.2">
      <c r="A1322" s="46">
        <v>1</v>
      </c>
      <c r="B1322" s="46">
        <v>9</v>
      </c>
      <c r="C1322" s="46">
        <v>2002</v>
      </c>
      <c r="D1322" s="52" t="s">
        <v>658</v>
      </c>
      <c r="E1322" s="52" t="s">
        <v>299</v>
      </c>
      <c r="F1322" s="52" t="s">
        <v>1327</v>
      </c>
      <c r="G1322" s="52"/>
      <c r="H1322" s="52" t="s">
        <v>1011</v>
      </c>
      <c r="I1322" s="52">
        <v>1</v>
      </c>
      <c r="J1322" s="56">
        <v>37265</v>
      </c>
      <c r="K1322" s="52" t="s">
        <v>816</v>
      </c>
      <c r="L1322" s="52" t="s">
        <v>3</v>
      </c>
      <c r="M1322" s="52" t="s">
        <v>813</v>
      </c>
      <c r="N1322" s="57">
        <v>2</v>
      </c>
      <c r="O1322" s="57">
        <v>1</v>
      </c>
      <c r="P1322" s="52" t="s">
        <v>1234</v>
      </c>
      <c r="Q1322" s="52" t="s">
        <v>1017</v>
      </c>
      <c r="R1322" s="52" t="s">
        <v>376</v>
      </c>
      <c r="S1322" s="52"/>
      <c r="T1322" s="52"/>
      <c r="U1322" s="52"/>
      <c r="V1322" s="52"/>
      <c r="W1322" s="52"/>
      <c r="X1322" s="52"/>
      <c r="Y1322" s="52"/>
      <c r="Z1322" s="57"/>
      <c r="AA1322" s="58">
        <v>2</v>
      </c>
      <c r="AB1322" s="58">
        <v>1</v>
      </c>
      <c r="AC1322" s="59">
        <v>0</v>
      </c>
      <c r="AD1322" s="52" t="s">
        <v>1033</v>
      </c>
      <c r="AE1322" s="50">
        <f>IF(L1322="W",1,0)</f>
        <v>1</v>
      </c>
      <c r="AF1322" s="50">
        <f>IF(L1322="T",1,0)</f>
        <v>0</v>
      </c>
      <c r="AG1322" s="50">
        <f>IF(L1322="L",1,0)</f>
        <v>0</v>
      </c>
      <c r="AH1322" s="52" t="s">
        <v>1017</v>
      </c>
      <c r="AI1322" s="52" t="s">
        <v>1018</v>
      </c>
      <c r="AJ1322" s="52" t="s">
        <v>376</v>
      </c>
      <c r="AK1322" s="50" t="s">
        <v>658</v>
      </c>
      <c r="AL1322" s="52" t="s">
        <v>1017</v>
      </c>
      <c r="AM1322" s="52" t="s">
        <v>1018</v>
      </c>
      <c r="AN1322" s="52" t="s">
        <v>376</v>
      </c>
      <c r="AO1322" s="50" t="s">
        <v>658</v>
      </c>
      <c r="AP1322" s="52"/>
      <c r="AQ1322" s="52">
        <v>2</v>
      </c>
      <c r="AR1322" s="52"/>
      <c r="AS1322" s="52"/>
      <c r="AU1322" s="52" t="s">
        <v>376</v>
      </c>
      <c r="AV1322" s="52"/>
      <c r="AW1322" s="52" t="s">
        <v>30</v>
      </c>
      <c r="AX1322" s="52"/>
      <c r="AY1322" s="52"/>
      <c r="AZ1322" s="52" t="s">
        <v>30</v>
      </c>
      <c r="BA1322" s="52"/>
      <c r="BB1322" s="60"/>
      <c r="BC1322" s="52"/>
      <c r="BD1322" s="60"/>
      <c r="BE1322" s="60"/>
      <c r="BF1322" s="35">
        <v>1</v>
      </c>
      <c r="BG1322" s="52">
        <v>1</v>
      </c>
      <c r="BH1322" s="52"/>
      <c r="BI1322" s="52" t="s">
        <v>816</v>
      </c>
      <c r="BJ1322" s="52" t="s">
        <v>813</v>
      </c>
      <c r="BK1322" s="52">
        <v>2002</v>
      </c>
      <c r="BL1322" s="46" t="str">
        <f>BK1322&amp;BI1322</f>
        <v>2002Chelsea</v>
      </c>
      <c r="BM1322" s="52" t="str">
        <f>IF(AD1322="Home",BI1322,IF(AD1322="Away",BJ1322,Q1322))</f>
        <v>Chelsea</v>
      </c>
      <c r="BN1322" s="52"/>
      <c r="BO1322" s="52"/>
      <c r="BP1322" s="52"/>
      <c r="BQ1322" s="52"/>
      <c r="BR1322" s="52"/>
      <c r="BS1322" s="52"/>
      <c r="BT1322" s="52"/>
      <c r="BU1322" s="52"/>
      <c r="BV1322" s="52" t="s">
        <v>376</v>
      </c>
      <c r="BW1322" s="52" t="s">
        <v>376</v>
      </c>
      <c r="BX1322" s="52"/>
      <c r="BY1322" s="52"/>
      <c r="BZ1322" s="53"/>
      <c r="CA1322" s="53"/>
      <c r="CB1322" s="93" t="str">
        <f>IF(OR(C1322="",A1322="",B1322=""),"",TEXT(C1322,"0000")&amp;TEXT(A1322,"00")&amp;TEXT(B1322,"00"))</f>
        <v>20020109</v>
      </c>
    </row>
    <row r="1323" spans="1:80" s="46" customFormat="1" ht="12.95" customHeight="1" x14ac:dyDescent="0.2">
      <c r="A1323" s="46">
        <v>1</v>
      </c>
      <c r="B1323" s="46">
        <v>9</v>
      </c>
      <c r="C1323" s="46">
        <v>2002</v>
      </c>
      <c r="D1323" s="52" t="s">
        <v>658</v>
      </c>
      <c r="E1323" s="52" t="s">
        <v>299</v>
      </c>
      <c r="F1323" s="52" t="s">
        <v>1327</v>
      </c>
      <c r="G1323" s="52"/>
      <c r="H1323" s="52" t="s">
        <v>1011</v>
      </c>
      <c r="I1323" s="52">
        <v>1</v>
      </c>
      <c r="J1323" s="56">
        <v>37265</v>
      </c>
      <c r="K1323" s="52" t="s">
        <v>813</v>
      </c>
      <c r="L1323" s="52" t="s">
        <v>4</v>
      </c>
      <c r="M1323" s="52" t="s">
        <v>816</v>
      </c>
      <c r="N1323" s="57">
        <v>1</v>
      </c>
      <c r="O1323" s="57">
        <v>2</v>
      </c>
      <c r="P1323" s="52" t="s">
        <v>1234</v>
      </c>
      <c r="Q1323" s="52" t="s">
        <v>1017</v>
      </c>
      <c r="R1323" s="52" t="s">
        <v>376</v>
      </c>
      <c r="S1323" s="52"/>
      <c r="T1323" s="52"/>
      <c r="U1323" s="52"/>
      <c r="V1323" s="52"/>
      <c r="W1323" s="52"/>
      <c r="X1323" s="52"/>
      <c r="Y1323" s="52"/>
      <c r="Z1323" s="57"/>
      <c r="AA1323" s="58">
        <v>1</v>
      </c>
      <c r="AB1323" s="58">
        <v>2</v>
      </c>
      <c r="AC1323" s="59">
        <v>1</v>
      </c>
      <c r="AD1323" s="52" t="s">
        <v>1037</v>
      </c>
      <c r="AE1323" s="50">
        <f>IF(L1323="W",1,0)</f>
        <v>0</v>
      </c>
      <c r="AF1323" s="50">
        <f>IF(L1323="T",1,0)</f>
        <v>0</v>
      </c>
      <c r="AG1323" s="50">
        <f>IF(L1323="L",1,0)</f>
        <v>1</v>
      </c>
      <c r="AH1323" s="52" t="s">
        <v>1017</v>
      </c>
      <c r="AI1323" s="52" t="s">
        <v>1018</v>
      </c>
      <c r="AJ1323" s="52" t="s">
        <v>376</v>
      </c>
      <c r="AK1323" s="50" t="s">
        <v>658</v>
      </c>
      <c r="AL1323" s="52" t="s">
        <v>1017</v>
      </c>
      <c r="AM1323" s="52" t="s">
        <v>1018</v>
      </c>
      <c r="AN1323" s="52" t="s">
        <v>376</v>
      </c>
      <c r="AO1323" s="50" t="s">
        <v>658</v>
      </c>
      <c r="AP1323" s="52"/>
      <c r="AQ1323" s="52">
        <v>2</v>
      </c>
      <c r="AR1323" s="52"/>
      <c r="AS1323" s="52"/>
      <c r="AU1323" s="52" t="s">
        <v>376</v>
      </c>
      <c r="AV1323" s="52"/>
      <c r="AW1323" s="52" t="s">
        <v>30</v>
      </c>
      <c r="AX1323" s="52"/>
      <c r="AY1323" s="52"/>
      <c r="AZ1323" s="52" t="s">
        <v>30</v>
      </c>
      <c r="BA1323" s="52"/>
      <c r="BB1323" s="60"/>
      <c r="BC1323" s="52"/>
      <c r="BD1323" s="60"/>
      <c r="BE1323" s="60"/>
      <c r="BF1323" s="35">
        <v>1</v>
      </c>
      <c r="BG1323" s="52">
        <v>1</v>
      </c>
      <c r="BH1323" s="52"/>
      <c r="BI1323" s="52" t="s">
        <v>813</v>
      </c>
      <c r="BJ1323" s="52" t="s">
        <v>816</v>
      </c>
      <c r="BK1323" s="52">
        <v>2002</v>
      </c>
      <c r="BL1323" s="46" t="str">
        <f>BK1323&amp;BI1323</f>
        <v>2002Tottenham Hotspur</v>
      </c>
      <c r="BM1323" s="52" t="str">
        <f>IF(AD1323="Home",BI1323,IF(AD1323="Away",BJ1323,Q1323))</f>
        <v>Chelsea</v>
      </c>
      <c r="BN1323" s="52"/>
      <c r="BO1323" s="52"/>
      <c r="BP1323" s="52"/>
      <c r="BQ1323" s="52"/>
      <c r="BR1323" s="52"/>
      <c r="BS1323" s="52"/>
      <c r="BT1323" s="52"/>
      <c r="BU1323" s="52"/>
      <c r="BV1323" s="52" t="s">
        <v>376</v>
      </c>
      <c r="BW1323" s="52" t="s">
        <v>376</v>
      </c>
      <c r="BX1323" s="52"/>
      <c r="BY1323" s="52"/>
      <c r="BZ1323" s="53"/>
      <c r="CA1323" s="53"/>
      <c r="CB1323" s="93" t="str">
        <f>IF(OR(C1323="",A1323="",B1323=""),"",TEXT(C1323,"0000")&amp;TEXT(A1323,"00")&amp;TEXT(B1323,"00"))</f>
        <v>20020109</v>
      </c>
    </row>
    <row r="1324" spans="1:80" s="46" customFormat="1" ht="12.95" customHeight="1" x14ac:dyDescent="0.2">
      <c r="A1324" s="46">
        <v>1</v>
      </c>
      <c r="B1324" s="46">
        <v>22</v>
      </c>
      <c r="C1324" s="46">
        <v>2002</v>
      </c>
      <c r="D1324" s="52" t="s">
        <v>658</v>
      </c>
      <c r="E1324" s="52" t="s">
        <v>299</v>
      </c>
      <c r="F1324" s="52" t="s">
        <v>1327</v>
      </c>
      <c r="G1324" s="52"/>
      <c r="H1324" s="52" t="s">
        <v>1011</v>
      </c>
      <c r="I1324" s="52">
        <v>2</v>
      </c>
      <c r="J1324" s="56">
        <v>37278</v>
      </c>
      <c r="K1324" s="52" t="s">
        <v>1094</v>
      </c>
      <c r="L1324" s="52" t="s">
        <v>3</v>
      </c>
      <c r="M1324" s="52" t="s">
        <v>1093</v>
      </c>
      <c r="N1324" s="57">
        <v>4</v>
      </c>
      <c r="O1324" s="57">
        <v>2</v>
      </c>
      <c r="P1324" s="52" t="s">
        <v>1178</v>
      </c>
      <c r="Q1324" s="52" t="s">
        <v>1085</v>
      </c>
      <c r="R1324" s="52" t="s">
        <v>376</v>
      </c>
      <c r="S1324" s="52"/>
      <c r="T1324" s="52"/>
      <c r="U1324" s="52"/>
      <c r="V1324" s="52"/>
      <c r="W1324" s="52"/>
      <c r="X1324" s="52"/>
      <c r="Y1324" s="52"/>
      <c r="Z1324" s="57"/>
      <c r="AA1324" s="58">
        <v>6</v>
      </c>
      <c r="AB1324" s="58">
        <v>3</v>
      </c>
      <c r="AC1324" s="59">
        <v>2</v>
      </c>
      <c r="AD1324" s="52" t="s">
        <v>1033</v>
      </c>
      <c r="AE1324" s="50">
        <f>IF(L1324="W",1,0)</f>
        <v>1</v>
      </c>
      <c r="AF1324" s="50">
        <f>IF(L1324="T",1,0)</f>
        <v>0</v>
      </c>
      <c r="AG1324" s="50">
        <f>IF(L1324="L",1,0)</f>
        <v>0</v>
      </c>
      <c r="AH1324" s="52" t="s">
        <v>1085</v>
      </c>
      <c r="AI1324" s="52" t="s">
        <v>1086</v>
      </c>
      <c r="AJ1324" s="52" t="s">
        <v>376</v>
      </c>
      <c r="AK1324" s="50" t="s">
        <v>658</v>
      </c>
      <c r="AL1324" s="52" t="s">
        <v>1097</v>
      </c>
      <c r="AM1324" s="52" t="s">
        <v>1098</v>
      </c>
      <c r="AN1324" s="52" t="s">
        <v>376</v>
      </c>
      <c r="AO1324" s="50" t="s">
        <v>658</v>
      </c>
      <c r="AP1324" s="52"/>
      <c r="AQ1324" s="52">
        <v>2</v>
      </c>
      <c r="AR1324" s="52"/>
      <c r="AS1324" s="52"/>
      <c r="AU1324" s="52" t="s">
        <v>376</v>
      </c>
      <c r="AV1324" s="52"/>
      <c r="AW1324" s="52" t="s">
        <v>30</v>
      </c>
      <c r="AX1324" s="52"/>
      <c r="AY1324" s="52"/>
      <c r="AZ1324" s="52" t="s">
        <v>30</v>
      </c>
      <c r="BA1324" s="52"/>
      <c r="BB1324" s="60"/>
      <c r="BC1324" s="52"/>
      <c r="BD1324" s="60"/>
      <c r="BE1324" s="60"/>
      <c r="BF1324" s="35">
        <v>1</v>
      </c>
      <c r="BG1324" s="52">
        <v>1</v>
      </c>
      <c r="BH1324" s="52"/>
      <c r="BI1324" s="52" t="s">
        <v>1094</v>
      </c>
      <c r="BJ1324" s="52" t="s">
        <v>1093</v>
      </c>
      <c r="BK1324" s="52">
        <v>2002</v>
      </c>
      <c r="BL1324" s="46" t="str">
        <f>BK1324&amp;BI1324</f>
        <v>2002Blackburn Rovers</v>
      </c>
      <c r="BM1324" s="52" t="str">
        <f>IF(AD1324="Home",BI1324,IF(AD1324="Away",BJ1324,Q1324))</f>
        <v>Blackburn Rovers</v>
      </c>
      <c r="BN1324" s="52"/>
      <c r="BO1324" s="52"/>
      <c r="BP1324" s="52"/>
      <c r="BQ1324" s="52"/>
      <c r="BR1324" s="52"/>
      <c r="BS1324" s="52"/>
      <c r="BT1324" s="52"/>
      <c r="BU1324" s="52"/>
      <c r="BV1324" s="52" t="s">
        <v>376</v>
      </c>
      <c r="BW1324" s="52" t="s">
        <v>376</v>
      </c>
      <c r="BX1324" s="52"/>
      <c r="BY1324" s="52"/>
      <c r="BZ1324" s="53"/>
      <c r="CA1324" s="53"/>
      <c r="CB1324" s="93" t="str">
        <f>IF(OR(C1324="",A1324="",B1324=""),"",TEXT(C1324,"0000")&amp;TEXT(A1324,"00")&amp;TEXT(B1324,"00"))</f>
        <v>20020122</v>
      </c>
    </row>
    <row r="1325" spans="1:80" s="46" customFormat="1" ht="12.95" customHeight="1" x14ac:dyDescent="0.2">
      <c r="A1325" s="46">
        <v>1</v>
      </c>
      <c r="B1325" s="46">
        <v>22</v>
      </c>
      <c r="C1325" s="46">
        <v>2002</v>
      </c>
      <c r="D1325" s="46" t="s">
        <v>658</v>
      </c>
      <c r="E1325" s="46" t="s">
        <v>299</v>
      </c>
      <c r="F1325" s="54" t="s">
        <v>1327</v>
      </c>
      <c r="H1325" s="54" t="s">
        <v>1011</v>
      </c>
      <c r="I1325" s="54">
        <v>2</v>
      </c>
      <c r="J1325" s="55">
        <v>37278</v>
      </c>
      <c r="K1325" s="46" t="s">
        <v>1093</v>
      </c>
      <c r="L1325" s="46" t="s">
        <v>4</v>
      </c>
      <c r="M1325" s="46" t="s">
        <v>1094</v>
      </c>
      <c r="N1325" s="49">
        <v>2</v>
      </c>
      <c r="O1325" s="49">
        <v>4</v>
      </c>
      <c r="P1325" s="54" t="s">
        <v>1178</v>
      </c>
      <c r="Q1325" s="54" t="s">
        <v>1085</v>
      </c>
      <c r="R1325" s="54" t="s">
        <v>376</v>
      </c>
      <c r="AD1325" s="46" t="s">
        <v>1037</v>
      </c>
      <c r="AE1325" s="50">
        <f>IF(L1325="W",1,0)</f>
        <v>0</v>
      </c>
      <c r="AF1325" s="50">
        <f>IF(L1325="T",1,0)</f>
        <v>0</v>
      </c>
      <c r="AG1325" s="50">
        <f>IF(L1325="L",1,0)</f>
        <v>1</v>
      </c>
      <c r="AH1325" s="46" t="s">
        <v>1097</v>
      </c>
      <c r="AI1325" s="46" t="s">
        <v>1098</v>
      </c>
      <c r="AJ1325" s="46" t="s">
        <v>376</v>
      </c>
      <c r="AK1325" s="46" t="s">
        <v>658</v>
      </c>
      <c r="AL1325" s="46" t="s">
        <v>1085</v>
      </c>
      <c r="AM1325" s="46" t="s">
        <v>1086</v>
      </c>
      <c r="AN1325" s="46" t="s">
        <v>376</v>
      </c>
      <c r="AO1325" s="46" t="s">
        <v>658</v>
      </c>
      <c r="AQ1325" s="46">
        <v>2</v>
      </c>
      <c r="AU1325" s="46" t="s">
        <v>376</v>
      </c>
      <c r="AW1325" s="46" t="s">
        <v>30</v>
      </c>
      <c r="AZ1325" s="46" t="s">
        <v>30</v>
      </c>
      <c r="BA1325" s="54"/>
      <c r="BB1325" s="51"/>
      <c r="BF1325" s="46">
        <v>1</v>
      </c>
      <c r="BG1325" s="46">
        <v>2</v>
      </c>
      <c r="BH1325" s="46">
        <v>1</v>
      </c>
      <c r="BI1325" s="46" t="s">
        <v>1093</v>
      </c>
      <c r="BJ1325" s="46" t="s">
        <v>1094</v>
      </c>
      <c r="BK1325" s="46">
        <v>2002</v>
      </c>
      <c r="BL1325" s="46" t="str">
        <f>BK1325&amp;BI1325</f>
        <v>2002Sheffield Wednesday</v>
      </c>
      <c r="BM1325" s="52" t="str">
        <f>IF(AD1325="Home",BI1325,IF(AD1325="Away",BJ1325,Q1325))</f>
        <v>Blackburn Rovers</v>
      </c>
      <c r="BV1325" s="46" t="s">
        <v>376</v>
      </c>
      <c r="BW1325" s="46" t="s">
        <v>376</v>
      </c>
      <c r="BY1325" s="52"/>
      <c r="BZ1325" s="53"/>
      <c r="CA1325" s="53"/>
      <c r="CB1325" s="93" t="str">
        <f>IF(OR(C1325="",A1325="",B1325=""),"",TEXT(C1325,"0000")&amp;TEXT(A1325,"00")&amp;TEXT(B1325,"00"))</f>
        <v>20020122</v>
      </c>
    </row>
    <row r="1326" spans="1:80" s="46" customFormat="1" ht="12.95" customHeight="1" x14ac:dyDescent="0.2">
      <c r="A1326" s="46">
        <v>1</v>
      </c>
      <c r="B1326" s="46">
        <v>23</v>
      </c>
      <c r="C1326" s="46">
        <v>2002</v>
      </c>
      <c r="D1326" s="52" t="s">
        <v>658</v>
      </c>
      <c r="E1326" s="52" t="s">
        <v>299</v>
      </c>
      <c r="F1326" s="52" t="s">
        <v>1327</v>
      </c>
      <c r="G1326" s="52"/>
      <c r="H1326" s="52" t="s">
        <v>1011</v>
      </c>
      <c r="I1326" s="52">
        <v>2</v>
      </c>
      <c r="J1326" s="56">
        <v>37279</v>
      </c>
      <c r="K1326" s="52" t="s">
        <v>813</v>
      </c>
      <c r="L1326" s="52" t="s">
        <v>3</v>
      </c>
      <c r="M1326" s="52" t="s">
        <v>816</v>
      </c>
      <c r="N1326" s="57">
        <v>5</v>
      </c>
      <c r="O1326" s="57">
        <v>1</v>
      </c>
      <c r="P1326" s="52" t="s">
        <v>1222</v>
      </c>
      <c r="Q1326" s="52" t="s">
        <v>1017</v>
      </c>
      <c r="R1326" s="52" t="s">
        <v>376</v>
      </c>
      <c r="S1326" s="52"/>
      <c r="T1326" s="52"/>
      <c r="U1326" s="52"/>
      <c r="V1326" s="52"/>
      <c r="W1326" s="52"/>
      <c r="X1326" s="52"/>
      <c r="Y1326" s="52"/>
      <c r="Z1326" s="57"/>
      <c r="AA1326" s="58">
        <v>6</v>
      </c>
      <c r="AB1326" s="58">
        <v>3</v>
      </c>
      <c r="AC1326" s="59">
        <v>1</v>
      </c>
      <c r="AD1326" s="52" t="s">
        <v>1033</v>
      </c>
      <c r="AE1326" s="50">
        <f>IF(L1326="W",1,0)</f>
        <v>1</v>
      </c>
      <c r="AF1326" s="50">
        <f>IF(L1326="T",1,0)</f>
        <v>0</v>
      </c>
      <c r="AG1326" s="50">
        <f>IF(L1326="L",1,0)</f>
        <v>0</v>
      </c>
      <c r="AH1326" s="52" t="s">
        <v>1017</v>
      </c>
      <c r="AI1326" s="52" t="s">
        <v>1018</v>
      </c>
      <c r="AJ1326" s="52" t="s">
        <v>376</v>
      </c>
      <c r="AK1326" s="50" t="s">
        <v>658</v>
      </c>
      <c r="AL1326" s="52" t="s">
        <v>1017</v>
      </c>
      <c r="AM1326" s="52" t="s">
        <v>1018</v>
      </c>
      <c r="AN1326" s="52" t="s">
        <v>376</v>
      </c>
      <c r="AO1326" s="50" t="s">
        <v>658</v>
      </c>
      <c r="AP1326" s="52"/>
      <c r="AQ1326" s="52">
        <v>2</v>
      </c>
      <c r="AR1326" s="52"/>
      <c r="AS1326" s="52"/>
      <c r="AU1326" s="52" t="s">
        <v>376</v>
      </c>
      <c r="AV1326" s="52"/>
      <c r="AW1326" s="52" t="s">
        <v>30</v>
      </c>
      <c r="AX1326" s="52"/>
      <c r="AY1326" s="52"/>
      <c r="AZ1326" s="52" t="s">
        <v>30</v>
      </c>
      <c r="BA1326" s="52"/>
      <c r="BB1326" s="60"/>
      <c r="BC1326" s="52"/>
      <c r="BD1326" s="60"/>
      <c r="BE1326" s="60"/>
      <c r="BF1326" s="35">
        <v>1</v>
      </c>
      <c r="BG1326" s="52">
        <v>1</v>
      </c>
      <c r="BH1326" s="52"/>
      <c r="BI1326" s="52" t="s">
        <v>813</v>
      </c>
      <c r="BJ1326" s="52" t="s">
        <v>816</v>
      </c>
      <c r="BK1326" s="52">
        <v>2002</v>
      </c>
      <c r="BL1326" s="46" t="str">
        <f>BK1326&amp;BI1326</f>
        <v>2002Tottenham Hotspur</v>
      </c>
      <c r="BM1326" s="52" t="str">
        <f>IF(AD1326="Home",BI1326,IF(AD1326="Away",BJ1326,Q1326))</f>
        <v>Tottenham Hotspur</v>
      </c>
      <c r="BN1326" s="52"/>
      <c r="BO1326" s="52"/>
      <c r="BP1326" s="52"/>
      <c r="BQ1326" s="52"/>
      <c r="BR1326" s="52"/>
      <c r="BS1326" s="52"/>
      <c r="BT1326" s="52"/>
      <c r="BU1326" s="52"/>
      <c r="BV1326" s="52" t="s">
        <v>376</v>
      </c>
      <c r="BW1326" s="52" t="s">
        <v>376</v>
      </c>
      <c r="BX1326" s="52"/>
      <c r="BY1326" s="52"/>
      <c r="BZ1326" s="53"/>
      <c r="CA1326" s="53"/>
      <c r="CB1326" s="93" t="str">
        <f>IF(OR(C1326="",A1326="",B1326=""),"",TEXT(C1326,"0000")&amp;TEXT(A1326,"00")&amp;TEXT(B1326,"00"))</f>
        <v>20020123</v>
      </c>
    </row>
    <row r="1327" spans="1:80" s="46" customFormat="1" ht="12.95" customHeight="1" x14ac:dyDescent="0.2">
      <c r="A1327" s="46">
        <v>1</v>
      </c>
      <c r="B1327" s="46">
        <v>23</v>
      </c>
      <c r="C1327" s="46">
        <v>2002</v>
      </c>
      <c r="D1327" s="52" t="s">
        <v>658</v>
      </c>
      <c r="E1327" s="52" t="s">
        <v>299</v>
      </c>
      <c r="F1327" s="52" t="s">
        <v>1327</v>
      </c>
      <c r="G1327" s="52"/>
      <c r="H1327" s="52" t="s">
        <v>1011</v>
      </c>
      <c r="I1327" s="52">
        <v>2</v>
      </c>
      <c r="J1327" s="56">
        <v>37279</v>
      </c>
      <c r="K1327" s="52" t="s">
        <v>816</v>
      </c>
      <c r="L1327" s="52" t="s">
        <v>4</v>
      </c>
      <c r="M1327" s="52" t="s">
        <v>813</v>
      </c>
      <c r="N1327" s="57">
        <v>1</v>
      </c>
      <c r="O1327" s="57">
        <v>5</v>
      </c>
      <c r="P1327" s="52" t="s">
        <v>1222</v>
      </c>
      <c r="Q1327" s="52" t="s">
        <v>1017</v>
      </c>
      <c r="R1327" s="52" t="s">
        <v>376</v>
      </c>
      <c r="S1327" s="52"/>
      <c r="T1327" s="52"/>
      <c r="U1327" s="52"/>
      <c r="V1327" s="52"/>
      <c r="W1327" s="52"/>
      <c r="X1327" s="52"/>
      <c r="Y1327" s="52"/>
      <c r="Z1327" s="57"/>
      <c r="AA1327" s="58">
        <v>3</v>
      </c>
      <c r="AB1327" s="58">
        <v>6</v>
      </c>
      <c r="AC1327" s="59">
        <v>1</v>
      </c>
      <c r="AD1327" s="52" t="s">
        <v>1037</v>
      </c>
      <c r="AE1327" s="50">
        <f>IF(L1327="W",1,0)</f>
        <v>0</v>
      </c>
      <c r="AF1327" s="50">
        <f>IF(L1327="T",1,0)</f>
        <v>0</v>
      </c>
      <c r="AG1327" s="50">
        <f>IF(L1327="L",1,0)</f>
        <v>1</v>
      </c>
      <c r="AH1327" s="52" t="s">
        <v>1017</v>
      </c>
      <c r="AI1327" s="52" t="s">
        <v>1018</v>
      </c>
      <c r="AJ1327" s="52" t="s">
        <v>376</v>
      </c>
      <c r="AK1327" s="50" t="s">
        <v>658</v>
      </c>
      <c r="AL1327" s="52" t="s">
        <v>1017</v>
      </c>
      <c r="AM1327" s="52" t="s">
        <v>1018</v>
      </c>
      <c r="AN1327" s="52" t="s">
        <v>376</v>
      </c>
      <c r="AO1327" s="50" t="s">
        <v>658</v>
      </c>
      <c r="AP1327" s="52"/>
      <c r="AQ1327" s="52">
        <v>2</v>
      </c>
      <c r="AR1327" s="52"/>
      <c r="AS1327" s="52">
        <v>1</v>
      </c>
      <c r="AU1327" s="52" t="s">
        <v>376</v>
      </c>
      <c r="AV1327" s="52"/>
      <c r="AW1327" s="52" t="s">
        <v>30</v>
      </c>
      <c r="AX1327" s="52"/>
      <c r="AY1327" s="52"/>
      <c r="AZ1327" s="52" t="s">
        <v>30</v>
      </c>
      <c r="BA1327" s="52"/>
      <c r="BB1327" s="60"/>
      <c r="BC1327" s="52"/>
      <c r="BD1327" s="60"/>
      <c r="BE1327" s="60"/>
      <c r="BF1327" s="35">
        <v>1</v>
      </c>
      <c r="BG1327" s="52">
        <v>1</v>
      </c>
      <c r="BH1327" s="52"/>
      <c r="BI1327" s="52" t="s">
        <v>816</v>
      </c>
      <c r="BJ1327" s="52" t="s">
        <v>813</v>
      </c>
      <c r="BK1327" s="52">
        <v>2002</v>
      </c>
      <c r="BL1327" s="46" t="str">
        <f>BK1327&amp;BI1327</f>
        <v>2002Chelsea</v>
      </c>
      <c r="BM1327" s="52" t="str">
        <f>IF(AD1327="Home",BI1327,IF(AD1327="Away",BJ1327,Q1327))</f>
        <v>Tottenham Hotspur</v>
      </c>
      <c r="BN1327" s="52"/>
      <c r="BO1327" s="52"/>
      <c r="BP1327" s="52"/>
      <c r="BQ1327" s="52"/>
      <c r="BR1327" s="52"/>
      <c r="BS1327" s="52"/>
      <c r="BT1327" s="52"/>
      <c r="BU1327" s="52"/>
      <c r="BV1327" s="52" t="s">
        <v>376</v>
      </c>
      <c r="BW1327" s="52" t="s">
        <v>376</v>
      </c>
      <c r="BX1327" s="52"/>
      <c r="BY1327" s="52"/>
      <c r="BZ1327" s="53"/>
      <c r="CA1327" s="53"/>
      <c r="CB1327" s="93" t="str">
        <f>IF(OR(C1327="",A1327="",B1327=""),"",TEXT(C1327,"0000")&amp;TEXT(A1327,"00")&amp;TEXT(B1327,"00"))</f>
        <v>20020123</v>
      </c>
    </row>
    <row r="1328" spans="1:80" s="46" customFormat="1" ht="12.95" customHeight="1" x14ac:dyDescent="0.2">
      <c r="A1328" s="46">
        <v>2</v>
      </c>
      <c r="B1328" s="46">
        <v>24</v>
      </c>
      <c r="C1328" s="46">
        <v>2002</v>
      </c>
      <c r="D1328" s="52" t="s">
        <v>658</v>
      </c>
      <c r="E1328" s="52" t="s">
        <v>299</v>
      </c>
      <c r="F1328" s="52" t="s">
        <v>1327</v>
      </c>
      <c r="G1328" s="52"/>
      <c r="H1328" s="52" t="s">
        <v>40</v>
      </c>
      <c r="I1328" s="52"/>
      <c r="J1328" s="56">
        <v>37311</v>
      </c>
      <c r="K1328" s="52" t="s">
        <v>1094</v>
      </c>
      <c r="L1328" s="52" t="s">
        <v>3</v>
      </c>
      <c r="M1328" s="52" t="s">
        <v>813</v>
      </c>
      <c r="N1328" s="57">
        <v>2</v>
      </c>
      <c r="O1328" s="57">
        <v>1</v>
      </c>
      <c r="P1328" s="52" t="s">
        <v>1407</v>
      </c>
      <c r="Q1328" s="52" t="s">
        <v>1263</v>
      </c>
      <c r="R1328" s="52" t="s">
        <v>1264</v>
      </c>
      <c r="S1328" s="52"/>
      <c r="T1328" s="52"/>
      <c r="U1328" s="52"/>
      <c r="V1328" s="52"/>
      <c r="W1328" s="52"/>
      <c r="X1328" s="52"/>
      <c r="Y1328" s="52"/>
      <c r="Z1328" s="57"/>
      <c r="AA1328" s="52"/>
      <c r="AB1328" s="52"/>
      <c r="AC1328" s="52"/>
      <c r="AD1328" s="52"/>
      <c r="AE1328" s="50">
        <f>IF(L1328="W",1,0)</f>
        <v>1</v>
      </c>
      <c r="AF1328" s="50">
        <f>IF(L1328="T",1,0)</f>
        <v>0</v>
      </c>
      <c r="AG1328" s="50">
        <f>IF(L1328="L",1,0)</f>
        <v>0</v>
      </c>
      <c r="AH1328" s="52" t="s">
        <v>1085</v>
      </c>
      <c r="AI1328" s="52" t="s">
        <v>1086</v>
      </c>
      <c r="AJ1328" s="52" t="s">
        <v>376</v>
      </c>
      <c r="AK1328" s="50" t="s">
        <v>658</v>
      </c>
      <c r="AL1328" s="52" t="s">
        <v>1017</v>
      </c>
      <c r="AM1328" s="52" t="s">
        <v>1018</v>
      </c>
      <c r="AN1328" s="52" t="s">
        <v>376</v>
      </c>
      <c r="AO1328" s="50" t="s">
        <v>658</v>
      </c>
      <c r="AP1328" s="52"/>
      <c r="AQ1328" s="52">
        <v>1</v>
      </c>
      <c r="AR1328" s="52"/>
      <c r="AS1328" s="52" t="s">
        <v>1393</v>
      </c>
      <c r="AU1328" s="52" t="s">
        <v>376</v>
      </c>
      <c r="AV1328" s="52"/>
      <c r="AW1328" s="52" t="s">
        <v>30</v>
      </c>
      <c r="AX1328" s="52"/>
      <c r="AY1328" s="52"/>
      <c r="AZ1328" s="57" t="s">
        <v>30</v>
      </c>
      <c r="BA1328" s="52"/>
      <c r="BB1328" s="60" t="s">
        <v>30</v>
      </c>
      <c r="BC1328" s="52" t="s">
        <v>30</v>
      </c>
      <c r="BD1328" s="60"/>
      <c r="BE1328" s="60" t="s">
        <v>1400</v>
      </c>
      <c r="BF1328" s="35">
        <v>1</v>
      </c>
      <c r="BG1328" s="52">
        <v>1</v>
      </c>
      <c r="BH1328" s="52"/>
      <c r="BI1328" s="52" t="s">
        <v>1094</v>
      </c>
      <c r="BJ1328" s="52" t="s">
        <v>813</v>
      </c>
      <c r="BK1328" s="52">
        <v>2002</v>
      </c>
      <c r="BL1328" s="46" t="str">
        <f>BK1328&amp;BI1328</f>
        <v>2002Blackburn Rovers</v>
      </c>
      <c r="BM1328" s="52" t="str">
        <f>IF(AD1328="Home",BI1328,IF(AD1328="Away",BJ1328,Q1328))</f>
        <v>Cardiff</v>
      </c>
      <c r="BN1328" s="52"/>
      <c r="BO1328" s="52"/>
      <c r="BP1328" s="52"/>
      <c r="BQ1328" s="52"/>
      <c r="BR1328" s="52"/>
      <c r="BS1328" s="52"/>
      <c r="BT1328" s="52"/>
      <c r="BU1328" s="52"/>
      <c r="BV1328" s="52" t="s">
        <v>376</v>
      </c>
      <c r="BW1328" s="52" t="s">
        <v>376</v>
      </c>
      <c r="BX1328" s="52"/>
      <c r="BZ1328" s="53"/>
      <c r="CA1328" s="53"/>
      <c r="CB1328" s="93" t="str">
        <f>IF(OR(C1328="",A1328="",B1328=""),"",TEXT(C1328,"0000")&amp;TEXT(A1328,"00")&amp;TEXT(B1328,"00"))</f>
        <v>20020224</v>
      </c>
    </row>
    <row r="1329" spans="1:80" s="46" customFormat="1" ht="12.95" customHeight="1" x14ac:dyDescent="0.2">
      <c r="A1329" s="46">
        <v>2</v>
      </c>
      <c r="B1329" s="46">
        <v>24</v>
      </c>
      <c r="C1329" s="46">
        <v>2002</v>
      </c>
      <c r="D1329" s="52" t="s">
        <v>658</v>
      </c>
      <c r="E1329" s="52" t="s">
        <v>299</v>
      </c>
      <c r="F1329" s="52" t="s">
        <v>1327</v>
      </c>
      <c r="G1329" s="52"/>
      <c r="H1329" s="52" t="s">
        <v>40</v>
      </c>
      <c r="I1329" s="52"/>
      <c r="J1329" s="56">
        <v>37311</v>
      </c>
      <c r="K1329" s="52" t="s">
        <v>813</v>
      </c>
      <c r="L1329" s="52" t="s">
        <v>4</v>
      </c>
      <c r="M1329" s="52" t="s">
        <v>1094</v>
      </c>
      <c r="N1329" s="57">
        <v>1</v>
      </c>
      <c r="O1329" s="57">
        <v>2</v>
      </c>
      <c r="P1329" s="52" t="s">
        <v>1407</v>
      </c>
      <c r="Q1329" s="52" t="s">
        <v>1263</v>
      </c>
      <c r="R1329" s="52" t="s">
        <v>1264</v>
      </c>
      <c r="S1329" s="52"/>
      <c r="T1329" s="52"/>
      <c r="U1329" s="52"/>
      <c r="V1329" s="52"/>
      <c r="W1329" s="52"/>
      <c r="X1329" s="52"/>
      <c r="Y1329" s="52"/>
      <c r="Z1329" s="57"/>
      <c r="AA1329" s="52"/>
      <c r="AB1329" s="52"/>
      <c r="AC1329" s="52"/>
      <c r="AD1329" s="52"/>
      <c r="AE1329" s="50">
        <f>IF(L1329="W",1,0)</f>
        <v>0</v>
      </c>
      <c r="AF1329" s="50">
        <f>IF(L1329="T",1,0)</f>
        <v>0</v>
      </c>
      <c r="AG1329" s="50">
        <f>IF(L1329="L",1,0)</f>
        <v>1</v>
      </c>
      <c r="AH1329" s="52" t="s">
        <v>1017</v>
      </c>
      <c r="AI1329" s="52" t="s">
        <v>1018</v>
      </c>
      <c r="AJ1329" s="52" t="s">
        <v>376</v>
      </c>
      <c r="AK1329" s="50" t="s">
        <v>658</v>
      </c>
      <c r="AL1329" s="52" t="s">
        <v>1085</v>
      </c>
      <c r="AM1329" s="52" t="s">
        <v>1086</v>
      </c>
      <c r="AN1329" s="52" t="s">
        <v>376</v>
      </c>
      <c r="AO1329" s="50" t="s">
        <v>658</v>
      </c>
      <c r="AP1329" s="52"/>
      <c r="AQ1329" s="52">
        <v>1</v>
      </c>
      <c r="AR1329" s="52"/>
      <c r="AS1329" s="52">
        <v>1</v>
      </c>
      <c r="AU1329" s="52" t="s">
        <v>376</v>
      </c>
      <c r="AV1329" s="52"/>
      <c r="AW1329" s="52" t="s">
        <v>30</v>
      </c>
      <c r="AX1329" s="52"/>
      <c r="AY1329" s="52"/>
      <c r="AZ1329" s="52" t="s">
        <v>30</v>
      </c>
      <c r="BA1329" s="52"/>
      <c r="BB1329" s="60"/>
      <c r="BC1329" s="52" t="s">
        <v>30</v>
      </c>
      <c r="BD1329" s="60"/>
      <c r="BE1329" s="60"/>
      <c r="BF1329" s="35">
        <v>1</v>
      </c>
      <c r="BG1329" s="52">
        <v>1</v>
      </c>
      <c r="BH1329" s="52"/>
      <c r="BI1329" s="52" t="s">
        <v>813</v>
      </c>
      <c r="BJ1329" s="52" t="s">
        <v>1094</v>
      </c>
      <c r="BK1329" s="52">
        <v>2002</v>
      </c>
      <c r="BL1329" s="46" t="str">
        <f>BK1329&amp;BI1329</f>
        <v>2002Tottenham Hotspur</v>
      </c>
      <c r="BM1329" s="52" t="str">
        <f>IF(AD1329="Home",BI1329,IF(AD1329="Away",BJ1329,Q1329))</f>
        <v>Cardiff</v>
      </c>
      <c r="BN1329" s="52"/>
      <c r="BO1329" s="52"/>
      <c r="BP1329" s="52"/>
      <c r="BQ1329" s="52"/>
      <c r="BR1329" s="52"/>
      <c r="BS1329" s="52"/>
      <c r="BT1329" s="52"/>
      <c r="BU1329" s="52"/>
      <c r="BV1329" s="52" t="s">
        <v>376</v>
      </c>
      <c r="BW1329" s="52" t="s">
        <v>376</v>
      </c>
      <c r="BX1329" s="52"/>
      <c r="BZ1329" s="53"/>
      <c r="CA1329" s="53"/>
      <c r="CB1329" s="93" t="str">
        <f>IF(OR(C1329="",A1329="",B1329=""),"",TEXT(C1329,"0000")&amp;TEXT(A1329,"00")&amp;TEXT(B1329,"00"))</f>
        <v>20020224</v>
      </c>
    </row>
    <row r="1330" spans="1:80" s="46" customFormat="1" ht="12.95" customHeight="1" x14ac:dyDescent="0.2">
      <c r="A1330" s="46">
        <v>4</v>
      </c>
      <c r="B1330" s="46">
        <v>14</v>
      </c>
      <c r="C1330" s="46">
        <v>2002</v>
      </c>
      <c r="D1330" s="52" t="s">
        <v>658</v>
      </c>
      <c r="E1330" s="52" t="s">
        <v>299</v>
      </c>
      <c r="F1330" s="52" t="s">
        <v>1010</v>
      </c>
      <c r="G1330" s="52"/>
      <c r="H1330" s="52" t="s">
        <v>1011</v>
      </c>
      <c r="I1330" s="52"/>
      <c r="J1330" s="56">
        <v>37360</v>
      </c>
      <c r="K1330" s="52" t="s">
        <v>587</v>
      </c>
      <c r="L1330" s="52" t="s">
        <v>3</v>
      </c>
      <c r="M1330" s="52" t="s">
        <v>1366</v>
      </c>
      <c r="N1330" s="57">
        <v>1</v>
      </c>
      <c r="O1330" s="57">
        <v>0</v>
      </c>
      <c r="P1330" s="52" t="s">
        <v>1246</v>
      </c>
      <c r="Q1330" s="52" t="s">
        <v>1101</v>
      </c>
      <c r="R1330" s="52" t="s">
        <v>376</v>
      </c>
      <c r="S1330" s="52"/>
      <c r="T1330" s="52"/>
      <c r="U1330" s="52"/>
      <c r="V1330" s="52"/>
      <c r="W1330" s="52"/>
      <c r="X1330" s="52"/>
      <c r="Y1330" s="52"/>
      <c r="Z1330" s="57"/>
      <c r="AA1330" s="52"/>
      <c r="AB1330" s="52"/>
      <c r="AC1330" s="52"/>
      <c r="AD1330" s="52"/>
      <c r="AE1330" s="50">
        <f>IF(L1330="W",1,0)</f>
        <v>1</v>
      </c>
      <c r="AF1330" s="50">
        <f>IF(L1330="T",1,0)</f>
        <v>0</v>
      </c>
      <c r="AG1330" s="50">
        <f>IF(L1330="L",1,0)</f>
        <v>0</v>
      </c>
      <c r="AH1330" s="52" t="s">
        <v>1017</v>
      </c>
      <c r="AI1330" s="52" t="s">
        <v>1018</v>
      </c>
      <c r="AJ1330" s="52" t="s">
        <v>376</v>
      </c>
      <c r="AK1330" s="50" t="s">
        <v>658</v>
      </c>
      <c r="AL1330" s="52" t="s">
        <v>1366</v>
      </c>
      <c r="AM1330" s="52" t="s">
        <v>1317</v>
      </c>
      <c r="AN1330" s="52" t="s">
        <v>376</v>
      </c>
      <c r="AO1330" s="50" t="s">
        <v>658</v>
      </c>
      <c r="AP1330" s="52"/>
      <c r="AQ1330" s="52">
        <v>2</v>
      </c>
      <c r="AR1330" s="52"/>
      <c r="AS1330" s="52"/>
      <c r="AU1330" s="52" t="s">
        <v>376</v>
      </c>
      <c r="AV1330" s="52"/>
      <c r="AW1330" s="52" t="s">
        <v>30</v>
      </c>
      <c r="AX1330" s="52"/>
      <c r="AY1330" s="52" t="s">
        <v>30</v>
      </c>
      <c r="AZ1330" s="52"/>
      <c r="BA1330" s="52"/>
      <c r="BB1330" s="60"/>
      <c r="BC1330" s="52"/>
      <c r="BD1330" s="60"/>
      <c r="BE1330" s="60"/>
      <c r="BF1330" s="35">
        <v>1</v>
      </c>
      <c r="BG1330" s="52">
        <v>1</v>
      </c>
      <c r="BH1330" s="52"/>
      <c r="BI1330" s="52" t="s">
        <v>587</v>
      </c>
      <c r="BJ1330" s="52" t="s">
        <v>1366</v>
      </c>
      <c r="BK1330" s="52">
        <v>2002</v>
      </c>
      <c r="BL1330" s="46" t="str">
        <f>BK1330&amp;BI1330</f>
        <v>2002Arsenal</v>
      </c>
      <c r="BM1330" s="52" t="str">
        <f>IF(AD1330="Home",BI1330,IF(AD1330="Away",BJ1330,Q1330))</f>
        <v>Manchester</v>
      </c>
      <c r="BN1330" s="52"/>
      <c r="BO1330" s="52"/>
      <c r="BP1330" s="52"/>
      <c r="BQ1330" s="52"/>
      <c r="BR1330" s="52"/>
      <c r="BS1330" s="52"/>
      <c r="BT1330" s="52"/>
      <c r="BU1330" s="52"/>
      <c r="BV1330" s="52" t="s">
        <v>376</v>
      </c>
      <c r="BW1330" s="52" t="s">
        <v>376</v>
      </c>
      <c r="BX1330" s="52"/>
      <c r="BY1330" s="52"/>
      <c r="BZ1330" s="53"/>
      <c r="CA1330" s="53"/>
      <c r="CB1330" s="93" t="str">
        <f>IF(OR(C1330="",A1330="",B1330=""),"",TEXT(C1330,"0000")&amp;TEXT(A1330,"00")&amp;TEXT(B1330,"00"))</f>
        <v>20020414</v>
      </c>
    </row>
    <row r="1331" spans="1:80" s="46" customFormat="1" ht="12.95" customHeight="1" x14ac:dyDescent="0.2">
      <c r="A1331" s="46">
        <v>4</v>
      </c>
      <c r="B1331" s="46">
        <v>14</v>
      </c>
      <c r="C1331" s="46">
        <v>2002</v>
      </c>
      <c r="D1331" s="52" t="s">
        <v>658</v>
      </c>
      <c r="E1331" s="52" t="s">
        <v>299</v>
      </c>
      <c r="F1331" s="52" t="s">
        <v>1010</v>
      </c>
      <c r="G1331" s="52"/>
      <c r="H1331" s="52" t="s">
        <v>1011</v>
      </c>
      <c r="I1331" s="52"/>
      <c r="J1331" s="56">
        <v>37360</v>
      </c>
      <c r="K1331" s="52" t="s">
        <v>1366</v>
      </c>
      <c r="L1331" s="52" t="s">
        <v>4</v>
      </c>
      <c r="M1331" s="52" t="s">
        <v>587</v>
      </c>
      <c r="N1331" s="57">
        <v>0</v>
      </c>
      <c r="O1331" s="57">
        <v>1</v>
      </c>
      <c r="P1331" s="52" t="s">
        <v>1246</v>
      </c>
      <c r="Q1331" s="52" t="s">
        <v>1101</v>
      </c>
      <c r="R1331" s="52" t="s">
        <v>376</v>
      </c>
      <c r="S1331" s="52"/>
      <c r="T1331" s="52"/>
      <c r="U1331" s="52"/>
      <c r="V1331" s="52"/>
      <c r="W1331" s="52"/>
      <c r="X1331" s="52"/>
      <c r="Y1331" s="52"/>
      <c r="Z1331" s="57"/>
      <c r="AA1331" s="52"/>
      <c r="AB1331" s="52"/>
      <c r="AC1331" s="52"/>
      <c r="AD1331" s="52"/>
      <c r="AE1331" s="50">
        <f>IF(L1331="W",1,0)</f>
        <v>0</v>
      </c>
      <c r="AF1331" s="50">
        <f>IF(L1331="T",1,0)</f>
        <v>0</v>
      </c>
      <c r="AG1331" s="50">
        <f>IF(L1331="L",1,0)</f>
        <v>1</v>
      </c>
      <c r="AH1331" s="52" t="s">
        <v>1366</v>
      </c>
      <c r="AI1331" s="52" t="s">
        <v>1317</v>
      </c>
      <c r="AJ1331" s="52" t="s">
        <v>376</v>
      </c>
      <c r="AK1331" s="50" t="s">
        <v>658</v>
      </c>
      <c r="AL1331" s="52" t="s">
        <v>1017</v>
      </c>
      <c r="AM1331" s="52" t="s">
        <v>1018</v>
      </c>
      <c r="AN1331" s="52" t="s">
        <v>376</v>
      </c>
      <c r="AO1331" s="50" t="s">
        <v>658</v>
      </c>
      <c r="AP1331" s="52"/>
      <c r="AQ1331" s="52">
        <v>2</v>
      </c>
      <c r="AR1331" s="52"/>
      <c r="AS1331" s="52">
        <v>1</v>
      </c>
      <c r="AU1331" s="52" t="s">
        <v>376</v>
      </c>
      <c r="AV1331" s="52"/>
      <c r="AW1331" s="52" t="s">
        <v>30</v>
      </c>
      <c r="AX1331" s="52"/>
      <c r="AY1331" s="52" t="s">
        <v>30</v>
      </c>
      <c r="AZ1331" s="52"/>
      <c r="BA1331" s="52"/>
      <c r="BB1331" s="60"/>
      <c r="BC1331" s="52"/>
      <c r="BD1331" s="60"/>
      <c r="BE1331" s="60"/>
      <c r="BF1331" s="35">
        <v>1</v>
      </c>
      <c r="BG1331" s="52">
        <v>1</v>
      </c>
      <c r="BH1331" s="52"/>
      <c r="BI1331" s="52" t="s">
        <v>1366</v>
      </c>
      <c r="BJ1331" s="52" t="s">
        <v>587</v>
      </c>
      <c r="BK1331" s="52">
        <v>2002</v>
      </c>
      <c r="BL1331" s="46" t="str">
        <f>BK1331&amp;BI1331</f>
        <v>2002Middlesbrough</v>
      </c>
      <c r="BM1331" s="52" t="str">
        <f>IF(AD1331="Home",BI1331,IF(AD1331="Away",BJ1331,Q1331))</f>
        <v>Manchester</v>
      </c>
      <c r="BN1331" s="52"/>
      <c r="BO1331" s="52"/>
      <c r="BP1331" s="52"/>
      <c r="BQ1331" s="52"/>
      <c r="BR1331" s="52"/>
      <c r="BS1331" s="52"/>
      <c r="BT1331" s="52"/>
      <c r="BU1331" s="52"/>
      <c r="BV1331" s="52" t="s">
        <v>376</v>
      </c>
      <c r="BW1331" s="52" t="s">
        <v>376</v>
      </c>
      <c r="BX1331" s="52"/>
      <c r="BY1331" s="52"/>
      <c r="BZ1331" s="53"/>
      <c r="CA1331" s="53"/>
      <c r="CB1331" s="93" t="str">
        <f>IF(OR(C1331="",A1331="",B1331=""),"",TEXT(C1331,"0000")&amp;TEXT(A1331,"00")&amp;TEXT(B1331,"00"))</f>
        <v>20020414</v>
      </c>
    </row>
    <row r="1332" spans="1:80" s="46" customFormat="1" ht="12.95" customHeight="1" x14ac:dyDescent="0.2">
      <c r="A1332" s="46">
        <v>4</v>
      </c>
      <c r="B1332" s="46">
        <v>14</v>
      </c>
      <c r="C1332" s="46">
        <v>2002</v>
      </c>
      <c r="D1332" s="52" t="s">
        <v>658</v>
      </c>
      <c r="E1332" s="52" t="s">
        <v>299</v>
      </c>
      <c r="F1332" s="52" t="s">
        <v>1010</v>
      </c>
      <c r="G1332" s="52"/>
      <c r="H1332" s="52" t="s">
        <v>1011</v>
      </c>
      <c r="I1332" s="52"/>
      <c r="J1332" s="56">
        <v>37360</v>
      </c>
      <c r="K1332" s="52" t="s">
        <v>816</v>
      </c>
      <c r="L1332" s="52" t="s">
        <v>3</v>
      </c>
      <c r="M1332" s="52" t="s">
        <v>589</v>
      </c>
      <c r="N1332" s="57">
        <v>1</v>
      </c>
      <c r="O1332" s="57">
        <v>0</v>
      </c>
      <c r="P1332" s="52" t="s">
        <v>1219</v>
      </c>
      <c r="Q1332" s="52" t="s">
        <v>1111</v>
      </c>
      <c r="R1332" s="52" t="s">
        <v>376</v>
      </c>
      <c r="S1332" s="52"/>
      <c r="T1332" s="52"/>
      <c r="U1332" s="52"/>
      <c r="V1332" s="52"/>
      <c r="W1332" s="52"/>
      <c r="X1332" s="52"/>
      <c r="Y1332" s="52"/>
      <c r="Z1332" s="57"/>
      <c r="AA1332" s="52"/>
      <c r="AB1332" s="52"/>
      <c r="AC1332" s="52"/>
      <c r="AD1332" s="52"/>
      <c r="AE1332" s="50">
        <f>IF(L1332="W",1,0)</f>
        <v>1</v>
      </c>
      <c r="AF1332" s="50">
        <f>IF(L1332="T",1,0)</f>
        <v>0</v>
      </c>
      <c r="AG1332" s="50">
        <f>IF(L1332="L",1,0)</f>
        <v>0</v>
      </c>
      <c r="AH1332" s="52" t="s">
        <v>1017</v>
      </c>
      <c r="AI1332" s="52" t="s">
        <v>1018</v>
      </c>
      <c r="AJ1332" s="52" t="s">
        <v>376</v>
      </c>
      <c r="AK1332" s="50" t="s">
        <v>658</v>
      </c>
      <c r="AL1332" s="52" t="s">
        <v>1017</v>
      </c>
      <c r="AM1332" s="52" t="s">
        <v>1018</v>
      </c>
      <c r="AN1332" s="52" t="s">
        <v>376</v>
      </c>
      <c r="AO1332" s="50" t="s">
        <v>658</v>
      </c>
      <c r="AP1332" s="52"/>
      <c r="AQ1332" s="52">
        <v>2</v>
      </c>
      <c r="AR1332" s="52"/>
      <c r="AS1332" s="52"/>
      <c r="AT1332" s="46" t="s">
        <v>1410</v>
      </c>
      <c r="AU1332" s="52" t="s">
        <v>376</v>
      </c>
      <c r="AV1332" s="52"/>
      <c r="AW1332" s="52" t="s">
        <v>30</v>
      </c>
      <c r="AX1332" s="52"/>
      <c r="AY1332" s="52" t="s">
        <v>30</v>
      </c>
      <c r="AZ1332" s="52"/>
      <c r="BA1332" s="52"/>
      <c r="BB1332" s="60"/>
      <c r="BC1332" s="52"/>
      <c r="BD1332" s="60"/>
      <c r="BE1332" s="60"/>
      <c r="BF1332" s="35">
        <v>1</v>
      </c>
      <c r="BG1332" s="52">
        <v>1</v>
      </c>
      <c r="BH1332" s="52"/>
      <c r="BI1332" s="52" t="s">
        <v>816</v>
      </c>
      <c r="BJ1332" s="52" t="s">
        <v>589</v>
      </c>
      <c r="BK1332" s="52">
        <v>2002</v>
      </c>
      <c r="BL1332" s="46" t="str">
        <f>BK1332&amp;BI1332</f>
        <v>2002Chelsea</v>
      </c>
      <c r="BM1332" s="52" t="str">
        <f>IF(AD1332="Home",BI1332,IF(AD1332="Away",BJ1332,Q1332))</f>
        <v>Birmingham</v>
      </c>
      <c r="BN1332" s="52"/>
      <c r="BO1332" s="52"/>
      <c r="BP1332" s="52"/>
      <c r="BQ1332" s="52"/>
      <c r="BR1332" s="52"/>
      <c r="BS1332" s="52"/>
      <c r="BT1332" s="52"/>
      <c r="BU1332" s="52"/>
      <c r="BV1332" s="52" t="s">
        <v>376</v>
      </c>
      <c r="BW1332" s="52" t="s">
        <v>376</v>
      </c>
      <c r="BX1332" s="52"/>
      <c r="BY1332" s="52"/>
      <c r="BZ1332" s="53"/>
      <c r="CA1332" s="53"/>
      <c r="CB1332" s="93" t="str">
        <f>IF(OR(C1332="",A1332="",B1332=""),"",TEXT(C1332,"0000")&amp;TEXT(A1332,"00")&amp;TEXT(B1332,"00"))</f>
        <v>20020414</v>
      </c>
    </row>
    <row r="1333" spans="1:80" s="46" customFormat="1" ht="12.95" customHeight="1" x14ac:dyDescent="0.2">
      <c r="A1333" s="46">
        <v>4</v>
      </c>
      <c r="B1333" s="46">
        <v>14</v>
      </c>
      <c r="C1333" s="46">
        <v>2002</v>
      </c>
      <c r="D1333" s="52" t="s">
        <v>658</v>
      </c>
      <c r="E1333" s="52" t="s">
        <v>299</v>
      </c>
      <c r="F1333" s="52" t="s">
        <v>1010</v>
      </c>
      <c r="G1333" s="52"/>
      <c r="H1333" s="52" t="s">
        <v>1011</v>
      </c>
      <c r="I1333" s="52"/>
      <c r="J1333" s="56">
        <v>37360</v>
      </c>
      <c r="K1333" s="52" t="s">
        <v>589</v>
      </c>
      <c r="L1333" s="52" t="s">
        <v>4</v>
      </c>
      <c r="M1333" s="52" t="s">
        <v>816</v>
      </c>
      <c r="N1333" s="57">
        <v>0</v>
      </c>
      <c r="O1333" s="57">
        <v>1</v>
      </c>
      <c r="P1333" s="52" t="s">
        <v>1219</v>
      </c>
      <c r="Q1333" s="52" t="s">
        <v>1111</v>
      </c>
      <c r="R1333" s="52" t="s">
        <v>376</v>
      </c>
      <c r="S1333" s="52"/>
      <c r="T1333" s="52"/>
      <c r="U1333" s="52"/>
      <c r="V1333" s="52"/>
      <c r="W1333" s="52"/>
      <c r="X1333" s="52"/>
      <c r="Y1333" s="52"/>
      <c r="Z1333" s="57"/>
      <c r="AA1333" s="52"/>
      <c r="AB1333" s="52"/>
      <c r="AC1333" s="52"/>
      <c r="AD1333" s="52"/>
      <c r="AE1333" s="50">
        <f>IF(L1333="W",1,0)</f>
        <v>0</v>
      </c>
      <c r="AF1333" s="50">
        <f>IF(L1333="T",1,0)</f>
        <v>0</v>
      </c>
      <c r="AG1333" s="50">
        <f>IF(L1333="L",1,0)</f>
        <v>1</v>
      </c>
      <c r="AH1333" s="52" t="s">
        <v>1017</v>
      </c>
      <c r="AI1333" s="52" t="s">
        <v>1018</v>
      </c>
      <c r="AJ1333" s="52" t="s">
        <v>376</v>
      </c>
      <c r="AK1333" s="50" t="s">
        <v>658</v>
      </c>
      <c r="AL1333" s="52" t="s">
        <v>1017</v>
      </c>
      <c r="AM1333" s="52" t="s">
        <v>1018</v>
      </c>
      <c r="AN1333" s="52" t="s">
        <v>376</v>
      </c>
      <c r="AO1333" s="50" t="s">
        <v>658</v>
      </c>
      <c r="AP1333" s="52"/>
      <c r="AQ1333" s="52">
        <v>2</v>
      </c>
      <c r="AR1333" s="52"/>
      <c r="AS1333" s="52">
        <v>1</v>
      </c>
      <c r="AT1333" s="46" t="s">
        <v>1410</v>
      </c>
      <c r="AU1333" s="52" t="s">
        <v>376</v>
      </c>
      <c r="AV1333" s="52"/>
      <c r="AW1333" s="52" t="s">
        <v>30</v>
      </c>
      <c r="AX1333" s="52"/>
      <c r="AY1333" s="52" t="s">
        <v>30</v>
      </c>
      <c r="AZ1333" s="52"/>
      <c r="BA1333" s="52"/>
      <c r="BB1333" s="60"/>
      <c r="BC1333" s="52"/>
      <c r="BD1333" s="60"/>
      <c r="BE1333" s="60"/>
      <c r="BF1333" s="35">
        <v>1</v>
      </c>
      <c r="BG1333" s="52">
        <v>1</v>
      </c>
      <c r="BH1333" s="52"/>
      <c r="BI1333" s="52" t="s">
        <v>589</v>
      </c>
      <c r="BJ1333" s="52" t="s">
        <v>816</v>
      </c>
      <c r="BK1333" s="52">
        <v>2002</v>
      </c>
      <c r="BL1333" s="46" t="str">
        <f>BK1333&amp;BI1333</f>
        <v>2002Fulham</v>
      </c>
      <c r="BM1333" s="52" t="str">
        <f>IF(AD1333="Home",BI1333,IF(AD1333="Away",BJ1333,Q1333))</f>
        <v>Birmingham</v>
      </c>
      <c r="BN1333" s="52"/>
      <c r="BO1333" s="52"/>
      <c r="BP1333" s="52"/>
      <c r="BQ1333" s="52"/>
      <c r="BR1333" s="52"/>
      <c r="BS1333" s="52"/>
      <c r="BT1333" s="52"/>
      <c r="BU1333" s="52"/>
      <c r="BV1333" s="52" t="s">
        <v>376</v>
      </c>
      <c r="BW1333" s="52" t="s">
        <v>376</v>
      </c>
      <c r="BX1333" s="52"/>
      <c r="BY1333" s="52"/>
      <c r="BZ1333" s="53"/>
      <c r="CA1333" s="53"/>
      <c r="CB1333" s="93" t="str">
        <f>IF(OR(C1333="",A1333="",B1333=""),"",TEXT(C1333,"0000")&amp;TEXT(A1333,"00")&amp;TEXT(B1333,"00"))</f>
        <v>20020414</v>
      </c>
    </row>
    <row r="1334" spans="1:80" s="46" customFormat="1" ht="12.95" customHeight="1" x14ac:dyDescent="0.2">
      <c r="A1334" s="46">
        <v>5</v>
      </c>
      <c r="B1334" s="46">
        <v>4</v>
      </c>
      <c r="C1334" s="46">
        <v>2002</v>
      </c>
      <c r="D1334" s="52" t="s">
        <v>658</v>
      </c>
      <c r="E1334" s="52" t="s">
        <v>299</v>
      </c>
      <c r="F1334" s="52" t="s">
        <v>1010</v>
      </c>
      <c r="G1334" s="52"/>
      <c r="H1334" s="52" t="s">
        <v>40</v>
      </c>
      <c r="I1334" s="52"/>
      <c r="J1334" s="56">
        <v>37380</v>
      </c>
      <c r="K1334" s="52" t="s">
        <v>587</v>
      </c>
      <c r="L1334" s="52" t="s">
        <v>3</v>
      </c>
      <c r="M1334" s="52" t="s">
        <v>816</v>
      </c>
      <c r="N1334" s="57">
        <v>2</v>
      </c>
      <c r="O1334" s="57">
        <v>0</v>
      </c>
      <c r="P1334" s="52" t="s">
        <v>1407</v>
      </c>
      <c r="Q1334" s="52" t="s">
        <v>1263</v>
      </c>
      <c r="R1334" s="52" t="s">
        <v>1264</v>
      </c>
      <c r="S1334" s="52"/>
      <c r="T1334" s="52"/>
      <c r="U1334" s="52"/>
      <c r="V1334" s="52"/>
      <c r="W1334" s="52"/>
      <c r="X1334" s="52"/>
      <c r="Y1334" s="52"/>
      <c r="Z1334" s="57"/>
      <c r="AA1334" s="52"/>
      <c r="AB1334" s="52"/>
      <c r="AC1334" s="52"/>
      <c r="AD1334" s="52"/>
      <c r="AE1334" s="50">
        <f>IF(L1334="W",1,0)</f>
        <v>1</v>
      </c>
      <c r="AF1334" s="50">
        <f>IF(L1334="T",1,0)</f>
        <v>0</v>
      </c>
      <c r="AG1334" s="50">
        <f>IF(L1334="L",1,0)</f>
        <v>0</v>
      </c>
      <c r="AH1334" s="52" t="s">
        <v>1017</v>
      </c>
      <c r="AI1334" s="52" t="s">
        <v>1018</v>
      </c>
      <c r="AJ1334" s="52" t="s">
        <v>376</v>
      </c>
      <c r="AK1334" s="50" t="s">
        <v>658</v>
      </c>
      <c r="AL1334" s="52" t="s">
        <v>1017</v>
      </c>
      <c r="AM1334" s="52" t="s">
        <v>1018</v>
      </c>
      <c r="AN1334" s="52" t="s">
        <v>376</v>
      </c>
      <c r="AO1334" s="50" t="s">
        <v>658</v>
      </c>
      <c r="AP1334" s="52"/>
      <c r="AQ1334" s="52">
        <v>1</v>
      </c>
      <c r="AR1334" s="52"/>
      <c r="AS1334" s="52" t="s">
        <v>1393</v>
      </c>
      <c r="AT1334" s="46" t="s">
        <v>1308</v>
      </c>
      <c r="AU1334" s="52" t="s">
        <v>376</v>
      </c>
      <c r="AV1334" s="52"/>
      <c r="AW1334" s="52" t="s">
        <v>30</v>
      </c>
      <c r="AX1334" s="52"/>
      <c r="AY1334" s="57" t="s">
        <v>30</v>
      </c>
      <c r="AZ1334" s="52"/>
      <c r="BA1334" s="52"/>
      <c r="BB1334" s="60" t="s">
        <v>30</v>
      </c>
      <c r="BC1334" s="52" t="s">
        <v>30</v>
      </c>
      <c r="BD1334" s="60"/>
      <c r="BE1334" s="60"/>
      <c r="BF1334" s="35">
        <v>1</v>
      </c>
      <c r="BG1334" s="52">
        <v>1</v>
      </c>
      <c r="BH1334" s="52"/>
      <c r="BI1334" s="52" t="s">
        <v>587</v>
      </c>
      <c r="BJ1334" s="52" t="s">
        <v>816</v>
      </c>
      <c r="BK1334" s="52">
        <v>2002</v>
      </c>
      <c r="BL1334" s="46" t="str">
        <f>BK1334&amp;BI1334</f>
        <v>2002Arsenal</v>
      </c>
      <c r="BM1334" s="52" t="str">
        <f>IF(AD1334="Home",BI1334,IF(AD1334="Away",BJ1334,Q1334))</f>
        <v>Cardiff</v>
      </c>
      <c r="BN1334" s="52"/>
      <c r="BO1334" s="52"/>
      <c r="BP1334" s="52"/>
      <c r="BQ1334" s="52"/>
      <c r="BR1334" s="52"/>
      <c r="BS1334" s="52"/>
      <c r="BT1334" s="52"/>
      <c r="BU1334" s="52"/>
      <c r="BV1334" s="52" t="s">
        <v>376</v>
      </c>
      <c r="BW1334" s="52" t="s">
        <v>376</v>
      </c>
      <c r="BX1334" s="52"/>
      <c r="BZ1334" s="53"/>
      <c r="CA1334" s="53"/>
      <c r="CB1334" s="93" t="str">
        <f>IF(OR(C1334="",A1334="",B1334=""),"",TEXT(C1334,"0000")&amp;TEXT(A1334,"00")&amp;TEXT(B1334,"00"))</f>
        <v>20020504</v>
      </c>
    </row>
    <row r="1335" spans="1:80" s="46" customFormat="1" ht="12.95" customHeight="1" x14ac:dyDescent="0.2">
      <c r="A1335" s="46">
        <v>5</v>
      </c>
      <c r="B1335" s="46">
        <v>4</v>
      </c>
      <c r="C1335" s="46">
        <v>2002</v>
      </c>
      <c r="D1335" s="52" t="s">
        <v>658</v>
      </c>
      <c r="E1335" s="52" t="s">
        <v>299</v>
      </c>
      <c r="F1335" s="52" t="s">
        <v>1010</v>
      </c>
      <c r="G1335" s="52"/>
      <c r="H1335" s="52" t="s">
        <v>40</v>
      </c>
      <c r="I1335" s="52"/>
      <c r="J1335" s="56">
        <v>37380</v>
      </c>
      <c r="K1335" s="52" t="s">
        <v>816</v>
      </c>
      <c r="L1335" s="52" t="s">
        <v>4</v>
      </c>
      <c r="M1335" s="52" t="s">
        <v>587</v>
      </c>
      <c r="N1335" s="57">
        <v>0</v>
      </c>
      <c r="O1335" s="57">
        <v>2</v>
      </c>
      <c r="P1335" s="52" t="s">
        <v>1407</v>
      </c>
      <c r="Q1335" s="52" t="s">
        <v>1263</v>
      </c>
      <c r="R1335" s="52" t="s">
        <v>1264</v>
      </c>
      <c r="S1335" s="52"/>
      <c r="T1335" s="52"/>
      <c r="U1335" s="52"/>
      <c r="V1335" s="52"/>
      <c r="W1335" s="52"/>
      <c r="X1335" s="52"/>
      <c r="Y1335" s="52"/>
      <c r="Z1335" s="57"/>
      <c r="AA1335" s="52"/>
      <c r="AB1335" s="52"/>
      <c r="AC1335" s="52"/>
      <c r="AD1335" s="52"/>
      <c r="AE1335" s="50">
        <f>IF(L1335="W",1,0)</f>
        <v>0</v>
      </c>
      <c r="AF1335" s="50">
        <f>IF(L1335="T",1,0)</f>
        <v>0</v>
      </c>
      <c r="AG1335" s="50">
        <f>IF(L1335="L",1,0)</f>
        <v>1</v>
      </c>
      <c r="AH1335" s="52" t="s">
        <v>1017</v>
      </c>
      <c r="AI1335" s="52" t="s">
        <v>1018</v>
      </c>
      <c r="AJ1335" s="52" t="s">
        <v>376</v>
      </c>
      <c r="AK1335" s="50" t="s">
        <v>658</v>
      </c>
      <c r="AL1335" s="52" t="s">
        <v>1017</v>
      </c>
      <c r="AM1335" s="52" t="s">
        <v>1018</v>
      </c>
      <c r="AN1335" s="52" t="s">
        <v>376</v>
      </c>
      <c r="AO1335" s="50" t="s">
        <v>658</v>
      </c>
      <c r="AP1335" s="52"/>
      <c r="AQ1335" s="52">
        <v>1</v>
      </c>
      <c r="AR1335" s="52"/>
      <c r="AS1335" s="52">
        <v>1</v>
      </c>
      <c r="AT1335" s="46" t="s">
        <v>1308</v>
      </c>
      <c r="AU1335" s="52" t="s">
        <v>376</v>
      </c>
      <c r="AV1335" s="52"/>
      <c r="AW1335" s="52" t="s">
        <v>30</v>
      </c>
      <c r="AX1335" s="52"/>
      <c r="AY1335" s="52" t="s">
        <v>30</v>
      </c>
      <c r="AZ1335" s="52"/>
      <c r="BA1335" s="52"/>
      <c r="BB1335" s="60"/>
      <c r="BC1335" s="52" t="s">
        <v>30</v>
      </c>
      <c r="BD1335" s="60"/>
      <c r="BE1335" s="60" t="s">
        <v>1400</v>
      </c>
      <c r="BF1335" s="35">
        <v>1</v>
      </c>
      <c r="BG1335" s="52">
        <v>1</v>
      </c>
      <c r="BH1335" s="52"/>
      <c r="BI1335" s="52" t="s">
        <v>816</v>
      </c>
      <c r="BJ1335" s="52" t="s">
        <v>587</v>
      </c>
      <c r="BK1335" s="52">
        <v>2002</v>
      </c>
      <c r="BL1335" s="46" t="str">
        <f>BK1335&amp;BI1335</f>
        <v>2002Chelsea</v>
      </c>
      <c r="BM1335" s="52" t="str">
        <f>IF(AD1335="Home",BI1335,IF(AD1335="Away",BJ1335,Q1335))</f>
        <v>Cardiff</v>
      </c>
      <c r="BN1335" s="52"/>
      <c r="BO1335" s="52"/>
      <c r="BP1335" s="52"/>
      <c r="BQ1335" s="52"/>
      <c r="BR1335" s="52"/>
      <c r="BS1335" s="52"/>
      <c r="BT1335" s="52"/>
      <c r="BU1335" s="52"/>
      <c r="BV1335" s="52" t="s">
        <v>376</v>
      </c>
      <c r="BW1335" s="52" t="s">
        <v>376</v>
      </c>
      <c r="BX1335" s="52"/>
      <c r="BZ1335" s="53"/>
      <c r="CA1335" s="53"/>
      <c r="CB1335" s="93" t="str">
        <f>IF(OR(C1335="",A1335="",B1335=""),"",TEXT(C1335,"0000")&amp;TEXT(A1335,"00")&amp;TEXT(B1335,"00"))</f>
        <v>20020504</v>
      </c>
    </row>
    <row r="1336" spans="1:80" s="46" customFormat="1" ht="12.95" customHeight="1" x14ac:dyDescent="0.2">
      <c r="A1336" s="46">
        <v>1</v>
      </c>
      <c r="B1336" s="46">
        <v>7</v>
      </c>
      <c r="C1336" s="46">
        <v>2003</v>
      </c>
      <c r="D1336" s="52" t="s">
        <v>658</v>
      </c>
      <c r="E1336" s="52" t="s">
        <v>298</v>
      </c>
      <c r="F1336" s="52" t="s">
        <v>1327</v>
      </c>
      <c r="G1336" s="52"/>
      <c r="H1336" s="52" t="s">
        <v>1011</v>
      </c>
      <c r="I1336" s="52">
        <v>1</v>
      </c>
      <c r="J1336" s="56">
        <v>37628</v>
      </c>
      <c r="K1336" s="52" t="s">
        <v>821</v>
      </c>
      <c r="L1336" s="52" t="s">
        <v>1014</v>
      </c>
      <c r="M1336" s="52" t="s">
        <v>1094</v>
      </c>
      <c r="N1336" s="57">
        <v>1</v>
      </c>
      <c r="O1336" s="57">
        <v>1</v>
      </c>
      <c r="P1336" s="52" t="s">
        <v>1246</v>
      </c>
      <c r="Q1336" s="52" t="s">
        <v>1101</v>
      </c>
      <c r="R1336" s="52" t="s">
        <v>376</v>
      </c>
      <c r="S1336" s="52"/>
      <c r="T1336" s="52"/>
      <c r="U1336" s="52"/>
      <c r="V1336" s="52"/>
      <c r="W1336" s="52"/>
      <c r="X1336" s="52"/>
      <c r="Y1336" s="52"/>
      <c r="Z1336" s="57"/>
      <c r="AA1336" s="58">
        <v>1</v>
      </c>
      <c r="AB1336" s="58">
        <v>1</v>
      </c>
      <c r="AC1336" s="59">
        <v>0</v>
      </c>
      <c r="AD1336" s="52" t="s">
        <v>1033</v>
      </c>
      <c r="AE1336" s="50">
        <f>IF(L1336="W",1,0)</f>
        <v>0</v>
      </c>
      <c r="AF1336" s="50">
        <f>IF(L1336="T",1,0)</f>
        <v>1</v>
      </c>
      <c r="AG1336" s="50">
        <f>IF(L1336="L",1,0)</f>
        <v>0</v>
      </c>
      <c r="AH1336" s="52" t="s">
        <v>1101</v>
      </c>
      <c r="AI1336" s="52" t="s">
        <v>1159</v>
      </c>
      <c r="AJ1336" s="52" t="s">
        <v>376</v>
      </c>
      <c r="AK1336" s="50" t="s">
        <v>658</v>
      </c>
      <c r="AL1336" s="52" t="s">
        <v>1085</v>
      </c>
      <c r="AM1336" s="52" t="s">
        <v>1086</v>
      </c>
      <c r="AN1336" s="52" t="s">
        <v>376</v>
      </c>
      <c r="AO1336" s="50" t="s">
        <v>658</v>
      </c>
      <c r="AP1336" s="52"/>
      <c r="AQ1336" s="52">
        <v>2</v>
      </c>
      <c r="AR1336" s="52"/>
      <c r="AS1336" s="52"/>
      <c r="AU1336" s="52" t="s">
        <v>376</v>
      </c>
      <c r="AV1336" s="52"/>
      <c r="AW1336" s="52" t="s">
        <v>30</v>
      </c>
      <c r="AX1336" s="52"/>
      <c r="AY1336" s="52"/>
      <c r="AZ1336" s="52" t="s">
        <v>30</v>
      </c>
      <c r="BA1336" s="52"/>
      <c r="BB1336" s="60"/>
      <c r="BC1336" s="52"/>
      <c r="BD1336" s="60"/>
      <c r="BE1336" s="60"/>
      <c r="BF1336" s="35">
        <v>1</v>
      </c>
      <c r="BG1336" s="52">
        <v>1</v>
      </c>
      <c r="BH1336" s="52"/>
      <c r="BI1336" s="52" t="s">
        <v>821</v>
      </c>
      <c r="BJ1336" s="52" t="s">
        <v>1094</v>
      </c>
      <c r="BK1336" s="52">
        <v>2003</v>
      </c>
      <c r="BL1336" s="46" t="str">
        <f>BK1336&amp;BI1336</f>
        <v>2003Manchester United</v>
      </c>
      <c r="BM1336" s="52" t="str">
        <f>IF(AD1336="Home",BI1336,IF(AD1336="Away",BJ1336,Q1336))</f>
        <v>Manchester United</v>
      </c>
      <c r="BN1336" s="52"/>
      <c r="BO1336" s="52"/>
      <c r="BP1336" s="52"/>
      <c r="BQ1336" s="52"/>
      <c r="BR1336" s="52"/>
      <c r="BS1336" s="52"/>
      <c r="BT1336" s="52"/>
      <c r="BU1336" s="52"/>
      <c r="BV1336" s="52" t="s">
        <v>376</v>
      </c>
      <c r="BW1336" s="52" t="s">
        <v>376</v>
      </c>
      <c r="BX1336" s="52"/>
      <c r="BY1336" s="52"/>
      <c r="BZ1336" s="53"/>
      <c r="CA1336" s="53"/>
      <c r="CB1336" s="93" t="str">
        <f>IF(OR(C1336="",A1336="",B1336=""),"",TEXT(C1336,"0000")&amp;TEXT(A1336,"00")&amp;TEXT(B1336,"00"))</f>
        <v>20030107</v>
      </c>
    </row>
    <row r="1337" spans="1:80" s="46" customFormat="1" ht="12.95" customHeight="1" x14ac:dyDescent="0.2">
      <c r="A1337" s="46">
        <v>1</v>
      </c>
      <c r="B1337" s="46">
        <v>7</v>
      </c>
      <c r="C1337" s="46">
        <v>2003</v>
      </c>
      <c r="D1337" s="52" t="s">
        <v>658</v>
      </c>
      <c r="E1337" s="52" t="s">
        <v>298</v>
      </c>
      <c r="F1337" s="52" t="s">
        <v>1327</v>
      </c>
      <c r="G1337" s="52"/>
      <c r="H1337" s="52" t="s">
        <v>1011</v>
      </c>
      <c r="I1337" s="52">
        <v>1</v>
      </c>
      <c r="J1337" s="56">
        <v>37628</v>
      </c>
      <c r="K1337" s="52" t="s">
        <v>1094</v>
      </c>
      <c r="L1337" s="52" t="s">
        <v>1014</v>
      </c>
      <c r="M1337" s="52" t="s">
        <v>821</v>
      </c>
      <c r="N1337" s="57">
        <v>1</v>
      </c>
      <c r="O1337" s="57">
        <v>1</v>
      </c>
      <c r="P1337" s="52" t="s">
        <v>1246</v>
      </c>
      <c r="Q1337" s="52" t="s">
        <v>1101</v>
      </c>
      <c r="R1337" s="52" t="s">
        <v>376</v>
      </c>
      <c r="S1337" s="52"/>
      <c r="T1337" s="52"/>
      <c r="U1337" s="52"/>
      <c r="V1337" s="52"/>
      <c r="W1337" s="52"/>
      <c r="X1337" s="52"/>
      <c r="Y1337" s="52"/>
      <c r="Z1337" s="57"/>
      <c r="AA1337" s="58">
        <v>1</v>
      </c>
      <c r="AB1337" s="58">
        <v>1</v>
      </c>
      <c r="AC1337" s="59">
        <v>1</v>
      </c>
      <c r="AD1337" s="52" t="s">
        <v>1037</v>
      </c>
      <c r="AE1337" s="50">
        <f>IF(L1337="W",1,0)</f>
        <v>0</v>
      </c>
      <c r="AF1337" s="50">
        <f>IF(L1337="T",1,0)</f>
        <v>1</v>
      </c>
      <c r="AG1337" s="50">
        <f>IF(L1337="L",1,0)</f>
        <v>0</v>
      </c>
      <c r="AH1337" s="52" t="s">
        <v>1085</v>
      </c>
      <c r="AI1337" s="52" t="s">
        <v>1086</v>
      </c>
      <c r="AJ1337" s="52" t="s">
        <v>376</v>
      </c>
      <c r="AK1337" s="50" t="s">
        <v>658</v>
      </c>
      <c r="AL1337" s="52" t="s">
        <v>1101</v>
      </c>
      <c r="AM1337" s="52" t="s">
        <v>1159</v>
      </c>
      <c r="AN1337" s="52" t="s">
        <v>376</v>
      </c>
      <c r="AO1337" s="50" t="s">
        <v>658</v>
      </c>
      <c r="AP1337" s="52"/>
      <c r="AQ1337" s="52">
        <v>2</v>
      </c>
      <c r="AR1337" s="52"/>
      <c r="AS1337" s="52"/>
      <c r="AU1337" s="52" t="s">
        <v>376</v>
      </c>
      <c r="AV1337" s="52"/>
      <c r="AW1337" s="52" t="s">
        <v>30</v>
      </c>
      <c r="AX1337" s="52"/>
      <c r="AY1337" s="52"/>
      <c r="AZ1337" s="52" t="s">
        <v>30</v>
      </c>
      <c r="BA1337" s="52"/>
      <c r="BB1337" s="60"/>
      <c r="BC1337" s="52"/>
      <c r="BD1337" s="60"/>
      <c r="BE1337" s="60"/>
      <c r="BF1337" s="35">
        <v>1</v>
      </c>
      <c r="BG1337" s="52">
        <v>1</v>
      </c>
      <c r="BH1337" s="52"/>
      <c r="BI1337" s="52" t="s">
        <v>1094</v>
      </c>
      <c r="BJ1337" s="52" t="s">
        <v>821</v>
      </c>
      <c r="BK1337" s="52">
        <v>2003</v>
      </c>
      <c r="BL1337" s="46" t="str">
        <f>BK1337&amp;BI1337</f>
        <v>2003Blackburn Rovers</v>
      </c>
      <c r="BM1337" s="52" t="str">
        <f>IF(AD1337="Home",BI1337,IF(AD1337="Away",BJ1337,Q1337))</f>
        <v>Manchester United</v>
      </c>
      <c r="BN1337" s="52"/>
      <c r="BO1337" s="52"/>
      <c r="BP1337" s="52"/>
      <c r="BQ1337" s="52"/>
      <c r="BR1337" s="52"/>
      <c r="BS1337" s="52"/>
      <c r="BT1337" s="52"/>
      <c r="BU1337" s="52"/>
      <c r="BV1337" s="52" t="s">
        <v>376</v>
      </c>
      <c r="BW1337" s="52" t="s">
        <v>376</v>
      </c>
      <c r="BX1337" s="52"/>
      <c r="BY1337" s="52"/>
      <c r="BZ1337" s="53"/>
      <c r="CA1337" s="53"/>
      <c r="CB1337" s="93" t="str">
        <f>IF(OR(C1337="",A1337="",B1337=""),"",TEXT(C1337,"0000")&amp;TEXT(A1337,"00")&amp;TEXT(B1337,"00"))</f>
        <v>20030107</v>
      </c>
    </row>
    <row r="1338" spans="1:80" s="46" customFormat="1" ht="12.95" customHeight="1" x14ac:dyDescent="0.2">
      <c r="A1338" s="46">
        <v>1</v>
      </c>
      <c r="B1338" s="46">
        <v>8</v>
      </c>
      <c r="C1338" s="46">
        <v>2003</v>
      </c>
      <c r="D1338" s="46" t="s">
        <v>658</v>
      </c>
      <c r="E1338" s="46" t="s">
        <v>298</v>
      </c>
      <c r="F1338" s="54" t="s">
        <v>1327</v>
      </c>
      <c r="H1338" s="54" t="s">
        <v>1011</v>
      </c>
      <c r="I1338" s="54">
        <v>1</v>
      </c>
      <c r="J1338" s="55">
        <v>37629</v>
      </c>
      <c r="K1338" s="46" t="s">
        <v>1207</v>
      </c>
      <c r="L1338" s="46" t="s">
        <v>3</v>
      </c>
      <c r="M1338" s="46" t="s">
        <v>588</v>
      </c>
      <c r="N1338" s="49">
        <v>2</v>
      </c>
      <c r="O1338" s="49">
        <v>1</v>
      </c>
      <c r="P1338" s="54" t="s">
        <v>1163</v>
      </c>
      <c r="Q1338" s="54" t="s">
        <v>1097</v>
      </c>
      <c r="R1338" s="54" t="s">
        <v>376</v>
      </c>
      <c r="AD1338" s="46" t="s">
        <v>1033</v>
      </c>
      <c r="AE1338" s="50">
        <f>IF(L1338="W",1,0)</f>
        <v>1</v>
      </c>
      <c r="AF1338" s="50">
        <f>IF(L1338="T",1,0)</f>
        <v>0</v>
      </c>
      <c r="AG1338" s="50">
        <f>IF(L1338="L",1,0)</f>
        <v>0</v>
      </c>
      <c r="AH1338" s="46" t="s">
        <v>1097</v>
      </c>
      <c r="AI1338" s="46" t="s">
        <v>1098</v>
      </c>
      <c r="AJ1338" s="46" t="s">
        <v>376</v>
      </c>
      <c r="AK1338" s="46" t="s">
        <v>658</v>
      </c>
      <c r="AL1338" s="46" t="s">
        <v>588</v>
      </c>
      <c r="AM1338" s="46" t="s">
        <v>1175</v>
      </c>
      <c r="AN1338" s="46" t="s">
        <v>376</v>
      </c>
      <c r="AO1338" s="46" t="s">
        <v>658</v>
      </c>
      <c r="AQ1338" s="46">
        <v>2</v>
      </c>
      <c r="AU1338" s="46" t="s">
        <v>376</v>
      </c>
      <c r="AW1338" s="46" t="s">
        <v>30</v>
      </c>
      <c r="AZ1338" s="46" t="s">
        <v>30</v>
      </c>
      <c r="BA1338" s="54"/>
      <c r="BB1338" s="51"/>
      <c r="BF1338" s="46">
        <v>1</v>
      </c>
      <c r="BG1338" s="46">
        <v>2</v>
      </c>
      <c r="BH1338" s="46">
        <v>1</v>
      </c>
      <c r="BI1338" s="46" t="s">
        <v>1207</v>
      </c>
      <c r="BJ1338" s="46" t="s">
        <v>588</v>
      </c>
      <c r="BK1338" s="46">
        <v>2003</v>
      </c>
      <c r="BL1338" s="46" t="str">
        <f>BK1338&amp;BI1338</f>
        <v>2003Sheffield United</v>
      </c>
      <c r="BM1338" s="52" t="str">
        <f>IF(AD1338="Home",BI1338,IF(AD1338="Away",BJ1338,Q1338))</f>
        <v>Sheffield United</v>
      </c>
      <c r="BV1338" s="46" t="s">
        <v>376</v>
      </c>
      <c r="BW1338" s="46" t="s">
        <v>376</v>
      </c>
      <c r="BY1338" s="50"/>
      <c r="BZ1338" s="53"/>
      <c r="CA1338" s="53"/>
      <c r="CB1338" s="93" t="str">
        <f>IF(OR(C1338="",A1338="",B1338=""),"",TEXT(C1338,"0000")&amp;TEXT(A1338,"00")&amp;TEXT(B1338,"00"))</f>
        <v>20030108</v>
      </c>
    </row>
    <row r="1339" spans="1:80" s="46" customFormat="1" ht="12.95" customHeight="1" x14ac:dyDescent="0.2">
      <c r="A1339" s="46">
        <v>1</v>
      </c>
      <c r="B1339" s="46">
        <v>8</v>
      </c>
      <c r="C1339" s="46">
        <v>2003</v>
      </c>
      <c r="D1339" s="52" t="s">
        <v>658</v>
      </c>
      <c r="E1339" s="52" t="s">
        <v>298</v>
      </c>
      <c r="F1339" s="52" t="s">
        <v>1327</v>
      </c>
      <c r="G1339" s="52"/>
      <c r="H1339" s="52" t="s">
        <v>1011</v>
      </c>
      <c r="I1339" s="52">
        <v>1</v>
      </c>
      <c r="J1339" s="56">
        <v>37629</v>
      </c>
      <c r="K1339" s="52" t="s">
        <v>588</v>
      </c>
      <c r="L1339" s="52" t="s">
        <v>4</v>
      </c>
      <c r="M1339" s="52" t="s">
        <v>1207</v>
      </c>
      <c r="N1339" s="57">
        <v>1</v>
      </c>
      <c r="O1339" s="57">
        <v>2</v>
      </c>
      <c r="P1339" s="52" t="s">
        <v>1163</v>
      </c>
      <c r="Q1339" s="52" t="s">
        <v>1097</v>
      </c>
      <c r="R1339" s="52" t="s">
        <v>376</v>
      </c>
      <c r="S1339" s="52"/>
      <c r="T1339" s="52"/>
      <c r="U1339" s="52"/>
      <c r="V1339" s="52"/>
      <c r="W1339" s="52"/>
      <c r="X1339" s="52"/>
      <c r="Y1339" s="52"/>
      <c r="Z1339" s="57"/>
      <c r="AA1339" s="58">
        <v>1</v>
      </c>
      <c r="AB1339" s="58">
        <v>2</v>
      </c>
      <c r="AC1339" s="59">
        <v>1</v>
      </c>
      <c r="AD1339" s="52" t="s">
        <v>1037</v>
      </c>
      <c r="AE1339" s="50">
        <f>IF(L1339="W",1,0)</f>
        <v>0</v>
      </c>
      <c r="AF1339" s="50">
        <f>IF(L1339="T",1,0)</f>
        <v>0</v>
      </c>
      <c r="AG1339" s="50">
        <f>IF(L1339="L",1,0)</f>
        <v>1</v>
      </c>
      <c r="AH1339" s="52" t="s">
        <v>588</v>
      </c>
      <c r="AI1339" s="52" t="s">
        <v>1175</v>
      </c>
      <c r="AJ1339" s="52" t="s">
        <v>376</v>
      </c>
      <c r="AK1339" s="50" t="s">
        <v>658</v>
      </c>
      <c r="AL1339" s="52" t="s">
        <v>1097</v>
      </c>
      <c r="AM1339" s="52" t="s">
        <v>1098</v>
      </c>
      <c r="AN1339" s="52" t="s">
        <v>376</v>
      </c>
      <c r="AO1339" s="50" t="s">
        <v>658</v>
      </c>
      <c r="AP1339" s="52"/>
      <c r="AQ1339" s="52">
        <v>2</v>
      </c>
      <c r="AR1339" s="52"/>
      <c r="AS1339" s="52"/>
      <c r="AU1339" s="52" t="s">
        <v>376</v>
      </c>
      <c r="AV1339" s="52"/>
      <c r="AW1339" s="52" t="s">
        <v>30</v>
      </c>
      <c r="AX1339" s="52"/>
      <c r="AY1339" s="52"/>
      <c r="AZ1339" s="52" t="s">
        <v>30</v>
      </c>
      <c r="BA1339" s="52"/>
      <c r="BB1339" s="60"/>
      <c r="BC1339" s="52"/>
      <c r="BD1339" s="60"/>
      <c r="BE1339" s="60"/>
      <c r="BF1339" s="35">
        <v>1</v>
      </c>
      <c r="BG1339" s="52">
        <v>1</v>
      </c>
      <c r="BH1339" s="52"/>
      <c r="BI1339" s="52" t="s">
        <v>588</v>
      </c>
      <c r="BJ1339" s="52" t="s">
        <v>1207</v>
      </c>
      <c r="BK1339" s="52">
        <v>2003</v>
      </c>
      <c r="BL1339" s="46" t="str">
        <f>BK1339&amp;BI1339</f>
        <v>2003Liverpool</v>
      </c>
      <c r="BM1339" s="52" t="str">
        <f>IF(AD1339="Home",BI1339,IF(AD1339="Away",BJ1339,Q1339))</f>
        <v>Sheffield United</v>
      </c>
      <c r="BN1339" s="52"/>
      <c r="BO1339" s="52"/>
      <c r="BP1339" s="52"/>
      <c r="BQ1339" s="52"/>
      <c r="BR1339" s="52"/>
      <c r="BS1339" s="52"/>
      <c r="BT1339" s="52"/>
      <c r="BU1339" s="52"/>
      <c r="BV1339" s="52" t="s">
        <v>376</v>
      </c>
      <c r="BW1339" s="52" t="s">
        <v>376</v>
      </c>
      <c r="BX1339" s="52"/>
      <c r="BY1339" s="50"/>
      <c r="BZ1339" s="53"/>
      <c r="CA1339" s="53"/>
      <c r="CB1339" s="93" t="str">
        <f>IF(OR(C1339="",A1339="",B1339=""),"",TEXT(C1339,"0000")&amp;TEXT(A1339,"00")&amp;TEXT(B1339,"00"))</f>
        <v>20030108</v>
      </c>
    </row>
    <row r="1340" spans="1:80" s="46" customFormat="1" ht="12.95" customHeight="1" x14ac:dyDescent="0.2">
      <c r="A1340" s="46">
        <v>1</v>
      </c>
      <c r="B1340" s="46">
        <v>21</v>
      </c>
      <c r="C1340" s="46">
        <v>2003</v>
      </c>
      <c r="D1340" s="52" t="s">
        <v>658</v>
      </c>
      <c r="E1340" s="52" t="s">
        <v>298</v>
      </c>
      <c r="F1340" s="52" t="s">
        <v>1327</v>
      </c>
      <c r="G1340" s="52"/>
      <c r="H1340" s="52" t="s">
        <v>1011</v>
      </c>
      <c r="I1340" s="52">
        <v>2</v>
      </c>
      <c r="J1340" s="56">
        <v>37642</v>
      </c>
      <c r="K1340" s="52" t="s">
        <v>588</v>
      </c>
      <c r="L1340" s="52" t="s">
        <v>3</v>
      </c>
      <c r="M1340" s="52" t="s">
        <v>1207</v>
      </c>
      <c r="N1340" s="57">
        <v>2</v>
      </c>
      <c r="O1340" s="57">
        <v>0</v>
      </c>
      <c r="P1340" s="52" t="s">
        <v>1141</v>
      </c>
      <c r="Q1340" s="52" t="s">
        <v>588</v>
      </c>
      <c r="R1340" s="52" t="s">
        <v>376</v>
      </c>
      <c r="S1340" s="52" t="s">
        <v>1396</v>
      </c>
      <c r="T1340" s="52"/>
      <c r="U1340" s="52"/>
      <c r="V1340" s="52"/>
      <c r="W1340" s="52"/>
      <c r="X1340" s="52"/>
      <c r="Y1340" s="52"/>
      <c r="Z1340" s="57"/>
      <c r="AA1340" s="58">
        <v>3</v>
      </c>
      <c r="AB1340" s="58">
        <v>2</v>
      </c>
      <c r="AC1340" s="59">
        <v>1</v>
      </c>
      <c r="AD1340" s="52" t="s">
        <v>1033</v>
      </c>
      <c r="AE1340" s="50">
        <f>IF(L1340="W",1,0)</f>
        <v>1</v>
      </c>
      <c r="AF1340" s="50">
        <f>IF(L1340="T",1,0)</f>
        <v>0</v>
      </c>
      <c r="AG1340" s="50">
        <f>IF(L1340="L",1,0)</f>
        <v>0</v>
      </c>
      <c r="AH1340" s="52" t="s">
        <v>588</v>
      </c>
      <c r="AI1340" s="52" t="s">
        <v>1175</v>
      </c>
      <c r="AJ1340" s="52" t="s">
        <v>376</v>
      </c>
      <c r="AK1340" s="50" t="s">
        <v>658</v>
      </c>
      <c r="AL1340" s="52" t="s">
        <v>1097</v>
      </c>
      <c r="AM1340" s="52" t="s">
        <v>1098</v>
      </c>
      <c r="AN1340" s="52" t="s">
        <v>376</v>
      </c>
      <c r="AO1340" s="50" t="s">
        <v>658</v>
      </c>
      <c r="AP1340" s="52"/>
      <c r="AQ1340" s="52">
        <v>2</v>
      </c>
      <c r="AR1340" s="52"/>
      <c r="AS1340" s="52"/>
      <c r="AU1340" s="52" t="s">
        <v>376</v>
      </c>
      <c r="AV1340" s="52"/>
      <c r="AW1340" s="52" t="s">
        <v>30</v>
      </c>
      <c r="AX1340" s="52"/>
      <c r="AY1340" s="52"/>
      <c r="AZ1340" s="52" t="s">
        <v>30</v>
      </c>
      <c r="BA1340" s="52"/>
      <c r="BB1340" s="60"/>
      <c r="BC1340" s="52"/>
      <c r="BD1340" s="60"/>
      <c r="BE1340" s="60"/>
      <c r="BF1340" s="35">
        <v>1</v>
      </c>
      <c r="BG1340" s="52">
        <v>1</v>
      </c>
      <c r="BH1340" s="52"/>
      <c r="BI1340" s="52" t="s">
        <v>588</v>
      </c>
      <c r="BJ1340" s="52" t="s">
        <v>1207</v>
      </c>
      <c r="BK1340" s="52">
        <v>2003</v>
      </c>
      <c r="BL1340" s="46" t="str">
        <f>BK1340&amp;BI1340</f>
        <v>2003Liverpool</v>
      </c>
      <c r="BM1340" s="52" t="str">
        <f>IF(AD1340="Home",BI1340,IF(AD1340="Away",BJ1340,Q1340))</f>
        <v>Liverpool</v>
      </c>
      <c r="BN1340" s="52"/>
      <c r="BO1340" s="52"/>
      <c r="BP1340" s="52"/>
      <c r="BQ1340" s="52"/>
      <c r="BR1340" s="52"/>
      <c r="BS1340" s="52"/>
      <c r="BT1340" s="52"/>
      <c r="BU1340" s="52"/>
      <c r="BV1340" s="52" t="s">
        <v>376</v>
      </c>
      <c r="BW1340" s="52" t="s">
        <v>376</v>
      </c>
      <c r="BX1340" s="52"/>
      <c r="BY1340" s="52"/>
      <c r="BZ1340" s="53"/>
      <c r="CA1340" s="53"/>
      <c r="CB1340" s="93" t="str">
        <f>IF(OR(C1340="",A1340="",B1340=""),"",TEXT(C1340,"0000")&amp;TEXT(A1340,"00")&amp;TEXT(B1340,"00"))</f>
        <v>20030121</v>
      </c>
    </row>
    <row r="1341" spans="1:80" s="46" customFormat="1" ht="12.95" customHeight="1" x14ac:dyDescent="0.2">
      <c r="A1341" s="46">
        <v>1</v>
      </c>
      <c r="B1341" s="46">
        <v>21</v>
      </c>
      <c r="C1341" s="46">
        <v>2003</v>
      </c>
      <c r="D1341" s="46" t="s">
        <v>658</v>
      </c>
      <c r="E1341" s="46" t="s">
        <v>298</v>
      </c>
      <c r="F1341" s="54" t="s">
        <v>1327</v>
      </c>
      <c r="H1341" s="54" t="s">
        <v>1011</v>
      </c>
      <c r="I1341" s="54">
        <v>2</v>
      </c>
      <c r="J1341" s="55">
        <v>37642</v>
      </c>
      <c r="K1341" s="46" t="s">
        <v>1207</v>
      </c>
      <c r="L1341" s="46" t="s">
        <v>4</v>
      </c>
      <c r="M1341" s="46" t="s">
        <v>588</v>
      </c>
      <c r="N1341" s="49">
        <v>0</v>
      </c>
      <c r="O1341" s="49">
        <v>2</v>
      </c>
      <c r="P1341" s="54" t="s">
        <v>1141</v>
      </c>
      <c r="Q1341" s="54" t="s">
        <v>588</v>
      </c>
      <c r="R1341" s="54" t="s">
        <v>376</v>
      </c>
      <c r="AD1341" s="46" t="s">
        <v>1037</v>
      </c>
      <c r="AE1341" s="50">
        <f>IF(L1341="W",1,0)</f>
        <v>0</v>
      </c>
      <c r="AF1341" s="50">
        <f>IF(L1341="T",1,0)</f>
        <v>0</v>
      </c>
      <c r="AG1341" s="50">
        <f>IF(L1341="L",1,0)</f>
        <v>1</v>
      </c>
      <c r="AH1341" s="46" t="s">
        <v>1097</v>
      </c>
      <c r="AI1341" s="46" t="s">
        <v>1098</v>
      </c>
      <c r="AJ1341" s="46" t="s">
        <v>376</v>
      </c>
      <c r="AK1341" s="46" t="s">
        <v>658</v>
      </c>
      <c r="AL1341" s="46" t="s">
        <v>588</v>
      </c>
      <c r="AM1341" s="46" t="s">
        <v>1175</v>
      </c>
      <c r="AN1341" s="46" t="s">
        <v>376</v>
      </c>
      <c r="AO1341" s="46" t="s">
        <v>658</v>
      </c>
      <c r="AQ1341" s="46">
        <v>2</v>
      </c>
      <c r="AU1341" s="46" t="s">
        <v>376</v>
      </c>
      <c r="AW1341" s="46" t="s">
        <v>30</v>
      </c>
      <c r="AZ1341" s="46" t="s">
        <v>30</v>
      </c>
      <c r="BA1341" s="54"/>
      <c r="BB1341" s="51"/>
      <c r="BF1341" s="46">
        <v>1</v>
      </c>
      <c r="BG1341" s="46">
        <v>2</v>
      </c>
      <c r="BH1341" s="46">
        <v>1</v>
      </c>
      <c r="BI1341" s="46" t="s">
        <v>1207</v>
      </c>
      <c r="BJ1341" s="46" t="s">
        <v>588</v>
      </c>
      <c r="BK1341" s="46">
        <v>2003</v>
      </c>
      <c r="BL1341" s="46" t="str">
        <f>BK1341&amp;BI1341</f>
        <v>2003Sheffield United</v>
      </c>
      <c r="BM1341" s="52" t="str">
        <f>IF(AD1341="Home",BI1341,IF(AD1341="Away",BJ1341,Q1341))</f>
        <v>Liverpool</v>
      </c>
      <c r="BV1341" s="46" t="s">
        <v>376</v>
      </c>
      <c r="BW1341" s="46" t="s">
        <v>376</v>
      </c>
      <c r="BY1341" s="52"/>
      <c r="BZ1341" s="53"/>
      <c r="CA1341" s="53"/>
      <c r="CB1341" s="93" t="str">
        <f>IF(OR(C1341="",A1341="",B1341=""),"",TEXT(C1341,"0000")&amp;TEXT(A1341,"00")&amp;TEXT(B1341,"00"))</f>
        <v>20030121</v>
      </c>
    </row>
    <row r="1342" spans="1:80" s="46" customFormat="1" ht="12.95" customHeight="1" x14ac:dyDescent="0.2">
      <c r="A1342" s="46">
        <v>1</v>
      </c>
      <c r="B1342" s="46">
        <v>22</v>
      </c>
      <c r="C1342" s="46">
        <v>2003</v>
      </c>
      <c r="D1342" s="52" t="s">
        <v>658</v>
      </c>
      <c r="E1342" s="52" t="s">
        <v>298</v>
      </c>
      <c r="F1342" s="52" t="s">
        <v>1327</v>
      </c>
      <c r="G1342" s="52"/>
      <c r="H1342" s="52" t="s">
        <v>1011</v>
      </c>
      <c r="I1342" s="52">
        <v>2</v>
      </c>
      <c r="J1342" s="56">
        <v>37643</v>
      </c>
      <c r="K1342" s="52" t="s">
        <v>1094</v>
      </c>
      <c r="L1342" s="52" t="s">
        <v>4</v>
      </c>
      <c r="M1342" s="52" t="s">
        <v>821</v>
      </c>
      <c r="N1342" s="57">
        <v>1</v>
      </c>
      <c r="O1342" s="57">
        <v>3</v>
      </c>
      <c r="P1342" s="52" t="s">
        <v>1178</v>
      </c>
      <c r="Q1342" s="52" t="s">
        <v>1085</v>
      </c>
      <c r="R1342" s="52" t="s">
        <v>376</v>
      </c>
      <c r="S1342" s="52"/>
      <c r="T1342" s="52"/>
      <c r="U1342" s="52"/>
      <c r="V1342" s="52"/>
      <c r="W1342" s="52"/>
      <c r="X1342" s="52"/>
      <c r="Y1342" s="52"/>
      <c r="Z1342" s="57"/>
      <c r="AA1342" s="58">
        <v>2</v>
      </c>
      <c r="AB1342" s="58">
        <v>4</v>
      </c>
      <c r="AC1342" s="59">
        <v>1</v>
      </c>
      <c r="AD1342" s="52" t="s">
        <v>1033</v>
      </c>
      <c r="AE1342" s="50">
        <f>IF(L1342="W",1,0)</f>
        <v>0</v>
      </c>
      <c r="AF1342" s="50">
        <f>IF(L1342="T",1,0)</f>
        <v>0</v>
      </c>
      <c r="AG1342" s="50">
        <f>IF(L1342="L",1,0)</f>
        <v>1</v>
      </c>
      <c r="AH1342" s="52" t="s">
        <v>1085</v>
      </c>
      <c r="AI1342" s="52" t="s">
        <v>1086</v>
      </c>
      <c r="AJ1342" s="52" t="s">
        <v>376</v>
      </c>
      <c r="AK1342" s="50" t="s">
        <v>658</v>
      </c>
      <c r="AL1342" s="52" t="s">
        <v>1101</v>
      </c>
      <c r="AM1342" s="52" t="s">
        <v>1159</v>
      </c>
      <c r="AN1342" s="52" t="s">
        <v>376</v>
      </c>
      <c r="AO1342" s="50" t="s">
        <v>658</v>
      </c>
      <c r="AP1342" s="52"/>
      <c r="AQ1342" s="52">
        <v>2</v>
      </c>
      <c r="AR1342" s="52"/>
      <c r="AS1342" s="52">
        <v>1</v>
      </c>
      <c r="AU1342" s="52" t="s">
        <v>376</v>
      </c>
      <c r="AV1342" s="52"/>
      <c r="AW1342" s="52" t="s">
        <v>30</v>
      </c>
      <c r="AX1342" s="52"/>
      <c r="AY1342" s="52"/>
      <c r="AZ1342" s="52" t="s">
        <v>30</v>
      </c>
      <c r="BA1342" s="52"/>
      <c r="BB1342" s="60"/>
      <c r="BC1342" s="52"/>
      <c r="BD1342" s="60"/>
      <c r="BE1342" s="60"/>
      <c r="BF1342" s="35">
        <v>1</v>
      </c>
      <c r="BG1342" s="52">
        <v>1</v>
      </c>
      <c r="BH1342" s="52"/>
      <c r="BI1342" s="52" t="s">
        <v>1094</v>
      </c>
      <c r="BJ1342" s="52" t="s">
        <v>821</v>
      </c>
      <c r="BK1342" s="52">
        <v>2003</v>
      </c>
      <c r="BL1342" s="46" t="str">
        <f>BK1342&amp;BI1342</f>
        <v>2003Blackburn Rovers</v>
      </c>
      <c r="BM1342" s="52" t="str">
        <f>IF(AD1342="Home",BI1342,IF(AD1342="Away",BJ1342,Q1342))</f>
        <v>Blackburn Rovers</v>
      </c>
      <c r="BN1342" s="52"/>
      <c r="BO1342" s="52"/>
      <c r="BP1342" s="52"/>
      <c r="BQ1342" s="52"/>
      <c r="BR1342" s="52"/>
      <c r="BS1342" s="52"/>
      <c r="BT1342" s="52"/>
      <c r="BU1342" s="52"/>
      <c r="BV1342" s="52" t="s">
        <v>376</v>
      </c>
      <c r="BW1342" s="52" t="s">
        <v>376</v>
      </c>
      <c r="BX1342" s="52"/>
      <c r="BY1342" s="52"/>
      <c r="BZ1342" s="53"/>
      <c r="CA1342" s="53"/>
      <c r="CB1342" s="93" t="str">
        <f>IF(OR(C1342="",A1342="",B1342=""),"",TEXT(C1342,"0000")&amp;TEXT(A1342,"00")&amp;TEXT(B1342,"00"))</f>
        <v>20030122</v>
      </c>
    </row>
    <row r="1343" spans="1:80" s="46" customFormat="1" ht="12.95" customHeight="1" x14ac:dyDescent="0.2">
      <c r="A1343" s="46">
        <v>1</v>
      </c>
      <c r="B1343" s="46">
        <v>22</v>
      </c>
      <c r="C1343" s="46">
        <v>2003</v>
      </c>
      <c r="D1343" s="52" t="s">
        <v>658</v>
      </c>
      <c r="E1343" s="52" t="s">
        <v>298</v>
      </c>
      <c r="F1343" s="52" t="s">
        <v>1327</v>
      </c>
      <c r="G1343" s="52"/>
      <c r="H1343" s="52" t="s">
        <v>1011</v>
      </c>
      <c r="I1343" s="52">
        <v>2</v>
      </c>
      <c r="J1343" s="56">
        <v>37643</v>
      </c>
      <c r="K1343" s="52" t="s">
        <v>821</v>
      </c>
      <c r="L1343" s="52" t="s">
        <v>3</v>
      </c>
      <c r="M1343" s="52" t="s">
        <v>1094</v>
      </c>
      <c r="N1343" s="57">
        <v>3</v>
      </c>
      <c r="O1343" s="57">
        <v>1</v>
      </c>
      <c r="P1343" s="52" t="s">
        <v>1178</v>
      </c>
      <c r="Q1343" s="52" t="s">
        <v>1085</v>
      </c>
      <c r="R1343" s="52" t="s">
        <v>376</v>
      </c>
      <c r="S1343" s="52"/>
      <c r="T1343" s="52"/>
      <c r="U1343" s="52"/>
      <c r="V1343" s="52"/>
      <c r="W1343" s="52"/>
      <c r="X1343" s="52"/>
      <c r="Y1343" s="52"/>
      <c r="Z1343" s="57"/>
      <c r="AA1343" s="58">
        <v>4</v>
      </c>
      <c r="AB1343" s="58">
        <v>2</v>
      </c>
      <c r="AC1343" s="59">
        <v>3</v>
      </c>
      <c r="AD1343" s="52" t="s">
        <v>1037</v>
      </c>
      <c r="AE1343" s="50">
        <f>IF(L1343="W",1,0)</f>
        <v>1</v>
      </c>
      <c r="AF1343" s="50">
        <f>IF(L1343="T",1,0)</f>
        <v>0</v>
      </c>
      <c r="AG1343" s="50">
        <f>IF(L1343="L",1,0)</f>
        <v>0</v>
      </c>
      <c r="AH1343" s="52" t="s">
        <v>1101</v>
      </c>
      <c r="AI1343" s="52" t="s">
        <v>1159</v>
      </c>
      <c r="AJ1343" s="52" t="s">
        <v>376</v>
      </c>
      <c r="AK1343" s="50" t="s">
        <v>658</v>
      </c>
      <c r="AL1343" s="52" t="s">
        <v>1085</v>
      </c>
      <c r="AM1343" s="52" t="s">
        <v>1086</v>
      </c>
      <c r="AN1343" s="52" t="s">
        <v>376</v>
      </c>
      <c r="AO1343" s="50" t="s">
        <v>658</v>
      </c>
      <c r="AP1343" s="52"/>
      <c r="AQ1343" s="52">
        <v>2</v>
      </c>
      <c r="AR1343" s="52"/>
      <c r="AS1343" s="52"/>
      <c r="AU1343" s="52" t="s">
        <v>376</v>
      </c>
      <c r="AV1343" s="52"/>
      <c r="AW1343" s="52" t="s">
        <v>30</v>
      </c>
      <c r="AX1343" s="52"/>
      <c r="AY1343" s="52"/>
      <c r="AZ1343" s="52" t="s">
        <v>30</v>
      </c>
      <c r="BA1343" s="52"/>
      <c r="BB1343" s="60"/>
      <c r="BC1343" s="52"/>
      <c r="BD1343" s="60"/>
      <c r="BE1343" s="60"/>
      <c r="BF1343" s="35">
        <v>1</v>
      </c>
      <c r="BG1343" s="52">
        <v>1</v>
      </c>
      <c r="BH1343" s="52"/>
      <c r="BI1343" s="52" t="s">
        <v>821</v>
      </c>
      <c r="BJ1343" s="52" t="s">
        <v>1094</v>
      </c>
      <c r="BK1343" s="52">
        <v>2003</v>
      </c>
      <c r="BL1343" s="46" t="str">
        <f>BK1343&amp;BI1343</f>
        <v>2003Manchester United</v>
      </c>
      <c r="BM1343" s="52" t="str">
        <f>IF(AD1343="Home",BI1343,IF(AD1343="Away",BJ1343,Q1343))</f>
        <v>Blackburn Rovers</v>
      </c>
      <c r="BN1343" s="52"/>
      <c r="BO1343" s="52"/>
      <c r="BP1343" s="52"/>
      <c r="BQ1343" s="52"/>
      <c r="BR1343" s="52"/>
      <c r="BS1343" s="52"/>
      <c r="BT1343" s="52"/>
      <c r="BU1343" s="52"/>
      <c r="BV1343" s="52" t="s">
        <v>376</v>
      </c>
      <c r="BW1343" s="52" t="s">
        <v>376</v>
      </c>
      <c r="BX1343" s="52"/>
      <c r="BY1343" s="52"/>
      <c r="BZ1343" s="53"/>
      <c r="CA1343" s="53"/>
      <c r="CB1343" s="93" t="str">
        <f>IF(OR(C1343="",A1343="",B1343=""),"",TEXT(C1343,"0000")&amp;TEXT(A1343,"00")&amp;TEXT(B1343,"00"))</f>
        <v>20030122</v>
      </c>
    </row>
    <row r="1344" spans="1:80" s="46" customFormat="1" ht="12.95" customHeight="1" x14ac:dyDescent="0.2">
      <c r="A1344" s="46">
        <v>3</v>
      </c>
      <c r="B1344" s="46">
        <v>2</v>
      </c>
      <c r="C1344" s="46">
        <v>2003</v>
      </c>
      <c r="D1344" s="52" t="s">
        <v>658</v>
      </c>
      <c r="E1344" s="52" t="s">
        <v>298</v>
      </c>
      <c r="F1344" s="52" t="s">
        <v>1327</v>
      </c>
      <c r="G1344" s="52"/>
      <c r="H1344" s="52" t="s">
        <v>40</v>
      </c>
      <c r="I1344" s="52"/>
      <c r="J1344" s="56">
        <v>37682</v>
      </c>
      <c r="K1344" s="52" t="s">
        <v>588</v>
      </c>
      <c r="L1344" s="52" t="s">
        <v>3</v>
      </c>
      <c r="M1344" s="52" t="s">
        <v>821</v>
      </c>
      <c r="N1344" s="57">
        <v>2</v>
      </c>
      <c r="O1344" s="57">
        <v>0</v>
      </c>
      <c r="P1344" s="52" t="s">
        <v>1407</v>
      </c>
      <c r="Q1344" s="52" t="s">
        <v>1263</v>
      </c>
      <c r="R1344" s="52" t="s">
        <v>1264</v>
      </c>
      <c r="S1344" s="52"/>
      <c r="T1344" s="52"/>
      <c r="U1344" s="52"/>
      <c r="V1344" s="52"/>
      <c r="W1344" s="52"/>
      <c r="X1344" s="52"/>
      <c r="Y1344" s="52"/>
      <c r="Z1344" s="57"/>
      <c r="AA1344" s="52"/>
      <c r="AB1344" s="52"/>
      <c r="AC1344" s="52"/>
      <c r="AD1344" s="52"/>
      <c r="AE1344" s="50">
        <f>IF(L1344="W",1,0)</f>
        <v>1</v>
      </c>
      <c r="AF1344" s="50">
        <f>IF(L1344="T",1,0)</f>
        <v>0</v>
      </c>
      <c r="AG1344" s="50">
        <f>IF(L1344="L",1,0)</f>
        <v>0</v>
      </c>
      <c r="AH1344" s="52" t="s">
        <v>588</v>
      </c>
      <c r="AI1344" s="52" t="s">
        <v>1175</v>
      </c>
      <c r="AJ1344" s="52" t="s">
        <v>376</v>
      </c>
      <c r="AK1344" s="50" t="s">
        <v>658</v>
      </c>
      <c r="AL1344" s="52" t="s">
        <v>1101</v>
      </c>
      <c r="AM1344" s="52" t="s">
        <v>1159</v>
      </c>
      <c r="AN1344" s="52" t="s">
        <v>376</v>
      </c>
      <c r="AO1344" s="50" t="s">
        <v>658</v>
      </c>
      <c r="AP1344" s="52"/>
      <c r="AQ1344" s="52">
        <v>1</v>
      </c>
      <c r="AR1344" s="52"/>
      <c r="AS1344" s="52" t="s">
        <v>1393</v>
      </c>
      <c r="AT1344" s="46" t="s">
        <v>1369</v>
      </c>
      <c r="AU1344" s="52" t="s">
        <v>376</v>
      </c>
      <c r="AV1344" s="52"/>
      <c r="AW1344" s="52" t="s">
        <v>30</v>
      </c>
      <c r="AX1344" s="52"/>
      <c r="AY1344" s="52"/>
      <c r="AZ1344" s="57" t="s">
        <v>30</v>
      </c>
      <c r="BA1344" s="52"/>
      <c r="BB1344" s="60" t="s">
        <v>30</v>
      </c>
      <c r="BC1344" s="52" t="s">
        <v>30</v>
      </c>
      <c r="BD1344" s="60"/>
      <c r="BE1344" s="60" t="s">
        <v>1400</v>
      </c>
      <c r="BF1344" s="35">
        <v>1</v>
      </c>
      <c r="BG1344" s="52">
        <v>1</v>
      </c>
      <c r="BH1344" s="52"/>
      <c r="BI1344" s="52" t="s">
        <v>588</v>
      </c>
      <c r="BJ1344" s="52" t="s">
        <v>821</v>
      </c>
      <c r="BK1344" s="52">
        <v>2003</v>
      </c>
      <c r="BL1344" s="46" t="str">
        <f>BK1344&amp;BI1344</f>
        <v>2003Liverpool</v>
      </c>
      <c r="BM1344" s="52" t="str">
        <f>IF(AD1344="Home",BI1344,IF(AD1344="Away",BJ1344,Q1344))</f>
        <v>Cardiff</v>
      </c>
      <c r="BN1344" s="52"/>
      <c r="BO1344" s="52"/>
      <c r="BP1344" s="52"/>
      <c r="BQ1344" s="52"/>
      <c r="BR1344" s="52"/>
      <c r="BS1344" s="52"/>
      <c r="BT1344" s="52"/>
      <c r="BU1344" s="52"/>
      <c r="BV1344" s="52" t="s">
        <v>376</v>
      </c>
      <c r="BW1344" s="52" t="s">
        <v>376</v>
      </c>
      <c r="BX1344" s="52"/>
      <c r="BZ1344" s="53"/>
      <c r="CA1344" s="53"/>
      <c r="CB1344" s="93" t="str">
        <f>IF(OR(C1344="",A1344="",B1344=""),"",TEXT(C1344,"0000")&amp;TEXT(A1344,"00")&amp;TEXT(B1344,"00"))</f>
        <v>20030302</v>
      </c>
    </row>
    <row r="1345" spans="1:80" s="46" customFormat="1" ht="12.95" customHeight="1" x14ac:dyDescent="0.2">
      <c r="A1345" s="46">
        <v>3</v>
      </c>
      <c r="B1345" s="46">
        <v>2</v>
      </c>
      <c r="C1345" s="46">
        <v>2003</v>
      </c>
      <c r="D1345" s="52" t="s">
        <v>658</v>
      </c>
      <c r="E1345" s="52" t="s">
        <v>298</v>
      </c>
      <c r="F1345" s="52" t="s">
        <v>1327</v>
      </c>
      <c r="G1345" s="52"/>
      <c r="H1345" s="52" t="s">
        <v>40</v>
      </c>
      <c r="I1345" s="52"/>
      <c r="J1345" s="56">
        <v>37682</v>
      </c>
      <c r="K1345" s="52" t="s">
        <v>821</v>
      </c>
      <c r="L1345" s="52" t="s">
        <v>4</v>
      </c>
      <c r="M1345" s="52" t="s">
        <v>588</v>
      </c>
      <c r="N1345" s="57">
        <v>0</v>
      </c>
      <c r="O1345" s="57">
        <v>2</v>
      </c>
      <c r="P1345" s="52" t="s">
        <v>1407</v>
      </c>
      <c r="Q1345" s="52" t="s">
        <v>1263</v>
      </c>
      <c r="R1345" s="52" t="s">
        <v>1264</v>
      </c>
      <c r="S1345" s="52"/>
      <c r="T1345" s="52"/>
      <c r="U1345" s="52"/>
      <c r="V1345" s="52"/>
      <c r="W1345" s="52"/>
      <c r="X1345" s="52"/>
      <c r="Y1345" s="52"/>
      <c r="Z1345" s="57"/>
      <c r="AA1345" s="52"/>
      <c r="AB1345" s="52"/>
      <c r="AC1345" s="52"/>
      <c r="AD1345" s="52"/>
      <c r="AE1345" s="50">
        <f>IF(L1345="W",1,0)</f>
        <v>0</v>
      </c>
      <c r="AF1345" s="50">
        <f>IF(L1345="T",1,0)</f>
        <v>0</v>
      </c>
      <c r="AG1345" s="50">
        <f>IF(L1345="L",1,0)</f>
        <v>1</v>
      </c>
      <c r="AH1345" s="52" t="s">
        <v>1101</v>
      </c>
      <c r="AI1345" s="52" t="s">
        <v>1159</v>
      </c>
      <c r="AJ1345" s="52" t="s">
        <v>376</v>
      </c>
      <c r="AK1345" s="50" t="s">
        <v>658</v>
      </c>
      <c r="AL1345" s="52" t="s">
        <v>588</v>
      </c>
      <c r="AM1345" s="52" t="s">
        <v>1175</v>
      </c>
      <c r="AN1345" s="52" t="s">
        <v>376</v>
      </c>
      <c r="AO1345" s="50" t="s">
        <v>658</v>
      </c>
      <c r="AP1345" s="52"/>
      <c r="AQ1345" s="52">
        <v>1</v>
      </c>
      <c r="AR1345" s="52"/>
      <c r="AS1345" s="52">
        <v>1</v>
      </c>
      <c r="AT1345" s="46" t="s">
        <v>1369</v>
      </c>
      <c r="AU1345" s="52" t="s">
        <v>376</v>
      </c>
      <c r="AV1345" s="52"/>
      <c r="AW1345" s="52" t="s">
        <v>30</v>
      </c>
      <c r="AX1345" s="52"/>
      <c r="AY1345" s="52"/>
      <c r="AZ1345" s="52" t="s">
        <v>30</v>
      </c>
      <c r="BA1345" s="52"/>
      <c r="BB1345" s="60"/>
      <c r="BC1345" s="52" t="s">
        <v>30</v>
      </c>
      <c r="BD1345" s="60"/>
      <c r="BE1345" s="60"/>
      <c r="BF1345" s="35">
        <v>1</v>
      </c>
      <c r="BG1345" s="52">
        <v>1</v>
      </c>
      <c r="BH1345" s="52"/>
      <c r="BI1345" s="52" t="s">
        <v>821</v>
      </c>
      <c r="BJ1345" s="52" t="s">
        <v>588</v>
      </c>
      <c r="BK1345" s="52">
        <v>2003</v>
      </c>
      <c r="BL1345" s="46" t="str">
        <f>BK1345&amp;BI1345</f>
        <v>2003Manchester United</v>
      </c>
      <c r="BM1345" s="52" t="str">
        <f>IF(AD1345="Home",BI1345,IF(AD1345="Away",BJ1345,Q1345))</f>
        <v>Cardiff</v>
      </c>
      <c r="BN1345" s="52"/>
      <c r="BO1345" s="52"/>
      <c r="BP1345" s="52"/>
      <c r="BQ1345" s="52"/>
      <c r="BR1345" s="52"/>
      <c r="BS1345" s="52"/>
      <c r="BT1345" s="52"/>
      <c r="BU1345" s="52"/>
      <c r="BV1345" s="52" t="s">
        <v>376</v>
      </c>
      <c r="BW1345" s="52" t="s">
        <v>376</v>
      </c>
      <c r="BX1345" s="52"/>
      <c r="BZ1345" s="53"/>
      <c r="CA1345" s="53"/>
      <c r="CB1345" s="93" t="str">
        <f>IF(OR(C1345="",A1345="",B1345=""),"",TEXT(C1345,"0000")&amp;TEXT(A1345,"00")&amp;TEXT(B1345,"00"))</f>
        <v>20030302</v>
      </c>
    </row>
    <row r="1346" spans="1:80" s="46" customFormat="1" ht="12.95" customHeight="1" x14ac:dyDescent="0.2">
      <c r="A1346" s="46">
        <v>4</v>
      </c>
      <c r="B1346" s="46">
        <v>13</v>
      </c>
      <c r="C1346" s="46">
        <v>2003</v>
      </c>
      <c r="D1346" s="52" t="s">
        <v>658</v>
      </c>
      <c r="E1346" s="52" t="s">
        <v>298</v>
      </c>
      <c r="F1346" s="52" t="s">
        <v>1010</v>
      </c>
      <c r="G1346" s="52"/>
      <c r="H1346" s="52" t="s">
        <v>1011</v>
      </c>
      <c r="I1346" s="52"/>
      <c r="J1346" s="56">
        <v>37724</v>
      </c>
      <c r="K1346" s="52" t="s">
        <v>587</v>
      </c>
      <c r="L1346" s="52" t="s">
        <v>3</v>
      </c>
      <c r="M1346" s="52" t="s">
        <v>1207</v>
      </c>
      <c r="N1346" s="57">
        <v>1</v>
      </c>
      <c r="O1346" s="57">
        <v>0</v>
      </c>
      <c r="P1346" s="52" t="s">
        <v>1246</v>
      </c>
      <c r="Q1346" s="52" t="s">
        <v>1101</v>
      </c>
      <c r="R1346" s="52" t="s">
        <v>376</v>
      </c>
      <c r="S1346" s="52"/>
      <c r="T1346" s="52"/>
      <c r="U1346" s="52"/>
      <c r="V1346" s="52"/>
      <c r="W1346" s="52"/>
      <c r="X1346" s="52"/>
      <c r="Y1346" s="52"/>
      <c r="Z1346" s="57"/>
      <c r="AA1346" s="52"/>
      <c r="AB1346" s="52"/>
      <c r="AC1346" s="52"/>
      <c r="AD1346" s="52"/>
      <c r="AE1346" s="50">
        <f>IF(L1346="W",1,0)</f>
        <v>1</v>
      </c>
      <c r="AF1346" s="50">
        <f>IF(L1346="T",1,0)</f>
        <v>0</v>
      </c>
      <c r="AG1346" s="50">
        <f>IF(L1346="L",1,0)</f>
        <v>0</v>
      </c>
      <c r="AH1346" s="52" t="s">
        <v>1017</v>
      </c>
      <c r="AI1346" s="52" t="s">
        <v>1018</v>
      </c>
      <c r="AJ1346" s="52" t="s">
        <v>376</v>
      </c>
      <c r="AK1346" s="50" t="s">
        <v>658</v>
      </c>
      <c r="AL1346" s="52" t="s">
        <v>1097</v>
      </c>
      <c r="AM1346" s="52" t="s">
        <v>1098</v>
      </c>
      <c r="AN1346" s="52" t="s">
        <v>376</v>
      </c>
      <c r="AO1346" s="50" t="s">
        <v>658</v>
      </c>
      <c r="AP1346" s="52"/>
      <c r="AQ1346" s="52">
        <v>2</v>
      </c>
      <c r="AR1346" s="52"/>
      <c r="AS1346" s="52"/>
      <c r="AU1346" s="52" t="s">
        <v>376</v>
      </c>
      <c r="AV1346" s="52"/>
      <c r="AW1346" s="52" t="s">
        <v>30</v>
      </c>
      <c r="AX1346" s="52"/>
      <c r="AY1346" s="52" t="s">
        <v>30</v>
      </c>
      <c r="AZ1346" s="52"/>
      <c r="BA1346" s="52"/>
      <c r="BB1346" s="60"/>
      <c r="BC1346" s="52"/>
      <c r="BD1346" s="60"/>
      <c r="BE1346" s="60"/>
      <c r="BF1346" s="35">
        <v>1</v>
      </c>
      <c r="BG1346" s="52">
        <v>1</v>
      </c>
      <c r="BH1346" s="52"/>
      <c r="BI1346" s="52" t="s">
        <v>587</v>
      </c>
      <c r="BJ1346" s="52" t="s">
        <v>1207</v>
      </c>
      <c r="BK1346" s="52">
        <v>2003</v>
      </c>
      <c r="BL1346" s="46" t="str">
        <f>BK1346&amp;BI1346</f>
        <v>2003Arsenal</v>
      </c>
      <c r="BM1346" s="52" t="str">
        <f>IF(AD1346="Home",BI1346,IF(AD1346="Away",BJ1346,Q1346))</f>
        <v>Manchester</v>
      </c>
      <c r="BN1346" s="52"/>
      <c r="BO1346" s="52"/>
      <c r="BP1346" s="52"/>
      <c r="BQ1346" s="52"/>
      <c r="BR1346" s="52"/>
      <c r="BS1346" s="52"/>
      <c r="BT1346" s="52"/>
      <c r="BU1346" s="52"/>
      <c r="BV1346" s="52" t="s">
        <v>376</v>
      </c>
      <c r="BW1346" s="52" t="s">
        <v>376</v>
      </c>
      <c r="BX1346" s="52"/>
      <c r="BY1346" s="52"/>
      <c r="BZ1346" s="53"/>
      <c r="CA1346" s="53"/>
      <c r="CB1346" s="93" t="str">
        <f>IF(OR(C1346="",A1346="",B1346=""),"",TEXT(C1346,"0000")&amp;TEXT(A1346,"00")&amp;TEXT(B1346,"00"))</f>
        <v>20030413</v>
      </c>
    </row>
    <row r="1347" spans="1:80" s="46" customFormat="1" ht="12.95" customHeight="1" x14ac:dyDescent="0.2">
      <c r="A1347" s="46">
        <v>4</v>
      </c>
      <c r="B1347" s="46">
        <v>13</v>
      </c>
      <c r="C1347" s="46">
        <v>2003</v>
      </c>
      <c r="D1347" s="46" t="s">
        <v>658</v>
      </c>
      <c r="E1347" s="46" t="s">
        <v>298</v>
      </c>
      <c r="F1347" s="47" t="s">
        <v>1010</v>
      </c>
      <c r="H1347" s="47" t="s">
        <v>1011</v>
      </c>
      <c r="I1347" s="47"/>
      <c r="J1347" s="48">
        <v>37724</v>
      </c>
      <c r="K1347" s="46" t="s">
        <v>1207</v>
      </c>
      <c r="L1347" s="46" t="s">
        <v>4</v>
      </c>
      <c r="M1347" s="46" t="s">
        <v>587</v>
      </c>
      <c r="N1347" s="49">
        <v>0</v>
      </c>
      <c r="O1347" s="49">
        <v>1</v>
      </c>
      <c r="P1347" s="47" t="s">
        <v>1246</v>
      </c>
      <c r="Q1347" s="47" t="s">
        <v>1101</v>
      </c>
      <c r="R1347" s="47" t="s">
        <v>376</v>
      </c>
      <c r="AE1347" s="50">
        <f>IF(L1347="W",1,0)</f>
        <v>0</v>
      </c>
      <c r="AF1347" s="50">
        <f>IF(L1347="T",1,0)</f>
        <v>0</v>
      </c>
      <c r="AG1347" s="50">
        <f>IF(L1347="L",1,0)</f>
        <v>1</v>
      </c>
      <c r="AH1347" s="46" t="s">
        <v>1097</v>
      </c>
      <c r="AI1347" s="46" t="s">
        <v>1098</v>
      </c>
      <c r="AJ1347" s="46" t="s">
        <v>376</v>
      </c>
      <c r="AK1347" s="46" t="s">
        <v>658</v>
      </c>
      <c r="AL1347" s="46" t="s">
        <v>1017</v>
      </c>
      <c r="AM1347" s="46" t="s">
        <v>1018</v>
      </c>
      <c r="AN1347" s="46" t="s">
        <v>376</v>
      </c>
      <c r="AO1347" s="46" t="s">
        <v>658</v>
      </c>
      <c r="AQ1347" s="46">
        <v>2</v>
      </c>
      <c r="AU1347" s="46" t="s">
        <v>376</v>
      </c>
      <c r="AW1347" s="46" t="s">
        <v>30</v>
      </c>
      <c r="AY1347" s="46" t="s">
        <v>30</v>
      </c>
      <c r="BA1347" s="47"/>
      <c r="BB1347" s="51"/>
      <c r="BF1347" s="46">
        <v>1</v>
      </c>
      <c r="BG1347" s="46">
        <v>2</v>
      </c>
      <c r="BH1347" s="46">
        <v>1</v>
      </c>
      <c r="BI1347" s="46" t="s">
        <v>1207</v>
      </c>
      <c r="BJ1347" s="46" t="s">
        <v>587</v>
      </c>
      <c r="BK1347" s="46">
        <v>2003</v>
      </c>
      <c r="BL1347" s="46" t="str">
        <f>BK1347&amp;BI1347</f>
        <v>2003Sheffield United</v>
      </c>
      <c r="BM1347" s="52" t="str">
        <f>IF(AD1347="Home",BI1347,IF(AD1347="Away",BJ1347,Q1347))</f>
        <v>Manchester</v>
      </c>
      <c r="BV1347" s="46" t="s">
        <v>376</v>
      </c>
      <c r="BW1347" s="46" t="s">
        <v>376</v>
      </c>
      <c r="BY1347" s="52"/>
      <c r="BZ1347" s="53"/>
      <c r="CA1347" s="53"/>
      <c r="CB1347" s="93" t="str">
        <f>IF(OR(C1347="",A1347="",B1347=""),"",TEXT(C1347,"0000")&amp;TEXT(A1347,"00")&amp;TEXT(B1347,"00"))</f>
        <v>20030413</v>
      </c>
    </row>
    <row r="1348" spans="1:80" s="46" customFormat="1" ht="12.95" customHeight="1" x14ac:dyDescent="0.2">
      <c r="A1348" s="46">
        <v>4</v>
      </c>
      <c r="B1348" s="46">
        <v>13</v>
      </c>
      <c r="C1348" s="46">
        <v>2003</v>
      </c>
      <c r="D1348" s="52" t="s">
        <v>658</v>
      </c>
      <c r="E1348" s="52" t="s">
        <v>298</v>
      </c>
      <c r="F1348" s="52" t="s">
        <v>1010</v>
      </c>
      <c r="G1348" s="52"/>
      <c r="H1348" s="52" t="s">
        <v>1011</v>
      </c>
      <c r="I1348" s="52"/>
      <c r="J1348" s="56">
        <v>37724</v>
      </c>
      <c r="K1348" s="52" t="s">
        <v>629</v>
      </c>
      <c r="L1348" s="52" t="s">
        <v>3</v>
      </c>
      <c r="M1348" s="52" t="s">
        <v>1357</v>
      </c>
      <c r="N1348" s="57">
        <v>2</v>
      </c>
      <c r="O1348" s="57">
        <v>1</v>
      </c>
      <c r="P1348" s="52" t="s">
        <v>1219</v>
      </c>
      <c r="Q1348" s="52" t="s">
        <v>1111</v>
      </c>
      <c r="R1348" s="52" t="s">
        <v>376</v>
      </c>
      <c r="S1348" s="52"/>
      <c r="T1348" s="52"/>
      <c r="U1348" s="52"/>
      <c r="V1348" s="52"/>
      <c r="W1348" s="52"/>
      <c r="X1348" s="52"/>
      <c r="Y1348" s="52"/>
      <c r="Z1348" s="57"/>
      <c r="AA1348" s="52"/>
      <c r="AB1348" s="52"/>
      <c r="AC1348" s="52"/>
      <c r="AD1348" s="52"/>
      <c r="AE1348" s="50">
        <f>IF(L1348="W",1,0)</f>
        <v>1</v>
      </c>
      <c r="AF1348" s="50">
        <f>IF(L1348="T",1,0)</f>
        <v>0</v>
      </c>
      <c r="AG1348" s="50">
        <f>IF(L1348="L",1,0)</f>
        <v>0</v>
      </c>
      <c r="AH1348" s="52" t="s">
        <v>629</v>
      </c>
      <c r="AI1348" s="52" t="s">
        <v>1199</v>
      </c>
      <c r="AJ1348" s="52" t="s">
        <v>376</v>
      </c>
      <c r="AK1348" s="50" t="s">
        <v>658</v>
      </c>
      <c r="AL1348" s="52" t="s">
        <v>1017</v>
      </c>
      <c r="AM1348" s="52" t="s">
        <v>1371</v>
      </c>
      <c r="AN1348" s="52" t="s">
        <v>376</v>
      </c>
      <c r="AO1348" s="50" t="s">
        <v>658</v>
      </c>
      <c r="AP1348" s="52"/>
      <c r="AQ1348" s="52">
        <v>2</v>
      </c>
      <c r="AR1348" s="52"/>
      <c r="AS1348" s="52"/>
      <c r="AU1348" s="52" t="s">
        <v>376</v>
      </c>
      <c r="AV1348" s="52"/>
      <c r="AW1348" s="52" t="s">
        <v>30</v>
      </c>
      <c r="AX1348" s="52"/>
      <c r="AY1348" s="52" t="s">
        <v>30</v>
      </c>
      <c r="AZ1348" s="52"/>
      <c r="BA1348" s="52"/>
      <c r="BB1348" s="60"/>
      <c r="BC1348" s="52"/>
      <c r="BD1348" s="60"/>
      <c r="BE1348" s="60"/>
      <c r="BF1348" s="35">
        <v>1</v>
      </c>
      <c r="BG1348" s="52">
        <v>1</v>
      </c>
      <c r="BH1348" s="52"/>
      <c r="BI1348" s="52" t="s">
        <v>629</v>
      </c>
      <c r="BJ1348" s="52" t="s">
        <v>1357</v>
      </c>
      <c r="BK1348" s="52">
        <v>2003</v>
      </c>
      <c r="BL1348" s="46" t="str">
        <f>BK1348&amp;BI1348</f>
        <v>2003Southampton</v>
      </c>
      <c r="BM1348" s="52" t="str">
        <f>IF(AD1348="Home",BI1348,IF(AD1348="Away",BJ1348,Q1348))</f>
        <v>Birmingham</v>
      </c>
      <c r="BN1348" s="52"/>
      <c r="BO1348" s="52"/>
      <c r="BP1348" s="52"/>
      <c r="BQ1348" s="52"/>
      <c r="BR1348" s="52"/>
      <c r="BS1348" s="52"/>
      <c r="BT1348" s="52"/>
      <c r="BU1348" s="52"/>
      <c r="BV1348" s="52" t="s">
        <v>376</v>
      </c>
      <c r="BW1348" s="52" t="s">
        <v>376</v>
      </c>
      <c r="BX1348" s="52"/>
      <c r="BY1348" s="52"/>
      <c r="BZ1348" s="53"/>
      <c r="CA1348" s="53"/>
      <c r="CB1348" s="93" t="str">
        <f>IF(OR(C1348="",A1348="",B1348=""),"",TEXT(C1348,"0000")&amp;TEXT(A1348,"00")&amp;TEXT(B1348,"00"))</f>
        <v>20030413</v>
      </c>
    </row>
    <row r="1349" spans="1:80" s="46" customFormat="1" ht="12.95" customHeight="1" x14ac:dyDescent="0.2">
      <c r="A1349" s="46">
        <v>4</v>
      </c>
      <c r="B1349" s="46">
        <v>13</v>
      </c>
      <c r="C1349" s="46">
        <v>2003</v>
      </c>
      <c r="D1349" s="46" t="s">
        <v>658</v>
      </c>
      <c r="E1349" s="46" t="s">
        <v>298</v>
      </c>
      <c r="F1349" s="47" t="s">
        <v>1010</v>
      </c>
      <c r="H1349" s="47" t="s">
        <v>1011</v>
      </c>
      <c r="I1349" s="47"/>
      <c r="J1349" s="48">
        <v>37724</v>
      </c>
      <c r="K1349" s="46" t="s">
        <v>1357</v>
      </c>
      <c r="L1349" s="46" t="s">
        <v>4</v>
      </c>
      <c r="M1349" s="46" t="s">
        <v>629</v>
      </c>
      <c r="N1349" s="49">
        <v>1</v>
      </c>
      <c r="O1349" s="49">
        <v>2</v>
      </c>
      <c r="P1349" s="47" t="s">
        <v>1219</v>
      </c>
      <c r="Q1349" s="47" t="s">
        <v>1111</v>
      </c>
      <c r="R1349" s="47" t="s">
        <v>376</v>
      </c>
      <c r="AE1349" s="50">
        <f>IF(L1349="W",1,0)</f>
        <v>0</v>
      </c>
      <c r="AF1349" s="50">
        <f>IF(L1349="T",1,0)</f>
        <v>0</v>
      </c>
      <c r="AG1349" s="50">
        <f>IF(L1349="L",1,0)</f>
        <v>1</v>
      </c>
      <c r="AH1349" s="46" t="s">
        <v>1017</v>
      </c>
      <c r="AI1349" s="46" t="s">
        <v>1018</v>
      </c>
      <c r="AJ1349" s="46" t="s">
        <v>376</v>
      </c>
      <c r="AK1349" s="46" t="s">
        <v>658</v>
      </c>
      <c r="AL1349" s="46" t="s">
        <v>629</v>
      </c>
      <c r="AM1349" s="46" t="s">
        <v>1199</v>
      </c>
      <c r="AN1349" s="46" t="s">
        <v>376</v>
      </c>
      <c r="AO1349" s="46" t="s">
        <v>658</v>
      </c>
      <c r="AQ1349" s="46">
        <v>2</v>
      </c>
      <c r="AU1349" s="46" t="s">
        <v>376</v>
      </c>
      <c r="AW1349" s="46" t="s">
        <v>30</v>
      </c>
      <c r="AY1349" s="46" t="s">
        <v>30</v>
      </c>
      <c r="BA1349" s="47"/>
      <c r="BB1349" s="51"/>
      <c r="BF1349" s="46">
        <v>1</v>
      </c>
      <c r="BG1349" s="46">
        <v>2</v>
      </c>
      <c r="BH1349" s="46">
        <v>1</v>
      </c>
      <c r="BI1349" s="46" t="s">
        <v>1357</v>
      </c>
      <c r="BJ1349" s="46" t="s">
        <v>629</v>
      </c>
      <c r="BK1349" s="46">
        <v>2003</v>
      </c>
      <c r="BL1349" s="46" t="str">
        <f>BK1349&amp;BI1349</f>
        <v>2003Watford</v>
      </c>
      <c r="BM1349" s="52" t="str">
        <f>IF(AD1349="Home",BI1349,IF(AD1349="Away",BJ1349,Q1349))</f>
        <v>Birmingham</v>
      </c>
      <c r="BV1349" s="46" t="s">
        <v>376</v>
      </c>
      <c r="BW1349" s="46" t="s">
        <v>376</v>
      </c>
      <c r="BY1349" s="52"/>
      <c r="BZ1349" s="53"/>
      <c r="CA1349" s="53"/>
      <c r="CB1349" s="93" t="str">
        <f>IF(OR(C1349="",A1349="",B1349=""),"",TEXT(C1349,"0000")&amp;TEXT(A1349,"00")&amp;TEXT(B1349,"00"))</f>
        <v>20030413</v>
      </c>
    </row>
    <row r="1350" spans="1:80" s="46" customFormat="1" ht="12.95" customHeight="1" x14ac:dyDescent="0.2">
      <c r="A1350" s="46">
        <v>5</v>
      </c>
      <c r="B1350" s="46">
        <v>17</v>
      </c>
      <c r="C1350" s="46">
        <v>2003</v>
      </c>
      <c r="D1350" s="52" t="s">
        <v>658</v>
      </c>
      <c r="E1350" s="52" t="s">
        <v>298</v>
      </c>
      <c r="F1350" s="52" t="s">
        <v>1010</v>
      </c>
      <c r="G1350" s="52"/>
      <c r="H1350" s="52" t="s">
        <v>40</v>
      </c>
      <c r="I1350" s="52"/>
      <c r="J1350" s="56">
        <v>37758</v>
      </c>
      <c r="K1350" s="52" t="s">
        <v>587</v>
      </c>
      <c r="L1350" s="52" t="s">
        <v>3</v>
      </c>
      <c r="M1350" s="52" t="s">
        <v>629</v>
      </c>
      <c r="N1350" s="57">
        <v>1</v>
      </c>
      <c r="O1350" s="57">
        <v>0</v>
      </c>
      <c r="P1350" s="52" t="s">
        <v>1407</v>
      </c>
      <c r="Q1350" s="46" t="s">
        <v>1263</v>
      </c>
      <c r="R1350" s="46" t="s">
        <v>1264</v>
      </c>
      <c r="S1350" s="52"/>
      <c r="T1350" s="52"/>
      <c r="U1350" s="52"/>
      <c r="V1350" s="52"/>
      <c r="W1350" s="52"/>
      <c r="X1350" s="52"/>
      <c r="Y1350" s="52"/>
      <c r="Z1350" s="57"/>
      <c r="AA1350" s="52"/>
      <c r="AB1350" s="52"/>
      <c r="AC1350" s="52"/>
      <c r="AD1350" s="52"/>
      <c r="AE1350" s="50">
        <f>IF(L1350="W",1,0)</f>
        <v>1</v>
      </c>
      <c r="AF1350" s="50">
        <f>IF(L1350="T",1,0)</f>
        <v>0</v>
      </c>
      <c r="AG1350" s="50">
        <f>IF(L1350="L",1,0)</f>
        <v>0</v>
      </c>
      <c r="AH1350" s="52" t="s">
        <v>1017</v>
      </c>
      <c r="AI1350" s="52" t="s">
        <v>1018</v>
      </c>
      <c r="AJ1350" s="52" t="s">
        <v>376</v>
      </c>
      <c r="AK1350" s="50" t="s">
        <v>658</v>
      </c>
      <c r="AL1350" s="52" t="s">
        <v>629</v>
      </c>
      <c r="AM1350" s="52" t="s">
        <v>1199</v>
      </c>
      <c r="AN1350" s="52" t="s">
        <v>376</v>
      </c>
      <c r="AO1350" s="50" t="s">
        <v>658</v>
      </c>
      <c r="AP1350" s="52"/>
      <c r="AQ1350" s="52">
        <v>1</v>
      </c>
      <c r="AR1350" s="52"/>
      <c r="AS1350" s="52" t="s">
        <v>1393</v>
      </c>
      <c r="AU1350" s="52" t="s">
        <v>376</v>
      </c>
      <c r="AV1350" s="52"/>
      <c r="AW1350" s="52" t="s">
        <v>30</v>
      </c>
      <c r="AX1350" s="52"/>
      <c r="AY1350" s="57" t="s">
        <v>30</v>
      </c>
      <c r="AZ1350" s="52"/>
      <c r="BA1350" s="52"/>
      <c r="BB1350" s="60" t="s">
        <v>30</v>
      </c>
      <c r="BC1350" s="52" t="s">
        <v>30</v>
      </c>
      <c r="BD1350" s="60"/>
      <c r="BE1350" s="60"/>
      <c r="BF1350" s="35">
        <v>1</v>
      </c>
      <c r="BG1350" s="52">
        <v>1</v>
      </c>
      <c r="BH1350" s="52"/>
      <c r="BI1350" s="52" t="s">
        <v>587</v>
      </c>
      <c r="BJ1350" s="52" t="s">
        <v>629</v>
      </c>
      <c r="BK1350" s="52">
        <v>2003</v>
      </c>
      <c r="BL1350" s="46" t="str">
        <f>BK1350&amp;BI1350</f>
        <v>2003Arsenal</v>
      </c>
      <c r="BM1350" s="52" t="str">
        <f>IF(AD1350="Home",BI1350,IF(AD1350="Away",BJ1350,Q1350))</f>
        <v>Cardiff</v>
      </c>
      <c r="BN1350" s="52"/>
      <c r="BO1350" s="52"/>
      <c r="BP1350" s="52"/>
      <c r="BQ1350" s="52"/>
      <c r="BR1350" s="52"/>
      <c r="BS1350" s="52"/>
      <c r="BT1350" s="52"/>
      <c r="BU1350" s="52"/>
      <c r="BV1350" s="52" t="s">
        <v>376</v>
      </c>
      <c r="BW1350" s="52" t="s">
        <v>376</v>
      </c>
      <c r="BX1350" s="52"/>
      <c r="BZ1350" s="53"/>
      <c r="CA1350" s="53"/>
      <c r="CB1350" s="93" t="str">
        <f>IF(OR(C1350="",A1350="",B1350=""),"",TEXT(C1350,"0000")&amp;TEXT(A1350,"00")&amp;TEXT(B1350,"00"))</f>
        <v>20030517</v>
      </c>
    </row>
    <row r="1351" spans="1:80" s="46" customFormat="1" ht="12.95" customHeight="1" x14ac:dyDescent="0.2">
      <c r="A1351" s="46">
        <v>5</v>
      </c>
      <c r="B1351" s="46">
        <v>17</v>
      </c>
      <c r="C1351" s="46">
        <v>2003</v>
      </c>
      <c r="D1351" s="52" t="s">
        <v>658</v>
      </c>
      <c r="E1351" s="52" t="s">
        <v>298</v>
      </c>
      <c r="F1351" s="52" t="s">
        <v>1010</v>
      </c>
      <c r="G1351" s="52"/>
      <c r="H1351" s="52" t="s">
        <v>40</v>
      </c>
      <c r="I1351" s="52"/>
      <c r="J1351" s="56">
        <v>37758</v>
      </c>
      <c r="K1351" s="52" t="s">
        <v>629</v>
      </c>
      <c r="L1351" s="52" t="s">
        <v>4</v>
      </c>
      <c r="M1351" s="52" t="s">
        <v>587</v>
      </c>
      <c r="N1351" s="57">
        <v>0</v>
      </c>
      <c r="O1351" s="57">
        <v>1</v>
      </c>
      <c r="P1351" s="52" t="s">
        <v>1407</v>
      </c>
      <c r="Q1351" s="46" t="s">
        <v>1263</v>
      </c>
      <c r="R1351" s="46" t="s">
        <v>1264</v>
      </c>
      <c r="S1351" s="52"/>
      <c r="T1351" s="52"/>
      <c r="U1351" s="52"/>
      <c r="V1351" s="52"/>
      <c r="W1351" s="52"/>
      <c r="X1351" s="52"/>
      <c r="Y1351" s="52"/>
      <c r="Z1351" s="57"/>
      <c r="AA1351" s="52"/>
      <c r="AB1351" s="52"/>
      <c r="AC1351" s="52"/>
      <c r="AD1351" s="52"/>
      <c r="AE1351" s="50">
        <f>IF(L1351="W",1,0)</f>
        <v>0</v>
      </c>
      <c r="AF1351" s="50">
        <f>IF(L1351="T",1,0)</f>
        <v>0</v>
      </c>
      <c r="AG1351" s="50">
        <f>IF(L1351="L",1,0)</f>
        <v>1</v>
      </c>
      <c r="AH1351" s="52" t="s">
        <v>629</v>
      </c>
      <c r="AI1351" s="52" t="s">
        <v>1199</v>
      </c>
      <c r="AJ1351" s="52" t="s">
        <v>376</v>
      </c>
      <c r="AK1351" s="50" t="s">
        <v>658</v>
      </c>
      <c r="AL1351" s="52" t="s">
        <v>1017</v>
      </c>
      <c r="AM1351" s="52" t="s">
        <v>1018</v>
      </c>
      <c r="AN1351" s="52" t="s">
        <v>376</v>
      </c>
      <c r="AO1351" s="50" t="s">
        <v>658</v>
      </c>
      <c r="AP1351" s="52"/>
      <c r="AQ1351" s="52">
        <v>1</v>
      </c>
      <c r="AR1351" s="52"/>
      <c r="AS1351" s="52">
        <v>1</v>
      </c>
      <c r="AU1351" s="52" t="s">
        <v>376</v>
      </c>
      <c r="AV1351" s="52"/>
      <c r="AW1351" s="52" t="s">
        <v>30</v>
      </c>
      <c r="AX1351" s="52"/>
      <c r="AY1351" s="52" t="s">
        <v>30</v>
      </c>
      <c r="AZ1351" s="52"/>
      <c r="BA1351" s="52"/>
      <c r="BB1351" s="60"/>
      <c r="BC1351" s="52" t="s">
        <v>30</v>
      </c>
      <c r="BD1351" s="60"/>
      <c r="BE1351" s="60" t="s">
        <v>1400</v>
      </c>
      <c r="BF1351" s="35">
        <v>1</v>
      </c>
      <c r="BG1351" s="52">
        <v>1</v>
      </c>
      <c r="BH1351" s="52"/>
      <c r="BI1351" s="52" t="s">
        <v>629</v>
      </c>
      <c r="BJ1351" s="52" t="s">
        <v>587</v>
      </c>
      <c r="BK1351" s="52">
        <v>2003</v>
      </c>
      <c r="BL1351" s="46" t="str">
        <f>BK1351&amp;BI1351</f>
        <v>2003Southampton</v>
      </c>
      <c r="BM1351" s="52" t="str">
        <f>IF(AD1351="Home",BI1351,IF(AD1351="Away",BJ1351,Q1351))</f>
        <v>Cardiff</v>
      </c>
      <c r="BN1351" s="52"/>
      <c r="BO1351" s="52"/>
      <c r="BP1351" s="52"/>
      <c r="BQ1351" s="52"/>
      <c r="BR1351" s="52"/>
      <c r="BS1351" s="52"/>
      <c r="BT1351" s="52"/>
      <c r="BU1351" s="52"/>
      <c r="BV1351" s="52" t="s">
        <v>376</v>
      </c>
      <c r="BW1351" s="52" t="s">
        <v>376</v>
      </c>
      <c r="BX1351" s="52"/>
      <c r="BZ1351" s="53"/>
      <c r="CA1351" s="53"/>
      <c r="CB1351" s="93" t="str">
        <f>IF(OR(C1351="",A1351="",B1351=""),"",TEXT(C1351,"0000")&amp;TEXT(A1351,"00")&amp;TEXT(B1351,"00"))</f>
        <v>20030517</v>
      </c>
    </row>
    <row r="1352" spans="1:80" s="46" customFormat="1" ht="12.95" customHeight="1" x14ac:dyDescent="0.2">
      <c r="A1352" s="46">
        <v>1</v>
      </c>
      <c r="B1352" s="46">
        <v>20</v>
      </c>
      <c r="C1352" s="46">
        <v>2004</v>
      </c>
      <c r="D1352" s="52" t="s">
        <v>658</v>
      </c>
      <c r="E1352" s="52" t="s">
        <v>294</v>
      </c>
      <c r="F1352" s="52" t="s">
        <v>1327</v>
      </c>
      <c r="G1352" s="52"/>
      <c r="H1352" s="52" t="s">
        <v>1011</v>
      </c>
      <c r="I1352" s="52">
        <v>1</v>
      </c>
      <c r="J1352" s="56">
        <v>38006</v>
      </c>
      <c r="K1352" s="52" t="s">
        <v>587</v>
      </c>
      <c r="L1352" s="52" t="s">
        <v>4</v>
      </c>
      <c r="M1352" s="52" t="s">
        <v>1366</v>
      </c>
      <c r="N1352" s="57">
        <v>0</v>
      </c>
      <c r="O1352" s="57">
        <v>1</v>
      </c>
      <c r="P1352" s="52" t="s">
        <v>1281</v>
      </c>
      <c r="Q1352" s="52" t="s">
        <v>1017</v>
      </c>
      <c r="R1352" s="52" t="s">
        <v>376</v>
      </c>
      <c r="S1352" s="52"/>
      <c r="T1352" s="52"/>
      <c r="U1352" s="52"/>
      <c r="V1352" s="52"/>
      <c r="W1352" s="52"/>
      <c r="X1352" s="52"/>
      <c r="Y1352" s="52"/>
      <c r="Z1352" s="57"/>
      <c r="AA1352" s="58">
        <v>0</v>
      </c>
      <c r="AB1352" s="58">
        <v>1</v>
      </c>
      <c r="AC1352" s="59">
        <v>0</v>
      </c>
      <c r="AD1352" s="52" t="s">
        <v>1033</v>
      </c>
      <c r="AE1352" s="50">
        <f>IF(L1352="W",1,0)</f>
        <v>0</v>
      </c>
      <c r="AF1352" s="50">
        <f>IF(L1352="T",1,0)</f>
        <v>0</v>
      </c>
      <c r="AG1352" s="50">
        <f>IF(L1352="L",1,0)</f>
        <v>1</v>
      </c>
      <c r="AH1352" s="52" t="s">
        <v>1017</v>
      </c>
      <c r="AI1352" s="52" t="s">
        <v>1018</v>
      </c>
      <c r="AJ1352" s="52" t="s">
        <v>376</v>
      </c>
      <c r="AK1352" s="50" t="s">
        <v>658</v>
      </c>
      <c r="AL1352" s="52" t="s">
        <v>1366</v>
      </c>
      <c r="AM1352" s="52" t="s">
        <v>1317</v>
      </c>
      <c r="AN1352" s="52" t="s">
        <v>376</v>
      </c>
      <c r="AO1352" s="50" t="s">
        <v>658</v>
      </c>
      <c r="AP1352" s="52"/>
      <c r="AQ1352" s="52">
        <v>2</v>
      </c>
      <c r="AR1352" s="52"/>
      <c r="AS1352" s="52"/>
      <c r="AU1352" s="52" t="s">
        <v>376</v>
      </c>
      <c r="AV1352" s="52"/>
      <c r="AW1352" s="52" t="s">
        <v>30</v>
      </c>
      <c r="AX1352" s="52"/>
      <c r="AY1352" s="52"/>
      <c r="AZ1352" s="52" t="s">
        <v>30</v>
      </c>
      <c r="BA1352" s="52"/>
      <c r="BB1352" s="60"/>
      <c r="BC1352" s="52"/>
      <c r="BD1352" s="60"/>
      <c r="BE1352" s="60"/>
      <c r="BF1352" s="35">
        <v>1</v>
      </c>
      <c r="BG1352" s="52">
        <v>1</v>
      </c>
      <c r="BH1352" s="52"/>
      <c r="BI1352" s="52" t="s">
        <v>587</v>
      </c>
      <c r="BJ1352" s="52" t="s">
        <v>1366</v>
      </c>
      <c r="BK1352" s="52">
        <v>2004</v>
      </c>
      <c r="BL1352" s="46" t="str">
        <f>BK1352&amp;BI1352</f>
        <v>2004Arsenal</v>
      </c>
      <c r="BM1352" s="52" t="str">
        <f>IF(AD1352="Home",BI1352,IF(AD1352="Away",BJ1352,Q1352))</f>
        <v>Arsenal</v>
      </c>
      <c r="BN1352" s="52"/>
      <c r="BO1352" s="52"/>
      <c r="BP1352" s="52"/>
      <c r="BQ1352" s="52"/>
      <c r="BR1352" s="52"/>
      <c r="BS1352" s="52"/>
      <c r="BT1352" s="52"/>
      <c r="BU1352" s="52"/>
      <c r="BV1352" s="52" t="s">
        <v>376</v>
      </c>
      <c r="BW1352" s="52" t="s">
        <v>376</v>
      </c>
      <c r="BX1352" s="52"/>
      <c r="BY1352" s="52"/>
      <c r="BZ1352" s="53"/>
      <c r="CA1352" s="53"/>
      <c r="CB1352" s="93" t="str">
        <f>IF(OR(C1352="",A1352="",B1352=""),"",TEXT(C1352,"0000")&amp;TEXT(A1352,"00")&amp;TEXT(B1352,"00"))</f>
        <v>20040120</v>
      </c>
    </row>
    <row r="1353" spans="1:80" s="46" customFormat="1" ht="12.95" customHeight="1" x14ac:dyDescent="0.2">
      <c r="A1353" s="46">
        <v>1</v>
      </c>
      <c r="B1353" s="46">
        <v>20</v>
      </c>
      <c r="C1353" s="46">
        <v>2004</v>
      </c>
      <c r="D1353" s="52" t="s">
        <v>658</v>
      </c>
      <c r="E1353" s="52" t="s">
        <v>294</v>
      </c>
      <c r="F1353" s="52" t="s">
        <v>1327</v>
      </c>
      <c r="G1353" s="52"/>
      <c r="H1353" s="52" t="s">
        <v>1011</v>
      </c>
      <c r="I1353" s="52">
        <v>1</v>
      </c>
      <c r="J1353" s="56">
        <v>38006</v>
      </c>
      <c r="K1353" s="52" t="s">
        <v>1366</v>
      </c>
      <c r="L1353" s="52" t="s">
        <v>3</v>
      </c>
      <c r="M1353" s="52" t="s">
        <v>587</v>
      </c>
      <c r="N1353" s="57">
        <v>1</v>
      </c>
      <c r="O1353" s="57">
        <v>0</v>
      </c>
      <c r="P1353" s="52" t="s">
        <v>1281</v>
      </c>
      <c r="Q1353" s="52" t="s">
        <v>1017</v>
      </c>
      <c r="R1353" s="52" t="s">
        <v>376</v>
      </c>
      <c r="S1353" s="52"/>
      <c r="T1353" s="52"/>
      <c r="U1353" s="52"/>
      <c r="V1353" s="52"/>
      <c r="W1353" s="52"/>
      <c r="X1353" s="52"/>
      <c r="Y1353" s="52"/>
      <c r="Z1353" s="57"/>
      <c r="AA1353" s="58">
        <v>1</v>
      </c>
      <c r="AB1353" s="58">
        <v>0</v>
      </c>
      <c r="AC1353" s="59">
        <v>1</v>
      </c>
      <c r="AD1353" s="52" t="s">
        <v>1037</v>
      </c>
      <c r="AE1353" s="50">
        <f>IF(L1353="W",1,0)</f>
        <v>1</v>
      </c>
      <c r="AF1353" s="50">
        <f>IF(L1353="T",1,0)</f>
        <v>0</v>
      </c>
      <c r="AG1353" s="50">
        <f>IF(L1353="L",1,0)</f>
        <v>0</v>
      </c>
      <c r="AH1353" s="52" t="s">
        <v>1366</v>
      </c>
      <c r="AI1353" s="52" t="s">
        <v>1317</v>
      </c>
      <c r="AJ1353" s="52" t="s">
        <v>376</v>
      </c>
      <c r="AK1353" s="50" t="s">
        <v>658</v>
      </c>
      <c r="AL1353" s="52" t="s">
        <v>1017</v>
      </c>
      <c r="AM1353" s="52" t="s">
        <v>1018</v>
      </c>
      <c r="AN1353" s="52" t="s">
        <v>376</v>
      </c>
      <c r="AO1353" s="50" t="s">
        <v>658</v>
      </c>
      <c r="AP1353" s="52"/>
      <c r="AQ1353" s="52">
        <v>2</v>
      </c>
      <c r="AR1353" s="52"/>
      <c r="AS1353" s="52"/>
      <c r="AU1353" s="52" t="s">
        <v>376</v>
      </c>
      <c r="AV1353" s="52"/>
      <c r="AW1353" s="52" t="s">
        <v>30</v>
      </c>
      <c r="AX1353" s="52"/>
      <c r="AY1353" s="52"/>
      <c r="AZ1353" s="52" t="s">
        <v>30</v>
      </c>
      <c r="BA1353" s="52"/>
      <c r="BB1353" s="60"/>
      <c r="BC1353" s="52"/>
      <c r="BD1353" s="60"/>
      <c r="BE1353" s="60"/>
      <c r="BF1353" s="35">
        <v>1</v>
      </c>
      <c r="BG1353" s="52">
        <v>1</v>
      </c>
      <c r="BH1353" s="52"/>
      <c r="BI1353" s="52" t="s">
        <v>1366</v>
      </c>
      <c r="BJ1353" s="52" t="s">
        <v>587</v>
      </c>
      <c r="BK1353" s="52">
        <v>2004</v>
      </c>
      <c r="BL1353" s="46" t="str">
        <f>BK1353&amp;BI1353</f>
        <v>2004Middlesbrough</v>
      </c>
      <c r="BM1353" s="52" t="str">
        <f>IF(AD1353="Home",BI1353,IF(AD1353="Away",BJ1353,Q1353))</f>
        <v>Arsenal</v>
      </c>
      <c r="BN1353" s="52"/>
      <c r="BO1353" s="52"/>
      <c r="BP1353" s="52"/>
      <c r="BQ1353" s="52"/>
      <c r="BR1353" s="52"/>
      <c r="BS1353" s="52"/>
      <c r="BT1353" s="52"/>
      <c r="BU1353" s="52"/>
      <c r="BV1353" s="52" t="s">
        <v>376</v>
      </c>
      <c r="BW1353" s="52" t="s">
        <v>376</v>
      </c>
      <c r="BX1353" s="52"/>
      <c r="BY1353" s="52"/>
      <c r="BZ1353" s="53"/>
      <c r="CA1353" s="53"/>
      <c r="CB1353" s="93" t="str">
        <f>IF(OR(C1353="",A1353="",B1353=""),"",TEXT(C1353,"0000")&amp;TEXT(A1353,"00")&amp;TEXT(B1353,"00"))</f>
        <v>20040120</v>
      </c>
    </row>
    <row r="1354" spans="1:80" s="46" customFormat="1" ht="12.95" customHeight="1" x14ac:dyDescent="0.2">
      <c r="A1354" s="46">
        <v>1</v>
      </c>
      <c r="B1354" s="46">
        <v>21</v>
      </c>
      <c r="C1354" s="46">
        <v>2004</v>
      </c>
      <c r="D1354" s="52" t="s">
        <v>658</v>
      </c>
      <c r="E1354" s="52" t="s">
        <v>294</v>
      </c>
      <c r="F1354" s="52" t="s">
        <v>1327</v>
      </c>
      <c r="G1354" s="52"/>
      <c r="H1354" s="52" t="s">
        <v>1011</v>
      </c>
      <c r="I1354" s="52">
        <v>1</v>
      </c>
      <c r="J1354" s="56">
        <v>38007</v>
      </c>
      <c r="K1354" s="52" t="s">
        <v>1157</v>
      </c>
      <c r="L1354" s="52" t="s">
        <v>3</v>
      </c>
      <c r="M1354" s="52" t="s">
        <v>806</v>
      </c>
      <c r="N1354" s="57">
        <v>5</v>
      </c>
      <c r="O1354" s="57">
        <v>2</v>
      </c>
      <c r="P1354" s="52" t="s">
        <v>1406</v>
      </c>
      <c r="Q1354" s="52" t="s">
        <v>1101</v>
      </c>
      <c r="R1354" s="52" t="s">
        <v>376</v>
      </c>
      <c r="S1354" s="52"/>
      <c r="T1354" s="52"/>
      <c r="U1354" s="52"/>
      <c r="V1354" s="52"/>
      <c r="W1354" s="52"/>
      <c r="X1354" s="52"/>
      <c r="Y1354" s="52"/>
      <c r="Z1354" s="57"/>
      <c r="AA1354" s="58">
        <v>5</v>
      </c>
      <c r="AB1354" s="58">
        <v>2</v>
      </c>
      <c r="AC1354" s="59">
        <v>0</v>
      </c>
      <c r="AD1354" s="52" t="s">
        <v>1033</v>
      </c>
      <c r="AE1354" s="50">
        <f>IF(L1354="W",1,0)</f>
        <v>1</v>
      </c>
      <c r="AF1354" s="50">
        <f>IF(L1354="T",1,0)</f>
        <v>0</v>
      </c>
      <c r="AG1354" s="50">
        <f>IF(L1354="L",1,0)</f>
        <v>0</v>
      </c>
      <c r="AH1354" s="52" t="s">
        <v>1101</v>
      </c>
      <c r="AI1354" s="52" t="s">
        <v>1159</v>
      </c>
      <c r="AJ1354" s="52" t="s">
        <v>376</v>
      </c>
      <c r="AK1354" s="50" t="s">
        <v>658</v>
      </c>
      <c r="AL1354" s="52" t="s">
        <v>1111</v>
      </c>
      <c r="AM1354" s="52" t="s">
        <v>1126</v>
      </c>
      <c r="AN1354" s="52" t="s">
        <v>376</v>
      </c>
      <c r="AO1354" s="50" t="s">
        <v>658</v>
      </c>
      <c r="AP1354" s="52"/>
      <c r="AQ1354" s="52">
        <v>2</v>
      </c>
      <c r="AR1354" s="52"/>
      <c r="AS1354" s="52"/>
      <c r="AU1354" s="52" t="s">
        <v>376</v>
      </c>
      <c r="AV1354" s="52"/>
      <c r="AW1354" s="52" t="s">
        <v>30</v>
      </c>
      <c r="AX1354" s="52"/>
      <c r="AY1354" s="52"/>
      <c r="AZ1354" s="52" t="s">
        <v>30</v>
      </c>
      <c r="BA1354" s="52"/>
      <c r="BB1354" s="60"/>
      <c r="BC1354" s="52"/>
      <c r="BD1354" s="60"/>
      <c r="BE1354" s="60"/>
      <c r="BF1354" s="35">
        <v>1</v>
      </c>
      <c r="BG1354" s="52">
        <v>1</v>
      </c>
      <c r="BH1354" s="52"/>
      <c r="BI1354" s="52" t="s">
        <v>1157</v>
      </c>
      <c r="BJ1354" s="52" t="s">
        <v>806</v>
      </c>
      <c r="BK1354" s="52">
        <v>2004</v>
      </c>
      <c r="BL1354" s="46" t="str">
        <f>BK1354&amp;BI1354</f>
        <v>2004Bolton Wanderers</v>
      </c>
      <c r="BM1354" s="52" t="str">
        <f>IF(AD1354="Home",BI1354,IF(AD1354="Away",BJ1354,Q1354))</f>
        <v>Bolton Wanderers</v>
      </c>
      <c r="BN1354" s="52"/>
      <c r="BO1354" s="52"/>
      <c r="BP1354" s="52"/>
      <c r="BQ1354" s="52"/>
      <c r="BR1354" s="52"/>
      <c r="BS1354" s="52"/>
      <c r="BT1354" s="52"/>
      <c r="BU1354" s="52"/>
      <c r="BV1354" s="52" t="s">
        <v>376</v>
      </c>
      <c r="BW1354" s="52" t="s">
        <v>376</v>
      </c>
      <c r="BX1354" s="52"/>
      <c r="BY1354" s="52"/>
      <c r="BZ1354" s="53"/>
      <c r="CA1354" s="53"/>
      <c r="CB1354" s="93" t="str">
        <f>IF(OR(C1354="",A1354="",B1354=""),"",TEXT(C1354,"0000")&amp;TEXT(A1354,"00")&amp;TEXT(B1354,"00"))</f>
        <v>20040121</v>
      </c>
    </row>
    <row r="1355" spans="1:80" s="46" customFormat="1" ht="12.95" customHeight="1" x14ac:dyDescent="0.2">
      <c r="A1355" s="46">
        <v>1</v>
      </c>
      <c r="B1355" s="46">
        <v>21</v>
      </c>
      <c r="C1355" s="46">
        <v>2004</v>
      </c>
      <c r="D1355" s="52" t="s">
        <v>658</v>
      </c>
      <c r="E1355" s="52" t="s">
        <v>294</v>
      </c>
      <c r="F1355" s="52" t="s">
        <v>1327</v>
      </c>
      <c r="G1355" s="52"/>
      <c r="H1355" s="52" t="s">
        <v>1011</v>
      </c>
      <c r="I1355" s="52">
        <v>1</v>
      </c>
      <c r="J1355" s="56">
        <v>38007</v>
      </c>
      <c r="K1355" s="52" t="s">
        <v>806</v>
      </c>
      <c r="L1355" s="52" t="s">
        <v>4</v>
      </c>
      <c r="M1355" s="52" t="s">
        <v>1157</v>
      </c>
      <c r="N1355" s="57">
        <v>2</v>
      </c>
      <c r="O1355" s="57">
        <v>5</v>
      </c>
      <c r="P1355" s="52" t="s">
        <v>1406</v>
      </c>
      <c r="Q1355" s="52" t="s">
        <v>1101</v>
      </c>
      <c r="R1355" s="52" t="s">
        <v>376</v>
      </c>
      <c r="S1355" s="52"/>
      <c r="T1355" s="52"/>
      <c r="U1355" s="52"/>
      <c r="V1355" s="52"/>
      <c r="W1355" s="52"/>
      <c r="X1355" s="52"/>
      <c r="Y1355" s="52"/>
      <c r="Z1355" s="57"/>
      <c r="AA1355" s="58">
        <v>2</v>
      </c>
      <c r="AB1355" s="58">
        <v>5</v>
      </c>
      <c r="AC1355" s="59">
        <v>2</v>
      </c>
      <c r="AD1355" s="52" t="s">
        <v>1037</v>
      </c>
      <c r="AE1355" s="50">
        <f>IF(L1355="W",1,0)</f>
        <v>0</v>
      </c>
      <c r="AF1355" s="50">
        <f>IF(L1355="T",1,0)</f>
        <v>0</v>
      </c>
      <c r="AG1355" s="50">
        <f>IF(L1355="L",1,0)</f>
        <v>1</v>
      </c>
      <c r="AH1355" s="52" t="s">
        <v>1111</v>
      </c>
      <c r="AI1355" s="52" t="s">
        <v>1126</v>
      </c>
      <c r="AJ1355" s="52" t="s">
        <v>376</v>
      </c>
      <c r="AK1355" s="50" t="s">
        <v>658</v>
      </c>
      <c r="AL1355" s="52" t="s">
        <v>1101</v>
      </c>
      <c r="AM1355" s="52" t="s">
        <v>1159</v>
      </c>
      <c r="AN1355" s="52" t="s">
        <v>376</v>
      </c>
      <c r="AO1355" s="50" t="s">
        <v>658</v>
      </c>
      <c r="AP1355" s="52"/>
      <c r="AQ1355" s="52">
        <v>2</v>
      </c>
      <c r="AR1355" s="52"/>
      <c r="AS1355" s="52"/>
      <c r="AU1355" s="52" t="s">
        <v>376</v>
      </c>
      <c r="AV1355" s="52"/>
      <c r="AW1355" s="52" t="s">
        <v>30</v>
      </c>
      <c r="AX1355" s="52"/>
      <c r="AY1355" s="52"/>
      <c r="AZ1355" s="52" t="s">
        <v>30</v>
      </c>
      <c r="BA1355" s="52"/>
      <c r="BB1355" s="60"/>
      <c r="BC1355" s="52"/>
      <c r="BD1355" s="60"/>
      <c r="BE1355" s="60"/>
      <c r="BF1355" s="35">
        <v>1</v>
      </c>
      <c r="BG1355" s="52">
        <v>1</v>
      </c>
      <c r="BH1355" s="52"/>
      <c r="BI1355" s="52" t="s">
        <v>806</v>
      </c>
      <c r="BJ1355" s="52" t="s">
        <v>1157</v>
      </c>
      <c r="BK1355" s="52">
        <v>2004</v>
      </c>
      <c r="BL1355" s="46" t="str">
        <f>BK1355&amp;BI1355</f>
        <v>2004Aston Villa</v>
      </c>
      <c r="BM1355" s="52" t="str">
        <f>IF(AD1355="Home",BI1355,IF(AD1355="Away",BJ1355,Q1355))</f>
        <v>Bolton Wanderers</v>
      </c>
      <c r="BN1355" s="52"/>
      <c r="BO1355" s="52"/>
      <c r="BP1355" s="52"/>
      <c r="BQ1355" s="52"/>
      <c r="BR1355" s="52"/>
      <c r="BS1355" s="52"/>
      <c r="BT1355" s="52"/>
      <c r="BU1355" s="52"/>
      <c r="BV1355" s="52" t="s">
        <v>376</v>
      </c>
      <c r="BW1355" s="52" t="s">
        <v>376</v>
      </c>
      <c r="BX1355" s="52"/>
      <c r="BY1355" s="52"/>
      <c r="BZ1355" s="53"/>
      <c r="CA1355" s="53"/>
      <c r="CB1355" s="93" t="str">
        <f>IF(OR(C1355="",A1355="",B1355=""),"",TEXT(C1355,"0000")&amp;TEXT(A1355,"00")&amp;TEXT(B1355,"00"))</f>
        <v>20040121</v>
      </c>
    </row>
    <row r="1356" spans="1:80" s="46" customFormat="1" ht="12.95" customHeight="1" x14ac:dyDescent="0.2">
      <c r="A1356" s="46">
        <v>1</v>
      </c>
      <c r="B1356" s="46">
        <v>27</v>
      </c>
      <c r="C1356" s="46">
        <v>2004</v>
      </c>
      <c r="D1356" s="52" t="s">
        <v>658</v>
      </c>
      <c r="E1356" s="52" t="s">
        <v>294</v>
      </c>
      <c r="F1356" s="52" t="s">
        <v>1327</v>
      </c>
      <c r="G1356" s="52"/>
      <c r="H1356" s="52" t="s">
        <v>1011</v>
      </c>
      <c r="I1356" s="52">
        <v>2</v>
      </c>
      <c r="J1356" s="56">
        <v>38013</v>
      </c>
      <c r="K1356" s="52" t="s">
        <v>806</v>
      </c>
      <c r="L1356" s="52" t="s">
        <v>3</v>
      </c>
      <c r="M1356" s="52" t="s">
        <v>1157</v>
      </c>
      <c r="N1356" s="57">
        <v>2</v>
      </c>
      <c r="O1356" s="57">
        <v>0</v>
      </c>
      <c r="P1356" s="52" t="s">
        <v>1219</v>
      </c>
      <c r="Q1356" s="52" t="s">
        <v>1111</v>
      </c>
      <c r="R1356" s="52" t="s">
        <v>376</v>
      </c>
      <c r="S1356" s="52"/>
      <c r="T1356" s="52"/>
      <c r="U1356" s="52"/>
      <c r="V1356" s="52"/>
      <c r="W1356" s="52"/>
      <c r="X1356" s="52"/>
      <c r="Y1356" s="52"/>
      <c r="Z1356" s="57"/>
      <c r="AA1356" s="58">
        <v>4</v>
      </c>
      <c r="AB1356" s="58">
        <v>5</v>
      </c>
      <c r="AC1356" s="59">
        <v>2</v>
      </c>
      <c r="AD1356" s="52" t="s">
        <v>1033</v>
      </c>
      <c r="AE1356" s="50">
        <f>IF(L1356="W",1,0)</f>
        <v>1</v>
      </c>
      <c r="AF1356" s="50">
        <f>IF(L1356="T",1,0)</f>
        <v>0</v>
      </c>
      <c r="AG1356" s="50">
        <f>IF(L1356="L",1,0)</f>
        <v>0</v>
      </c>
      <c r="AH1356" s="52" t="s">
        <v>1111</v>
      </c>
      <c r="AI1356" s="52" t="s">
        <v>1126</v>
      </c>
      <c r="AJ1356" s="52" t="s">
        <v>376</v>
      </c>
      <c r="AK1356" s="50" t="s">
        <v>658</v>
      </c>
      <c r="AL1356" s="52" t="s">
        <v>1101</v>
      </c>
      <c r="AM1356" s="52" t="s">
        <v>1159</v>
      </c>
      <c r="AN1356" s="52" t="s">
        <v>376</v>
      </c>
      <c r="AO1356" s="50" t="s">
        <v>658</v>
      </c>
      <c r="AP1356" s="52"/>
      <c r="AQ1356" s="52">
        <v>2</v>
      </c>
      <c r="AR1356" s="52"/>
      <c r="AS1356" s="52">
        <v>1</v>
      </c>
      <c r="AU1356" s="52" t="s">
        <v>376</v>
      </c>
      <c r="AV1356" s="52"/>
      <c r="AW1356" s="52" t="s">
        <v>30</v>
      </c>
      <c r="AX1356" s="52"/>
      <c r="AY1356" s="52"/>
      <c r="AZ1356" s="52" t="s">
        <v>30</v>
      </c>
      <c r="BA1356" s="52"/>
      <c r="BB1356" s="60"/>
      <c r="BC1356" s="52"/>
      <c r="BD1356" s="60"/>
      <c r="BE1356" s="60"/>
      <c r="BF1356" s="35">
        <v>1</v>
      </c>
      <c r="BG1356" s="52">
        <v>1</v>
      </c>
      <c r="BH1356" s="52"/>
      <c r="BI1356" s="52" t="s">
        <v>806</v>
      </c>
      <c r="BJ1356" s="52" t="s">
        <v>1157</v>
      </c>
      <c r="BK1356" s="52">
        <v>2004</v>
      </c>
      <c r="BL1356" s="46" t="str">
        <f>BK1356&amp;BI1356</f>
        <v>2004Aston Villa</v>
      </c>
      <c r="BM1356" s="52" t="str">
        <f>IF(AD1356="Home",BI1356,IF(AD1356="Away",BJ1356,Q1356))</f>
        <v>Aston Villa</v>
      </c>
      <c r="BN1356" s="52"/>
      <c r="BO1356" s="52"/>
      <c r="BP1356" s="52"/>
      <c r="BQ1356" s="52"/>
      <c r="BR1356" s="52"/>
      <c r="BS1356" s="52"/>
      <c r="BT1356" s="52"/>
      <c r="BU1356" s="52"/>
      <c r="BV1356" s="52" t="s">
        <v>376</v>
      </c>
      <c r="BW1356" s="52" t="s">
        <v>376</v>
      </c>
      <c r="BX1356" s="52"/>
      <c r="BY1356" s="52"/>
      <c r="BZ1356" s="53"/>
      <c r="CA1356" s="53"/>
      <c r="CB1356" s="93" t="str">
        <f>IF(OR(C1356="",A1356="",B1356=""),"",TEXT(C1356,"0000")&amp;TEXT(A1356,"00")&amp;TEXT(B1356,"00"))</f>
        <v>20040127</v>
      </c>
    </row>
    <row r="1357" spans="1:80" s="46" customFormat="1" ht="12.95" customHeight="1" x14ac:dyDescent="0.2">
      <c r="A1357" s="46">
        <v>1</v>
      </c>
      <c r="B1357" s="46">
        <v>27</v>
      </c>
      <c r="C1357" s="46">
        <v>2004</v>
      </c>
      <c r="D1357" s="52" t="s">
        <v>658</v>
      </c>
      <c r="E1357" s="52" t="s">
        <v>294</v>
      </c>
      <c r="F1357" s="52" t="s">
        <v>1327</v>
      </c>
      <c r="G1357" s="52"/>
      <c r="H1357" s="52" t="s">
        <v>1011</v>
      </c>
      <c r="I1357" s="52">
        <v>2</v>
      </c>
      <c r="J1357" s="56">
        <v>38013</v>
      </c>
      <c r="K1357" s="52" t="s">
        <v>1157</v>
      </c>
      <c r="L1357" s="52" t="s">
        <v>4</v>
      </c>
      <c r="M1357" s="52" t="s">
        <v>806</v>
      </c>
      <c r="N1357" s="57">
        <v>0</v>
      </c>
      <c r="O1357" s="57">
        <v>2</v>
      </c>
      <c r="P1357" s="52" t="s">
        <v>1219</v>
      </c>
      <c r="Q1357" s="52" t="s">
        <v>1111</v>
      </c>
      <c r="R1357" s="52" t="s">
        <v>376</v>
      </c>
      <c r="S1357" s="52"/>
      <c r="T1357" s="52"/>
      <c r="U1357" s="52"/>
      <c r="V1357" s="52"/>
      <c r="W1357" s="52"/>
      <c r="X1357" s="52"/>
      <c r="Y1357" s="52"/>
      <c r="Z1357" s="57"/>
      <c r="AA1357" s="58">
        <v>5</v>
      </c>
      <c r="AB1357" s="58">
        <v>4</v>
      </c>
      <c r="AC1357" s="59">
        <v>0</v>
      </c>
      <c r="AD1357" s="52" t="s">
        <v>1037</v>
      </c>
      <c r="AE1357" s="50">
        <f>IF(L1357="W",1,0)</f>
        <v>0</v>
      </c>
      <c r="AF1357" s="50">
        <f>IF(L1357="T",1,0)</f>
        <v>0</v>
      </c>
      <c r="AG1357" s="50">
        <f>IF(L1357="L",1,0)</f>
        <v>1</v>
      </c>
      <c r="AH1357" s="52" t="s">
        <v>1101</v>
      </c>
      <c r="AI1357" s="52" t="s">
        <v>1159</v>
      </c>
      <c r="AJ1357" s="52" t="s">
        <v>376</v>
      </c>
      <c r="AK1357" s="50" t="s">
        <v>658</v>
      </c>
      <c r="AL1357" s="52" t="s">
        <v>1111</v>
      </c>
      <c r="AM1357" s="52" t="s">
        <v>1126</v>
      </c>
      <c r="AN1357" s="52" t="s">
        <v>376</v>
      </c>
      <c r="AO1357" s="50" t="s">
        <v>658</v>
      </c>
      <c r="AP1357" s="52"/>
      <c r="AQ1357" s="52">
        <v>2</v>
      </c>
      <c r="AR1357" s="52"/>
      <c r="AS1357" s="52"/>
      <c r="AU1357" s="52" t="s">
        <v>376</v>
      </c>
      <c r="AV1357" s="52"/>
      <c r="AW1357" s="52" t="s">
        <v>30</v>
      </c>
      <c r="AX1357" s="52"/>
      <c r="AY1357" s="52"/>
      <c r="AZ1357" s="52" t="s">
        <v>30</v>
      </c>
      <c r="BA1357" s="52"/>
      <c r="BB1357" s="60"/>
      <c r="BC1357" s="52"/>
      <c r="BD1357" s="60"/>
      <c r="BE1357" s="60"/>
      <c r="BF1357" s="35">
        <v>1</v>
      </c>
      <c r="BG1357" s="52">
        <v>1</v>
      </c>
      <c r="BH1357" s="52"/>
      <c r="BI1357" s="52" t="s">
        <v>1157</v>
      </c>
      <c r="BJ1357" s="52" t="s">
        <v>806</v>
      </c>
      <c r="BK1357" s="52">
        <v>2004</v>
      </c>
      <c r="BL1357" s="46" t="str">
        <f>BK1357&amp;BI1357</f>
        <v>2004Bolton Wanderers</v>
      </c>
      <c r="BM1357" s="52" t="str">
        <f>IF(AD1357="Home",BI1357,IF(AD1357="Away",BJ1357,Q1357))</f>
        <v>Aston Villa</v>
      </c>
      <c r="BN1357" s="52"/>
      <c r="BO1357" s="52"/>
      <c r="BP1357" s="52"/>
      <c r="BQ1357" s="52"/>
      <c r="BR1357" s="52"/>
      <c r="BS1357" s="52"/>
      <c r="BT1357" s="52"/>
      <c r="BU1357" s="52"/>
      <c r="BV1357" s="52" t="s">
        <v>376</v>
      </c>
      <c r="BW1357" s="52" t="s">
        <v>376</v>
      </c>
      <c r="BX1357" s="52"/>
      <c r="BY1357" s="52"/>
      <c r="BZ1357" s="53"/>
      <c r="CA1357" s="53"/>
      <c r="CB1357" s="93" t="str">
        <f>IF(OR(C1357="",A1357="",B1357=""),"",TEXT(C1357,"0000")&amp;TEXT(A1357,"00")&amp;TEXT(B1357,"00"))</f>
        <v>20040127</v>
      </c>
    </row>
    <row r="1358" spans="1:80" s="46" customFormat="1" ht="12.95" customHeight="1" x14ac:dyDescent="0.2">
      <c r="A1358" s="46">
        <v>2</v>
      </c>
      <c r="B1358" s="46">
        <v>3</v>
      </c>
      <c r="C1358" s="46">
        <v>2004</v>
      </c>
      <c r="D1358" s="52" t="s">
        <v>658</v>
      </c>
      <c r="E1358" s="52" t="s">
        <v>294</v>
      </c>
      <c r="F1358" s="52" t="s">
        <v>1327</v>
      </c>
      <c r="G1358" s="52"/>
      <c r="H1358" s="52" t="s">
        <v>1011</v>
      </c>
      <c r="I1358" s="52">
        <v>2</v>
      </c>
      <c r="J1358" s="56">
        <v>38020</v>
      </c>
      <c r="K1358" s="52" t="s">
        <v>1366</v>
      </c>
      <c r="L1358" s="52" t="s">
        <v>3</v>
      </c>
      <c r="M1358" s="52" t="s">
        <v>587</v>
      </c>
      <c r="N1358" s="57">
        <v>2</v>
      </c>
      <c r="O1358" s="57">
        <v>1</v>
      </c>
      <c r="P1358" s="52" t="s">
        <v>1403</v>
      </c>
      <c r="Q1358" s="52" t="s">
        <v>1366</v>
      </c>
      <c r="R1358" s="52" t="s">
        <v>376</v>
      </c>
      <c r="S1358" s="52"/>
      <c r="T1358" s="52"/>
      <c r="U1358" s="52"/>
      <c r="V1358" s="52"/>
      <c r="W1358" s="52"/>
      <c r="X1358" s="52"/>
      <c r="Y1358" s="52"/>
      <c r="Z1358" s="57"/>
      <c r="AA1358" s="58">
        <v>3</v>
      </c>
      <c r="AB1358" s="58">
        <v>1</v>
      </c>
      <c r="AC1358" s="59">
        <v>1</v>
      </c>
      <c r="AD1358" s="52" t="s">
        <v>1033</v>
      </c>
      <c r="AE1358" s="50">
        <f>IF(L1358="W",1,0)</f>
        <v>1</v>
      </c>
      <c r="AF1358" s="50">
        <f>IF(L1358="T",1,0)</f>
        <v>0</v>
      </c>
      <c r="AG1358" s="50">
        <f>IF(L1358="L",1,0)</f>
        <v>0</v>
      </c>
      <c r="AH1358" s="52" t="s">
        <v>1366</v>
      </c>
      <c r="AI1358" s="52" t="s">
        <v>1317</v>
      </c>
      <c r="AJ1358" s="52" t="s">
        <v>376</v>
      </c>
      <c r="AK1358" s="50" t="s">
        <v>658</v>
      </c>
      <c r="AL1358" s="52" t="s">
        <v>1017</v>
      </c>
      <c r="AM1358" s="52" t="s">
        <v>1018</v>
      </c>
      <c r="AN1358" s="52" t="s">
        <v>376</v>
      </c>
      <c r="AO1358" s="50" t="s">
        <v>658</v>
      </c>
      <c r="AP1358" s="52"/>
      <c r="AQ1358" s="52">
        <v>2</v>
      </c>
      <c r="AR1358" s="52"/>
      <c r="AS1358" s="52"/>
      <c r="AU1358" s="52" t="s">
        <v>376</v>
      </c>
      <c r="AV1358" s="52"/>
      <c r="AW1358" s="52" t="s">
        <v>30</v>
      </c>
      <c r="AX1358" s="52"/>
      <c r="AY1358" s="52"/>
      <c r="AZ1358" s="52" t="s">
        <v>30</v>
      </c>
      <c r="BA1358" s="52"/>
      <c r="BB1358" s="60"/>
      <c r="BC1358" s="52"/>
      <c r="BD1358" s="60"/>
      <c r="BE1358" s="60"/>
      <c r="BF1358" s="35">
        <v>1</v>
      </c>
      <c r="BG1358" s="52">
        <v>1</v>
      </c>
      <c r="BH1358" s="52"/>
      <c r="BI1358" s="52" t="s">
        <v>1366</v>
      </c>
      <c r="BJ1358" s="52" t="s">
        <v>587</v>
      </c>
      <c r="BK1358" s="52">
        <v>2004</v>
      </c>
      <c r="BL1358" s="46" t="str">
        <f>BK1358&amp;BI1358</f>
        <v>2004Middlesbrough</v>
      </c>
      <c r="BM1358" s="52" t="str">
        <f>IF(AD1358="Home",BI1358,IF(AD1358="Away",BJ1358,Q1358))</f>
        <v>Middlesbrough</v>
      </c>
      <c r="BN1358" s="52"/>
      <c r="BO1358" s="52"/>
      <c r="BP1358" s="52"/>
      <c r="BQ1358" s="52"/>
      <c r="BR1358" s="52"/>
      <c r="BS1358" s="52"/>
      <c r="BT1358" s="52"/>
      <c r="BU1358" s="52"/>
      <c r="BV1358" s="52" t="s">
        <v>376</v>
      </c>
      <c r="BW1358" s="52" t="s">
        <v>376</v>
      </c>
      <c r="BX1358" s="52"/>
      <c r="BY1358" s="52"/>
      <c r="BZ1358" s="53"/>
      <c r="CA1358" s="53"/>
      <c r="CB1358" s="93" t="str">
        <f>IF(OR(C1358="",A1358="",B1358=""),"",TEXT(C1358,"0000")&amp;TEXT(A1358,"00")&amp;TEXT(B1358,"00"))</f>
        <v>20040203</v>
      </c>
    </row>
    <row r="1359" spans="1:80" s="46" customFormat="1" ht="12.95" customHeight="1" x14ac:dyDescent="0.2">
      <c r="A1359" s="46">
        <v>2</v>
      </c>
      <c r="B1359" s="46">
        <v>3</v>
      </c>
      <c r="C1359" s="46">
        <v>2004</v>
      </c>
      <c r="D1359" s="52" t="s">
        <v>658</v>
      </c>
      <c r="E1359" s="52" t="s">
        <v>294</v>
      </c>
      <c r="F1359" s="52" t="s">
        <v>1327</v>
      </c>
      <c r="G1359" s="52"/>
      <c r="H1359" s="52" t="s">
        <v>1011</v>
      </c>
      <c r="I1359" s="52">
        <v>2</v>
      </c>
      <c r="J1359" s="56">
        <v>38020</v>
      </c>
      <c r="K1359" s="52" t="s">
        <v>587</v>
      </c>
      <c r="L1359" s="52" t="s">
        <v>4</v>
      </c>
      <c r="M1359" s="52" t="s">
        <v>1366</v>
      </c>
      <c r="N1359" s="57">
        <v>1</v>
      </c>
      <c r="O1359" s="57">
        <v>2</v>
      </c>
      <c r="P1359" s="52" t="s">
        <v>1403</v>
      </c>
      <c r="Q1359" s="52" t="s">
        <v>1366</v>
      </c>
      <c r="R1359" s="52" t="s">
        <v>376</v>
      </c>
      <c r="S1359" s="52"/>
      <c r="T1359" s="52"/>
      <c r="U1359" s="52"/>
      <c r="V1359" s="52"/>
      <c r="W1359" s="52"/>
      <c r="X1359" s="52"/>
      <c r="Y1359" s="52"/>
      <c r="Z1359" s="57"/>
      <c r="AA1359" s="58">
        <v>1</v>
      </c>
      <c r="AB1359" s="58">
        <v>3</v>
      </c>
      <c r="AC1359" s="59">
        <v>1</v>
      </c>
      <c r="AD1359" s="52" t="s">
        <v>1037</v>
      </c>
      <c r="AE1359" s="50">
        <f>IF(L1359="W",1,0)</f>
        <v>0</v>
      </c>
      <c r="AF1359" s="50">
        <f>IF(L1359="T",1,0)</f>
        <v>0</v>
      </c>
      <c r="AG1359" s="50">
        <f>IF(L1359="L",1,0)</f>
        <v>1</v>
      </c>
      <c r="AH1359" s="52" t="s">
        <v>1017</v>
      </c>
      <c r="AI1359" s="52" t="s">
        <v>1018</v>
      </c>
      <c r="AJ1359" s="52" t="s">
        <v>376</v>
      </c>
      <c r="AK1359" s="50" t="s">
        <v>658</v>
      </c>
      <c r="AL1359" s="52" t="s">
        <v>1366</v>
      </c>
      <c r="AM1359" s="52" t="s">
        <v>1317</v>
      </c>
      <c r="AN1359" s="52" t="s">
        <v>376</v>
      </c>
      <c r="AO1359" s="50" t="s">
        <v>658</v>
      </c>
      <c r="AP1359" s="52"/>
      <c r="AQ1359" s="52">
        <v>2</v>
      </c>
      <c r="AR1359" s="52"/>
      <c r="AS1359" s="52">
        <v>1</v>
      </c>
      <c r="AU1359" s="52" t="s">
        <v>376</v>
      </c>
      <c r="AV1359" s="52"/>
      <c r="AW1359" s="52" t="s">
        <v>30</v>
      </c>
      <c r="AX1359" s="52"/>
      <c r="AY1359" s="52"/>
      <c r="AZ1359" s="52" t="s">
        <v>30</v>
      </c>
      <c r="BA1359" s="52"/>
      <c r="BB1359" s="60"/>
      <c r="BC1359" s="52"/>
      <c r="BD1359" s="60"/>
      <c r="BE1359" s="60"/>
      <c r="BF1359" s="35">
        <v>1</v>
      </c>
      <c r="BG1359" s="52">
        <v>1</v>
      </c>
      <c r="BH1359" s="52"/>
      <c r="BI1359" s="52" t="s">
        <v>587</v>
      </c>
      <c r="BJ1359" s="52" t="s">
        <v>1366</v>
      </c>
      <c r="BK1359" s="52">
        <v>2004</v>
      </c>
      <c r="BL1359" s="46" t="str">
        <f>BK1359&amp;BI1359</f>
        <v>2004Arsenal</v>
      </c>
      <c r="BM1359" s="52" t="str">
        <f>IF(AD1359="Home",BI1359,IF(AD1359="Away",BJ1359,Q1359))</f>
        <v>Middlesbrough</v>
      </c>
      <c r="BN1359" s="52"/>
      <c r="BO1359" s="52"/>
      <c r="BP1359" s="52"/>
      <c r="BQ1359" s="52"/>
      <c r="BR1359" s="52"/>
      <c r="BS1359" s="52"/>
      <c r="BT1359" s="52"/>
      <c r="BU1359" s="52"/>
      <c r="BV1359" s="52" t="s">
        <v>376</v>
      </c>
      <c r="BW1359" s="52" t="s">
        <v>376</v>
      </c>
      <c r="BX1359" s="52"/>
      <c r="BY1359" s="52"/>
      <c r="BZ1359" s="53"/>
      <c r="CA1359" s="53"/>
      <c r="CB1359" s="93" t="str">
        <f>IF(OR(C1359="",A1359="",B1359=""),"",TEXT(C1359,"0000")&amp;TEXT(A1359,"00")&amp;TEXT(B1359,"00"))</f>
        <v>20040203</v>
      </c>
    </row>
    <row r="1360" spans="1:80" s="46" customFormat="1" ht="12.95" customHeight="1" x14ac:dyDescent="0.2">
      <c r="A1360" s="46">
        <v>2</v>
      </c>
      <c r="B1360" s="46">
        <v>29</v>
      </c>
      <c r="C1360" s="46">
        <v>2004</v>
      </c>
      <c r="D1360" s="52" t="s">
        <v>658</v>
      </c>
      <c r="E1360" s="52" t="s">
        <v>294</v>
      </c>
      <c r="F1360" s="52" t="s">
        <v>1327</v>
      </c>
      <c r="G1360" s="52"/>
      <c r="H1360" s="52" t="s">
        <v>40</v>
      </c>
      <c r="I1360" s="52"/>
      <c r="J1360" s="56">
        <v>38046</v>
      </c>
      <c r="K1360" s="52" t="s">
        <v>1366</v>
      </c>
      <c r="L1360" s="52" t="s">
        <v>3</v>
      </c>
      <c r="M1360" s="52" t="s">
        <v>1157</v>
      </c>
      <c r="N1360" s="57">
        <v>2</v>
      </c>
      <c r="O1360" s="57">
        <v>1</v>
      </c>
      <c r="P1360" s="52" t="s">
        <v>1407</v>
      </c>
      <c r="Q1360" s="52" t="s">
        <v>1263</v>
      </c>
      <c r="R1360" s="52" t="s">
        <v>1264</v>
      </c>
      <c r="S1360" s="52"/>
      <c r="T1360" s="52"/>
      <c r="U1360" s="52"/>
      <c r="V1360" s="52"/>
      <c r="W1360" s="52"/>
      <c r="X1360" s="52"/>
      <c r="Y1360" s="52"/>
      <c r="Z1360" s="57"/>
      <c r="AA1360" s="52"/>
      <c r="AB1360" s="52"/>
      <c r="AC1360" s="52"/>
      <c r="AD1360" s="52"/>
      <c r="AE1360" s="50">
        <f>IF(L1360="W",1,0)</f>
        <v>1</v>
      </c>
      <c r="AF1360" s="50">
        <f>IF(L1360="T",1,0)</f>
        <v>0</v>
      </c>
      <c r="AG1360" s="50">
        <f>IF(L1360="L",1,0)</f>
        <v>0</v>
      </c>
      <c r="AH1360" s="52" t="s">
        <v>1366</v>
      </c>
      <c r="AI1360" s="52" t="s">
        <v>1317</v>
      </c>
      <c r="AJ1360" s="52" t="s">
        <v>376</v>
      </c>
      <c r="AK1360" s="50" t="s">
        <v>658</v>
      </c>
      <c r="AL1360" s="52" t="s">
        <v>1101</v>
      </c>
      <c r="AM1360" s="52" t="s">
        <v>1159</v>
      </c>
      <c r="AN1360" s="52" t="s">
        <v>376</v>
      </c>
      <c r="AO1360" s="50" t="s">
        <v>658</v>
      </c>
      <c r="AP1360" s="52"/>
      <c r="AQ1360" s="52">
        <v>1</v>
      </c>
      <c r="AR1360" s="52"/>
      <c r="AS1360" s="52" t="s">
        <v>1393</v>
      </c>
      <c r="AU1360" s="52" t="s">
        <v>376</v>
      </c>
      <c r="AV1360" s="52"/>
      <c r="AW1360" s="52" t="s">
        <v>30</v>
      </c>
      <c r="AX1360" s="52"/>
      <c r="AY1360" s="52"/>
      <c r="AZ1360" s="57" t="s">
        <v>30</v>
      </c>
      <c r="BA1360" s="52"/>
      <c r="BB1360" s="60" t="s">
        <v>30</v>
      </c>
      <c r="BC1360" s="52" t="s">
        <v>30</v>
      </c>
      <c r="BD1360" s="60"/>
      <c r="BE1360" s="60" t="s">
        <v>1400</v>
      </c>
      <c r="BF1360" s="35">
        <v>1</v>
      </c>
      <c r="BG1360" s="52">
        <v>1</v>
      </c>
      <c r="BH1360" s="52"/>
      <c r="BI1360" s="52" t="s">
        <v>1366</v>
      </c>
      <c r="BJ1360" s="52" t="s">
        <v>1157</v>
      </c>
      <c r="BK1360" s="52">
        <v>2004</v>
      </c>
      <c r="BL1360" s="46" t="str">
        <f>BK1360&amp;BI1360</f>
        <v>2004Middlesbrough</v>
      </c>
      <c r="BM1360" s="52" t="str">
        <f>IF(AD1360="Home",BI1360,IF(AD1360="Away",BJ1360,Q1360))</f>
        <v>Cardiff</v>
      </c>
      <c r="BN1360" s="52"/>
      <c r="BO1360" s="52"/>
      <c r="BP1360" s="52"/>
      <c r="BQ1360" s="52"/>
      <c r="BR1360" s="52"/>
      <c r="BS1360" s="52"/>
      <c r="BT1360" s="52"/>
      <c r="BU1360" s="52"/>
      <c r="BV1360" s="52" t="s">
        <v>376</v>
      </c>
      <c r="BW1360" s="52" t="s">
        <v>376</v>
      </c>
      <c r="BX1360" s="52"/>
      <c r="BZ1360" s="53"/>
      <c r="CA1360" s="53"/>
      <c r="CB1360" s="93" t="str">
        <f>IF(OR(C1360="",A1360="",B1360=""),"",TEXT(C1360,"0000")&amp;TEXT(A1360,"00")&amp;TEXT(B1360,"00"))</f>
        <v>20040229</v>
      </c>
    </row>
    <row r="1361" spans="1:80" s="46" customFormat="1" ht="12.95" customHeight="1" x14ac:dyDescent="0.2">
      <c r="A1361" s="46">
        <v>2</v>
      </c>
      <c r="B1361" s="46">
        <v>29</v>
      </c>
      <c r="C1361" s="46">
        <v>2004</v>
      </c>
      <c r="D1361" s="52" t="s">
        <v>658</v>
      </c>
      <c r="E1361" s="52" t="s">
        <v>294</v>
      </c>
      <c r="F1361" s="52" t="s">
        <v>1327</v>
      </c>
      <c r="G1361" s="52"/>
      <c r="H1361" s="52" t="s">
        <v>40</v>
      </c>
      <c r="I1361" s="52"/>
      <c r="J1361" s="56">
        <v>38046</v>
      </c>
      <c r="K1361" s="52" t="s">
        <v>1157</v>
      </c>
      <c r="L1361" s="52" t="s">
        <v>4</v>
      </c>
      <c r="M1361" s="52" t="s">
        <v>1366</v>
      </c>
      <c r="N1361" s="57">
        <v>1</v>
      </c>
      <c r="O1361" s="57">
        <v>2</v>
      </c>
      <c r="P1361" s="52" t="s">
        <v>1407</v>
      </c>
      <c r="Q1361" s="52" t="s">
        <v>1263</v>
      </c>
      <c r="R1361" s="52" t="s">
        <v>1264</v>
      </c>
      <c r="S1361" s="52"/>
      <c r="T1361" s="52"/>
      <c r="U1361" s="52"/>
      <c r="V1361" s="52"/>
      <c r="W1361" s="52"/>
      <c r="X1361" s="52"/>
      <c r="Y1361" s="52"/>
      <c r="Z1361" s="57"/>
      <c r="AA1361" s="52"/>
      <c r="AB1361" s="52"/>
      <c r="AC1361" s="52"/>
      <c r="AD1361" s="52"/>
      <c r="AE1361" s="50">
        <f>IF(L1361="W",1,0)</f>
        <v>0</v>
      </c>
      <c r="AF1361" s="50">
        <f>IF(L1361="T",1,0)</f>
        <v>0</v>
      </c>
      <c r="AG1361" s="50">
        <f>IF(L1361="L",1,0)</f>
        <v>1</v>
      </c>
      <c r="AH1361" s="52" t="s">
        <v>1101</v>
      </c>
      <c r="AI1361" s="52" t="s">
        <v>1159</v>
      </c>
      <c r="AJ1361" s="52" t="s">
        <v>376</v>
      </c>
      <c r="AK1361" s="50" t="s">
        <v>658</v>
      </c>
      <c r="AL1361" s="52" t="s">
        <v>1366</v>
      </c>
      <c r="AM1361" s="52" t="s">
        <v>1317</v>
      </c>
      <c r="AN1361" s="52" t="s">
        <v>376</v>
      </c>
      <c r="AO1361" s="50" t="s">
        <v>658</v>
      </c>
      <c r="AP1361" s="52"/>
      <c r="AQ1361" s="52">
        <v>1</v>
      </c>
      <c r="AR1361" s="52"/>
      <c r="AS1361" s="52">
        <v>1</v>
      </c>
      <c r="AU1361" s="52" t="s">
        <v>376</v>
      </c>
      <c r="AV1361" s="52"/>
      <c r="AW1361" s="52" t="s">
        <v>30</v>
      </c>
      <c r="AX1361" s="52"/>
      <c r="AY1361" s="52"/>
      <c r="AZ1361" s="52" t="s">
        <v>30</v>
      </c>
      <c r="BA1361" s="52"/>
      <c r="BB1361" s="60"/>
      <c r="BC1361" s="52" t="s">
        <v>30</v>
      </c>
      <c r="BD1361" s="60"/>
      <c r="BE1361" s="60"/>
      <c r="BF1361" s="35">
        <v>1</v>
      </c>
      <c r="BG1361" s="52">
        <v>1</v>
      </c>
      <c r="BH1361" s="52"/>
      <c r="BI1361" s="52" t="s">
        <v>1157</v>
      </c>
      <c r="BJ1361" s="52" t="s">
        <v>1366</v>
      </c>
      <c r="BK1361" s="52">
        <v>2004</v>
      </c>
      <c r="BL1361" s="46" t="str">
        <f>BK1361&amp;BI1361</f>
        <v>2004Bolton Wanderers</v>
      </c>
      <c r="BM1361" s="52" t="str">
        <f>IF(AD1361="Home",BI1361,IF(AD1361="Away",BJ1361,Q1361))</f>
        <v>Cardiff</v>
      </c>
      <c r="BN1361" s="52"/>
      <c r="BO1361" s="52"/>
      <c r="BP1361" s="52"/>
      <c r="BQ1361" s="52"/>
      <c r="BR1361" s="52"/>
      <c r="BS1361" s="52"/>
      <c r="BT1361" s="52"/>
      <c r="BU1361" s="52"/>
      <c r="BV1361" s="52" t="s">
        <v>376</v>
      </c>
      <c r="BW1361" s="52" t="s">
        <v>376</v>
      </c>
      <c r="BX1361" s="52"/>
      <c r="BZ1361" s="53"/>
      <c r="CA1361" s="53"/>
      <c r="CB1361" s="93" t="str">
        <f>IF(OR(C1361="",A1361="",B1361=""),"",TEXT(C1361,"0000")&amp;TEXT(A1361,"00")&amp;TEXT(B1361,"00"))</f>
        <v>20040229</v>
      </c>
    </row>
    <row r="1362" spans="1:80" s="46" customFormat="1" ht="12.95" customHeight="1" x14ac:dyDescent="0.2">
      <c r="A1362" s="46">
        <v>4</v>
      </c>
      <c r="B1362" s="46">
        <v>3</v>
      </c>
      <c r="C1362" s="46">
        <v>2004</v>
      </c>
      <c r="D1362" s="52" t="s">
        <v>658</v>
      </c>
      <c r="E1362" s="52" t="s">
        <v>294</v>
      </c>
      <c r="F1362" s="52" t="s">
        <v>1010</v>
      </c>
      <c r="G1362" s="52"/>
      <c r="H1362" s="52" t="s">
        <v>1011</v>
      </c>
      <c r="I1362" s="52"/>
      <c r="J1362" s="56">
        <v>38080</v>
      </c>
      <c r="K1362" s="52" t="s">
        <v>821</v>
      </c>
      <c r="L1362" s="52" t="s">
        <v>3</v>
      </c>
      <c r="M1362" s="52" t="s">
        <v>587</v>
      </c>
      <c r="N1362" s="57">
        <v>1</v>
      </c>
      <c r="O1362" s="57">
        <v>0</v>
      </c>
      <c r="P1362" s="52" t="s">
        <v>1219</v>
      </c>
      <c r="Q1362" s="52" t="s">
        <v>1111</v>
      </c>
      <c r="R1362" s="52" t="s">
        <v>376</v>
      </c>
      <c r="S1362" s="52"/>
      <c r="T1362" s="52"/>
      <c r="U1362" s="52"/>
      <c r="V1362" s="52"/>
      <c r="W1362" s="52"/>
      <c r="X1362" s="52"/>
      <c r="Y1362" s="52"/>
      <c r="Z1362" s="57"/>
      <c r="AA1362" s="52"/>
      <c r="AB1362" s="52"/>
      <c r="AC1362" s="52"/>
      <c r="AD1362" s="52"/>
      <c r="AE1362" s="50">
        <f>IF(L1362="W",1,0)</f>
        <v>1</v>
      </c>
      <c r="AF1362" s="50">
        <f>IF(L1362="T",1,0)</f>
        <v>0</v>
      </c>
      <c r="AG1362" s="50">
        <f>IF(L1362="L",1,0)</f>
        <v>0</v>
      </c>
      <c r="AH1362" s="52" t="s">
        <v>1101</v>
      </c>
      <c r="AI1362" s="52" t="s">
        <v>1159</v>
      </c>
      <c r="AJ1362" s="52" t="s">
        <v>376</v>
      </c>
      <c r="AK1362" s="50" t="s">
        <v>658</v>
      </c>
      <c r="AL1362" s="52" t="s">
        <v>1017</v>
      </c>
      <c r="AM1362" s="52" t="s">
        <v>1018</v>
      </c>
      <c r="AN1362" s="52" t="s">
        <v>376</v>
      </c>
      <c r="AO1362" s="50" t="s">
        <v>658</v>
      </c>
      <c r="AP1362" s="52"/>
      <c r="AQ1362" s="52">
        <v>2</v>
      </c>
      <c r="AR1362" s="52"/>
      <c r="AS1362" s="52"/>
      <c r="AU1362" s="52" t="s">
        <v>376</v>
      </c>
      <c r="AV1362" s="52"/>
      <c r="AW1362" s="52" t="s">
        <v>30</v>
      </c>
      <c r="AX1362" s="52"/>
      <c r="AY1362" s="52" t="s">
        <v>30</v>
      </c>
      <c r="AZ1362" s="52"/>
      <c r="BA1362" s="52"/>
      <c r="BB1362" s="60"/>
      <c r="BC1362" s="52"/>
      <c r="BD1362" s="60"/>
      <c r="BE1362" s="60"/>
      <c r="BF1362" s="35">
        <v>1</v>
      </c>
      <c r="BG1362" s="52">
        <v>1</v>
      </c>
      <c r="BH1362" s="52"/>
      <c r="BI1362" s="52" t="s">
        <v>821</v>
      </c>
      <c r="BJ1362" s="52" t="s">
        <v>587</v>
      </c>
      <c r="BK1362" s="52">
        <v>2004</v>
      </c>
      <c r="BL1362" s="46" t="str">
        <f>BK1362&amp;BI1362</f>
        <v>2004Manchester United</v>
      </c>
      <c r="BM1362" s="52" t="str">
        <f>IF(AD1362="Home",BI1362,IF(AD1362="Away",BJ1362,Q1362))</f>
        <v>Birmingham</v>
      </c>
      <c r="BN1362" s="52"/>
      <c r="BO1362" s="52"/>
      <c r="BP1362" s="52"/>
      <c r="BQ1362" s="52"/>
      <c r="BR1362" s="52"/>
      <c r="BS1362" s="52"/>
      <c r="BT1362" s="52"/>
      <c r="BU1362" s="52"/>
      <c r="BV1362" s="52" t="s">
        <v>376</v>
      </c>
      <c r="BW1362" s="52" t="s">
        <v>376</v>
      </c>
      <c r="BX1362" s="52"/>
      <c r="BY1362" s="52"/>
      <c r="BZ1362" s="53"/>
      <c r="CA1362" s="53"/>
      <c r="CB1362" s="93" t="str">
        <f>IF(OR(C1362="",A1362="",B1362=""),"",TEXT(C1362,"0000")&amp;TEXT(A1362,"00")&amp;TEXT(B1362,"00"))</f>
        <v>20040403</v>
      </c>
    </row>
    <row r="1363" spans="1:80" s="46" customFormat="1" ht="12.95" customHeight="1" x14ac:dyDescent="0.2">
      <c r="A1363" s="46">
        <v>4</v>
      </c>
      <c r="B1363" s="46">
        <v>3</v>
      </c>
      <c r="C1363" s="46">
        <v>2004</v>
      </c>
      <c r="D1363" s="52" t="s">
        <v>658</v>
      </c>
      <c r="E1363" s="52" t="s">
        <v>294</v>
      </c>
      <c r="F1363" s="52" t="s">
        <v>1010</v>
      </c>
      <c r="G1363" s="52"/>
      <c r="H1363" s="52" t="s">
        <v>1011</v>
      </c>
      <c r="I1363" s="52"/>
      <c r="J1363" s="56">
        <v>38080</v>
      </c>
      <c r="K1363" s="52" t="s">
        <v>587</v>
      </c>
      <c r="L1363" s="52" t="s">
        <v>4</v>
      </c>
      <c r="M1363" s="52" t="s">
        <v>821</v>
      </c>
      <c r="N1363" s="57">
        <v>0</v>
      </c>
      <c r="O1363" s="57">
        <v>1</v>
      </c>
      <c r="P1363" s="52" t="s">
        <v>1219</v>
      </c>
      <c r="Q1363" s="52" t="s">
        <v>1111</v>
      </c>
      <c r="R1363" s="52" t="s">
        <v>376</v>
      </c>
      <c r="S1363" s="52"/>
      <c r="T1363" s="52"/>
      <c r="U1363" s="52"/>
      <c r="V1363" s="52"/>
      <c r="W1363" s="52"/>
      <c r="X1363" s="52"/>
      <c r="Y1363" s="52"/>
      <c r="Z1363" s="57"/>
      <c r="AA1363" s="52"/>
      <c r="AB1363" s="52"/>
      <c r="AC1363" s="52"/>
      <c r="AD1363" s="52"/>
      <c r="AE1363" s="50">
        <f>IF(L1363="W",1,0)</f>
        <v>0</v>
      </c>
      <c r="AF1363" s="50">
        <f>IF(L1363="T",1,0)</f>
        <v>0</v>
      </c>
      <c r="AG1363" s="50">
        <f>IF(L1363="L",1,0)</f>
        <v>1</v>
      </c>
      <c r="AH1363" s="52" t="s">
        <v>1017</v>
      </c>
      <c r="AI1363" s="52" t="s">
        <v>1018</v>
      </c>
      <c r="AJ1363" s="52" t="s">
        <v>376</v>
      </c>
      <c r="AK1363" s="50" t="s">
        <v>658</v>
      </c>
      <c r="AL1363" s="52" t="s">
        <v>1101</v>
      </c>
      <c r="AM1363" s="52" t="s">
        <v>1159</v>
      </c>
      <c r="AN1363" s="52" t="s">
        <v>376</v>
      </c>
      <c r="AO1363" s="50" t="s">
        <v>658</v>
      </c>
      <c r="AP1363" s="52"/>
      <c r="AQ1363" s="52">
        <v>2</v>
      </c>
      <c r="AR1363" s="52"/>
      <c r="AS1363" s="52">
        <v>1</v>
      </c>
      <c r="AU1363" s="52" t="s">
        <v>376</v>
      </c>
      <c r="AV1363" s="52"/>
      <c r="AW1363" s="52" t="s">
        <v>30</v>
      </c>
      <c r="AX1363" s="52"/>
      <c r="AY1363" s="52" t="s">
        <v>30</v>
      </c>
      <c r="AZ1363" s="52"/>
      <c r="BA1363" s="52"/>
      <c r="BB1363" s="60"/>
      <c r="BC1363" s="52"/>
      <c r="BD1363" s="60"/>
      <c r="BE1363" s="60"/>
      <c r="BF1363" s="35">
        <v>1</v>
      </c>
      <c r="BG1363" s="52">
        <v>1</v>
      </c>
      <c r="BH1363" s="52"/>
      <c r="BI1363" s="52" t="s">
        <v>587</v>
      </c>
      <c r="BJ1363" s="52" t="s">
        <v>821</v>
      </c>
      <c r="BK1363" s="52">
        <v>2004</v>
      </c>
      <c r="BL1363" s="46" t="str">
        <f>BK1363&amp;BI1363</f>
        <v>2004Arsenal</v>
      </c>
      <c r="BM1363" s="52" t="str">
        <f>IF(AD1363="Home",BI1363,IF(AD1363="Away",BJ1363,Q1363))</f>
        <v>Birmingham</v>
      </c>
      <c r="BN1363" s="52"/>
      <c r="BO1363" s="52"/>
      <c r="BP1363" s="52"/>
      <c r="BQ1363" s="52"/>
      <c r="BR1363" s="52"/>
      <c r="BS1363" s="52"/>
      <c r="BT1363" s="52"/>
      <c r="BU1363" s="52"/>
      <c r="BV1363" s="52" t="s">
        <v>376</v>
      </c>
      <c r="BW1363" s="52" t="s">
        <v>376</v>
      </c>
      <c r="BX1363" s="52"/>
      <c r="BY1363" s="52"/>
      <c r="BZ1363" s="53"/>
      <c r="CA1363" s="53"/>
      <c r="CB1363" s="93" t="str">
        <f>IF(OR(C1363="",A1363="",B1363=""),"",TEXT(C1363,"0000")&amp;TEXT(A1363,"00")&amp;TEXT(B1363,"00"))</f>
        <v>20040403</v>
      </c>
    </row>
    <row r="1364" spans="1:80" s="46" customFormat="1" ht="12.95" customHeight="1" x14ac:dyDescent="0.2">
      <c r="A1364" s="46">
        <v>4</v>
      </c>
      <c r="B1364" s="46">
        <v>4</v>
      </c>
      <c r="C1364" s="46">
        <v>2004</v>
      </c>
      <c r="D1364" s="46" t="s">
        <v>658</v>
      </c>
      <c r="E1364" s="46" t="s">
        <v>294</v>
      </c>
      <c r="F1364" s="47" t="s">
        <v>1010</v>
      </c>
      <c r="H1364" s="47" t="s">
        <v>1011</v>
      </c>
      <c r="I1364" s="47"/>
      <c r="J1364" s="48">
        <v>38081</v>
      </c>
      <c r="K1364" s="46" t="s">
        <v>1214</v>
      </c>
      <c r="L1364" s="46" t="s">
        <v>3</v>
      </c>
      <c r="M1364" s="46" t="s">
        <v>793</v>
      </c>
      <c r="N1364" s="49">
        <v>1</v>
      </c>
      <c r="O1364" s="49">
        <v>0</v>
      </c>
      <c r="P1364" s="47" t="s">
        <v>1246</v>
      </c>
      <c r="Q1364" s="47" t="s">
        <v>1101</v>
      </c>
      <c r="R1364" s="47" t="s">
        <v>376</v>
      </c>
      <c r="AE1364" s="50">
        <f>IF(L1364="W",1,0)</f>
        <v>1</v>
      </c>
      <c r="AF1364" s="50">
        <f>IF(L1364="T",1,0)</f>
        <v>0</v>
      </c>
      <c r="AG1364" s="50">
        <f>IF(L1364="L",1,0)</f>
        <v>0</v>
      </c>
      <c r="AH1364" s="46" t="s">
        <v>1017</v>
      </c>
      <c r="AI1364" s="46" t="s">
        <v>1018</v>
      </c>
      <c r="AJ1364" s="46" t="s">
        <v>376</v>
      </c>
      <c r="AK1364" s="46" t="s">
        <v>658</v>
      </c>
      <c r="AL1364" s="46" t="s">
        <v>793</v>
      </c>
      <c r="AM1364" s="46" t="s">
        <v>1164</v>
      </c>
      <c r="AN1364" s="46" t="s">
        <v>376</v>
      </c>
      <c r="AO1364" s="46" t="s">
        <v>658</v>
      </c>
      <c r="AQ1364" s="46">
        <v>2</v>
      </c>
      <c r="AU1364" s="46" t="s">
        <v>376</v>
      </c>
      <c r="AW1364" s="46" t="s">
        <v>30</v>
      </c>
      <c r="AY1364" s="46" t="s">
        <v>30</v>
      </c>
      <c r="BA1364" s="47"/>
      <c r="BB1364" s="51"/>
      <c r="BF1364" s="46">
        <v>1</v>
      </c>
      <c r="BG1364" s="46">
        <v>2</v>
      </c>
      <c r="BH1364" s="46">
        <v>2</v>
      </c>
      <c r="BI1364" s="46" t="s">
        <v>1214</v>
      </c>
      <c r="BJ1364" s="46" t="s">
        <v>793</v>
      </c>
      <c r="BK1364" s="46">
        <v>2004</v>
      </c>
      <c r="BL1364" s="46" t="str">
        <f>BK1364&amp;BI1364</f>
        <v>2004Millwall</v>
      </c>
      <c r="BM1364" s="52" t="str">
        <f>IF(AD1364="Home",BI1364,IF(AD1364="Away",BJ1364,Q1364))</f>
        <v>Manchester</v>
      </c>
      <c r="BV1364" s="46" t="s">
        <v>376</v>
      </c>
      <c r="BW1364" s="46" t="s">
        <v>376</v>
      </c>
      <c r="BY1364" s="52"/>
      <c r="BZ1364" s="53"/>
      <c r="CA1364" s="53"/>
      <c r="CB1364" s="93" t="str">
        <f>IF(OR(C1364="",A1364="",B1364=""),"",TEXT(C1364,"0000")&amp;TEXT(A1364,"00")&amp;TEXT(B1364,"00"))</f>
        <v>20040404</v>
      </c>
    </row>
    <row r="1365" spans="1:80" s="46" customFormat="1" ht="12.95" customHeight="1" x14ac:dyDescent="0.2">
      <c r="A1365" s="46">
        <v>4</v>
      </c>
      <c r="B1365" s="46">
        <v>4</v>
      </c>
      <c r="C1365" s="46">
        <v>2004</v>
      </c>
      <c r="D1365" s="46" t="s">
        <v>658</v>
      </c>
      <c r="E1365" s="46" t="s">
        <v>294</v>
      </c>
      <c r="F1365" s="47" t="s">
        <v>1010</v>
      </c>
      <c r="H1365" s="47" t="s">
        <v>1011</v>
      </c>
      <c r="I1365" s="47"/>
      <c r="J1365" s="48">
        <v>38081</v>
      </c>
      <c r="K1365" s="46" t="s">
        <v>793</v>
      </c>
      <c r="L1365" s="46" t="s">
        <v>4</v>
      </c>
      <c r="M1365" s="46" t="s">
        <v>1214</v>
      </c>
      <c r="N1365" s="49">
        <v>0</v>
      </c>
      <c r="O1365" s="49">
        <v>1</v>
      </c>
      <c r="P1365" s="47" t="s">
        <v>1246</v>
      </c>
      <c r="Q1365" s="47" t="s">
        <v>1101</v>
      </c>
      <c r="R1365" s="47" t="s">
        <v>376</v>
      </c>
      <c r="AE1365" s="50">
        <f>IF(L1365="W",1,0)</f>
        <v>0</v>
      </c>
      <c r="AF1365" s="50">
        <f>IF(L1365="T",1,0)</f>
        <v>0</v>
      </c>
      <c r="AG1365" s="50">
        <f>IF(L1365="L",1,0)</f>
        <v>1</v>
      </c>
      <c r="AH1365" s="46" t="s">
        <v>793</v>
      </c>
      <c r="AI1365" s="46" t="s">
        <v>1164</v>
      </c>
      <c r="AJ1365" s="46" t="s">
        <v>376</v>
      </c>
      <c r="AK1365" s="46" t="s">
        <v>658</v>
      </c>
      <c r="AL1365" s="46" t="s">
        <v>1017</v>
      </c>
      <c r="AM1365" s="46" t="s">
        <v>1018</v>
      </c>
      <c r="AN1365" s="46" t="s">
        <v>376</v>
      </c>
      <c r="AO1365" s="46" t="s">
        <v>658</v>
      </c>
      <c r="AQ1365" s="46">
        <v>2</v>
      </c>
      <c r="AU1365" s="46" t="s">
        <v>376</v>
      </c>
      <c r="AW1365" s="46" t="s">
        <v>30</v>
      </c>
      <c r="AY1365" s="46" t="s">
        <v>30</v>
      </c>
      <c r="BA1365" s="47"/>
      <c r="BB1365" s="51"/>
      <c r="BF1365" s="46">
        <v>1</v>
      </c>
      <c r="BG1365" s="46">
        <v>2</v>
      </c>
      <c r="BH1365" s="46">
        <v>2</v>
      </c>
      <c r="BI1365" s="46" t="s">
        <v>793</v>
      </c>
      <c r="BJ1365" s="46" t="s">
        <v>1214</v>
      </c>
      <c r="BK1365" s="46">
        <v>2004</v>
      </c>
      <c r="BL1365" s="46" t="str">
        <f>BK1365&amp;BI1365</f>
        <v>2004Sunderland</v>
      </c>
      <c r="BM1365" s="52" t="str">
        <f>IF(AD1365="Home",BI1365,IF(AD1365="Away",BJ1365,Q1365))</f>
        <v>Manchester</v>
      </c>
      <c r="BV1365" s="46" t="s">
        <v>376</v>
      </c>
      <c r="BW1365" s="46" t="s">
        <v>376</v>
      </c>
      <c r="BY1365" s="52"/>
      <c r="BZ1365" s="53"/>
      <c r="CA1365" s="53"/>
      <c r="CB1365" s="93" t="str">
        <f>IF(OR(C1365="",A1365="",B1365=""),"",TEXT(C1365,"0000")&amp;TEXT(A1365,"00")&amp;TEXT(B1365,"00"))</f>
        <v>20040404</v>
      </c>
    </row>
    <row r="1366" spans="1:80" s="46" customFormat="1" ht="12.95" customHeight="1" x14ac:dyDescent="0.2">
      <c r="A1366" s="46">
        <v>5</v>
      </c>
      <c r="B1366" s="46">
        <v>22</v>
      </c>
      <c r="C1366" s="46">
        <v>2004</v>
      </c>
      <c r="D1366" s="52" t="s">
        <v>658</v>
      </c>
      <c r="E1366" s="52" t="s">
        <v>294</v>
      </c>
      <c r="F1366" s="52" t="s">
        <v>1010</v>
      </c>
      <c r="G1366" s="52"/>
      <c r="H1366" s="52" t="s">
        <v>40</v>
      </c>
      <c r="I1366" s="52"/>
      <c r="J1366" s="56">
        <v>38129</v>
      </c>
      <c r="K1366" s="52" t="s">
        <v>821</v>
      </c>
      <c r="L1366" s="52" t="s">
        <v>3</v>
      </c>
      <c r="M1366" s="52" t="s">
        <v>1214</v>
      </c>
      <c r="N1366" s="57">
        <v>3</v>
      </c>
      <c r="O1366" s="57">
        <v>0</v>
      </c>
      <c r="P1366" s="52" t="s">
        <v>1407</v>
      </c>
      <c r="Q1366" s="52" t="s">
        <v>1263</v>
      </c>
      <c r="R1366" s="52" t="s">
        <v>1264</v>
      </c>
      <c r="S1366" s="52"/>
      <c r="T1366" s="52"/>
      <c r="U1366" s="52"/>
      <c r="V1366" s="52"/>
      <c r="W1366" s="52"/>
      <c r="X1366" s="52"/>
      <c r="Y1366" s="52"/>
      <c r="Z1366" s="57"/>
      <c r="AA1366" s="52"/>
      <c r="AB1366" s="52"/>
      <c r="AC1366" s="52"/>
      <c r="AD1366" s="52"/>
      <c r="AE1366" s="50">
        <f>IF(L1366="W",1,0)</f>
        <v>1</v>
      </c>
      <c r="AF1366" s="50">
        <f>IF(L1366="T",1,0)</f>
        <v>0</v>
      </c>
      <c r="AG1366" s="50">
        <f>IF(L1366="L",1,0)</f>
        <v>0</v>
      </c>
      <c r="AH1366" s="52" t="s">
        <v>1101</v>
      </c>
      <c r="AI1366" s="52" t="s">
        <v>1159</v>
      </c>
      <c r="AJ1366" s="52" t="s">
        <v>376</v>
      </c>
      <c r="AK1366" s="50" t="s">
        <v>658</v>
      </c>
      <c r="AL1366" s="52" t="s">
        <v>1017</v>
      </c>
      <c r="AM1366" s="52" t="s">
        <v>1018</v>
      </c>
      <c r="AN1366" s="52" t="s">
        <v>376</v>
      </c>
      <c r="AO1366" s="50" t="s">
        <v>658</v>
      </c>
      <c r="AP1366" s="52"/>
      <c r="AQ1366" s="52">
        <v>1</v>
      </c>
      <c r="AR1366" s="52"/>
      <c r="AS1366" s="52" t="s">
        <v>1393</v>
      </c>
      <c r="AU1366" s="52" t="s">
        <v>376</v>
      </c>
      <c r="AV1366" s="52"/>
      <c r="AW1366" s="52" t="s">
        <v>30</v>
      </c>
      <c r="AX1366" s="52"/>
      <c r="AY1366" s="57" t="s">
        <v>30</v>
      </c>
      <c r="AZ1366" s="52"/>
      <c r="BA1366" s="52"/>
      <c r="BB1366" s="60" t="s">
        <v>30</v>
      </c>
      <c r="BC1366" s="52" t="s">
        <v>30</v>
      </c>
      <c r="BD1366" s="60"/>
      <c r="BE1366" s="60"/>
      <c r="BF1366" s="35">
        <v>1</v>
      </c>
      <c r="BG1366" s="52">
        <v>1</v>
      </c>
      <c r="BH1366" s="52"/>
      <c r="BI1366" s="52" t="s">
        <v>821</v>
      </c>
      <c r="BJ1366" s="52" t="s">
        <v>1214</v>
      </c>
      <c r="BK1366" s="52">
        <v>2004</v>
      </c>
      <c r="BL1366" s="46" t="str">
        <f>BK1366&amp;BI1366</f>
        <v>2004Manchester United</v>
      </c>
      <c r="BM1366" s="52" t="str">
        <f>IF(AD1366="Home",BI1366,IF(AD1366="Away",BJ1366,Q1366))</f>
        <v>Cardiff</v>
      </c>
      <c r="BN1366" s="52"/>
      <c r="BO1366" s="52"/>
      <c r="BP1366" s="52"/>
      <c r="BQ1366" s="52"/>
      <c r="BR1366" s="52"/>
      <c r="BS1366" s="52"/>
      <c r="BT1366" s="52"/>
      <c r="BU1366" s="52"/>
      <c r="BV1366" s="52" t="s">
        <v>376</v>
      </c>
      <c r="BW1366" s="52" t="s">
        <v>376</v>
      </c>
      <c r="BX1366" s="52"/>
      <c r="BZ1366" s="53"/>
      <c r="CA1366" s="53"/>
      <c r="CB1366" s="93" t="str">
        <f>IF(OR(C1366="",A1366="",B1366=""),"",TEXT(C1366,"0000")&amp;TEXT(A1366,"00")&amp;TEXT(B1366,"00"))</f>
        <v>20040522</v>
      </c>
    </row>
    <row r="1367" spans="1:80" s="46" customFormat="1" ht="12.95" customHeight="1" x14ac:dyDescent="0.2">
      <c r="A1367" s="46">
        <v>5</v>
      </c>
      <c r="B1367" s="46">
        <v>22</v>
      </c>
      <c r="C1367" s="46">
        <v>2004</v>
      </c>
      <c r="D1367" s="46" t="s">
        <v>658</v>
      </c>
      <c r="E1367" s="46" t="s">
        <v>294</v>
      </c>
      <c r="F1367" s="47" t="s">
        <v>1010</v>
      </c>
      <c r="H1367" s="47" t="s">
        <v>1025</v>
      </c>
      <c r="I1367" s="47"/>
      <c r="J1367" s="48">
        <v>38129</v>
      </c>
      <c r="K1367" s="46" t="s">
        <v>1214</v>
      </c>
      <c r="L1367" s="46" t="s">
        <v>4</v>
      </c>
      <c r="M1367" s="46" t="s">
        <v>821</v>
      </c>
      <c r="N1367" s="49">
        <v>0</v>
      </c>
      <c r="O1367" s="49">
        <v>3</v>
      </c>
      <c r="P1367" s="46" t="s">
        <v>1407</v>
      </c>
      <c r="Q1367" s="47" t="s">
        <v>1263</v>
      </c>
      <c r="R1367" s="47" t="s">
        <v>1264</v>
      </c>
      <c r="AE1367" s="50">
        <f>IF(L1367="W",1,0)</f>
        <v>0</v>
      </c>
      <c r="AF1367" s="50">
        <f>IF(L1367="T",1,0)</f>
        <v>0</v>
      </c>
      <c r="AG1367" s="50">
        <f>IF(L1367="L",1,0)</f>
        <v>1</v>
      </c>
      <c r="AH1367" s="46" t="s">
        <v>1017</v>
      </c>
      <c r="AI1367" s="46" t="s">
        <v>1018</v>
      </c>
      <c r="AJ1367" s="46" t="s">
        <v>376</v>
      </c>
      <c r="AK1367" s="46" t="s">
        <v>658</v>
      </c>
      <c r="AL1367" s="46" t="s">
        <v>1101</v>
      </c>
      <c r="AM1367" s="46" t="s">
        <v>1159</v>
      </c>
      <c r="AN1367" s="46" t="s">
        <v>376</v>
      </c>
      <c r="AO1367" s="46" t="s">
        <v>658</v>
      </c>
      <c r="AQ1367" s="46">
        <v>1</v>
      </c>
      <c r="AU1367" s="46" t="s">
        <v>376</v>
      </c>
      <c r="AW1367" s="46" t="s">
        <v>30</v>
      </c>
      <c r="AY1367" s="46" t="s">
        <v>30</v>
      </c>
      <c r="BA1367" s="47"/>
      <c r="BB1367" s="51"/>
      <c r="BC1367" s="46" t="s">
        <v>30</v>
      </c>
      <c r="BF1367" s="46">
        <v>1</v>
      </c>
      <c r="BG1367" s="46">
        <v>2</v>
      </c>
      <c r="BH1367" s="46">
        <v>1</v>
      </c>
      <c r="BI1367" s="46" t="s">
        <v>1214</v>
      </c>
      <c r="BJ1367" s="46" t="s">
        <v>821</v>
      </c>
      <c r="BK1367" s="46">
        <v>2004</v>
      </c>
      <c r="BL1367" s="46" t="str">
        <f>BK1367&amp;BI1367</f>
        <v>2004Millwall</v>
      </c>
      <c r="BM1367" s="52" t="str">
        <f>IF(AD1367="Home",BI1367,IF(AD1367="Away",BJ1367,Q1367))</f>
        <v>Cardiff</v>
      </c>
      <c r="BV1367" s="46" t="s">
        <v>376</v>
      </c>
      <c r="BW1367" s="46" t="s">
        <v>376</v>
      </c>
      <c r="BZ1367" s="53"/>
      <c r="CA1367" s="53"/>
      <c r="CB1367" s="93" t="str">
        <f>IF(OR(C1367="",A1367="",B1367=""),"",TEXT(C1367,"0000")&amp;TEXT(A1367,"00")&amp;TEXT(B1367,"00"))</f>
        <v>20040522</v>
      </c>
    </row>
    <row r="1368" spans="1:80" s="46" customFormat="1" ht="12.95" customHeight="1" x14ac:dyDescent="0.2">
      <c r="A1368" s="46">
        <v>1</v>
      </c>
      <c r="B1368" s="46">
        <v>11</v>
      </c>
      <c r="C1368" s="46">
        <v>2005</v>
      </c>
      <c r="D1368" s="52" t="s">
        <v>658</v>
      </c>
      <c r="E1368" s="52" t="s">
        <v>287</v>
      </c>
      <c r="F1368" s="52" t="s">
        <v>1327</v>
      </c>
      <c r="G1368" s="52"/>
      <c r="H1368" s="52" t="s">
        <v>1011</v>
      </c>
      <c r="I1368" s="52">
        <v>1</v>
      </c>
      <c r="J1368" s="56">
        <v>38363</v>
      </c>
      <c r="K1368" s="52" t="s">
        <v>588</v>
      </c>
      <c r="L1368" s="52" t="s">
        <v>3</v>
      </c>
      <c r="M1368" s="52" t="s">
        <v>1357</v>
      </c>
      <c r="N1368" s="57">
        <v>1</v>
      </c>
      <c r="O1368" s="57">
        <v>0</v>
      </c>
      <c r="P1368" s="52" t="s">
        <v>1141</v>
      </c>
      <c r="Q1368" s="52" t="s">
        <v>588</v>
      </c>
      <c r="R1368" s="52" t="s">
        <v>376</v>
      </c>
      <c r="S1368" s="52"/>
      <c r="T1368" s="52"/>
      <c r="U1368" s="52"/>
      <c r="V1368" s="52"/>
      <c r="W1368" s="52"/>
      <c r="X1368" s="52"/>
      <c r="Y1368" s="52"/>
      <c r="Z1368" s="57"/>
      <c r="AA1368" s="58">
        <v>1</v>
      </c>
      <c r="AB1368" s="58">
        <v>0</v>
      </c>
      <c r="AC1368" s="59">
        <v>0</v>
      </c>
      <c r="AD1368" s="52" t="s">
        <v>1033</v>
      </c>
      <c r="AE1368" s="50">
        <f>IF(L1368="W",1,0)</f>
        <v>1</v>
      </c>
      <c r="AF1368" s="50">
        <f>IF(L1368="T",1,0)</f>
        <v>0</v>
      </c>
      <c r="AG1368" s="50">
        <f>IF(L1368="L",1,0)</f>
        <v>0</v>
      </c>
      <c r="AH1368" s="52" t="s">
        <v>588</v>
      </c>
      <c r="AI1368" s="52" t="s">
        <v>1175</v>
      </c>
      <c r="AJ1368" s="52" t="s">
        <v>376</v>
      </c>
      <c r="AK1368" s="50" t="s">
        <v>658</v>
      </c>
      <c r="AL1368" s="52" t="s">
        <v>1017</v>
      </c>
      <c r="AM1368" s="52" t="s">
        <v>1371</v>
      </c>
      <c r="AN1368" s="52" t="s">
        <v>376</v>
      </c>
      <c r="AO1368" s="50" t="s">
        <v>658</v>
      </c>
      <c r="AP1368" s="52"/>
      <c r="AQ1368" s="52">
        <v>2</v>
      </c>
      <c r="AR1368" s="52"/>
      <c r="AS1368" s="52"/>
      <c r="AU1368" s="52" t="s">
        <v>376</v>
      </c>
      <c r="AV1368" s="52"/>
      <c r="AW1368" s="52" t="s">
        <v>30</v>
      </c>
      <c r="AX1368" s="52"/>
      <c r="AY1368" s="52"/>
      <c r="AZ1368" s="52" t="s">
        <v>30</v>
      </c>
      <c r="BA1368" s="52"/>
      <c r="BB1368" s="60"/>
      <c r="BC1368" s="52"/>
      <c r="BD1368" s="60"/>
      <c r="BE1368" s="60"/>
      <c r="BF1368" s="35">
        <v>1</v>
      </c>
      <c r="BG1368" s="52">
        <v>1</v>
      </c>
      <c r="BH1368" s="52"/>
      <c r="BI1368" s="52" t="s">
        <v>588</v>
      </c>
      <c r="BJ1368" s="52" t="s">
        <v>1357</v>
      </c>
      <c r="BK1368" s="52">
        <v>2005</v>
      </c>
      <c r="BL1368" s="46" t="str">
        <f>BK1368&amp;BI1368</f>
        <v>2005Liverpool</v>
      </c>
      <c r="BM1368" s="52" t="str">
        <f>IF(AD1368="Home",BI1368,IF(AD1368="Away",BJ1368,Q1368))</f>
        <v>Liverpool</v>
      </c>
      <c r="BN1368" s="52"/>
      <c r="BO1368" s="52"/>
      <c r="BP1368" s="52"/>
      <c r="BQ1368" s="52"/>
      <c r="BR1368" s="52"/>
      <c r="BS1368" s="52"/>
      <c r="BT1368" s="52"/>
      <c r="BU1368" s="52"/>
      <c r="BV1368" s="52" t="s">
        <v>376</v>
      </c>
      <c r="BW1368" s="52" t="s">
        <v>376</v>
      </c>
      <c r="BX1368" s="52"/>
      <c r="BY1368" s="52"/>
      <c r="BZ1368" s="53"/>
      <c r="CA1368" s="53"/>
      <c r="CB1368" s="93" t="str">
        <f>IF(OR(C1368="",A1368="",B1368=""),"",TEXT(C1368,"0000")&amp;TEXT(A1368,"00")&amp;TEXT(B1368,"00"))</f>
        <v>20050111</v>
      </c>
    </row>
    <row r="1369" spans="1:80" s="46" customFormat="1" ht="12.95" customHeight="1" x14ac:dyDescent="0.2">
      <c r="A1369" s="46">
        <v>1</v>
      </c>
      <c r="B1369" s="46">
        <v>11</v>
      </c>
      <c r="C1369" s="46">
        <v>2005</v>
      </c>
      <c r="D1369" s="46" t="s">
        <v>658</v>
      </c>
      <c r="E1369" s="46" t="s">
        <v>287</v>
      </c>
      <c r="F1369" s="54" t="s">
        <v>1327</v>
      </c>
      <c r="H1369" s="54" t="s">
        <v>1011</v>
      </c>
      <c r="I1369" s="54">
        <v>1</v>
      </c>
      <c r="J1369" s="55">
        <v>38363</v>
      </c>
      <c r="K1369" s="46" t="s">
        <v>1357</v>
      </c>
      <c r="L1369" s="46" t="s">
        <v>4</v>
      </c>
      <c r="M1369" s="46" t="s">
        <v>588</v>
      </c>
      <c r="N1369" s="49">
        <v>0</v>
      </c>
      <c r="O1369" s="49">
        <v>1</v>
      </c>
      <c r="P1369" s="54" t="s">
        <v>1141</v>
      </c>
      <c r="Q1369" s="54" t="s">
        <v>588</v>
      </c>
      <c r="R1369" s="54" t="s">
        <v>376</v>
      </c>
      <c r="AD1369" s="46" t="s">
        <v>1037</v>
      </c>
      <c r="AE1369" s="50">
        <f>IF(L1369="W",1,0)</f>
        <v>0</v>
      </c>
      <c r="AF1369" s="50">
        <f>IF(L1369="T",1,0)</f>
        <v>0</v>
      </c>
      <c r="AG1369" s="50">
        <f>IF(L1369="L",1,0)</f>
        <v>1</v>
      </c>
      <c r="AH1369" s="46" t="s">
        <v>1017</v>
      </c>
      <c r="AI1369" s="46" t="s">
        <v>1371</v>
      </c>
      <c r="AJ1369" s="46" t="s">
        <v>376</v>
      </c>
      <c r="AK1369" s="46" t="s">
        <v>658</v>
      </c>
      <c r="AL1369" s="46" t="s">
        <v>588</v>
      </c>
      <c r="AM1369" s="46" t="s">
        <v>1175</v>
      </c>
      <c r="AN1369" s="46" t="s">
        <v>376</v>
      </c>
      <c r="AO1369" s="46" t="s">
        <v>658</v>
      </c>
      <c r="AQ1369" s="46">
        <v>2</v>
      </c>
      <c r="AU1369" s="46" t="s">
        <v>376</v>
      </c>
      <c r="AW1369" s="46" t="s">
        <v>30</v>
      </c>
      <c r="AZ1369" s="46" t="s">
        <v>30</v>
      </c>
      <c r="BA1369" s="54"/>
      <c r="BB1369" s="51"/>
      <c r="BF1369" s="46">
        <v>1</v>
      </c>
      <c r="BG1369" s="46">
        <v>2</v>
      </c>
      <c r="BH1369" s="46">
        <v>1</v>
      </c>
      <c r="BI1369" s="46" t="s">
        <v>1357</v>
      </c>
      <c r="BJ1369" s="46" t="s">
        <v>588</v>
      </c>
      <c r="BK1369" s="46">
        <v>2005</v>
      </c>
      <c r="BL1369" s="46" t="str">
        <f>BK1369&amp;BI1369</f>
        <v>2005Watford</v>
      </c>
      <c r="BM1369" s="52" t="str">
        <f>IF(AD1369="Home",BI1369,IF(AD1369="Away",BJ1369,Q1369))</f>
        <v>Liverpool</v>
      </c>
      <c r="BV1369" s="46" t="s">
        <v>376</v>
      </c>
      <c r="BW1369" s="46" t="s">
        <v>376</v>
      </c>
      <c r="BY1369" s="52"/>
      <c r="BZ1369" s="53"/>
      <c r="CA1369" s="53"/>
      <c r="CB1369" s="93" t="str">
        <f>IF(OR(C1369="",A1369="",B1369=""),"",TEXT(C1369,"0000")&amp;TEXT(A1369,"00")&amp;TEXT(B1369,"00"))</f>
        <v>20050111</v>
      </c>
    </row>
    <row r="1370" spans="1:80" s="46" customFormat="1" ht="12.95" customHeight="1" x14ac:dyDescent="0.2">
      <c r="A1370" s="46">
        <v>1</v>
      </c>
      <c r="B1370" s="46">
        <v>12</v>
      </c>
      <c r="C1370" s="46">
        <v>2005</v>
      </c>
      <c r="D1370" s="52" t="s">
        <v>658</v>
      </c>
      <c r="E1370" s="52" t="s">
        <v>287</v>
      </c>
      <c r="F1370" s="52" t="s">
        <v>1327</v>
      </c>
      <c r="G1370" s="52"/>
      <c r="H1370" s="52" t="s">
        <v>1011</v>
      </c>
      <c r="I1370" s="52">
        <v>1</v>
      </c>
      <c r="J1370" s="56">
        <v>38364</v>
      </c>
      <c r="K1370" s="52" t="s">
        <v>816</v>
      </c>
      <c r="L1370" s="52" t="s">
        <v>1014</v>
      </c>
      <c r="M1370" s="52" t="s">
        <v>821</v>
      </c>
      <c r="N1370" s="57">
        <v>0</v>
      </c>
      <c r="O1370" s="57">
        <v>0</v>
      </c>
      <c r="P1370" s="52" t="s">
        <v>1234</v>
      </c>
      <c r="Q1370" s="52" t="s">
        <v>1017</v>
      </c>
      <c r="R1370" s="52" t="s">
        <v>376</v>
      </c>
      <c r="S1370" s="52"/>
      <c r="T1370" s="52"/>
      <c r="U1370" s="52"/>
      <c r="V1370" s="52"/>
      <c r="W1370" s="52"/>
      <c r="X1370" s="52"/>
      <c r="Y1370" s="52"/>
      <c r="Z1370" s="57"/>
      <c r="AA1370" s="58">
        <v>0</v>
      </c>
      <c r="AB1370" s="58">
        <v>0</v>
      </c>
      <c r="AC1370" s="59">
        <v>0</v>
      </c>
      <c r="AD1370" s="52" t="s">
        <v>1033</v>
      </c>
      <c r="AE1370" s="50">
        <f>IF(L1370="W",1,0)</f>
        <v>0</v>
      </c>
      <c r="AF1370" s="50">
        <f>IF(L1370="T",1,0)</f>
        <v>1</v>
      </c>
      <c r="AG1370" s="50">
        <f>IF(L1370="L",1,0)</f>
        <v>0</v>
      </c>
      <c r="AH1370" s="52" t="s">
        <v>1017</v>
      </c>
      <c r="AI1370" s="52" t="s">
        <v>1018</v>
      </c>
      <c r="AJ1370" s="52" t="s">
        <v>376</v>
      </c>
      <c r="AK1370" s="50" t="s">
        <v>658</v>
      </c>
      <c r="AL1370" s="52" t="s">
        <v>1101</v>
      </c>
      <c r="AM1370" s="52" t="s">
        <v>1159</v>
      </c>
      <c r="AN1370" s="52" t="s">
        <v>376</v>
      </c>
      <c r="AO1370" s="50" t="s">
        <v>658</v>
      </c>
      <c r="AP1370" s="52"/>
      <c r="AQ1370" s="52">
        <v>2</v>
      </c>
      <c r="AR1370" s="52"/>
      <c r="AS1370" s="52"/>
      <c r="AU1370" s="52" t="s">
        <v>376</v>
      </c>
      <c r="AV1370" s="52"/>
      <c r="AW1370" s="52" t="s">
        <v>30</v>
      </c>
      <c r="AX1370" s="52"/>
      <c r="AY1370" s="52"/>
      <c r="AZ1370" s="52" t="s">
        <v>30</v>
      </c>
      <c r="BA1370" s="52"/>
      <c r="BB1370" s="60"/>
      <c r="BC1370" s="52"/>
      <c r="BD1370" s="60"/>
      <c r="BE1370" s="60"/>
      <c r="BF1370" s="35">
        <v>1</v>
      </c>
      <c r="BG1370" s="52">
        <v>1</v>
      </c>
      <c r="BH1370" s="52"/>
      <c r="BI1370" s="52" t="s">
        <v>816</v>
      </c>
      <c r="BJ1370" s="52" t="s">
        <v>821</v>
      </c>
      <c r="BK1370" s="52">
        <v>2005</v>
      </c>
      <c r="BL1370" s="46" t="str">
        <f>BK1370&amp;BI1370</f>
        <v>2005Chelsea</v>
      </c>
      <c r="BM1370" s="52" t="str">
        <f>IF(AD1370="Home",BI1370,IF(AD1370="Away",BJ1370,Q1370))</f>
        <v>Chelsea</v>
      </c>
      <c r="BN1370" s="52"/>
      <c r="BO1370" s="52"/>
      <c r="BP1370" s="52"/>
      <c r="BQ1370" s="52"/>
      <c r="BR1370" s="52"/>
      <c r="BS1370" s="52"/>
      <c r="BT1370" s="52"/>
      <c r="BU1370" s="52"/>
      <c r="BV1370" s="52" t="s">
        <v>376</v>
      </c>
      <c r="BW1370" s="52" t="s">
        <v>376</v>
      </c>
      <c r="BX1370" s="52"/>
      <c r="BY1370" s="52"/>
      <c r="BZ1370" s="53"/>
      <c r="CA1370" s="53"/>
      <c r="CB1370" s="93" t="str">
        <f>IF(OR(C1370="",A1370="",B1370=""),"",TEXT(C1370,"0000")&amp;TEXT(A1370,"00")&amp;TEXT(B1370,"00"))</f>
        <v>20050112</v>
      </c>
    </row>
    <row r="1371" spans="1:80" s="46" customFormat="1" ht="12.95" customHeight="1" x14ac:dyDescent="0.2">
      <c r="A1371" s="46">
        <v>1</v>
      </c>
      <c r="B1371" s="46">
        <v>12</v>
      </c>
      <c r="C1371" s="46">
        <v>2005</v>
      </c>
      <c r="D1371" s="52" t="s">
        <v>658</v>
      </c>
      <c r="E1371" s="52" t="s">
        <v>287</v>
      </c>
      <c r="F1371" s="52" t="s">
        <v>1327</v>
      </c>
      <c r="G1371" s="52"/>
      <c r="H1371" s="52" t="s">
        <v>1011</v>
      </c>
      <c r="I1371" s="52">
        <v>1</v>
      </c>
      <c r="J1371" s="56">
        <v>38364</v>
      </c>
      <c r="K1371" s="52" t="s">
        <v>821</v>
      </c>
      <c r="L1371" s="52" t="s">
        <v>1014</v>
      </c>
      <c r="M1371" s="52" t="s">
        <v>816</v>
      </c>
      <c r="N1371" s="57">
        <v>0</v>
      </c>
      <c r="O1371" s="57">
        <v>0</v>
      </c>
      <c r="P1371" s="52" t="s">
        <v>1234</v>
      </c>
      <c r="Q1371" s="52" t="s">
        <v>1017</v>
      </c>
      <c r="R1371" s="52" t="s">
        <v>376</v>
      </c>
      <c r="S1371" s="52"/>
      <c r="T1371" s="52"/>
      <c r="U1371" s="52"/>
      <c r="V1371" s="52"/>
      <c r="W1371" s="52"/>
      <c r="X1371" s="52"/>
      <c r="Y1371" s="52"/>
      <c r="Z1371" s="57"/>
      <c r="AA1371" s="58">
        <v>0</v>
      </c>
      <c r="AB1371" s="58">
        <v>0</v>
      </c>
      <c r="AC1371" s="59">
        <v>0</v>
      </c>
      <c r="AD1371" s="52" t="s">
        <v>1037</v>
      </c>
      <c r="AE1371" s="50">
        <f>IF(L1371="W",1,0)</f>
        <v>0</v>
      </c>
      <c r="AF1371" s="50">
        <f>IF(L1371="T",1,0)</f>
        <v>1</v>
      </c>
      <c r="AG1371" s="50">
        <f>IF(L1371="L",1,0)</f>
        <v>0</v>
      </c>
      <c r="AH1371" s="52" t="s">
        <v>1101</v>
      </c>
      <c r="AI1371" s="52" t="s">
        <v>1159</v>
      </c>
      <c r="AJ1371" s="52" t="s">
        <v>376</v>
      </c>
      <c r="AK1371" s="50" t="s">
        <v>658</v>
      </c>
      <c r="AL1371" s="52" t="s">
        <v>1017</v>
      </c>
      <c r="AM1371" s="52" t="s">
        <v>1018</v>
      </c>
      <c r="AN1371" s="52" t="s">
        <v>376</v>
      </c>
      <c r="AO1371" s="50" t="s">
        <v>658</v>
      </c>
      <c r="AP1371" s="52"/>
      <c r="AQ1371" s="52">
        <v>2</v>
      </c>
      <c r="AR1371" s="52"/>
      <c r="AS1371" s="52"/>
      <c r="AU1371" s="52" t="s">
        <v>376</v>
      </c>
      <c r="AV1371" s="52"/>
      <c r="AW1371" s="52" t="s">
        <v>30</v>
      </c>
      <c r="AX1371" s="52"/>
      <c r="AY1371" s="52"/>
      <c r="AZ1371" s="52" t="s">
        <v>30</v>
      </c>
      <c r="BA1371" s="52"/>
      <c r="BB1371" s="60"/>
      <c r="BC1371" s="52"/>
      <c r="BD1371" s="60"/>
      <c r="BE1371" s="60"/>
      <c r="BF1371" s="35">
        <v>1</v>
      </c>
      <c r="BG1371" s="52">
        <v>1</v>
      </c>
      <c r="BH1371" s="52"/>
      <c r="BI1371" s="52" t="s">
        <v>821</v>
      </c>
      <c r="BJ1371" s="52" t="s">
        <v>816</v>
      </c>
      <c r="BK1371" s="52">
        <v>2005</v>
      </c>
      <c r="BL1371" s="46" t="str">
        <f>BK1371&amp;BI1371</f>
        <v>2005Manchester United</v>
      </c>
      <c r="BM1371" s="52" t="str">
        <f>IF(AD1371="Home",BI1371,IF(AD1371="Away",BJ1371,Q1371))</f>
        <v>Chelsea</v>
      </c>
      <c r="BN1371" s="52"/>
      <c r="BO1371" s="52"/>
      <c r="BP1371" s="52"/>
      <c r="BQ1371" s="52"/>
      <c r="BR1371" s="52"/>
      <c r="BS1371" s="52"/>
      <c r="BT1371" s="52"/>
      <c r="BU1371" s="52"/>
      <c r="BV1371" s="52" t="s">
        <v>376</v>
      </c>
      <c r="BW1371" s="52" t="s">
        <v>376</v>
      </c>
      <c r="BX1371" s="52"/>
      <c r="BY1371" s="52"/>
      <c r="BZ1371" s="53"/>
      <c r="CA1371" s="53"/>
      <c r="CB1371" s="93" t="str">
        <f>IF(OR(C1371="",A1371="",B1371=""),"",TEXT(C1371,"0000")&amp;TEXT(A1371,"00")&amp;TEXT(B1371,"00"))</f>
        <v>20050112</v>
      </c>
    </row>
    <row r="1372" spans="1:80" s="46" customFormat="1" ht="12.95" customHeight="1" x14ac:dyDescent="0.2">
      <c r="A1372" s="46">
        <v>1</v>
      </c>
      <c r="B1372" s="46">
        <v>25</v>
      </c>
      <c r="C1372" s="46">
        <v>2005</v>
      </c>
      <c r="D1372" s="46" t="s">
        <v>658</v>
      </c>
      <c r="E1372" s="46" t="s">
        <v>287</v>
      </c>
      <c r="F1372" s="54" t="s">
        <v>1327</v>
      </c>
      <c r="H1372" s="54" t="s">
        <v>1011</v>
      </c>
      <c r="I1372" s="54">
        <v>2</v>
      </c>
      <c r="J1372" s="55">
        <v>38377</v>
      </c>
      <c r="K1372" s="46" t="s">
        <v>1357</v>
      </c>
      <c r="L1372" s="46" t="s">
        <v>4</v>
      </c>
      <c r="M1372" s="46" t="s">
        <v>588</v>
      </c>
      <c r="N1372" s="49">
        <v>0</v>
      </c>
      <c r="O1372" s="49">
        <v>1</v>
      </c>
      <c r="P1372" s="54" t="s">
        <v>1373</v>
      </c>
      <c r="Q1372" s="54" t="s">
        <v>1017</v>
      </c>
      <c r="R1372" s="54" t="s">
        <v>376</v>
      </c>
      <c r="AD1372" s="46" t="s">
        <v>1033</v>
      </c>
      <c r="AE1372" s="50">
        <f>IF(L1372="W",1,0)</f>
        <v>0</v>
      </c>
      <c r="AF1372" s="50">
        <f>IF(L1372="T",1,0)</f>
        <v>0</v>
      </c>
      <c r="AG1372" s="50">
        <f>IF(L1372="L",1,0)</f>
        <v>1</v>
      </c>
      <c r="AH1372" s="46" t="s">
        <v>1017</v>
      </c>
      <c r="AI1372" s="46" t="s">
        <v>1371</v>
      </c>
      <c r="AJ1372" s="46" t="s">
        <v>376</v>
      </c>
      <c r="AK1372" s="46" t="s">
        <v>658</v>
      </c>
      <c r="AL1372" s="46" t="s">
        <v>588</v>
      </c>
      <c r="AM1372" s="46" t="s">
        <v>1175</v>
      </c>
      <c r="AN1372" s="46" t="s">
        <v>376</v>
      </c>
      <c r="AO1372" s="46" t="s">
        <v>658</v>
      </c>
      <c r="AQ1372" s="46">
        <v>2</v>
      </c>
      <c r="AU1372" s="46" t="s">
        <v>376</v>
      </c>
      <c r="AW1372" s="46" t="s">
        <v>30</v>
      </c>
      <c r="AZ1372" s="46" t="s">
        <v>30</v>
      </c>
      <c r="BA1372" s="54"/>
      <c r="BB1372" s="51"/>
      <c r="BF1372" s="46">
        <v>1</v>
      </c>
      <c r="BG1372" s="46">
        <v>2</v>
      </c>
      <c r="BH1372" s="46">
        <v>1</v>
      </c>
      <c r="BI1372" s="46" t="s">
        <v>1357</v>
      </c>
      <c r="BJ1372" s="46" t="s">
        <v>588</v>
      </c>
      <c r="BK1372" s="46">
        <v>2005</v>
      </c>
      <c r="BL1372" s="46" t="str">
        <f>BK1372&amp;BI1372</f>
        <v>2005Watford</v>
      </c>
      <c r="BM1372" s="52" t="str">
        <f>IF(AD1372="Home",BI1372,IF(AD1372="Away",BJ1372,Q1372))</f>
        <v>Watford</v>
      </c>
      <c r="BV1372" s="46" t="s">
        <v>376</v>
      </c>
      <c r="BW1372" s="46" t="s">
        <v>376</v>
      </c>
      <c r="BY1372" s="52"/>
      <c r="BZ1372" s="53"/>
      <c r="CA1372" s="53"/>
      <c r="CB1372" s="93" t="str">
        <f>IF(OR(C1372="",A1372="",B1372=""),"",TEXT(C1372,"0000")&amp;TEXT(A1372,"00")&amp;TEXT(B1372,"00"))</f>
        <v>20050125</v>
      </c>
    </row>
    <row r="1373" spans="1:80" s="46" customFormat="1" ht="12.95" customHeight="1" x14ac:dyDescent="0.2">
      <c r="A1373" s="46">
        <v>1</v>
      </c>
      <c r="B1373" s="46">
        <v>25</v>
      </c>
      <c r="C1373" s="46">
        <v>2005</v>
      </c>
      <c r="D1373" s="52" t="s">
        <v>658</v>
      </c>
      <c r="E1373" s="52" t="s">
        <v>287</v>
      </c>
      <c r="F1373" s="52" t="s">
        <v>1327</v>
      </c>
      <c r="G1373" s="52"/>
      <c r="H1373" s="52" t="s">
        <v>1011</v>
      </c>
      <c r="I1373" s="52">
        <v>2</v>
      </c>
      <c r="J1373" s="56">
        <v>38377</v>
      </c>
      <c r="K1373" s="52" t="s">
        <v>588</v>
      </c>
      <c r="L1373" s="52" t="s">
        <v>3</v>
      </c>
      <c r="M1373" s="52" t="s">
        <v>1357</v>
      </c>
      <c r="N1373" s="57">
        <v>1</v>
      </c>
      <c r="O1373" s="57">
        <v>0</v>
      </c>
      <c r="P1373" s="52" t="s">
        <v>1373</v>
      </c>
      <c r="Q1373" s="52" t="s">
        <v>1017</v>
      </c>
      <c r="R1373" s="52" t="s">
        <v>376</v>
      </c>
      <c r="S1373" s="52"/>
      <c r="T1373" s="52"/>
      <c r="U1373" s="52"/>
      <c r="V1373" s="52"/>
      <c r="W1373" s="52"/>
      <c r="X1373" s="52"/>
      <c r="Y1373" s="52"/>
      <c r="Z1373" s="57"/>
      <c r="AA1373" s="58">
        <v>2</v>
      </c>
      <c r="AB1373" s="58">
        <v>0</v>
      </c>
      <c r="AC1373" s="59">
        <v>1</v>
      </c>
      <c r="AD1373" s="52" t="s">
        <v>1037</v>
      </c>
      <c r="AE1373" s="50">
        <f>IF(L1373="W",1,0)</f>
        <v>1</v>
      </c>
      <c r="AF1373" s="50">
        <f>IF(L1373="T",1,0)</f>
        <v>0</v>
      </c>
      <c r="AG1373" s="50">
        <f>IF(L1373="L",1,0)</f>
        <v>0</v>
      </c>
      <c r="AH1373" s="52" t="s">
        <v>588</v>
      </c>
      <c r="AI1373" s="52" t="s">
        <v>1175</v>
      </c>
      <c r="AJ1373" s="52" t="s">
        <v>376</v>
      </c>
      <c r="AK1373" s="50" t="s">
        <v>658</v>
      </c>
      <c r="AL1373" s="52" t="s">
        <v>1017</v>
      </c>
      <c r="AM1373" s="52" t="s">
        <v>1371</v>
      </c>
      <c r="AN1373" s="52" t="s">
        <v>376</v>
      </c>
      <c r="AO1373" s="50" t="s">
        <v>658</v>
      </c>
      <c r="AP1373" s="52"/>
      <c r="AQ1373" s="52">
        <v>2</v>
      </c>
      <c r="AR1373" s="52"/>
      <c r="AS1373" s="52"/>
      <c r="AU1373" s="52" t="s">
        <v>376</v>
      </c>
      <c r="AV1373" s="52"/>
      <c r="AW1373" s="52" t="s">
        <v>30</v>
      </c>
      <c r="AX1373" s="52"/>
      <c r="AY1373" s="52"/>
      <c r="AZ1373" s="52" t="s">
        <v>30</v>
      </c>
      <c r="BA1373" s="52"/>
      <c r="BB1373" s="60"/>
      <c r="BC1373" s="52"/>
      <c r="BD1373" s="60"/>
      <c r="BE1373" s="60"/>
      <c r="BF1373" s="35">
        <v>1</v>
      </c>
      <c r="BG1373" s="52">
        <v>1</v>
      </c>
      <c r="BH1373" s="52"/>
      <c r="BI1373" s="52" t="s">
        <v>588</v>
      </c>
      <c r="BJ1373" s="52" t="s">
        <v>1357</v>
      </c>
      <c r="BK1373" s="52">
        <v>2005</v>
      </c>
      <c r="BL1373" s="46" t="str">
        <f>BK1373&amp;BI1373</f>
        <v>2005Liverpool</v>
      </c>
      <c r="BM1373" s="52" t="str">
        <f>IF(AD1373="Home",BI1373,IF(AD1373="Away",BJ1373,Q1373))</f>
        <v>Watford</v>
      </c>
      <c r="BN1373" s="52"/>
      <c r="BO1373" s="52"/>
      <c r="BP1373" s="52"/>
      <c r="BQ1373" s="52"/>
      <c r="BR1373" s="52"/>
      <c r="BS1373" s="52"/>
      <c r="BT1373" s="52"/>
      <c r="BU1373" s="52"/>
      <c r="BV1373" s="52" t="s">
        <v>376</v>
      </c>
      <c r="BW1373" s="52" t="s">
        <v>376</v>
      </c>
      <c r="BX1373" s="52"/>
      <c r="BY1373" s="52"/>
      <c r="BZ1373" s="53"/>
      <c r="CA1373" s="53"/>
      <c r="CB1373" s="93" t="str">
        <f>IF(OR(C1373="",A1373="",B1373=""),"",TEXT(C1373,"0000")&amp;TEXT(A1373,"00")&amp;TEXT(B1373,"00"))</f>
        <v>20050125</v>
      </c>
    </row>
    <row r="1374" spans="1:80" s="46" customFormat="1" ht="12.95" customHeight="1" x14ac:dyDescent="0.2">
      <c r="A1374" s="46">
        <v>1</v>
      </c>
      <c r="B1374" s="46">
        <v>26</v>
      </c>
      <c r="C1374" s="46">
        <v>2005</v>
      </c>
      <c r="D1374" s="52" t="s">
        <v>658</v>
      </c>
      <c r="E1374" s="52" t="s">
        <v>287</v>
      </c>
      <c r="F1374" s="52" t="s">
        <v>1327</v>
      </c>
      <c r="G1374" s="52"/>
      <c r="H1374" s="52" t="s">
        <v>1011</v>
      </c>
      <c r="I1374" s="52">
        <v>2</v>
      </c>
      <c r="J1374" s="56">
        <v>38378</v>
      </c>
      <c r="K1374" s="52" t="s">
        <v>821</v>
      </c>
      <c r="L1374" s="52" t="s">
        <v>4</v>
      </c>
      <c r="M1374" s="52" t="s">
        <v>816</v>
      </c>
      <c r="N1374" s="57">
        <v>1</v>
      </c>
      <c r="O1374" s="57">
        <v>2</v>
      </c>
      <c r="P1374" s="52" t="s">
        <v>1246</v>
      </c>
      <c r="Q1374" s="52" t="s">
        <v>1101</v>
      </c>
      <c r="R1374" s="52" t="s">
        <v>376</v>
      </c>
      <c r="S1374" s="52"/>
      <c r="T1374" s="52"/>
      <c r="U1374" s="52"/>
      <c r="V1374" s="52"/>
      <c r="W1374" s="52"/>
      <c r="X1374" s="52"/>
      <c r="Y1374" s="52"/>
      <c r="Z1374" s="57"/>
      <c r="AA1374" s="58">
        <v>1</v>
      </c>
      <c r="AB1374" s="58">
        <v>2</v>
      </c>
      <c r="AC1374" s="59">
        <v>0</v>
      </c>
      <c r="AD1374" s="52" t="s">
        <v>1033</v>
      </c>
      <c r="AE1374" s="50">
        <f>IF(L1374="W",1,0)</f>
        <v>0</v>
      </c>
      <c r="AF1374" s="50">
        <f>IF(L1374="T",1,0)</f>
        <v>0</v>
      </c>
      <c r="AG1374" s="50">
        <f>IF(L1374="L",1,0)</f>
        <v>1</v>
      </c>
      <c r="AH1374" s="52" t="s">
        <v>1101</v>
      </c>
      <c r="AI1374" s="52" t="s">
        <v>1159</v>
      </c>
      <c r="AJ1374" s="52" t="s">
        <v>376</v>
      </c>
      <c r="AK1374" s="50" t="s">
        <v>658</v>
      </c>
      <c r="AL1374" s="52" t="s">
        <v>1017</v>
      </c>
      <c r="AM1374" s="52" t="s">
        <v>1018</v>
      </c>
      <c r="AN1374" s="52" t="s">
        <v>376</v>
      </c>
      <c r="AO1374" s="50" t="s">
        <v>658</v>
      </c>
      <c r="AP1374" s="52"/>
      <c r="AQ1374" s="52">
        <v>2</v>
      </c>
      <c r="AR1374" s="52"/>
      <c r="AS1374" s="52">
        <v>1</v>
      </c>
      <c r="AU1374" s="52" t="s">
        <v>376</v>
      </c>
      <c r="AV1374" s="52"/>
      <c r="AW1374" s="52" t="s">
        <v>30</v>
      </c>
      <c r="AX1374" s="52"/>
      <c r="AY1374" s="52"/>
      <c r="AZ1374" s="52" t="s">
        <v>30</v>
      </c>
      <c r="BA1374" s="52"/>
      <c r="BB1374" s="60"/>
      <c r="BC1374" s="52"/>
      <c r="BD1374" s="60"/>
      <c r="BE1374" s="60"/>
      <c r="BF1374" s="35">
        <v>1</v>
      </c>
      <c r="BG1374" s="52">
        <v>1</v>
      </c>
      <c r="BH1374" s="52"/>
      <c r="BI1374" s="52" t="s">
        <v>821</v>
      </c>
      <c r="BJ1374" s="52" t="s">
        <v>816</v>
      </c>
      <c r="BK1374" s="52">
        <v>2005</v>
      </c>
      <c r="BL1374" s="46" t="str">
        <f>BK1374&amp;BI1374</f>
        <v>2005Manchester United</v>
      </c>
      <c r="BM1374" s="52" t="str">
        <f>IF(AD1374="Home",BI1374,IF(AD1374="Away",BJ1374,Q1374))</f>
        <v>Manchester United</v>
      </c>
      <c r="BN1374" s="52"/>
      <c r="BO1374" s="52"/>
      <c r="BP1374" s="52"/>
      <c r="BQ1374" s="52"/>
      <c r="BR1374" s="52"/>
      <c r="BS1374" s="52"/>
      <c r="BT1374" s="52"/>
      <c r="BU1374" s="52"/>
      <c r="BV1374" s="52" t="s">
        <v>376</v>
      </c>
      <c r="BW1374" s="52" t="s">
        <v>376</v>
      </c>
      <c r="BX1374" s="52"/>
      <c r="BY1374" s="52"/>
      <c r="BZ1374" s="53"/>
      <c r="CA1374" s="53"/>
      <c r="CB1374" s="93" t="str">
        <f>IF(OR(C1374="",A1374="",B1374=""),"",TEXT(C1374,"0000")&amp;TEXT(A1374,"00")&amp;TEXT(B1374,"00"))</f>
        <v>20050126</v>
      </c>
    </row>
    <row r="1375" spans="1:80" s="46" customFormat="1" ht="12.95" customHeight="1" x14ac:dyDescent="0.2">
      <c r="A1375" s="46">
        <v>1</v>
      </c>
      <c r="B1375" s="46">
        <v>26</v>
      </c>
      <c r="C1375" s="46">
        <v>2005</v>
      </c>
      <c r="D1375" s="52" t="s">
        <v>658</v>
      </c>
      <c r="E1375" s="52" t="s">
        <v>287</v>
      </c>
      <c r="F1375" s="52" t="s">
        <v>1327</v>
      </c>
      <c r="G1375" s="52"/>
      <c r="H1375" s="52" t="s">
        <v>1011</v>
      </c>
      <c r="I1375" s="52">
        <v>2</v>
      </c>
      <c r="J1375" s="56">
        <v>38378</v>
      </c>
      <c r="K1375" s="52" t="s">
        <v>816</v>
      </c>
      <c r="L1375" s="52" t="s">
        <v>3</v>
      </c>
      <c r="M1375" s="52" t="s">
        <v>821</v>
      </c>
      <c r="N1375" s="57">
        <v>2</v>
      </c>
      <c r="O1375" s="57">
        <v>1</v>
      </c>
      <c r="P1375" s="52" t="s">
        <v>1246</v>
      </c>
      <c r="Q1375" s="52" t="s">
        <v>1101</v>
      </c>
      <c r="R1375" s="52" t="s">
        <v>376</v>
      </c>
      <c r="S1375" s="52"/>
      <c r="T1375" s="52"/>
      <c r="U1375" s="52"/>
      <c r="V1375" s="52"/>
      <c r="W1375" s="52"/>
      <c r="X1375" s="52"/>
      <c r="Y1375" s="52"/>
      <c r="Z1375" s="57"/>
      <c r="AA1375" s="58">
        <v>2</v>
      </c>
      <c r="AB1375" s="58">
        <v>1</v>
      </c>
      <c r="AC1375" s="59">
        <v>2</v>
      </c>
      <c r="AD1375" s="52" t="s">
        <v>1037</v>
      </c>
      <c r="AE1375" s="50">
        <f>IF(L1375="W",1,0)</f>
        <v>1</v>
      </c>
      <c r="AF1375" s="50">
        <f>IF(L1375="T",1,0)</f>
        <v>0</v>
      </c>
      <c r="AG1375" s="50">
        <f>IF(L1375="L",1,0)</f>
        <v>0</v>
      </c>
      <c r="AH1375" s="52" t="s">
        <v>1017</v>
      </c>
      <c r="AI1375" s="52" t="s">
        <v>1018</v>
      </c>
      <c r="AJ1375" s="52" t="s">
        <v>376</v>
      </c>
      <c r="AK1375" s="50" t="s">
        <v>658</v>
      </c>
      <c r="AL1375" s="52" t="s">
        <v>1101</v>
      </c>
      <c r="AM1375" s="52" t="s">
        <v>1159</v>
      </c>
      <c r="AN1375" s="52" t="s">
        <v>376</v>
      </c>
      <c r="AO1375" s="50" t="s">
        <v>658</v>
      </c>
      <c r="AP1375" s="52"/>
      <c r="AQ1375" s="52">
        <v>2</v>
      </c>
      <c r="AR1375" s="52"/>
      <c r="AS1375" s="52"/>
      <c r="AU1375" s="52" t="s">
        <v>376</v>
      </c>
      <c r="AV1375" s="52"/>
      <c r="AW1375" s="52" t="s">
        <v>30</v>
      </c>
      <c r="AX1375" s="52"/>
      <c r="AY1375" s="52"/>
      <c r="AZ1375" s="52" t="s">
        <v>30</v>
      </c>
      <c r="BA1375" s="52"/>
      <c r="BB1375" s="60"/>
      <c r="BC1375" s="52"/>
      <c r="BD1375" s="60"/>
      <c r="BE1375" s="60"/>
      <c r="BF1375" s="35">
        <v>1</v>
      </c>
      <c r="BG1375" s="52">
        <v>1</v>
      </c>
      <c r="BH1375" s="52"/>
      <c r="BI1375" s="52" t="s">
        <v>816</v>
      </c>
      <c r="BJ1375" s="52" t="s">
        <v>821</v>
      </c>
      <c r="BK1375" s="52">
        <v>2005</v>
      </c>
      <c r="BL1375" s="46" t="str">
        <f>BK1375&amp;BI1375</f>
        <v>2005Chelsea</v>
      </c>
      <c r="BM1375" s="52" t="str">
        <f>IF(AD1375="Home",BI1375,IF(AD1375="Away",BJ1375,Q1375))</f>
        <v>Manchester United</v>
      </c>
      <c r="BN1375" s="52"/>
      <c r="BO1375" s="52"/>
      <c r="BP1375" s="52"/>
      <c r="BQ1375" s="52"/>
      <c r="BR1375" s="52"/>
      <c r="BS1375" s="52"/>
      <c r="BT1375" s="52"/>
      <c r="BU1375" s="52"/>
      <c r="BV1375" s="52" t="s">
        <v>376</v>
      </c>
      <c r="BW1375" s="52" t="s">
        <v>376</v>
      </c>
      <c r="BX1375" s="52"/>
      <c r="BY1375" s="52"/>
      <c r="BZ1375" s="53"/>
      <c r="CA1375" s="53"/>
      <c r="CB1375" s="93" t="str">
        <f>IF(OR(C1375="",A1375="",B1375=""),"",TEXT(C1375,"0000")&amp;TEXT(A1375,"00")&amp;TEXT(B1375,"00"))</f>
        <v>20050126</v>
      </c>
    </row>
    <row r="1376" spans="1:80" s="46" customFormat="1" ht="12.95" customHeight="1" x14ac:dyDescent="0.2">
      <c r="A1376" s="46">
        <v>2</v>
      </c>
      <c r="B1376" s="46">
        <v>27</v>
      </c>
      <c r="C1376" s="46">
        <v>2005</v>
      </c>
      <c r="D1376" s="52" t="s">
        <v>658</v>
      </c>
      <c r="E1376" s="52" t="s">
        <v>287</v>
      </c>
      <c r="F1376" s="52" t="s">
        <v>1327</v>
      </c>
      <c r="G1376" s="52"/>
      <c r="H1376" s="52" t="s">
        <v>40</v>
      </c>
      <c r="I1376" s="52"/>
      <c r="J1376" s="56">
        <v>38410</v>
      </c>
      <c r="K1376" s="52" t="s">
        <v>816</v>
      </c>
      <c r="L1376" s="52" t="s">
        <v>3</v>
      </c>
      <c r="M1376" s="52" t="s">
        <v>588</v>
      </c>
      <c r="N1376" s="57">
        <v>3</v>
      </c>
      <c r="O1376" s="57">
        <v>2</v>
      </c>
      <c r="P1376" s="52" t="s">
        <v>1407</v>
      </c>
      <c r="Q1376" s="46" t="s">
        <v>1263</v>
      </c>
      <c r="R1376" s="46" t="s">
        <v>1264</v>
      </c>
      <c r="S1376" s="52" t="s">
        <v>1396</v>
      </c>
      <c r="T1376" s="52"/>
      <c r="U1376" s="52"/>
      <c r="V1376" s="52"/>
      <c r="W1376" s="52"/>
      <c r="X1376" s="52"/>
      <c r="Y1376" s="52"/>
      <c r="Z1376" s="57"/>
      <c r="AA1376" s="52"/>
      <c r="AB1376" s="52"/>
      <c r="AC1376" s="52"/>
      <c r="AD1376" s="52"/>
      <c r="AE1376" s="50">
        <f>IF(L1376="W",1,0)</f>
        <v>1</v>
      </c>
      <c r="AF1376" s="50">
        <f>IF(L1376="T",1,0)</f>
        <v>0</v>
      </c>
      <c r="AG1376" s="50">
        <f>IF(L1376="L",1,0)</f>
        <v>0</v>
      </c>
      <c r="AH1376" s="52" t="s">
        <v>1017</v>
      </c>
      <c r="AI1376" s="52" t="s">
        <v>1018</v>
      </c>
      <c r="AJ1376" s="52" t="s">
        <v>376</v>
      </c>
      <c r="AK1376" s="50" t="s">
        <v>658</v>
      </c>
      <c r="AL1376" s="52" t="s">
        <v>588</v>
      </c>
      <c r="AM1376" s="52" t="s">
        <v>1175</v>
      </c>
      <c r="AN1376" s="52" t="s">
        <v>376</v>
      </c>
      <c r="AO1376" s="50" t="s">
        <v>658</v>
      </c>
      <c r="AP1376" s="52"/>
      <c r="AQ1376" s="52">
        <v>1</v>
      </c>
      <c r="AR1376" s="52"/>
      <c r="AS1376" s="52" t="s">
        <v>1393</v>
      </c>
      <c r="AU1376" s="52" t="s">
        <v>376</v>
      </c>
      <c r="AV1376" s="52"/>
      <c r="AW1376" s="52" t="s">
        <v>30</v>
      </c>
      <c r="AX1376" s="52"/>
      <c r="AY1376" s="52"/>
      <c r="AZ1376" s="57" t="s">
        <v>30</v>
      </c>
      <c r="BA1376" s="52"/>
      <c r="BB1376" s="60" t="s">
        <v>30</v>
      </c>
      <c r="BC1376" s="52" t="s">
        <v>30</v>
      </c>
      <c r="BD1376" s="60"/>
      <c r="BE1376" s="60" t="s">
        <v>1394</v>
      </c>
      <c r="BF1376" s="35">
        <v>1</v>
      </c>
      <c r="BG1376" s="52">
        <v>1</v>
      </c>
      <c r="BH1376" s="52"/>
      <c r="BI1376" s="52" t="s">
        <v>816</v>
      </c>
      <c r="BJ1376" s="52" t="s">
        <v>588</v>
      </c>
      <c r="BK1376" s="52">
        <v>2005</v>
      </c>
      <c r="BL1376" s="46" t="str">
        <f>BK1376&amp;BI1376</f>
        <v>2005Chelsea</v>
      </c>
      <c r="BM1376" s="52" t="str">
        <f>IF(AD1376="Home",BI1376,IF(AD1376="Away",BJ1376,Q1376))</f>
        <v>Cardiff</v>
      </c>
      <c r="BN1376" s="52"/>
      <c r="BO1376" s="52"/>
      <c r="BP1376" s="52"/>
      <c r="BQ1376" s="52"/>
      <c r="BR1376" s="52"/>
      <c r="BS1376" s="52"/>
      <c r="BT1376" s="52"/>
      <c r="BU1376" s="52"/>
      <c r="BV1376" s="52" t="s">
        <v>376</v>
      </c>
      <c r="BW1376" s="52" t="s">
        <v>376</v>
      </c>
      <c r="BX1376" s="52"/>
      <c r="BZ1376" s="53"/>
      <c r="CA1376" s="53"/>
      <c r="CB1376" s="93" t="str">
        <f>IF(OR(C1376="",A1376="",B1376=""),"",TEXT(C1376,"0000")&amp;TEXT(A1376,"00")&amp;TEXT(B1376,"00"))</f>
        <v>20050227</v>
      </c>
    </row>
    <row r="1377" spans="1:80" s="46" customFormat="1" ht="12.95" customHeight="1" x14ac:dyDescent="0.2">
      <c r="A1377" s="46">
        <v>2</v>
      </c>
      <c r="B1377" s="46">
        <v>27</v>
      </c>
      <c r="C1377" s="46">
        <v>2005</v>
      </c>
      <c r="D1377" s="52" t="s">
        <v>658</v>
      </c>
      <c r="E1377" s="52" t="s">
        <v>287</v>
      </c>
      <c r="F1377" s="52" t="s">
        <v>1327</v>
      </c>
      <c r="G1377" s="52"/>
      <c r="H1377" s="52" t="s">
        <v>40</v>
      </c>
      <c r="I1377" s="52"/>
      <c r="J1377" s="56">
        <v>38410</v>
      </c>
      <c r="K1377" s="52" t="s">
        <v>588</v>
      </c>
      <c r="L1377" s="52" t="s">
        <v>4</v>
      </c>
      <c r="M1377" s="52" t="s">
        <v>816</v>
      </c>
      <c r="N1377" s="57">
        <v>2</v>
      </c>
      <c r="O1377" s="57">
        <v>3</v>
      </c>
      <c r="P1377" s="52" t="s">
        <v>1407</v>
      </c>
      <c r="Q1377" s="46" t="s">
        <v>1263</v>
      </c>
      <c r="R1377" s="46" t="s">
        <v>1264</v>
      </c>
      <c r="S1377" s="52" t="s">
        <v>1396</v>
      </c>
      <c r="T1377" s="52"/>
      <c r="U1377" s="52"/>
      <c r="V1377" s="52"/>
      <c r="W1377" s="52"/>
      <c r="X1377" s="52"/>
      <c r="Y1377" s="52"/>
      <c r="Z1377" s="57"/>
      <c r="AA1377" s="52"/>
      <c r="AB1377" s="52"/>
      <c r="AC1377" s="52"/>
      <c r="AD1377" s="52"/>
      <c r="AE1377" s="50">
        <f>IF(L1377="W",1,0)</f>
        <v>0</v>
      </c>
      <c r="AF1377" s="50">
        <f>IF(L1377="T",1,0)</f>
        <v>0</v>
      </c>
      <c r="AG1377" s="50">
        <f>IF(L1377="L",1,0)</f>
        <v>1</v>
      </c>
      <c r="AH1377" s="52" t="s">
        <v>588</v>
      </c>
      <c r="AI1377" s="52" t="s">
        <v>1175</v>
      </c>
      <c r="AJ1377" s="52" t="s">
        <v>376</v>
      </c>
      <c r="AK1377" s="50" t="s">
        <v>658</v>
      </c>
      <c r="AL1377" s="52" t="s">
        <v>1017</v>
      </c>
      <c r="AM1377" s="52" t="s">
        <v>1018</v>
      </c>
      <c r="AN1377" s="52" t="s">
        <v>376</v>
      </c>
      <c r="AO1377" s="50" t="s">
        <v>658</v>
      </c>
      <c r="AP1377" s="52"/>
      <c r="AQ1377" s="52">
        <v>1</v>
      </c>
      <c r="AR1377" s="52"/>
      <c r="AS1377" s="52">
        <v>1</v>
      </c>
      <c r="AU1377" s="52" t="s">
        <v>376</v>
      </c>
      <c r="AV1377" s="52"/>
      <c r="AW1377" s="52" t="s">
        <v>30</v>
      </c>
      <c r="AX1377" s="52"/>
      <c r="AY1377" s="52"/>
      <c r="AZ1377" s="52" t="s">
        <v>30</v>
      </c>
      <c r="BA1377" s="52"/>
      <c r="BB1377" s="60"/>
      <c r="BC1377" s="52" t="s">
        <v>30</v>
      </c>
      <c r="BD1377" s="60"/>
      <c r="BE1377" s="60"/>
      <c r="BF1377" s="35">
        <v>1</v>
      </c>
      <c r="BG1377" s="52">
        <v>1</v>
      </c>
      <c r="BH1377" s="52"/>
      <c r="BI1377" s="52" t="s">
        <v>588</v>
      </c>
      <c r="BJ1377" s="52" t="s">
        <v>816</v>
      </c>
      <c r="BK1377" s="52">
        <v>2005</v>
      </c>
      <c r="BL1377" s="46" t="str">
        <f>BK1377&amp;BI1377</f>
        <v>2005Liverpool</v>
      </c>
      <c r="BM1377" s="52" t="str">
        <f>IF(AD1377="Home",BI1377,IF(AD1377="Away",BJ1377,Q1377))</f>
        <v>Cardiff</v>
      </c>
      <c r="BN1377" s="52"/>
      <c r="BO1377" s="52"/>
      <c r="BP1377" s="52"/>
      <c r="BQ1377" s="52"/>
      <c r="BR1377" s="52"/>
      <c r="BS1377" s="52"/>
      <c r="BT1377" s="52"/>
      <c r="BU1377" s="52"/>
      <c r="BV1377" s="52" t="s">
        <v>376</v>
      </c>
      <c r="BW1377" s="52" t="s">
        <v>376</v>
      </c>
      <c r="BX1377" s="52"/>
      <c r="BZ1377" s="53"/>
      <c r="CA1377" s="53"/>
      <c r="CB1377" s="93" t="str">
        <f>IF(OR(C1377="",A1377="",B1377=""),"",TEXT(C1377,"0000")&amp;TEXT(A1377,"00")&amp;TEXT(B1377,"00"))</f>
        <v>20050227</v>
      </c>
    </row>
    <row r="1378" spans="1:80" s="46" customFormat="1" ht="12.95" customHeight="1" x14ac:dyDescent="0.2">
      <c r="A1378" s="46">
        <v>4</v>
      </c>
      <c r="B1378" s="46">
        <v>16</v>
      </c>
      <c r="C1378" s="46">
        <v>2005</v>
      </c>
      <c r="D1378" s="52" t="s">
        <v>658</v>
      </c>
      <c r="E1378" s="52" t="s">
        <v>287</v>
      </c>
      <c r="F1378" s="52" t="s">
        <v>1010</v>
      </c>
      <c r="G1378" s="52"/>
      <c r="H1378" s="52" t="s">
        <v>1011</v>
      </c>
      <c r="I1378" s="52"/>
      <c r="J1378" s="56">
        <v>38458</v>
      </c>
      <c r="K1378" s="52" t="s">
        <v>587</v>
      </c>
      <c r="L1378" s="52" t="s">
        <v>3</v>
      </c>
      <c r="M1378" s="52" t="s">
        <v>1094</v>
      </c>
      <c r="N1378" s="57">
        <v>3</v>
      </c>
      <c r="O1378" s="57">
        <v>0</v>
      </c>
      <c r="P1378" s="52" t="s">
        <v>1407</v>
      </c>
      <c r="Q1378" s="46" t="s">
        <v>1263</v>
      </c>
      <c r="R1378" s="46" t="s">
        <v>1264</v>
      </c>
      <c r="S1378" s="52"/>
      <c r="T1378" s="52"/>
      <c r="U1378" s="52"/>
      <c r="V1378" s="52"/>
      <c r="W1378" s="52"/>
      <c r="X1378" s="52"/>
      <c r="Y1378" s="52"/>
      <c r="Z1378" s="57"/>
      <c r="AA1378" s="52"/>
      <c r="AB1378" s="52"/>
      <c r="AC1378" s="52"/>
      <c r="AD1378" s="52"/>
      <c r="AE1378" s="50">
        <f>IF(L1378="W",1,0)</f>
        <v>1</v>
      </c>
      <c r="AF1378" s="50">
        <f>IF(L1378="T",1,0)</f>
        <v>0</v>
      </c>
      <c r="AG1378" s="50">
        <f>IF(L1378="L",1,0)</f>
        <v>0</v>
      </c>
      <c r="AH1378" s="52" t="s">
        <v>1017</v>
      </c>
      <c r="AI1378" s="52" t="s">
        <v>1018</v>
      </c>
      <c r="AJ1378" s="52" t="s">
        <v>376</v>
      </c>
      <c r="AK1378" s="50" t="s">
        <v>658</v>
      </c>
      <c r="AL1378" s="52" t="s">
        <v>1085</v>
      </c>
      <c r="AM1378" s="52" t="s">
        <v>1086</v>
      </c>
      <c r="AN1378" s="52" t="s">
        <v>376</v>
      </c>
      <c r="AO1378" s="50" t="s">
        <v>658</v>
      </c>
      <c r="AP1378" s="52"/>
      <c r="AQ1378" s="52">
        <v>2</v>
      </c>
      <c r="AR1378" s="52"/>
      <c r="AS1378" s="52"/>
      <c r="AU1378" s="52" t="s">
        <v>376</v>
      </c>
      <c r="AV1378" s="52"/>
      <c r="AW1378" s="52" t="s">
        <v>30</v>
      </c>
      <c r="AX1378" s="52"/>
      <c r="AY1378" s="52" t="s">
        <v>30</v>
      </c>
      <c r="AZ1378" s="52"/>
      <c r="BA1378" s="52"/>
      <c r="BB1378" s="60"/>
      <c r="BC1378" s="52"/>
      <c r="BD1378" s="60"/>
      <c r="BE1378" s="60"/>
      <c r="BF1378" s="35">
        <v>1</v>
      </c>
      <c r="BG1378" s="52">
        <v>1</v>
      </c>
      <c r="BH1378" s="52"/>
      <c r="BI1378" s="52" t="s">
        <v>587</v>
      </c>
      <c r="BJ1378" s="52" t="s">
        <v>1094</v>
      </c>
      <c r="BK1378" s="52">
        <v>2005</v>
      </c>
      <c r="BL1378" s="46" t="str">
        <f>BK1378&amp;BI1378</f>
        <v>2005Arsenal</v>
      </c>
      <c r="BM1378" s="52" t="str">
        <f>IF(AD1378="Home",BI1378,IF(AD1378="Away",BJ1378,Q1378))</f>
        <v>Cardiff</v>
      </c>
      <c r="BN1378" s="52"/>
      <c r="BO1378" s="52"/>
      <c r="BP1378" s="52"/>
      <c r="BQ1378" s="52"/>
      <c r="BR1378" s="52"/>
      <c r="BS1378" s="52"/>
      <c r="BT1378" s="52"/>
      <c r="BU1378" s="52"/>
      <c r="BV1378" s="52" t="s">
        <v>376</v>
      </c>
      <c r="BW1378" s="52" t="s">
        <v>376</v>
      </c>
      <c r="BX1378" s="52"/>
      <c r="BZ1378" s="53"/>
      <c r="CA1378" s="53"/>
      <c r="CB1378" s="93" t="str">
        <f>IF(OR(C1378="",A1378="",B1378=""),"",TEXT(C1378,"0000")&amp;TEXT(A1378,"00")&amp;TEXT(B1378,"00"))</f>
        <v>20050416</v>
      </c>
    </row>
    <row r="1379" spans="1:80" s="46" customFormat="1" ht="12.95" customHeight="1" x14ac:dyDescent="0.2">
      <c r="A1379" s="46">
        <v>4</v>
      </c>
      <c r="B1379" s="46">
        <v>16</v>
      </c>
      <c r="C1379" s="46">
        <v>2005</v>
      </c>
      <c r="D1379" s="52" t="s">
        <v>658</v>
      </c>
      <c r="E1379" s="52" t="s">
        <v>287</v>
      </c>
      <c r="F1379" s="52" t="s">
        <v>1010</v>
      </c>
      <c r="G1379" s="52"/>
      <c r="H1379" s="52" t="s">
        <v>1011</v>
      </c>
      <c r="I1379" s="52"/>
      <c r="J1379" s="56">
        <v>38458</v>
      </c>
      <c r="K1379" s="52" t="s">
        <v>1094</v>
      </c>
      <c r="L1379" s="52" t="s">
        <v>4</v>
      </c>
      <c r="M1379" s="52" t="s">
        <v>587</v>
      </c>
      <c r="N1379" s="57">
        <v>0</v>
      </c>
      <c r="O1379" s="57">
        <v>3</v>
      </c>
      <c r="P1379" s="52" t="s">
        <v>1407</v>
      </c>
      <c r="Q1379" s="46" t="s">
        <v>1263</v>
      </c>
      <c r="R1379" s="46" t="s">
        <v>1264</v>
      </c>
      <c r="S1379" s="52"/>
      <c r="T1379" s="52"/>
      <c r="U1379" s="52"/>
      <c r="V1379" s="52"/>
      <c r="W1379" s="52"/>
      <c r="X1379" s="52"/>
      <c r="Y1379" s="52"/>
      <c r="Z1379" s="57"/>
      <c r="AA1379" s="52"/>
      <c r="AB1379" s="52"/>
      <c r="AC1379" s="52"/>
      <c r="AD1379" s="52"/>
      <c r="AE1379" s="50">
        <f>IF(L1379="W",1,0)</f>
        <v>0</v>
      </c>
      <c r="AF1379" s="50">
        <f>IF(L1379="T",1,0)</f>
        <v>0</v>
      </c>
      <c r="AG1379" s="50">
        <f>IF(L1379="L",1,0)</f>
        <v>1</v>
      </c>
      <c r="AH1379" s="52" t="s">
        <v>1085</v>
      </c>
      <c r="AI1379" s="52" t="s">
        <v>1086</v>
      </c>
      <c r="AJ1379" s="52" t="s">
        <v>376</v>
      </c>
      <c r="AK1379" s="50" t="s">
        <v>658</v>
      </c>
      <c r="AL1379" s="52" t="s">
        <v>1017</v>
      </c>
      <c r="AM1379" s="52" t="s">
        <v>1018</v>
      </c>
      <c r="AN1379" s="52" t="s">
        <v>376</v>
      </c>
      <c r="AO1379" s="50" t="s">
        <v>658</v>
      </c>
      <c r="AP1379" s="52"/>
      <c r="AQ1379" s="52">
        <v>2</v>
      </c>
      <c r="AR1379" s="52"/>
      <c r="AS1379" s="52">
        <v>1</v>
      </c>
      <c r="AU1379" s="52" t="s">
        <v>376</v>
      </c>
      <c r="AV1379" s="52"/>
      <c r="AW1379" s="52" t="s">
        <v>30</v>
      </c>
      <c r="AX1379" s="52"/>
      <c r="AY1379" s="52" t="s">
        <v>30</v>
      </c>
      <c r="AZ1379" s="52"/>
      <c r="BA1379" s="52"/>
      <c r="BB1379" s="60"/>
      <c r="BC1379" s="52"/>
      <c r="BD1379" s="60"/>
      <c r="BE1379" s="60"/>
      <c r="BF1379" s="35">
        <v>1</v>
      </c>
      <c r="BG1379" s="52">
        <v>1</v>
      </c>
      <c r="BH1379" s="52"/>
      <c r="BI1379" s="52" t="s">
        <v>1094</v>
      </c>
      <c r="BJ1379" s="52" t="s">
        <v>587</v>
      </c>
      <c r="BK1379" s="52">
        <v>2005</v>
      </c>
      <c r="BL1379" s="46" t="str">
        <f>BK1379&amp;BI1379</f>
        <v>2005Blackburn Rovers</v>
      </c>
      <c r="BM1379" s="52" t="str">
        <f>IF(AD1379="Home",BI1379,IF(AD1379="Away",BJ1379,Q1379))</f>
        <v>Cardiff</v>
      </c>
      <c r="BN1379" s="52"/>
      <c r="BO1379" s="52"/>
      <c r="BP1379" s="52"/>
      <c r="BQ1379" s="52"/>
      <c r="BR1379" s="52"/>
      <c r="BS1379" s="52"/>
      <c r="BT1379" s="52"/>
      <c r="BU1379" s="52"/>
      <c r="BV1379" s="52" t="s">
        <v>376</v>
      </c>
      <c r="BW1379" s="52" t="s">
        <v>376</v>
      </c>
      <c r="BX1379" s="52"/>
      <c r="BZ1379" s="53"/>
      <c r="CA1379" s="53"/>
      <c r="CB1379" s="93" t="str">
        <f>IF(OR(C1379="",A1379="",B1379=""),"",TEXT(C1379,"0000")&amp;TEXT(A1379,"00")&amp;TEXT(B1379,"00"))</f>
        <v>20050416</v>
      </c>
    </row>
    <row r="1380" spans="1:80" s="46" customFormat="1" ht="12.95" customHeight="1" x14ac:dyDescent="0.2">
      <c r="A1380" s="46">
        <v>4</v>
      </c>
      <c r="B1380" s="46">
        <v>17</v>
      </c>
      <c r="C1380" s="46">
        <v>2005</v>
      </c>
      <c r="D1380" s="52" t="s">
        <v>658</v>
      </c>
      <c r="E1380" s="52" t="s">
        <v>287</v>
      </c>
      <c r="F1380" s="52" t="s">
        <v>1010</v>
      </c>
      <c r="G1380" s="52"/>
      <c r="H1380" s="52" t="s">
        <v>1011</v>
      </c>
      <c r="I1380" s="52"/>
      <c r="J1380" s="56">
        <v>38459</v>
      </c>
      <c r="K1380" s="52" t="s">
        <v>821</v>
      </c>
      <c r="L1380" s="52" t="s">
        <v>3</v>
      </c>
      <c r="M1380" s="52" t="s">
        <v>805</v>
      </c>
      <c r="N1380" s="57">
        <v>4</v>
      </c>
      <c r="O1380" s="57">
        <v>1</v>
      </c>
      <c r="P1380" s="52" t="s">
        <v>1407</v>
      </c>
      <c r="Q1380" s="46" t="s">
        <v>1263</v>
      </c>
      <c r="R1380" s="46" t="s">
        <v>1264</v>
      </c>
      <c r="S1380" s="52"/>
      <c r="T1380" s="52"/>
      <c r="U1380" s="52"/>
      <c r="V1380" s="52"/>
      <c r="W1380" s="52"/>
      <c r="X1380" s="52"/>
      <c r="Y1380" s="52"/>
      <c r="Z1380" s="57"/>
      <c r="AA1380" s="52"/>
      <c r="AB1380" s="52"/>
      <c r="AC1380" s="52"/>
      <c r="AD1380" s="52"/>
      <c r="AE1380" s="50">
        <f>IF(L1380="W",1,0)</f>
        <v>1</v>
      </c>
      <c r="AF1380" s="50">
        <f>IF(L1380="T",1,0)</f>
        <v>0</v>
      </c>
      <c r="AG1380" s="50">
        <f>IF(L1380="L",1,0)</f>
        <v>0</v>
      </c>
      <c r="AH1380" s="52" t="s">
        <v>1101</v>
      </c>
      <c r="AI1380" s="52" t="s">
        <v>1159</v>
      </c>
      <c r="AJ1380" s="52" t="s">
        <v>376</v>
      </c>
      <c r="AK1380" s="50" t="s">
        <v>658</v>
      </c>
      <c r="AL1380" s="52" t="s">
        <v>1227</v>
      </c>
      <c r="AM1380" s="52" t="s">
        <v>1164</v>
      </c>
      <c r="AN1380" s="52" t="s">
        <v>376</v>
      </c>
      <c r="AO1380" s="50" t="s">
        <v>658</v>
      </c>
      <c r="AP1380" s="52"/>
      <c r="AQ1380" s="52">
        <v>2</v>
      </c>
      <c r="AR1380" s="52"/>
      <c r="AS1380" s="52"/>
      <c r="AU1380" s="52" t="s">
        <v>376</v>
      </c>
      <c r="AV1380" s="52"/>
      <c r="AW1380" s="52" t="s">
        <v>30</v>
      </c>
      <c r="AX1380" s="52"/>
      <c r="AY1380" s="52" t="s">
        <v>30</v>
      </c>
      <c r="AZ1380" s="52"/>
      <c r="BA1380" s="52"/>
      <c r="BB1380" s="60"/>
      <c r="BC1380" s="52"/>
      <c r="BD1380" s="60"/>
      <c r="BE1380" s="60"/>
      <c r="BF1380" s="35">
        <v>1</v>
      </c>
      <c r="BG1380" s="52">
        <v>1</v>
      </c>
      <c r="BH1380" s="52"/>
      <c r="BI1380" s="52" t="s">
        <v>821</v>
      </c>
      <c r="BJ1380" s="52" t="s">
        <v>805</v>
      </c>
      <c r="BK1380" s="52">
        <v>2005</v>
      </c>
      <c r="BL1380" s="46" t="str">
        <f>BK1380&amp;BI1380</f>
        <v>2005Manchester United</v>
      </c>
      <c r="BM1380" s="52" t="str">
        <f>IF(AD1380="Home",BI1380,IF(AD1380="Away",BJ1380,Q1380))</f>
        <v>Cardiff</v>
      </c>
      <c r="BN1380" s="52"/>
      <c r="BO1380" s="52"/>
      <c r="BP1380" s="52"/>
      <c r="BQ1380" s="52"/>
      <c r="BR1380" s="52"/>
      <c r="BS1380" s="52"/>
      <c r="BT1380" s="52"/>
      <c r="BU1380" s="52"/>
      <c r="BV1380" s="52" t="s">
        <v>376</v>
      </c>
      <c r="BW1380" s="52" t="s">
        <v>376</v>
      </c>
      <c r="BX1380" s="52"/>
      <c r="BZ1380" s="53"/>
      <c r="CA1380" s="53"/>
      <c r="CB1380" s="93" t="str">
        <f>IF(OR(C1380="",A1380="",B1380=""),"",TEXT(C1380,"0000")&amp;TEXT(A1380,"00")&amp;TEXT(B1380,"00"))</f>
        <v>20050417</v>
      </c>
    </row>
    <row r="1381" spans="1:80" s="46" customFormat="1" ht="12.95" customHeight="1" x14ac:dyDescent="0.2">
      <c r="A1381" s="46">
        <v>4</v>
      </c>
      <c r="B1381" s="46">
        <v>17</v>
      </c>
      <c r="C1381" s="46">
        <v>2005</v>
      </c>
      <c r="D1381" s="52" t="s">
        <v>658</v>
      </c>
      <c r="E1381" s="52" t="s">
        <v>287</v>
      </c>
      <c r="F1381" s="52" t="s">
        <v>1010</v>
      </c>
      <c r="G1381" s="52"/>
      <c r="H1381" s="52" t="s">
        <v>1011</v>
      </c>
      <c r="I1381" s="52"/>
      <c r="J1381" s="56">
        <v>38459</v>
      </c>
      <c r="K1381" s="52" t="s">
        <v>805</v>
      </c>
      <c r="L1381" s="52" t="s">
        <v>4</v>
      </c>
      <c r="M1381" s="52" t="s">
        <v>821</v>
      </c>
      <c r="N1381" s="57">
        <v>1</v>
      </c>
      <c r="O1381" s="57">
        <v>4</v>
      </c>
      <c r="P1381" s="52" t="s">
        <v>1407</v>
      </c>
      <c r="Q1381" s="46" t="s">
        <v>1263</v>
      </c>
      <c r="R1381" s="46" t="s">
        <v>1264</v>
      </c>
      <c r="S1381" s="52"/>
      <c r="T1381" s="52"/>
      <c r="U1381" s="52"/>
      <c r="V1381" s="52"/>
      <c r="W1381" s="52"/>
      <c r="X1381" s="52"/>
      <c r="Y1381" s="52"/>
      <c r="Z1381" s="57"/>
      <c r="AA1381" s="52"/>
      <c r="AB1381" s="52"/>
      <c r="AC1381" s="52"/>
      <c r="AD1381" s="52"/>
      <c r="AE1381" s="50">
        <f>IF(L1381="W",1,0)</f>
        <v>0</v>
      </c>
      <c r="AF1381" s="50">
        <f>IF(L1381="T",1,0)</f>
        <v>0</v>
      </c>
      <c r="AG1381" s="50">
        <f>IF(L1381="L",1,0)</f>
        <v>1</v>
      </c>
      <c r="AH1381" s="52" t="s">
        <v>1227</v>
      </c>
      <c r="AI1381" s="52" t="s">
        <v>1164</v>
      </c>
      <c r="AJ1381" s="52" t="s">
        <v>376</v>
      </c>
      <c r="AK1381" s="50" t="s">
        <v>658</v>
      </c>
      <c r="AL1381" s="52" t="s">
        <v>1101</v>
      </c>
      <c r="AM1381" s="52" t="s">
        <v>1159</v>
      </c>
      <c r="AN1381" s="52" t="s">
        <v>376</v>
      </c>
      <c r="AO1381" s="50" t="s">
        <v>658</v>
      </c>
      <c r="AP1381" s="52"/>
      <c r="AQ1381" s="52">
        <v>2</v>
      </c>
      <c r="AR1381" s="52"/>
      <c r="AS1381" s="52">
        <v>1</v>
      </c>
      <c r="AU1381" s="52" t="s">
        <v>376</v>
      </c>
      <c r="AV1381" s="52"/>
      <c r="AW1381" s="52" t="s">
        <v>30</v>
      </c>
      <c r="AX1381" s="52"/>
      <c r="AY1381" s="52" t="s">
        <v>30</v>
      </c>
      <c r="AZ1381" s="52"/>
      <c r="BA1381" s="52"/>
      <c r="BB1381" s="60"/>
      <c r="BC1381" s="52"/>
      <c r="BD1381" s="60"/>
      <c r="BE1381" s="60"/>
      <c r="BF1381" s="35">
        <v>1</v>
      </c>
      <c r="BG1381" s="52">
        <v>1</v>
      </c>
      <c r="BH1381" s="52"/>
      <c r="BI1381" s="52" t="s">
        <v>805</v>
      </c>
      <c r="BJ1381" s="52" t="s">
        <v>821</v>
      </c>
      <c r="BK1381" s="52">
        <v>2005</v>
      </c>
      <c r="BL1381" s="46" t="str">
        <f>BK1381&amp;BI1381</f>
        <v>2005Newcastle United</v>
      </c>
      <c r="BM1381" s="52" t="str">
        <f>IF(AD1381="Home",BI1381,IF(AD1381="Away",BJ1381,Q1381))</f>
        <v>Cardiff</v>
      </c>
      <c r="BN1381" s="52"/>
      <c r="BO1381" s="52"/>
      <c r="BP1381" s="52"/>
      <c r="BQ1381" s="52"/>
      <c r="BR1381" s="52"/>
      <c r="BS1381" s="52"/>
      <c r="BT1381" s="52"/>
      <c r="BU1381" s="52"/>
      <c r="BV1381" s="52" t="s">
        <v>376</v>
      </c>
      <c r="BW1381" s="52" t="s">
        <v>376</v>
      </c>
      <c r="BX1381" s="52"/>
      <c r="BZ1381" s="53"/>
      <c r="CA1381" s="53"/>
      <c r="CB1381" s="93" t="str">
        <f>IF(OR(C1381="",A1381="",B1381=""),"",TEXT(C1381,"0000")&amp;TEXT(A1381,"00")&amp;TEXT(B1381,"00"))</f>
        <v>20050417</v>
      </c>
    </row>
    <row r="1382" spans="1:80" s="46" customFormat="1" ht="12.95" customHeight="1" x14ac:dyDescent="0.2">
      <c r="A1382" s="46">
        <v>5</v>
      </c>
      <c r="B1382" s="46">
        <v>21</v>
      </c>
      <c r="C1382" s="46">
        <v>2005</v>
      </c>
      <c r="D1382" s="52" t="s">
        <v>658</v>
      </c>
      <c r="E1382" s="52" t="s">
        <v>287</v>
      </c>
      <c r="F1382" s="52" t="s">
        <v>1010</v>
      </c>
      <c r="G1382" s="52"/>
      <c r="H1382" s="52" t="s">
        <v>40</v>
      </c>
      <c r="I1382" s="52"/>
      <c r="J1382" s="56">
        <v>38493</v>
      </c>
      <c r="K1382" s="52" t="s">
        <v>587</v>
      </c>
      <c r="L1382" s="52" t="s">
        <v>3</v>
      </c>
      <c r="M1382" s="52" t="s">
        <v>821</v>
      </c>
      <c r="N1382" s="57">
        <v>0</v>
      </c>
      <c r="O1382" s="57">
        <v>0</v>
      </c>
      <c r="P1382" s="52" t="s">
        <v>1407</v>
      </c>
      <c r="Q1382" s="46" t="s">
        <v>1263</v>
      </c>
      <c r="R1382" s="46" t="s">
        <v>1264</v>
      </c>
      <c r="S1382" s="52" t="s">
        <v>1390</v>
      </c>
      <c r="T1382" s="52">
        <v>5</v>
      </c>
      <c r="U1382" s="52">
        <v>4</v>
      </c>
      <c r="V1382" s="52"/>
      <c r="W1382" s="52"/>
      <c r="X1382" s="52"/>
      <c r="Y1382" s="52"/>
      <c r="Z1382" s="57"/>
      <c r="AA1382" s="52"/>
      <c r="AB1382" s="52"/>
      <c r="AC1382" s="52"/>
      <c r="AD1382" s="52"/>
      <c r="AE1382" s="50">
        <f>IF(L1382="W",1,0)</f>
        <v>1</v>
      </c>
      <c r="AF1382" s="50">
        <f>IF(L1382="T",1,0)</f>
        <v>0</v>
      </c>
      <c r="AG1382" s="50">
        <f>IF(L1382="L",1,0)</f>
        <v>0</v>
      </c>
      <c r="AH1382" s="52" t="s">
        <v>1017</v>
      </c>
      <c r="AI1382" s="52" t="s">
        <v>1018</v>
      </c>
      <c r="AJ1382" s="52" t="s">
        <v>376</v>
      </c>
      <c r="AK1382" s="50" t="s">
        <v>658</v>
      </c>
      <c r="AL1382" s="52" t="s">
        <v>1101</v>
      </c>
      <c r="AM1382" s="52" t="s">
        <v>1159</v>
      </c>
      <c r="AN1382" s="52" t="s">
        <v>376</v>
      </c>
      <c r="AO1382" s="50" t="s">
        <v>658</v>
      </c>
      <c r="AP1382" s="52"/>
      <c r="AQ1382" s="52">
        <v>1</v>
      </c>
      <c r="AR1382" s="52"/>
      <c r="AS1382" s="52" t="s">
        <v>1393</v>
      </c>
      <c r="AU1382" s="52" t="s">
        <v>376</v>
      </c>
      <c r="AV1382" s="52"/>
      <c r="AW1382" s="52" t="s">
        <v>30</v>
      </c>
      <c r="AX1382" s="52"/>
      <c r="AY1382" s="57" t="s">
        <v>30</v>
      </c>
      <c r="AZ1382" s="52"/>
      <c r="BA1382" s="52"/>
      <c r="BB1382" s="60" t="s">
        <v>30</v>
      </c>
      <c r="BC1382" s="52" t="s">
        <v>30</v>
      </c>
      <c r="BD1382" s="60"/>
      <c r="BE1382" s="60"/>
      <c r="BF1382" s="35">
        <v>1</v>
      </c>
      <c r="BG1382" s="52">
        <v>1</v>
      </c>
      <c r="BH1382" s="52"/>
      <c r="BI1382" s="52" t="s">
        <v>587</v>
      </c>
      <c r="BJ1382" s="52" t="s">
        <v>821</v>
      </c>
      <c r="BK1382" s="52">
        <v>2005</v>
      </c>
      <c r="BL1382" s="46" t="str">
        <f>BK1382&amp;BI1382</f>
        <v>2005Arsenal</v>
      </c>
      <c r="BM1382" s="52" t="str">
        <f>IF(AD1382="Home",BI1382,IF(AD1382="Away",BJ1382,Q1382))</f>
        <v>Cardiff</v>
      </c>
      <c r="BN1382" s="52"/>
      <c r="BO1382" s="52"/>
      <c r="BP1382" s="52"/>
      <c r="BQ1382" s="52"/>
      <c r="BR1382" s="52"/>
      <c r="BS1382" s="52"/>
      <c r="BT1382" s="52"/>
      <c r="BU1382" s="52"/>
      <c r="BV1382" s="52" t="s">
        <v>376</v>
      </c>
      <c r="BW1382" s="52" t="s">
        <v>376</v>
      </c>
      <c r="BX1382" s="52"/>
      <c r="BZ1382" s="53"/>
      <c r="CA1382" s="53"/>
      <c r="CB1382" s="93" t="str">
        <f>IF(OR(C1382="",A1382="",B1382=""),"",TEXT(C1382,"0000")&amp;TEXT(A1382,"00")&amp;TEXT(B1382,"00"))</f>
        <v>20050521</v>
      </c>
    </row>
    <row r="1383" spans="1:80" s="46" customFormat="1" ht="12.95" customHeight="1" x14ac:dyDescent="0.2">
      <c r="A1383" s="46">
        <v>5</v>
      </c>
      <c r="B1383" s="46">
        <v>21</v>
      </c>
      <c r="C1383" s="46">
        <v>2005</v>
      </c>
      <c r="D1383" s="52" t="s">
        <v>658</v>
      </c>
      <c r="E1383" s="52" t="s">
        <v>287</v>
      </c>
      <c r="F1383" s="52" t="s">
        <v>1010</v>
      </c>
      <c r="G1383" s="52"/>
      <c r="H1383" s="52" t="s">
        <v>40</v>
      </c>
      <c r="I1383" s="52"/>
      <c r="J1383" s="56">
        <v>38493</v>
      </c>
      <c r="K1383" s="52" t="s">
        <v>821</v>
      </c>
      <c r="L1383" s="52" t="s">
        <v>4</v>
      </c>
      <c r="M1383" s="52" t="s">
        <v>587</v>
      </c>
      <c r="N1383" s="57">
        <v>0</v>
      </c>
      <c r="O1383" s="57">
        <v>0</v>
      </c>
      <c r="P1383" s="52" t="s">
        <v>1407</v>
      </c>
      <c r="Q1383" s="46" t="s">
        <v>1263</v>
      </c>
      <c r="R1383" s="46" t="s">
        <v>1264</v>
      </c>
      <c r="S1383" s="52" t="s">
        <v>1390</v>
      </c>
      <c r="T1383" s="52">
        <v>4</v>
      </c>
      <c r="U1383" s="52">
        <v>5</v>
      </c>
      <c r="V1383" s="52"/>
      <c r="W1383" s="52"/>
      <c r="X1383" s="52"/>
      <c r="Y1383" s="52"/>
      <c r="Z1383" s="57"/>
      <c r="AA1383" s="52"/>
      <c r="AB1383" s="52"/>
      <c r="AC1383" s="52"/>
      <c r="AD1383" s="52"/>
      <c r="AE1383" s="50">
        <f>IF(L1383="W",1,0)</f>
        <v>0</v>
      </c>
      <c r="AF1383" s="50">
        <f>IF(L1383="T",1,0)</f>
        <v>0</v>
      </c>
      <c r="AG1383" s="50">
        <f>IF(L1383="L",1,0)</f>
        <v>1</v>
      </c>
      <c r="AH1383" s="52" t="s">
        <v>1101</v>
      </c>
      <c r="AI1383" s="52" t="s">
        <v>1159</v>
      </c>
      <c r="AJ1383" s="52" t="s">
        <v>376</v>
      </c>
      <c r="AK1383" s="50" t="s">
        <v>658</v>
      </c>
      <c r="AL1383" s="52" t="s">
        <v>1017</v>
      </c>
      <c r="AM1383" s="52" t="s">
        <v>1018</v>
      </c>
      <c r="AN1383" s="52" t="s">
        <v>376</v>
      </c>
      <c r="AO1383" s="50" t="s">
        <v>658</v>
      </c>
      <c r="AP1383" s="52"/>
      <c r="AQ1383" s="52">
        <v>1</v>
      </c>
      <c r="AR1383" s="52"/>
      <c r="AS1383" s="52">
        <v>1</v>
      </c>
      <c r="AU1383" s="52" t="s">
        <v>376</v>
      </c>
      <c r="AV1383" s="52"/>
      <c r="AW1383" s="52" t="s">
        <v>30</v>
      </c>
      <c r="AX1383" s="52"/>
      <c r="AY1383" s="52" t="s">
        <v>30</v>
      </c>
      <c r="AZ1383" s="52"/>
      <c r="BA1383" s="52"/>
      <c r="BB1383" s="60"/>
      <c r="BC1383" s="52" t="s">
        <v>30</v>
      </c>
      <c r="BD1383" s="60"/>
      <c r="BE1383" s="60" t="s">
        <v>1394</v>
      </c>
      <c r="BF1383" s="35">
        <v>1</v>
      </c>
      <c r="BG1383" s="52">
        <v>1</v>
      </c>
      <c r="BH1383" s="52"/>
      <c r="BI1383" s="52" t="s">
        <v>821</v>
      </c>
      <c r="BJ1383" s="52" t="s">
        <v>587</v>
      </c>
      <c r="BK1383" s="52">
        <v>2005</v>
      </c>
      <c r="BL1383" s="46" t="str">
        <f>BK1383&amp;BI1383</f>
        <v>2005Manchester United</v>
      </c>
      <c r="BM1383" s="52" t="str">
        <f>IF(AD1383="Home",BI1383,IF(AD1383="Away",BJ1383,Q1383))</f>
        <v>Cardiff</v>
      </c>
      <c r="BN1383" s="52"/>
      <c r="BO1383" s="52"/>
      <c r="BP1383" s="52"/>
      <c r="BQ1383" s="52"/>
      <c r="BR1383" s="52"/>
      <c r="BS1383" s="52"/>
      <c r="BT1383" s="52"/>
      <c r="BU1383" s="52"/>
      <c r="BV1383" s="52" t="s">
        <v>376</v>
      </c>
      <c r="BW1383" s="52" t="s">
        <v>376</v>
      </c>
      <c r="BX1383" s="52"/>
      <c r="BZ1383" s="53"/>
      <c r="CA1383" s="53"/>
      <c r="CB1383" s="93" t="str">
        <f>IF(OR(C1383="",A1383="",B1383=""),"",TEXT(C1383,"0000")&amp;TEXT(A1383,"00")&amp;TEXT(B1383,"00"))</f>
        <v>20050521</v>
      </c>
    </row>
    <row r="1384" spans="1:80" s="46" customFormat="1" ht="12.95" customHeight="1" x14ac:dyDescent="0.2">
      <c r="A1384" s="46">
        <v>1</v>
      </c>
      <c r="B1384" s="46">
        <v>10</v>
      </c>
      <c r="C1384" s="46">
        <v>2006</v>
      </c>
      <c r="D1384" s="52" t="s">
        <v>658</v>
      </c>
      <c r="E1384" s="52" t="s">
        <v>284</v>
      </c>
      <c r="F1384" s="52" t="s">
        <v>1327</v>
      </c>
      <c r="G1384" s="52"/>
      <c r="H1384" s="52" t="s">
        <v>1011</v>
      </c>
      <c r="I1384" s="52">
        <v>1</v>
      </c>
      <c r="J1384" s="56">
        <v>38727</v>
      </c>
      <c r="K1384" s="52" t="s">
        <v>1411</v>
      </c>
      <c r="L1384" s="52" t="s">
        <v>3</v>
      </c>
      <c r="M1384" s="52" t="s">
        <v>587</v>
      </c>
      <c r="N1384" s="57">
        <v>1</v>
      </c>
      <c r="O1384" s="57">
        <v>0</v>
      </c>
      <c r="P1384" s="52" t="s">
        <v>1412</v>
      </c>
      <c r="Q1384" s="52" t="s">
        <v>1101</v>
      </c>
      <c r="R1384" s="52" t="s">
        <v>376</v>
      </c>
      <c r="S1384" s="52"/>
      <c r="T1384" s="52"/>
      <c r="U1384" s="52"/>
      <c r="V1384" s="52"/>
      <c r="W1384" s="52"/>
      <c r="X1384" s="52"/>
      <c r="Y1384" s="52"/>
      <c r="Z1384" s="57"/>
      <c r="AA1384" s="58">
        <v>1</v>
      </c>
      <c r="AB1384" s="58">
        <v>0</v>
      </c>
      <c r="AC1384" s="59">
        <v>0</v>
      </c>
      <c r="AD1384" s="52" t="s">
        <v>1033</v>
      </c>
      <c r="AE1384" s="50">
        <f>IF(L1384="W",1,0)</f>
        <v>1</v>
      </c>
      <c r="AF1384" s="50">
        <f>IF(L1384="T",1,0)</f>
        <v>0</v>
      </c>
      <c r="AG1384" s="50">
        <f>IF(L1384="L",1,0)</f>
        <v>0</v>
      </c>
      <c r="AH1384" s="52" t="s">
        <v>1101</v>
      </c>
      <c r="AI1384" s="52" t="s">
        <v>1159</v>
      </c>
      <c r="AJ1384" s="52" t="s">
        <v>376</v>
      </c>
      <c r="AK1384" s="50" t="s">
        <v>658</v>
      </c>
      <c r="AL1384" s="52" t="s">
        <v>1017</v>
      </c>
      <c r="AM1384" s="52" t="s">
        <v>1018</v>
      </c>
      <c r="AN1384" s="52" t="s">
        <v>376</v>
      </c>
      <c r="AO1384" s="50" t="s">
        <v>658</v>
      </c>
      <c r="AP1384" s="52"/>
      <c r="AQ1384" s="52">
        <v>2</v>
      </c>
      <c r="AR1384" s="52"/>
      <c r="AS1384" s="52"/>
      <c r="AU1384" s="52" t="s">
        <v>376</v>
      </c>
      <c r="AV1384" s="52"/>
      <c r="AW1384" s="52" t="s">
        <v>30</v>
      </c>
      <c r="AX1384" s="52"/>
      <c r="AY1384" s="52"/>
      <c r="AZ1384" s="52" t="s">
        <v>30</v>
      </c>
      <c r="BA1384" s="52"/>
      <c r="BB1384" s="60"/>
      <c r="BC1384" s="52"/>
      <c r="BD1384" s="60"/>
      <c r="BE1384" s="60"/>
      <c r="BF1384" s="35">
        <v>1</v>
      </c>
      <c r="BG1384" s="52">
        <v>1</v>
      </c>
      <c r="BH1384" s="52"/>
      <c r="BI1384" s="52" t="s">
        <v>1411</v>
      </c>
      <c r="BJ1384" s="52" t="s">
        <v>587</v>
      </c>
      <c r="BK1384" s="52">
        <v>2006</v>
      </c>
      <c r="BL1384" s="46" t="str">
        <f>BK1384&amp;BI1384</f>
        <v>2006Wigan Athletic</v>
      </c>
      <c r="BM1384" s="52" t="str">
        <f>IF(AD1384="Home",BI1384,IF(AD1384="Away",BJ1384,Q1384))</f>
        <v>Wigan Athletic</v>
      </c>
      <c r="BN1384" s="52"/>
      <c r="BO1384" s="52"/>
      <c r="BP1384" s="52"/>
      <c r="BQ1384" s="52"/>
      <c r="BR1384" s="52"/>
      <c r="BS1384" s="52"/>
      <c r="BT1384" s="52"/>
      <c r="BU1384" s="52"/>
      <c r="BV1384" s="52" t="s">
        <v>376</v>
      </c>
      <c r="BW1384" s="52" t="s">
        <v>376</v>
      </c>
      <c r="BX1384" s="52"/>
      <c r="BY1384" s="52"/>
      <c r="BZ1384" s="53"/>
      <c r="CA1384" s="53"/>
      <c r="CB1384" s="93" t="str">
        <f>IF(OR(C1384="",A1384="",B1384=""),"",TEXT(C1384,"0000")&amp;TEXT(A1384,"00")&amp;TEXT(B1384,"00"))</f>
        <v>20060110</v>
      </c>
    </row>
    <row r="1385" spans="1:80" s="46" customFormat="1" ht="12.95" customHeight="1" x14ac:dyDescent="0.2">
      <c r="A1385" s="46">
        <v>1</v>
      </c>
      <c r="B1385" s="46">
        <v>10</v>
      </c>
      <c r="C1385" s="46">
        <v>2006</v>
      </c>
      <c r="D1385" s="52" t="s">
        <v>658</v>
      </c>
      <c r="E1385" s="52" t="s">
        <v>284</v>
      </c>
      <c r="F1385" s="52" t="s">
        <v>1327</v>
      </c>
      <c r="G1385" s="52"/>
      <c r="H1385" s="52" t="s">
        <v>1011</v>
      </c>
      <c r="I1385" s="52">
        <v>1</v>
      </c>
      <c r="J1385" s="56">
        <v>38727</v>
      </c>
      <c r="K1385" s="52" t="s">
        <v>587</v>
      </c>
      <c r="L1385" s="52" t="s">
        <v>4</v>
      </c>
      <c r="M1385" s="52" t="s">
        <v>1411</v>
      </c>
      <c r="N1385" s="57">
        <v>0</v>
      </c>
      <c r="O1385" s="57">
        <v>1</v>
      </c>
      <c r="P1385" s="52" t="s">
        <v>1412</v>
      </c>
      <c r="Q1385" s="52" t="s">
        <v>1101</v>
      </c>
      <c r="R1385" s="52" t="s">
        <v>376</v>
      </c>
      <c r="S1385" s="52"/>
      <c r="T1385" s="52"/>
      <c r="U1385" s="52"/>
      <c r="V1385" s="52"/>
      <c r="W1385" s="52"/>
      <c r="X1385" s="52"/>
      <c r="Y1385" s="52"/>
      <c r="Z1385" s="57"/>
      <c r="AA1385" s="58">
        <v>0</v>
      </c>
      <c r="AB1385" s="58">
        <v>1</v>
      </c>
      <c r="AC1385" s="59">
        <v>0</v>
      </c>
      <c r="AD1385" s="52" t="s">
        <v>1037</v>
      </c>
      <c r="AE1385" s="50">
        <f>IF(L1385="W",1,0)</f>
        <v>0</v>
      </c>
      <c r="AF1385" s="50">
        <f>IF(L1385="T",1,0)</f>
        <v>0</v>
      </c>
      <c r="AG1385" s="50">
        <f>IF(L1385="L",1,0)</f>
        <v>1</v>
      </c>
      <c r="AH1385" s="52" t="s">
        <v>1017</v>
      </c>
      <c r="AI1385" s="52" t="s">
        <v>1018</v>
      </c>
      <c r="AJ1385" s="52" t="s">
        <v>376</v>
      </c>
      <c r="AK1385" s="50" t="s">
        <v>658</v>
      </c>
      <c r="AL1385" s="52" t="s">
        <v>1101</v>
      </c>
      <c r="AM1385" s="52" t="s">
        <v>1159</v>
      </c>
      <c r="AN1385" s="52" t="s">
        <v>376</v>
      </c>
      <c r="AO1385" s="50" t="s">
        <v>658</v>
      </c>
      <c r="AP1385" s="52"/>
      <c r="AQ1385" s="52">
        <v>2</v>
      </c>
      <c r="AR1385" s="52"/>
      <c r="AS1385" s="52"/>
      <c r="AU1385" s="52" t="s">
        <v>376</v>
      </c>
      <c r="AV1385" s="52"/>
      <c r="AW1385" s="52" t="s">
        <v>30</v>
      </c>
      <c r="AX1385" s="52"/>
      <c r="AY1385" s="52"/>
      <c r="AZ1385" s="52" t="s">
        <v>30</v>
      </c>
      <c r="BA1385" s="52"/>
      <c r="BB1385" s="60"/>
      <c r="BC1385" s="52"/>
      <c r="BD1385" s="60"/>
      <c r="BE1385" s="60"/>
      <c r="BF1385" s="35">
        <v>1</v>
      </c>
      <c r="BG1385" s="52">
        <v>1</v>
      </c>
      <c r="BH1385" s="52"/>
      <c r="BI1385" s="52" t="s">
        <v>587</v>
      </c>
      <c r="BJ1385" s="52" t="s">
        <v>1411</v>
      </c>
      <c r="BK1385" s="52">
        <v>2006</v>
      </c>
      <c r="BL1385" s="46" t="str">
        <f>BK1385&amp;BI1385</f>
        <v>2006Arsenal</v>
      </c>
      <c r="BM1385" s="52" t="str">
        <f>IF(AD1385="Home",BI1385,IF(AD1385="Away",BJ1385,Q1385))</f>
        <v>Wigan Athletic</v>
      </c>
      <c r="BN1385" s="52"/>
      <c r="BO1385" s="52"/>
      <c r="BP1385" s="52"/>
      <c r="BQ1385" s="52"/>
      <c r="BR1385" s="52"/>
      <c r="BS1385" s="52"/>
      <c r="BT1385" s="52"/>
      <c r="BU1385" s="52"/>
      <c r="BV1385" s="52" t="s">
        <v>376</v>
      </c>
      <c r="BW1385" s="52" t="s">
        <v>376</v>
      </c>
      <c r="BX1385" s="52"/>
      <c r="BY1385" s="52"/>
      <c r="BZ1385" s="53"/>
      <c r="CA1385" s="53"/>
      <c r="CB1385" s="93" t="str">
        <f>IF(OR(C1385="",A1385="",B1385=""),"",TEXT(C1385,"0000")&amp;TEXT(A1385,"00")&amp;TEXT(B1385,"00"))</f>
        <v>20060110</v>
      </c>
    </row>
    <row r="1386" spans="1:80" s="46" customFormat="1" ht="12.95" customHeight="1" x14ac:dyDescent="0.2">
      <c r="A1386" s="46">
        <v>1</v>
      </c>
      <c r="B1386" s="46">
        <v>11</v>
      </c>
      <c r="C1386" s="46">
        <v>2006</v>
      </c>
      <c r="D1386" s="52" t="s">
        <v>658</v>
      </c>
      <c r="E1386" s="52" t="s">
        <v>284</v>
      </c>
      <c r="F1386" s="52" t="s">
        <v>1327</v>
      </c>
      <c r="G1386" s="52"/>
      <c r="H1386" s="52" t="s">
        <v>1011</v>
      </c>
      <c r="I1386" s="52">
        <v>1</v>
      </c>
      <c r="J1386" s="56">
        <v>38728</v>
      </c>
      <c r="K1386" s="52" t="s">
        <v>1094</v>
      </c>
      <c r="L1386" s="52" t="s">
        <v>1014</v>
      </c>
      <c r="M1386" s="52" t="s">
        <v>821</v>
      </c>
      <c r="N1386" s="57">
        <v>1</v>
      </c>
      <c r="O1386" s="57">
        <v>1</v>
      </c>
      <c r="P1386" s="52" t="s">
        <v>1178</v>
      </c>
      <c r="Q1386" s="52" t="s">
        <v>1085</v>
      </c>
      <c r="R1386" s="52" t="s">
        <v>376</v>
      </c>
      <c r="S1386" s="52"/>
      <c r="T1386" s="52"/>
      <c r="U1386" s="52"/>
      <c r="V1386" s="52"/>
      <c r="W1386" s="52"/>
      <c r="X1386" s="52"/>
      <c r="Y1386" s="52"/>
      <c r="Z1386" s="57"/>
      <c r="AA1386" s="58">
        <v>1</v>
      </c>
      <c r="AB1386" s="58">
        <v>1</v>
      </c>
      <c r="AC1386" s="59">
        <v>0</v>
      </c>
      <c r="AD1386" s="52" t="s">
        <v>1033</v>
      </c>
      <c r="AE1386" s="50">
        <f>IF(L1386="W",1,0)</f>
        <v>0</v>
      </c>
      <c r="AF1386" s="50">
        <f>IF(L1386="T",1,0)</f>
        <v>1</v>
      </c>
      <c r="AG1386" s="50">
        <f>IF(L1386="L",1,0)</f>
        <v>0</v>
      </c>
      <c r="AH1386" s="52" t="s">
        <v>1085</v>
      </c>
      <c r="AI1386" s="52" t="s">
        <v>1086</v>
      </c>
      <c r="AJ1386" s="52" t="s">
        <v>376</v>
      </c>
      <c r="AK1386" s="50" t="s">
        <v>658</v>
      </c>
      <c r="AL1386" s="52" t="s">
        <v>1101</v>
      </c>
      <c r="AM1386" s="52" t="s">
        <v>1159</v>
      </c>
      <c r="AN1386" s="52" t="s">
        <v>376</v>
      </c>
      <c r="AO1386" s="50" t="s">
        <v>658</v>
      </c>
      <c r="AP1386" s="52"/>
      <c r="AQ1386" s="52">
        <v>2</v>
      </c>
      <c r="AR1386" s="52"/>
      <c r="AS1386" s="52"/>
      <c r="AU1386" s="52" t="s">
        <v>376</v>
      </c>
      <c r="AV1386" s="52"/>
      <c r="AW1386" s="52" t="s">
        <v>30</v>
      </c>
      <c r="AX1386" s="52"/>
      <c r="AY1386" s="52"/>
      <c r="AZ1386" s="52" t="s">
        <v>30</v>
      </c>
      <c r="BA1386" s="52"/>
      <c r="BB1386" s="60"/>
      <c r="BC1386" s="52"/>
      <c r="BD1386" s="60"/>
      <c r="BE1386" s="60"/>
      <c r="BF1386" s="35">
        <v>1</v>
      </c>
      <c r="BG1386" s="52">
        <v>1</v>
      </c>
      <c r="BH1386" s="52"/>
      <c r="BI1386" s="52" t="s">
        <v>1094</v>
      </c>
      <c r="BJ1386" s="52" t="s">
        <v>821</v>
      </c>
      <c r="BK1386" s="52">
        <v>2006</v>
      </c>
      <c r="BL1386" s="46" t="str">
        <f>BK1386&amp;BI1386</f>
        <v>2006Blackburn Rovers</v>
      </c>
      <c r="BM1386" s="52" t="str">
        <f>IF(AD1386="Home",BI1386,IF(AD1386="Away",BJ1386,Q1386))</f>
        <v>Blackburn Rovers</v>
      </c>
      <c r="BN1386" s="52"/>
      <c r="BO1386" s="52"/>
      <c r="BP1386" s="52"/>
      <c r="BQ1386" s="52"/>
      <c r="BR1386" s="52"/>
      <c r="BS1386" s="52"/>
      <c r="BT1386" s="52"/>
      <c r="BU1386" s="52"/>
      <c r="BV1386" s="52" t="s">
        <v>376</v>
      </c>
      <c r="BW1386" s="52" t="s">
        <v>376</v>
      </c>
      <c r="BX1386" s="52"/>
      <c r="BY1386" s="52"/>
      <c r="BZ1386" s="53"/>
      <c r="CA1386" s="53"/>
      <c r="CB1386" s="93" t="str">
        <f>IF(OR(C1386="",A1386="",B1386=""),"",TEXT(C1386,"0000")&amp;TEXT(A1386,"00")&amp;TEXT(B1386,"00"))</f>
        <v>20060111</v>
      </c>
    </row>
    <row r="1387" spans="1:80" s="46" customFormat="1" ht="12.95" customHeight="1" x14ac:dyDescent="0.2">
      <c r="A1387" s="46">
        <v>1</v>
      </c>
      <c r="B1387" s="46">
        <v>11</v>
      </c>
      <c r="C1387" s="46">
        <v>2006</v>
      </c>
      <c r="D1387" s="52" t="s">
        <v>658</v>
      </c>
      <c r="E1387" s="52" t="s">
        <v>284</v>
      </c>
      <c r="F1387" s="52" t="s">
        <v>1327</v>
      </c>
      <c r="G1387" s="52"/>
      <c r="H1387" s="52" t="s">
        <v>1011</v>
      </c>
      <c r="I1387" s="52">
        <v>1</v>
      </c>
      <c r="J1387" s="56">
        <v>38728</v>
      </c>
      <c r="K1387" s="52" t="s">
        <v>821</v>
      </c>
      <c r="L1387" s="52" t="s">
        <v>1014</v>
      </c>
      <c r="M1387" s="52" t="s">
        <v>1094</v>
      </c>
      <c r="N1387" s="57">
        <v>1</v>
      </c>
      <c r="O1387" s="57">
        <v>1</v>
      </c>
      <c r="P1387" s="52" t="s">
        <v>1178</v>
      </c>
      <c r="Q1387" s="52" t="s">
        <v>1085</v>
      </c>
      <c r="R1387" s="52" t="s">
        <v>376</v>
      </c>
      <c r="S1387" s="52"/>
      <c r="T1387" s="52"/>
      <c r="U1387" s="52"/>
      <c r="V1387" s="52"/>
      <c r="W1387" s="52"/>
      <c r="X1387" s="52"/>
      <c r="Y1387" s="52"/>
      <c r="Z1387" s="57"/>
      <c r="AA1387" s="58">
        <v>1</v>
      </c>
      <c r="AB1387" s="58">
        <v>1</v>
      </c>
      <c r="AC1387" s="59">
        <v>1</v>
      </c>
      <c r="AD1387" s="52" t="s">
        <v>1037</v>
      </c>
      <c r="AE1387" s="50">
        <f>IF(L1387="W",1,0)</f>
        <v>0</v>
      </c>
      <c r="AF1387" s="50">
        <f>IF(L1387="T",1,0)</f>
        <v>1</v>
      </c>
      <c r="AG1387" s="50">
        <f>IF(L1387="L",1,0)</f>
        <v>0</v>
      </c>
      <c r="AH1387" s="52" t="s">
        <v>1101</v>
      </c>
      <c r="AI1387" s="52" t="s">
        <v>1159</v>
      </c>
      <c r="AJ1387" s="52" t="s">
        <v>376</v>
      </c>
      <c r="AK1387" s="50" t="s">
        <v>658</v>
      </c>
      <c r="AL1387" s="52" t="s">
        <v>1085</v>
      </c>
      <c r="AM1387" s="52" t="s">
        <v>1086</v>
      </c>
      <c r="AN1387" s="52" t="s">
        <v>376</v>
      </c>
      <c r="AO1387" s="50" t="s">
        <v>658</v>
      </c>
      <c r="AP1387" s="52"/>
      <c r="AQ1387" s="52">
        <v>2</v>
      </c>
      <c r="AR1387" s="52"/>
      <c r="AS1387" s="52"/>
      <c r="AU1387" s="52" t="s">
        <v>376</v>
      </c>
      <c r="AV1387" s="52"/>
      <c r="AW1387" s="52" t="s">
        <v>30</v>
      </c>
      <c r="AX1387" s="52"/>
      <c r="AY1387" s="52"/>
      <c r="AZ1387" s="52" t="s">
        <v>30</v>
      </c>
      <c r="BA1387" s="52"/>
      <c r="BB1387" s="60"/>
      <c r="BC1387" s="52"/>
      <c r="BD1387" s="60"/>
      <c r="BE1387" s="60"/>
      <c r="BF1387" s="35">
        <v>1</v>
      </c>
      <c r="BG1387" s="52">
        <v>1</v>
      </c>
      <c r="BH1387" s="52"/>
      <c r="BI1387" s="52" t="s">
        <v>821</v>
      </c>
      <c r="BJ1387" s="52" t="s">
        <v>1094</v>
      </c>
      <c r="BK1387" s="52">
        <v>2006</v>
      </c>
      <c r="BL1387" s="46" t="str">
        <f>BK1387&amp;BI1387</f>
        <v>2006Manchester United</v>
      </c>
      <c r="BM1387" s="52" t="str">
        <f>IF(AD1387="Home",BI1387,IF(AD1387="Away",BJ1387,Q1387))</f>
        <v>Blackburn Rovers</v>
      </c>
      <c r="BN1387" s="52"/>
      <c r="BO1387" s="52"/>
      <c r="BP1387" s="52"/>
      <c r="BQ1387" s="52"/>
      <c r="BR1387" s="52"/>
      <c r="BS1387" s="52"/>
      <c r="BT1387" s="52"/>
      <c r="BU1387" s="52"/>
      <c r="BV1387" s="52" t="s">
        <v>376</v>
      </c>
      <c r="BW1387" s="52" t="s">
        <v>376</v>
      </c>
      <c r="BX1387" s="52"/>
      <c r="BY1387" s="52"/>
      <c r="BZ1387" s="53"/>
      <c r="CA1387" s="53"/>
      <c r="CB1387" s="93" t="str">
        <f>IF(OR(C1387="",A1387="",B1387=""),"",TEXT(C1387,"0000")&amp;TEXT(A1387,"00")&amp;TEXT(B1387,"00"))</f>
        <v>20060111</v>
      </c>
    </row>
    <row r="1388" spans="1:80" s="46" customFormat="1" ht="12.95" customHeight="1" x14ac:dyDescent="0.2">
      <c r="A1388" s="46">
        <v>1</v>
      </c>
      <c r="B1388" s="46">
        <v>24</v>
      </c>
      <c r="C1388" s="46">
        <v>2006</v>
      </c>
      <c r="D1388" s="52" t="s">
        <v>658</v>
      </c>
      <c r="E1388" s="52" t="s">
        <v>284</v>
      </c>
      <c r="F1388" s="52" t="s">
        <v>1327</v>
      </c>
      <c r="G1388" s="52"/>
      <c r="H1388" s="52" t="s">
        <v>1011</v>
      </c>
      <c r="I1388" s="52">
        <v>2</v>
      </c>
      <c r="J1388" s="56">
        <v>38741</v>
      </c>
      <c r="K1388" s="52" t="s">
        <v>587</v>
      </c>
      <c r="L1388" s="52" t="s">
        <v>3</v>
      </c>
      <c r="M1388" s="52" t="s">
        <v>1411</v>
      </c>
      <c r="N1388" s="57">
        <v>2</v>
      </c>
      <c r="O1388" s="57">
        <v>1</v>
      </c>
      <c r="P1388" s="52" t="s">
        <v>1281</v>
      </c>
      <c r="Q1388" s="52" t="s">
        <v>1017</v>
      </c>
      <c r="R1388" s="52" t="s">
        <v>376</v>
      </c>
      <c r="S1388" s="52" t="s">
        <v>1396</v>
      </c>
      <c r="T1388" s="52"/>
      <c r="U1388" s="52"/>
      <c r="V1388" s="52"/>
      <c r="W1388" s="52"/>
      <c r="X1388" s="52"/>
      <c r="Y1388" s="52"/>
      <c r="Z1388" s="57"/>
      <c r="AA1388" s="58">
        <v>2</v>
      </c>
      <c r="AB1388" s="58">
        <v>2</v>
      </c>
      <c r="AC1388" s="59">
        <v>0</v>
      </c>
      <c r="AD1388" s="52" t="s">
        <v>1033</v>
      </c>
      <c r="AE1388" s="50">
        <f>IF(L1388="W",1,0)</f>
        <v>1</v>
      </c>
      <c r="AF1388" s="50">
        <f>IF(L1388="T",1,0)</f>
        <v>0</v>
      </c>
      <c r="AG1388" s="50">
        <f>IF(L1388="L",1,0)</f>
        <v>0</v>
      </c>
      <c r="AH1388" s="52" t="s">
        <v>1017</v>
      </c>
      <c r="AI1388" s="52" t="s">
        <v>1018</v>
      </c>
      <c r="AJ1388" s="52" t="s">
        <v>376</v>
      </c>
      <c r="AK1388" s="50" t="s">
        <v>658</v>
      </c>
      <c r="AL1388" s="52" t="s">
        <v>1101</v>
      </c>
      <c r="AM1388" s="52" t="s">
        <v>1159</v>
      </c>
      <c r="AN1388" s="52" t="s">
        <v>376</v>
      </c>
      <c r="AO1388" s="50" t="s">
        <v>658</v>
      </c>
      <c r="AP1388" s="52"/>
      <c r="AQ1388" s="52">
        <v>2</v>
      </c>
      <c r="AR1388" s="52"/>
      <c r="AS1388" s="52">
        <v>1</v>
      </c>
      <c r="AU1388" s="52" t="s">
        <v>376</v>
      </c>
      <c r="AV1388" s="52"/>
      <c r="AW1388" s="52" t="s">
        <v>30</v>
      </c>
      <c r="AX1388" s="52"/>
      <c r="AY1388" s="52"/>
      <c r="AZ1388" s="52" t="s">
        <v>30</v>
      </c>
      <c r="BA1388" s="52"/>
      <c r="BB1388" s="60"/>
      <c r="BC1388" s="52"/>
      <c r="BD1388" s="60"/>
      <c r="BE1388" s="60"/>
      <c r="BF1388" s="35">
        <v>1</v>
      </c>
      <c r="BG1388" s="52">
        <v>1</v>
      </c>
      <c r="BH1388" s="52"/>
      <c r="BI1388" s="52" t="s">
        <v>587</v>
      </c>
      <c r="BJ1388" s="52" t="s">
        <v>1411</v>
      </c>
      <c r="BK1388" s="52">
        <v>2006</v>
      </c>
      <c r="BL1388" s="46" t="str">
        <f>BK1388&amp;BI1388</f>
        <v>2006Arsenal</v>
      </c>
      <c r="BM1388" s="52" t="str">
        <f>IF(AD1388="Home",BI1388,IF(AD1388="Away",BJ1388,Q1388))</f>
        <v>Arsenal</v>
      </c>
      <c r="BN1388" s="52"/>
      <c r="BO1388" s="52"/>
      <c r="BP1388" s="52"/>
      <c r="BQ1388" s="52"/>
      <c r="BR1388" s="52"/>
      <c r="BS1388" s="52"/>
      <c r="BT1388" s="52"/>
      <c r="BU1388" s="52"/>
      <c r="BV1388" s="52" t="s">
        <v>376</v>
      </c>
      <c r="BW1388" s="52" t="s">
        <v>376</v>
      </c>
      <c r="BX1388" s="52"/>
      <c r="BY1388" s="52"/>
      <c r="BZ1388" s="53"/>
      <c r="CA1388" s="53"/>
      <c r="CB1388" s="93" t="str">
        <f>IF(OR(C1388="",A1388="",B1388=""),"",TEXT(C1388,"0000")&amp;TEXT(A1388,"00")&amp;TEXT(B1388,"00"))</f>
        <v>20060124</v>
      </c>
    </row>
    <row r="1389" spans="1:80" s="46" customFormat="1" ht="12.95" customHeight="1" x14ac:dyDescent="0.2">
      <c r="A1389" s="46">
        <v>1</v>
      </c>
      <c r="B1389" s="46">
        <v>24</v>
      </c>
      <c r="C1389" s="46">
        <v>2006</v>
      </c>
      <c r="D1389" s="52" t="s">
        <v>658</v>
      </c>
      <c r="E1389" s="52" t="s">
        <v>284</v>
      </c>
      <c r="F1389" s="52" t="s">
        <v>1327</v>
      </c>
      <c r="G1389" s="52"/>
      <c r="H1389" s="52" t="s">
        <v>1011</v>
      </c>
      <c r="I1389" s="52">
        <v>2</v>
      </c>
      <c r="J1389" s="56">
        <v>38741</v>
      </c>
      <c r="K1389" s="52" t="s">
        <v>1411</v>
      </c>
      <c r="L1389" s="52" t="s">
        <v>4</v>
      </c>
      <c r="M1389" s="52" t="s">
        <v>587</v>
      </c>
      <c r="N1389" s="57">
        <v>1</v>
      </c>
      <c r="O1389" s="57">
        <v>2</v>
      </c>
      <c r="P1389" s="52" t="s">
        <v>1281</v>
      </c>
      <c r="Q1389" s="52" t="s">
        <v>1017</v>
      </c>
      <c r="R1389" s="52" t="s">
        <v>376</v>
      </c>
      <c r="S1389" s="52" t="s">
        <v>1396</v>
      </c>
      <c r="T1389" s="52"/>
      <c r="U1389" s="52"/>
      <c r="V1389" s="52"/>
      <c r="W1389" s="52"/>
      <c r="X1389" s="52"/>
      <c r="Y1389" s="52"/>
      <c r="Z1389" s="57"/>
      <c r="AA1389" s="58">
        <v>2</v>
      </c>
      <c r="AB1389" s="58">
        <v>2</v>
      </c>
      <c r="AC1389" s="59">
        <v>1</v>
      </c>
      <c r="AD1389" s="52" t="s">
        <v>1037</v>
      </c>
      <c r="AE1389" s="50">
        <f>IF(L1389="W",1,0)</f>
        <v>0</v>
      </c>
      <c r="AF1389" s="50">
        <f>IF(L1389="T",1,0)</f>
        <v>0</v>
      </c>
      <c r="AG1389" s="50">
        <f>IF(L1389="L",1,0)</f>
        <v>1</v>
      </c>
      <c r="AH1389" s="52" t="s">
        <v>1101</v>
      </c>
      <c r="AI1389" s="52" t="s">
        <v>1159</v>
      </c>
      <c r="AJ1389" s="52" t="s">
        <v>376</v>
      </c>
      <c r="AK1389" s="50" t="s">
        <v>658</v>
      </c>
      <c r="AL1389" s="52" t="s">
        <v>1017</v>
      </c>
      <c r="AM1389" s="52" t="s">
        <v>1018</v>
      </c>
      <c r="AN1389" s="52" t="s">
        <v>376</v>
      </c>
      <c r="AO1389" s="50" t="s">
        <v>658</v>
      </c>
      <c r="AP1389" s="52"/>
      <c r="AQ1389" s="52">
        <v>2</v>
      </c>
      <c r="AR1389" s="52"/>
      <c r="AS1389" s="52"/>
      <c r="AU1389" s="52" t="s">
        <v>376</v>
      </c>
      <c r="AV1389" s="52"/>
      <c r="AW1389" s="52" t="s">
        <v>30</v>
      </c>
      <c r="AX1389" s="52"/>
      <c r="AY1389" s="52"/>
      <c r="AZ1389" s="52" t="s">
        <v>30</v>
      </c>
      <c r="BA1389" s="52"/>
      <c r="BB1389" s="60"/>
      <c r="BC1389" s="52"/>
      <c r="BD1389" s="60"/>
      <c r="BE1389" s="60"/>
      <c r="BF1389" s="35">
        <v>1</v>
      </c>
      <c r="BG1389" s="52">
        <v>1</v>
      </c>
      <c r="BH1389" s="52"/>
      <c r="BI1389" s="52" t="s">
        <v>1411</v>
      </c>
      <c r="BJ1389" s="52" t="s">
        <v>587</v>
      </c>
      <c r="BK1389" s="52">
        <v>2006</v>
      </c>
      <c r="BL1389" s="46" t="str">
        <f>BK1389&amp;BI1389</f>
        <v>2006Wigan Athletic</v>
      </c>
      <c r="BM1389" s="52" t="str">
        <f>IF(AD1389="Home",BI1389,IF(AD1389="Away",BJ1389,Q1389))</f>
        <v>Arsenal</v>
      </c>
      <c r="BN1389" s="52"/>
      <c r="BO1389" s="52"/>
      <c r="BP1389" s="52"/>
      <c r="BQ1389" s="52"/>
      <c r="BR1389" s="52"/>
      <c r="BS1389" s="52"/>
      <c r="BT1389" s="52"/>
      <c r="BU1389" s="52"/>
      <c r="BV1389" s="52" t="s">
        <v>376</v>
      </c>
      <c r="BW1389" s="52" t="s">
        <v>376</v>
      </c>
      <c r="BX1389" s="52"/>
      <c r="BY1389" s="52"/>
      <c r="BZ1389" s="53"/>
      <c r="CA1389" s="53"/>
      <c r="CB1389" s="93" t="str">
        <f>IF(OR(C1389="",A1389="",B1389=""),"",TEXT(C1389,"0000")&amp;TEXT(A1389,"00")&amp;TEXT(B1389,"00"))</f>
        <v>20060124</v>
      </c>
    </row>
    <row r="1390" spans="1:80" s="46" customFormat="1" ht="12.95" customHeight="1" x14ac:dyDescent="0.2">
      <c r="A1390" s="46">
        <v>1</v>
      </c>
      <c r="B1390" s="46">
        <v>25</v>
      </c>
      <c r="C1390" s="46">
        <v>2006</v>
      </c>
      <c r="D1390" s="52" t="s">
        <v>658</v>
      </c>
      <c r="E1390" s="52" t="s">
        <v>284</v>
      </c>
      <c r="F1390" s="52" t="s">
        <v>1327</v>
      </c>
      <c r="G1390" s="52"/>
      <c r="H1390" s="52" t="s">
        <v>1011</v>
      </c>
      <c r="I1390" s="52">
        <v>2</v>
      </c>
      <c r="J1390" s="56">
        <v>38742</v>
      </c>
      <c r="K1390" s="52" t="s">
        <v>821</v>
      </c>
      <c r="L1390" s="52" t="s">
        <v>3</v>
      </c>
      <c r="M1390" s="52" t="s">
        <v>1094</v>
      </c>
      <c r="N1390" s="57">
        <v>2</v>
      </c>
      <c r="O1390" s="57">
        <v>1</v>
      </c>
      <c r="P1390" s="52" t="s">
        <v>1246</v>
      </c>
      <c r="Q1390" s="52" t="s">
        <v>1101</v>
      </c>
      <c r="R1390" s="52" t="s">
        <v>376</v>
      </c>
      <c r="S1390" s="52"/>
      <c r="T1390" s="52"/>
      <c r="U1390" s="52"/>
      <c r="V1390" s="52"/>
      <c r="W1390" s="52"/>
      <c r="X1390" s="52"/>
      <c r="Y1390" s="52"/>
      <c r="Z1390" s="57"/>
      <c r="AA1390" s="58">
        <v>3</v>
      </c>
      <c r="AB1390" s="58">
        <v>2</v>
      </c>
      <c r="AC1390" s="59">
        <v>1</v>
      </c>
      <c r="AD1390" s="52" t="s">
        <v>1033</v>
      </c>
      <c r="AE1390" s="50">
        <f>IF(L1390="W",1,0)</f>
        <v>1</v>
      </c>
      <c r="AF1390" s="50">
        <f>IF(L1390="T",1,0)</f>
        <v>0</v>
      </c>
      <c r="AG1390" s="50">
        <f>IF(L1390="L",1,0)</f>
        <v>0</v>
      </c>
      <c r="AH1390" s="52" t="s">
        <v>1101</v>
      </c>
      <c r="AI1390" s="52" t="s">
        <v>1159</v>
      </c>
      <c r="AJ1390" s="52" t="s">
        <v>376</v>
      </c>
      <c r="AK1390" s="50" t="s">
        <v>658</v>
      </c>
      <c r="AL1390" s="52" t="s">
        <v>1085</v>
      </c>
      <c r="AM1390" s="52" t="s">
        <v>1086</v>
      </c>
      <c r="AN1390" s="52" t="s">
        <v>376</v>
      </c>
      <c r="AO1390" s="50" t="s">
        <v>658</v>
      </c>
      <c r="AP1390" s="52"/>
      <c r="AQ1390" s="52">
        <v>2</v>
      </c>
      <c r="AR1390" s="52"/>
      <c r="AS1390" s="52"/>
      <c r="AU1390" s="52" t="s">
        <v>376</v>
      </c>
      <c r="AV1390" s="52"/>
      <c r="AW1390" s="52" t="s">
        <v>30</v>
      </c>
      <c r="AX1390" s="52"/>
      <c r="AY1390" s="52"/>
      <c r="AZ1390" s="52" t="s">
        <v>30</v>
      </c>
      <c r="BA1390" s="52"/>
      <c r="BB1390" s="60"/>
      <c r="BC1390" s="52"/>
      <c r="BD1390" s="60"/>
      <c r="BE1390" s="60"/>
      <c r="BF1390" s="35">
        <v>1</v>
      </c>
      <c r="BG1390" s="52">
        <v>1</v>
      </c>
      <c r="BH1390" s="52"/>
      <c r="BI1390" s="52" t="s">
        <v>821</v>
      </c>
      <c r="BJ1390" s="52" t="s">
        <v>1094</v>
      </c>
      <c r="BK1390" s="52">
        <v>2006</v>
      </c>
      <c r="BL1390" s="46" t="str">
        <f>BK1390&amp;BI1390</f>
        <v>2006Manchester United</v>
      </c>
      <c r="BM1390" s="52" t="str">
        <f>IF(AD1390="Home",BI1390,IF(AD1390="Away",BJ1390,Q1390))</f>
        <v>Manchester United</v>
      </c>
      <c r="BN1390" s="52"/>
      <c r="BO1390" s="52"/>
      <c r="BP1390" s="52"/>
      <c r="BQ1390" s="52"/>
      <c r="BR1390" s="52"/>
      <c r="BS1390" s="52"/>
      <c r="BT1390" s="52"/>
      <c r="BU1390" s="52"/>
      <c r="BV1390" s="52" t="s">
        <v>376</v>
      </c>
      <c r="BW1390" s="52" t="s">
        <v>376</v>
      </c>
      <c r="BX1390" s="52"/>
      <c r="BY1390" s="52"/>
      <c r="BZ1390" s="53"/>
      <c r="CA1390" s="53"/>
      <c r="CB1390" s="93" t="str">
        <f>IF(OR(C1390="",A1390="",B1390=""),"",TEXT(C1390,"0000")&amp;TEXT(A1390,"00")&amp;TEXT(B1390,"00"))</f>
        <v>20060125</v>
      </c>
    </row>
    <row r="1391" spans="1:80" s="46" customFormat="1" ht="12.95" customHeight="1" x14ac:dyDescent="0.2">
      <c r="A1391" s="46">
        <v>1</v>
      </c>
      <c r="B1391" s="46">
        <v>25</v>
      </c>
      <c r="C1391" s="46">
        <v>2006</v>
      </c>
      <c r="D1391" s="52" t="s">
        <v>658</v>
      </c>
      <c r="E1391" s="52" t="s">
        <v>284</v>
      </c>
      <c r="F1391" s="52" t="s">
        <v>1327</v>
      </c>
      <c r="G1391" s="52"/>
      <c r="H1391" s="52" t="s">
        <v>1011</v>
      </c>
      <c r="I1391" s="52">
        <v>2</v>
      </c>
      <c r="J1391" s="56">
        <v>38742</v>
      </c>
      <c r="K1391" s="52" t="s">
        <v>1094</v>
      </c>
      <c r="L1391" s="52" t="s">
        <v>4</v>
      </c>
      <c r="M1391" s="52" t="s">
        <v>821</v>
      </c>
      <c r="N1391" s="57">
        <v>1</v>
      </c>
      <c r="O1391" s="57">
        <v>2</v>
      </c>
      <c r="P1391" s="52" t="s">
        <v>1246</v>
      </c>
      <c r="Q1391" s="52" t="s">
        <v>1101</v>
      </c>
      <c r="R1391" s="52" t="s">
        <v>376</v>
      </c>
      <c r="S1391" s="52"/>
      <c r="T1391" s="52"/>
      <c r="U1391" s="52"/>
      <c r="V1391" s="52"/>
      <c r="W1391" s="52"/>
      <c r="X1391" s="52"/>
      <c r="Y1391" s="52"/>
      <c r="Z1391" s="57"/>
      <c r="AA1391" s="58">
        <v>2</v>
      </c>
      <c r="AB1391" s="58">
        <v>3</v>
      </c>
      <c r="AC1391" s="59">
        <v>1</v>
      </c>
      <c r="AD1391" s="52" t="s">
        <v>1037</v>
      </c>
      <c r="AE1391" s="50">
        <f>IF(L1391="W",1,0)</f>
        <v>0</v>
      </c>
      <c r="AF1391" s="50">
        <f>IF(L1391="T",1,0)</f>
        <v>0</v>
      </c>
      <c r="AG1391" s="50">
        <f>IF(L1391="L",1,0)</f>
        <v>1</v>
      </c>
      <c r="AH1391" s="52" t="s">
        <v>1085</v>
      </c>
      <c r="AI1391" s="52" t="s">
        <v>1086</v>
      </c>
      <c r="AJ1391" s="52" t="s">
        <v>376</v>
      </c>
      <c r="AK1391" s="50" t="s">
        <v>658</v>
      </c>
      <c r="AL1391" s="52" t="s">
        <v>1101</v>
      </c>
      <c r="AM1391" s="52" t="s">
        <v>1159</v>
      </c>
      <c r="AN1391" s="52" t="s">
        <v>376</v>
      </c>
      <c r="AO1391" s="50" t="s">
        <v>658</v>
      </c>
      <c r="AP1391" s="52"/>
      <c r="AQ1391" s="52">
        <v>2</v>
      </c>
      <c r="AR1391" s="52"/>
      <c r="AS1391" s="52">
        <v>1</v>
      </c>
      <c r="AU1391" s="52" t="s">
        <v>376</v>
      </c>
      <c r="AV1391" s="52"/>
      <c r="AW1391" s="52" t="s">
        <v>30</v>
      </c>
      <c r="AX1391" s="52"/>
      <c r="AY1391" s="52"/>
      <c r="AZ1391" s="52" t="s">
        <v>30</v>
      </c>
      <c r="BA1391" s="52"/>
      <c r="BB1391" s="60"/>
      <c r="BC1391" s="52"/>
      <c r="BD1391" s="60"/>
      <c r="BE1391" s="60"/>
      <c r="BF1391" s="35">
        <v>1</v>
      </c>
      <c r="BG1391" s="52">
        <v>1</v>
      </c>
      <c r="BH1391" s="52"/>
      <c r="BI1391" s="52" t="s">
        <v>1094</v>
      </c>
      <c r="BJ1391" s="52" t="s">
        <v>821</v>
      </c>
      <c r="BK1391" s="52">
        <v>2006</v>
      </c>
      <c r="BL1391" s="46" t="str">
        <f>BK1391&amp;BI1391</f>
        <v>2006Blackburn Rovers</v>
      </c>
      <c r="BM1391" s="52" t="str">
        <f>IF(AD1391="Home",BI1391,IF(AD1391="Away",BJ1391,Q1391))</f>
        <v>Manchester United</v>
      </c>
      <c r="BN1391" s="52"/>
      <c r="BO1391" s="52"/>
      <c r="BP1391" s="52"/>
      <c r="BQ1391" s="52"/>
      <c r="BR1391" s="52"/>
      <c r="BS1391" s="52"/>
      <c r="BT1391" s="52"/>
      <c r="BU1391" s="52"/>
      <c r="BV1391" s="52" t="s">
        <v>376</v>
      </c>
      <c r="BW1391" s="52" t="s">
        <v>376</v>
      </c>
      <c r="BX1391" s="52"/>
      <c r="BY1391" s="52"/>
      <c r="BZ1391" s="53"/>
      <c r="CA1391" s="53"/>
      <c r="CB1391" s="93" t="str">
        <f>IF(OR(C1391="",A1391="",B1391=""),"",TEXT(C1391,"0000")&amp;TEXT(A1391,"00")&amp;TEXT(B1391,"00"))</f>
        <v>20060125</v>
      </c>
    </row>
    <row r="1392" spans="1:80" s="46" customFormat="1" ht="12.95" customHeight="1" x14ac:dyDescent="0.2">
      <c r="A1392" s="46">
        <v>2</v>
      </c>
      <c r="B1392" s="46">
        <v>26</v>
      </c>
      <c r="C1392" s="46">
        <v>2006</v>
      </c>
      <c r="D1392" s="52" t="s">
        <v>658</v>
      </c>
      <c r="E1392" s="52" t="s">
        <v>284</v>
      </c>
      <c r="F1392" s="52" t="s">
        <v>1327</v>
      </c>
      <c r="G1392" s="52"/>
      <c r="H1392" s="52" t="s">
        <v>40</v>
      </c>
      <c r="I1392" s="52"/>
      <c r="J1392" s="56">
        <v>38774</v>
      </c>
      <c r="K1392" s="52" t="s">
        <v>821</v>
      </c>
      <c r="L1392" s="52" t="s">
        <v>3</v>
      </c>
      <c r="M1392" s="52" t="s">
        <v>1411</v>
      </c>
      <c r="N1392" s="57">
        <v>4</v>
      </c>
      <c r="O1392" s="57">
        <v>0</v>
      </c>
      <c r="P1392" s="52" t="s">
        <v>1407</v>
      </c>
      <c r="Q1392" s="46" t="s">
        <v>1263</v>
      </c>
      <c r="R1392" s="46" t="s">
        <v>1264</v>
      </c>
      <c r="S1392" s="52"/>
      <c r="T1392" s="52"/>
      <c r="U1392" s="52"/>
      <c r="V1392" s="52"/>
      <c r="W1392" s="52"/>
      <c r="X1392" s="52"/>
      <c r="Y1392" s="52"/>
      <c r="Z1392" s="57"/>
      <c r="AA1392" s="52"/>
      <c r="AB1392" s="52"/>
      <c r="AC1392" s="52"/>
      <c r="AD1392" s="52"/>
      <c r="AE1392" s="50">
        <f>IF(L1392="W",1,0)</f>
        <v>1</v>
      </c>
      <c r="AF1392" s="50">
        <f>IF(L1392="T",1,0)</f>
        <v>0</v>
      </c>
      <c r="AG1392" s="50">
        <f>IF(L1392="L",1,0)</f>
        <v>0</v>
      </c>
      <c r="AH1392" s="52" t="s">
        <v>1101</v>
      </c>
      <c r="AI1392" s="52" t="s">
        <v>1159</v>
      </c>
      <c r="AJ1392" s="52" t="s">
        <v>376</v>
      </c>
      <c r="AK1392" s="50" t="s">
        <v>658</v>
      </c>
      <c r="AL1392" s="52" t="s">
        <v>1101</v>
      </c>
      <c r="AM1392" s="52" t="s">
        <v>1159</v>
      </c>
      <c r="AN1392" s="52" t="s">
        <v>376</v>
      </c>
      <c r="AO1392" s="50" t="s">
        <v>658</v>
      </c>
      <c r="AP1392" s="52"/>
      <c r="AQ1392" s="52">
        <v>1</v>
      </c>
      <c r="AR1392" s="52"/>
      <c r="AS1392" s="52" t="s">
        <v>1393</v>
      </c>
      <c r="AU1392" s="52" t="s">
        <v>376</v>
      </c>
      <c r="AV1392" s="52"/>
      <c r="AW1392" s="52" t="s">
        <v>30</v>
      </c>
      <c r="AX1392" s="52"/>
      <c r="AY1392" s="52"/>
      <c r="AZ1392" s="57" t="s">
        <v>30</v>
      </c>
      <c r="BA1392" s="52"/>
      <c r="BB1392" s="60" t="s">
        <v>30</v>
      </c>
      <c r="BC1392" s="52" t="s">
        <v>30</v>
      </c>
      <c r="BD1392" s="60"/>
      <c r="BE1392" s="60" t="s">
        <v>1394</v>
      </c>
      <c r="BF1392" s="35">
        <v>1</v>
      </c>
      <c r="BG1392" s="52">
        <v>1</v>
      </c>
      <c r="BH1392" s="52"/>
      <c r="BI1392" s="52" t="s">
        <v>821</v>
      </c>
      <c r="BJ1392" s="52" t="s">
        <v>1411</v>
      </c>
      <c r="BK1392" s="52">
        <v>2006</v>
      </c>
      <c r="BL1392" s="46" t="str">
        <f>BK1392&amp;BI1392</f>
        <v>2006Manchester United</v>
      </c>
      <c r="BM1392" s="52" t="str">
        <f>IF(AD1392="Home",BI1392,IF(AD1392="Away",BJ1392,Q1392))</f>
        <v>Cardiff</v>
      </c>
      <c r="BN1392" s="52"/>
      <c r="BO1392" s="52"/>
      <c r="BP1392" s="52"/>
      <c r="BQ1392" s="52"/>
      <c r="BR1392" s="52"/>
      <c r="BS1392" s="52"/>
      <c r="BT1392" s="52"/>
      <c r="BU1392" s="52"/>
      <c r="BV1392" s="52" t="s">
        <v>376</v>
      </c>
      <c r="BW1392" s="52" t="s">
        <v>376</v>
      </c>
      <c r="BX1392" s="52"/>
      <c r="BZ1392" s="53"/>
      <c r="CA1392" s="53"/>
      <c r="CB1392" s="93" t="str">
        <f>IF(OR(C1392="",A1392="",B1392=""),"",TEXT(C1392,"0000")&amp;TEXT(A1392,"00")&amp;TEXT(B1392,"00"))</f>
        <v>20060226</v>
      </c>
    </row>
    <row r="1393" spans="1:80" s="46" customFormat="1" ht="12.95" customHeight="1" x14ac:dyDescent="0.2">
      <c r="A1393" s="46">
        <v>2</v>
      </c>
      <c r="B1393" s="46">
        <v>26</v>
      </c>
      <c r="C1393" s="46">
        <v>2006</v>
      </c>
      <c r="D1393" s="52" t="s">
        <v>658</v>
      </c>
      <c r="E1393" s="52" t="s">
        <v>284</v>
      </c>
      <c r="F1393" s="52" t="s">
        <v>1327</v>
      </c>
      <c r="G1393" s="52"/>
      <c r="H1393" s="52" t="s">
        <v>40</v>
      </c>
      <c r="I1393" s="52"/>
      <c r="J1393" s="56">
        <v>38774</v>
      </c>
      <c r="K1393" s="52" t="s">
        <v>1411</v>
      </c>
      <c r="L1393" s="52" t="s">
        <v>4</v>
      </c>
      <c r="M1393" s="52" t="s">
        <v>821</v>
      </c>
      <c r="N1393" s="57">
        <v>0</v>
      </c>
      <c r="O1393" s="57">
        <v>4</v>
      </c>
      <c r="P1393" s="52" t="s">
        <v>1407</v>
      </c>
      <c r="Q1393" s="46" t="s">
        <v>1263</v>
      </c>
      <c r="R1393" s="46" t="s">
        <v>1264</v>
      </c>
      <c r="S1393" s="52"/>
      <c r="T1393" s="52"/>
      <c r="U1393" s="52"/>
      <c r="V1393" s="52"/>
      <c r="W1393" s="52"/>
      <c r="X1393" s="52"/>
      <c r="Y1393" s="52"/>
      <c r="Z1393" s="57"/>
      <c r="AA1393" s="52"/>
      <c r="AB1393" s="52"/>
      <c r="AC1393" s="52"/>
      <c r="AD1393" s="52"/>
      <c r="AE1393" s="50">
        <f>IF(L1393="W",1,0)</f>
        <v>0</v>
      </c>
      <c r="AF1393" s="50">
        <f>IF(L1393="T",1,0)</f>
        <v>0</v>
      </c>
      <c r="AG1393" s="50">
        <f>IF(L1393="L",1,0)</f>
        <v>1</v>
      </c>
      <c r="AH1393" s="52" t="s">
        <v>1101</v>
      </c>
      <c r="AI1393" s="52" t="s">
        <v>1159</v>
      </c>
      <c r="AJ1393" s="52" t="s">
        <v>376</v>
      </c>
      <c r="AK1393" s="50" t="s">
        <v>658</v>
      </c>
      <c r="AL1393" s="52" t="s">
        <v>1101</v>
      </c>
      <c r="AM1393" s="52" t="s">
        <v>1159</v>
      </c>
      <c r="AN1393" s="52" t="s">
        <v>376</v>
      </c>
      <c r="AO1393" s="50" t="s">
        <v>658</v>
      </c>
      <c r="AP1393" s="52"/>
      <c r="AQ1393" s="52">
        <v>1</v>
      </c>
      <c r="AR1393" s="52"/>
      <c r="AS1393" s="52">
        <v>1</v>
      </c>
      <c r="AU1393" s="52" t="s">
        <v>376</v>
      </c>
      <c r="AV1393" s="52"/>
      <c r="AW1393" s="52" t="s">
        <v>30</v>
      </c>
      <c r="AX1393" s="52"/>
      <c r="AY1393" s="52"/>
      <c r="AZ1393" s="52" t="s">
        <v>30</v>
      </c>
      <c r="BA1393" s="52"/>
      <c r="BB1393" s="60"/>
      <c r="BC1393" s="52" t="s">
        <v>30</v>
      </c>
      <c r="BD1393" s="60"/>
      <c r="BE1393" s="60"/>
      <c r="BF1393" s="35">
        <v>1</v>
      </c>
      <c r="BG1393" s="52">
        <v>1</v>
      </c>
      <c r="BH1393" s="52"/>
      <c r="BI1393" s="52" t="s">
        <v>1411</v>
      </c>
      <c r="BJ1393" s="52" t="s">
        <v>821</v>
      </c>
      <c r="BK1393" s="52">
        <v>2006</v>
      </c>
      <c r="BL1393" s="46" t="str">
        <f>BK1393&amp;BI1393</f>
        <v>2006Wigan Athletic</v>
      </c>
      <c r="BM1393" s="52" t="str">
        <f>IF(AD1393="Home",BI1393,IF(AD1393="Away",BJ1393,Q1393))</f>
        <v>Cardiff</v>
      </c>
      <c r="BN1393" s="52"/>
      <c r="BO1393" s="52"/>
      <c r="BP1393" s="52"/>
      <c r="BQ1393" s="52"/>
      <c r="BR1393" s="52"/>
      <c r="BS1393" s="52"/>
      <c r="BT1393" s="52"/>
      <c r="BU1393" s="52"/>
      <c r="BV1393" s="52" t="s">
        <v>376</v>
      </c>
      <c r="BW1393" s="52" t="s">
        <v>376</v>
      </c>
      <c r="BX1393" s="52"/>
      <c r="BZ1393" s="53"/>
      <c r="CA1393" s="53"/>
      <c r="CB1393" s="93" t="str">
        <f>IF(OR(C1393="",A1393="",B1393=""),"",TEXT(C1393,"0000")&amp;TEXT(A1393,"00")&amp;TEXT(B1393,"00"))</f>
        <v>20060226</v>
      </c>
    </row>
    <row r="1394" spans="1:80" s="46" customFormat="1" ht="12.95" customHeight="1" x14ac:dyDescent="0.2">
      <c r="A1394" s="46">
        <v>4</v>
      </c>
      <c r="B1394" s="46">
        <v>22</v>
      </c>
      <c r="C1394" s="46">
        <v>2006</v>
      </c>
      <c r="D1394" s="52" t="s">
        <v>658</v>
      </c>
      <c r="E1394" s="52" t="s">
        <v>284</v>
      </c>
      <c r="F1394" s="52" t="s">
        <v>1010</v>
      </c>
      <c r="G1394" s="52"/>
      <c r="H1394" s="52" t="s">
        <v>1011</v>
      </c>
      <c r="I1394" s="52"/>
      <c r="J1394" s="56">
        <v>38829</v>
      </c>
      <c r="K1394" s="52" t="s">
        <v>588</v>
      </c>
      <c r="L1394" s="52" t="s">
        <v>3</v>
      </c>
      <c r="M1394" s="52" t="s">
        <v>816</v>
      </c>
      <c r="N1394" s="57">
        <v>2</v>
      </c>
      <c r="O1394" s="57">
        <v>1</v>
      </c>
      <c r="P1394" s="52" t="s">
        <v>1246</v>
      </c>
      <c r="Q1394" s="52" t="s">
        <v>1101</v>
      </c>
      <c r="R1394" s="52" t="s">
        <v>376</v>
      </c>
      <c r="S1394" s="52"/>
      <c r="T1394" s="52"/>
      <c r="U1394" s="52"/>
      <c r="V1394" s="52"/>
      <c r="W1394" s="52"/>
      <c r="X1394" s="52"/>
      <c r="Y1394" s="52"/>
      <c r="Z1394" s="57"/>
      <c r="AA1394" s="52"/>
      <c r="AB1394" s="52"/>
      <c r="AC1394" s="52"/>
      <c r="AD1394" s="52"/>
      <c r="AE1394" s="50">
        <f>IF(L1394="W",1,0)</f>
        <v>1</v>
      </c>
      <c r="AF1394" s="50">
        <f>IF(L1394="T",1,0)</f>
        <v>0</v>
      </c>
      <c r="AG1394" s="50">
        <f>IF(L1394="L",1,0)</f>
        <v>0</v>
      </c>
      <c r="AH1394" s="52" t="s">
        <v>588</v>
      </c>
      <c r="AI1394" s="52" t="s">
        <v>1175</v>
      </c>
      <c r="AJ1394" s="52" t="s">
        <v>376</v>
      </c>
      <c r="AK1394" s="50" t="s">
        <v>658</v>
      </c>
      <c r="AL1394" s="52" t="s">
        <v>1017</v>
      </c>
      <c r="AM1394" s="52" t="s">
        <v>1018</v>
      </c>
      <c r="AN1394" s="52" t="s">
        <v>376</v>
      </c>
      <c r="AO1394" s="50" t="s">
        <v>658</v>
      </c>
      <c r="AP1394" s="52"/>
      <c r="AQ1394" s="52">
        <v>2</v>
      </c>
      <c r="AR1394" s="52"/>
      <c r="AS1394" s="52"/>
      <c r="AU1394" s="52" t="s">
        <v>376</v>
      </c>
      <c r="AV1394" s="52"/>
      <c r="AW1394" s="52" t="s">
        <v>30</v>
      </c>
      <c r="AX1394" s="52"/>
      <c r="AY1394" s="52" t="s">
        <v>30</v>
      </c>
      <c r="AZ1394" s="52"/>
      <c r="BA1394" s="52"/>
      <c r="BB1394" s="60"/>
      <c r="BC1394" s="52"/>
      <c r="BD1394" s="60"/>
      <c r="BE1394" s="60"/>
      <c r="BF1394" s="35">
        <v>1</v>
      </c>
      <c r="BG1394" s="52">
        <v>1</v>
      </c>
      <c r="BH1394" s="52"/>
      <c r="BI1394" s="52" t="s">
        <v>588</v>
      </c>
      <c r="BJ1394" s="52" t="s">
        <v>816</v>
      </c>
      <c r="BK1394" s="52">
        <v>2006</v>
      </c>
      <c r="BL1394" s="46" t="str">
        <f>BK1394&amp;BI1394</f>
        <v>2006Liverpool</v>
      </c>
      <c r="BM1394" s="52" t="str">
        <f>IF(AD1394="Home",BI1394,IF(AD1394="Away",BJ1394,Q1394))</f>
        <v>Manchester</v>
      </c>
      <c r="BN1394" s="52"/>
      <c r="BO1394" s="52"/>
      <c r="BP1394" s="52"/>
      <c r="BQ1394" s="52"/>
      <c r="BR1394" s="52"/>
      <c r="BS1394" s="52"/>
      <c r="BT1394" s="52"/>
      <c r="BU1394" s="52"/>
      <c r="BV1394" s="52" t="s">
        <v>376</v>
      </c>
      <c r="BW1394" s="52" t="s">
        <v>376</v>
      </c>
      <c r="BX1394" s="52"/>
      <c r="BY1394" s="52"/>
      <c r="BZ1394" s="53"/>
      <c r="CA1394" s="53"/>
      <c r="CB1394" s="93" t="str">
        <f>IF(OR(C1394="",A1394="",B1394=""),"",TEXT(C1394,"0000")&amp;TEXT(A1394,"00")&amp;TEXT(B1394,"00"))</f>
        <v>20060422</v>
      </c>
    </row>
    <row r="1395" spans="1:80" s="46" customFormat="1" ht="12.95" customHeight="1" x14ac:dyDescent="0.2">
      <c r="A1395" s="46">
        <v>4</v>
      </c>
      <c r="B1395" s="46">
        <v>22</v>
      </c>
      <c r="C1395" s="46">
        <v>2006</v>
      </c>
      <c r="D1395" s="52" t="s">
        <v>658</v>
      </c>
      <c r="E1395" s="52" t="s">
        <v>284</v>
      </c>
      <c r="F1395" s="52" t="s">
        <v>1010</v>
      </c>
      <c r="G1395" s="52"/>
      <c r="H1395" s="52" t="s">
        <v>1011</v>
      </c>
      <c r="I1395" s="52"/>
      <c r="J1395" s="56">
        <v>38829</v>
      </c>
      <c r="K1395" s="52" t="s">
        <v>816</v>
      </c>
      <c r="L1395" s="52" t="s">
        <v>4</v>
      </c>
      <c r="M1395" s="52" t="s">
        <v>588</v>
      </c>
      <c r="N1395" s="57">
        <v>1</v>
      </c>
      <c r="O1395" s="57">
        <v>2</v>
      </c>
      <c r="P1395" s="52" t="s">
        <v>1246</v>
      </c>
      <c r="Q1395" s="52" t="s">
        <v>1101</v>
      </c>
      <c r="R1395" s="52" t="s">
        <v>376</v>
      </c>
      <c r="S1395" s="52"/>
      <c r="T1395" s="52"/>
      <c r="U1395" s="52"/>
      <c r="V1395" s="52"/>
      <c r="W1395" s="52"/>
      <c r="X1395" s="52"/>
      <c r="Y1395" s="52"/>
      <c r="Z1395" s="57"/>
      <c r="AA1395" s="52"/>
      <c r="AB1395" s="52"/>
      <c r="AC1395" s="52"/>
      <c r="AD1395" s="52"/>
      <c r="AE1395" s="50">
        <f>IF(L1395="W",1,0)</f>
        <v>0</v>
      </c>
      <c r="AF1395" s="50">
        <f>IF(L1395="T",1,0)</f>
        <v>0</v>
      </c>
      <c r="AG1395" s="50">
        <f>IF(L1395="L",1,0)</f>
        <v>1</v>
      </c>
      <c r="AH1395" s="52" t="s">
        <v>1017</v>
      </c>
      <c r="AI1395" s="52" t="s">
        <v>1018</v>
      </c>
      <c r="AJ1395" s="52" t="s">
        <v>376</v>
      </c>
      <c r="AK1395" s="50" t="s">
        <v>658</v>
      </c>
      <c r="AL1395" s="52" t="s">
        <v>588</v>
      </c>
      <c r="AM1395" s="52" t="s">
        <v>1175</v>
      </c>
      <c r="AN1395" s="52" t="s">
        <v>376</v>
      </c>
      <c r="AO1395" s="50" t="s">
        <v>658</v>
      </c>
      <c r="AP1395" s="52"/>
      <c r="AQ1395" s="52">
        <v>2</v>
      </c>
      <c r="AR1395" s="52"/>
      <c r="AS1395" s="52">
        <v>1</v>
      </c>
      <c r="AU1395" s="52" t="s">
        <v>376</v>
      </c>
      <c r="AV1395" s="52"/>
      <c r="AW1395" s="52" t="s">
        <v>30</v>
      </c>
      <c r="AX1395" s="52"/>
      <c r="AY1395" s="52" t="s">
        <v>30</v>
      </c>
      <c r="AZ1395" s="52"/>
      <c r="BA1395" s="52"/>
      <c r="BB1395" s="60"/>
      <c r="BC1395" s="52"/>
      <c r="BD1395" s="60"/>
      <c r="BE1395" s="60"/>
      <c r="BF1395" s="35">
        <v>1</v>
      </c>
      <c r="BG1395" s="52">
        <v>1</v>
      </c>
      <c r="BH1395" s="52"/>
      <c r="BI1395" s="52" t="s">
        <v>816</v>
      </c>
      <c r="BJ1395" s="52" t="s">
        <v>588</v>
      </c>
      <c r="BK1395" s="52">
        <v>2006</v>
      </c>
      <c r="BL1395" s="46" t="str">
        <f>BK1395&amp;BI1395</f>
        <v>2006Chelsea</v>
      </c>
      <c r="BM1395" s="52" t="str">
        <f>IF(AD1395="Home",BI1395,IF(AD1395="Away",BJ1395,Q1395))</f>
        <v>Manchester</v>
      </c>
      <c r="BN1395" s="52"/>
      <c r="BO1395" s="52"/>
      <c r="BP1395" s="52"/>
      <c r="BQ1395" s="52"/>
      <c r="BR1395" s="52"/>
      <c r="BS1395" s="52"/>
      <c r="BT1395" s="52"/>
      <c r="BU1395" s="52"/>
      <c r="BV1395" s="52" t="s">
        <v>376</v>
      </c>
      <c r="BW1395" s="52" t="s">
        <v>376</v>
      </c>
      <c r="BX1395" s="52"/>
      <c r="BY1395" s="52"/>
      <c r="BZ1395" s="53"/>
      <c r="CA1395" s="53"/>
      <c r="CB1395" s="93" t="str">
        <f>IF(OR(C1395="",A1395="",B1395=""),"",TEXT(C1395,"0000")&amp;TEXT(A1395,"00")&amp;TEXT(B1395,"00"))</f>
        <v>20060422</v>
      </c>
    </row>
    <row r="1396" spans="1:80" s="46" customFormat="1" ht="12.95" customHeight="1" x14ac:dyDescent="0.2">
      <c r="A1396" s="46">
        <v>4</v>
      </c>
      <c r="B1396" s="46">
        <v>23</v>
      </c>
      <c r="C1396" s="46">
        <v>2006</v>
      </c>
      <c r="D1396" s="52" t="s">
        <v>658</v>
      </c>
      <c r="E1396" s="52" t="s">
        <v>284</v>
      </c>
      <c r="F1396" s="52" t="s">
        <v>1010</v>
      </c>
      <c r="G1396" s="52"/>
      <c r="H1396" s="52" t="s">
        <v>1011</v>
      </c>
      <c r="I1396" s="52"/>
      <c r="J1396" s="56">
        <v>38830</v>
      </c>
      <c r="K1396" s="52" t="s">
        <v>803</v>
      </c>
      <c r="L1396" s="52" t="s">
        <v>3</v>
      </c>
      <c r="M1396" s="52" t="s">
        <v>1366</v>
      </c>
      <c r="N1396" s="57">
        <v>1</v>
      </c>
      <c r="O1396" s="57">
        <v>0</v>
      </c>
      <c r="P1396" s="52" t="s">
        <v>1219</v>
      </c>
      <c r="Q1396" s="52" t="s">
        <v>1111</v>
      </c>
      <c r="R1396" s="52" t="s">
        <v>376</v>
      </c>
      <c r="S1396" s="52"/>
      <c r="T1396" s="52"/>
      <c r="U1396" s="52"/>
      <c r="V1396" s="52"/>
      <c r="W1396" s="52"/>
      <c r="X1396" s="52"/>
      <c r="Y1396" s="52"/>
      <c r="Z1396" s="57"/>
      <c r="AA1396" s="52"/>
      <c r="AB1396" s="52"/>
      <c r="AC1396" s="52"/>
      <c r="AD1396" s="52"/>
      <c r="AE1396" s="50">
        <f>IF(L1396="W",1,0)</f>
        <v>1</v>
      </c>
      <c r="AF1396" s="50">
        <f>IF(L1396="T",1,0)</f>
        <v>0</v>
      </c>
      <c r="AG1396" s="50">
        <f>IF(L1396="L",1,0)</f>
        <v>0</v>
      </c>
      <c r="AH1396" s="52" t="s">
        <v>1017</v>
      </c>
      <c r="AI1396" s="52" t="s">
        <v>1018</v>
      </c>
      <c r="AJ1396" s="52" t="s">
        <v>376</v>
      </c>
      <c r="AK1396" s="50" t="s">
        <v>658</v>
      </c>
      <c r="AL1396" s="52" t="s">
        <v>1366</v>
      </c>
      <c r="AM1396" s="52" t="s">
        <v>1317</v>
      </c>
      <c r="AN1396" s="52" t="s">
        <v>376</v>
      </c>
      <c r="AO1396" s="50" t="s">
        <v>658</v>
      </c>
      <c r="AP1396" s="52"/>
      <c r="AQ1396" s="52">
        <v>2</v>
      </c>
      <c r="AR1396" s="52"/>
      <c r="AS1396" s="52"/>
      <c r="AU1396" s="52" t="s">
        <v>376</v>
      </c>
      <c r="AV1396" s="52"/>
      <c r="AW1396" s="52" t="s">
        <v>30</v>
      </c>
      <c r="AX1396" s="52"/>
      <c r="AY1396" s="52" t="s">
        <v>30</v>
      </c>
      <c r="AZ1396" s="52"/>
      <c r="BA1396" s="52"/>
      <c r="BB1396" s="60"/>
      <c r="BC1396" s="52"/>
      <c r="BD1396" s="60"/>
      <c r="BE1396" s="60"/>
      <c r="BF1396" s="35">
        <v>1</v>
      </c>
      <c r="BG1396" s="52">
        <v>1</v>
      </c>
      <c r="BH1396" s="52"/>
      <c r="BI1396" s="52" t="s">
        <v>803</v>
      </c>
      <c r="BJ1396" s="52" t="s">
        <v>1366</v>
      </c>
      <c r="BK1396" s="52">
        <v>2006</v>
      </c>
      <c r="BL1396" s="46" t="str">
        <f>BK1396&amp;BI1396</f>
        <v>2006West Ham United</v>
      </c>
      <c r="BM1396" s="52" t="str">
        <f>IF(AD1396="Home",BI1396,IF(AD1396="Away",BJ1396,Q1396))</f>
        <v>Birmingham</v>
      </c>
      <c r="BN1396" s="52"/>
      <c r="BO1396" s="52"/>
      <c r="BP1396" s="52"/>
      <c r="BQ1396" s="52"/>
      <c r="BR1396" s="52"/>
      <c r="BS1396" s="52"/>
      <c r="BT1396" s="52"/>
      <c r="BU1396" s="52"/>
      <c r="BV1396" s="52" t="s">
        <v>376</v>
      </c>
      <c r="BW1396" s="52" t="s">
        <v>376</v>
      </c>
      <c r="BX1396" s="52"/>
      <c r="BY1396" s="52"/>
      <c r="BZ1396" s="53"/>
      <c r="CA1396" s="53"/>
      <c r="CB1396" s="93" t="str">
        <f>IF(OR(C1396="",A1396="",B1396=""),"",TEXT(C1396,"0000")&amp;TEXT(A1396,"00")&amp;TEXT(B1396,"00"))</f>
        <v>20060423</v>
      </c>
    </row>
    <row r="1397" spans="1:80" s="46" customFormat="1" ht="12.95" customHeight="1" x14ac:dyDescent="0.2">
      <c r="A1397" s="46">
        <v>4</v>
      </c>
      <c r="B1397" s="46">
        <v>23</v>
      </c>
      <c r="C1397" s="46">
        <v>2006</v>
      </c>
      <c r="D1397" s="52" t="s">
        <v>658</v>
      </c>
      <c r="E1397" s="52" t="s">
        <v>284</v>
      </c>
      <c r="F1397" s="52" t="s">
        <v>1010</v>
      </c>
      <c r="G1397" s="52"/>
      <c r="H1397" s="52" t="s">
        <v>1011</v>
      </c>
      <c r="I1397" s="52"/>
      <c r="J1397" s="56">
        <v>38830</v>
      </c>
      <c r="K1397" s="52" t="s">
        <v>1366</v>
      </c>
      <c r="L1397" s="52" t="s">
        <v>4</v>
      </c>
      <c r="M1397" s="52" t="s">
        <v>803</v>
      </c>
      <c r="N1397" s="57">
        <v>0</v>
      </c>
      <c r="O1397" s="57">
        <v>1</v>
      </c>
      <c r="P1397" s="52" t="s">
        <v>1219</v>
      </c>
      <c r="Q1397" s="52" t="s">
        <v>1111</v>
      </c>
      <c r="R1397" s="52" t="s">
        <v>376</v>
      </c>
      <c r="S1397" s="52"/>
      <c r="T1397" s="52"/>
      <c r="U1397" s="52"/>
      <c r="V1397" s="52"/>
      <c r="W1397" s="52"/>
      <c r="X1397" s="52"/>
      <c r="Y1397" s="52"/>
      <c r="Z1397" s="57"/>
      <c r="AA1397" s="52"/>
      <c r="AB1397" s="52"/>
      <c r="AC1397" s="52"/>
      <c r="AD1397" s="52"/>
      <c r="AE1397" s="50">
        <f>IF(L1397="W",1,0)</f>
        <v>0</v>
      </c>
      <c r="AF1397" s="50">
        <f>IF(L1397="T",1,0)</f>
        <v>0</v>
      </c>
      <c r="AG1397" s="50">
        <f>IF(L1397="L",1,0)</f>
        <v>1</v>
      </c>
      <c r="AH1397" s="52" t="s">
        <v>1366</v>
      </c>
      <c r="AI1397" s="52" t="s">
        <v>1317</v>
      </c>
      <c r="AJ1397" s="52" t="s">
        <v>376</v>
      </c>
      <c r="AK1397" s="50" t="s">
        <v>658</v>
      </c>
      <c r="AL1397" s="52" t="s">
        <v>1017</v>
      </c>
      <c r="AM1397" s="52" t="s">
        <v>1018</v>
      </c>
      <c r="AN1397" s="52" t="s">
        <v>376</v>
      </c>
      <c r="AO1397" s="50" t="s">
        <v>658</v>
      </c>
      <c r="AP1397" s="52"/>
      <c r="AQ1397" s="52">
        <v>2</v>
      </c>
      <c r="AR1397" s="52"/>
      <c r="AS1397" s="52">
        <v>1</v>
      </c>
      <c r="AU1397" s="52" t="s">
        <v>376</v>
      </c>
      <c r="AV1397" s="52"/>
      <c r="AW1397" s="52" t="s">
        <v>30</v>
      </c>
      <c r="AX1397" s="52"/>
      <c r="AY1397" s="52" t="s">
        <v>30</v>
      </c>
      <c r="AZ1397" s="52"/>
      <c r="BA1397" s="52"/>
      <c r="BB1397" s="60"/>
      <c r="BC1397" s="52"/>
      <c r="BD1397" s="60"/>
      <c r="BE1397" s="60"/>
      <c r="BF1397" s="35">
        <v>1</v>
      </c>
      <c r="BG1397" s="52">
        <v>1</v>
      </c>
      <c r="BH1397" s="52"/>
      <c r="BI1397" s="52" t="s">
        <v>1366</v>
      </c>
      <c r="BJ1397" s="52" t="s">
        <v>803</v>
      </c>
      <c r="BK1397" s="52">
        <v>2006</v>
      </c>
      <c r="BL1397" s="46" t="str">
        <f>BK1397&amp;BI1397</f>
        <v>2006Middlesbrough</v>
      </c>
      <c r="BM1397" s="52" t="str">
        <f>IF(AD1397="Home",BI1397,IF(AD1397="Away",BJ1397,Q1397))</f>
        <v>Birmingham</v>
      </c>
      <c r="BN1397" s="52"/>
      <c r="BO1397" s="52"/>
      <c r="BP1397" s="52"/>
      <c r="BQ1397" s="52"/>
      <c r="BR1397" s="52"/>
      <c r="BS1397" s="52"/>
      <c r="BT1397" s="52"/>
      <c r="BU1397" s="52"/>
      <c r="BV1397" s="52" t="s">
        <v>376</v>
      </c>
      <c r="BW1397" s="52" t="s">
        <v>376</v>
      </c>
      <c r="BX1397" s="52"/>
      <c r="BY1397" s="52"/>
      <c r="BZ1397" s="53"/>
      <c r="CA1397" s="53"/>
      <c r="CB1397" s="93" t="str">
        <f>IF(OR(C1397="",A1397="",B1397=""),"",TEXT(C1397,"0000")&amp;TEXT(A1397,"00")&amp;TEXT(B1397,"00"))</f>
        <v>20060423</v>
      </c>
    </row>
    <row r="1398" spans="1:80" s="46" customFormat="1" ht="12.95" customHeight="1" x14ac:dyDescent="0.2">
      <c r="A1398" s="46">
        <v>5</v>
      </c>
      <c r="B1398" s="46">
        <v>13</v>
      </c>
      <c r="C1398" s="46">
        <v>2006</v>
      </c>
      <c r="D1398" s="52" t="s">
        <v>658</v>
      </c>
      <c r="E1398" s="52" t="s">
        <v>284</v>
      </c>
      <c r="F1398" s="52" t="s">
        <v>1010</v>
      </c>
      <c r="G1398" s="52"/>
      <c r="H1398" s="52" t="s">
        <v>40</v>
      </c>
      <c r="I1398" s="52"/>
      <c r="J1398" s="56">
        <v>38850</v>
      </c>
      <c r="K1398" s="52" t="s">
        <v>588</v>
      </c>
      <c r="L1398" s="52" t="s">
        <v>3</v>
      </c>
      <c r="M1398" s="52" t="s">
        <v>803</v>
      </c>
      <c r="N1398" s="57">
        <v>3</v>
      </c>
      <c r="O1398" s="57">
        <v>3</v>
      </c>
      <c r="P1398" s="52" t="s">
        <v>1407</v>
      </c>
      <c r="Q1398" s="46" t="s">
        <v>1263</v>
      </c>
      <c r="R1398" s="46" t="s">
        <v>1264</v>
      </c>
      <c r="S1398" s="52" t="s">
        <v>1390</v>
      </c>
      <c r="T1398" s="52">
        <v>3</v>
      </c>
      <c r="U1398" s="52">
        <v>1</v>
      </c>
      <c r="V1398" s="52"/>
      <c r="W1398" s="52"/>
      <c r="X1398" s="52"/>
      <c r="Y1398" s="52"/>
      <c r="Z1398" s="57"/>
      <c r="AA1398" s="52"/>
      <c r="AB1398" s="52"/>
      <c r="AC1398" s="52"/>
      <c r="AD1398" s="52"/>
      <c r="AE1398" s="50">
        <f>IF(L1398="W",1,0)</f>
        <v>1</v>
      </c>
      <c r="AF1398" s="50">
        <f>IF(L1398="T",1,0)</f>
        <v>0</v>
      </c>
      <c r="AG1398" s="50">
        <f>IF(L1398="L",1,0)</f>
        <v>0</v>
      </c>
      <c r="AH1398" s="52" t="s">
        <v>588</v>
      </c>
      <c r="AI1398" s="52" t="s">
        <v>1175</v>
      </c>
      <c r="AJ1398" s="52" t="s">
        <v>376</v>
      </c>
      <c r="AK1398" s="50" t="s">
        <v>658</v>
      </c>
      <c r="AL1398" s="52" t="s">
        <v>1017</v>
      </c>
      <c r="AM1398" s="52" t="s">
        <v>1018</v>
      </c>
      <c r="AN1398" s="52" t="s">
        <v>376</v>
      </c>
      <c r="AO1398" s="50" t="s">
        <v>658</v>
      </c>
      <c r="AP1398" s="52"/>
      <c r="AQ1398" s="52">
        <v>1</v>
      </c>
      <c r="AR1398" s="52"/>
      <c r="AS1398" s="52" t="s">
        <v>1393</v>
      </c>
      <c r="AU1398" s="52" t="s">
        <v>376</v>
      </c>
      <c r="AV1398" s="52"/>
      <c r="AW1398" s="52" t="s">
        <v>30</v>
      </c>
      <c r="AX1398" s="52"/>
      <c r="AY1398" s="57" t="s">
        <v>30</v>
      </c>
      <c r="AZ1398" s="52"/>
      <c r="BA1398" s="52"/>
      <c r="BB1398" s="60" t="s">
        <v>30</v>
      </c>
      <c r="BC1398" s="52" t="s">
        <v>30</v>
      </c>
      <c r="BD1398" s="60"/>
      <c r="BE1398" s="60"/>
      <c r="BF1398" s="35">
        <v>1</v>
      </c>
      <c r="BG1398" s="52">
        <v>1</v>
      </c>
      <c r="BH1398" s="52"/>
      <c r="BI1398" s="52" t="s">
        <v>588</v>
      </c>
      <c r="BJ1398" s="52" t="s">
        <v>803</v>
      </c>
      <c r="BK1398" s="52">
        <v>2006</v>
      </c>
      <c r="BL1398" s="46" t="str">
        <f>BK1398&amp;BI1398</f>
        <v>2006Liverpool</v>
      </c>
      <c r="BM1398" s="52" t="str">
        <f>IF(AD1398="Home",BI1398,IF(AD1398="Away",BJ1398,Q1398))</f>
        <v>Cardiff</v>
      </c>
      <c r="BN1398" s="52"/>
      <c r="BO1398" s="52"/>
      <c r="BP1398" s="52"/>
      <c r="BQ1398" s="52"/>
      <c r="BR1398" s="52"/>
      <c r="BS1398" s="52"/>
      <c r="BT1398" s="52"/>
      <c r="BU1398" s="52"/>
      <c r="BV1398" s="52" t="s">
        <v>376</v>
      </c>
      <c r="BW1398" s="52" t="s">
        <v>376</v>
      </c>
      <c r="BX1398" s="52"/>
      <c r="BZ1398" s="53"/>
      <c r="CA1398" s="53"/>
      <c r="CB1398" s="93" t="str">
        <f>IF(OR(C1398="",A1398="",B1398=""),"",TEXT(C1398,"0000")&amp;TEXT(A1398,"00")&amp;TEXT(B1398,"00"))</f>
        <v>20060513</v>
      </c>
    </row>
    <row r="1399" spans="1:80" s="46" customFormat="1" ht="12.95" customHeight="1" x14ac:dyDescent="0.2">
      <c r="A1399" s="46">
        <v>5</v>
      </c>
      <c r="B1399" s="46">
        <v>13</v>
      </c>
      <c r="C1399" s="46">
        <v>2006</v>
      </c>
      <c r="D1399" s="52" t="s">
        <v>658</v>
      </c>
      <c r="E1399" s="52" t="s">
        <v>284</v>
      </c>
      <c r="F1399" s="52" t="s">
        <v>1010</v>
      </c>
      <c r="G1399" s="52"/>
      <c r="H1399" s="52" t="s">
        <v>40</v>
      </c>
      <c r="I1399" s="52"/>
      <c r="J1399" s="56">
        <v>38850</v>
      </c>
      <c r="K1399" s="52" t="s">
        <v>803</v>
      </c>
      <c r="L1399" s="52" t="s">
        <v>4</v>
      </c>
      <c r="M1399" s="52" t="s">
        <v>588</v>
      </c>
      <c r="N1399" s="57">
        <v>3</v>
      </c>
      <c r="O1399" s="57">
        <v>3</v>
      </c>
      <c r="P1399" s="52" t="s">
        <v>1407</v>
      </c>
      <c r="Q1399" s="46" t="s">
        <v>1263</v>
      </c>
      <c r="R1399" s="46" t="s">
        <v>1264</v>
      </c>
      <c r="S1399" s="52" t="s">
        <v>1390</v>
      </c>
      <c r="T1399" s="52">
        <v>1</v>
      </c>
      <c r="U1399" s="52">
        <v>3</v>
      </c>
      <c r="V1399" s="52"/>
      <c r="W1399" s="52"/>
      <c r="X1399" s="52"/>
      <c r="Y1399" s="52"/>
      <c r="Z1399" s="57"/>
      <c r="AA1399" s="52"/>
      <c r="AB1399" s="52"/>
      <c r="AC1399" s="52"/>
      <c r="AD1399" s="52"/>
      <c r="AE1399" s="50">
        <f>IF(L1399="W",1,0)</f>
        <v>0</v>
      </c>
      <c r="AF1399" s="50">
        <f>IF(L1399="T",1,0)</f>
        <v>0</v>
      </c>
      <c r="AG1399" s="50">
        <f>IF(L1399="L",1,0)</f>
        <v>1</v>
      </c>
      <c r="AH1399" s="52" t="s">
        <v>1017</v>
      </c>
      <c r="AI1399" s="52" t="s">
        <v>1018</v>
      </c>
      <c r="AJ1399" s="52" t="s">
        <v>376</v>
      </c>
      <c r="AK1399" s="50" t="s">
        <v>658</v>
      </c>
      <c r="AL1399" s="52" t="s">
        <v>588</v>
      </c>
      <c r="AM1399" s="52" t="s">
        <v>1175</v>
      </c>
      <c r="AN1399" s="52" t="s">
        <v>376</v>
      </c>
      <c r="AO1399" s="50" t="s">
        <v>658</v>
      </c>
      <c r="AP1399" s="52"/>
      <c r="AQ1399" s="52">
        <v>1</v>
      </c>
      <c r="AR1399" s="52"/>
      <c r="AS1399" s="52">
        <v>1</v>
      </c>
      <c r="AU1399" s="52" t="s">
        <v>376</v>
      </c>
      <c r="AV1399" s="52"/>
      <c r="AW1399" s="52" t="s">
        <v>30</v>
      </c>
      <c r="AX1399" s="52"/>
      <c r="AY1399" s="52" t="s">
        <v>30</v>
      </c>
      <c r="AZ1399" s="52"/>
      <c r="BA1399" s="52"/>
      <c r="BB1399" s="60"/>
      <c r="BC1399" s="52" t="s">
        <v>30</v>
      </c>
      <c r="BD1399" s="60"/>
      <c r="BE1399" s="60" t="s">
        <v>1400</v>
      </c>
      <c r="BF1399" s="35">
        <v>1</v>
      </c>
      <c r="BG1399" s="52">
        <v>1</v>
      </c>
      <c r="BH1399" s="52"/>
      <c r="BI1399" s="52" t="s">
        <v>803</v>
      </c>
      <c r="BJ1399" s="52" t="s">
        <v>588</v>
      </c>
      <c r="BK1399" s="52">
        <v>2006</v>
      </c>
      <c r="BL1399" s="46" t="str">
        <f>BK1399&amp;BI1399</f>
        <v>2006West Ham United</v>
      </c>
      <c r="BM1399" s="52" t="str">
        <f>IF(AD1399="Home",BI1399,IF(AD1399="Away",BJ1399,Q1399))</f>
        <v>Cardiff</v>
      </c>
      <c r="BN1399" s="52"/>
      <c r="BO1399" s="52"/>
      <c r="BP1399" s="52"/>
      <c r="BQ1399" s="52"/>
      <c r="BR1399" s="52"/>
      <c r="BS1399" s="52"/>
      <c r="BT1399" s="52"/>
      <c r="BU1399" s="52"/>
      <c r="BV1399" s="52" t="s">
        <v>376</v>
      </c>
      <c r="BW1399" s="52" t="s">
        <v>376</v>
      </c>
      <c r="BX1399" s="52"/>
      <c r="BZ1399" s="53"/>
      <c r="CA1399" s="53"/>
      <c r="CB1399" s="93" t="str">
        <f>IF(OR(C1399="",A1399="",B1399=""),"",TEXT(C1399,"0000")&amp;TEXT(A1399,"00")&amp;TEXT(B1399,"00"))</f>
        <v>20060513</v>
      </c>
    </row>
    <row r="1400" spans="1:80" s="46" customFormat="1" ht="12.95" customHeight="1" x14ac:dyDescent="0.2">
      <c r="A1400" s="46">
        <v>1</v>
      </c>
      <c r="B1400" s="46">
        <v>10</v>
      </c>
      <c r="C1400" s="46">
        <v>2007</v>
      </c>
      <c r="D1400" s="46" t="s">
        <v>658</v>
      </c>
      <c r="E1400" s="46" t="s">
        <v>275</v>
      </c>
      <c r="F1400" s="54" t="s">
        <v>1327</v>
      </c>
      <c r="H1400" s="54" t="s">
        <v>1011</v>
      </c>
      <c r="I1400" s="54">
        <v>1</v>
      </c>
      <c r="J1400" s="55">
        <v>39092</v>
      </c>
      <c r="K1400" s="46" t="s">
        <v>1408</v>
      </c>
      <c r="L1400" s="46" t="s">
        <v>1014</v>
      </c>
      <c r="M1400" s="46" t="s">
        <v>816</v>
      </c>
      <c r="N1400" s="49">
        <v>1</v>
      </c>
      <c r="O1400" s="49">
        <v>1</v>
      </c>
      <c r="P1400" s="54" t="s">
        <v>1413</v>
      </c>
      <c r="Q1400" s="54" t="s">
        <v>1409</v>
      </c>
      <c r="R1400" s="54" t="s">
        <v>376</v>
      </c>
      <c r="AD1400" s="46" t="s">
        <v>1033</v>
      </c>
      <c r="AE1400" s="50">
        <f>IF(L1400="W",1,0)</f>
        <v>0</v>
      </c>
      <c r="AF1400" s="50">
        <f>IF(L1400="T",1,0)</f>
        <v>1</v>
      </c>
      <c r="AG1400" s="50">
        <f>IF(L1400="L",1,0)</f>
        <v>0</v>
      </c>
      <c r="AH1400" s="46" t="s">
        <v>1409</v>
      </c>
      <c r="AI1400" s="46" t="s">
        <v>1091</v>
      </c>
      <c r="AJ1400" s="46" t="s">
        <v>376</v>
      </c>
      <c r="AK1400" s="46" t="s">
        <v>658</v>
      </c>
      <c r="AL1400" s="46" t="s">
        <v>1017</v>
      </c>
      <c r="AM1400" s="46" t="s">
        <v>1018</v>
      </c>
      <c r="AN1400" s="46" t="s">
        <v>376</v>
      </c>
      <c r="AO1400" s="46" t="s">
        <v>658</v>
      </c>
      <c r="AQ1400" s="46">
        <v>2</v>
      </c>
      <c r="AU1400" s="46" t="s">
        <v>376</v>
      </c>
      <c r="AW1400" s="46" t="s">
        <v>30</v>
      </c>
      <c r="AZ1400" s="46" t="s">
        <v>30</v>
      </c>
      <c r="BA1400" s="54"/>
      <c r="BB1400" s="51"/>
      <c r="BF1400" s="46">
        <v>1</v>
      </c>
      <c r="BG1400" s="46">
        <v>4</v>
      </c>
      <c r="BH1400" s="46">
        <v>1</v>
      </c>
      <c r="BI1400" s="46" t="s">
        <v>1408</v>
      </c>
      <c r="BJ1400" s="46" t="s">
        <v>816</v>
      </c>
      <c r="BK1400" s="46">
        <v>2007</v>
      </c>
      <c r="BL1400" s="46" t="str">
        <f>BK1400&amp;BI1400</f>
        <v>2007Wycombe Wanderers</v>
      </c>
      <c r="BM1400" s="52" t="str">
        <f>IF(AD1400="Home",BI1400,IF(AD1400="Away",BJ1400,Q1400))</f>
        <v>Wycombe Wanderers</v>
      </c>
      <c r="BV1400" s="46" t="s">
        <v>376</v>
      </c>
      <c r="BW1400" s="46" t="s">
        <v>376</v>
      </c>
      <c r="BY1400" s="52"/>
      <c r="BZ1400" s="53"/>
      <c r="CA1400" s="53"/>
      <c r="CB1400" s="93" t="str">
        <f>IF(OR(C1400="",A1400="",B1400=""),"",TEXT(C1400,"0000")&amp;TEXT(A1400,"00")&amp;TEXT(B1400,"00"))</f>
        <v>20070110</v>
      </c>
    </row>
    <row r="1401" spans="1:80" s="46" customFormat="1" ht="12.95" customHeight="1" x14ac:dyDescent="0.2">
      <c r="A1401" s="46">
        <v>1</v>
      </c>
      <c r="B1401" s="46">
        <v>10</v>
      </c>
      <c r="C1401" s="46">
        <v>2007</v>
      </c>
      <c r="D1401" s="52" t="s">
        <v>658</v>
      </c>
      <c r="E1401" s="52" t="s">
        <v>275</v>
      </c>
      <c r="F1401" s="52" t="s">
        <v>1327</v>
      </c>
      <c r="G1401" s="52"/>
      <c r="H1401" s="52" t="s">
        <v>1011</v>
      </c>
      <c r="I1401" s="52">
        <v>1</v>
      </c>
      <c r="J1401" s="56">
        <v>39092</v>
      </c>
      <c r="K1401" s="52" t="s">
        <v>816</v>
      </c>
      <c r="L1401" s="52" t="s">
        <v>1014</v>
      </c>
      <c r="M1401" s="52" t="s">
        <v>1408</v>
      </c>
      <c r="N1401" s="57">
        <v>1</v>
      </c>
      <c r="O1401" s="57">
        <v>1</v>
      </c>
      <c r="P1401" s="52" t="s">
        <v>1413</v>
      </c>
      <c r="Q1401" s="52" t="s">
        <v>1409</v>
      </c>
      <c r="R1401" s="52" t="s">
        <v>376</v>
      </c>
      <c r="S1401" s="52"/>
      <c r="T1401" s="52"/>
      <c r="U1401" s="52"/>
      <c r="V1401" s="52"/>
      <c r="W1401" s="52"/>
      <c r="X1401" s="52"/>
      <c r="Y1401" s="52"/>
      <c r="Z1401" s="57"/>
      <c r="AA1401" s="58">
        <v>1</v>
      </c>
      <c r="AB1401" s="58">
        <v>1</v>
      </c>
      <c r="AC1401" s="59">
        <v>1</v>
      </c>
      <c r="AD1401" s="52" t="s">
        <v>1037</v>
      </c>
      <c r="AE1401" s="50">
        <f>IF(L1401="W",1,0)</f>
        <v>0</v>
      </c>
      <c r="AF1401" s="50">
        <f>IF(L1401="T",1,0)</f>
        <v>1</v>
      </c>
      <c r="AG1401" s="50">
        <f>IF(L1401="L",1,0)</f>
        <v>0</v>
      </c>
      <c r="AH1401" s="52" t="s">
        <v>1017</v>
      </c>
      <c r="AI1401" s="52" t="s">
        <v>1018</v>
      </c>
      <c r="AJ1401" s="52" t="s">
        <v>376</v>
      </c>
      <c r="AK1401" s="50" t="s">
        <v>658</v>
      </c>
      <c r="AL1401" s="52" t="s">
        <v>1409</v>
      </c>
      <c r="AM1401" s="52" t="s">
        <v>1091</v>
      </c>
      <c r="AN1401" s="52" t="s">
        <v>376</v>
      </c>
      <c r="AO1401" s="50" t="s">
        <v>658</v>
      </c>
      <c r="AP1401" s="52"/>
      <c r="AQ1401" s="52">
        <v>2</v>
      </c>
      <c r="AR1401" s="52"/>
      <c r="AS1401" s="52"/>
      <c r="AU1401" s="52" t="s">
        <v>376</v>
      </c>
      <c r="AV1401" s="52"/>
      <c r="AW1401" s="52" t="s">
        <v>30</v>
      </c>
      <c r="AX1401" s="52"/>
      <c r="AY1401" s="52"/>
      <c r="AZ1401" s="52" t="s">
        <v>30</v>
      </c>
      <c r="BA1401" s="52"/>
      <c r="BB1401" s="60"/>
      <c r="BC1401" s="52"/>
      <c r="BD1401" s="60"/>
      <c r="BE1401" s="60"/>
      <c r="BF1401" s="35">
        <v>1</v>
      </c>
      <c r="BG1401" s="52">
        <v>1</v>
      </c>
      <c r="BH1401" s="52"/>
      <c r="BI1401" s="52" t="s">
        <v>816</v>
      </c>
      <c r="BJ1401" s="52" t="s">
        <v>1408</v>
      </c>
      <c r="BK1401" s="62">
        <v>2007</v>
      </c>
      <c r="BL1401" s="46" t="str">
        <f>BK1401&amp;BI1401</f>
        <v>2007Chelsea</v>
      </c>
      <c r="BM1401" s="52" t="str">
        <f>IF(AD1401="Home",BI1401,IF(AD1401="Away",BJ1401,Q1401))</f>
        <v>Wycombe Wanderers</v>
      </c>
      <c r="BN1401" s="52"/>
      <c r="BO1401" s="52"/>
      <c r="BP1401" s="52"/>
      <c r="BQ1401" s="52"/>
      <c r="BR1401" s="52"/>
      <c r="BS1401" s="52"/>
      <c r="BT1401" s="52"/>
      <c r="BU1401" s="52"/>
      <c r="BV1401" s="52" t="s">
        <v>376</v>
      </c>
      <c r="BW1401" s="52" t="s">
        <v>376</v>
      </c>
      <c r="BX1401" s="52"/>
      <c r="BY1401" s="52"/>
      <c r="BZ1401" s="53"/>
      <c r="CA1401" s="53"/>
      <c r="CB1401" s="93" t="str">
        <f>IF(OR(C1401="",A1401="",B1401=""),"",TEXT(C1401,"0000")&amp;TEXT(A1401,"00")&amp;TEXT(B1401,"00"))</f>
        <v>20070110</v>
      </c>
    </row>
    <row r="1402" spans="1:80" s="46" customFormat="1" ht="12.95" customHeight="1" x14ac:dyDescent="0.2">
      <c r="A1402" s="46">
        <v>1</v>
      </c>
      <c r="B1402" s="46">
        <v>23</v>
      </c>
      <c r="C1402" s="46">
        <v>2007</v>
      </c>
      <c r="D1402" s="52" t="s">
        <v>658</v>
      </c>
      <c r="E1402" s="52" t="s">
        <v>275</v>
      </c>
      <c r="F1402" s="52" t="s">
        <v>1327</v>
      </c>
      <c r="G1402" s="52"/>
      <c r="H1402" s="52" t="s">
        <v>1011</v>
      </c>
      <c r="I1402" s="52">
        <v>2</v>
      </c>
      <c r="J1402" s="56">
        <v>39105</v>
      </c>
      <c r="K1402" s="52" t="s">
        <v>816</v>
      </c>
      <c r="L1402" s="52" t="s">
        <v>3</v>
      </c>
      <c r="M1402" s="52" t="s">
        <v>1408</v>
      </c>
      <c r="N1402" s="57">
        <v>4</v>
      </c>
      <c r="O1402" s="57">
        <v>0</v>
      </c>
      <c r="P1402" s="52" t="s">
        <v>1234</v>
      </c>
      <c r="Q1402" s="52" t="s">
        <v>1017</v>
      </c>
      <c r="R1402" s="52" t="s">
        <v>376</v>
      </c>
      <c r="S1402" s="52"/>
      <c r="T1402" s="52"/>
      <c r="U1402" s="52"/>
      <c r="V1402" s="52"/>
      <c r="W1402" s="52"/>
      <c r="X1402" s="52"/>
      <c r="Y1402" s="52"/>
      <c r="Z1402" s="57"/>
      <c r="AA1402" s="58">
        <v>5</v>
      </c>
      <c r="AB1402" s="58">
        <v>1</v>
      </c>
      <c r="AC1402" s="59">
        <v>1</v>
      </c>
      <c r="AD1402" s="52" t="s">
        <v>1033</v>
      </c>
      <c r="AE1402" s="50">
        <f>IF(L1402="W",1,0)</f>
        <v>1</v>
      </c>
      <c r="AF1402" s="50">
        <f>IF(L1402="T",1,0)</f>
        <v>0</v>
      </c>
      <c r="AG1402" s="50">
        <f>IF(L1402="L",1,0)</f>
        <v>0</v>
      </c>
      <c r="AH1402" s="52" t="s">
        <v>1017</v>
      </c>
      <c r="AI1402" s="52" t="s">
        <v>1018</v>
      </c>
      <c r="AJ1402" s="52" t="s">
        <v>376</v>
      </c>
      <c r="AK1402" s="50" t="s">
        <v>658</v>
      </c>
      <c r="AL1402" s="52" t="s">
        <v>1409</v>
      </c>
      <c r="AM1402" s="52" t="s">
        <v>1091</v>
      </c>
      <c r="AN1402" s="52" t="s">
        <v>376</v>
      </c>
      <c r="AO1402" s="50" t="s">
        <v>658</v>
      </c>
      <c r="AP1402" s="52"/>
      <c r="AQ1402" s="52">
        <v>2</v>
      </c>
      <c r="AR1402" s="52"/>
      <c r="AS1402" s="52"/>
      <c r="AU1402" s="52" t="s">
        <v>376</v>
      </c>
      <c r="AV1402" s="52"/>
      <c r="AW1402" s="52" t="s">
        <v>30</v>
      </c>
      <c r="AX1402" s="52"/>
      <c r="AY1402" s="52"/>
      <c r="AZ1402" s="52" t="s">
        <v>30</v>
      </c>
      <c r="BA1402" s="52"/>
      <c r="BB1402" s="60"/>
      <c r="BC1402" s="52"/>
      <c r="BD1402" s="60"/>
      <c r="BE1402" s="60"/>
      <c r="BF1402" s="35">
        <v>1</v>
      </c>
      <c r="BG1402" s="52">
        <v>1</v>
      </c>
      <c r="BH1402" s="52"/>
      <c r="BI1402" s="52" t="s">
        <v>816</v>
      </c>
      <c r="BJ1402" s="52" t="s">
        <v>1408</v>
      </c>
      <c r="BK1402" s="62">
        <v>2007</v>
      </c>
      <c r="BL1402" s="46" t="str">
        <f>BK1402&amp;BI1402</f>
        <v>2007Chelsea</v>
      </c>
      <c r="BM1402" s="52" t="str">
        <f>IF(AD1402="Home",BI1402,IF(AD1402="Away",BJ1402,Q1402))</f>
        <v>Chelsea</v>
      </c>
      <c r="BN1402" s="52"/>
      <c r="BO1402" s="52"/>
      <c r="BP1402" s="52"/>
      <c r="BQ1402" s="52"/>
      <c r="BR1402" s="52"/>
      <c r="BS1402" s="52"/>
      <c r="BT1402" s="52"/>
      <c r="BU1402" s="52"/>
      <c r="BV1402" s="52" t="s">
        <v>376</v>
      </c>
      <c r="BW1402" s="52" t="s">
        <v>376</v>
      </c>
      <c r="BX1402" s="52"/>
      <c r="BY1402" s="52"/>
      <c r="BZ1402" s="53"/>
      <c r="CA1402" s="53"/>
      <c r="CB1402" s="93" t="str">
        <f>IF(OR(C1402="",A1402="",B1402=""),"",TEXT(C1402,"0000")&amp;TEXT(A1402,"00")&amp;TEXT(B1402,"00"))</f>
        <v>20070123</v>
      </c>
    </row>
    <row r="1403" spans="1:80" s="46" customFormat="1" ht="12.95" customHeight="1" x14ac:dyDescent="0.2">
      <c r="A1403" s="46">
        <v>1</v>
      </c>
      <c r="B1403" s="46">
        <v>23</v>
      </c>
      <c r="C1403" s="46">
        <v>2007</v>
      </c>
      <c r="D1403" s="46" t="s">
        <v>658</v>
      </c>
      <c r="E1403" s="46" t="s">
        <v>275</v>
      </c>
      <c r="F1403" s="54" t="s">
        <v>1327</v>
      </c>
      <c r="H1403" s="54" t="s">
        <v>1011</v>
      </c>
      <c r="I1403" s="54">
        <v>1</v>
      </c>
      <c r="J1403" s="55">
        <v>39105</v>
      </c>
      <c r="K1403" s="46" t="s">
        <v>1408</v>
      </c>
      <c r="L1403" s="46" t="s">
        <v>4</v>
      </c>
      <c r="M1403" s="46" t="s">
        <v>816</v>
      </c>
      <c r="N1403" s="49">
        <v>0</v>
      </c>
      <c r="O1403" s="49">
        <v>4</v>
      </c>
      <c r="P1403" s="54" t="s">
        <v>1234</v>
      </c>
      <c r="Q1403" s="54" t="s">
        <v>1017</v>
      </c>
      <c r="R1403" s="54" t="s">
        <v>376</v>
      </c>
      <c r="AD1403" s="46" t="s">
        <v>1037</v>
      </c>
      <c r="AE1403" s="50">
        <f>IF(L1403="W",1,0)</f>
        <v>0</v>
      </c>
      <c r="AF1403" s="50">
        <f>IF(L1403="T",1,0)</f>
        <v>0</v>
      </c>
      <c r="AG1403" s="50">
        <f>IF(L1403="L",1,0)</f>
        <v>1</v>
      </c>
      <c r="AH1403" s="46" t="s">
        <v>1409</v>
      </c>
      <c r="AI1403" s="46" t="s">
        <v>1091</v>
      </c>
      <c r="AJ1403" s="46" t="s">
        <v>376</v>
      </c>
      <c r="AK1403" s="46" t="s">
        <v>658</v>
      </c>
      <c r="AL1403" s="46" t="s">
        <v>1017</v>
      </c>
      <c r="AM1403" s="46" t="s">
        <v>1018</v>
      </c>
      <c r="AN1403" s="46" t="s">
        <v>376</v>
      </c>
      <c r="AO1403" s="46" t="s">
        <v>658</v>
      </c>
      <c r="AQ1403" s="46">
        <v>2</v>
      </c>
      <c r="AU1403" s="46" t="s">
        <v>376</v>
      </c>
      <c r="AW1403" s="46" t="s">
        <v>30</v>
      </c>
      <c r="AZ1403" s="46" t="s">
        <v>30</v>
      </c>
      <c r="BA1403" s="54"/>
      <c r="BB1403" s="51"/>
      <c r="BF1403" s="46">
        <v>1</v>
      </c>
      <c r="BG1403" s="46">
        <v>4</v>
      </c>
      <c r="BH1403" s="46">
        <v>1</v>
      </c>
      <c r="BI1403" s="46" t="s">
        <v>1408</v>
      </c>
      <c r="BJ1403" s="46" t="s">
        <v>816</v>
      </c>
      <c r="BK1403" s="46">
        <v>2007</v>
      </c>
      <c r="BL1403" s="46" t="str">
        <f>BK1403&amp;BI1403</f>
        <v>2007Wycombe Wanderers</v>
      </c>
      <c r="BM1403" s="52" t="str">
        <f>IF(AD1403="Home",BI1403,IF(AD1403="Away",BJ1403,Q1403))</f>
        <v>Chelsea</v>
      </c>
      <c r="BV1403" s="46" t="s">
        <v>376</v>
      </c>
      <c r="BW1403" s="46" t="s">
        <v>376</v>
      </c>
      <c r="BY1403" s="52"/>
      <c r="BZ1403" s="53"/>
      <c r="CA1403" s="53"/>
      <c r="CB1403" s="93" t="str">
        <f>IF(OR(C1403="",A1403="",B1403=""),"",TEXT(C1403,"0000")&amp;TEXT(A1403,"00")&amp;TEXT(B1403,"00"))</f>
        <v>20070123</v>
      </c>
    </row>
    <row r="1404" spans="1:80" s="46" customFormat="1" ht="12.95" customHeight="1" x14ac:dyDescent="0.2">
      <c r="A1404" s="46">
        <v>1</v>
      </c>
      <c r="B1404" s="46">
        <v>24</v>
      </c>
      <c r="C1404" s="46">
        <v>2007</v>
      </c>
      <c r="D1404" s="52" t="s">
        <v>658</v>
      </c>
      <c r="E1404" s="52" t="s">
        <v>275</v>
      </c>
      <c r="F1404" s="52" t="s">
        <v>1327</v>
      </c>
      <c r="G1404" s="52"/>
      <c r="H1404" s="52" t="s">
        <v>1011</v>
      </c>
      <c r="I1404" s="52">
        <v>1</v>
      </c>
      <c r="J1404" s="56">
        <v>39106</v>
      </c>
      <c r="K1404" s="52" t="s">
        <v>813</v>
      </c>
      <c r="L1404" s="52" t="s">
        <v>1014</v>
      </c>
      <c r="M1404" s="52" t="s">
        <v>587</v>
      </c>
      <c r="N1404" s="57">
        <v>2</v>
      </c>
      <c r="O1404" s="57">
        <v>2</v>
      </c>
      <c r="P1404" s="52" t="s">
        <v>1222</v>
      </c>
      <c r="Q1404" s="52" t="s">
        <v>1017</v>
      </c>
      <c r="R1404" s="52" t="s">
        <v>376</v>
      </c>
      <c r="S1404" s="52"/>
      <c r="T1404" s="52"/>
      <c r="U1404" s="52"/>
      <c r="V1404" s="52"/>
      <c r="W1404" s="52"/>
      <c r="X1404" s="52"/>
      <c r="Y1404" s="52"/>
      <c r="Z1404" s="57"/>
      <c r="AA1404" s="58">
        <v>2</v>
      </c>
      <c r="AB1404" s="58">
        <v>2</v>
      </c>
      <c r="AC1404" s="59">
        <v>0</v>
      </c>
      <c r="AD1404" s="52" t="s">
        <v>1033</v>
      </c>
      <c r="AE1404" s="50">
        <f>IF(L1404="W",1,0)</f>
        <v>0</v>
      </c>
      <c r="AF1404" s="50">
        <f>IF(L1404="T",1,0)</f>
        <v>1</v>
      </c>
      <c r="AG1404" s="50">
        <f>IF(L1404="L",1,0)</f>
        <v>0</v>
      </c>
      <c r="AH1404" s="52" t="s">
        <v>1017</v>
      </c>
      <c r="AI1404" s="52" t="s">
        <v>1018</v>
      </c>
      <c r="AJ1404" s="52" t="s">
        <v>376</v>
      </c>
      <c r="AK1404" s="50" t="s">
        <v>658</v>
      </c>
      <c r="AL1404" s="52" t="s">
        <v>1017</v>
      </c>
      <c r="AM1404" s="52" t="s">
        <v>1018</v>
      </c>
      <c r="AN1404" s="52" t="s">
        <v>376</v>
      </c>
      <c r="AO1404" s="50" t="s">
        <v>658</v>
      </c>
      <c r="AP1404" s="52"/>
      <c r="AQ1404" s="52">
        <v>2</v>
      </c>
      <c r="AR1404" s="52"/>
      <c r="AS1404" s="52"/>
      <c r="AT1404" s="46" t="s">
        <v>1351</v>
      </c>
      <c r="AU1404" s="52" t="s">
        <v>376</v>
      </c>
      <c r="AV1404" s="52"/>
      <c r="AW1404" s="52" t="s">
        <v>30</v>
      </c>
      <c r="AX1404" s="52"/>
      <c r="AY1404" s="52"/>
      <c r="AZ1404" s="52" t="s">
        <v>30</v>
      </c>
      <c r="BA1404" s="52"/>
      <c r="BB1404" s="60"/>
      <c r="BC1404" s="52"/>
      <c r="BD1404" s="60"/>
      <c r="BE1404" s="60"/>
      <c r="BF1404" s="35">
        <v>1</v>
      </c>
      <c r="BG1404" s="52">
        <v>1</v>
      </c>
      <c r="BH1404" s="52"/>
      <c r="BI1404" s="52" t="s">
        <v>813</v>
      </c>
      <c r="BJ1404" s="52" t="s">
        <v>587</v>
      </c>
      <c r="BK1404" s="62">
        <v>2007</v>
      </c>
      <c r="BL1404" s="46" t="str">
        <f>BK1404&amp;BI1404</f>
        <v>2007Tottenham Hotspur</v>
      </c>
      <c r="BM1404" s="52" t="str">
        <f>IF(AD1404="Home",BI1404,IF(AD1404="Away",BJ1404,Q1404))</f>
        <v>Tottenham Hotspur</v>
      </c>
      <c r="BN1404" s="52"/>
      <c r="BO1404" s="52"/>
      <c r="BP1404" s="52"/>
      <c r="BQ1404" s="52"/>
      <c r="BR1404" s="52"/>
      <c r="BS1404" s="52"/>
      <c r="BT1404" s="52"/>
      <c r="BU1404" s="52"/>
      <c r="BV1404" s="52" t="s">
        <v>376</v>
      </c>
      <c r="BW1404" s="52" t="s">
        <v>376</v>
      </c>
      <c r="BX1404" s="52"/>
      <c r="BY1404" s="52"/>
      <c r="BZ1404" s="53"/>
      <c r="CA1404" s="53"/>
      <c r="CB1404" s="93" t="str">
        <f>IF(OR(C1404="",A1404="",B1404=""),"",TEXT(C1404,"0000")&amp;TEXT(A1404,"00")&amp;TEXT(B1404,"00"))</f>
        <v>20070124</v>
      </c>
    </row>
    <row r="1405" spans="1:80" s="46" customFormat="1" ht="12.95" customHeight="1" x14ac:dyDescent="0.2">
      <c r="A1405" s="46">
        <v>1</v>
      </c>
      <c r="B1405" s="46">
        <v>24</v>
      </c>
      <c r="C1405" s="46">
        <v>2007</v>
      </c>
      <c r="D1405" s="52" t="s">
        <v>658</v>
      </c>
      <c r="E1405" s="52" t="s">
        <v>275</v>
      </c>
      <c r="F1405" s="52" t="s">
        <v>1327</v>
      </c>
      <c r="G1405" s="52"/>
      <c r="H1405" s="52" t="s">
        <v>1011</v>
      </c>
      <c r="I1405" s="52">
        <v>1</v>
      </c>
      <c r="J1405" s="56">
        <v>39106</v>
      </c>
      <c r="K1405" s="52" t="s">
        <v>587</v>
      </c>
      <c r="L1405" s="52" t="s">
        <v>1014</v>
      </c>
      <c r="M1405" s="52" t="s">
        <v>813</v>
      </c>
      <c r="N1405" s="57">
        <v>2</v>
      </c>
      <c r="O1405" s="57">
        <v>2</v>
      </c>
      <c r="P1405" s="52" t="s">
        <v>1222</v>
      </c>
      <c r="Q1405" s="52" t="s">
        <v>1017</v>
      </c>
      <c r="R1405" s="52" t="s">
        <v>376</v>
      </c>
      <c r="S1405" s="52"/>
      <c r="T1405" s="52"/>
      <c r="U1405" s="52"/>
      <c r="V1405" s="52"/>
      <c r="W1405" s="52"/>
      <c r="X1405" s="52"/>
      <c r="Y1405" s="52"/>
      <c r="Z1405" s="57"/>
      <c r="AA1405" s="58">
        <v>2</v>
      </c>
      <c r="AB1405" s="58">
        <v>2</v>
      </c>
      <c r="AC1405" s="59">
        <v>2</v>
      </c>
      <c r="AD1405" s="52" t="s">
        <v>1037</v>
      </c>
      <c r="AE1405" s="50">
        <f>IF(L1405="W",1,0)</f>
        <v>0</v>
      </c>
      <c r="AF1405" s="50">
        <f>IF(L1405="T",1,0)</f>
        <v>1</v>
      </c>
      <c r="AG1405" s="50">
        <f>IF(L1405="L",1,0)</f>
        <v>0</v>
      </c>
      <c r="AH1405" s="52" t="s">
        <v>1017</v>
      </c>
      <c r="AI1405" s="52" t="s">
        <v>1018</v>
      </c>
      <c r="AJ1405" s="52" t="s">
        <v>376</v>
      </c>
      <c r="AK1405" s="50" t="s">
        <v>658</v>
      </c>
      <c r="AL1405" s="52" t="s">
        <v>1017</v>
      </c>
      <c r="AM1405" s="52" t="s">
        <v>1018</v>
      </c>
      <c r="AN1405" s="52" t="s">
        <v>376</v>
      </c>
      <c r="AO1405" s="50" t="s">
        <v>658</v>
      </c>
      <c r="AP1405" s="52"/>
      <c r="AQ1405" s="52">
        <v>2</v>
      </c>
      <c r="AR1405" s="52"/>
      <c r="AS1405" s="52"/>
      <c r="AT1405" s="46" t="s">
        <v>1351</v>
      </c>
      <c r="AU1405" s="52" t="s">
        <v>376</v>
      </c>
      <c r="AV1405" s="52"/>
      <c r="AW1405" s="52" t="s">
        <v>30</v>
      </c>
      <c r="AX1405" s="52"/>
      <c r="AY1405" s="52"/>
      <c r="AZ1405" s="52" t="s">
        <v>30</v>
      </c>
      <c r="BA1405" s="52"/>
      <c r="BB1405" s="60"/>
      <c r="BC1405" s="52"/>
      <c r="BD1405" s="60"/>
      <c r="BE1405" s="60"/>
      <c r="BF1405" s="35">
        <v>1</v>
      </c>
      <c r="BG1405" s="52">
        <v>1</v>
      </c>
      <c r="BH1405" s="52"/>
      <c r="BI1405" s="52" t="s">
        <v>587</v>
      </c>
      <c r="BJ1405" s="52" t="s">
        <v>813</v>
      </c>
      <c r="BK1405" s="62">
        <v>2007</v>
      </c>
      <c r="BL1405" s="46" t="str">
        <f>BK1405&amp;BI1405</f>
        <v>2007Arsenal</v>
      </c>
      <c r="BM1405" s="52" t="str">
        <f>IF(AD1405="Home",BI1405,IF(AD1405="Away",BJ1405,Q1405))</f>
        <v>Tottenham Hotspur</v>
      </c>
      <c r="BN1405" s="52"/>
      <c r="BO1405" s="52"/>
      <c r="BP1405" s="52"/>
      <c r="BQ1405" s="52"/>
      <c r="BR1405" s="52"/>
      <c r="BS1405" s="52"/>
      <c r="BT1405" s="52"/>
      <c r="BU1405" s="52"/>
      <c r="BV1405" s="52" t="s">
        <v>376</v>
      </c>
      <c r="BW1405" s="52" t="s">
        <v>376</v>
      </c>
      <c r="BX1405" s="52"/>
      <c r="BY1405" s="52"/>
      <c r="BZ1405" s="53"/>
      <c r="CA1405" s="53"/>
      <c r="CB1405" s="93" t="str">
        <f>IF(OR(C1405="",A1405="",B1405=""),"",TEXT(C1405,"0000")&amp;TEXT(A1405,"00")&amp;TEXT(B1405,"00"))</f>
        <v>20070124</v>
      </c>
    </row>
    <row r="1406" spans="1:80" s="46" customFormat="1" ht="12.95" customHeight="1" x14ac:dyDescent="0.2">
      <c r="A1406" s="46">
        <v>1</v>
      </c>
      <c r="B1406" s="46">
        <v>31</v>
      </c>
      <c r="C1406" s="46">
        <v>2007</v>
      </c>
      <c r="D1406" s="52" t="s">
        <v>658</v>
      </c>
      <c r="E1406" s="52" t="s">
        <v>275</v>
      </c>
      <c r="F1406" s="52" t="s">
        <v>1327</v>
      </c>
      <c r="G1406" s="52"/>
      <c r="H1406" s="52" t="s">
        <v>1011</v>
      </c>
      <c r="I1406" s="52">
        <v>2</v>
      </c>
      <c r="J1406" s="56">
        <v>39113</v>
      </c>
      <c r="K1406" s="52" t="s">
        <v>587</v>
      </c>
      <c r="L1406" s="52" t="s">
        <v>3</v>
      </c>
      <c r="M1406" s="52" t="s">
        <v>813</v>
      </c>
      <c r="N1406" s="57">
        <v>3</v>
      </c>
      <c r="O1406" s="57">
        <v>1</v>
      </c>
      <c r="P1406" s="52" t="s">
        <v>1414</v>
      </c>
      <c r="Q1406" s="52" t="s">
        <v>1017</v>
      </c>
      <c r="R1406" s="52" t="s">
        <v>376</v>
      </c>
      <c r="S1406" s="52" t="s">
        <v>1396</v>
      </c>
      <c r="T1406" s="52"/>
      <c r="U1406" s="52"/>
      <c r="V1406" s="52"/>
      <c r="W1406" s="52"/>
      <c r="X1406" s="52"/>
      <c r="Y1406" s="52"/>
      <c r="Z1406" s="57"/>
      <c r="AA1406" s="58">
        <v>5</v>
      </c>
      <c r="AB1406" s="58">
        <v>3</v>
      </c>
      <c r="AC1406" s="59">
        <v>2</v>
      </c>
      <c r="AD1406" s="52" t="s">
        <v>1033</v>
      </c>
      <c r="AE1406" s="50">
        <f>IF(L1406="W",1,0)</f>
        <v>1</v>
      </c>
      <c r="AF1406" s="50">
        <f>IF(L1406="T",1,0)</f>
        <v>0</v>
      </c>
      <c r="AG1406" s="50">
        <f>IF(L1406="L",1,0)</f>
        <v>0</v>
      </c>
      <c r="AH1406" s="52" t="s">
        <v>1017</v>
      </c>
      <c r="AI1406" s="52" t="s">
        <v>1018</v>
      </c>
      <c r="AJ1406" s="52" t="s">
        <v>376</v>
      </c>
      <c r="AK1406" s="50" t="s">
        <v>658</v>
      </c>
      <c r="AL1406" s="52" t="s">
        <v>1017</v>
      </c>
      <c r="AM1406" s="52" t="s">
        <v>1018</v>
      </c>
      <c r="AN1406" s="52" t="s">
        <v>376</v>
      </c>
      <c r="AO1406" s="50" t="s">
        <v>658</v>
      </c>
      <c r="AP1406" s="52"/>
      <c r="AQ1406" s="52">
        <v>2</v>
      </c>
      <c r="AR1406" s="52"/>
      <c r="AS1406" s="52"/>
      <c r="AT1406" s="46" t="s">
        <v>1351</v>
      </c>
      <c r="AU1406" s="52" t="s">
        <v>376</v>
      </c>
      <c r="AV1406" s="52"/>
      <c r="AW1406" s="52" t="s">
        <v>30</v>
      </c>
      <c r="AX1406" s="52"/>
      <c r="AY1406" s="52"/>
      <c r="AZ1406" s="52" t="s">
        <v>30</v>
      </c>
      <c r="BA1406" s="52"/>
      <c r="BB1406" s="60"/>
      <c r="BC1406" s="52"/>
      <c r="BD1406" s="60"/>
      <c r="BE1406" s="60"/>
      <c r="BF1406" s="35">
        <v>1</v>
      </c>
      <c r="BG1406" s="52">
        <v>1</v>
      </c>
      <c r="BH1406" s="52"/>
      <c r="BI1406" s="52" t="s">
        <v>587</v>
      </c>
      <c r="BJ1406" s="52" t="s">
        <v>813</v>
      </c>
      <c r="BK1406" s="62">
        <v>2007</v>
      </c>
      <c r="BL1406" s="46" t="str">
        <f>BK1406&amp;BI1406</f>
        <v>2007Arsenal</v>
      </c>
      <c r="BM1406" s="52" t="str">
        <f>IF(AD1406="Home",BI1406,IF(AD1406="Away",BJ1406,Q1406))</f>
        <v>Arsenal</v>
      </c>
      <c r="BN1406" s="52"/>
      <c r="BO1406" s="52"/>
      <c r="BP1406" s="52"/>
      <c r="BQ1406" s="52"/>
      <c r="BR1406" s="52"/>
      <c r="BS1406" s="52"/>
      <c r="BT1406" s="52"/>
      <c r="BU1406" s="52"/>
      <c r="BV1406" s="52" t="s">
        <v>376</v>
      </c>
      <c r="BW1406" s="52" t="s">
        <v>376</v>
      </c>
      <c r="BX1406" s="52"/>
      <c r="BY1406" s="52"/>
      <c r="BZ1406" s="53"/>
      <c r="CA1406" s="53"/>
      <c r="CB1406" s="93" t="str">
        <f>IF(OR(C1406="",A1406="",B1406=""),"",TEXT(C1406,"0000")&amp;TEXT(A1406,"00")&amp;TEXT(B1406,"00"))</f>
        <v>20070131</v>
      </c>
    </row>
    <row r="1407" spans="1:80" s="46" customFormat="1" ht="12.95" customHeight="1" x14ac:dyDescent="0.2">
      <c r="A1407" s="46">
        <v>1</v>
      </c>
      <c r="B1407" s="46">
        <v>31</v>
      </c>
      <c r="C1407" s="46">
        <v>2007</v>
      </c>
      <c r="D1407" s="52" t="s">
        <v>658</v>
      </c>
      <c r="E1407" s="52" t="s">
        <v>275</v>
      </c>
      <c r="F1407" s="52" t="s">
        <v>1327</v>
      </c>
      <c r="G1407" s="52"/>
      <c r="H1407" s="52" t="s">
        <v>1011</v>
      </c>
      <c r="I1407" s="52">
        <v>2</v>
      </c>
      <c r="J1407" s="56">
        <v>39113</v>
      </c>
      <c r="K1407" s="52" t="s">
        <v>813</v>
      </c>
      <c r="L1407" s="52" t="s">
        <v>4</v>
      </c>
      <c r="M1407" s="52" t="s">
        <v>587</v>
      </c>
      <c r="N1407" s="57">
        <v>1</v>
      </c>
      <c r="O1407" s="57">
        <v>3</v>
      </c>
      <c r="P1407" s="52" t="s">
        <v>1414</v>
      </c>
      <c r="Q1407" s="52" t="s">
        <v>1017</v>
      </c>
      <c r="R1407" s="52" t="s">
        <v>376</v>
      </c>
      <c r="S1407" s="52" t="s">
        <v>1396</v>
      </c>
      <c r="T1407" s="52"/>
      <c r="U1407" s="52"/>
      <c r="V1407" s="52"/>
      <c r="W1407" s="52"/>
      <c r="X1407" s="52"/>
      <c r="Y1407" s="52"/>
      <c r="Z1407" s="57"/>
      <c r="AA1407" s="58">
        <v>3</v>
      </c>
      <c r="AB1407" s="58">
        <v>5</v>
      </c>
      <c r="AC1407" s="59">
        <v>1</v>
      </c>
      <c r="AD1407" s="52" t="s">
        <v>1037</v>
      </c>
      <c r="AE1407" s="50">
        <f>IF(L1407="W",1,0)</f>
        <v>0</v>
      </c>
      <c r="AF1407" s="50">
        <f>IF(L1407="T",1,0)</f>
        <v>0</v>
      </c>
      <c r="AG1407" s="50">
        <f>IF(L1407="L",1,0)</f>
        <v>1</v>
      </c>
      <c r="AH1407" s="52" t="s">
        <v>1017</v>
      </c>
      <c r="AI1407" s="52" t="s">
        <v>1018</v>
      </c>
      <c r="AJ1407" s="52" t="s">
        <v>376</v>
      </c>
      <c r="AK1407" s="50" t="s">
        <v>658</v>
      </c>
      <c r="AL1407" s="52" t="s">
        <v>1017</v>
      </c>
      <c r="AM1407" s="52" t="s">
        <v>1018</v>
      </c>
      <c r="AN1407" s="52" t="s">
        <v>376</v>
      </c>
      <c r="AO1407" s="50" t="s">
        <v>658</v>
      </c>
      <c r="AP1407" s="52"/>
      <c r="AQ1407" s="52">
        <v>2</v>
      </c>
      <c r="AR1407" s="52"/>
      <c r="AS1407" s="52">
        <v>1</v>
      </c>
      <c r="AT1407" s="46" t="s">
        <v>1351</v>
      </c>
      <c r="AU1407" s="52" t="s">
        <v>376</v>
      </c>
      <c r="AV1407" s="52"/>
      <c r="AW1407" s="52" t="s">
        <v>30</v>
      </c>
      <c r="AX1407" s="52"/>
      <c r="AY1407" s="52"/>
      <c r="AZ1407" s="52" t="s">
        <v>30</v>
      </c>
      <c r="BA1407" s="52"/>
      <c r="BB1407" s="60"/>
      <c r="BC1407" s="52"/>
      <c r="BD1407" s="60"/>
      <c r="BE1407" s="60"/>
      <c r="BF1407" s="35">
        <v>1</v>
      </c>
      <c r="BG1407" s="52">
        <v>1</v>
      </c>
      <c r="BH1407" s="52"/>
      <c r="BI1407" s="52" t="s">
        <v>813</v>
      </c>
      <c r="BJ1407" s="52" t="s">
        <v>587</v>
      </c>
      <c r="BK1407" s="62">
        <v>2007</v>
      </c>
      <c r="BL1407" s="46" t="str">
        <f>BK1407&amp;BI1407</f>
        <v>2007Tottenham Hotspur</v>
      </c>
      <c r="BM1407" s="52" t="str">
        <f>IF(AD1407="Home",BI1407,IF(AD1407="Away",BJ1407,Q1407))</f>
        <v>Arsenal</v>
      </c>
      <c r="BN1407" s="52"/>
      <c r="BO1407" s="52"/>
      <c r="BP1407" s="52"/>
      <c r="BQ1407" s="52"/>
      <c r="BR1407" s="52"/>
      <c r="BS1407" s="52"/>
      <c r="BT1407" s="52"/>
      <c r="BU1407" s="52"/>
      <c r="BV1407" s="52" t="s">
        <v>376</v>
      </c>
      <c r="BW1407" s="52" t="s">
        <v>376</v>
      </c>
      <c r="BX1407" s="52"/>
      <c r="BY1407" s="52"/>
      <c r="BZ1407" s="53"/>
      <c r="CA1407" s="53"/>
      <c r="CB1407" s="93" t="str">
        <f>IF(OR(C1407="",A1407="",B1407=""),"",TEXT(C1407,"0000")&amp;TEXT(A1407,"00")&amp;TEXT(B1407,"00"))</f>
        <v>20070131</v>
      </c>
    </row>
    <row r="1408" spans="1:80" s="46" customFormat="1" ht="12.95" customHeight="1" x14ac:dyDescent="0.2">
      <c r="A1408" s="46">
        <v>2</v>
      </c>
      <c r="B1408" s="46">
        <v>25</v>
      </c>
      <c r="C1408" s="46">
        <v>2007</v>
      </c>
      <c r="D1408" s="52" t="s">
        <v>658</v>
      </c>
      <c r="E1408" s="52" t="s">
        <v>275</v>
      </c>
      <c r="F1408" s="52" t="s">
        <v>1327</v>
      </c>
      <c r="G1408" s="52"/>
      <c r="H1408" s="52" t="s">
        <v>40</v>
      </c>
      <c r="I1408" s="52"/>
      <c r="J1408" s="56">
        <v>39138</v>
      </c>
      <c r="K1408" s="52" t="s">
        <v>816</v>
      </c>
      <c r="L1408" s="52" t="s">
        <v>3</v>
      </c>
      <c r="M1408" s="52" t="s">
        <v>587</v>
      </c>
      <c r="N1408" s="57">
        <v>2</v>
      </c>
      <c r="O1408" s="57">
        <v>1</v>
      </c>
      <c r="P1408" s="52" t="s">
        <v>1407</v>
      </c>
      <c r="Q1408" s="52" t="s">
        <v>1263</v>
      </c>
      <c r="R1408" s="52" t="s">
        <v>1264</v>
      </c>
      <c r="S1408" s="52"/>
      <c r="T1408" s="52"/>
      <c r="U1408" s="52"/>
      <c r="V1408" s="52"/>
      <c r="W1408" s="52"/>
      <c r="X1408" s="52"/>
      <c r="Y1408" s="52"/>
      <c r="Z1408" s="57"/>
      <c r="AA1408" s="52"/>
      <c r="AB1408" s="52"/>
      <c r="AC1408" s="52"/>
      <c r="AD1408" s="52"/>
      <c r="AE1408" s="50">
        <f>IF(L1408="W",1,0)</f>
        <v>1</v>
      </c>
      <c r="AF1408" s="50">
        <f>IF(L1408="T",1,0)</f>
        <v>0</v>
      </c>
      <c r="AG1408" s="50">
        <f>IF(L1408="L",1,0)</f>
        <v>0</v>
      </c>
      <c r="AH1408" s="52" t="s">
        <v>1017</v>
      </c>
      <c r="AI1408" s="52" t="s">
        <v>1018</v>
      </c>
      <c r="AJ1408" s="52" t="s">
        <v>376</v>
      </c>
      <c r="AK1408" s="50" t="s">
        <v>658</v>
      </c>
      <c r="AL1408" s="52" t="s">
        <v>1017</v>
      </c>
      <c r="AM1408" s="52" t="s">
        <v>1018</v>
      </c>
      <c r="AN1408" s="52" t="s">
        <v>376</v>
      </c>
      <c r="AO1408" s="50" t="s">
        <v>658</v>
      </c>
      <c r="AP1408" s="52"/>
      <c r="AQ1408" s="52">
        <v>1</v>
      </c>
      <c r="AR1408" s="52"/>
      <c r="AS1408" s="52" t="s">
        <v>1393</v>
      </c>
      <c r="AT1408" s="46" t="s">
        <v>1308</v>
      </c>
      <c r="AU1408" s="52" t="s">
        <v>376</v>
      </c>
      <c r="AV1408" s="52"/>
      <c r="AW1408" s="52" t="s">
        <v>30</v>
      </c>
      <c r="AX1408" s="52"/>
      <c r="AY1408" s="52"/>
      <c r="AZ1408" s="57" t="s">
        <v>30</v>
      </c>
      <c r="BA1408" s="52"/>
      <c r="BB1408" s="60" t="s">
        <v>30</v>
      </c>
      <c r="BC1408" s="52" t="s">
        <v>30</v>
      </c>
      <c r="BD1408" s="60"/>
      <c r="BE1408" s="60" t="s">
        <v>1394</v>
      </c>
      <c r="BF1408" s="35">
        <v>1</v>
      </c>
      <c r="BG1408" s="52">
        <v>1</v>
      </c>
      <c r="BH1408" s="52"/>
      <c r="BI1408" s="52" t="s">
        <v>816</v>
      </c>
      <c r="BJ1408" s="52" t="s">
        <v>587</v>
      </c>
      <c r="BK1408" s="62">
        <v>2007</v>
      </c>
      <c r="BL1408" s="46" t="str">
        <f>BK1408&amp;BI1408</f>
        <v>2007Chelsea</v>
      </c>
      <c r="BM1408" s="52" t="str">
        <f>IF(AD1408="Home",BI1408,IF(AD1408="Away",BJ1408,Q1408))</f>
        <v>Cardiff</v>
      </c>
      <c r="BN1408" s="52"/>
      <c r="BO1408" s="52"/>
      <c r="BP1408" s="52"/>
      <c r="BQ1408" s="52"/>
      <c r="BR1408" s="52"/>
      <c r="BS1408" s="52"/>
      <c r="BT1408" s="52"/>
      <c r="BU1408" s="52"/>
      <c r="BV1408" s="52" t="s">
        <v>376</v>
      </c>
      <c r="BW1408" s="52" t="s">
        <v>376</v>
      </c>
      <c r="BX1408" s="52"/>
      <c r="BZ1408" s="53"/>
      <c r="CA1408" s="53"/>
      <c r="CB1408" s="93" t="str">
        <f>IF(OR(C1408="",A1408="",B1408=""),"",TEXT(C1408,"0000")&amp;TEXT(A1408,"00")&amp;TEXT(B1408,"00"))</f>
        <v>20070225</v>
      </c>
    </row>
    <row r="1409" spans="1:80" s="46" customFormat="1" ht="12.95" customHeight="1" x14ac:dyDescent="0.2">
      <c r="A1409" s="46">
        <v>2</v>
      </c>
      <c r="B1409" s="46">
        <v>25</v>
      </c>
      <c r="C1409" s="46">
        <v>2007</v>
      </c>
      <c r="D1409" s="52" t="s">
        <v>658</v>
      </c>
      <c r="E1409" s="52" t="s">
        <v>275</v>
      </c>
      <c r="F1409" s="52" t="s">
        <v>1327</v>
      </c>
      <c r="G1409" s="52"/>
      <c r="H1409" s="52" t="s">
        <v>40</v>
      </c>
      <c r="I1409" s="52"/>
      <c r="J1409" s="56">
        <v>39138</v>
      </c>
      <c r="K1409" s="52" t="s">
        <v>587</v>
      </c>
      <c r="L1409" s="52" t="s">
        <v>4</v>
      </c>
      <c r="M1409" s="52" t="s">
        <v>816</v>
      </c>
      <c r="N1409" s="57">
        <v>1</v>
      </c>
      <c r="O1409" s="57">
        <v>2</v>
      </c>
      <c r="P1409" s="52" t="s">
        <v>1407</v>
      </c>
      <c r="Q1409" s="52" t="s">
        <v>1263</v>
      </c>
      <c r="R1409" s="52" t="s">
        <v>1264</v>
      </c>
      <c r="S1409" s="52"/>
      <c r="T1409" s="52"/>
      <c r="U1409" s="52"/>
      <c r="V1409" s="52"/>
      <c r="W1409" s="52"/>
      <c r="X1409" s="52"/>
      <c r="Y1409" s="52"/>
      <c r="Z1409" s="57"/>
      <c r="AA1409" s="52"/>
      <c r="AB1409" s="52"/>
      <c r="AC1409" s="52"/>
      <c r="AD1409" s="52"/>
      <c r="AE1409" s="50">
        <f>IF(L1409="W",1,0)</f>
        <v>0</v>
      </c>
      <c r="AF1409" s="50">
        <f>IF(L1409="T",1,0)</f>
        <v>0</v>
      </c>
      <c r="AG1409" s="50">
        <f>IF(L1409="L",1,0)</f>
        <v>1</v>
      </c>
      <c r="AH1409" s="52" t="s">
        <v>1017</v>
      </c>
      <c r="AI1409" s="52" t="s">
        <v>1018</v>
      </c>
      <c r="AJ1409" s="52" t="s">
        <v>376</v>
      </c>
      <c r="AK1409" s="50" t="s">
        <v>658</v>
      </c>
      <c r="AL1409" s="52" t="s">
        <v>1017</v>
      </c>
      <c r="AM1409" s="52" t="s">
        <v>1018</v>
      </c>
      <c r="AN1409" s="52" t="s">
        <v>376</v>
      </c>
      <c r="AO1409" s="50" t="s">
        <v>658</v>
      </c>
      <c r="AP1409" s="52"/>
      <c r="AQ1409" s="52">
        <v>1</v>
      </c>
      <c r="AR1409" s="52"/>
      <c r="AS1409" s="52">
        <v>1</v>
      </c>
      <c r="AT1409" s="46" t="s">
        <v>1308</v>
      </c>
      <c r="AU1409" s="52" t="s">
        <v>376</v>
      </c>
      <c r="AV1409" s="52"/>
      <c r="AW1409" s="52" t="s">
        <v>30</v>
      </c>
      <c r="AX1409" s="52"/>
      <c r="AY1409" s="52"/>
      <c r="AZ1409" s="52" t="s">
        <v>30</v>
      </c>
      <c r="BA1409" s="52"/>
      <c r="BB1409" s="60"/>
      <c r="BC1409" s="52" t="s">
        <v>30</v>
      </c>
      <c r="BD1409" s="60"/>
      <c r="BE1409" s="60"/>
      <c r="BF1409" s="35">
        <v>1</v>
      </c>
      <c r="BG1409" s="52">
        <v>1</v>
      </c>
      <c r="BH1409" s="52"/>
      <c r="BI1409" s="52" t="s">
        <v>587</v>
      </c>
      <c r="BJ1409" s="52" t="s">
        <v>816</v>
      </c>
      <c r="BK1409" s="62">
        <v>2007</v>
      </c>
      <c r="BL1409" s="46" t="str">
        <f>BK1409&amp;BI1409</f>
        <v>2007Arsenal</v>
      </c>
      <c r="BM1409" s="52" t="str">
        <f>IF(AD1409="Home",BI1409,IF(AD1409="Away",BJ1409,Q1409))</f>
        <v>Cardiff</v>
      </c>
      <c r="BN1409" s="52"/>
      <c r="BO1409" s="52"/>
      <c r="BP1409" s="52"/>
      <c r="BQ1409" s="52"/>
      <c r="BR1409" s="52"/>
      <c r="BS1409" s="52"/>
      <c r="BT1409" s="52"/>
      <c r="BU1409" s="52"/>
      <c r="BV1409" s="52" t="s">
        <v>376</v>
      </c>
      <c r="BW1409" s="52" t="s">
        <v>376</v>
      </c>
      <c r="BX1409" s="52"/>
      <c r="BZ1409" s="53"/>
      <c r="CA1409" s="53"/>
      <c r="CB1409" s="93" t="str">
        <f>IF(OR(C1409="",A1409="",B1409=""),"",TEXT(C1409,"0000")&amp;TEXT(A1409,"00")&amp;TEXT(B1409,"00"))</f>
        <v>20070225</v>
      </c>
    </row>
    <row r="1410" spans="1:80" s="46" customFormat="1" ht="12.95" customHeight="1" x14ac:dyDescent="0.2">
      <c r="A1410" s="46">
        <v>4</v>
      </c>
      <c r="B1410" s="46">
        <v>14</v>
      </c>
      <c r="C1410" s="46">
        <v>2007</v>
      </c>
      <c r="D1410" s="52" t="s">
        <v>658</v>
      </c>
      <c r="E1410" s="52" t="s">
        <v>275</v>
      </c>
      <c r="F1410" s="52" t="s">
        <v>1010</v>
      </c>
      <c r="G1410" s="52"/>
      <c r="H1410" s="52" t="s">
        <v>1011</v>
      </c>
      <c r="I1410" s="52"/>
      <c r="J1410" s="56">
        <v>39186</v>
      </c>
      <c r="K1410" s="52" t="s">
        <v>821</v>
      </c>
      <c r="L1410" s="52" t="s">
        <v>3</v>
      </c>
      <c r="M1410" s="52" t="s">
        <v>1357</v>
      </c>
      <c r="N1410" s="57">
        <v>4</v>
      </c>
      <c r="O1410" s="57">
        <v>1</v>
      </c>
      <c r="P1410" s="52" t="s">
        <v>1219</v>
      </c>
      <c r="Q1410" s="52" t="s">
        <v>1111</v>
      </c>
      <c r="R1410" s="52" t="s">
        <v>376</v>
      </c>
      <c r="S1410" s="52"/>
      <c r="T1410" s="52"/>
      <c r="U1410" s="52"/>
      <c r="V1410" s="52"/>
      <c r="W1410" s="52"/>
      <c r="X1410" s="52"/>
      <c r="Y1410" s="52"/>
      <c r="Z1410" s="57"/>
      <c r="AA1410" s="52"/>
      <c r="AB1410" s="52"/>
      <c r="AC1410" s="52"/>
      <c r="AD1410" s="52"/>
      <c r="AE1410" s="50">
        <f>IF(L1410="W",1,0)</f>
        <v>1</v>
      </c>
      <c r="AF1410" s="50">
        <f>IF(L1410="T",1,0)</f>
        <v>0</v>
      </c>
      <c r="AG1410" s="50">
        <f>IF(L1410="L",1,0)</f>
        <v>0</v>
      </c>
      <c r="AH1410" s="52" t="s">
        <v>1101</v>
      </c>
      <c r="AI1410" s="52" t="s">
        <v>1159</v>
      </c>
      <c r="AJ1410" s="52" t="s">
        <v>376</v>
      </c>
      <c r="AK1410" s="50" t="s">
        <v>658</v>
      </c>
      <c r="AL1410" s="52" t="s">
        <v>1017</v>
      </c>
      <c r="AM1410" s="52" t="s">
        <v>1371</v>
      </c>
      <c r="AN1410" s="52" t="s">
        <v>376</v>
      </c>
      <c r="AO1410" s="50" t="s">
        <v>658</v>
      </c>
      <c r="AP1410" s="52"/>
      <c r="AQ1410" s="52">
        <v>2</v>
      </c>
      <c r="AR1410" s="52"/>
      <c r="AS1410" s="52"/>
      <c r="AU1410" s="52" t="s">
        <v>376</v>
      </c>
      <c r="AV1410" s="52"/>
      <c r="AW1410" s="52" t="s">
        <v>30</v>
      </c>
      <c r="AX1410" s="52"/>
      <c r="AY1410" s="52" t="s">
        <v>30</v>
      </c>
      <c r="AZ1410" s="52"/>
      <c r="BA1410" s="52"/>
      <c r="BB1410" s="60"/>
      <c r="BC1410" s="52"/>
      <c r="BD1410" s="60"/>
      <c r="BE1410" s="60"/>
      <c r="BF1410" s="35">
        <v>1</v>
      </c>
      <c r="BG1410" s="52">
        <v>1</v>
      </c>
      <c r="BH1410" s="52"/>
      <c r="BI1410" s="52" t="s">
        <v>821</v>
      </c>
      <c r="BJ1410" s="52" t="s">
        <v>1357</v>
      </c>
      <c r="BK1410" s="62">
        <v>2007</v>
      </c>
      <c r="BL1410" s="46" t="str">
        <f>BK1410&amp;BI1410</f>
        <v>2007Manchester United</v>
      </c>
      <c r="BM1410" s="52" t="str">
        <f>IF(AD1410="Home",BI1410,IF(AD1410="Away",BJ1410,Q1410))</f>
        <v>Birmingham</v>
      </c>
      <c r="BN1410" s="52"/>
      <c r="BO1410" s="52"/>
      <c r="BP1410" s="52"/>
      <c r="BQ1410" s="52"/>
      <c r="BR1410" s="52"/>
      <c r="BS1410" s="52"/>
      <c r="BT1410" s="52"/>
      <c r="BU1410" s="52"/>
      <c r="BV1410" s="52" t="s">
        <v>376</v>
      </c>
      <c r="BW1410" s="52" t="s">
        <v>376</v>
      </c>
      <c r="BX1410" s="52"/>
      <c r="BY1410" s="52"/>
      <c r="BZ1410" s="53"/>
      <c r="CA1410" s="53"/>
      <c r="CB1410" s="93" t="str">
        <f>IF(OR(C1410="",A1410="",B1410=""),"",TEXT(C1410,"0000")&amp;TEXT(A1410,"00")&amp;TEXT(B1410,"00"))</f>
        <v>20070414</v>
      </c>
    </row>
    <row r="1411" spans="1:80" s="46" customFormat="1" ht="12.95" customHeight="1" x14ac:dyDescent="0.2">
      <c r="A1411" s="46">
        <v>4</v>
      </c>
      <c r="B1411" s="46">
        <v>14</v>
      </c>
      <c r="C1411" s="46">
        <v>2007</v>
      </c>
      <c r="D1411" s="52" t="s">
        <v>658</v>
      </c>
      <c r="E1411" s="52" t="s">
        <v>275</v>
      </c>
      <c r="F1411" s="52" t="s">
        <v>1010</v>
      </c>
      <c r="G1411" s="52"/>
      <c r="H1411" s="52" t="s">
        <v>1011</v>
      </c>
      <c r="I1411" s="52"/>
      <c r="J1411" s="56">
        <v>39186</v>
      </c>
      <c r="K1411" s="52" t="s">
        <v>1357</v>
      </c>
      <c r="L1411" s="52" t="s">
        <v>4</v>
      </c>
      <c r="M1411" s="52" t="s">
        <v>821</v>
      </c>
      <c r="N1411" s="57">
        <v>1</v>
      </c>
      <c r="O1411" s="57">
        <v>4</v>
      </c>
      <c r="P1411" s="52" t="s">
        <v>1219</v>
      </c>
      <c r="Q1411" s="52" t="s">
        <v>1111</v>
      </c>
      <c r="R1411" s="52" t="s">
        <v>376</v>
      </c>
      <c r="S1411" s="52"/>
      <c r="T1411" s="52"/>
      <c r="U1411" s="52"/>
      <c r="V1411" s="52"/>
      <c r="W1411" s="52"/>
      <c r="X1411" s="52"/>
      <c r="Y1411" s="52"/>
      <c r="Z1411" s="57"/>
      <c r="AA1411" s="52"/>
      <c r="AB1411" s="52"/>
      <c r="AC1411" s="52"/>
      <c r="AD1411" s="52"/>
      <c r="AE1411" s="50">
        <f>IF(L1411="W",1,0)</f>
        <v>0</v>
      </c>
      <c r="AF1411" s="50">
        <f>IF(L1411="T",1,0)</f>
        <v>0</v>
      </c>
      <c r="AG1411" s="50">
        <f>IF(L1411="L",1,0)</f>
        <v>1</v>
      </c>
      <c r="AH1411" s="52" t="s">
        <v>1017</v>
      </c>
      <c r="AI1411" s="52" t="s">
        <v>1018</v>
      </c>
      <c r="AJ1411" s="52" t="s">
        <v>376</v>
      </c>
      <c r="AK1411" s="50" t="s">
        <v>658</v>
      </c>
      <c r="AL1411" s="52" t="s">
        <v>1101</v>
      </c>
      <c r="AM1411" s="52" t="s">
        <v>1159</v>
      </c>
      <c r="AN1411" s="52" t="s">
        <v>376</v>
      </c>
      <c r="AO1411" s="50" t="s">
        <v>658</v>
      </c>
      <c r="AP1411" s="52"/>
      <c r="AQ1411" s="52">
        <v>2</v>
      </c>
      <c r="AR1411" s="52"/>
      <c r="AS1411" s="52">
        <v>1</v>
      </c>
      <c r="AU1411" s="52" t="s">
        <v>376</v>
      </c>
      <c r="AV1411" s="52"/>
      <c r="AW1411" s="52" t="s">
        <v>30</v>
      </c>
      <c r="AX1411" s="52"/>
      <c r="AY1411" s="52" t="s">
        <v>30</v>
      </c>
      <c r="AZ1411" s="52"/>
      <c r="BA1411" s="52"/>
      <c r="BB1411" s="60"/>
      <c r="BC1411" s="52"/>
      <c r="BD1411" s="60"/>
      <c r="BE1411" s="60"/>
      <c r="BF1411" s="35">
        <v>1</v>
      </c>
      <c r="BG1411" s="52">
        <v>1</v>
      </c>
      <c r="BH1411" s="52"/>
      <c r="BI1411" s="52" t="s">
        <v>1357</v>
      </c>
      <c r="BJ1411" s="52" t="s">
        <v>821</v>
      </c>
      <c r="BK1411" s="62">
        <v>2007</v>
      </c>
      <c r="BL1411" s="46" t="str">
        <f>BK1411&amp;BI1411</f>
        <v>2007Watford</v>
      </c>
      <c r="BM1411" s="52" t="str">
        <f>IF(AD1411="Home",BI1411,IF(AD1411="Away",BJ1411,Q1411))</f>
        <v>Birmingham</v>
      </c>
      <c r="BN1411" s="52"/>
      <c r="BO1411" s="52"/>
      <c r="BP1411" s="52"/>
      <c r="BQ1411" s="52"/>
      <c r="BR1411" s="52"/>
      <c r="BS1411" s="52"/>
      <c r="BT1411" s="52"/>
      <c r="BU1411" s="52"/>
      <c r="BV1411" s="52" t="s">
        <v>376</v>
      </c>
      <c r="BW1411" s="52" t="s">
        <v>376</v>
      </c>
      <c r="BX1411" s="52"/>
      <c r="BY1411" s="52"/>
      <c r="BZ1411" s="53"/>
      <c r="CA1411" s="53"/>
      <c r="CB1411" s="93" t="str">
        <f>IF(OR(C1411="",A1411="",B1411=""),"",TEXT(C1411,"0000")&amp;TEXT(A1411,"00")&amp;TEXT(B1411,"00"))</f>
        <v>20070414</v>
      </c>
    </row>
    <row r="1412" spans="1:80" s="46" customFormat="1" ht="12.95" customHeight="1" x14ac:dyDescent="0.2">
      <c r="A1412" s="46">
        <v>4</v>
      </c>
      <c r="B1412" s="46">
        <v>15</v>
      </c>
      <c r="C1412" s="46">
        <v>2007</v>
      </c>
      <c r="D1412" s="52" t="s">
        <v>658</v>
      </c>
      <c r="E1412" s="52" t="s">
        <v>275</v>
      </c>
      <c r="F1412" s="52" t="s">
        <v>1010</v>
      </c>
      <c r="G1412" s="52"/>
      <c r="H1412" s="52" t="s">
        <v>1011</v>
      </c>
      <c r="I1412" s="52"/>
      <c r="J1412" s="56">
        <v>39187</v>
      </c>
      <c r="K1412" s="52" t="s">
        <v>816</v>
      </c>
      <c r="L1412" s="52" t="s">
        <v>3</v>
      </c>
      <c r="M1412" s="52" t="s">
        <v>1094</v>
      </c>
      <c r="N1412" s="57">
        <v>2</v>
      </c>
      <c r="O1412" s="57">
        <v>1</v>
      </c>
      <c r="P1412" s="52" t="s">
        <v>1246</v>
      </c>
      <c r="Q1412" s="52" t="s">
        <v>1101</v>
      </c>
      <c r="R1412" s="52" t="s">
        <v>376</v>
      </c>
      <c r="S1412" s="52" t="s">
        <v>1396</v>
      </c>
      <c r="T1412" s="52"/>
      <c r="U1412" s="52"/>
      <c r="V1412" s="52"/>
      <c r="W1412" s="52"/>
      <c r="X1412" s="52"/>
      <c r="Y1412" s="52"/>
      <c r="Z1412" s="57"/>
      <c r="AA1412" s="52"/>
      <c r="AB1412" s="52"/>
      <c r="AC1412" s="52"/>
      <c r="AD1412" s="52"/>
      <c r="AE1412" s="50">
        <f>IF(L1412="W",1,0)</f>
        <v>1</v>
      </c>
      <c r="AF1412" s="50">
        <f>IF(L1412="T",1,0)</f>
        <v>0</v>
      </c>
      <c r="AG1412" s="50">
        <f>IF(L1412="L",1,0)</f>
        <v>0</v>
      </c>
      <c r="AH1412" s="52" t="s">
        <v>1017</v>
      </c>
      <c r="AI1412" s="52" t="s">
        <v>1018</v>
      </c>
      <c r="AJ1412" s="52" t="s">
        <v>376</v>
      </c>
      <c r="AK1412" s="50" t="s">
        <v>658</v>
      </c>
      <c r="AL1412" s="52" t="s">
        <v>1085</v>
      </c>
      <c r="AM1412" s="52" t="s">
        <v>1086</v>
      </c>
      <c r="AN1412" s="52" t="s">
        <v>376</v>
      </c>
      <c r="AO1412" s="50" t="s">
        <v>658</v>
      </c>
      <c r="AP1412" s="52"/>
      <c r="AQ1412" s="52">
        <v>2</v>
      </c>
      <c r="AR1412" s="52"/>
      <c r="AS1412" s="52"/>
      <c r="AU1412" s="52" t="s">
        <v>376</v>
      </c>
      <c r="AV1412" s="52"/>
      <c r="AW1412" s="52" t="s">
        <v>30</v>
      </c>
      <c r="AX1412" s="52"/>
      <c r="AY1412" s="52" t="s">
        <v>30</v>
      </c>
      <c r="AZ1412" s="52"/>
      <c r="BA1412" s="52"/>
      <c r="BB1412" s="60"/>
      <c r="BC1412" s="52"/>
      <c r="BD1412" s="60"/>
      <c r="BE1412" s="60"/>
      <c r="BF1412" s="35">
        <v>1</v>
      </c>
      <c r="BG1412" s="52">
        <v>1</v>
      </c>
      <c r="BH1412" s="52"/>
      <c r="BI1412" s="52" t="s">
        <v>816</v>
      </c>
      <c r="BJ1412" s="52" t="s">
        <v>1094</v>
      </c>
      <c r="BK1412" s="62">
        <v>2007</v>
      </c>
      <c r="BL1412" s="46" t="str">
        <f>BK1412&amp;BI1412</f>
        <v>2007Chelsea</v>
      </c>
      <c r="BM1412" s="52" t="str">
        <f>IF(AD1412="Home",BI1412,IF(AD1412="Away",BJ1412,Q1412))</f>
        <v>Manchester</v>
      </c>
      <c r="BN1412" s="52"/>
      <c r="BO1412" s="52"/>
      <c r="BP1412" s="52"/>
      <c r="BQ1412" s="52"/>
      <c r="BR1412" s="52"/>
      <c r="BS1412" s="52"/>
      <c r="BT1412" s="52"/>
      <c r="BU1412" s="52"/>
      <c r="BV1412" s="52" t="s">
        <v>376</v>
      </c>
      <c r="BW1412" s="52" t="s">
        <v>376</v>
      </c>
      <c r="BX1412" s="52"/>
      <c r="BY1412" s="52"/>
      <c r="BZ1412" s="53"/>
      <c r="CA1412" s="53"/>
      <c r="CB1412" s="93" t="str">
        <f>IF(OR(C1412="",A1412="",B1412=""),"",TEXT(C1412,"0000")&amp;TEXT(A1412,"00")&amp;TEXT(B1412,"00"))</f>
        <v>20070415</v>
      </c>
    </row>
    <row r="1413" spans="1:80" s="46" customFormat="1" ht="12.95" customHeight="1" x14ac:dyDescent="0.2">
      <c r="A1413" s="46">
        <v>4</v>
      </c>
      <c r="B1413" s="46">
        <v>15</v>
      </c>
      <c r="C1413" s="46">
        <v>2007</v>
      </c>
      <c r="D1413" s="52" t="s">
        <v>658</v>
      </c>
      <c r="E1413" s="52" t="s">
        <v>275</v>
      </c>
      <c r="F1413" s="52" t="s">
        <v>1010</v>
      </c>
      <c r="G1413" s="52"/>
      <c r="H1413" s="52" t="s">
        <v>1011</v>
      </c>
      <c r="I1413" s="52"/>
      <c r="J1413" s="56">
        <v>39187</v>
      </c>
      <c r="K1413" s="52" t="s">
        <v>1094</v>
      </c>
      <c r="L1413" s="52" t="s">
        <v>4</v>
      </c>
      <c r="M1413" s="52" t="s">
        <v>816</v>
      </c>
      <c r="N1413" s="57">
        <v>1</v>
      </c>
      <c r="O1413" s="57">
        <v>2</v>
      </c>
      <c r="P1413" s="52" t="s">
        <v>1246</v>
      </c>
      <c r="Q1413" s="52" t="s">
        <v>1101</v>
      </c>
      <c r="R1413" s="52" t="s">
        <v>376</v>
      </c>
      <c r="S1413" s="52" t="s">
        <v>1396</v>
      </c>
      <c r="T1413" s="52"/>
      <c r="U1413" s="52"/>
      <c r="V1413" s="52"/>
      <c r="W1413" s="52"/>
      <c r="X1413" s="52"/>
      <c r="Y1413" s="52"/>
      <c r="Z1413" s="57"/>
      <c r="AA1413" s="52"/>
      <c r="AB1413" s="52"/>
      <c r="AC1413" s="52"/>
      <c r="AD1413" s="52"/>
      <c r="AE1413" s="50">
        <f>IF(L1413="W",1,0)</f>
        <v>0</v>
      </c>
      <c r="AF1413" s="50">
        <f>IF(L1413="T",1,0)</f>
        <v>0</v>
      </c>
      <c r="AG1413" s="50">
        <f>IF(L1413="L",1,0)</f>
        <v>1</v>
      </c>
      <c r="AH1413" s="52" t="s">
        <v>1085</v>
      </c>
      <c r="AI1413" s="52" t="s">
        <v>1086</v>
      </c>
      <c r="AJ1413" s="52" t="s">
        <v>376</v>
      </c>
      <c r="AK1413" s="50" t="s">
        <v>658</v>
      </c>
      <c r="AL1413" s="52" t="s">
        <v>1017</v>
      </c>
      <c r="AM1413" s="52" t="s">
        <v>1018</v>
      </c>
      <c r="AN1413" s="52" t="s">
        <v>376</v>
      </c>
      <c r="AO1413" s="50" t="s">
        <v>658</v>
      </c>
      <c r="AP1413" s="52"/>
      <c r="AQ1413" s="52">
        <v>2</v>
      </c>
      <c r="AR1413" s="52"/>
      <c r="AS1413" s="52">
        <v>1</v>
      </c>
      <c r="AU1413" s="52" t="s">
        <v>376</v>
      </c>
      <c r="AV1413" s="52"/>
      <c r="AW1413" s="52" t="s">
        <v>30</v>
      </c>
      <c r="AX1413" s="52"/>
      <c r="AY1413" s="52" t="s">
        <v>30</v>
      </c>
      <c r="AZ1413" s="52"/>
      <c r="BA1413" s="52"/>
      <c r="BB1413" s="60"/>
      <c r="BC1413" s="52"/>
      <c r="BD1413" s="60"/>
      <c r="BE1413" s="60"/>
      <c r="BF1413" s="35">
        <v>1</v>
      </c>
      <c r="BG1413" s="52">
        <v>1</v>
      </c>
      <c r="BH1413" s="52"/>
      <c r="BI1413" s="52" t="s">
        <v>1094</v>
      </c>
      <c r="BJ1413" s="52" t="s">
        <v>816</v>
      </c>
      <c r="BK1413" s="62">
        <v>2007</v>
      </c>
      <c r="BL1413" s="46" t="str">
        <f>BK1413&amp;BI1413</f>
        <v>2007Blackburn Rovers</v>
      </c>
      <c r="BM1413" s="52" t="str">
        <f>IF(AD1413="Home",BI1413,IF(AD1413="Away",BJ1413,Q1413))</f>
        <v>Manchester</v>
      </c>
      <c r="BN1413" s="52"/>
      <c r="BO1413" s="52"/>
      <c r="BP1413" s="52"/>
      <c r="BQ1413" s="52"/>
      <c r="BR1413" s="52"/>
      <c r="BS1413" s="52"/>
      <c r="BT1413" s="52"/>
      <c r="BU1413" s="52"/>
      <c r="BV1413" s="52" t="s">
        <v>376</v>
      </c>
      <c r="BW1413" s="52" t="s">
        <v>376</v>
      </c>
      <c r="BX1413" s="52"/>
      <c r="BY1413" s="52"/>
      <c r="BZ1413" s="53"/>
      <c r="CA1413" s="53"/>
      <c r="CB1413" s="93" t="str">
        <f>IF(OR(C1413="",A1413="",B1413=""),"",TEXT(C1413,"0000")&amp;TEXT(A1413,"00")&amp;TEXT(B1413,"00"))</f>
        <v>20070415</v>
      </c>
    </row>
    <row r="1414" spans="1:80" s="46" customFormat="1" ht="12.95" customHeight="1" x14ac:dyDescent="0.2">
      <c r="A1414" s="46">
        <v>5</v>
      </c>
      <c r="B1414" s="46">
        <v>19</v>
      </c>
      <c r="C1414" s="46">
        <v>2007</v>
      </c>
      <c r="D1414" s="52" t="s">
        <v>658</v>
      </c>
      <c r="E1414" s="52" t="s">
        <v>275</v>
      </c>
      <c r="F1414" s="52" t="s">
        <v>1010</v>
      </c>
      <c r="G1414" s="52"/>
      <c r="H1414" s="52" t="s">
        <v>40</v>
      </c>
      <c r="I1414" s="52"/>
      <c r="J1414" s="56">
        <v>39221</v>
      </c>
      <c r="K1414" s="52" t="s">
        <v>816</v>
      </c>
      <c r="L1414" s="52" t="s">
        <v>3</v>
      </c>
      <c r="M1414" s="52" t="s">
        <v>821</v>
      </c>
      <c r="N1414" s="57">
        <v>1</v>
      </c>
      <c r="O1414" s="57">
        <v>0</v>
      </c>
      <c r="P1414" s="52" t="s">
        <v>1415</v>
      </c>
      <c r="Q1414" s="52" t="s">
        <v>1017</v>
      </c>
      <c r="R1414" s="52" t="s">
        <v>376</v>
      </c>
      <c r="S1414" s="63" t="s">
        <v>1396</v>
      </c>
      <c r="T1414" s="52"/>
      <c r="U1414" s="52"/>
      <c r="V1414" s="52"/>
      <c r="W1414" s="52"/>
      <c r="X1414" s="52"/>
      <c r="Y1414" s="52"/>
      <c r="Z1414" s="57"/>
      <c r="AA1414" s="52"/>
      <c r="AB1414" s="52"/>
      <c r="AC1414" s="52"/>
      <c r="AD1414" s="52"/>
      <c r="AE1414" s="50">
        <f>IF(L1414="W",1,0)</f>
        <v>1</v>
      </c>
      <c r="AF1414" s="50">
        <f>IF(L1414="T",1,0)</f>
        <v>0</v>
      </c>
      <c r="AG1414" s="50">
        <f>IF(L1414="L",1,0)</f>
        <v>0</v>
      </c>
      <c r="AH1414" s="52" t="s">
        <v>1017</v>
      </c>
      <c r="AI1414" s="52" t="s">
        <v>1018</v>
      </c>
      <c r="AJ1414" s="52" t="s">
        <v>376</v>
      </c>
      <c r="AK1414" s="50" t="s">
        <v>658</v>
      </c>
      <c r="AL1414" s="52" t="s">
        <v>1101</v>
      </c>
      <c r="AM1414" s="52" t="s">
        <v>1159</v>
      </c>
      <c r="AN1414" s="52" t="s">
        <v>376</v>
      </c>
      <c r="AO1414" s="50" t="s">
        <v>658</v>
      </c>
      <c r="AP1414" s="52"/>
      <c r="AQ1414" s="52">
        <v>1</v>
      </c>
      <c r="AR1414" s="52"/>
      <c r="AS1414" s="52" t="s">
        <v>1393</v>
      </c>
      <c r="AU1414" s="52" t="s">
        <v>376</v>
      </c>
      <c r="AV1414" s="52"/>
      <c r="AW1414" s="52" t="s">
        <v>30</v>
      </c>
      <c r="AX1414" s="52"/>
      <c r="AY1414" s="57" t="s">
        <v>30</v>
      </c>
      <c r="AZ1414" s="52"/>
      <c r="BA1414" s="52"/>
      <c r="BB1414" s="60" t="s">
        <v>30</v>
      </c>
      <c r="BC1414" s="52" t="s">
        <v>30</v>
      </c>
      <c r="BD1414" s="60"/>
      <c r="BE1414" s="60"/>
      <c r="BF1414" s="35">
        <v>1</v>
      </c>
      <c r="BG1414" s="52">
        <v>1</v>
      </c>
      <c r="BH1414" s="52"/>
      <c r="BI1414" s="52" t="s">
        <v>816</v>
      </c>
      <c r="BJ1414" s="52" t="s">
        <v>821</v>
      </c>
      <c r="BK1414" s="62">
        <v>2007</v>
      </c>
      <c r="BL1414" s="46" t="str">
        <f>BK1414&amp;BI1414</f>
        <v>2007Chelsea</v>
      </c>
      <c r="BM1414" s="52" t="str">
        <f>IF(AD1414="Home",BI1414,IF(AD1414="Away",BJ1414,Q1414))</f>
        <v>London</v>
      </c>
      <c r="BN1414" s="52"/>
      <c r="BO1414" s="52"/>
      <c r="BP1414" s="52"/>
      <c r="BQ1414" s="52"/>
      <c r="BR1414" s="52"/>
      <c r="BS1414" s="52"/>
      <c r="BT1414" s="52"/>
      <c r="BU1414" s="52"/>
      <c r="BV1414" s="52" t="s">
        <v>376</v>
      </c>
      <c r="BW1414" s="52" t="s">
        <v>376</v>
      </c>
      <c r="BX1414" s="52"/>
      <c r="BY1414" s="52"/>
      <c r="BZ1414" s="53"/>
      <c r="CA1414" s="53"/>
      <c r="CB1414" s="93" t="str">
        <f>IF(OR(C1414="",A1414="",B1414=""),"",TEXT(C1414,"0000")&amp;TEXT(A1414,"00")&amp;TEXT(B1414,"00"))</f>
        <v>20070519</v>
      </c>
    </row>
    <row r="1415" spans="1:80" s="46" customFormat="1" ht="12.95" customHeight="1" x14ac:dyDescent="0.2">
      <c r="A1415" s="46">
        <v>5</v>
      </c>
      <c r="B1415" s="46">
        <v>19</v>
      </c>
      <c r="C1415" s="46">
        <v>2007</v>
      </c>
      <c r="D1415" s="52" t="s">
        <v>658</v>
      </c>
      <c r="E1415" s="52" t="s">
        <v>275</v>
      </c>
      <c r="F1415" s="52" t="s">
        <v>1010</v>
      </c>
      <c r="G1415" s="52"/>
      <c r="H1415" s="52" t="s">
        <v>40</v>
      </c>
      <c r="I1415" s="52"/>
      <c r="J1415" s="56">
        <v>39221</v>
      </c>
      <c r="K1415" s="52" t="s">
        <v>821</v>
      </c>
      <c r="L1415" s="52" t="s">
        <v>4</v>
      </c>
      <c r="M1415" s="52" t="s">
        <v>816</v>
      </c>
      <c r="N1415" s="57">
        <v>0</v>
      </c>
      <c r="O1415" s="57">
        <v>1</v>
      </c>
      <c r="P1415" s="52" t="s">
        <v>1415</v>
      </c>
      <c r="Q1415" s="52" t="s">
        <v>1017</v>
      </c>
      <c r="R1415" s="52" t="s">
        <v>376</v>
      </c>
      <c r="S1415" s="63" t="s">
        <v>1396</v>
      </c>
      <c r="T1415" s="52"/>
      <c r="U1415" s="52"/>
      <c r="V1415" s="52"/>
      <c r="W1415" s="52"/>
      <c r="X1415" s="52"/>
      <c r="Y1415" s="52"/>
      <c r="Z1415" s="57"/>
      <c r="AA1415" s="52"/>
      <c r="AB1415" s="52"/>
      <c r="AC1415" s="52"/>
      <c r="AD1415" s="52"/>
      <c r="AE1415" s="50">
        <f>IF(L1415="W",1,0)</f>
        <v>0</v>
      </c>
      <c r="AF1415" s="50">
        <f>IF(L1415="T",1,0)</f>
        <v>0</v>
      </c>
      <c r="AG1415" s="50">
        <f>IF(L1415="L",1,0)</f>
        <v>1</v>
      </c>
      <c r="AH1415" s="52" t="s">
        <v>1101</v>
      </c>
      <c r="AI1415" s="52" t="s">
        <v>1159</v>
      </c>
      <c r="AJ1415" s="52" t="s">
        <v>376</v>
      </c>
      <c r="AK1415" s="50" t="s">
        <v>658</v>
      </c>
      <c r="AL1415" s="52" t="s">
        <v>1017</v>
      </c>
      <c r="AM1415" s="52" t="s">
        <v>1018</v>
      </c>
      <c r="AN1415" s="52" t="s">
        <v>376</v>
      </c>
      <c r="AO1415" s="50" t="s">
        <v>658</v>
      </c>
      <c r="AP1415" s="52"/>
      <c r="AQ1415" s="52">
        <v>1</v>
      </c>
      <c r="AR1415" s="52"/>
      <c r="AS1415" s="52">
        <v>1</v>
      </c>
      <c r="AU1415" s="52" t="s">
        <v>376</v>
      </c>
      <c r="AV1415" s="52"/>
      <c r="AW1415" s="52" t="s">
        <v>30</v>
      </c>
      <c r="AX1415" s="52"/>
      <c r="AY1415" s="52" t="s">
        <v>30</v>
      </c>
      <c r="AZ1415" s="52"/>
      <c r="BA1415" s="52"/>
      <c r="BB1415" s="60"/>
      <c r="BC1415" s="52" t="s">
        <v>30</v>
      </c>
      <c r="BD1415" s="60"/>
      <c r="BE1415" s="60" t="s">
        <v>1394</v>
      </c>
      <c r="BF1415" s="35">
        <v>1</v>
      </c>
      <c r="BG1415" s="52">
        <v>1</v>
      </c>
      <c r="BH1415" s="52"/>
      <c r="BI1415" s="52" t="s">
        <v>821</v>
      </c>
      <c r="BJ1415" s="52" t="s">
        <v>816</v>
      </c>
      <c r="BK1415" s="62">
        <v>2007</v>
      </c>
      <c r="BL1415" s="46" t="str">
        <f>BK1415&amp;BI1415</f>
        <v>2007Manchester United</v>
      </c>
      <c r="BM1415" s="52" t="str">
        <f>IF(AD1415="Home",BI1415,IF(AD1415="Away",BJ1415,Q1415))</f>
        <v>London</v>
      </c>
      <c r="BN1415" s="52"/>
      <c r="BO1415" s="52"/>
      <c r="BP1415" s="52"/>
      <c r="BQ1415" s="52"/>
      <c r="BR1415" s="52"/>
      <c r="BS1415" s="52"/>
      <c r="BT1415" s="52"/>
      <c r="BU1415" s="52"/>
      <c r="BV1415" s="52" t="s">
        <v>376</v>
      </c>
      <c r="BW1415" s="52" t="s">
        <v>376</v>
      </c>
      <c r="BX1415" s="52"/>
      <c r="BY1415" s="52"/>
      <c r="BZ1415" s="53"/>
      <c r="CA1415" s="53"/>
      <c r="CB1415" s="93" t="str">
        <f>IF(OR(C1415="",A1415="",B1415=""),"",TEXT(C1415,"0000")&amp;TEXT(A1415,"00")&amp;TEXT(B1415,"00"))</f>
        <v>20070519</v>
      </c>
    </row>
    <row r="1416" spans="1:80" s="46" customFormat="1" ht="12.95" customHeight="1" x14ac:dyDescent="0.2">
      <c r="A1416" s="46">
        <v>1</v>
      </c>
      <c r="B1416" s="46">
        <v>8</v>
      </c>
      <c r="C1416" s="46">
        <v>2008</v>
      </c>
      <c r="D1416" s="52" t="s">
        <v>658</v>
      </c>
      <c r="E1416" s="52" t="s">
        <v>272</v>
      </c>
      <c r="F1416" s="52" t="s">
        <v>1327</v>
      </c>
      <c r="G1416" s="52"/>
      <c r="H1416" s="52" t="s">
        <v>1011</v>
      </c>
      <c r="I1416" s="52">
        <v>1</v>
      </c>
      <c r="J1416" s="56">
        <v>39455</v>
      </c>
      <c r="K1416" s="52" t="s">
        <v>816</v>
      </c>
      <c r="L1416" s="56" t="s">
        <v>3</v>
      </c>
      <c r="M1416" s="52" t="s">
        <v>804</v>
      </c>
      <c r="N1416" s="57">
        <v>2</v>
      </c>
      <c r="O1416" s="57">
        <v>1</v>
      </c>
      <c r="P1416" s="52" t="s">
        <v>1234</v>
      </c>
      <c r="Q1416" s="52" t="s">
        <v>1017</v>
      </c>
      <c r="R1416" s="52" t="s">
        <v>376</v>
      </c>
      <c r="S1416" s="52"/>
      <c r="T1416" s="52"/>
      <c r="U1416" s="52"/>
      <c r="V1416" s="52"/>
      <c r="W1416" s="52"/>
      <c r="X1416" s="52"/>
      <c r="Y1416" s="52"/>
      <c r="Z1416" s="57"/>
      <c r="AA1416" s="58">
        <v>2</v>
      </c>
      <c r="AB1416" s="58">
        <v>1</v>
      </c>
      <c r="AC1416" s="59">
        <v>0</v>
      </c>
      <c r="AD1416" s="52" t="s">
        <v>1033</v>
      </c>
      <c r="AE1416" s="50">
        <f>IF(L1416="W",1,0)</f>
        <v>1</v>
      </c>
      <c r="AF1416" s="50">
        <f>IF(L1416="T",1,0)</f>
        <v>0</v>
      </c>
      <c r="AG1416" s="50">
        <f>IF(L1416="L",1,0)</f>
        <v>0</v>
      </c>
      <c r="AH1416" s="52" t="s">
        <v>1017</v>
      </c>
      <c r="AI1416" s="52" t="s">
        <v>1018</v>
      </c>
      <c r="AJ1416" s="52" t="s">
        <v>376</v>
      </c>
      <c r="AK1416" s="50" t="s">
        <v>658</v>
      </c>
      <c r="AL1416" s="52" t="s">
        <v>588</v>
      </c>
      <c r="AM1416" s="52" t="s">
        <v>1175</v>
      </c>
      <c r="AN1416" s="52" t="s">
        <v>376</v>
      </c>
      <c r="AO1416" s="50" t="s">
        <v>658</v>
      </c>
      <c r="AP1416" s="52"/>
      <c r="AQ1416" s="52">
        <v>2</v>
      </c>
      <c r="AR1416" s="52"/>
      <c r="AS1416" s="52"/>
      <c r="AU1416" s="52" t="s">
        <v>376</v>
      </c>
      <c r="AV1416" s="52"/>
      <c r="AW1416" s="52" t="s">
        <v>30</v>
      </c>
      <c r="AX1416" s="52"/>
      <c r="AY1416" s="52"/>
      <c r="AZ1416" s="52" t="s">
        <v>30</v>
      </c>
      <c r="BA1416" s="52"/>
      <c r="BB1416" s="60"/>
      <c r="BC1416" s="52"/>
      <c r="BD1416" s="60"/>
      <c r="BE1416" s="60"/>
      <c r="BF1416" s="35">
        <v>1</v>
      </c>
      <c r="BG1416" s="52">
        <v>1</v>
      </c>
      <c r="BH1416" s="52"/>
      <c r="BI1416" s="52" t="s">
        <v>816</v>
      </c>
      <c r="BJ1416" s="52" t="s">
        <v>804</v>
      </c>
      <c r="BK1416" s="52">
        <v>2008</v>
      </c>
      <c r="BL1416" s="46" t="str">
        <f>BK1416&amp;BI1416</f>
        <v>2008Chelsea</v>
      </c>
      <c r="BM1416" s="52" t="str">
        <f>IF(AD1416="Home",BI1416,IF(AD1416="Away",BJ1416,Q1416))</f>
        <v>Chelsea</v>
      </c>
      <c r="BN1416" s="52"/>
      <c r="BO1416" s="52"/>
      <c r="BP1416" s="52"/>
      <c r="BQ1416" s="52"/>
      <c r="BR1416" s="52"/>
      <c r="BS1416" s="52"/>
      <c r="BT1416" s="52"/>
      <c r="BU1416" s="52"/>
      <c r="BV1416" s="52" t="s">
        <v>376</v>
      </c>
      <c r="BW1416" s="52" t="s">
        <v>376</v>
      </c>
      <c r="BX1416" s="52"/>
      <c r="BY1416" s="52"/>
      <c r="BZ1416" s="53"/>
      <c r="CA1416" s="53"/>
      <c r="CB1416" s="93" t="str">
        <f>IF(OR(C1416="",A1416="",B1416=""),"",TEXT(C1416,"0000")&amp;TEXT(A1416,"00")&amp;TEXT(B1416,"00"))</f>
        <v>20080108</v>
      </c>
    </row>
    <row r="1417" spans="1:80" s="46" customFormat="1" ht="12.95" customHeight="1" x14ac:dyDescent="0.2">
      <c r="A1417" s="46">
        <v>1</v>
      </c>
      <c r="B1417" s="46">
        <v>8</v>
      </c>
      <c r="C1417" s="46">
        <v>2008</v>
      </c>
      <c r="D1417" s="52" t="s">
        <v>658</v>
      </c>
      <c r="E1417" s="52" t="s">
        <v>272</v>
      </c>
      <c r="F1417" s="52" t="s">
        <v>1327</v>
      </c>
      <c r="G1417" s="52"/>
      <c r="H1417" s="52" t="s">
        <v>1011</v>
      </c>
      <c r="I1417" s="52">
        <v>1</v>
      </c>
      <c r="J1417" s="56">
        <v>39455</v>
      </c>
      <c r="K1417" s="52" t="s">
        <v>804</v>
      </c>
      <c r="L1417" s="56" t="s">
        <v>4</v>
      </c>
      <c r="M1417" s="52" t="s">
        <v>816</v>
      </c>
      <c r="N1417" s="57">
        <v>1</v>
      </c>
      <c r="O1417" s="57">
        <v>2</v>
      </c>
      <c r="P1417" s="52" t="s">
        <v>1234</v>
      </c>
      <c r="Q1417" s="52" t="s">
        <v>1017</v>
      </c>
      <c r="R1417" s="52" t="s">
        <v>376</v>
      </c>
      <c r="S1417" s="52"/>
      <c r="T1417" s="52"/>
      <c r="U1417" s="52"/>
      <c r="V1417" s="52"/>
      <c r="W1417" s="52"/>
      <c r="X1417" s="52"/>
      <c r="Y1417" s="52"/>
      <c r="Z1417" s="57"/>
      <c r="AA1417" s="58">
        <v>1</v>
      </c>
      <c r="AB1417" s="58">
        <v>2</v>
      </c>
      <c r="AC1417" s="59">
        <v>1</v>
      </c>
      <c r="AD1417" s="52" t="s">
        <v>1037</v>
      </c>
      <c r="AE1417" s="50">
        <f>IF(L1417="W",1,0)</f>
        <v>0</v>
      </c>
      <c r="AF1417" s="50">
        <f>IF(L1417="T",1,0)</f>
        <v>0</v>
      </c>
      <c r="AG1417" s="50">
        <f>IF(L1417="L",1,0)</f>
        <v>1</v>
      </c>
      <c r="AH1417" s="52" t="s">
        <v>588</v>
      </c>
      <c r="AI1417" s="52" t="s">
        <v>1175</v>
      </c>
      <c r="AJ1417" s="52" t="s">
        <v>376</v>
      </c>
      <c r="AK1417" s="50" t="s">
        <v>658</v>
      </c>
      <c r="AL1417" s="52" t="s">
        <v>1017</v>
      </c>
      <c r="AM1417" s="52" t="s">
        <v>1018</v>
      </c>
      <c r="AN1417" s="52" t="s">
        <v>376</v>
      </c>
      <c r="AO1417" s="50" t="s">
        <v>658</v>
      </c>
      <c r="AP1417" s="52"/>
      <c r="AQ1417" s="52">
        <v>2</v>
      </c>
      <c r="AR1417" s="52"/>
      <c r="AS1417" s="52"/>
      <c r="AU1417" s="52" t="s">
        <v>376</v>
      </c>
      <c r="AV1417" s="52"/>
      <c r="AW1417" s="52" t="s">
        <v>30</v>
      </c>
      <c r="AX1417" s="52"/>
      <c r="AY1417" s="52"/>
      <c r="AZ1417" s="52" t="s">
        <v>30</v>
      </c>
      <c r="BA1417" s="52"/>
      <c r="BB1417" s="60"/>
      <c r="BC1417" s="52"/>
      <c r="BD1417" s="60"/>
      <c r="BE1417" s="60"/>
      <c r="BF1417" s="35">
        <v>1</v>
      </c>
      <c r="BG1417" s="52">
        <v>1</v>
      </c>
      <c r="BH1417" s="52"/>
      <c r="BI1417" s="52" t="s">
        <v>804</v>
      </c>
      <c r="BJ1417" s="52" t="s">
        <v>816</v>
      </c>
      <c r="BK1417" s="52">
        <v>2008</v>
      </c>
      <c r="BL1417" s="46" t="str">
        <f>BK1417&amp;BI1417</f>
        <v>2008Everton</v>
      </c>
      <c r="BM1417" s="52" t="str">
        <f>IF(AD1417="Home",BI1417,IF(AD1417="Away",BJ1417,Q1417))</f>
        <v>Chelsea</v>
      </c>
      <c r="BN1417" s="52"/>
      <c r="BO1417" s="52"/>
      <c r="BP1417" s="52"/>
      <c r="BQ1417" s="52"/>
      <c r="BR1417" s="52"/>
      <c r="BS1417" s="52"/>
      <c r="BT1417" s="52"/>
      <c r="BU1417" s="52"/>
      <c r="BV1417" s="52" t="s">
        <v>376</v>
      </c>
      <c r="BW1417" s="52" t="s">
        <v>376</v>
      </c>
      <c r="BX1417" s="52"/>
      <c r="BY1417" s="52"/>
      <c r="BZ1417" s="53"/>
      <c r="CA1417" s="53"/>
      <c r="CB1417" s="93" t="str">
        <f>IF(OR(C1417="",A1417="",B1417=""),"",TEXT(C1417,"0000")&amp;TEXT(A1417,"00")&amp;TEXT(B1417,"00"))</f>
        <v>20080108</v>
      </c>
    </row>
    <row r="1418" spans="1:80" s="46" customFormat="1" ht="12.95" customHeight="1" x14ac:dyDescent="0.2">
      <c r="A1418" s="46">
        <v>1</v>
      </c>
      <c r="B1418" s="46">
        <v>9</v>
      </c>
      <c r="C1418" s="46">
        <v>2008</v>
      </c>
      <c r="D1418" s="52" t="s">
        <v>658</v>
      </c>
      <c r="E1418" s="52" t="s">
        <v>272</v>
      </c>
      <c r="F1418" s="52" t="s">
        <v>1327</v>
      </c>
      <c r="G1418" s="52"/>
      <c r="H1418" s="52" t="s">
        <v>1011</v>
      </c>
      <c r="I1418" s="52">
        <v>1</v>
      </c>
      <c r="J1418" s="56">
        <v>39456</v>
      </c>
      <c r="K1418" s="52" t="s">
        <v>587</v>
      </c>
      <c r="L1418" s="56" t="s">
        <v>1014</v>
      </c>
      <c r="M1418" s="52" t="s">
        <v>813</v>
      </c>
      <c r="N1418" s="57">
        <v>1</v>
      </c>
      <c r="O1418" s="57">
        <v>1</v>
      </c>
      <c r="P1418" s="52" t="s">
        <v>1414</v>
      </c>
      <c r="Q1418" s="52" t="s">
        <v>1017</v>
      </c>
      <c r="R1418" s="52" t="s">
        <v>376</v>
      </c>
      <c r="S1418" s="52"/>
      <c r="T1418" s="52"/>
      <c r="U1418" s="52"/>
      <c r="V1418" s="52"/>
      <c r="W1418" s="52"/>
      <c r="X1418" s="52"/>
      <c r="Y1418" s="52"/>
      <c r="Z1418" s="57"/>
      <c r="AA1418" s="58">
        <v>1</v>
      </c>
      <c r="AB1418" s="58">
        <v>1</v>
      </c>
      <c r="AC1418" s="59">
        <v>0</v>
      </c>
      <c r="AD1418" s="52" t="s">
        <v>1033</v>
      </c>
      <c r="AE1418" s="50">
        <f>IF(L1418="W",1,0)</f>
        <v>0</v>
      </c>
      <c r="AF1418" s="50">
        <f>IF(L1418="T",1,0)</f>
        <v>1</v>
      </c>
      <c r="AG1418" s="50">
        <f>IF(L1418="L",1,0)</f>
        <v>0</v>
      </c>
      <c r="AH1418" s="52" t="s">
        <v>1017</v>
      </c>
      <c r="AI1418" s="52" t="s">
        <v>1018</v>
      </c>
      <c r="AJ1418" s="52" t="s">
        <v>376</v>
      </c>
      <c r="AK1418" s="50" t="s">
        <v>658</v>
      </c>
      <c r="AL1418" s="52" t="s">
        <v>1017</v>
      </c>
      <c r="AM1418" s="52" t="s">
        <v>1018</v>
      </c>
      <c r="AN1418" s="52" t="s">
        <v>376</v>
      </c>
      <c r="AO1418" s="50" t="s">
        <v>658</v>
      </c>
      <c r="AP1418" s="52"/>
      <c r="AQ1418" s="52">
        <v>2</v>
      </c>
      <c r="AR1418" s="52"/>
      <c r="AS1418" s="52"/>
      <c r="AT1418" s="46" t="s">
        <v>1351</v>
      </c>
      <c r="AU1418" s="52" t="s">
        <v>376</v>
      </c>
      <c r="AV1418" s="52"/>
      <c r="AW1418" s="52" t="s">
        <v>30</v>
      </c>
      <c r="AX1418" s="52"/>
      <c r="AY1418" s="52"/>
      <c r="AZ1418" s="52" t="s">
        <v>30</v>
      </c>
      <c r="BA1418" s="52"/>
      <c r="BB1418" s="60"/>
      <c r="BC1418" s="52"/>
      <c r="BD1418" s="60"/>
      <c r="BE1418" s="60"/>
      <c r="BF1418" s="35">
        <v>1</v>
      </c>
      <c r="BG1418" s="52">
        <v>1</v>
      </c>
      <c r="BH1418" s="52"/>
      <c r="BI1418" s="52" t="s">
        <v>587</v>
      </c>
      <c r="BJ1418" s="52" t="s">
        <v>813</v>
      </c>
      <c r="BK1418" s="52">
        <v>2008</v>
      </c>
      <c r="BL1418" s="46" t="str">
        <f>BK1418&amp;BI1418</f>
        <v>2008Arsenal</v>
      </c>
      <c r="BM1418" s="52" t="str">
        <f>IF(AD1418="Home",BI1418,IF(AD1418="Away",BJ1418,Q1418))</f>
        <v>Arsenal</v>
      </c>
      <c r="BN1418" s="52"/>
      <c r="BO1418" s="52"/>
      <c r="BP1418" s="52"/>
      <c r="BQ1418" s="52"/>
      <c r="BR1418" s="52"/>
      <c r="BS1418" s="52"/>
      <c r="BT1418" s="52"/>
      <c r="BU1418" s="52"/>
      <c r="BV1418" s="52" t="s">
        <v>376</v>
      </c>
      <c r="BW1418" s="52" t="s">
        <v>376</v>
      </c>
      <c r="BX1418" s="52"/>
      <c r="BY1418" s="52"/>
      <c r="BZ1418" s="53"/>
      <c r="CA1418" s="53"/>
      <c r="CB1418" s="93" t="str">
        <f>IF(OR(C1418="",A1418="",B1418=""),"",TEXT(C1418,"0000")&amp;TEXT(A1418,"00")&amp;TEXT(B1418,"00"))</f>
        <v>20080109</v>
      </c>
    </row>
    <row r="1419" spans="1:80" s="46" customFormat="1" ht="12.95" customHeight="1" x14ac:dyDescent="0.2">
      <c r="A1419" s="46">
        <v>1</v>
      </c>
      <c r="B1419" s="46">
        <v>9</v>
      </c>
      <c r="C1419" s="46">
        <v>2008</v>
      </c>
      <c r="D1419" s="52" t="s">
        <v>658</v>
      </c>
      <c r="E1419" s="52" t="s">
        <v>272</v>
      </c>
      <c r="F1419" s="52" t="s">
        <v>1327</v>
      </c>
      <c r="G1419" s="52"/>
      <c r="H1419" s="52" t="s">
        <v>1011</v>
      </c>
      <c r="I1419" s="52">
        <v>1</v>
      </c>
      <c r="J1419" s="56">
        <v>39456</v>
      </c>
      <c r="K1419" s="52" t="s">
        <v>813</v>
      </c>
      <c r="L1419" s="56" t="s">
        <v>1014</v>
      </c>
      <c r="M1419" s="52" t="s">
        <v>587</v>
      </c>
      <c r="N1419" s="57">
        <v>1</v>
      </c>
      <c r="O1419" s="57">
        <v>1</v>
      </c>
      <c r="P1419" s="52" t="s">
        <v>1414</v>
      </c>
      <c r="Q1419" s="52" t="s">
        <v>1017</v>
      </c>
      <c r="R1419" s="52" t="s">
        <v>376</v>
      </c>
      <c r="S1419" s="52"/>
      <c r="T1419" s="52"/>
      <c r="U1419" s="52"/>
      <c r="V1419" s="52"/>
      <c r="W1419" s="52"/>
      <c r="X1419" s="52"/>
      <c r="Y1419" s="52"/>
      <c r="Z1419" s="57"/>
      <c r="AA1419" s="58">
        <v>1</v>
      </c>
      <c r="AB1419" s="58">
        <v>1</v>
      </c>
      <c r="AC1419" s="59">
        <v>1</v>
      </c>
      <c r="AD1419" s="52" t="s">
        <v>1037</v>
      </c>
      <c r="AE1419" s="50">
        <f>IF(L1419="W",1,0)</f>
        <v>0</v>
      </c>
      <c r="AF1419" s="50">
        <f>IF(L1419="T",1,0)</f>
        <v>1</v>
      </c>
      <c r="AG1419" s="50">
        <f>IF(L1419="L",1,0)</f>
        <v>0</v>
      </c>
      <c r="AH1419" s="52" t="s">
        <v>1017</v>
      </c>
      <c r="AI1419" s="52" t="s">
        <v>1018</v>
      </c>
      <c r="AJ1419" s="52" t="s">
        <v>376</v>
      </c>
      <c r="AK1419" s="50" t="s">
        <v>658</v>
      </c>
      <c r="AL1419" s="52" t="s">
        <v>1017</v>
      </c>
      <c r="AM1419" s="52" t="s">
        <v>1018</v>
      </c>
      <c r="AN1419" s="52" t="s">
        <v>376</v>
      </c>
      <c r="AO1419" s="50" t="s">
        <v>658</v>
      </c>
      <c r="AP1419" s="52"/>
      <c r="AQ1419" s="52">
        <v>2</v>
      </c>
      <c r="AR1419" s="52"/>
      <c r="AS1419" s="52"/>
      <c r="AT1419" s="46" t="s">
        <v>1351</v>
      </c>
      <c r="AU1419" s="52" t="s">
        <v>376</v>
      </c>
      <c r="AV1419" s="52"/>
      <c r="AW1419" s="52" t="s">
        <v>30</v>
      </c>
      <c r="AX1419" s="52"/>
      <c r="AY1419" s="52"/>
      <c r="AZ1419" s="52" t="s">
        <v>30</v>
      </c>
      <c r="BA1419" s="52"/>
      <c r="BB1419" s="60"/>
      <c r="BC1419" s="52"/>
      <c r="BD1419" s="60"/>
      <c r="BE1419" s="60"/>
      <c r="BF1419" s="35">
        <v>1</v>
      </c>
      <c r="BG1419" s="52">
        <v>1</v>
      </c>
      <c r="BH1419" s="52"/>
      <c r="BI1419" s="52" t="s">
        <v>813</v>
      </c>
      <c r="BJ1419" s="52" t="s">
        <v>587</v>
      </c>
      <c r="BK1419" s="52">
        <v>2008</v>
      </c>
      <c r="BL1419" s="46" t="str">
        <f>BK1419&amp;BI1419</f>
        <v>2008Tottenham Hotspur</v>
      </c>
      <c r="BM1419" s="52" t="str">
        <f>IF(AD1419="Home",BI1419,IF(AD1419="Away",BJ1419,Q1419))</f>
        <v>Arsenal</v>
      </c>
      <c r="BN1419" s="52"/>
      <c r="BO1419" s="52"/>
      <c r="BP1419" s="52"/>
      <c r="BQ1419" s="52"/>
      <c r="BR1419" s="52"/>
      <c r="BS1419" s="52"/>
      <c r="BT1419" s="52"/>
      <c r="BU1419" s="52"/>
      <c r="BV1419" s="52" t="s">
        <v>376</v>
      </c>
      <c r="BW1419" s="52" t="s">
        <v>376</v>
      </c>
      <c r="BX1419" s="52"/>
      <c r="BY1419" s="52"/>
      <c r="BZ1419" s="53"/>
      <c r="CA1419" s="53"/>
      <c r="CB1419" s="93" t="str">
        <f>IF(OR(C1419="",A1419="",B1419=""),"",TEXT(C1419,"0000")&amp;TEXT(A1419,"00")&amp;TEXT(B1419,"00"))</f>
        <v>20080109</v>
      </c>
    </row>
    <row r="1420" spans="1:80" s="46" customFormat="1" ht="12.95" customHeight="1" x14ac:dyDescent="0.2">
      <c r="A1420" s="46">
        <v>1</v>
      </c>
      <c r="B1420" s="46">
        <v>22</v>
      </c>
      <c r="C1420" s="46">
        <v>2008</v>
      </c>
      <c r="D1420" s="52" t="s">
        <v>658</v>
      </c>
      <c r="E1420" s="52" t="s">
        <v>272</v>
      </c>
      <c r="F1420" s="52" t="s">
        <v>1327</v>
      </c>
      <c r="G1420" s="52"/>
      <c r="H1420" s="52" t="s">
        <v>1011</v>
      </c>
      <c r="I1420" s="52">
        <v>2</v>
      </c>
      <c r="J1420" s="56">
        <v>39469</v>
      </c>
      <c r="K1420" s="52" t="s">
        <v>813</v>
      </c>
      <c r="L1420" s="56" t="s">
        <v>3</v>
      </c>
      <c r="M1420" s="52" t="s">
        <v>587</v>
      </c>
      <c r="N1420" s="57">
        <v>5</v>
      </c>
      <c r="O1420" s="57">
        <v>1</v>
      </c>
      <c r="P1420" s="52" t="s">
        <v>1222</v>
      </c>
      <c r="Q1420" s="52" t="s">
        <v>1017</v>
      </c>
      <c r="R1420" s="52" t="s">
        <v>376</v>
      </c>
      <c r="S1420" s="52"/>
      <c r="T1420" s="52"/>
      <c r="U1420" s="52"/>
      <c r="V1420" s="52"/>
      <c r="W1420" s="52"/>
      <c r="X1420" s="52"/>
      <c r="Y1420" s="52"/>
      <c r="Z1420" s="57"/>
      <c r="AA1420" s="58">
        <v>6</v>
      </c>
      <c r="AB1420" s="58">
        <v>2</v>
      </c>
      <c r="AC1420" s="59">
        <v>1</v>
      </c>
      <c r="AD1420" s="52" t="s">
        <v>1033</v>
      </c>
      <c r="AE1420" s="50">
        <f>IF(L1420="W",1,0)</f>
        <v>1</v>
      </c>
      <c r="AF1420" s="50">
        <f>IF(L1420="T",1,0)</f>
        <v>0</v>
      </c>
      <c r="AG1420" s="50">
        <f>IF(L1420="L",1,0)</f>
        <v>0</v>
      </c>
      <c r="AH1420" s="52" t="s">
        <v>1017</v>
      </c>
      <c r="AI1420" s="52" t="s">
        <v>1018</v>
      </c>
      <c r="AJ1420" s="52" t="s">
        <v>376</v>
      </c>
      <c r="AK1420" s="50" t="s">
        <v>658</v>
      </c>
      <c r="AL1420" s="52" t="s">
        <v>1017</v>
      </c>
      <c r="AM1420" s="52" t="s">
        <v>1018</v>
      </c>
      <c r="AN1420" s="52" t="s">
        <v>376</v>
      </c>
      <c r="AO1420" s="50" t="s">
        <v>658</v>
      </c>
      <c r="AP1420" s="52"/>
      <c r="AQ1420" s="52">
        <v>2</v>
      </c>
      <c r="AR1420" s="52"/>
      <c r="AS1420" s="52"/>
      <c r="AT1420" s="46" t="s">
        <v>1351</v>
      </c>
      <c r="AU1420" s="52" t="s">
        <v>376</v>
      </c>
      <c r="AV1420" s="52"/>
      <c r="AW1420" s="52" t="s">
        <v>30</v>
      </c>
      <c r="AX1420" s="52"/>
      <c r="AY1420" s="52"/>
      <c r="AZ1420" s="52" t="s">
        <v>30</v>
      </c>
      <c r="BA1420" s="52"/>
      <c r="BB1420" s="60"/>
      <c r="BC1420" s="52"/>
      <c r="BD1420" s="60"/>
      <c r="BE1420" s="60"/>
      <c r="BF1420" s="35">
        <v>1</v>
      </c>
      <c r="BG1420" s="52">
        <v>1</v>
      </c>
      <c r="BH1420" s="52"/>
      <c r="BI1420" s="52" t="s">
        <v>813</v>
      </c>
      <c r="BJ1420" s="52" t="s">
        <v>587</v>
      </c>
      <c r="BK1420" s="52">
        <v>2008</v>
      </c>
      <c r="BL1420" s="46" t="str">
        <f>BK1420&amp;BI1420</f>
        <v>2008Tottenham Hotspur</v>
      </c>
      <c r="BM1420" s="52" t="str">
        <f>IF(AD1420="Home",BI1420,IF(AD1420="Away",BJ1420,Q1420))</f>
        <v>Tottenham Hotspur</v>
      </c>
      <c r="BN1420" s="52"/>
      <c r="BO1420" s="52"/>
      <c r="BP1420" s="52"/>
      <c r="BQ1420" s="52"/>
      <c r="BR1420" s="52"/>
      <c r="BS1420" s="52"/>
      <c r="BT1420" s="52"/>
      <c r="BU1420" s="52"/>
      <c r="BV1420" s="52" t="s">
        <v>376</v>
      </c>
      <c r="BW1420" s="52" t="s">
        <v>376</v>
      </c>
      <c r="BX1420" s="52"/>
      <c r="BY1420" s="52"/>
      <c r="BZ1420" s="53"/>
      <c r="CA1420" s="53"/>
      <c r="CB1420" s="93" t="str">
        <f>IF(OR(C1420="",A1420="",B1420=""),"",TEXT(C1420,"0000")&amp;TEXT(A1420,"00")&amp;TEXT(B1420,"00"))</f>
        <v>20080122</v>
      </c>
    </row>
    <row r="1421" spans="1:80" s="46" customFormat="1" ht="12.95" customHeight="1" x14ac:dyDescent="0.2">
      <c r="A1421" s="46">
        <v>1</v>
      </c>
      <c r="B1421" s="46">
        <v>22</v>
      </c>
      <c r="C1421" s="46">
        <v>2008</v>
      </c>
      <c r="D1421" s="52" t="s">
        <v>658</v>
      </c>
      <c r="E1421" s="52" t="s">
        <v>272</v>
      </c>
      <c r="F1421" s="52" t="s">
        <v>1327</v>
      </c>
      <c r="G1421" s="52"/>
      <c r="H1421" s="52" t="s">
        <v>1011</v>
      </c>
      <c r="I1421" s="52">
        <v>2</v>
      </c>
      <c r="J1421" s="56">
        <v>39469</v>
      </c>
      <c r="K1421" s="52" t="s">
        <v>587</v>
      </c>
      <c r="L1421" s="56" t="s">
        <v>4</v>
      </c>
      <c r="M1421" s="52" t="s">
        <v>813</v>
      </c>
      <c r="N1421" s="57">
        <v>1</v>
      </c>
      <c r="O1421" s="57">
        <v>5</v>
      </c>
      <c r="P1421" s="52" t="s">
        <v>1222</v>
      </c>
      <c r="Q1421" s="52" t="s">
        <v>1017</v>
      </c>
      <c r="R1421" s="52" t="s">
        <v>376</v>
      </c>
      <c r="S1421" s="52"/>
      <c r="T1421" s="52"/>
      <c r="U1421" s="52"/>
      <c r="V1421" s="52"/>
      <c r="W1421" s="52"/>
      <c r="X1421" s="52"/>
      <c r="Y1421" s="52"/>
      <c r="Z1421" s="57"/>
      <c r="AA1421" s="58">
        <v>2</v>
      </c>
      <c r="AB1421" s="58">
        <v>6</v>
      </c>
      <c r="AC1421" s="59">
        <v>1</v>
      </c>
      <c r="AD1421" s="52" t="s">
        <v>1037</v>
      </c>
      <c r="AE1421" s="50">
        <f>IF(L1421="W",1,0)</f>
        <v>0</v>
      </c>
      <c r="AF1421" s="50">
        <f>IF(L1421="T",1,0)</f>
        <v>0</v>
      </c>
      <c r="AG1421" s="50">
        <f>IF(L1421="L",1,0)</f>
        <v>1</v>
      </c>
      <c r="AH1421" s="52" t="s">
        <v>1017</v>
      </c>
      <c r="AI1421" s="52" t="s">
        <v>1018</v>
      </c>
      <c r="AJ1421" s="52" t="s">
        <v>376</v>
      </c>
      <c r="AK1421" s="50" t="s">
        <v>658</v>
      </c>
      <c r="AL1421" s="52" t="s">
        <v>1017</v>
      </c>
      <c r="AM1421" s="52" t="s">
        <v>1018</v>
      </c>
      <c r="AN1421" s="52" t="s">
        <v>376</v>
      </c>
      <c r="AO1421" s="50" t="s">
        <v>658</v>
      </c>
      <c r="AP1421" s="52"/>
      <c r="AQ1421" s="52">
        <v>2</v>
      </c>
      <c r="AR1421" s="52"/>
      <c r="AS1421" s="52">
        <v>1</v>
      </c>
      <c r="AT1421" s="46" t="s">
        <v>1351</v>
      </c>
      <c r="AU1421" s="52" t="s">
        <v>376</v>
      </c>
      <c r="AV1421" s="52"/>
      <c r="AW1421" s="52" t="s">
        <v>30</v>
      </c>
      <c r="AX1421" s="52"/>
      <c r="AY1421" s="52"/>
      <c r="AZ1421" s="52" t="s">
        <v>30</v>
      </c>
      <c r="BA1421" s="52"/>
      <c r="BB1421" s="60"/>
      <c r="BC1421" s="52"/>
      <c r="BD1421" s="60"/>
      <c r="BE1421" s="60"/>
      <c r="BF1421" s="35">
        <v>1</v>
      </c>
      <c r="BG1421" s="52">
        <v>1</v>
      </c>
      <c r="BH1421" s="52"/>
      <c r="BI1421" s="52" t="s">
        <v>587</v>
      </c>
      <c r="BJ1421" s="52" t="s">
        <v>813</v>
      </c>
      <c r="BK1421" s="52">
        <v>2008</v>
      </c>
      <c r="BL1421" s="46" t="str">
        <f>BK1421&amp;BI1421</f>
        <v>2008Arsenal</v>
      </c>
      <c r="BM1421" s="52" t="str">
        <f>IF(AD1421="Home",BI1421,IF(AD1421="Away",BJ1421,Q1421))</f>
        <v>Tottenham Hotspur</v>
      </c>
      <c r="BN1421" s="52"/>
      <c r="BO1421" s="52"/>
      <c r="BP1421" s="52"/>
      <c r="BQ1421" s="52"/>
      <c r="BR1421" s="52"/>
      <c r="BS1421" s="52"/>
      <c r="BT1421" s="52"/>
      <c r="BU1421" s="52"/>
      <c r="BV1421" s="52" t="s">
        <v>376</v>
      </c>
      <c r="BW1421" s="52" t="s">
        <v>376</v>
      </c>
      <c r="BX1421" s="52"/>
      <c r="BY1421" s="52"/>
      <c r="BZ1421" s="53"/>
      <c r="CA1421" s="53"/>
      <c r="CB1421" s="93" t="str">
        <f>IF(OR(C1421="",A1421="",B1421=""),"",TEXT(C1421,"0000")&amp;TEXT(A1421,"00")&amp;TEXT(B1421,"00"))</f>
        <v>20080122</v>
      </c>
    </row>
    <row r="1422" spans="1:80" s="46" customFormat="1" ht="12.95" customHeight="1" x14ac:dyDescent="0.2">
      <c r="A1422" s="46">
        <v>1</v>
      </c>
      <c r="B1422" s="46">
        <v>23</v>
      </c>
      <c r="C1422" s="46">
        <v>2008</v>
      </c>
      <c r="D1422" s="52" t="s">
        <v>658</v>
      </c>
      <c r="E1422" s="52" t="s">
        <v>272</v>
      </c>
      <c r="F1422" s="52" t="s">
        <v>1327</v>
      </c>
      <c r="G1422" s="52"/>
      <c r="H1422" s="52" t="s">
        <v>1011</v>
      </c>
      <c r="I1422" s="52">
        <v>2</v>
      </c>
      <c r="J1422" s="56">
        <v>39470</v>
      </c>
      <c r="K1422" s="52" t="s">
        <v>804</v>
      </c>
      <c r="L1422" s="56" t="s">
        <v>4</v>
      </c>
      <c r="M1422" s="52" t="s">
        <v>816</v>
      </c>
      <c r="N1422" s="57">
        <v>0</v>
      </c>
      <c r="O1422" s="57">
        <v>1</v>
      </c>
      <c r="P1422" s="52" t="s">
        <v>1184</v>
      </c>
      <c r="Q1422" s="52" t="s">
        <v>588</v>
      </c>
      <c r="R1422" s="52" t="s">
        <v>376</v>
      </c>
      <c r="S1422" s="52"/>
      <c r="T1422" s="52"/>
      <c r="U1422" s="52"/>
      <c r="V1422" s="52"/>
      <c r="W1422" s="52"/>
      <c r="X1422" s="52"/>
      <c r="Y1422" s="52"/>
      <c r="Z1422" s="57"/>
      <c r="AA1422" s="58">
        <v>1</v>
      </c>
      <c r="AB1422" s="58">
        <v>3</v>
      </c>
      <c r="AC1422" s="59">
        <v>1</v>
      </c>
      <c r="AD1422" s="52" t="s">
        <v>1033</v>
      </c>
      <c r="AE1422" s="50">
        <f>IF(L1422="W",1,0)</f>
        <v>0</v>
      </c>
      <c r="AF1422" s="50">
        <f>IF(L1422="T",1,0)</f>
        <v>0</v>
      </c>
      <c r="AG1422" s="50">
        <f>IF(L1422="L",1,0)</f>
        <v>1</v>
      </c>
      <c r="AH1422" s="52" t="s">
        <v>588</v>
      </c>
      <c r="AI1422" s="52" t="s">
        <v>1175</v>
      </c>
      <c r="AJ1422" s="52" t="s">
        <v>376</v>
      </c>
      <c r="AK1422" s="50" t="s">
        <v>658</v>
      </c>
      <c r="AL1422" s="52" t="s">
        <v>1017</v>
      </c>
      <c r="AM1422" s="52" t="s">
        <v>1018</v>
      </c>
      <c r="AN1422" s="52" t="s">
        <v>376</v>
      </c>
      <c r="AO1422" s="50" t="s">
        <v>658</v>
      </c>
      <c r="AP1422" s="52"/>
      <c r="AQ1422" s="52">
        <v>2</v>
      </c>
      <c r="AR1422" s="52"/>
      <c r="AS1422" s="52">
        <v>1</v>
      </c>
      <c r="AU1422" s="52" t="s">
        <v>376</v>
      </c>
      <c r="AV1422" s="52"/>
      <c r="AW1422" s="52" t="s">
        <v>30</v>
      </c>
      <c r="AX1422" s="52"/>
      <c r="AY1422" s="52"/>
      <c r="AZ1422" s="52" t="s">
        <v>30</v>
      </c>
      <c r="BA1422" s="52"/>
      <c r="BB1422" s="60"/>
      <c r="BC1422" s="52"/>
      <c r="BD1422" s="60"/>
      <c r="BE1422" s="60"/>
      <c r="BF1422" s="35">
        <v>1</v>
      </c>
      <c r="BG1422" s="52">
        <v>1</v>
      </c>
      <c r="BH1422" s="52"/>
      <c r="BI1422" s="52" t="s">
        <v>804</v>
      </c>
      <c r="BJ1422" s="52" t="s">
        <v>816</v>
      </c>
      <c r="BK1422" s="52">
        <v>2008</v>
      </c>
      <c r="BL1422" s="46" t="str">
        <f>BK1422&amp;BI1422</f>
        <v>2008Everton</v>
      </c>
      <c r="BM1422" s="52" t="str">
        <f>IF(AD1422="Home",BI1422,IF(AD1422="Away",BJ1422,Q1422))</f>
        <v>Everton</v>
      </c>
      <c r="BN1422" s="52"/>
      <c r="BO1422" s="52"/>
      <c r="BP1422" s="52"/>
      <c r="BQ1422" s="52"/>
      <c r="BR1422" s="52"/>
      <c r="BS1422" s="52"/>
      <c r="BT1422" s="52"/>
      <c r="BU1422" s="52"/>
      <c r="BV1422" s="52" t="s">
        <v>376</v>
      </c>
      <c r="BW1422" s="52" t="s">
        <v>376</v>
      </c>
      <c r="BX1422" s="52"/>
      <c r="BY1422" s="52"/>
      <c r="BZ1422" s="53"/>
      <c r="CA1422" s="53"/>
      <c r="CB1422" s="93" t="str">
        <f>IF(OR(C1422="",A1422="",B1422=""),"",TEXT(C1422,"0000")&amp;TEXT(A1422,"00")&amp;TEXT(B1422,"00"))</f>
        <v>20080123</v>
      </c>
    </row>
    <row r="1423" spans="1:80" s="46" customFormat="1" ht="12.95" customHeight="1" x14ac:dyDescent="0.2">
      <c r="A1423" s="46">
        <v>1</v>
      </c>
      <c r="B1423" s="46">
        <v>23</v>
      </c>
      <c r="C1423" s="46">
        <v>2008</v>
      </c>
      <c r="D1423" s="52" t="s">
        <v>658</v>
      </c>
      <c r="E1423" s="52" t="s">
        <v>272</v>
      </c>
      <c r="F1423" s="52" t="s">
        <v>1327</v>
      </c>
      <c r="G1423" s="52"/>
      <c r="H1423" s="52" t="s">
        <v>1011</v>
      </c>
      <c r="I1423" s="52">
        <v>2</v>
      </c>
      <c r="J1423" s="56">
        <v>39470</v>
      </c>
      <c r="K1423" s="52" t="s">
        <v>816</v>
      </c>
      <c r="L1423" s="56" t="s">
        <v>3</v>
      </c>
      <c r="M1423" s="52" t="s">
        <v>804</v>
      </c>
      <c r="N1423" s="57">
        <v>1</v>
      </c>
      <c r="O1423" s="57">
        <v>0</v>
      </c>
      <c r="P1423" s="52" t="s">
        <v>1184</v>
      </c>
      <c r="Q1423" s="52" t="s">
        <v>588</v>
      </c>
      <c r="R1423" s="52" t="s">
        <v>376</v>
      </c>
      <c r="S1423" s="52"/>
      <c r="T1423" s="52"/>
      <c r="U1423" s="52"/>
      <c r="V1423" s="52"/>
      <c r="W1423" s="52"/>
      <c r="X1423" s="52"/>
      <c r="Y1423" s="52"/>
      <c r="Z1423" s="57"/>
      <c r="AA1423" s="58">
        <v>3</v>
      </c>
      <c r="AB1423" s="58">
        <v>1</v>
      </c>
      <c r="AC1423" s="59">
        <v>1</v>
      </c>
      <c r="AD1423" s="52" t="s">
        <v>1037</v>
      </c>
      <c r="AE1423" s="50">
        <f>IF(L1423="W",1,0)</f>
        <v>1</v>
      </c>
      <c r="AF1423" s="50">
        <f>IF(L1423="T",1,0)</f>
        <v>0</v>
      </c>
      <c r="AG1423" s="50">
        <f>IF(L1423="L",1,0)</f>
        <v>0</v>
      </c>
      <c r="AH1423" s="52" t="s">
        <v>1017</v>
      </c>
      <c r="AI1423" s="52" t="s">
        <v>1018</v>
      </c>
      <c r="AJ1423" s="52" t="s">
        <v>376</v>
      </c>
      <c r="AK1423" s="50" t="s">
        <v>658</v>
      </c>
      <c r="AL1423" s="52" t="s">
        <v>588</v>
      </c>
      <c r="AM1423" s="52" t="s">
        <v>1175</v>
      </c>
      <c r="AN1423" s="52" t="s">
        <v>376</v>
      </c>
      <c r="AO1423" s="50" t="s">
        <v>658</v>
      </c>
      <c r="AP1423" s="52"/>
      <c r="AQ1423" s="52">
        <v>2</v>
      </c>
      <c r="AR1423" s="52"/>
      <c r="AS1423" s="52"/>
      <c r="AU1423" s="52" t="s">
        <v>376</v>
      </c>
      <c r="AV1423" s="52"/>
      <c r="AW1423" s="52" t="s">
        <v>30</v>
      </c>
      <c r="AX1423" s="52"/>
      <c r="AY1423" s="52"/>
      <c r="AZ1423" s="52" t="s">
        <v>30</v>
      </c>
      <c r="BA1423" s="52"/>
      <c r="BB1423" s="60"/>
      <c r="BC1423" s="52"/>
      <c r="BD1423" s="60"/>
      <c r="BE1423" s="60"/>
      <c r="BF1423" s="35">
        <v>1</v>
      </c>
      <c r="BG1423" s="52">
        <v>1</v>
      </c>
      <c r="BH1423" s="52"/>
      <c r="BI1423" s="52" t="s">
        <v>816</v>
      </c>
      <c r="BJ1423" s="52" t="s">
        <v>804</v>
      </c>
      <c r="BK1423" s="52">
        <v>2008</v>
      </c>
      <c r="BL1423" s="46" t="str">
        <f>BK1423&amp;BI1423</f>
        <v>2008Chelsea</v>
      </c>
      <c r="BM1423" s="52" t="str">
        <f>IF(AD1423="Home",BI1423,IF(AD1423="Away",BJ1423,Q1423))</f>
        <v>Everton</v>
      </c>
      <c r="BN1423" s="52"/>
      <c r="BO1423" s="52"/>
      <c r="BP1423" s="52"/>
      <c r="BQ1423" s="52"/>
      <c r="BR1423" s="52"/>
      <c r="BS1423" s="52"/>
      <c r="BT1423" s="52"/>
      <c r="BU1423" s="52"/>
      <c r="BV1423" s="52" t="s">
        <v>376</v>
      </c>
      <c r="BW1423" s="52" t="s">
        <v>376</v>
      </c>
      <c r="BX1423" s="52"/>
      <c r="BY1423" s="52"/>
      <c r="BZ1423" s="53"/>
      <c r="CA1423" s="53"/>
      <c r="CB1423" s="93" t="str">
        <f>IF(OR(C1423="",A1423="",B1423=""),"",TEXT(C1423,"0000")&amp;TEXT(A1423,"00")&amp;TEXT(B1423,"00"))</f>
        <v>20080123</v>
      </c>
    </row>
    <row r="1424" spans="1:80" s="46" customFormat="1" ht="12.95" customHeight="1" x14ac:dyDescent="0.2">
      <c r="A1424" s="46">
        <v>2</v>
      </c>
      <c r="B1424" s="46">
        <v>24</v>
      </c>
      <c r="C1424" s="46">
        <v>2008</v>
      </c>
      <c r="D1424" s="52" t="s">
        <v>658</v>
      </c>
      <c r="E1424" s="52" t="s">
        <v>272</v>
      </c>
      <c r="F1424" s="52" t="s">
        <v>1327</v>
      </c>
      <c r="G1424" s="52"/>
      <c r="H1424" s="52" t="s">
        <v>40</v>
      </c>
      <c r="I1424" s="52"/>
      <c r="J1424" s="56">
        <v>39502</v>
      </c>
      <c r="K1424" s="52" t="s">
        <v>813</v>
      </c>
      <c r="L1424" s="56" t="s">
        <v>3</v>
      </c>
      <c r="M1424" s="52" t="s">
        <v>816</v>
      </c>
      <c r="N1424" s="57">
        <v>2</v>
      </c>
      <c r="O1424" s="57">
        <v>1</v>
      </c>
      <c r="P1424" s="52" t="s">
        <v>1415</v>
      </c>
      <c r="Q1424" s="52" t="s">
        <v>1017</v>
      </c>
      <c r="R1424" s="52" t="s">
        <v>376</v>
      </c>
      <c r="S1424" s="52" t="s">
        <v>1396</v>
      </c>
      <c r="T1424" s="52"/>
      <c r="U1424" s="52"/>
      <c r="V1424" s="52"/>
      <c r="W1424" s="52"/>
      <c r="X1424" s="52"/>
      <c r="Y1424" s="52"/>
      <c r="Z1424" s="57"/>
      <c r="AA1424" s="52"/>
      <c r="AB1424" s="52"/>
      <c r="AC1424" s="52"/>
      <c r="AD1424" s="52"/>
      <c r="AE1424" s="50">
        <f>IF(L1424="W",1,0)</f>
        <v>1</v>
      </c>
      <c r="AF1424" s="50">
        <f>IF(L1424="T",1,0)</f>
        <v>0</v>
      </c>
      <c r="AG1424" s="50">
        <f>IF(L1424="L",1,0)</f>
        <v>0</v>
      </c>
      <c r="AH1424" s="52" t="s">
        <v>1017</v>
      </c>
      <c r="AI1424" s="52" t="s">
        <v>1018</v>
      </c>
      <c r="AJ1424" s="52" t="s">
        <v>376</v>
      </c>
      <c r="AK1424" s="50" t="s">
        <v>658</v>
      </c>
      <c r="AL1424" s="52" t="s">
        <v>1017</v>
      </c>
      <c r="AM1424" s="52" t="s">
        <v>1018</v>
      </c>
      <c r="AN1424" s="52" t="s">
        <v>376</v>
      </c>
      <c r="AO1424" s="50" t="s">
        <v>658</v>
      </c>
      <c r="AP1424" s="52"/>
      <c r="AQ1424" s="52">
        <v>1</v>
      </c>
      <c r="AR1424" s="52"/>
      <c r="AS1424" s="52" t="s">
        <v>1393</v>
      </c>
      <c r="AU1424" s="52" t="s">
        <v>376</v>
      </c>
      <c r="AV1424" s="52"/>
      <c r="AW1424" s="52" t="s">
        <v>30</v>
      </c>
      <c r="AX1424" s="52"/>
      <c r="AY1424" s="52"/>
      <c r="AZ1424" s="57" t="s">
        <v>30</v>
      </c>
      <c r="BA1424" s="52"/>
      <c r="BB1424" s="60" t="s">
        <v>30</v>
      </c>
      <c r="BC1424" s="52" t="s">
        <v>30</v>
      </c>
      <c r="BD1424" s="60"/>
      <c r="BE1424" s="60" t="s">
        <v>1400</v>
      </c>
      <c r="BF1424" s="35">
        <v>1</v>
      </c>
      <c r="BG1424" s="52">
        <v>1</v>
      </c>
      <c r="BH1424" s="52"/>
      <c r="BI1424" s="52" t="s">
        <v>813</v>
      </c>
      <c r="BJ1424" s="52" t="s">
        <v>816</v>
      </c>
      <c r="BK1424" s="52">
        <v>2008</v>
      </c>
      <c r="BL1424" s="46" t="str">
        <f>BK1424&amp;BI1424</f>
        <v>2008Tottenham Hotspur</v>
      </c>
      <c r="BM1424" s="52" t="str">
        <f>IF(AD1424="Home",BI1424,IF(AD1424="Away",BJ1424,Q1424))</f>
        <v>London</v>
      </c>
      <c r="BN1424" s="52"/>
      <c r="BO1424" s="52"/>
      <c r="BP1424" s="52"/>
      <c r="BQ1424" s="52"/>
      <c r="BR1424" s="52"/>
      <c r="BS1424" s="52"/>
      <c r="BT1424" s="52"/>
      <c r="BU1424" s="52"/>
      <c r="BV1424" s="52" t="s">
        <v>376</v>
      </c>
      <c r="BW1424" s="52" t="s">
        <v>376</v>
      </c>
      <c r="BX1424" s="52"/>
      <c r="BY1424" s="52"/>
      <c r="BZ1424" s="53"/>
      <c r="CA1424" s="53"/>
      <c r="CB1424" s="93" t="str">
        <f>IF(OR(C1424="",A1424="",B1424=""),"",TEXT(C1424,"0000")&amp;TEXT(A1424,"00")&amp;TEXT(B1424,"00"))</f>
        <v>20080224</v>
      </c>
    </row>
    <row r="1425" spans="1:80" s="46" customFormat="1" ht="12.95" customHeight="1" x14ac:dyDescent="0.2">
      <c r="A1425" s="46">
        <v>2</v>
      </c>
      <c r="B1425" s="46">
        <v>24</v>
      </c>
      <c r="C1425" s="46">
        <v>2008</v>
      </c>
      <c r="D1425" s="52" t="s">
        <v>658</v>
      </c>
      <c r="E1425" s="52" t="s">
        <v>272</v>
      </c>
      <c r="F1425" s="52" t="s">
        <v>1327</v>
      </c>
      <c r="G1425" s="52"/>
      <c r="H1425" s="52" t="s">
        <v>40</v>
      </c>
      <c r="I1425" s="52"/>
      <c r="J1425" s="56">
        <v>39502</v>
      </c>
      <c r="K1425" s="52" t="s">
        <v>816</v>
      </c>
      <c r="L1425" s="56" t="s">
        <v>4</v>
      </c>
      <c r="M1425" s="52" t="s">
        <v>813</v>
      </c>
      <c r="N1425" s="57">
        <v>1</v>
      </c>
      <c r="O1425" s="57">
        <v>2</v>
      </c>
      <c r="P1425" s="52" t="s">
        <v>1415</v>
      </c>
      <c r="Q1425" s="52" t="s">
        <v>1017</v>
      </c>
      <c r="R1425" s="52" t="s">
        <v>376</v>
      </c>
      <c r="S1425" s="52" t="s">
        <v>1396</v>
      </c>
      <c r="T1425" s="52"/>
      <c r="U1425" s="52"/>
      <c r="V1425" s="52"/>
      <c r="W1425" s="52"/>
      <c r="X1425" s="52"/>
      <c r="Y1425" s="52"/>
      <c r="Z1425" s="57"/>
      <c r="AA1425" s="52"/>
      <c r="AB1425" s="52"/>
      <c r="AC1425" s="52"/>
      <c r="AD1425" s="52"/>
      <c r="AE1425" s="50">
        <f>IF(L1425="W",1,0)</f>
        <v>0</v>
      </c>
      <c r="AF1425" s="50">
        <f>IF(L1425="T",1,0)</f>
        <v>0</v>
      </c>
      <c r="AG1425" s="50">
        <f>IF(L1425="L",1,0)</f>
        <v>1</v>
      </c>
      <c r="AH1425" s="52" t="s">
        <v>1017</v>
      </c>
      <c r="AI1425" s="52" t="s">
        <v>1018</v>
      </c>
      <c r="AJ1425" s="52" t="s">
        <v>376</v>
      </c>
      <c r="AK1425" s="50" t="s">
        <v>658</v>
      </c>
      <c r="AL1425" s="52" t="s">
        <v>1017</v>
      </c>
      <c r="AM1425" s="52" t="s">
        <v>1018</v>
      </c>
      <c r="AN1425" s="52" t="s">
        <v>376</v>
      </c>
      <c r="AO1425" s="50" t="s">
        <v>658</v>
      </c>
      <c r="AP1425" s="52"/>
      <c r="AQ1425" s="52">
        <v>1</v>
      </c>
      <c r="AR1425" s="52"/>
      <c r="AS1425" s="52">
        <v>1</v>
      </c>
      <c r="AU1425" s="52" t="s">
        <v>376</v>
      </c>
      <c r="AV1425" s="52"/>
      <c r="AW1425" s="52" t="s">
        <v>30</v>
      </c>
      <c r="AX1425" s="52"/>
      <c r="AY1425" s="52"/>
      <c r="AZ1425" s="52" t="s">
        <v>30</v>
      </c>
      <c r="BA1425" s="52"/>
      <c r="BB1425" s="60"/>
      <c r="BC1425" s="52" t="s">
        <v>30</v>
      </c>
      <c r="BD1425" s="60"/>
      <c r="BE1425" s="60"/>
      <c r="BF1425" s="35">
        <v>1</v>
      </c>
      <c r="BG1425" s="52">
        <v>1</v>
      </c>
      <c r="BH1425" s="52"/>
      <c r="BI1425" s="52" t="s">
        <v>816</v>
      </c>
      <c r="BJ1425" s="52" t="s">
        <v>813</v>
      </c>
      <c r="BK1425" s="52">
        <v>2008</v>
      </c>
      <c r="BL1425" s="46" t="str">
        <f>BK1425&amp;BI1425</f>
        <v>2008Chelsea</v>
      </c>
      <c r="BM1425" s="52" t="str">
        <f>IF(AD1425="Home",BI1425,IF(AD1425="Away",BJ1425,Q1425))</f>
        <v>London</v>
      </c>
      <c r="BN1425" s="52"/>
      <c r="BO1425" s="52"/>
      <c r="BP1425" s="52"/>
      <c r="BQ1425" s="52"/>
      <c r="BR1425" s="52"/>
      <c r="BS1425" s="52"/>
      <c r="BT1425" s="52"/>
      <c r="BU1425" s="52"/>
      <c r="BV1425" s="52" t="s">
        <v>376</v>
      </c>
      <c r="BW1425" s="52" t="s">
        <v>376</v>
      </c>
      <c r="BX1425" s="52"/>
      <c r="BY1425" s="52"/>
      <c r="BZ1425" s="53"/>
      <c r="CA1425" s="53"/>
      <c r="CB1425" s="93" t="str">
        <f>IF(OR(C1425="",A1425="",B1425=""),"",TEXT(C1425,"0000")&amp;TEXT(A1425,"00")&amp;TEXT(B1425,"00"))</f>
        <v>20080224</v>
      </c>
    </row>
    <row r="1426" spans="1:80" s="46" customFormat="1" ht="12.95" customHeight="1" x14ac:dyDescent="0.2">
      <c r="A1426" s="46">
        <v>4</v>
      </c>
      <c r="B1426" s="46">
        <v>5</v>
      </c>
      <c r="C1426" s="46">
        <v>2008</v>
      </c>
      <c r="D1426" s="52" t="s">
        <v>658</v>
      </c>
      <c r="E1426" s="52" t="s">
        <v>272</v>
      </c>
      <c r="F1426" s="52" t="s">
        <v>1010</v>
      </c>
      <c r="G1426" s="52"/>
      <c r="H1426" s="52" t="s">
        <v>1011</v>
      </c>
      <c r="I1426" s="52"/>
      <c r="J1426" s="56">
        <v>39543</v>
      </c>
      <c r="K1426" s="52" t="s">
        <v>1280</v>
      </c>
      <c r="L1426" s="56" t="s">
        <v>3</v>
      </c>
      <c r="M1426" s="52" t="s">
        <v>1124</v>
      </c>
      <c r="N1426" s="57">
        <v>1</v>
      </c>
      <c r="O1426" s="57">
        <v>0</v>
      </c>
      <c r="P1426" s="52" t="s">
        <v>1415</v>
      </c>
      <c r="Q1426" s="52" t="s">
        <v>1017</v>
      </c>
      <c r="R1426" s="52" t="s">
        <v>376</v>
      </c>
      <c r="S1426" s="52"/>
      <c r="T1426" s="52"/>
      <c r="U1426" s="52"/>
      <c r="V1426" s="52"/>
      <c r="W1426" s="52"/>
      <c r="X1426" s="52"/>
      <c r="Y1426" s="52"/>
      <c r="Z1426" s="57"/>
      <c r="AA1426" s="52"/>
      <c r="AB1426" s="52"/>
      <c r="AC1426" s="52"/>
      <c r="AD1426" s="52"/>
      <c r="AE1426" s="50">
        <f>IF(L1426="W",1,0)</f>
        <v>1</v>
      </c>
      <c r="AF1426" s="50">
        <f>IF(L1426="T",1,0)</f>
        <v>0</v>
      </c>
      <c r="AG1426" s="50">
        <f>IF(L1426="L",1,0)</f>
        <v>0</v>
      </c>
      <c r="AH1426" s="52" t="s">
        <v>1280</v>
      </c>
      <c r="AI1426" s="52" t="s">
        <v>1199</v>
      </c>
      <c r="AJ1426" s="52" t="s">
        <v>376</v>
      </c>
      <c r="AK1426" s="50" t="s">
        <v>658</v>
      </c>
      <c r="AL1426" s="52" t="s">
        <v>1111</v>
      </c>
      <c r="AM1426" s="52" t="s">
        <v>1126</v>
      </c>
      <c r="AN1426" s="52" t="s">
        <v>376</v>
      </c>
      <c r="AO1426" s="50" t="s">
        <v>658</v>
      </c>
      <c r="AP1426" s="52"/>
      <c r="AQ1426" s="52">
        <v>2</v>
      </c>
      <c r="AR1426" s="52"/>
      <c r="AS1426" s="52"/>
      <c r="AU1426" s="52" t="s">
        <v>376</v>
      </c>
      <c r="AV1426" s="52"/>
      <c r="AW1426" s="52" t="s">
        <v>30</v>
      </c>
      <c r="AX1426" s="52"/>
      <c r="AY1426" s="52" t="s">
        <v>30</v>
      </c>
      <c r="AZ1426" s="52"/>
      <c r="BA1426" s="52"/>
      <c r="BB1426" s="60"/>
      <c r="BC1426" s="52"/>
      <c r="BD1426" s="60"/>
      <c r="BE1426" s="60"/>
      <c r="BF1426" s="35">
        <v>1</v>
      </c>
      <c r="BG1426" s="52">
        <v>1</v>
      </c>
      <c r="BH1426" s="52"/>
      <c r="BI1426" s="52" t="s">
        <v>1280</v>
      </c>
      <c r="BJ1426" s="52" t="s">
        <v>1124</v>
      </c>
      <c r="BK1426" s="52">
        <v>2008</v>
      </c>
      <c r="BL1426" s="46" t="str">
        <f>BK1426&amp;BI1426</f>
        <v>2008Portsmouth</v>
      </c>
      <c r="BM1426" s="52" t="str">
        <f>IF(AD1426="Home",BI1426,IF(AD1426="Away",BJ1426,Q1426))</f>
        <v>London</v>
      </c>
      <c r="BN1426" s="52"/>
      <c r="BO1426" s="52"/>
      <c r="BP1426" s="52"/>
      <c r="BQ1426" s="52"/>
      <c r="BR1426" s="52"/>
      <c r="BS1426" s="52"/>
      <c r="BT1426" s="52"/>
      <c r="BU1426" s="52"/>
      <c r="BV1426" s="52" t="s">
        <v>376</v>
      </c>
      <c r="BW1426" s="52" t="s">
        <v>376</v>
      </c>
      <c r="BX1426" s="52"/>
      <c r="BY1426" s="52"/>
      <c r="BZ1426" s="53"/>
      <c r="CA1426" s="53"/>
      <c r="CB1426" s="93" t="str">
        <f>IF(OR(C1426="",A1426="",B1426=""),"",TEXT(C1426,"0000")&amp;TEXT(A1426,"00")&amp;TEXT(B1426,"00"))</f>
        <v>20080405</v>
      </c>
    </row>
    <row r="1427" spans="1:80" s="46" customFormat="1" ht="12.95" customHeight="1" x14ac:dyDescent="0.2">
      <c r="A1427" s="46">
        <v>4</v>
      </c>
      <c r="B1427" s="46">
        <v>5</v>
      </c>
      <c r="C1427" s="46">
        <v>2008</v>
      </c>
      <c r="D1427" s="46" t="s">
        <v>658</v>
      </c>
      <c r="E1427" s="46" t="s">
        <v>272</v>
      </c>
      <c r="F1427" s="47" t="s">
        <v>1010</v>
      </c>
      <c r="H1427" s="47" t="s">
        <v>1011</v>
      </c>
      <c r="I1427" s="47"/>
      <c r="J1427" s="64">
        <v>39543</v>
      </c>
      <c r="K1427" s="46" t="s">
        <v>1124</v>
      </c>
      <c r="L1427" s="46" t="s">
        <v>4</v>
      </c>
      <c r="M1427" s="46" t="s">
        <v>1280</v>
      </c>
      <c r="N1427" s="49">
        <v>0</v>
      </c>
      <c r="O1427" s="49">
        <v>1</v>
      </c>
      <c r="P1427" s="35" t="s">
        <v>1415</v>
      </c>
      <c r="Q1427" s="47" t="s">
        <v>1017</v>
      </c>
      <c r="R1427" s="47" t="s">
        <v>376</v>
      </c>
      <c r="AE1427" s="50">
        <f>IF(L1427="W",1,0)</f>
        <v>0</v>
      </c>
      <c r="AF1427" s="50">
        <f>IF(L1427="T",1,0)</f>
        <v>0</v>
      </c>
      <c r="AG1427" s="50">
        <f>IF(L1427="L",1,0)</f>
        <v>1</v>
      </c>
      <c r="AH1427" s="46" t="s">
        <v>1111</v>
      </c>
      <c r="AI1427" s="46" t="s">
        <v>1126</v>
      </c>
      <c r="AJ1427" s="46" t="s">
        <v>376</v>
      </c>
      <c r="AK1427" s="46" t="s">
        <v>658</v>
      </c>
      <c r="AL1427" s="46" t="s">
        <v>1280</v>
      </c>
      <c r="AM1427" s="46" t="s">
        <v>1199</v>
      </c>
      <c r="AN1427" s="46" t="s">
        <v>376</v>
      </c>
      <c r="AO1427" s="46" t="s">
        <v>658</v>
      </c>
      <c r="AQ1427" s="46">
        <v>2</v>
      </c>
      <c r="AU1427" s="46" t="s">
        <v>376</v>
      </c>
      <c r="AW1427" s="46" t="s">
        <v>30</v>
      </c>
      <c r="AY1427" s="46" t="s">
        <v>30</v>
      </c>
      <c r="BA1427" s="47"/>
      <c r="BB1427" s="51"/>
      <c r="BF1427" s="46">
        <v>1</v>
      </c>
      <c r="BG1427" s="46">
        <v>2</v>
      </c>
      <c r="BH1427" s="46">
        <v>1</v>
      </c>
      <c r="BI1427" s="46" t="s">
        <v>1124</v>
      </c>
      <c r="BJ1427" s="46" t="s">
        <v>1280</v>
      </c>
      <c r="BK1427" s="46">
        <v>2008</v>
      </c>
      <c r="BL1427" s="46" t="str">
        <f>BK1427&amp;BI1427</f>
        <v>2008West Bromwich Albion</v>
      </c>
      <c r="BM1427" s="52" t="str">
        <f>IF(AD1427="Home",BI1427,IF(AD1427="Away",BJ1427,Q1427))</f>
        <v>London</v>
      </c>
      <c r="BV1427" s="46" t="s">
        <v>376</v>
      </c>
      <c r="BW1427" s="46" t="s">
        <v>376</v>
      </c>
      <c r="BY1427" s="52"/>
      <c r="BZ1427" s="53"/>
      <c r="CA1427" s="53"/>
      <c r="CB1427" s="93" t="str">
        <f>IF(OR(C1427="",A1427="",B1427=""),"",TEXT(C1427,"0000")&amp;TEXT(A1427,"00")&amp;TEXT(B1427,"00"))</f>
        <v>20080405</v>
      </c>
    </row>
    <row r="1428" spans="1:80" s="46" customFormat="1" ht="12.95" customHeight="1" x14ac:dyDescent="0.2">
      <c r="A1428" s="46">
        <v>4</v>
      </c>
      <c r="B1428" s="46">
        <v>6</v>
      </c>
      <c r="C1428" s="46">
        <v>2008</v>
      </c>
      <c r="D1428" s="46" t="s">
        <v>658</v>
      </c>
      <c r="E1428" s="46" t="s">
        <v>272</v>
      </c>
      <c r="F1428" s="47" t="s">
        <v>1010</v>
      </c>
      <c r="H1428" s="47" t="s">
        <v>1011</v>
      </c>
      <c r="I1428" s="47"/>
      <c r="J1428" s="64">
        <v>39544</v>
      </c>
      <c r="K1428" s="46" t="s">
        <v>1262</v>
      </c>
      <c r="L1428" s="46" t="s">
        <v>3</v>
      </c>
      <c r="M1428" s="46" t="s">
        <v>1239</v>
      </c>
      <c r="N1428" s="49">
        <v>1</v>
      </c>
      <c r="O1428" s="49">
        <v>0</v>
      </c>
      <c r="P1428" s="35" t="s">
        <v>1415</v>
      </c>
      <c r="Q1428" s="47" t="s">
        <v>1017</v>
      </c>
      <c r="R1428" s="47" t="s">
        <v>376</v>
      </c>
      <c r="AE1428" s="50">
        <f>IF(L1428="W",1,0)</f>
        <v>1</v>
      </c>
      <c r="AF1428" s="50">
        <f>IF(L1428="T",1,0)</f>
        <v>0</v>
      </c>
      <c r="AG1428" s="50">
        <f>IF(L1428="L",1,0)</f>
        <v>0</v>
      </c>
      <c r="AH1428" s="46" t="s">
        <v>1263</v>
      </c>
      <c r="AI1428" s="46" t="s">
        <v>1264</v>
      </c>
      <c r="AJ1428" s="46" t="s">
        <v>376</v>
      </c>
      <c r="AK1428" s="46" t="s">
        <v>658</v>
      </c>
      <c r="AL1428" s="46" t="s">
        <v>1239</v>
      </c>
      <c r="AM1428" s="46" t="s">
        <v>1242</v>
      </c>
      <c r="AN1428" s="46" t="s">
        <v>376</v>
      </c>
      <c r="AO1428" s="46" t="s">
        <v>658</v>
      </c>
      <c r="AQ1428" s="46">
        <v>2</v>
      </c>
      <c r="AU1428" s="46" t="s">
        <v>376</v>
      </c>
      <c r="AW1428" s="46" t="s">
        <v>30</v>
      </c>
      <c r="AY1428" s="46" t="s">
        <v>30</v>
      </c>
      <c r="BA1428" s="47"/>
      <c r="BB1428" s="51"/>
      <c r="BF1428" s="46">
        <v>1</v>
      </c>
      <c r="BG1428" s="46">
        <v>2</v>
      </c>
      <c r="BH1428" s="46">
        <v>2</v>
      </c>
      <c r="BI1428" s="46" t="s">
        <v>1262</v>
      </c>
      <c r="BJ1428" s="46" t="s">
        <v>1239</v>
      </c>
      <c r="BK1428" s="46">
        <v>2008</v>
      </c>
      <c r="BL1428" s="46" t="str">
        <f>BK1428&amp;BI1428</f>
        <v>2008Cardiff City</v>
      </c>
      <c r="BM1428" s="52" t="str">
        <f>IF(AD1428="Home",BI1428,IF(AD1428="Away",BJ1428,Q1428))</f>
        <v>London</v>
      </c>
      <c r="BV1428" s="46" t="s">
        <v>376</v>
      </c>
      <c r="BW1428" s="46" t="s">
        <v>376</v>
      </c>
      <c r="BY1428" s="52"/>
      <c r="BZ1428" s="53"/>
      <c r="CA1428" s="53"/>
      <c r="CB1428" s="93" t="str">
        <f>IF(OR(C1428="",A1428="",B1428=""),"",TEXT(C1428,"0000")&amp;TEXT(A1428,"00")&amp;TEXT(B1428,"00"))</f>
        <v>20080406</v>
      </c>
    </row>
    <row r="1429" spans="1:80" s="46" customFormat="1" ht="12.95" customHeight="1" x14ac:dyDescent="0.2">
      <c r="A1429" s="46">
        <v>4</v>
      </c>
      <c r="B1429" s="46">
        <v>6</v>
      </c>
      <c r="C1429" s="46">
        <v>2008</v>
      </c>
      <c r="D1429" s="46" t="s">
        <v>658</v>
      </c>
      <c r="E1429" s="46" t="s">
        <v>272</v>
      </c>
      <c r="F1429" s="47" t="s">
        <v>1010</v>
      </c>
      <c r="H1429" s="47" t="s">
        <v>1011</v>
      </c>
      <c r="I1429" s="47"/>
      <c r="J1429" s="64">
        <v>39544</v>
      </c>
      <c r="K1429" s="46" t="s">
        <v>1239</v>
      </c>
      <c r="L1429" s="46" t="s">
        <v>4</v>
      </c>
      <c r="M1429" s="46" t="s">
        <v>1262</v>
      </c>
      <c r="N1429" s="49">
        <v>0</v>
      </c>
      <c r="O1429" s="49">
        <v>1</v>
      </c>
      <c r="P1429" s="35" t="s">
        <v>1415</v>
      </c>
      <c r="Q1429" s="47" t="s">
        <v>1017</v>
      </c>
      <c r="R1429" s="47" t="s">
        <v>376</v>
      </c>
      <c r="AE1429" s="50">
        <f>IF(L1429="W",1,0)</f>
        <v>0</v>
      </c>
      <c r="AF1429" s="50">
        <f>IF(L1429="T",1,0)</f>
        <v>0</v>
      </c>
      <c r="AG1429" s="50">
        <f>IF(L1429="L",1,0)</f>
        <v>1</v>
      </c>
      <c r="AH1429" s="46" t="s">
        <v>1239</v>
      </c>
      <c r="AI1429" s="46" t="s">
        <v>1242</v>
      </c>
      <c r="AJ1429" s="46" t="s">
        <v>376</v>
      </c>
      <c r="AK1429" s="46" t="s">
        <v>658</v>
      </c>
      <c r="AL1429" s="46" t="s">
        <v>1263</v>
      </c>
      <c r="AM1429" s="46" t="s">
        <v>1264</v>
      </c>
      <c r="AN1429" s="46" t="s">
        <v>376</v>
      </c>
      <c r="AO1429" s="46" t="s">
        <v>658</v>
      </c>
      <c r="AQ1429" s="46">
        <v>2</v>
      </c>
      <c r="AU1429" s="46" t="s">
        <v>376</v>
      </c>
      <c r="AW1429" s="46" t="s">
        <v>30</v>
      </c>
      <c r="AY1429" s="46" t="s">
        <v>30</v>
      </c>
      <c r="BA1429" s="47"/>
      <c r="BB1429" s="51"/>
      <c r="BF1429" s="46">
        <v>1</v>
      </c>
      <c r="BG1429" s="46">
        <v>2</v>
      </c>
      <c r="BH1429" s="46">
        <v>2</v>
      </c>
      <c r="BI1429" s="46" t="s">
        <v>1239</v>
      </c>
      <c r="BJ1429" s="46" t="s">
        <v>1262</v>
      </c>
      <c r="BK1429" s="46">
        <v>2008</v>
      </c>
      <c r="BL1429" s="46" t="str">
        <f>BK1429&amp;BI1429</f>
        <v>2008Barnsley</v>
      </c>
      <c r="BM1429" s="52" t="str">
        <f>IF(AD1429="Home",BI1429,IF(AD1429="Away",BJ1429,Q1429))</f>
        <v>London</v>
      </c>
      <c r="BV1429" s="46" t="s">
        <v>376</v>
      </c>
      <c r="BW1429" s="46" t="s">
        <v>376</v>
      </c>
      <c r="BY1429" s="52"/>
      <c r="BZ1429" s="53"/>
      <c r="CA1429" s="53"/>
      <c r="CB1429" s="93" t="str">
        <f>IF(OR(C1429="",A1429="",B1429=""),"",TEXT(C1429,"0000")&amp;TEXT(A1429,"00")&amp;TEXT(B1429,"00"))</f>
        <v>20080406</v>
      </c>
    </row>
    <row r="1430" spans="1:80" s="46" customFormat="1" ht="12.95" customHeight="1" x14ac:dyDescent="0.2">
      <c r="A1430" s="46">
        <v>5</v>
      </c>
      <c r="B1430" s="46">
        <v>17</v>
      </c>
      <c r="C1430" s="46">
        <v>2008</v>
      </c>
      <c r="D1430" s="52" t="s">
        <v>658</v>
      </c>
      <c r="E1430" s="52" t="s">
        <v>272</v>
      </c>
      <c r="F1430" s="52" t="s">
        <v>1010</v>
      </c>
      <c r="G1430" s="52"/>
      <c r="H1430" s="52" t="s">
        <v>40</v>
      </c>
      <c r="I1430" s="52"/>
      <c r="J1430" s="56">
        <v>39585</v>
      </c>
      <c r="K1430" s="52" t="s">
        <v>1280</v>
      </c>
      <c r="L1430" s="56" t="s">
        <v>3</v>
      </c>
      <c r="M1430" s="52" t="s">
        <v>1262</v>
      </c>
      <c r="N1430" s="57">
        <v>1</v>
      </c>
      <c r="O1430" s="57">
        <v>0</v>
      </c>
      <c r="P1430" s="52" t="s">
        <v>1415</v>
      </c>
      <c r="Q1430" s="52" t="s">
        <v>1017</v>
      </c>
      <c r="R1430" s="52" t="s">
        <v>376</v>
      </c>
      <c r="S1430" s="52"/>
      <c r="T1430" s="52"/>
      <c r="U1430" s="52"/>
      <c r="V1430" s="52"/>
      <c r="W1430" s="52"/>
      <c r="X1430" s="52"/>
      <c r="Y1430" s="52"/>
      <c r="Z1430" s="57"/>
      <c r="AA1430" s="52"/>
      <c r="AB1430" s="52"/>
      <c r="AC1430" s="52"/>
      <c r="AD1430" s="52"/>
      <c r="AE1430" s="50">
        <f>IF(L1430="W",1,0)</f>
        <v>1</v>
      </c>
      <c r="AF1430" s="50">
        <f>IF(L1430="T",1,0)</f>
        <v>0</v>
      </c>
      <c r="AG1430" s="50">
        <f>IF(L1430="L",1,0)</f>
        <v>0</v>
      </c>
      <c r="AH1430" s="52" t="s">
        <v>1280</v>
      </c>
      <c r="AI1430" s="52" t="s">
        <v>1199</v>
      </c>
      <c r="AJ1430" s="52" t="s">
        <v>376</v>
      </c>
      <c r="AK1430" s="50" t="s">
        <v>658</v>
      </c>
      <c r="AL1430" s="52" t="s">
        <v>1263</v>
      </c>
      <c r="AM1430" s="52" t="s">
        <v>1264</v>
      </c>
      <c r="AN1430" s="52" t="s">
        <v>376</v>
      </c>
      <c r="AO1430" s="50" t="s">
        <v>658</v>
      </c>
      <c r="AP1430" s="52"/>
      <c r="AQ1430" s="52">
        <v>1</v>
      </c>
      <c r="AR1430" s="52"/>
      <c r="AS1430" s="52" t="s">
        <v>1393</v>
      </c>
      <c r="AU1430" s="52" t="s">
        <v>376</v>
      </c>
      <c r="AV1430" s="52"/>
      <c r="AW1430" s="52" t="s">
        <v>30</v>
      </c>
      <c r="AX1430" s="52"/>
      <c r="AY1430" s="57" t="s">
        <v>30</v>
      </c>
      <c r="AZ1430" s="52"/>
      <c r="BA1430" s="52"/>
      <c r="BB1430" s="60" t="s">
        <v>30</v>
      </c>
      <c r="BC1430" s="52" t="s">
        <v>30</v>
      </c>
      <c r="BD1430" s="60"/>
      <c r="BE1430" s="60" t="s">
        <v>1400</v>
      </c>
      <c r="BF1430" s="35">
        <v>1</v>
      </c>
      <c r="BG1430" s="52">
        <v>1</v>
      </c>
      <c r="BH1430" s="52">
        <v>2</v>
      </c>
      <c r="BI1430" s="52" t="s">
        <v>1280</v>
      </c>
      <c r="BJ1430" s="52" t="s">
        <v>1262</v>
      </c>
      <c r="BK1430" s="52">
        <v>2008</v>
      </c>
      <c r="BL1430" s="46" t="str">
        <f>BK1430&amp;BI1430</f>
        <v>2008Portsmouth</v>
      </c>
      <c r="BM1430" s="52" t="str">
        <f>IF(AD1430="Home",BI1430,IF(AD1430="Away",BJ1430,Q1430))</f>
        <v>London</v>
      </c>
      <c r="BN1430" s="52"/>
      <c r="BO1430" s="52"/>
      <c r="BP1430" s="52"/>
      <c r="BQ1430" s="52"/>
      <c r="BR1430" s="52"/>
      <c r="BS1430" s="52"/>
      <c r="BT1430" s="52"/>
      <c r="BU1430" s="52"/>
      <c r="BV1430" s="52" t="s">
        <v>376</v>
      </c>
      <c r="BW1430" s="46" t="s">
        <v>376</v>
      </c>
      <c r="BX1430" s="52"/>
      <c r="BY1430" s="52"/>
      <c r="BZ1430" s="53"/>
      <c r="CA1430" s="53"/>
      <c r="CB1430" s="93" t="str">
        <f>IF(OR(C1430="",A1430="",B1430=""),"",TEXT(C1430,"0000")&amp;TEXT(A1430,"00")&amp;TEXT(B1430,"00"))</f>
        <v>20080517</v>
      </c>
    </row>
    <row r="1431" spans="1:80" s="46" customFormat="1" ht="12.95" customHeight="1" x14ac:dyDescent="0.2">
      <c r="A1431" s="46">
        <v>5</v>
      </c>
      <c r="B1431" s="46">
        <v>17</v>
      </c>
      <c r="C1431" s="46">
        <v>2008</v>
      </c>
      <c r="D1431" s="46" t="s">
        <v>658</v>
      </c>
      <c r="E1431" s="46" t="s">
        <v>272</v>
      </c>
      <c r="F1431" s="47" t="s">
        <v>1010</v>
      </c>
      <c r="H1431" s="47" t="s">
        <v>1025</v>
      </c>
      <c r="I1431" s="47"/>
      <c r="J1431" s="64">
        <v>39585</v>
      </c>
      <c r="K1431" s="46" t="s">
        <v>1262</v>
      </c>
      <c r="L1431" s="46" t="s">
        <v>4</v>
      </c>
      <c r="M1431" s="46" t="s">
        <v>1280</v>
      </c>
      <c r="N1431" s="49">
        <v>0</v>
      </c>
      <c r="O1431" s="49">
        <v>1</v>
      </c>
      <c r="P1431" s="35" t="s">
        <v>1415</v>
      </c>
      <c r="Q1431" s="47" t="s">
        <v>1017</v>
      </c>
      <c r="R1431" s="47" t="s">
        <v>376</v>
      </c>
      <c r="AE1431" s="50">
        <f>IF(L1431="W",1,0)</f>
        <v>0</v>
      </c>
      <c r="AF1431" s="50">
        <f>IF(L1431="T",1,0)</f>
        <v>0</v>
      </c>
      <c r="AG1431" s="50">
        <f>IF(L1431="L",1,0)</f>
        <v>1</v>
      </c>
      <c r="AH1431" s="46" t="s">
        <v>1263</v>
      </c>
      <c r="AI1431" s="46" t="s">
        <v>1264</v>
      </c>
      <c r="AJ1431" s="46" t="s">
        <v>376</v>
      </c>
      <c r="AK1431" s="46" t="s">
        <v>658</v>
      </c>
      <c r="AL1431" s="46" t="s">
        <v>1280</v>
      </c>
      <c r="AM1431" s="46" t="s">
        <v>1199</v>
      </c>
      <c r="AN1431" s="46" t="s">
        <v>376</v>
      </c>
      <c r="AO1431" s="46" t="s">
        <v>658</v>
      </c>
      <c r="AQ1431" s="46">
        <v>1</v>
      </c>
      <c r="AU1431" s="46" t="s">
        <v>376</v>
      </c>
      <c r="AW1431" s="46" t="s">
        <v>30</v>
      </c>
      <c r="AY1431" s="46" t="s">
        <v>30</v>
      </c>
      <c r="BA1431" s="47"/>
      <c r="BB1431" s="51"/>
      <c r="BC1431" s="46" t="s">
        <v>30</v>
      </c>
      <c r="BF1431" s="46">
        <v>1</v>
      </c>
      <c r="BG1431" s="46">
        <v>2</v>
      </c>
      <c r="BH1431" s="46">
        <v>1</v>
      </c>
      <c r="BI1431" s="46" t="s">
        <v>1262</v>
      </c>
      <c r="BJ1431" s="46" t="s">
        <v>1280</v>
      </c>
      <c r="BK1431" s="46">
        <v>2008</v>
      </c>
      <c r="BL1431" s="46" t="str">
        <f>BK1431&amp;BI1431</f>
        <v>2008Cardiff City</v>
      </c>
      <c r="BM1431" s="52" t="str">
        <f>IF(AD1431="Home",BI1431,IF(AD1431="Away",BJ1431,Q1431))</f>
        <v>London</v>
      </c>
      <c r="BV1431" s="46" t="s">
        <v>376</v>
      </c>
      <c r="BW1431" s="46" t="s">
        <v>376</v>
      </c>
      <c r="BY1431" s="52"/>
      <c r="BZ1431" s="53"/>
      <c r="CA1431" s="53"/>
      <c r="CB1431" s="93" t="str">
        <f>IF(OR(C1431="",A1431="",B1431=""),"",TEXT(C1431,"0000")&amp;TEXT(A1431,"00")&amp;TEXT(B1431,"00"))</f>
        <v>20080517</v>
      </c>
    </row>
    <row r="1432" spans="1:80" s="46" customFormat="1" ht="12.95" customHeight="1" x14ac:dyDescent="0.2">
      <c r="A1432" s="46">
        <v>1</v>
      </c>
      <c r="B1432" s="46">
        <v>6</v>
      </c>
      <c r="C1432" s="46">
        <v>2009</v>
      </c>
      <c r="D1432" s="52" t="s">
        <v>658</v>
      </c>
      <c r="E1432" s="52" t="s">
        <v>264</v>
      </c>
      <c r="F1432" s="52" t="s">
        <v>1327</v>
      </c>
      <c r="G1432" s="52"/>
      <c r="H1432" s="52" t="s">
        <v>1011</v>
      </c>
      <c r="I1432" s="52">
        <v>1</v>
      </c>
      <c r="J1432" s="56">
        <v>39819</v>
      </c>
      <c r="K1432" s="52" t="s">
        <v>813</v>
      </c>
      <c r="L1432" s="56" t="s">
        <v>3</v>
      </c>
      <c r="M1432" s="52" t="s">
        <v>1255</v>
      </c>
      <c r="N1432" s="57">
        <v>4</v>
      </c>
      <c r="O1432" s="57">
        <v>1</v>
      </c>
      <c r="P1432" s="52" t="s">
        <v>1222</v>
      </c>
      <c r="Q1432" s="52" t="s">
        <v>1017</v>
      </c>
      <c r="R1432" s="52" t="s">
        <v>376</v>
      </c>
      <c r="S1432" s="52"/>
      <c r="T1432" s="52"/>
      <c r="U1432" s="52"/>
      <c r="V1432" s="52"/>
      <c r="W1432" s="52"/>
      <c r="X1432" s="52"/>
      <c r="Y1432" s="52"/>
      <c r="Z1432" s="57"/>
      <c r="AA1432" s="58">
        <v>4</v>
      </c>
      <c r="AB1432" s="58">
        <v>1</v>
      </c>
      <c r="AC1432" s="59">
        <v>0</v>
      </c>
      <c r="AD1432" s="52" t="s">
        <v>1033</v>
      </c>
      <c r="AE1432" s="50">
        <f>IF(L1432="W",1,0)</f>
        <v>1</v>
      </c>
      <c r="AF1432" s="50">
        <f>IF(L1432="T",1,0)</f>
        <v>0</v>
      </c>
      <c r="AG1432" s="50">
        <f>IF(L1432="L",1,0)</f>
        <v>0</v>
      </c>
      <c r="AH1432" s="52" t="s">
        <v>1017</v>
      </c>
      <c r="AI1432" s="52" t="s">
        <v>1018</v>
      </c>
      <c r="AJ1432" s="52" t="s">
        <v>376</v>
      </c>
      <c r="AK1432" s="50" t="s">
        <v>658</v>
      </c>
      <c r="AL1432" s="52" t="s">
        <v>1255</v>
      </c>
      <c r="AM1432" s="52" t="s">
        <v>1086</v>
      </c>
      <c r="AN1432" s="52" t="s">
        <v>376</v>
      </c>
      <c r="AO1432" s="50" t="s">
        <v>658</v>
      </c>
      <c r="AP1432" s="52"/>
      <c r="AQ1432" s="52">
        <v>2</v>
      </c>
      <c r="AR1432" s="52"/>
      <c r="AS1432" s="52"/>
      <c r="AU1432" s="52" t="s">
        <v>376</v>
      </c>
      <c r="AV1432" s="52"/>
      <c r="AW1432" s="52" t="s">
        <v>30</v>
      </c>
      <c r="AX1432" s="52"/>
      <c r="AY1432" s="52"/>
      <c r="AZ1432" s="52" t="s">
        <v>30</v>
      </c>
      <c r="BA1432" s="52"/>
      <c r="BB1432" s="60"/>
      <c r="BC1432" s="52"/>
      <c r="BD1432" s="60"/>
      <c r="BE1432" s="60"/>
      <c r="BF1432" s="35">
        <v>1</v>
      </c>
      <c r="BG1432" s="52">
        <v>1</v>
      </c>
      <c r="BH1432" s="52"/>
      <c r="BI1432" s="52" t="s">
        <v>813</v>
      </c>
      <c r="BJ1432" s="52" t="s">
        <v>1255</v>
      </c>
      <c r="BK1432" s="52">
        <v>2009</v>
      </c>
      <c r="BL1432" s="46" t="str">
        <f>BK1432&amp;BI1432</f>
        <v>2009Tottenham Hotspur</v>
      </c>
      <c r="BM1432" s="52" t="str">
        <f>IF(AD1432="Home",BI1432,IF(AD1432="Away",BJ1432,Q1432))</f>
        <v>Tottenham Hotspur</v>
      </c>
      <c r="BN1432" s="52"/>
      <c r="BO1432" s="52"/>
      <c r="BP1432" s="52"/>
      <c r="BQ1432" s="52"/>
      <c r="BR1432" s="52"/>
      <c r="BS1432" s="52"/>
      <c r="BT1432" s="52"/>
      <c r="BU1432" s="52"/>
      <c r="BV1432" s="52" t="s">
        <v>376</v>
      </c>
      <c r="BW1432" s="52" t="s">
        <v>376</v>
      </c>
      <c r="BX1432" s="52"/>
      <c r="BY1432" s="52"/>
      <c r="BZ1432" s="53"/>
      <c r="CA1432" s="53"/>
      <c r="CB1432" s="93" t="str">
        <f>IF(OR(C1432="",A1432="",B1432=""),"",TEXT(C1432,"0000")&amp;TEXT(A1432,"00")&amp;TEXT(B1432,"00"))</f>
        <v>20090106</v>
      </c>
    </row>
    <row r="1433" spans="1:80" s="46" customFormat="1" ht="12.95" customHeight="1" x14ac:dyDescent="0.2">
      <c r="A1433" s="46">
        <v>1</v>
      </c>
      <c r="B1433" s="46">
        <v>6</v>
      </c>
      <c r="C1433" s="46">
        <v>2009</v>
      </c>
      <c r="D1433" s="46" t="s">
        <v>658</v>
      </c>
      <c r="E1433" s="46" t="s">
        <v>264</v>
      </c>
      <c r="F1433" s="54" t="s">
        <v>1327</v>
      </c>
      <c r="H1433" s="54" t="s">
        <v>1011</v>
      </c>
      <c r="I1433" s="54">
        <v>1</v>
      </c>
      <c r="J1433" s="55">
        <v>39819</v>
      </c>
      <c r="K1433" s="46" t="s">
        <v>1255</v>
      </c>
      <c r="L1433" s="46" t="s">
        <v>4</v>
      </c>
      <c r="M1433" s="46" t="s">
        <v>813</v>
      </c>
      <c r="N1433" s="49">
        <v>1</v>
      </c>
      <c r="O1433" s="49">
        <v>4</v>
      </c>
      <c r="P1433" s="54" t="s">
        <v>1222</v>
      </c>
      <c r="Q1433" s="54" t="s">
        <v>1017</v>
      </c>
      <c r="R1433" s="54" t="s">
        <v>376</v>
      </c>
      <c r="AD1433" s="46" t="s">
        <v>1037</v>
      </c>
      <c r="AE1433" s="50">
        <f>IF(L1433="W",1,0)</f>
        <v>0</v>
      </c>
      <c r="AF1433" s="50">
        <f>IF(L1433="T",1,0)</f>
        <v>0</v>
      </c>
      <c r="AG1433" s="50">
        <f>IF(L1433="L",1,0)</f>
        <v>1</v>
      </c>
      <c r="AH1433" s="46" t="s">
        <v>1255</v>
      </c>
      <c r="AI1433" s="46" t="s">
        <v>1086</v>
      </c>
      <c r="AJ1433" s="46" t="s">
        <v>376</v>
      </c>
      <c r="AK1433" s="46" t="s">
        <v>658</v>
      </c>
      <c r="AL1433" s="46" t="s">
        <v>1017</v>
      </c>
      <c r="AM1433" s="46" t="s">
        <v>1018</v>
      </c>
      <c r="AN1433" s="46" t="s">
        <v>376</v>
      </c>
      <c r="AO1433" s="46" t="s">
        <v>658</v>
      </c>
      <c r="AQ1433" s="46">
        <v>2</v>
      </c>
      <c r="AU1433" s="46" t="s">
        <v>376</v>
      </c>
      <c r="AW1433" s="46" t="s">
        <v>30</v>
      </c>
      <c r="AZ1433" s="46" t="s">
        <v>30</v>
      </c>
      <c r="BA1433" s="54"/>
      <c r="BB1433" s="51"/>
      <c r="BF1433" s="46">
        <v>1</v>
      </c>
      <c r="BG1433" s="46">
        <v>2</v>
      </c>
      <c r="BH1433" s="46">
        <v>1</v>
      </c>
      <c r="BI1433" s="46" t="s">
        <v>1255</v>
      </c>
      <c r="BJ1433" s="46" t="s">
        <v>813</v>
      </c>
      <c r="BK1433" s="46">
        <v>2009</v>
      </c>
      <c r="BL1433" s="46" t="str">
        <f>BK1433&amp;BI1433</f>
        <v>2009Burnley</v>
      </c>
      <c r="BM1433" s="52" t="str">
        <f>IF(AD1433="Home",BI1433,IF(AD1433="Away",BJ1433,Q1433))</f>
        <v>Tottenham Hotspur</v>
      </c>
      <c r="BV1433" s="46" t="s">
        <v>376</v>
      </c>
      <c r="BW1433" s="46" t="s">
        <v>376</v>
      </c>
      <c r="BY1433" s="52"/>
      <c r="BZ1433" s="53"/>
      <c r="CA1433" s="53"/>
      <c r="CB1433" s="93" t="str">
        <f>IF(OR(C1433="",A1433="",B1433=""),"",TEXT(C1433,"0000")&amp;TEXT(A1433,"00")&amp;TEXT(B1433,"00"))</f>
        <v>20090106</v>
      </c>
    </row>
    <row r="1434" spans="1:80" s="46" customFormat="1" ht="12.95" customHeight="1" x14ac:dyDescent="0.2">
      <c r="A1434" s="46">
        <v>1</v>
      </c>
      <c r="B1434" s="46">
        <v>7</v>
      </c>
      <c r="C1434" s="46">
        <v>2009</v>
      </c>
      <c r="D1434" s="46" t="s">
        <v>658</v>
      </c>
      <c r="E1434" s="46" t="s">
        <v>264</v>
      </c>
      <c r="F1434" s="54" t="s">
        <v>1327</v>
      </c>
      <c r="H1434" s="54" t="s">
        <v>1011</v>
      </c>
      <c r="I1434" s="54">
        <v>1</v>
      </c>
      <c r="J1434" s="55">
        <v>39820</v>
      </c>
      <c r="K1434" s="46" t="s">
        <v>1191</v>
      </c>
      <c r="L1434" s="46" t="s">
        <v>3</v>
      </c>
      <c r="M1434" s="46" t="s">
        <v>821</v>
      </c>
      <c r="N1434" s="49">
        <v>1</v>
      </c>
      <c r="O1434" s="49">
        <v>0</v>
      </c>
      <c r="P1434" s="54" t="s">
        <v>1416</v>
      </c>
      <c r="Q1434" s="54" t="s">
        <v>979</v>
      </c>
      <c r="R1434" s="54" t="s">
        <v>376</v>
      </c>
      <c r="AD1434" s="46" t="s">
        <v>1033</v>
      </c>
      <c r="AE1434" s="50">
        <f>IF(L1434="W",1,0)</f>
        <v>1</v>
      </c>
      <c r="AF1434" s="50">
        <f>IF(L1434="T",1,0)</f>
        <v>0</v>
      </c>
      <c r="AG1434" s="50">
        <f>IF(L1434="L",1,0)</f>
        <v>0</v>
      </c>
      <c r="AH1434" s="46" t="s">
        <v>979</v>
      </c>
      <c r="AI1434" s="46" t="s">
        <v>1146</v>
      </c>
      <c r="AJ1434" s="46" t="s">
        <v>376</v>
      </c>
      <c r="AK1434" s="46" t="s">
        <v>658</v>
      </c>
      <c r="AL1434" s="46" t="s">
        <v>1101</v>
      </c>
      <c r="AM1434" s="46" t="s">
        <v>1159</v>
      </c>
      <c r="AN1434" s="46" t="s">
        <v>376</v>
      </c>
      <c r="AO1434" s="46" t="s">
        <v>658</v>
      </c>
      <c r="AQ1434" s="46">
        <v>2</v>
      </c>
      <c r="AU1434" s="46" t="s">
        <v>376</v>
      </c>
      <c r="AW1434" s="46" t="s">
        <v>30</v>
      </c>
      <c r="AZ1434" s="46" t="s">
        <v>30</v>
      </c>
      <c r="BA1434" s="54"/>
      <c r="BB1434" s="51"/>
      <c r="BF1434" s="46">
        <v>1</v>
      </c>
      <c r="BG1434" s="46">
        <v>2</v>
      </c>
      <c r="BH1434" s="46">
        <v>1</v>
      </c>
      <c r="BI1434" s="46" t="s">
        <v>1191</v>
      </c>
      <c r="BJ1434" s="46" t="s">
        <v>821</v>
      </c>
      <c r="BK1434" s="46">
        <v>2009</v>
      </c>
      <c r="BL1434" s="46" t="str">
        <f>BK1434&amp;BI1434</f>
        <v>2009Derby County</v>
      </c>
      <c r="BM1434" s="52" t="str">
        <f>IF(AD1434="Home",BI1434,IF(AD1434="Away",BJ1434,Q1434))</f>
        <v>Derby County</v>
      </c>
      <c r="BV1434" s="46" t="s">
        <v>376</v>
      </c>
      <c r="BW1434" s="46" t="s">
        <v>376</v>
      </c>
      <c r="BY1434" s="52"/>
      <c r="BZ1434" s="53"/>
      <c r="CA1434" s="53"/>
      <c r="CB1434" s="93" t="str">
        <f>IF(OR(C1434="",A1434="",B1434=""),"",TEXT(C1434,"0000")&amp;TEXT(A1434,"00")&amp;TEXT(B1434,"00"))</f>
        <v>20090107</v>
      </c>
    </row>
    <row r="1435" spans="1:80" s="46" customFormat="1" ht="12.95" customHeight="1" x14ac:dyDescent="0.2">
      <c r="A1435" s="46">
        <v>1</v>
      </c>
      <c r="B1435" s="46">
        <v>7</v>
      </c>
      <c r="C1435" s="46">
        <v>2009</v>
      </c>
      <c r="D1435" s="52" t="s">
        <v>658</v>
      </c>
      <c r="E1435" s="52" t="s">
        <v>264</v>
      </c>
      <c r="F1435" s="52" t="s">
        <v>1327</v>
      </c>
      <c r="G1435" s="52"/>
      <c r="H1435" s="52" t="s">
        <v>1011</v>
      </c>
      <c r="I1435" s="52">
        <v>1</v>
      </c>
      <c r="J1435" s="56">
        <v>39820</v>
      </c>
      <c r="K1435" s="52" t="s">
        <v>821</v>
      </c>
      <c r="L1435" s="56" t="s">
        <v>4</v>
      </c>
      <c r="M1435" s="52" t="s">
        <v>1191</v>
      </c>
      <c r="N1435" s="57">
        <v>0</v>
      </c>
      <c r="O1435" s="57">
        <v>1</v>
      </c>
      <c r="P1435" s="52" t="s">
        <v>1416</v>
      </c>
      <c r="Q1435" s="52" t="s">
        <v>979</v>
      </c>
      <c r="R1435" s="52" t="s">
        <v>376</v>
      </c>
      <c r="S1435" s="52"/>
      <c r="T1435" s="52"/>
      <c r="U1435" s="52"/>
      <c r="V1435" s="52"/>
      <c r="W1435" s="52"/>
      <c r="X1435" s="52"/>
      <c r="Y1435" s="52"/>
      <c r="Z1435" s="57"/>
      <c r="AA1435" s="58">
        <v>0</v>
      </c>
      <c r="AB1435" s="58">
        <v>1</v>
      </c>
      <c r="AC1435" s="59">
        <v>0</v>
      </c>
      <c r="AD1435" s="52" t="s">
        <v>1037</v>
      </c>
      <c r="AE1435" s="50">
        <f>IF(L1435="W",1,0)</f>
        <v>0</v>
      </c>
      <c r="AF1435" s="50">
        <f>IF(L1435="T",1,0)</f>
        <v>0</v>
      </c>
      <c r="AG1435" s="50">
        <f>IF(L1435="L",1,0)</f>
        <v>1</v>
      </c>
      <c r="AH1435" s="52" t="s">
        <v>1101</v>
      </c>
      <c r="AI1435" s="52" t="s">
        <v>1159</v>
      </c>
      <c r="AJ1435" s="52" t="s">
        <v>376</v>
      </c>
      <c r="AK1435" s="50" t="s">
        <v>658</v>
      </c>
      <c r="AL1435" s="52" t="s">
        <v>979</v>
      </c>
      <c r="AM1435" s="52" t="s">
        <v>1146</v>
      </c>
      <c r="AN1435" s="52" t="s">
        <v>376</v>
      </c>
      <c r="AO1435" s="50" t="s">
        <v>658</v>
      </c>
      <c r="AP1435" s="52"/>
      <c r="AQ1435" s="52">
        <v>2</v>
      </c>
      <c r="AR1435" s="52"/>
      <c r="AS1435" s="52"/>
      <c r="AU1435" s="52" t="s">
        <v>376</v>
      </c>
      <c r="AV1435" s="52"/>
      <c r="AW1435" s="52" t="s">
        <v>30</v>
      </c>
      <c r="AX1435" s="52"/>
      <c r="AY1435" s="52"/>
      <c r="AZ1435" s="52" t="s">
        <v>30</v>
      </c>
      <c r="BA1435" s="52"/>
      <c r="BB1435" s="60"/>
      <c r="BC1435" s="52"/>
      <c r="BD1435" s="60"/>
      <c r="BE1435" s="60"/>
      <c r="BF1435" s="35">
        <v>1</v>
      </c>
      <c r="BG1435" s="52">
        <v>1</v>
      </c>
      <c r="BH1435" s="52"/>
      <c r="BI1435" s="52" t="s">
        <v>821</v>
      </c>
      <c r="BJ1435" s="52" t="s">
        <v>1191</v>
      </c>
      <c r="BK1435" s="52">
        <v>2009</v>
      </c>
      <c r="BL1435" s="46" t="str">
        <f>BK1435&amp;BI1435</f>
        <v>2009Manchester United</v>
      </c>
      <c r="BM1435" s="52" t="str">
        <f>IF(AD1435="Home",BI1435,IF(AD1435="Away",BJ1435,Q1435))</f>
        <v>Derby County</v>
      </c>
      <c r="BN1435" s="52"/>
      <c r="BO1435" s="52"/>
      <c r="BP1435" s="52"/>
      <c r="BQ1435" s="52"/>
      <c r="BR1435" s="52"/>
      <c r="BS1435" s="52"/>
      <c r="BT1435" s="52"/>
      <c r="BU1435" s="52"/>
      <c r="BV1435" s="52" t="s">
        <v>376</v>
      </c>
      <c r="BW1435" s="52" t="s">
        <v>376</v>
      </c>
      <c r="BX1435" s="52"/>
      <c r="BY1435" s="52"/>
      <c r="BZ1435" s="53"/>
      <c r="CA1435" s="53"/>
      <c r="CB1435" s="93" t="str">
        <f>IF(OR(C1435="",A1435="",B1435=""),"",TEXT(C1435,"0000")&amp;TEXT(A1435,"00")&amp;TEXT(B1435,"00"))</f>
        <v>20090107</v>
      </c>
    </row>
    <row r="1436" spans="1:80" s="46" customFormat="1" ht="12.95" customHeight="1" x14ac:dyDescent="0.2">
      <c r="A1436" s="46">
        <v>1</v>
      </c>
      <c r="B1436" s="46">
        <v>20</v>
      </c>
      <c r="C1436" s="46">
        <v>2009</v>
      </c>
      <c r="D1436" s="52" t="s">
        <v>658</v>
      </c>
      <c r="E1436" s="52" t="s">
        <v>264</v>
      </c>
      <c r="F1436" s="52" t="s">
        <v>1327</v>
      </c>
      <c r="G1436" s="52"/>
      <c r="H1436" s="52" t="s">
        <v>1011</v>
      </c>
      <c r="I1436" s="52">
        <v>2</v>
      </c>
      <c r="J1436" s="56">
        <v>39833</v>
      </c>
      <c r="K1436" s="52" t="s">
        <v>821</v>
      </c>
      <c r="L1436" s="56" t="s">
        <v>3</v>
      </c>
      <c r="M1436" s="52" t="s">
        <v>1191</v>
      </c>
      <c r="N1436" s="57">
        <v>4</v>
      </c>
      <c r="O1436" s="57">
        <v>2</v>
      </c>
      <c r="P1436" s="52" t="s">
        <v>1246</v>
      </c>
      <c r="Q1436" s="52" t="s">
        <v>1101</v>
      </c>
      <c r="R1436" s="52" t="s">
        <v>376</v>
      </c>
      <c r="S1436" s="52"/>
      <c r="T1436" s="52"/>
      <c r="U1436" s="52"/>
      <c r="V1436" s="52"/>
      <c r="W1436" s="52"/>
      <c r="X1436" s="52"/>
      <c r="Y1436" s="52"/>
      <c r="Z1436" s="57"/>
      <c r="AA1436" s="58">
        <v>4</v>
      </c>
      <c r="AB1436" s="58">
        <v>3</v>
      </c>
      <c r="AC1436" s="59">
        <v>0</v>
      </c>
      <c r="AD1436" s="52" t="s">
        <v>1033</v>
      </c>
      <c r="AE1436" s="50">
        <f>IF(L1436="W",1,0)</f>
        <v>1</v>
      </c>
      <c r="AF1436" s="50">
        <f>IF(L1436="T",1,0)</f>
        <v>0</v>
      </c>
      <c r="AG1436" s="50">
        <f>IF(L1436="L",1,0)</f>
        <v>0</v>
      </c>
      <c r="AH1436" s="52" t="s">
        <v>1101</v>
      </c>
      <c r="AI1436" s="52" t="s">
        <v>1159</v>
      </c>
      <c r="AJ1436" s="52" t="s">
        <v>376</v>
      </c>
      <c r="AK1436" s="50" t="s">
        <v>658</v>
      </c>
      <c r="AL1436" s="52" t="s">
        <v>979</v>
      </c>
      <c r="AM1436" s="52" t="s">
        <v>1146</v>
      </c>
      <c r="AN1436" s="52" t="s">
        <v>376</v>
      </c>
      <c r="AO1436" s="50" t="s">
        <v>658</v>
      </c>
      <c r="AP1436" s="52"/>
      <c r="AQ1436" s="52">
        <v>2</v>
      </c>
      <c r="AR1436" s="52"/>
      <c r="AS1436" s="52"/>
      <c r="AU1436" s="52" t="s">
        <v>376</v>
      </c>
      <c r="AV1436" s="52"/>
      <c r="AW1436" s="52" t="s">
        <v>30</v>
      </c>
      <c r="AX1436" s="52"/>
      <c r="AY1436" s="52"/>
      <c r="AZ1436" s="52" t="s">
        <v>30</v>
      </c>
      <c r="BA1436" s="52"/>
      <c r="BB1436" s="60"/>
      <c r="BC1436" s="52"/>
      <c r="BD1436" s="60"/>
      <c r="BE1436" s="60"/>
      <c r="BF1436" s="35">
        <v>1</v>
      </c>
      <c r="BG1436" s="52">
        <v>1</v>
      </c>
      <c r="BH1436" s="52"/>
      <c r="BI1436" s="52" t="s">
        <v>821</v>
      </c>
      <c r="BJ1436" s="52" t="s">
        <v>1191</v>
      </c>
      <c r="BK1436" s="52">
        <v>2009</v>
      </c>
      <c r="BL1436" s="46" t="str">
        <f>BK1436&amp;BI1436</f>
        <v>2009Manchester United</v>
      </c>
      <c r="BM1436" s="52" t="str">
        <f>IF(AD1436="Home",BI1436,IF(AD1436="Away",BJ1436,Q1436))</f>
        <v>Manchester United</v>
      </c>
      <c r="BN1436" s="52"/>
      <c r="BO1436" s="52"/>
      <c r="BP1436" s="52"/>
      <c r="BQ1436" s="52"/>
      <c r="BR1436" s="52"/>
      <c r="BS1436" s="52"/>
      <c r="BT1436" s="52"/>
      <c r="BU1436" s="52"/>
      <c r="BV1436" s="52" t="s">
        <v>376</v>
      </c>
      <c r="BW1436" s="52" t="s">
        <v>376</v>
      </c>
      <c r="BX1436" s="52"/>
      <c r="BY1436" s="52"/>
      <c r="BZ1436" s="53"/>
      <c r="CA1436" s="53"/>
      <c r="CB1436" s="93" t="str">
        <f>IF(OR(C1436="",A1436="",B1436=""),"",TEXT(C1436,"0000")&amp;TEXT(A1436,"00")&amp;TEXT(B1436,"00"))</f>
        <v>20090120</v>
      </c>
    </row>
    <row r="1437" spans="1:80" s="46" customFormat="1" ht="12.95" customHeight="1" x14ac:dyDescent="0.2">
      <c r="A1437" s="46">
        <v>1</v>
      </c>
      <c r="B1437" s="46">
        <v>20</v>
      </c>
      <c r="C1437" s="46">
        <v>2009</v>
      </c>
      <c r="D1437" s="46" t="s">
        <v>658</v>
      </c>
      <c r="E1437" s="46" t="s">
        <v>264</v>
      </c>
      <c r="F1437" s="54" t="s">
        <v>1327</v>
      </c>
      <c r="H1437" s="54" t="s">
        <v>1011</v>
      </c>
      <c r="I1437" s="54">
        <v>2</v>
      </c>
      <c r="J1437" s="55">
        <v>39833</v>
      </c>
      <c r="K1437" s="46" t="s">
        <v>1191</v>
      </c>
      <c r="L1437" s="46" t="s">
        <v>3</v>
      </c>
      <c r="M1437" s="46" t="s">
        <v>821</v>
      </c>
      <c r="N1437" s="49">
        <v>4</v>
      </c>
      <c r="O1437" s="49">
        <v>2</v>
      </c>
      <c r="P1437" s="54" t="s">
        <v>1246</v>
      </c>
      <c r="Q1437" s="54" t="s">
        <v>1101</v>
      </c>
      <c r="R1437" s="54" t="s">
        <v>376</v>
      </c>
      <c r="AD1437" s="46" t="s">
        <v>1037</v>
      </c>
      <c r="AE1437" s="50">
        <f>IF(L1437="W",1,0)</f>
        <v>1</v>
      </c>
      <c r="AF1437" s="50">
        <f>IF(L1437="T",1,0)</f>
        <v>0</v>
      </c>
      <c r="AG1437" s="50">
        <f>IF(L1437="L",1,0)</f>
        <v>0</v>
      </c>
      <c r="AH1437" s="46" t="s">
        <v>979</v>
      </c>
      <c r="AI1437" s="46" t="s">
        <v>1146</v>
      </c>
      <c r="AJ1437" s="46" t="s">
        <v>376</v>
      </c>
      <c r="AK1437" s="46" t="s">
        <v>658</v>
      </c>
      <c r="AL1437" s="46" t="s">
        <v>1101</v>
      </c>
      <c r="AM1437" s="46" t="s">
        <v>1159</v>
      </c>
      <c r="AN1437" s="46" t="s">
        <v>376</v>
      </c>
      <c r="AO1437" s="46" t="s">
        <v>658</v>
      </c>
      <c r="AQ1437" s="46">
        <v>2</v>
      </c>
      <c r="AU1437" s="46" t="s">
        <v>376</v>
      </c>
      <c r="AW1437" s="46" t="s">
        <v>30</v>
      </c>
      <c r="AZ1437" s="46" t="s">
        <v>30</v>
      </c>
      <c r="BA1437" s="54"/>
      <c r="BB1437" s="51"/>
      <c r="BF1437" s="46">
        <v>1</v>
      </c>
      <c r="BG1437" s="46">
        <v>2</v>
      </c>
      <c r="BH1437" s="46">
        <v>1</v>
      </c>
      <c r="BI1437" s="46" t="s">
        <v>1191</v>
      </c>
      <c r="BJ1437" s="46" t="s">
        <v>821</v>
      </c>
      <c r="BK1437" s="46">
        <v>2009</v>
      </c>
      <c r="BL1437" s="46" t="str">
        <f>BK1437&amp;BI1437</f>
        <v>2009Derby County</v>
      </c>
      <c r="BM1437" s="52" t="str">
        <f>IF(AD1437="Home",BI1437,IF(AD1437="Away",BJ1437,Q1437))</f>
        <v>Manchester United</v>
      </c>
      <c r="BV1437" s="46" t="s">
        <v>376</v>
      </c>
      <c r="BW1437" s="46" t="s">
        <v>376</v>
      </c>
      <c r="BY1437" s="52"/>
      <c r="BZ1437" s="53"/>
      <c r="CA1437" s="53"/>
      <c r="CB1437" s="93" t="str">
        <f>IF(OR(C1437="",A1437="",B1437=""),"",TEXT(C1437,"0000")&amp;TEXT(A1437,"00")&amp;TEXT(B1437,"00"))</f>
        <v>20090120</v>
      </c>
    </row>
    <row r="1438" spans="1:80" s="46" customFormat="1" ht="12.95" customHeight="1" x14ac:dyDescent="0.2">
      <c r="A1438" s="46">
        <v>1</v>
      </c>
      <c r="B1438" s="46">
        <v>21</v>
      </c>
      <c r="C1438" s="46">
        <v>2009</v>
      </c>
      <c r="D1438" s="46" t="s">
        <v>658</v>
      </c>
      <c r="E1438" s="46" t="s">
        <v>264</v>
      </c>
      <c r="F1438" s="54" t="s">
        <v>1327</v>
      </c>
      <c r="H1438" s="54" t="s">
        <v>1011</v>
      </c>
      <c r="I1438" s="54">
        <v>2</v>
      </c>
      <c r="J1438" s="55">
        <v>39834</v>
      </c>
      <c r="K1438" s="46" t="s">
        <v>1255</v>
      </c>
      <c r="L1438" s="46" t="s">
        <v>3</v>
      </c>
      <c r="M1438" s="46" t="s">
        <v>813</v>
      </c>
      <c r="N1438" s="49">
        <v>3</v>
      </c>
      <c r="O1438" s="49">
        <v>2</v>
      </c>
      <c r="P1438" s="54" t="s">
        <v>1266</v>
      </c>
      <c r="Q1438" s="54" t="s">
        <v>1255</v>
      </c>
      <c r="R1438" s="54" t="s">
        <v>376</v>
      </c>
      <c r="S1438" s="46" t="s">
        <v>1396</v>
      </c>
      <c r="AD1438" s="46" t="s">
        <v>1033</v>
      </c>
      <c r="AE1438" s="50">
        <f>IF(L1438="W",1,0)</f>
        <v>1</v>
      </c>
      <c r="AF1438" s="50">
        <f>IF(L1438="T",1,0)</f>
        <v>0</v>
      </c>
      <c r="AG1438" s="50">
        <f>IF(L1438="L",1,0)</f>
        <v>0</v>
      </c>
      <c r="AH1438" s="46" t="s">
        <v>1255</v>
      </c>
      <c r="AI1438" s="46" t="s">
        <v>1086</v>
      </c>
      <c r="AJ1438" s="46" t="s">
        <v>376</v>
      </c>
      <c r="AK1438" s="46" t="s">
        <v>658</v>
      </c>
      <c r="AL1438" s="46" t="s">
        <v>1017</v>
      </c>
      <c r="AM1438" s="46" t="s">
        <v>1018</v>
      </c>
      <c r="AN1438" s="46" t="s">
        <v>376</v>
      </c>
      <c r="AO1438" s="46" t="s">
        <v>658</v>
      </c>
      <c r="AQ1438" s="46">
        <v>2</v>
      </c>
      <c r="AU1438" s="46" t="s">
        <v>376</v>
      </c>
      <c r="AW1438" s="46" t="s">
        <v>30</v>
      </c>
      <c r="AZ1438" s="46" t="s">
        <v>30</v>
      </c>
      <c r="BA1438" s="54"/>
      <c r="BB1438" s="51"/>
      <c r="BF1438" s="46">
        <v>1</v>
      </c>
      <c r="BG1438" s="46">
        <v>2</v>
      </c>
      <c r="BH1438" s="46">
        <v>1</v>
      </c>
      <c r="BI1438" s="46" t="s">
        <v>1255</v>
      </c>
      <c r="BJ1438" s="46" t="s">
        <v>813</v>
      </c>
      <c r="BK1438" s="46">
        <v>2009</v>
      </c>
      <c r="BL1438" s="46" t="str">
        <f>BK1438&amp;BI1438</f>
        <v>2009Burnley</v>
      </c>
      <c r="BM1438" s="52" t="str">
        <f>IF(AD1438="Home",BI1438,IF(AD1438="Away",BJ1438,Q1438))</f>
        <v>Burnley</v>
      </c>
      <c r="BV1438" s="46" t="s">
        <v>376</v>
      </c>
      <c r="BW1438" s="46" t="s">
        <v>376</v>
      </c>
      <c r="BY1438" s="52"/>
      <c r="BZ1438" s="53"/>
      <c r="CA1438" s="53"/>
      <c r="CB1438" s="93" t="str">
        <f>IF(OR(C1438="",A1438="",B1438=""),"",TEXT(C1438,"0000")&amp;TEXT(A1438,"00")&amp;TEXT(B1438,"00"))</f>
        <v>20090121</v>
      </c>
    </row>
    <row r="1439" spans="1:80" s="46" customFormat="1" ht="12.95" customHeight="1" x14ac:dyDescent="0.2">
      <c r="A1439" s="46">
        <v>1</v>
      </c>
      <c r="B1439" s="46">
        <v>21</v>
      </c>
      <c r="C1439" s="46">
        <v>2009</v>
      </c>
      <c r="D1439" s="52" t="s">
        <v>658</v>
      </c>
      <c r="E1439" s="52" t="s">
        <v>264</v>
      </c>
      <c r="F1439" s="52" t="s">
        <v>1327</v>
      </c>
      <c r="G1439" s="52"/>
      <c r="H1439" s="52" t="s">
        <v>1011</v>
      </c>
      <c r="I1439" s="52">
        <v>2</v>
      </c>
      <c r="J1439" s="56">
        <v>39834</v>
      </c>
      <c r="K1439" s="52" t="s">
        <v>813</v>
      </c>
      <c r="L1439" s="56" t="s">
        <v>4</v>
      </c>
      <c r="M1439" s="52" t="s">
        <v>1255</v>
      </c>
      <c r="N1439" s="57">
        <v>2</v>
      </c>
      <c r="O1439" s="57">
        <v>3</v>
      </c>
      <c r="P1439" s="52" t="s">
        <v>1266</v>
      </c>
      <c r="Q1439" s="52" t="s">
        <v>1255</v>
      </c>
      <c r="R1439" s="52" t="s">
        <v>376</v>
      </c>
      <c r="S1439" s="52" t="s">
        <v>1396</v>
      </c>
      <c r="T1439" s="52"/>
      <c r="U1439" s="52"/>
      <c r="V1439" s="52"/>
      <c r="W1439" s="52"/>
      <c r="X1439" s="52"/>
      <c r="Y1439" s="52"/>
      <c r="Z1439" s="57"/>
      <c r="AA1439" s="58">
        <v>6</v>
      </c>
      <c r="AB1439" s="58">
        <v>4</v>
      </c>
      <c r="AC1439" s="59">
        <v>2</v>
      </c>
      <c r="AD1439" s="52" t="s">
        <v>1037</v>
      </c>
      <c r="AE1439" s="50">
        <f>IF(L1439="W",1,0)</f>
        <v>0</v>
      </c>
      <c r="AF1439" s="50">
        <f>IF(L1439="T",1,0)</f>
        <v>0</v>
      </c>
      <c r="AG1439" s="50">
        <f>IF(L1439="L",1,0)</f>
        <v>1</v>
      </c>
      <c r="AH1439" s="52" t="s">
        <v>1017</v>
      </c>
      <c r="AI1439" s="52" t="s">
        <v>1018</v>
      </c>
      <c r="AJ1439" s="52" t="s">
        <v>376</v>
      </c>
      <c r="AK1439" s="50" t="s">
        <v>658</v>
      </c>
      <c r="AL1439" s="52" t="s">
        <v>1255</v>
      </c>
      <c r="AM1439" s="52" t="s">
        <v>1086</v>
      </c>
      <c r="AN1439" s="52" t="s">
        <v>376</v>
      </c>
      <c r="AO1439" s="50" t="s">
        <v>658</v>
      </c>
      <c r="AP1439" s="52"/>
      <c r="AQ1439" s="52">
        <v>2</v>
      </c>
      <c r="AR1439" s="52"/>
      <c r="AS1439" s="52"/>
      <c r="AU1439" s="52" t="s">
        <v>376</v>
      </c>
      <c r="AV1439" s="52"/>
      <c r="AW1439" s="52" t="s">
        <v>30</v>
      </c>
      <c r="AX1439" s="52"/>
      <c r="AY1439" s="52"/>
      <c r="AZ1439" s="52" t="s">
        <v>30</v>
      </c>
      <c r="BA1439" s="52"/>
      <c r="BB1439" s="60"/>
      <c r="BC1439" s="52"/>
      <c r="BD1439" s="60"/>
      <c r="BE1439" s="60"/>
      <c r="BF1439" s="35">
        <v>1</v>
      </c>
      <c r="BG1439" s="52">
        <v>1</v>
      </c>
      <c r="BH1439" s="52"/>
      <c r="BI1439" s="52" t="s">
        <v>813</v>
      </c>
      <c r="BJ1439" s="52" t="s">
        <v>1255</v>
      </c>
      <c r="BK1439" s="52">
        <v>2009</v>
      </c>
      <c r="BL1439" s="46" t="str">
        <f>BK1439&amp;BI1439</f>
        <v>2009Tottenham Hotspur</v>
      </c>
      <c r="BM1439" s="52" t="str">
        <f>IF(AD1439="Home",BI1439,IF(AD1439="Away",BJ1439,Q1439))</f>
        <v>Burnley</v>
      </c>
      <c r="BN1439" s="52"/>
      <c r="BO1439" s="52"/>
      <c r="BP1439" s="52"/>
      <c r="BQ1439" s="52"/>
      <c r="BR1439" s="52"/>
      <c r="BS1439" s="52"/>
      <c r="BT1439" s="52"/>
      <c r="BU1439" s="52"/>
      <c r="BV1439" s="52" t="s">
        <v>376</v>
      </c>
      <c r="BW1439" s="52" t="s">
        <v>376</v>
      </c>
      <c r="BX1439" s="52"/>
      <c r="BY1439" s="52"/>
      <c r="BZ1439" s="53"/>
      <c r="CA1439" s="53"/>
      <c r="CB1439" s="93" t="str">
        <f>IF(OR(C1439="",A1439="",B1439=""),"",TEXT(C1439,"0000")&amp;TEXT(A1439,"00")&amp;TEXT(B1439,"00"))</f>
        <v>20090121</v>
      </c>
    </row>
    <row r="1440" spans="1:80" s="46" customFormat="1" ht="12.95" customHeight="1" x14ac:dyDescent="0.2">
      <c r="A1440" s="46">
        <v>3</v>
      </c>
      <c r="B1440" s="46">
        <v>1</v>
      </c>
      <c r="C1440" s="46">
        <v>2009</v>
      </c>
      <c r="D1440" s="52" t="s">
        <v>658</v>
      </c>
      <c r="E1440" s="52" t="s">
        <v>264</v>
      </c>
      <c r="F1440" s="52" t="s">
        <v>1327</v>
      </c>
      <c r="G1440" s="52"/>
      <c r="H1440" s="52" t="s">
        <v>40</v>
      </c>
      <c r="I1440" s="52"/>
      <c r="J1440" s="56">
        <v>39873</v>
      </c>
      <c r="K1440" s="52" t="s">
        <v>821</v>
      </c>
      <c r="L1440" s="56" t="s">
        <v>3</v>
      </c>
      <c r="M1440" s="52" t="s">
        <v>813</v>
      </c>
      <c r="N1440" s="57">
        <v>0</v>
      </c>
      <c r="O1440" s="57">
        <v>0</v>
      </c>
      <c r="P1440" s="52" t="s">
        <v>1415</v>
      </c>
      <c r="Q1440" s="52" t="s">
        <v>1017</v>
      </c>
      <c r="R1440" s="52" t="s">
        <v>376</v>
      </c>
      <c r="S1440" s="52" t="s">
        <v>1390</v>
      </c>
      <c r="T1440" s="52">
        <v>4</v>
      </c>
      <c r="U1440" s="52">
        <v>1</v>
      </c>
      <c r="V1440" s="52"/>
      <c r="W1440" s="52"/>
      <c r="X1440" s="52"/>
      <c r="Y1440" s="52"/>
      <c r="Z1440" s="57"/>
      <c r="AA1440" s="52"/>
      <c r="AB1440" s="52"/>
      <c r="AC1440" s="52"/>
      <c r="AD1440" s="52"/>
      <c r="AE1440" s="50">
        <f>IF(L1440="W",1,0)</f>
        <v>1</v>
      </c>
      <c r="AF1440" s="50">
        <f>IF(L1440="T",1,0)</f>
        <v>0</v>
      </c>
      <c r="AG1440" s="50">
        <f>IF(L1440="L",1,0)</f>
        <v>0</v>
      </c>
      <c r="AH1440" s="52" t="s">
        <v>1101</v>
      </c>
      <c r="AI1440" s="52" t="s">
        <v>1159</v>
      </c>
      <c r="AJ1440" s="52" t="s">
        <v>376</v>
      </c>
      <c r="AK1440" s="50" t="s">
        <v>658</v>
      </c>
      <c r="AL1440" s="52" t="s">
        <v>1017</v>
      </c>
      <c r="AM1440" s="52" t="s">
        <v>1018</v>
      </c>
      <c r="AN1440" s="52" t="s">
        <v>376</v>
      </c>
      <c r="AO1440" s="50" t="s">
        <v>658</v>
      </c>
      <c r="AP1440" s="52"/>
      <c r="AQ1440" s="52">
        <v>1</v>
      </c>
      <c r="AR1440" s="52"/>
      <c r="AS1440" s="52" t="s">
        <v>1393</v>
      </c>
      <c r="AU1440" s="52" t="s">
        <v>376</v>
      </c>
      <c r="AV1440" s="52"/>
      <c r="AW1440" s="52" t="s">
        <v>30</v>
      </c>
      <c r="AX1440" s="52"/>
      <c r="AY1440" s="52"/>
      <c r="AZ1440" s="57" t="s">
        <v>30</v>
      </c>
      <c r="BA1440" s="52"/>
      <c r="BB1440" s="60" t="s">
        <v>30</v>
      </c>
      <c r="BC1440" s="52" t="s">
        <v>30</v>
      </c>
      <c r="BD1440" s="60"/>
      <c r="BE1440" s="60" t="s">
        <v>1417</v>
      </c>
      <c r="BF1440" s="35">
        <v>1</v>
      </c>
      <c r="BG1440" s="52">
        <v>1</v>
      </c>
      <c r="BH1440" s="52"/>
      <c r="BI1440" s="52" t="s">
        <v>821</v>
      </c>
      <c r="BJ1440" s="52" t="s">
        <v>813</v>
      </c>
      <c r="BK1440" s="52">
        <v>2009</v>
      </c>
      <c r="BL1440" s="46" t="str">
        <f>BK1440&amp;BI1440</f>
        <v>2009Manchester United</v>
      </c>
      <c r="BM1440" s="52" t="str">
        <f>IF(AD1440="Home",BI1440,IF(AD1440="Away",BJ1440,Q1440))</f>
        <v>London</v>
      </c>
      <c r="BN1440" s="52"/>
      <c r="BO1440" s="52"/>
      <c r="BP1440" s="52"/>
      <c r="BQ1440" s="52"/>
      <c r="BR1440" s="52"/>
      <c r="BS1440" s="52"/>
      <c r="BT1440" s="52"/>
      <c r="BU1440" s="52"/>
      <c r="BV1440" s="52" t="s">
        <v>376</v>
      </c>
      <c r="BW1440" s="52" t="s">
        <v>376</v>
      </c>
      <c r="BX1440" s="52"/>
      <c r="BY1440" s="52"/>
      <c r="BZ1440" s="53"/>
      <c r="CA1440" s="53"/>
      <c r="CB1440" s="93" t="str">
        <f>IF(OR(C1440="",A1440="",B1440=""),"",TEXT(C1440,"0000")&amp;TEXT(A1440,"00")&amp;TEXT(B1440,"00"))</f>
        <v>20090301</v>
      </c>
    </row>
    <row r="1441" spans="1:80" s="46" customFormat="1" ht="12.95" customHeight="1" x14ac:dyDescent="0.2">
      <c r="A1441" s="46">
        <v>3</v>
      </c>
      <c r="B1441" s="46">
        <v>1</v>
      </c>
      <c r="C1441" s="46">
        <v>2009</v>
      </c>
      <c r="D1441" s="52" t="s">
        <v>658</v>
      </c>
      <c r="E1441" s="52" t="s">
        <v>264</v>
      </c>
      <c r="F1441" s="52" t="s">
        <v>1327</v>
      </c>
      <c r="G1441" s="52"/>
      <c r="H1441" s="52" t="s">
        <v>40</v>
      </c>
      <c r="I1441" s="52"/>
      <c r="J1441" s="56">
        <v>39873</v>
      </c>
      <c r="K1441" s="52" t="s">
        <v>813</v>
      </c>
      <c r="L1441" s="56" t="s">
        <v>4</v>
      </c>
      <c r="M1441" s="52" t="s">
        <v>821</v>
      </c>
      <c r="N1441" s="57">
        <v>0</v>
      </c>
      <c r="O1441" s="57">
        <v>0</v>
      </c>
      <c r="P1441" s="52" t="s">
        <v>1415</v>
      </c>
      <c r="Q1441" s="52" t="s">
        <v>1017</v>
      </c>
      <c r="R1441" s="52" t="s">
        <v>376</v>
      </c>
      <c r="S1441" s="52" t="s">
        <v>1390</v>
      </c>
      <c r="T1441" s="52">
        <v>1</v>
      </c>
      <c r="U1441" s="52">
        <v>4</v>
      </c>
      <c r="V1441" s="52"/>
      <c r="W1441" s="52"/>
      <c r="X1441" s="52"/>
      <c r="Y1441" s="52"/>
      <c r="Z1441" s="57"/>
      <c r="AA1441" s="52"/>
      <c r="AB1441" s="52"/>
      <c r="AC1441" s="52"/>
      <c r="AD1441" s="52"/>
      <c r="AE1441" s="50">
        <f>IF(L1441="W",1,0)</f>
        <v>0</v>
      </c>
      <c r="AF1441" s="50">
        <f>IF(L1441="T",1,0)</f>
        <v>0</v>
      </c>
      <c r="AG1441" s="50">
        <f>IF(L1441="L",1,0)</f>
        <v>1</v>
      </c>
      <c r="AH1441" s="52" t="s">
        <v>1017</v>
      </c>
      <c r="AI1441" s="52" t="s">
        <v>1018</v>
      </c>
      <c r="AJ1441" s="52" t="s">
        <v>376</v>
      </c>
      <c r="AK1441" s="50" t="s">
        <v>658</v>
      </c>
      <c r="AL1441" s="52" t="s">
        <v>1101</v>
      </c>
      <c r="AM1441" s="52" t="s">
        <v>1159</v>
      </c>
      <c r="AN1441" s="52" t="s">
        <v>376</v>
      </c>
      <c r="AO1441" s="50" t="s">
        <v>658</v>
      </c>
      <c r="AP1441" s="52"/>
      <c r="AQ1441" s="52">
        <v>1</v>
      </c>
      <c r="AR1441" s="52"/>
      <c r="AS1441" s="52">
        <v>1</v>
      </c>
      <c r="AU1441" s="52" t="s">
        <v>376</v>
      </c>
      <c r="AV1441" s="52"/>
      <c r="AW1441" s="52" t="s">
        <v>30</v>
      </c>
      <c r="AX1441" s="52"/>
      <c r="AY1441" s="52"/>
      <c r="AZ1441" s="52" t="s">
        <v>30</v>
      </c>
      <c r="BA1441" s="52"/>
      <c r="BB1441" s="60"/>
      <c r="BC1441" s="52" t="s">
        <v>30</v>
      </c>
      <c r="BD1441" s="60"/>
      <c r="BE1441" s="60"/>
      <c r="BF1441" s="35">
        <v>1</v>
      </c>
      <c r="BG1441" s="52">
        <v>1</v>
      </c>
      <c r="BH1441" s="52"/>
      <c r="BI1441" s="52" t="s">
        <v>813</v>
      </c>
      <c r="BJ1441" s="52" t="s">
        <v>821</v>
      </c>
      <c r="BK1441" s="52">
        <v>2009</v>
      </c>
      <c r="BL1441" s="46" t="str">
        <f>BK1441&amp;BI1441</f>
        <v>2009Tottenham Hotspur</v>
      </c>
      <c r="BM1441" s="52" t="str">
        <f>IF(AD1441="Home",BI1441,IF(AD1441="Away",BJ1441,Q1441))</f>
        <v>London</v>
      </c>
      <c r="BN1441" s="52"/>
      <c r="BO1441" s="52"/>
      <c r="BP1441" s="52"/>
      <c r="BQ1441" s="52"/>
      <c r="BR1441" s="52"/>
      <c r="BS1441" s="52"/>
      <c r="BT1441" s="52"/>
      <c r="BU1441" s="52"/>
      <c r="BV1441" s="52" t="s">
        <v>376</v>
      </c>
      <c r="BW1441" s="52" t="s">
        <v>376</v>
      </c>
      <c r="BX1441" s="52"/>
      <c r="BY1441" s="52"/>
      <c r="BZ1441" s="53"/>
      <c r="CA1441" s="53"/>
      <c r="CB1441" s="93" t="str">
        <f>IF(OR(C1441="",A1441="",B1441=""),"",TEXT(C1441,"0000")&amp;TEXT(A1441,"00")&amp;TEXT(B1441,"00"))</f>
        <v>20090301</v>
      </c>
    </row>
    <row r="1442" spans="1:80" s="46" customFormat="1" ht="12.95" customHeight="1" x14ac:dyDescent="0.2">
      <c r="A1442" s="46">
        <v>4</v>
      </c>
      <c r="B1442" s="46">
        <v>18</v>
      </c>
      <c r="C1442" s="46">
        <v>2009</v>
      </c>
      <c r="D1442" s="52" t="s">
        <v>658</v>
      </c>
      <c r="E1442" s="52" t="s">
        <v>264</v>
      </c>
      <c r="F1442" s="52" t="s">
        <v>1010</v>
      </c>
      <c r="G1442" s="52"/>
      <c r="H1442" s="52" t="s">
        <v>1011</v>
      </c>
      <c r="I1442" s="52"/>
      <c r="J1442" s="56">
        <v>39921</v>
      </c>
      <c r="K1442" s="52" t="s">
        <v>816</v>
      </c>
      <c r="L1442" s="56" t="s">
        <v>3</v>
      </c>
      <c r="M1442" s="52" t="s">
        <v>587</v>
      </c>
      <c r="N1442" s="57">
        <v>2</v>
      </c>
      <c r="O1442" s="57">
        <v>1</v>
      </c>
      <c r="P1442" s="52" t="s">
        <v>1415</v>
      </c>
      <c r="Q1442" s="52" t="s">
        <v>1017</v>
      </c>
      <c r="R1442" s="52" t="s">
        <v>376</v>
      </c>
      <c r="S1442" s="52"/>
      <c r="T1442" s="52"/>
      <c r="U1442" s="52"/>
      <c r="V1442" s="52"/>
      <c r="W1442" s="52"/>
      <c r="X1442" s="52"/>
      <c r="Y1442" s="52"/>
      <c r="Z1442" s="57"/>
      <c r="AA1442" s="52"/>
      <c r="AB1442" s="52"/>
      <c r="AC1442" s="52"/>
      <c r="AD1442" s="52"/>
      <c r="AE1442" s="50">
        <f>IF(L1442="W",1,0)</f>
        <v>1</v>
      </c>
      <c r="AF1442" s="50">
        <f>IF(L1442="T",1,0)</f>
        <v>0</v>
      </c>
      <c r="AG1442" s="50">
        <f>IF(L1442="L",1,0)</f>
        <v>0</v>
      </c>
      <c r="AH1442" s="52" t="s">
        <v>1017</v>
      </c>
      <c r="AI1442" s="52" t="s">
        <v>1018</v>
      </c>
      <c r="AJ1442" s="52" t="s">
        <v>376</v>
      </c>
      <c r="AK1442" s="50" t="s">
        <v>658</v>
      </c>
      <c r="AL1442" s="52" t="s">
        <v>1017</v>
      </c>
      <c r="AM1442" s="52" t="s">
        <v>1018</v>
      </c>
      <c r="AN1442" s="52" t="s">
        <v>376</v>
      </c>
      <c r="AO1442" s="50" t="s">
        <v>658</v>
      </c>
      <c r="AP1442" s="52"/>
      <c r="AQ1442" s="52">
        <v>2</v>
      </c>
      <c r="AR1442" s="52"/>
      <c r="AS1442" s="52"/>
      <c r="AT1442" s="46" t="s">
        <v>1308</v>
      </c>
      <c r="AU1442" s="52" t="s">
        <v>376</v>
      </c>
      <c r="AV1442" s="52"/>
      <c r="AW1442" s="52" t="s">
        <v>30</v>
      </c>
      <c r="AX1442" s="52"/>
      <c r="AY1442" s="52" t="s">
        <v>30</v>
      </c>
      <c r="AZ1442" s="52"/>
      <c r="BA1442" s="52"/>
      <c r="BB1442" s="60"/>
      <c r="BC1442" s="52"/>
      <c r="BD1442" s="60"/>
      <c r="BE1442" s="60"/>
      <c r="BF1442" s="35">
        <v>1</v>
      </c>
      <c r="BG1442" s="52">
        <v>1</v>
      </c>
      <c r="BH1442" s="52"/>
      <c r="BI1442" s="52" t="s">
        <v>816</v>
      </c>
      <c r="BJ1442" s="52" t="s">
        <v>587</v>
      </c>
      <c r="BK1442" s="52">
        <v>2009</v>
      </c>
      <c r="BL1442" s="46" t="str">
        <f>BK1442&amp;BI1442</f>
        <v>2009Chelsea</v>
      </c>
      <c r="BM1442" s="52" t="str">
        <f>IF(AD1442="Home",BI1442,IF(AD1442="Away",BJ1442,Q1442))</f>
        <v>London</v>
      </c>
      <c r="BN1442" s="52"/>
      <c r="BO1442" s="52"/>
      <c r="BP1442" s="52"/>
      <c r="BQ1442" s="52"/>
      <c r="BR1442" s="52"/>
      <c r="BS1442" s="52"/>
      <c r="BT1442" s="52"/>
      <c r="BU1442" s="52"/>
      <c r="BV1442" s="52" t="s">
        <v>376</v>
      </c>
      <c r="BW1442" s="52" t="s">
        <v>376</v>
      </c>
      <c r="BX1442" s="52"/>
      <c r="BY1442" s="52"/>
      <c r="BZ1442" s="53"/>
      <c r="CA1442" s="53"/>
      <c r="CB1442" s="93" t="str">
        <f>IF(OR(C1442="",A1442="",B1442=""),"",TEXT(C1442,"0000")&amp;TEXT(A1442,"00")&amp;TEXT(B1442,"00"))</f>
        <v>20090418</v>
      </c>
    </row>
    <row r="1443" spans="1:80" s="46" customFormat="1" ht="12.95" customHeight="1" x14ac:dyDescent="0.2">
      <c r="A1443" s="46">
        <v>4</v>
      </c>
      <c r="B1443" s="46">
        <v>18</v>
      </c>
      <c r="C1443" s="46">
        <v>2009</v>
      </c>
      <c r="D1443" s="52" t="s">
        <v>658</v>
      </c>
      <c r="E1443" s="52" t="s">
        <v>264</v>
      </c>
      <c r="F1443" s="52" t="s">
        <v>1010</v>
      </c>
      <c r="G1443" s="52"/>
      <c r="H1443" s="52" t="s">
        <v>1011</v>
      </c>
      <c r="I1443" s="52"/>
      <c r="J1443" s="56">
        <v>39921</v>
      </c>
      <c r="K1443" s="52" t="s">
        <v>587</v>
      </c>
      <c r="L1443" s="56" t="s">
        <v>4</v>
      </c>
      <c r="M1443" s="52" t="s">
        <v>816</v>
      </c>
      <c r="N1443" s="57">
        <v>1</v>
      </c>
      <c r="O1443" s="57">
        <v>2</v>
      </c>
      <c r="P1443" s="52" t="s">
        <v>1415</v>
      </c>
      <c r="Q1443" s="52" t="s">
        <v>1017</v>
      </c>
      <c r="R1443" s="52" t="s">
        <v>376</v>
      </c>
      <c r="S1443" s="52"/>
      <c r="T1443" s="52"/>
      <c r="U1443" s="52"/>
      <c r="V1443" s="52"/>
      <c r="W1443" s="52"/>
      <c r="X1443" s="52"/>
      <c r="Y1443" s="52"/>
      <c r="Z1443" s="57"/>
      <c r="AA1443" s="52"/>
      <c r="AB1443" s="52"/>
      <c r="AC1443" s="52"/>
      <c r="AD1443" s="52"/>
      <c r="AE1443" s="50">
        <f>IF(L1443="W",1,0)</f>
        <v>0</v>
      </c>
      <c r="AF1443" s="50">
        <f>IF(L1443="T",1,0)</f>
        <v>0</v>
      </c>
      <c r="AG1443" s="50">
        <f>IF(L1443="L",1,0)</f>
        <v>1</v>
      </c>
      <c r="AH1443" s="52" t="s">
        <v>1017</v>
      </c>
      <c r="AI1443" s="52" t="s">
        <v>1018</v>
      </c>
      <c r="AJ1443" s="52" t="s">
        <v>376</v>
      </c>
      <c r="AK1443" s="50" t="s">
        <v>658</v>
      </c>
      <c r="AL1443" s="52" t="s">
        <v>1017</v>
      </c>
      <c r="AM1443" s="52" t="s">
        <v>1018</v>
      </c>
      <c r="AN1443" s="52" t="s">
        <v>376</v>
      </c>
      <c r="AO1443" s="50" t="s">
        <v>658</v>
      </c>
      <c r="AP1443" s="52"/>
      <c r="AQ1443" s="52">
        <v>2</v>
      </c>
      <c r="AR1443" s="52"/>
      <c r="AS1443" s="52">
        <v>1</v>
      </c>
      <c r="AT1443" s="46" t="s">
        <v>1308</v>
      </c>
      <c r="AU1443" s="52" t="s">
        <v>376</v>
      </c>
      <c r="AV1443" s="52"/>
      <c r="AW1443" s="52" t="s">
        <v>30</v>
      </c>
      <c r="AX1443" s="52"/>
      <c r="AY1443" s="52" t="s">
        <v>30</v>
      </c>
      <c r="AZ1443" s="52"/>
      <c r="BA1443" s="52"/>
      <c r="BB1443" s="60"/>
      <c r="BC1443" s="52"/>
      <c r="BD1443" s="60"/>
      <c r="BE1443" s="60"/>
      <c r="BF1443" s="35">
        <v>1</v>
      </c>
      <c r="BG1443" s="52">
        <v>1</v>
      </c>
      <c r="BH1443" s="52"/>
      <c r="BI1443" s="52" t="s">
        <v>587</v>
      </c>
      <c r="BJ1443" s="52" t="s">
        <v>816</v>
      </c>
      <c r="BK1443" s="52">
        <v>2009</v>
      </c>
      <c r="BL1443" s="46" t="str">
        <f>BK1443&amp;BI1443</f>
        <v>2009Arsenal</v>
      </c>
      <c r="BM1443" s="52" t="str">
        <f>IF(AD1443="Home",BI1443,IF(AD1443="Away",BJ1443,Q1443))</f>
        <v>London</v>
      </c>
      <c r="BN1443" s="52"/>
      <c r="BO1443" s="52"/>
      <c r="BP1443" s="52"/>
      <c r="BQ1443" s="52"/>
      <c r="BR1443" s="52"/>
      <c r="BS1443" s="52"/>
      <c r="BT1443" s="52"/>
      <c r="BU1443" s="52"/>
      <c r="BV1443" s="52" t="s">
        <v>376</v>
      </c>
      <c r="BW1443" s="52" t="s">
        <v>376</v>
      </c>
      <c r="BX1443" s="52"/>
      <c r="BY1443" s="52"/>
      <c r="BZ1443" s="53"/>
      <c r="CA1443" s="53"/>
      <c r="CB1443" s="93" t="str">
        <f>IF(OR(C1443="",A1443="",B1443=""),"",TEXT(C1443,"0000")&amp;TEXT(A1443,"00")&amp;TEXT(B1443,"00"))</f>
        <v>20090418</v>
      </c>
    </row>
    <row r="1444" spans="1:80" s="46" customFormat="1" ht="12.95" customHeight="1" x14ac:dyDescent="0.2">
      <c r="A1444" s="46">
        <v>4</v>
      </c>
      <c r="B1444" s="46">
        <v>19</v>
      </c>
      <c r="C1444" s="46">
        <v>2009</v>
      </c>
      <c r="D1444" s="52" t="s">
        <v>658</v>
      </c>
      <c r="E1444" s="52" t="s">
        <v>264</v>
      </c>
      <c r="F1444" s="52" t="s">
        <v>1010</v>
      </c>
      <c r="G1444" s="52"/>
      <c r="H1444" s="52" t="s">
        <v>1011</v>
      </c>
      <c r="I1444" s="52"/>
      <c r="J1444" s="56">
        <v>39922</v>
      </c>
      <c r="K1444" s="52" t="s">
        <v>804</v>
      </c>
      <c r="L1444" s="56" t="s">
        <v>3</v>
      </c>
      <c r="M1444" s="52" t="s">
        <v>821</v>
      </c>
      <c r="N1444" s="57">
        <v>0</v>
      </c>
      <c r="O1444" s="57">
        <v>0</v>
      </c>
      <c r="P1444" s="52" t="s">
        <v>1415</v>
      </c>
      <c r="Q1444" s="52" t="s">
        <v>1017</v>
      </c>
      <c r="R1444" s="52" t="s">
        <v>376</v>
      </c>
      <c r="S1444" s="52" t="s">
        <v>1390</v>
      </c>
      <c r="T1444" s="52">
        <v>4</v>
      </c>
      <c r="U1444" s="52">
        <v>2</v>
      </c>
      <c r="V1444" s="52"/>
      <c r="W1444" s="52"/>
      <c r="X1444" s="52"/>
      <c r="Y1444" s="52"/>
      <c r="Z1444" s="57"/>
      <c r="AA1444" s="52"/>
      <c r="AB1444" s="52"/>
      <c r="AC1444" s="52"/>
      <c r="AD1444" s="52"/>
      <c r="AE1444" s="50">
        <f>IF(L1444="W",1,0)</f>
        <v>1</v>
      </c>
      <c r="AF1444" s="50">
        <f>IF(L1444="T",1,0)</f>
        <v>0</v>
      </c>
      <c r="AG1444" s="50">
        <f>IF(L1444="L",1,0)</f>
        <v>0</v>
      </c>
      <c r="AH1444" s="52" t="s">
        <v>588</v>
      </c>
      <c r="AI1444" s="52" t="s">
        <v>1175</v>
      </c>
      <c r="AJ1444" s="52" t="s">
        <v>376</v>
      </c>
      <c r="AK1444" s="50" t="s">
        <v>658</v>
      </c>
      <c r="AL1444" s="52" t="s">
        <v>1101</v>
      </c>
      <c r="AM1444" s="52" t="s">
        <v>1159</v>
      </c>
      <c r="AN1444" s="52" t="s">
        <v>376</v>
      </c>
      <c r="AO1444" s="50" t="s">
        <v>658</v>
      </c>
      <c r="AP1444" s="52"/>
      <c r="AQ1444" s="52">
        <v>2</v>
      </c>
      <c r="AR1444" s="52"/>
      <c r="AS1444" s="52"/>
      <c r="AU1444" s="52" t="s">
        <v>376</v>
      </c>
      <c r="AV1444" s="52"/>
      <c r="AW1444" s="52" t="s">
        <v>30</v>
      </c>
      <c r="AX1444" s="52"/>
      <c r="AY1444" s="52" t="s">
        <v>30</v>
      </c>
      <c r="AZ1444" s="52"/>
      <c r="BA1444" s="52"/>
      <c r="BB1444" s="60"/>
      <c r="BC1444" s="52"/>
      <c r="BD1444" s="60"/>
      <c r="BE1444" s="60"/>
      <c r="BF1444" s="35">
        <v>1</v>
      </c>
      <c r="BG1444" s="52">
        <v>1</v>
      </c>
      <c r="BH1444" s="52"/>
      <c r="BI1444" s="52" t="s">
        <v>804</v>
      </c>
      <c r="BJ1444" s="52" t="s">
        <v>821</v>
      </c>
      <c r="BK1444" s="52">
        <v>2009</v>
      </c>
      <c r="BL1444" s="46" t="str">
        <f>BK1444&amp;BI1444</f>
        <v>2009Everton</v>
      </c>
      <c r="BM1444" s="52" t="str">
        <f>IF(AD1444="Home",BI1444,IF(AD1444="Away",BJ1444,Q1444))</f>
        <v>London</v>
      </c>
      <c r="BN1444" s="52"/>
      <c r="BO1444" s="52"/>
      <c r="BP1444" s="52"/>
      <c r="BQ1444" s="52"/>
      <c r="BR1444" s="52"/>
      <c r="BS1444" s="52"/>
      <c r="BT1444" s="52"/>
      <c r="BU1444" s="52"/>
      <c r="BV1444" s="52" t="s">
        <v>376</v>
      </c>
      <c r="BW1444" s="52" t="s">
        <v>376</v>
      </c>
      <c r="BX1444" s="52"/>
      <c r="BY1444" s="52"/>
      <c r="BZ1444" s="53"/>
      <c r="CA1444" s="53"/>
      <c r="CB1444" s="93" t="str">
        <f>IF(OR(C1444="",A1444="",B1444=""),"",TEXT(C1444,"0000")&amp;TEXT(A1444,"00")&amp;TEXT(B1444,"00"))</f>
        <v>20090419</v>
      </c>
    </row>
    <row r="1445" spans="1:80" s="46" customFormat="1" ht="12.95" customHeight="1" x14ac:dyDescent="0.2">
      <c r="A1445" s="46">
        <v>4</v>
      </c>
      <c r="B1445" s="46">
        <v>19</v>
      </c>
      <c r="C1445" s="46">
        <v>2009</v>
      </c>
      <c r="D1445" s="52" t="s">
        <v>658</v>
      </c>
      <c r="E1445" s="52" t="s">
        <v>264</v>
      </c>
      <c r="F1445" s="52" t="s">
        <v>1010</v>
      </c>
      <c r="G1445" s="52"/>
      <c r="H1445" s="52" t="s">
        <v>1011</v>
      </c>
      <c r="I1445" s="52"/>
      <c r="J1445" s="56">
        <v>39922</v>
      </c>
      <c r="K1445" s="52" t="s">
        <v>821</v>
      </c>
      <c r="L1445" s="56" t="s">
        <v>4</v>
      </c>
      <c r="M1445" s="52" t="s">
        <v>804</v>
      </c>
      <c r="N1445" s="57">
        <v>0</v>
      </c>
      <c r="O1445" s="57">
        <v>0</v>
      </c>
      <c r="P1445" s="52" t="s">
        <v>1415</v>
      </c>
      <c r="Q1445" s="52" t="s">
        <v>1017</v>
      </c>
      <c r="R1445" s="52" t="s">
        <v>376</v>
      </c>
      <c r="S1445" s="52" t="s">
        <v>1390</v>
      </c>
      <c r="T1445" s="52">
        <v>2</v>
      </c>
      <c r="U1445" s="52">
        <v>4</v>
      </c>
      <c r="V1445" s="52"/>
      <c r="W1445" s="52"/>
      <c r="X1445" s="52"/>
      <c r="Y1445" s="52"/>
      <c r="Z1445" s="57"/>
      <c r="AA1445" s="52"/>
      <c r="AB1445" s="52"/>
      <c r="AC1445" s="52"/>
      <c r="AD1445" s="52"/>
      <c r="AE1445" s="50">
        <f>IF(L1445="W",1,0)</f>
        <v>0</v>
      </c>
      <c r="AF1445" s="50">
        <f>IF(L1445="T",1,0)</f>
        <v>0</v>
      </c>
      <c r="AG1445" s="50">
        <f>IF(L1445="L",1,0)</f>
        <v>1</v>
      </c>
      <c r="AH1445" s="52" t="s">
        <v>1101</v>
      </c>
      <c r="AI1445" s="52" t="s">
        <v>1159</v>
      </c>
      <c r="AJ1445" s="52" t="s">
        <v>376</v>
      </c>
      <c r="AK1445" s="50" t="s">
        <v>658</v>
      </c>
      <c r="AL1445" s="52" t="s">
        <v>588</v>
      </c>
      <c r="AM1445" s="52" t="s">
        <v>1175</v>
      </c>
      <c r="AN1445" s="52" t="s">
        <v>376</v>
      </c>
      <c r="AO1445" s="50" t="s">
        <v>658</v>
      </c>
      <c r="AP1445" s="52"/>
      <c r="AQ1445" s="52">
        <v>2</v>
      </c>
      <c r="AR1445" s="52"/>
      <c r="AS1445" s="52">
        <v>1</v>
      </c>
      <c r="AU1445" s="52" t="s">
        <v>376</v>
      </c>
      <c r="AV1445" s="52"/>
      <c r="AW1445" s="52" t="s">
        <v>30</v>
      </c>
      <c r="AX1445" s="52"/>
      <c r="AY1445" s="52" t="s">
        <v>30</v>
      </c>
      <c r="AZ1445" s="52"/>
      <c r="BA1445" s="52"/>
      <c r="BB1445" s="60"/>
      <c r="BC1445" s="52"/>
      <c r="BD1445" s="60"/>
      <c r="BE1445" s="60"/>
      <c r="BF1445" s="35">
        <v>1</v>
      </c>
      <c r="BG1445" s="52">
        <v>1</v>
      </c>
      <c r="BH1445" s="52"/>
      <c r="BI1445" s="52" t="s">
        <v>821</v>
      </c>
      <c r="BJ1445" s="52" t="s">
        <v>804</v>
      </c>
      <c r="BK1445" s="52">
        <v>2009</v>
      </c>
      <c r="BL1445" s="46" t="str">
        <f>BK1445&amp;BI1445</f>
        <v>2009Manchester United</v>
      </c>
      <c r="BM1445" s="52" t="str">
        <f>IF(AD1445="Home",BI1445,IF(AD1445="Away",BJ1445,Q1445))</f>
        <v>London</v>
      </c>
      <c r="BN1445" s="52"/>
      <c r="BO1445" s="52"/>
      <c r="BP1445" s="52"/>
      <c r="BQ1445" s="52"/>
      <c r="BR1445" s="52"/>
      <c r="BS1445" s="52"/>
      <c r="BT1445" s="52"/>
      <c r="BU1445" s="52"/>
      <c r="BV1445" s="52" t="s">
        <v>376</v>
      </c>
      <c r="BW1445" s="52" t="s">
        <v>376</v>
      </c>
      <c r="BX1445" s="52"/>
      <c r="BY1445" s="52"/>
      <c r="BZ1445" s="53"/>
      <c r="CA1445" s="53"/>
      <c r="CB1445" s="93" t="str">
        <f>IF(OR(C1445="",A1445="",B1445=""),"",TEXT(C1445,"0000")&amp;TEXT(A1445,"00")&amp;TEXT(B1445,"00"))</f>
        <v>20090419</v>
      </c>
    </row>
    <row r="1446" spans="1:80" s="46" customFormat="1" ht="12.95" customHeight="1" x14ac:dyDescent="0.2">
      <c r="A1446" s="46">
        <v>5</v>
      </c>
      <c r="B1446" s="46">
        <v>30</v>
      </c>
      <c r="C1446" s="46">
        <v>2009</v>
      </c>
      <c r="D1446" s="52" t="s">
        <v>658</v>
      </c>
      <c r="E1446" s="52" t="s">
        <v>264</v>
      </c>
      <c r="F1446" s="52" t="s">
        <v>1010</v>
      </c>
      <c r="G1446" s="52"/>
      <c r="H1446" s="52" t="s">
        <v>40</v>
      </c>
      <c r="I1446" s="52"/>
      <c r="J1446" s="56">
        <v>39963</v>
      </c>
      <c r="K1446" s="52" t="s">
        <v>816</v>
      </c>
      <c r="L1446" s="56" t="s">
        <v>3</v>
      </c>
      <c r="M1446" s="52" t="s">
        <v>804</v>
      </c>
      <c r="N1446" s="57">
        <v>2</v>
      </c>
      <c r="O1446" s="57">
        <v>1</v>
      </c>
      <c r="P1446" s="52" t="s">
        <v>1415</v>
      </c>
      <c r="Q1446" s="52" t="s">
        <v>1017</v>
      </c>
      <c r="R1446" s="52" t="s">
        <v>376</v>
      </c>
      <c r="S1446" s="52"/>
      <c r="T1446" s="52"/>
      <c r="U1446" s="52"/>
      <c r="V1446" s="52"/>
      <c r="W1446" s="52"/>
      <c r="X1446" s="52"/>
      <c r="Y1446" s="52"/>
      <c r="Z1446" s="57"/>
      <c r="AA1446" s="52"/>
      <c r="AB1446" s="52"/>
      <c r="AC1446" s="52"/>
      <c r="AD1446" s="52"/>
      <c r="AE1446" s="50">
        <f>IF(L1446="W",1,0)</f>
        <v>1</v>
      </c>
      <c r="AF1446" s="50">
        <f>IF(L1446="T",1,0)</f>
        <v>0</v>
      </c>
      <c r="AG1446" s="50">
        <f>IF(L1446="L",1,0)</f>
        <v>0</v>
      </c>
      <c r="AH1446" s="52" t="s">
        <v>1017</v>
      </c>
      <c r="AI1446" s="52" t="s">
        <v>1018</v>
      </c>
      <c r="AJ1446" s="52" t="s">
        <v>376</v>
      </c>
      <c r="AK1446" s="50" t="s">
        <v>658</v>
      </c>
      <c r="AL1446" s="52" t="s">
        <v>588</v>
      </c>
      <c r="AM1446" s="52" t="s">
        <v>1175</v>
      </c>
      <c r="AN1446" s="52" t="s">
        <v>376</v>
      </c>
      <c r="AO1446" s="50" t="s">
        <v>658</v>
      </c>
      <c r="AP1446" s="52"/>
      <c r="AQ1446" s="52">
        <v>1</v>
      </c>
      <c r="AR1446" s="52"/>
      <c r="AS1446" s="52" t="s">
        <v>1393</v>
      </c>
      <c r="AU1446" s="52" t="s">
        <v>376</v>
      </c>
      <c r="AV1446" s="52"/>
      <c r="AW1446" s="52" t="s">
        <v>30</v>
      </c>
      <c r="AX1446" s="52"/>
      <c r="AY1446" s="57" t="s">
        <v>30</v>
      </c>
      <c r="AZ1446" s="52"/>
      <c r="BA1446" s="52"/>
      <c r="BB1446" s="60" t="s">
        <v>30</v>
      </c>
      <c r="BC1446" s="52" t="s">
        <v>30</v>
      </c>
      <c r="BD1446" s="60"/>
      <c r="BE1446" s="60"/>
      <c r="BF1446" s="35">
        <v>1</v>
      </c>
      <c r="BG1446" s="52">
        <v>1</v>
      </c>
      <c r="BH1446" s="52"/>
      <c r="BI1446" s="52" t="s">
        <v>816</v>
      </c>
      <c r="BJ1446" s="52" t="s">
        <v>804</v>
      </c>
      <c r="BK1446" s="52">
        <v>2009</v>
      </c>
      <c r="BL1446" s="46" t="str">
        <f>BK1446&amp;BI1446</f>
        <v>2009Chelsea</v>
      </c>
      <c r="BM1446" s="52" t="str">
        <f>IF(AD1446="Home",BI1446,IF(AD1446="Away",BJ1446,Q1446))</f>
        <v>London</v>
      </c>
      <c r="BN1446" s="52"/>
      <c r="BO1446" s="52"/>
      <c r="BP1446" s="52"/>
      <c r="BQ1446" s="52"/>
      <c r="BR1446" s="52"/>
      <c r="BS1446" s="52"/>
      <c r="BT1446" s="52"/>
      <c r="BU1446" s="52"/>
      <c r="BV1446" s="52" t="s">
        <v>376</v>
      </c>
      <c r="BW1446" s="52" t="s">
        <v>376</v>
      </c>
      <c r="BX1446" s="52"/>
      <c r="BY1446" s="52"/>
      <c r="BZ1446" s="53"/>
      <c r="CA1446" s="53"/>
      <c r="CB1446" s="93" t="str">
        <f>IF(OR(C1446="",A1446="",B1446=""),"",TEXT(C1446,"0000")&amp;TEXT(A1446,"00")&amp;TEXT(B1446,"00"))</f>
        <v>20090530</v>
      </c>
    </row>
    <row r="1447" spans="1:80" s="46" customFormat="1" ht="12.95" customHeight="1" x14ac:dyDescent="0.2">
      <c r="A1447" s="46">
        <v>5</v>
      </c>
      <c r="B1447" s="46">
        <v>30</v>
      </c>
      <c r="C1447" s="46">
        <v>2009</v>
      </c>
      <c r="D1447" s="52" t="s">
        <v>658</v>
      </c>
      <c r="E1447" s="52" t="s">
        <v>264</v>
      </c>
      <c r="F1447" s="52" t="s">
        <v>1010</v>
      </c>
      <c r="G1447" s="52"/>
      <c r="H1447" s="52" t="s">
        <v>40</v>
      </c>
      <c r="I1447" s="52"/>
      <c r="J1447" s="56">
        <v>39963</v>
      </c>
      <c r="K1447" s="52" t="s">
        <v>804</v>
      </c>
      <c r="L1447" s="56" t="s">
        <v>4</v>
      </c>
      <c r="M1447" s="52" t="s">
        <v>816</v>
      </c>
      <c r="N1447" s="57">
        <v>1</v>
      </c>
      <c r="O1447" s="57">
        <v>2</v>
      </c>
      <c r="P1447" s="52" t="s">
        <v>1415</v>
      </c>
      <c r="Q1447" s="52" t="s">
        <v>1017</v>
      </c>
      <c r="R1447" s="52" t="s">
        <v>376</v>
      </c>
      <c r="S1447" s="52"/>
      <c r="T1447" s="52"/>
      <c r="U1447" s="52"/>
      <c r="V1447" s="52"/>
      <c r="W1447" s="52"/>
      <c r="X1447" s="52"/>
      <c r="Y1447" s="52"/>
      <c r="Z1447" s="57"/>
      <c r="AA1447" s="52"/>
      <c r="AB1447" s="52"/>
      <c r="AC1447" s="52"/>
      <c r="AD1447" s="52"/>
      <c r="AE1447" s="50">
        <f>IF(L1447="W",1,0)</f>
        <v>0</v>
      </c>
      <c r="AF1447" s="50">
        <f>IF(L1447="T",1,0)</f>
        <v>0</v>
      </c>
      <c r="AG1447" s="50">
        <f>IF(L1447="L",1,0)</f>
        <v>1</v>
      </c>
      <c r="AH1447" s="52" t="s">
        <v>588</v>
      </c>
      <c r="AI1447" s="52" t="s">
        <v>1175</v>
      </c>
      <c r="AJ1447" s="52" t="s">
        <v>376</v>
      </c>
      <c r="AK1447" s="50" t="s">
        <v>658</v>
      </c>
      <c r="AL1447" s="52" t="s">
        <v>1017</v>
      </c>
      <c r="AM1447" s="52" t="s">
        <v>1018</v>
      </c>
      <c r="AN1447" s="52" t="s">
        <v>376</v>
      </c>
      <c r="AO1447" s="50" t="s">
        <v>658</v>
      </c>
      <c r="AP1447" s="52"/>
      <c r="AQ1447" s="52">
        <v>1</v>
      </c>
      <c r="AR1447" s="52"/>
      <c r="AS1447" s="52">
        <v>1</v>
      </c>
      <c r="AU1447" s="52" t="s">
        <v>376</v>
      </c>
      <c r="AV1447" s="52"/>
      <c r="AW1447" s="52" t="s">
        <v>30</v>
      </c>
      <c r="AX1447" s="52"/>
      <c r="AY1447" s="52" t="s">
        <v>30</v>
      </c>
      <c r="AZ1447" s="52"/>
      <c r="BA1447" s="52"/>
      <c r="BB1447" s="60"/>
      <c r="BC1447" s="52" t="s">
        <v>30</v>
      </c>
      <c r="BD1447" s="60"/>
      <c r="BE1447" s="60" t="s">
        <v>1400</v>
      </c>
      <c r="BF1447" s="35">
        <v>1</v>
      </c>
      <c r="BG1447" s="52">
        <v>1</v>
      </c>
      <c r="BH1447" s="52"/>
      <c r="BI1447" s="52" t="s">
        <v>804</v>
      </c>
      <c r="BJ1447" s="52" t="s">
        <v>816</v>
      </c>
      <c r="BK1447" s="52">
        <v>2009</v>
      </c>
      <c r="BL1447" s="46" t="str">
        <f>BK1447&amp;BI1447</f>
        <v>2009Everton</v>
      </c>
      <c r="BM1447" s="52" t="str">
        <f>IF(AD1447="Home",BI1447,IF(AD1447="Away",BJ1447,Q1447))</f>
        <v>London</v>
      </c>
      <c r="BN1447" s="52"/>
      <c r="BO1447" s="52"/>
      <c r="BP1447" s="52"/>
      <c r="BQ1447" s="52"/>
      <c r="BR1447" s="52"/>
      <c r="BS1447" s="52"/>
      <c r="BT1447" s="52"/>
      <c r="BU1447" s="52"/>
      <c r="BV1447" s="52" t="s">
        <v>376</v>
      </c>
      <c r="BW1447" s="52" t="s">
        <v>376</v>
      </c>
      <c r="BX1447" s="52"/>
      <c r="BY1447" s="52"/>
      <c r="BZ1447" s="53"/>
      <c r="CA1447" s="53"/>
      <c r="CB1447" s="93" t="str">
        <f>IF(OR(C1447="",A1447="",B1447=""),"",TEXT(C1447,"0000")&amp;TEXT(A1447,"00")&amp;TEXT(B1447,"00"))</f>
        <v>20090530</v>
      </c>
    </row>
    <row r="1448" spans="1:80" s="46" customFormat="1" ht="12.95" customHeight="1" x14ac:dyDescent="0.2">
      <c r="A1448" s="46">
        <v>1</v>
      </c>
      <c r="B1448" s="46">
        <v>14</v>
      </c>
      <c r="C1448" s="46">
        <v>2010</v>
      </c>
      <c r="D1448" s="52" t="s">
        <v>658</v>
      </c>
      <c r="E1448" s="52" t="s">
        <v>258</v>
      </c>
      <c r="F1448" s="52" t="s">
        <v>1327</v>
      </c>
      <c r="G1448" s="52"/>
      <c r="H1448" s="52" t="s">
        <v>1011</v>
      </c>
      <c r="I1448" s="52">
        <v>1</v>
      </c>
      <c r="J1448" s="65">
        <v>40192</v>
      </c>
      <c r="K1448" s="66" t="s">
        <v>1094</v>
      </c>
      <c r="L1448" s="66" t="s">
        <v>4</v>
      </c>
      <c r="M1448" s="66" t="s">
        <v>806</v>
      </c>
      <c r="N1448" s="57">
        <v>0</v>
      </c>
      <c r="O1448" s="57">
        <v>1</v>
      </c>
      <c r="P1448" s="52" t="s">
        <v>1178</v>
      </c>
      <c r="Q1448" s="52" t="s">
        <v>1085</v>
      </c>
      <c r="R1448" s="52" t="s">
        <v>376</v>
      </c>
      <c r="S1448" s="52"/>
      <c r="T1448" s="52"/>
      <c r="U1448" s="52"/>
      <c r="V1448" s="52"/>
      <c r="W1448" s="52"/>
      <c r="X1448" s="52"/>
      <c r="Y1448" s="52"/>
      <c r="Z1448" s="57"/>
      <c r="AA1448" s="58">
        <v>0</v>
      </c>
      <c r="AB1448" s="58">
        <v>1</v>
      </c>
      <c r="AC1448" s="59">
        <v>0</v>
      </c>
      <c r="AD1448" s="66" t="s">
        <v>1033</v>
      </c>
      <c r="AE1448" s="50">
        <f>IF(L1448="W",1,0)</f>
        <v>0</v>
      </c>
      <c r="AF1448" s="50">
        <f>IF(L1448="T",1,0)</f>
        <v>0</v>
      </c>
      <c r="AG1448" s="50">
        <f>IF(L1448="L",1,0)</f>
        <v>1</v>
      </c>
      <c r="AH1448" s="52" t="s">
        <v>1085</v>
      </c>
      <c r="AI1448" s="52" t="s">
        <v>1086</v>
      </c>
      <c r="AJ1448" s="52" t="s">
        <v>376</v>
      </c>
      <c r="AK1448" s="50" t="s">
        <v>658</v>
      </c>
      <c r="AL1448" s="52" t="s">
        <v>1111</v>
      </c>
      <c r="AM1448" s="52" t="s">
        <v>1126</v>
      </c>
      <c r="AN1448" s="52" t="s">
        <v>376</v>
      </c>
      <c r="AO1448" s="50" t="s">
        <v>658</v>
      </c>
      <c r="AP1448" s="52"/>
      <c r="AQ1448" s="52">
        <v>2</v>
      </c>
      <c r="AR1448" s="52"/>
      <c r="AS1448" s="52"/>
      <c r="AU1448" s="52" t="s">
        <v>376</v>
      </c>
      <c r="AV1448" s="52"/>
      <c r="AW1448" s="52" t="s">
        <v>30</v>
      </c>
      <c r="AX1448" s="52"/>
      <c r="AY1448" s="52"/>
      <c r="AZ1448" s="52" t="s">
        <v>30</v>
      </c>
      <c r="BA1448" s="52"/>
      <c r="BB1448" s="60"/>
      <c r="BC1448" s="52"/>
      <c r="BD1448" s="60"/>
      <c r="BE1448" s="60"/>
      <c r="BF1448" s="35">
        <v>1</v>
      </c>
      <c r="BG1448" s="52">
        <v>1</v>
      </c>
      <c r="BH1448" s="52"/>
      <c r="BI1448" s="66" t="s">
        <v>1094</v>
      </c>
      <c r="BJ1448" s="66" t="s">
        <v>806</v>
      </c>
      <c r="BK1448" s="52">
        <v>2010</v>
      </c>
      <c r="BL1448" s="46" t="str">
        <f>BK1448&amp;BI1448</f>
        <v>2010Blackburn Rovers</v>
      </c>
      <c r="BM1448" s="52" t="str">
        <f>IF(AD1448="Home",BI1448,IF(AD1448="Away",BJ1448,Q1448))</f>
        <v>Blackburn Rovers</v>
      </c>
      <c r="BN1448" s="52"/>
      <c r="BO1448" s="52"/>
      <c r="BP1448" s="52"/>
      <c r="BQ1448" s="52"/>
      <c r="BR1448" s="52"/>
      <c r="BS1448" s="52"/>
      <c r="BT1448" s="52"/>
      <c r="BU1448" s="52"/>
      <c r="BV1448" s="52" t="s">
        <v>376</v>
      </c>
      <c r="BW1448" s="52" t="s">
        <v>376</v>
      </c>
      <c r="BX1448" s="52"/>
      <c r="BY1448" s="52"/>
      <c r="BZ1448" s="53"/>
      <c r="CA1448" s="53"/>
      <c r="CB1448" s="93" t="str">
        <f>IF(OR(C1448="",A1448="",B1448=""),"",TEXT(C1448,"0000")&amp;TEXT(A1448,"00")&amp;TEXT(B1448,"00"))</f>
        <v>20100114</v>
      </c>
    </row>
    <row r="1449" spans="1:80" s="46" customFormat="1" ht="12.95" customHeight="1" x14ac:dyDescent="0.2">
      <c r="A1449" s="46">
        <v>1</v>
      </c>
      <c r="B1449" s="46">
        <v>14</v>
      </c>
      <c r="C1449" s="46">
        <v>2010</v>
      </c>
      <c r="D1449" s="52" t="s">
        <v>658</v>
      </c>
      <c r="E1449" s="52" t="s">
        <v>258</v>
      </c>
      <c r="F1449" s="52" t="s">
        <v>1327</v>
      </c>
      <c r="G1449" s="52"/>
      <c r="H1449" s="52" t="s">
        <v>1011</v>
      </c>
      <c r="I1449" s="52">
        <v>1</v>
      </c>
      <c r="J1449" s="65">
        <v>40192</v>
      </c>
      <c r="K1449" s="66" t="s">
        <v>806</v>
      </c>
      <c r="L1449" s="66" t="s">
        <v>3</v>
      </c>
      <c r="M1449" s="66" t="s">
        <v>1094</v>
      </c>
      <c r="N1449" s="57">
        <v>1</v>
      </c>
      <c r="O1449" s="57">
        <v>0</v>
      </c>
      <c r="P1449" s="52" t="s">
        <v>1178</v>
      </c>
      <c r="Q1449" s="52" t="s">
        <v>1085</v>
      </c>
      <c r="R1449" s="52" t="s">
        <v>376</v>
      </c>
      <c r="S1449" s="52"/>
      <c r="T1449" s="52"/>
      <c r="U1449" s="52"/>
      <c r="V1449" s="52"/>
      <c r="W1449" s="52"/>
      <c r="X1449" s="52"/>
      <c r="Y1449" s="52"/>
      <c r="Z1449" s="57"/>
      <c r="AA1449" s="58">
        <v>1</v>
      </c>
      <c r="AB1449" s="58">
        <v>0</v>
      </c>
      <c r="AC1449" s="59">
        <v>1</v>
      </c>
      <c r="AD1449" s="66" t="s">
        <v>1037</v>
      </c>
      <c r="AE1449" s="50">
        <f>IF(L1449="W",1,0)</f>
        <v>1</v>
      </c>
      <c r="AF1449" s="50">
        <f>IF(L1449="T",1,0)</f>
        <v>0</v>
      </c>
      <c r="AG1449" s="50">
        <f>IF(L1449="L",1,0)</f>
        <v>0</v>
      </c>
      <c r="AH1449" s="52" t="s">
        <v>1111</v>
      </c>
      <c r="AI1449" s="52" t="s">
        <v>1126</v>
      </c>
      <c r="AJ1449" s="52" t="s">
        <v>376</v>
      </c>
      <c r="AK1449" s="50" t="s">
        <v>658</v>
      </c>
      <c r="AL1449" s="52" t="s">
        <v>1085</v>
      </c>
      <c r="AM1449" s="52" t="s">
        <v>1086</v>
      </c>
      <c r="AN1449" s="52" t="s">
        <v>376</v>
      </c>
      <c r="AO1449" s="50" t="s">
        <v>658</v>
      </c>
      <c r="AP1449" s="52"/>
      <c r="AQ1449" s="52">
        <v>2</v>
      </c>
      <c r="AR1449" s="52"/>
      <c r="AS1449" s="52"/>
      <c r="AU1449" s="52" t="s">
        <v>376</v>
      </c>
      <c r="AV1449" s="52"/>
      <c r="AW1449" s="52" t="s">
        <v>30</v>
      </c>
      <c r="AX1449" s="52"/>
      <c r="AY1449" s="52"/>
      <c r="AZ1449" s="52" t="s">
        <v>30</v>
      </c>
      <c r="BA1449" s="52"/>
      <c r="BB1449" s="60"/>
      <c r="BC1449" s="52"/>
      <c r="BD1449" s="60"/>
      <c r="BE1449" s="60"/>
      <c r="BF1449" s="35">
        <v>1</v>
      </c>
      <c r="BG1449" s="52">
        <v>1</v>
      </c>
      <c r="BH1449" s="52"/>
      <c r="BI1449" s="66" t="s">
        <v>806</v>
      </c>
      <c r="BJ1449" s="66" t="s">
        <v>1094</v>
      </c>
      <c r="BK1449" s="52">
        <v>2010</v>
      </c>
      <c r="BL1449" s="46" t="str">
        <f>BK1449&amp;BI1449</f>
        <v>2010Aston Villa</v>
      </c>
      <c r="BM1449" s="52" t="str">
        <f>IF(AD1449="Home",BI1449,IF(AD1449="Away",BJ1449,Q1449))</f>
        <v>Blackburn Rovers</v>
      </c>
      <c r="BN1449" s="52"/>
      <c r="BO1449" s="52"/>
      <c r="BP1449" s="52"/>
      <c r="BQ1449" s="52"/>
      <c r="BR1449" s="52"/>
      <c r="BS1449" s="52"/>
      <c r="BT1449" s="52"/>
      <c r="BU1449" s="52"/>
      <c r="BV1449" s="52" t="s">
        <v>376</v>
      </c>
      <c r="BW1449" s="52" t="s">
        <v>376</v>
      </c>
      <c r="BX1449" s="52"/>
      <c r="BY1449" s="52"/>
      <c r="BZ1449" s="53"/>
      <c r="CA1449" s="53"/>
      <c r="CB1449" s="93" t="str">
        <f>IF(OR(C1449="",A1449="",B1449=""),"",TEXT(C1449,"0000")&amp;TEXT(A1449,"00")&amp;TEXT(B1449,"00"))</f>
        <v>20100114</v>
      </c>
    </row>
    <row r="1450" spans="1:80" s="46" customFormat="1" ht="12.95" customHeight="1" x14ac:dyDescent="0.2">
      <c r="A1450" s="46">
        <v>1</v>
      </c>
      <c r="B1450" s="46">
        <v>19</v>
      </c>
      <c r="C1450" s="46">
        <v>2010</v>
      </c>
      <c r="D1450" s="52" t="s">
        <v>658</v>
      </c>
      <c r="E1450" s="52" t="s">
        <v>258</v>
      </c>
      <c r="F1450" s="52" t="s">
        <v>1327</v>
      </c>
      <c r="G1450" s="52"/>
      <c r="H1450" s="52" t="s">
        <v>1011</v>
      </c>
      <c r="I1450" s="52">
        <v>1</v>
      </c>
      <c r="J1450" s="65">
        <v>40197</v>
      </c>
      <c r="K1450" s="66" t="s">
        <v>823</v>
      </c>
      <c r="L1450" s="66" t="s">
        <v>3</v>
      </c>
      <c r="M1450" s="66" t="s">
        <v>821</v>
      </c>
      <c r="N1450" s="57">
        <v>2</v>
      </c>
      <c r="O1450" s="57">
        <v>1</v>
      </c>
      <c r="P1450" s="52" t="s">
        <v>1418</v>
      </c>
      <c r="Q1450" s="52" t="s">
        <v>1101</v>
      </c>
      <c r="R1450" s="52" t="s">
        <v>376</v>
      </c>
      <c r="S1450" s="52"/>
      <c r="T1450" s="52"/>
      <c r="U1450" s="52"/>
      <c r="V1450" s="52"/>
      <c r="W1450" s="52"/>
      <c r="X1450" s="52"/>
      <c r="Y1450" s="52"/>
      <c r="Z1450" s="57"/>
      <c r="AA1450" s="58">
        <v>2</v>
      </c>
      <c r="AB1450" s="58">
        <v>1</v>
      </c>
      <c r="AC1450" s="59">
        <v>0</v>
      </c>
      <c r="AD1450" s="66" t="s">
        <v>1033</v>
      </c>
      <c r="AE1450" s="50">
        <f>IF(L1450="W",1,0)</f>
        <v>1</v>
      </c>
      <c r="AF1450" s="50">
        <f>IF(L1450="T",1,0)</f>
        <v>0</v>
      </c>
      <c r="AG1450" s="50">
        <f>IF(L1450="L",1,0)</f>
        <v>0</v>
      </c>
      <c r="AH1450" s="52" t="s">
        <v>1101</v>
      </c>
      <c r="AI1450" s="52" t="s">
        <v>1159</v>
      </c>
      <c r="AJ1450" s="52" t="s">
        <v>376</v>
      </c>
      <c r="AK1450" s="50" t="s">
        <v>658</v>
      </c>
      <c r="AL1450" s="52" t="s">
        <v>1101</v>
      </c>
      <c r="AM1450" s="52" t="s">
        <v>1159</v>
      </c>
      <c r="AN1450" s="52" t="s">
        <v>376</v>
      </c>
      <c r="AO1450" s="50" t="s">
        <v>658</v>
      </c>
      <c r="AP1450" s="52"/>
      <c r="AQ1450" s="52">
        <v>2</v>
      </c>
      <c r="AR1450" s="52"/>
      <c r="AS1450" s="52"/>
      <c r="AT1450" s="46" t="s">
        <v>1272</v>
      </c>
      <c r="AU1450" s="52" t="s">
        <v>376</v>
      </c>
      <c r="AV1450" s="52"/>
      <c r="AW1450" s="52" t="s">
        <v>30</v>
      </c>
      <c r="AX1450" s="52"/>
      <c r="AY1450" s="52"/>
      <c r="AZ1450" s="52" t="s">
        <v>30</v>
      </c>
      <c r="BA1450" s="52"/>
      <c r="BB1450" s="60"/>
      <c r="BC1450" s="52"/>
      <c r="BD1450" s="60"/>
      <c r="BE1450" s="60"/>
      <c r="BF1450" s="35">
        <v>1</v>
      </c>
      <c r="BG1450" s="52">
        <v>1</v>
      </c>
      <c r="BH1450" s="52"/>
      <c r="BI1450" s="66" t="s">
        <v>823</v>
      </c>
      <c r="BJ1450" s="66" t="s">
        <v>821</v>
      </c>
      <c r="BK1450" s="52">
        <v>2010</v>
      </c>
      <c r="BL1450" s="46" t="str">
        <f>BK1450&amp;BI1450</f>
        <v>2010Manchester City</v>
      </c>
      <c r="BM1450" s="52" t="str">
        <f>IF(AD1450="Home",BI1450,IF(AD1450="Away",BJ1450,Q1450))</f>
        <v>Manchester City</v>
      </c>
      <c r="BN1450" s="52"/>
      <c r="BO1450" s="52"/>
      <c r="BP1450" s="52"/>
      <c r="BQ1450" s="52"/>
      <c r="BR1450" s="52"/>
      <c r="BS1450" s="52"/>
      <c r="BT1450" s="52"/>
      <c r="BU1450" s="52"/>
      <c r="BV1450" s="52" t="s">
        <v>376</v>
      </c>
      <c r="BW1450" s="52" t="s">
        <v>376</v>
      </c>
      <c r="BX1450" s="52"/>
      <c r="BY1450" s="52"/>
      <c r="BZ1450" s="53"/>
      <c r="CA1450" s="53"/>
      <c r="CB1450" s="93" t="str">
        <f>IF(OR(C1450="",A1450="",B1450=""),"",TEXT(C1450,"0000")&amp;TEXT(A1450,"00")&amp;TEXT(B1450,"00"))</f>
        <v>20100119</v>
      </c>
    </row>
    <row r="1451" spans="1:80" s="46" customFormat="1" ht="12.95" customHeight="1" x14ac:dyDescent="0.2">
      <c r="A1451" s="46">
        <v>1</v>
      </c>
      <c r="B1451" s="46">
        <v>19</v>
      </c>
      <c r="C1451" s="46">
        <v>2010</v>
      </c>
      <c r="D1451" s="52" t="s">
        <v>658</v>
      </c>
      <c r="E1451" s="52" t="s">
        <v>258</v>
      </c>
      <c r="F1451" s="52" t="s">
        <v>1327</v>
      </c>
      <c r="G1451" s="52"/>
      <c r="H1451" s="52" t="s">
        <v>1011</v>
      </c>
      <c r="I1451" s="52">
        <v>1</v>
      </c>
      <c r="J1451" s="65">
        <v>40197</v>
      </c>
      <c r="K1451" s="66" t="s">
        <v>821</v>
      </c>
      <c r="L1451" s="66" t="s">
        <v>4</v>
      </c>
      <c r="M1451" s="66" t="s">
        <v>823</v>
      </c>
      <c r="N1451" s="57">
        <v>1</v>
      </c>
      <c r="O1451" s="57">
        <v>2</v>
      </c>
      <c r="P1451" s="52" t="s">
        <v>1418</v>
      </c>
      <c r="Q1451" s="52" t="s">
        <v>1101</v>
      </c>
      <c r="R1451" s="52" t="s">
        <v>376</v>
      </c>
      <c r="S1451" s="52"/>
      <c r="T1451" s="52"/>
      <c r="U1451" s="52"/>
      <c r="V1451" s="52"/>
      <c r="W1451" s="52"/>
      <c r="X1451" s="52"/>
      <c r="Y1451" s="52"/>
      <c r="Z1451" s="57"/>
      <c r="AA1451" s="58">
        <v>1</v>
      </c>
      <c r="AB1451" s="58">
        <v>2</v>
      </c>
      <c r="AC1451" s="59">
        <v>1</v>
      </c>
      <c r="AD1451" s="66" t="s">
        <v>1037</v>
      </c>
      <c r="AE1451" s="50">
        <f>IF(L1451="W",1,0)</f>
        <v>0</v>
      </c>
      <c r="AF1451" s="50">
        <f>IF(L1451="T",1,0)</f>
        <v>0</v>
      </c>
      <c r="AG1451" s="50">
        <f>IF(L1451="L",1,0)</f>
        <v>1</v>
      </c>
      <c r="AH1451" s="52" t="s">
        <v>1101</v>
      </c>
      <c r="AI1451" s="52" t="s">
        <v>1159</v>
      </c>
      <c r="AJ1451" s="52" t="s">
        <v>376</v>
      </c>
      <c r="AK1451" s="50" t="s">
        <v>658</v>
      </c>
      <c r="AL1451" s="52" t="s">
        <v>1101</v>
      </c>
      <c r="AM1451" s="52" t="s">
        <v>1159</v>
      </c>
      <c r="AN1451" s="52" t="s">
        <v>376</v>
      </c>
      <c r="AO1451" s="50" t="s">
        <v>658</v>
      </c>
      <c r="AP1451" s="52"/>
      <c r="AQ1451" s="52">
        <v>2</v>
      </c>
      <c r="AR1451" s="52"/>
      <c r="AS1451" s="52"/>
      <c r="AT1451" s="46" t="s">
        <v>1272</v>
      </c>
      <c r="AU1451" s="52" t="s">
        <v>376</v>
      </c>
      <c r="AV1451" s="52"/>
      <c r="AW1451" s="52" t="s">
        <v>30</v>
      </c>
      <c r="AX1451" s="52"/>
      <c r="AY1451" s="52"/>
      <c r="AZ1451" s="52" t="s">
        <v>30</v>
      </c>
      <c r="BA1451" s="52"/>
      <c r="BB1451" s="60"/>
      <c r="BC1451" s="52"/>
      <c r="BD1451" s="60"/>
      <c r="BE1451" s="60"/>
      <c r="BF1451" s="35">
        <v>1</v>
      </c>
      <c r="BG1451" s="52">
        <v>1</v>
      </c>
      <c r="BH1451" s="52"/>
      <c r="BI1451" s="66" t="s">
        <v>821</v>
      </c>
      <c r="BJ1451" s="66" t="s">
        <v>823</v>
      </c>
      <c r="BK1451" s="52">
        <v>2010</v>
      </c>
      <c r="BL1451" s="46" t="str">
        <f>BK1451&amp;BI1451</f>
        <v>2010Manchester United</v>
      </c>
      <c r="BM1451" s="52" t="str">
        <f>IF(AD1451="Home",BI1451,IF(AD1451="Away",BJ1451,Q1451))</f>
        <v>Manchester City</v>
      </c>
      <c r="BN1451" s="52"/>
      <c r="BO1451" s="52"/>
      <c r="BP1451" s="52"/>
      <c r="BQ1451" s="52"/>
      <c r="BR1451" s="52"/>
      <c r="BS1451" s="52"/>
      <c r="BT1451" s="52"/>
      <c r="BU1451" s="52"/>
      <c r="BV1451" s="52" t="s">
        <v>376</v>
      </c>
      <c r="BW1451" s="52" t="s">
        <v>376</v>
      </c>
      <c r="BX1451" s="52"/>
      <c r="BY1451" s="52"/>
      <c r="BZ1451" s="53"/>
      <c r="CA1451" s="53"/>
      <c r="CB1451" s="93" t="str">
        <f>IF(OR(C1451="",A1451="",B1451=""),"",TEXT(C1451,"0000")&amp;TEXT(A1451,"00")&amp;TEXT(B1451,"00"))</f>
        <v>20100119</v>
      </c>
    </row>
    <row r="1452" spans="1:80" s="46" customFormat="1" ht="12.95" customHeight="1" x14ac:dyDescent="0.2">
      <c r="A1452" s="46">
        <v>1</v>
      </c>
      <c r="B1452" s="46">
        <v>20</v>
      </c>
      <c r="C1452" s="46">
        <v>2010</v>
      </c>
      <c r="D1452" s="52" t="s">
        <v>658</v>
      </c>
      <c r="E1452" s="52" t="s">
        <v>258</v>
      </c>
      <c r="F1452" s="52" t="s">
        <v>1327</v>
      </c>
      <c r="G1452" s="52"/>
      <c r="H1452" s="52" t="s">
        <v>1011</v>
      </c>
      <c r="I1452" s="52">
        <v>2</v>
      </c>
      <c r="J1452" s="65">
        <v>40198</v>
      </c>
      <c r="K1452" s="66" t="s">
        <v>806</v>
      </c>
      <c r="L1452" s="66" t="s">
        <v>3</v>
      </c>
      <c r="M1452" s="66" t="s">
        <v>1094</v>
      </c>
      <c r="N1452" s="57">
        <v>6</v>
      </c>
      <c r="O1452" s="57">
        <v>4</v>
      </c>
      <c r="P1452" s="52" t="s">
        <v>1219</v>
      </c>
      <c r="Q1452" s="52" t="s">
        <v>1111</v>
      </c>
      <c r="R1452" s="52" t="s">
        <v>376</v>
      </c>
      <c r="S1452" s="52"/>
      <c r="T1452" s="52"/>
      <c r="U1452" s="52"/>
      <c r="V1452" s="52"/>
      <c r="W1452" s="52"/>
      <c r="X1452" s="52"/>
      <c r="Y1452" s="52"/>
      <c r="Z1452" s="57"/>
      <c r="AA1452" s="58">
        <v>7</v>
      </c>
      <c r="AB1452" s="58">
        <v>4</v>
      </c>
      <c r="AC1452" s="59">
        <v>1</v>
      </c>
      <c r="AD1452" s="66" t="s">
        <v>1033</v>
      </c>
      <c r="AE1452" s="50">
        <f>IF(L1452="W",1,0)</f>
        <v>1</v>
      </c>
      <c r="AF1452" s="50">
        <f>IF(L1452="T",1,0)</f>
        <v>0</v>
      </c>
      <c r="AG1452" s="50">
        <f>IF(L1452="L",1,0)</f>
        <v>0</v>
      </c>
      <c r="AH1452" s="52" t="s">
        <v>1111</v>
      </c>
      <c r="AI1452" s="52" t="s">
        <v>1126</v>
      </c>
      <c r="AJ1452" s="52" t="s">
        <v>376</v>
      </c>
      <c r="AK1452" s="50" t="s">
        <v>658</v>
      </c>
      <c r="AL1452" s="52" t="s">
        <v>1085</v>
      </c>
      <c r="AM1452" s="52" t="s">
        <v>1086</v>
      </c>
      <c r="AN1452" s="52" t="s">
        <v>376</v>
      </c>
      <c r="AO1452" s="50" t="s">
        <v>658</v>
      </c>
      <c r="AP1452" s="52"/>
      <c r="AQ1452" s="52">
        <v>2</v>
      </c>
      <c r="AR1452" s="52"/>
      <c r="AS1452" s="52"/>
      <c r="AU1452" s="52" t="s">
        <v>376</v>
      </c>
      <c r="AV1452" s="52"/>
      <c r="AW1452" s="52" t="s">
        <v>30</v>
      </c>
      <c r="AX1452" s="52"/>
      <c r="AY1452" s="52"/>
      <c r="AZ1452" s="52" t="s">
        <v>30</v>
      </c>
      <c r="BA1452" s="52"/>
      <c r="BB1452" s="60"/>
      <c r="BC1452" s="52"/>
      <c r="BD1452" s="60"/>
      <c r="BE1452" s="60"/>
      <c r="BF1452" s="35">
        <v>1</v>
      </c>
      <c r="BG1452" s="52">
        <v>1</v>
      </c>
      <c r="BH1452" s="52"/>
      <c r="BI1452" s="66" t="s">
        <v>806</v>
      </c>
      <c r="BJ1452" s="66" t="s">
        <v>1094</v>
      </c>
      <c r="BK1452" s="52">
        <v>2010</v>
      </c>
      <c r="BL1452" s="46" t="str">
        <f>BK1452&amp;BI1452</f>
        <v>2010Aston Villa</v>
      </c>
      <c r="BM1452" s="52" t="str">
        <f>IF(AD1452="Home",BI1452,IF(AD1452="Away",BJ1452,Q1452))</f>
        <v>Aston Villa</v>
      </c>
      <c r="BN1452" s="52"/>
      <c r="BO1452" s="52"/>
      <c r="BP1452" s="52"/>
      <c r="BQ1452" s="52"/>
      <c r="BR1452" s="52"/>
      <c r="BS1452" s="52"/>
      <c r="BT1452" s="52"/>
      <c r="BU1452" s="52"/>
      <c r="BV1452" s="52" t="s">
        <v>376</v>
      </c>
      <c r="BW1452" s="52" t="s">
        <v>376</v>
      </c>
      <c r="BX1452" s="52"/>
      <c r="BY1452" s="52"/>
      <c r="BZ1452" s="53"/>
      <c r="CA1452" s="53"/>
      <c r="CB1452" s="93" t="str">
        <f>IF(OR(C1452="",A1452="",B1452=""),"",TEXT(C1452,"0000")&amp;TEXT(A1452,"00")&amp;TEXT(B1452,"00"))</f>
        <v>20100120</v>
      </c>
    </row>
    <row r="1453" spans="1:80" s="46" customFormat="1" ht="12.95" customHeight="1" x14ac:dyDescent="0.2">
      <c r="A1453" s="46">
        <v>1</v>
      </c>
      <c r="B1453" s="46">
        <v>20</v>
      </c>
      <c r="C1453" s="46">
        <v>2010</v>
      </c>
      <c r="D1453" s="52" t="s">
        <v>658</v>
      </c>
      <c r="E1453" s="52" t="s">
        <v>258</v>
      </c>
      <c r="F1453" s="52" t="s">
        <v>1327</v>
      </c>
      <c r="G1453" s="52"/>
      <c r="H1453" s="52" t="s">
        <v>1011</v>
      </c>
      <c r="I1453" s="52">
        <v>2</v>
      </c>
      <c r="J1453" s="65">
        <v>40198</v>
      </c>
      <c r="K1453" s="66" t="s">
        <v>1094</v>
      </c>
      <c r="L1453" s="66" t="s">
        <v>4</v>
      </c>
      <c r="M1453" s="66" t="s">
        <v>806</v>
      </c>
      <c r="N1453" s="57">
        <v>4</v>
      </c>
      <c r="O1453" s="57">
        <v>6</v>
      </c>
      <c r="P1453" s="52" t="s">
        <v>1219</v>
      </c>
      <c r="Q1453" s="52" t="s">
        <v>1111</v>
      </c>
      <c r="R1453" s="52" t="s">
        <v>376</v>
      </c>
      <c r="S1453" s="52"/>
      <c r="T1453" s="52"/>
      <c r="U1453" s="52"/>
      <c r="V1453" s="52"/>
      <c r="W1453" s="52"/>
      <c r="X1453" s="52"/>
      <c r="Y1453" s="52"/>
      <c r="Z1453" s="57"/>
      <c r="AA1453" s="58">
        <v>4</v>
      </c>
      <c r="AB1453" s="58">
        <v>7</v>
      </c>
      <c r="AC1453" s="59">
        <v>4</v>
      </c>
      <c r="AD1453" s="66" t="s">
        <v>1037</v>
      </c>
      <c r="AE1453" s="50">
        <f>IF(L1453="W",1,0)</f>
        <v>0</v>
      </c>
      <c r="AF1453" s="50">
        <f>IF(L1453="T",1,0)</f>
        <v>0</v>
      </c>
      <c r="AG1453" s="50">
        <f>IF(L1453="L",1,0)</f>
        <v>1</v>
      </c>
      <c r="AH1453" s="52" t="s">
        <v>1085</v>
      </c>
      <c r="AI1453" s="52" t="s">
        <v>1086</v>
      </c>
      <c r="AJ1453" s="52" t="s">
        <v>376</v>
      </c>
      <c r="AK1453" s="50" t="s">
        <v>658</v>
      </c>
      <c r="AL1453" s="52" t="s">
        <v>1111</v>
      </c>
      <c r="AM1453" s="52" t="s">
        <v>1126</v>
      </c>
      <c r="AN1453" s="52" t="s">
        <v>376</v>
      </c>
      <c r="AO1453" s="50" t="s">
        <v>658</v>
      </c>
      <c r="AP1453" s="52"/>
      <c r="AQ1453" s="52">
        <v>2</v>
      </c>
      <c r="AR1453" s="52"/>
      <c r="AS1453" s="52">
        <v>1</v>
      </c>
      <c r="AU1453" s="52" t="s">
        <v>376</v>
      </c>
      <c r="AV1453" s="52"/>
      <c r="AW1453" s="52" t="s">
        <v>30</v>
      </c>
      <c r="AX1453" s="52"/>
      <c r="AY1453" s="52"/>
      <c r="AZ1453" s="52" t="s">
        <v>30</v>
      </c>
      <c r="BA1453" s="52"/>
      <c r="BB1453" s="60"/>
      <c r="BC1453" s="52"/>
      <c r="BD1453" s="60"/>
      <c r="BE1453" s="60"/>
      <c r="BF1453" s="35">
        <v>1</v>
      </c>
      <c r="BG1453" s="52">
        <v>1</v>
      </c>
      <c r="BH1453" s="52"/>
      <c r="BI1453" s="66" t="s">
        <v>1094</v>
      </c>
      <c r="BJ1453" s="66" t="s">
        <v>806</v>
      </c>
      <c r="BK1453" s="52">
        <v>2010</v>
      </c>
      <c r="BL1453" s="46" t="str">
        <f>BK1453&amp;BI1453</f>
        <v>2010Blackburn Rovers</v>
      </c>
      <c r="BM1453" s="52" t="str">
        <f>IF(AD1453="Home",BI1453,IF(AD1453="Away",BJ1453,Q1453))</f>
        <v>Aston Villa</v>
      </c>
      <c r="BN1453" s="52"/>
      <c r="BO1453" s="52"/>
      <c r="BP1453" s="52"/>
      <c r="BQ1453" s="52"/>
      <c r="BR1453" s="52"/>
      <c r="BS1453" s="52"/>
      <c r="BT1453" s="52"/>
      <c r="BU1453" s="52"/>
      <c r="BV1453" s="52" t="s">
        <v>376</v>
      </c>
      <c r="BW1453" s="52" t="s">
        <v>376</v>
      </c>
      <c r="BX1453" s="52"/>
      <c r="BY1453" s="52"/>
      <c r="BZ1453" s="53"/>
      <c r="CA1453" s="53"/>
      <c r="CB1453" s="93" t="str">
        <f>IF(OR(C1453="",A1453="",B1453=""),"",TEXT(C1453,"0000")&amp;TEXT(A1453,"00")&amp;TEXT(B1453,"00"))</f>
        <v>20100120</v>
      </c>
    </row>
    <row r="1454" spans="1:80" s="46" customFormat="1" ht="12.95" customHeight="1" x14ac:dyDescent="0.2">
      <c r="A1454" s="46">
        <v>1</v>
      </c>
      <c r="B1454" s="46">
        <v>27</v>
      </c>
      <c r="C1454" s="46">
        <v>2010</v>
      </c>
      <c r="D1454" s="52" t="s">
        <v>658</v>
      </c>
      <c r="E1454" s="52" t="s">
        <v>258</v>
      </c>
      <c r="F1454" s="52" t="s">
        <v>1327</v>
      </c>
      <c r="G1454" s="52"/>
      <c r="H1454" s="52" t="s">
        <v>1011</v>
      </c>
      <c r="I1454" s="52">
        <v>2</v>
      </c>
      <c r="J1454" s="65">
        <v>40205</v>
      </c>
      <c r="K1454" s="66" t="s">
        <v>821</v>
      </c>
      <c r="L1454" s="66" t="s">
        <v>3</v>
      </c>
      <c r="M1454" s="66" t="s">
        <v>823</v>
      </c>
      <c r="N1454" s="57">
        <v>3</v>
      </c>
      <c r="O1454" s="57">
        <v>1</v>
      </c>
      <c r="P1454" s="52" t="s">
        <v>1246</v>
      </c>
      <c r="Q1454" s="52" t="s">
        <v>1101</v>
      </c>
      <c r="R1454" s="52" t="s">
        <v>376</v>
      </c>
      <c r="S1454" s="52"/>
      <c r="T1454" s="52"/>
      <c r="U1454" s="52"/>
      <c r="V1454" s="52"/>
      <c r="W1454" s="52"/>
      <c r="X1454" s="52"/>
      <c r="Y1454" s="52"/>
      <c r="Z1454" s="57"/>
      <c r="AA1454" s="58">
        <v>4</v>
      </c>
      <c r="AB1454" s="58">
        <v>3</v>
      </c>
      <c r="AC1454" s="59">
        <v>1</v>
      </c>
      <c r="AD1454" s="66" t="s">
        <v>1033</v>
      </c>
      <c r="AE1454" s="50">
        <f>IF(L1454="W",1,0)</f>
        <v>1</v>
      </c>
      <c r="AF1454" s="50">
        <f>IF(L1454="T",1,0)</f>
        <v>0</v>
      </c>
      <c r="AG1454" s="50">
        <f>IF(L1454="L",1,0)</f>
        <v>0</v>
      </c>
      <c r="AH1454" s="52" t="s">
        <v>1101</v>
      </c>
      <c r="AI1454" s="52" t="s">
        <v>1159</v>
      </c>
      <c r="AJ1454" s="52" t="s">
        <v>376</v>
      </c>
      <c r="AK1454" s="50" t="s">
        <v>658</v>
      </c>
      <c r="AL1454" s="52" t="s">
        <v>1101</v>
      </c>
      <c r="AM1454" s="52" t="s">
        <v>1159</v>
      </c>
      <c r="AN1454" s="52" t="s">
        <v>376</v>
      </c>
      <c r="AO1454" s="50" t="s">
        <v>658</v>
      </c>
      <c r="AP1454" s="52"/>
      <c r="AQ1454" s="52">
        <v>2</v>
      </c>
      <c r="AR1454" s="52"/>
      <c r="AS1454" s="52"/>
      <c r="AT1454" s="46" t="s">
        <v>1272</v>
      </c>
      <c r="AU1454" s="52" t="s">
        <v>376</v>
      </c>
      <c r="AV1454" s="52"/>
      <c r="AW1454" s="52" t="s">
        <v>30</v>
      </c>
      <c r="AX1454" s="52"/>
      <c r="AY1454" s="52"/>
      <c r="AZ1454" s="52" t="s">
        <v>30</v>
      </c>
      <c r="BA1454" s="52"/>
      <c r="BB1454" s="60"/>
      <c r="BC1454" s="52"/>
      <c r="BD1454" s="60"/>
      <c r="BE1454" s="60"/>
      <c r="BF1454" s="35">
        <v>1</v>
      </c>
      <c r="BG1454" s="52">
        <v>1</v>
      </c>
      <c r="BH1454" s="52"/>
      <c r="BI1454" s="66" t="s">
        <v>821</v>
      </c>
      <c r="BJ1454" s="66" t="s">
        <v>823</v>
      </c>
      <c r="BK1454" s="52">
        <v>2010</v>
      </c>
      <c r="BL1454" s="46" t="str">
        <f>BK1454&amp;BI1454</f>
        <v>2010Manchester United</v>
      </c>
      <c r="BM1454" s="52" t="str">
        <f>IF(AD1454="Home",BI1454,IF(AD1454="Away",BJ1454,Q1454))</f>
        <v>Manchester United</v>
      </c>
      <c r="BN1454" s="52"/>
      <c r="BO1454" s="52"/>
      <c r="BP1454" s="52"/>
      <c r="BQ1454" s="52"/>
      <c r="BR1454" s="52"/>
      <c r="BS1454" s="52"/>
      <c r="BT1454" s="52"/>
      <c r="BU1454" s="52"/>
      <c r="BV1454" s="52" t="s">
        <v>376</v>
      </c>
      <c r="BW1454" s="52" t="s">
        <v>376</v>
      </c>
      <c r="BX1454" s="52"/>
      <c r="BY1454" s="52"/>
      <c r="BZ1454" s="53"/>
      <c r="CA1454" s="53"/>
      <c r="CB1454" s="93" t="str">
        <f>IF(OR(C1454="",A1454="",B1454=""),"",TEXT(C1454,"0000")&amp;TEXT(A1454,"00")&amp;TEXT(B1454,"00"))</f>
        <v>20100127</v>
      </c>
    </row>
    <row r="1455" spans="1:80" s="46" customFormat="1" ht="12.95" customHeight="1" x14ac:dyDescent="0.2">
      <c r="A1455" s="46">
        <v>1</v>
      </c>
      <c r="B1455" s="46">
        <v>27</v>
      </c>
      <c r="C1455" s="46">
        <v>2010</v>
      </c>
      <c r="D1455" s="52" t="s">
        <v>658</v>
      </c>
      <c r="E1455" s="52" t="s">
        <v>258</v>
      </c>
      <c r="F1455" s="52" t="s">
        <v>1327</v>
      </c>
      <c r="G1455" s="52"/>
      <c r="H1455" s="52" t="s">
        <v>1011</v>
      </c>
      <c r="I1455" s="52">
        <v>2</v>
      </c>
      <c r="J1455" s="65">
        <v>40205</v>
      </c>
      <c r="K1455" s="66" t="s">
        <v>823</v>
      </c>
      <c r="L1455" s="66" t="s">
        <v>4</v>
      </c>
      <c r="M1455" s="66" t="s">
        <v>821</v>
      </c>
      <c r="N1455" s="57">
        <v>1</v>
      </c>
      <c r="O1455" s="57">
        <v>3</v>
      </c>
      <c r="P1455" s="52" t="s">
        <v>1246</v>
      </c>
      <c r="Q1455" s="52" t="s">
        <v>1101</v>
      </c>
      <c r="R1455" s="52" t="s">
        <v>376</v>
      </c>
      <c r="S1455" s="52"/>
      <c r="T1455" s="52"/>
      <c r="U1455" s="52"/>
      <c r="V1455" s="52"/>
      <c r="W1455" s="52"/>
      <c r="X1455" s="52"/>
      <c r="Y1455" s="52"/>
      <c r="Z1455" s="57"/>
      <c r="AA1455" s="58">
        <v>3</v>
      </c>
      <c r="AB1455" s="58">
        <v>4</v>
      </c>
      <c r="AC1455" s="59">
        <v>1</v>
      </c>
      <c r="AD1455" s="66" t="s">
        <v>1037</v>
      </c>
      <c r="AE1455" s="50">
        <f>IF(L1455="W",1,0)</f>
        <v>0</v>
      </c>
      <c r="AF1455" s="50">
        <f>IF(L1455="T",1,0)</f>
        <v>0</v>
      </c>
      <c r="AG1455" s="50">
        <f>IF(L1455="L",1,0)</f>
        <v>1</v>
      </c>
      <c r="AH1455" s="52" t="s">
        <v>1101</v>
      </c>
      <c r="AI1455" s="52" t="s">
        <v>1159</v>
      </c>
      <c r="AJ1455" s="52" t="s">
        <v>376</v>
      </c>
      <c r="AK1455" s="50" t="s">
        <v>658</v>
      </c>
      <c r="AL1455" s="52" t="s">
        <v>1101</v>
      </c>
      <c r="AM1455" s="52" t="s">
        <v>1159</v>
      </c>
      <c r="AN1455" s="52" t="s">
        <v>376</v>
      </c>
      <c r="AO1455" s="50" t="s">
        <v>658</v>
      </c>
      <c r="AP1455" s="52"/>
      <c r="AQ1455" s="52">
        <v>2</v>
      </c>
      <c r="AR1455" s="52"/>
      <c r="AS1455" s="52">
        <v>1</v>
      </c>
      <c r="AT1455" s="46" t="s">
        <v>1272</v>
      </c>
      <c r="AU1455" s="52" t="s">
        <v>376</v>
      </c>
      <c r="AV1455" s="52"/>
      <c r="AW1455" s="52" t="s">
        <v>30</v>
      </c>
      <c r="AX1455" s="52"/>
      <c r="AY1455" s="52"/>
      <c r="AZ1455" s="52" t="s">
        <v>30</v>
      </c>
      <c r="BA1455" s="52"/>
      <c r="BB1455" s="60"/>
      <c r="BC1455" s="52"/>
      <c r="BD1455" s="60"/>
      <c r="BE1455" s="60"/>
      <c r="BF1455" s="35">
        <v>1</v>
      </c>
      <c r="BG1455" s="52">
        <v>1</v>
      </c>
      <c r="BH1455" s="52"/>
      <c r="BI1455" s="66" t="s">
        <v>823</v>
      </c>
      <c r="BJ1455" s="66" t="s">
        <v>821</v>
      </c>
      <c r="BK1455" s="52">
        <v>2010</v>
      </c>
      <c r="BL1455" s="46" t="str">
        <f>BK1455&amp;BI1455</f>
        <v>2010Manchester City</v>
      </c>
      <c r="BM1455" s="52" t="str">
        <f>IF(AD1455="Home",BI1455,IF(AD1455="Away",BJ1455,Q1455))</f>
        <v>Manchester United</v>
      </c>
      <c r="BN1455" s="52"/>
      <c r="BO1455" s="52"/>
      <c r="BP1455" s="52"/>
      <c r="BQ1455" s="52"/>
      <c r="BR1455" s="52"/>
      <c r="BS1455" s="52"/>
      <c r="BT1455" s="52"/>
      <c r="BU1455" s="52"/>
      <c r="BV1455" s="52" t="s">
        <v>376</v>
      </c>
      <c r="BW1455" s="52" t="s">
        <v>376</v>
      </c>
      <c r="BX1455" s="52"/>
      <c r="BY1455" s="52"/>
      <c r="BZ1455" s="53"/>
      <c r="CA1455" s="53"/>
      <c r="CB1455" s="93" t="str">
        <f>IF(OR(C1455="",A1455="",B1455=""),"",TEXT(C1455,"0000")&amp;TEXT(A1455,"00")&amp;TEXT(B1455,"00"))</f>
        <v>20100127</v>
      </c>
    </row>
    <row r="1456" spans="1:80" s="46" customFormat="1" ht="12.95" customHeight="1" x14ac:dyDescent="0.2">
      <c r="A1456" s="46">
        <v>2</v>
      </c>
      <c r="B1456" s="46">
        <v>28</v>
      </c>
      <c r="C1456" s="46">
        <v>2010</v>
      </c>
      <c r="D1456" s="52" t="s">
        <v>658</v>
      </c>
      <c r="E1456" s="52" t="s">
        <v>258</v>
      </c>
      <c r="F1456" s="52" t="s">
        <v>1327</v>
      </c>
      <c r="G1456" s="52"/>
      <c r="H1456" s="52" t="s">
        <v>40</v>
      </c>
      <c r="I1456" s="52"/>
      <c r="J1456" s="56">
        <v>40237</v>
      </c>
      <c r="K1456" s="52" t="s">
        <v>821</v>
      </c>
      <c r="L1456" s="66" t="s">
        <v>3</v>
      </c>
      <c r="M1456" s="52" t="s">
        <v>806</v>
      </c>
      <c r="N1456" s="57">
        <v>2</v>
      </c>
      <c r="O1456" s="57">
        <v>1</v>
      </c>
      <c r="P1456" s="52" t="s">
        <v>1415</v>
      </c>
      <c r="Q1456" s="52" t="s">
        <v>1017</v>
      </c>
      <c r="R1456" s="52" t="s">
        <v>376</v>
      </c>
      <c r="S1456" s="52"/>
      <c r="T1456" s="52"/>
      <c r="U1456" s="52"/>
      <c r="V1456" s="52"/>
      <c r="W1456" s="52"/>
      <c r="X1456" s="52"/>
      <c r="Y1456" s="52"/>
      <c r="Z1456" s="57"/>
      <c r="AA1456" s="52"/>
      <c r="AB1456" s="52"/>
      <c r="AC1456" s="52"/>
      <c r="AD1456" s="52"/>
      <c r="AE1456" s="50">
        <f>IF(L1456="W",1,0)</f>
        <v>1</v>
      </c>
      <c r="AF1456" s="50">
        <f>IF(L1456="T",1,0)</f>
        <v>0</v>
      </c>
      <c r="AG1456" s="50">
        <f>IF(L1456="L",1,0)</f>
        <v>0</v>
      </c>
      <c r="AH1456" s="52" t="s">
        <v>1101</v>
      </c>
      <c r="AI1456" s="52" t="s">
        <v>1159</v>
      </c>
      <c r="AJ1456" s="52" t="s">
        <v>376</v>
      </c>
      <c r="AK1456" s="50" t="s">
        <v>658</v>
      </c>
      <c r="AL1456" s="52" t="s">
        <v>1111</v>
      </c>
      <c r="AM1456" s="52" t="s">
        <v>1126</v>
      </c>
      <c r="AN1456" s="52" t="s">
        <v>376</v>
      </c>
      <c r="AO1456" s="50" t="s">
        <v>658</v>
      </c>
      <c r="AP1456" s="52"/>
      <c r="AQ1456" s="52">
        <v>1</v>
      </c>
      <c r="AR1456" s="52"/>
      <c r="AS1456" s="52" t="s">
        <v>1393</v>
      </c>
      <c r="AU1456" s="52" t="s">
        <v>376</v>
      </c>
      <c r="AV1456" s="52"/>
      <c r="AW1456" s="52" t="s">
        <v>30</v>
      </c>
      <c r="AX1456" s="52"/>
      <c r="AY1456" s="52"/>
      <c r="AZ1456" s="57" t="s">
        <v>30</v>
      </c>
      <c r="BA1456" s="52"/>
      <c r="BB1456" s="60" t="s">
        <v>30</v>
      </c>
      <c r="BC1456" s="52" t="s">
        <v>30</v>
      </c>
      <c r="BD1456" s="60"/>
      <c r="BE1456" s="60" t="s">
        <v>1417</v>
      </c>
      <c r="BF1456" s="35">
        <v>1</v>
      </c>
      <c r="BG1456" s="52">
        <v>1</v>
      </c>
      <c r="BH1456" s="52"/>
      <c r="BI1456" s="52" t="s">
        <v>821</v>
      </c>
      <c r="BJ1456" s="52" t="s">
        <v>806</v>
      </c>
      <c r="BK1456" s="52">
        <v>2010</v>
      </c>
      <c r="BL1456" s="46" t="str">
        <f>BK1456&amp;BI1456</f>
        <v>2010Manchester United</v>
      </c>
      <c r="BM1456" s="52" t="str">
        <f>IF(AD1456="Home",BI1456,IF(AD1456="Away",BJ1456,Q1456))</f>
        <v>London</v>
      </c>
      <c r="BN1456" s="52"/>
      <c r="BO1456" s="52"/>
      <c r="BP1456" s="52"/>
      <c r="BQ1456" s="52"/>
      <c r="BR1456" s="52"/>
      <c r="BS1456" s="52"/>
      <c r="BT1456" s="52"/>
      <c r="BU1456" s="52"/>
      <c r="BV1456" s="52" t="s">
        <v>376</v>
      </c>
      <c r="BW1456" s="52" t="s">
        <v>376</v>
      </c>
      <c r="BX1456" s="52"/>
      <c r="BY1456" s="52"/>
      <c r="BZ1456" s="53"/>
      <c r="CA1456" s="53"/>
      <c r="CB1456" s="93" t="str">
        <f>IF(OR(C1456="",A1456="",B1456=""),"",TEXT(C1456,"0000")&amp;TEXT(A1456,"00")&amp;TEXT(B1456,"00"))</f>
        <v>20100228</v>
      </c>
    </row>
    <row r="1457" spans="1:80" s="46" customFormat="1" ht="12.95" customHeight="1" x14ac:dyDescent="0.2">
      <c r="A1457" s="46">
        <v>2</v>
      </c>
      <c r="B1457" s="46">
        <v>28</v>
      </c>
      <c r="C1457" s="46">
        <v>2010</v>
      </c>
      <c r="D1457" s="52" t="s">
        <v>658</v>
      </c>
      <c r="E1457" s="52" t="s">
        <v>258</v>
      </c>
      <c r="F1457" s="52" t="s">
        <v>1327</v>
      </c>
      <c r="G1457" s="52"/>
      <c r="H1457" s="52" t="s">
        <v>40</v>
      </c>
      <c r="I1457" s="52"/>
      <c r="J1457" s="56">
        <v>40237</v>
      </c>
      <c r="K1457" s="52" t="s">
        <v>806</v>
      </c>
      <c r="L1457" s="66" t="s">
        <v>4</v>
      </c>
      <c r="M1457" s="52" t="s">
        <v>821</v>
      </c>
      <c r="N1457" s="57">
        <v>1</v>
      </c>
      <c r="O1457" s="57">
        <v>2</v>
      </c>
      <c r="P1457" s="52" t="s">
        <v>1415</v>
      </c>
      <c r="Q1457" s="52" t="s">
        <v>1017</v>
      </c>
      <c r="R1457" s="52" t="s">
        <v>376</v>
      </c>
      <c r="S1457" s="52"/>
      <c r="T1457" s="52"/>
      <c r="U1457" s="52"/>
      <c r="V1457" s="52"/>
      <c r="W1457" s="52"/>
      <c r="X1457" s="52"/>
      <c r="Y1457" s="52"/>
      <c r="Z1457" s="57"/>
      <c r="AA1457" s="52"/>
      <c r="AB1457" s="52"/>
      <c r="AC1457" s="52"/>
      <c r="AD1457" s="52"/>
      <c r="AE1457" s="50">
        <f>IF(L1457="W",1,0)</f>
        <v>0</v>
      </c>
      <c r="AF1457" s="50">
        <f>IF(L1457="T",1,0)</f>
        <v>0</v>
      </c>
      <c r="AG1457" s="50">
        <f>IF(L1457="L",1,0)</f>
        <v>1</v>
      </c>
      <c r="AH1457" s="52" t="s">
        <v>1111</v>
      </c>
      <c r="AI1457" s="52" t="s">
        <v>1126</v>
      </c>
      <c r="AJ1457" s="52" t="s">
        <v>376</v>
      </c>
      <c r="AK1457" s="50" t="s">
        <v>658</v>
      </c>
      <c r="AL1457" s="52" t="s">
        <v>1101</v>
      </c>
      <c r="AM1457" s="52" t="s">
        <v>1159</v>
      </c>
      <c r="AN1457" s="52" t="s">
        <v>376</v>
      </c>
      <c r="AO1457" s="50" t="s">
        <v>658</v>
      </c>
      <c r="AP1457" s="52"/>
      <c r="AQ1457" s="52">
        <v>1</v>
      </c>
      <c r="AR1457" s="52"/>
      <c r="AS1457" s="52">
        <v>1</v>
      </c>
      <c r="AU1457" s="52" t="s">
        <v>376</v>
      </c>
      <c r="AV1457" s="52"/>
      <c r="AW1457" s="52" t="s">
        <v>30</v>
      </c>
      <c r="AX1457" s="52"/>
      <c r="AY1457" s="52"/>
      <c r="AZ1457" s="52" t="s">
        <v>30</v>
      </c>
      <c r="BA1457" s="52"/>
      <c r="BB1457" s="60"/>
      <c r="BC1457" s="52" t="s">
        <v>30</v>
      </c>
      <c r="BD1457" s="60"/>
      <c r="BE1457" s="60"/>
      <c r="BF1457" s="35">
        <v>1</v>
      </c>
      <c r="BG1457" s="52">
        <v>1</v>
      </c>
      <c r="BH1457" s="52"/>
      <c r="BI1457" s="52" t="s">
        <v>806</v>
      </c>
      <c r="BJ1457" s="52" t="s">
        <v>821</v>
      </c>
      <c r="BK1457" s="52">
        <v>2010</v>
      </c>
      <c r="BL1457" s="46" t="str">
        <f>BK1457&amp;BI1457</f>
        <v>2010Aston Villa</v>
      </c>
      <c r="BM1457" s="52" t="str">
        <f>IF(AD1457="Home",BI1457,IF(AD1457="Away",BJ1457,Q1457))</f>
        <v>London</v>
      </c>
      <c r="BN1457" s="52"/>
      <c r="BO1457" s="52"/>
      <c r="BP1457" s="52"/>
      <c r="BQ1457" s="52"/>
      <c r="BR1457" s="52"/>
      <c r="BS1457" s="52"/>
      <c r="BT1457" s="52"/>
      <c r="BU1457" s="52"/>
      <c r="BV1457" s="52" t="s">
        <v>376</v>
      </c>
      <c r="BW1457" s="52" t="s">
        <v>376</v>
      </c>
      <c r="BX1457" s="52"/>
      <c r="BY1457" s="52"/>
      <c r="BZ1457" s="53"/>
      <c r="CA1457" s="53"/>
      <c r="CB1457" s="93" t="str">
        <f>IF(OR(C1457="",A1457="",B1457=""),"",TEXT(C1457,"0000")&amp;TEXT(A1457,"00")&amp;TEXT(B1457,"00"))</f>
        <v>20100228</v>
      </c>
    </row>
    <row r="1458" spans="1:80" s="46" customFormat="1" ht="12.95" customHeight="1" x14ac:dyDescent="0.2">
      <c r="A1458" s="46">
        <v>4</v>
      </c>
      <c r="B1458" s="46">
        <v>10</v>
      </c>
      <c r="C1458" s="46">
        <v>2010</v>
      </c>
      <c r="D1458" s="52" t="s">
        <v>658</v>
      </c>
      <c r="E1458" s="52" t="s">
        <v>258</v>
      </c>
      <c r="F1458" s="52" t="s">
        <v>1010</v>
      </c>
      <c r="G1458" s="52"/>
      <c r="H1458" s="52" t="s">
        <v>1011</v>
      </c>
      <c r="I1458" s="52"/>
      <c r="J1458" s="56">
        <v>40278</v>
      </c>
      <c r="K1458" s="52" t="s">
        <v>816</v>
      </c>
      <c r="L1458" s="62" t="s">
        <v>3</v>
      </c>
      <c r="M1458" s="52" t="s">
        <v>806</v>
      </c>
      <c r="N1458" s="57">
        <v>3</v>
      </c>
      <c r="O1458" s="57">
        <v>0</v>
      </c>
      <c r="P1458" s="52" t="s">
        <v>1415</v>
      </c>
      <c r="Q1458" s="52" t="s">
        <v>1017</v>
      </c>
      <c r="R1458" s="52" t="s">
        <v>376</v>
      </c>
      <c r="S1458" s="52"/>
      <c r="T1458" s="52"/>
      <c r="U1458" s="52"/>
      <c r="V1458" s="52"/>
      <c r="W1458" s="52"/>
      <c r="X1458" s="52"/>
      <c r="Y1458" s="52"/>
      <c r="Z1458" s="57"/>
      <c r="AA1458" s="52"/>
      <c r="AB1458" s="52"/>
      <c r="AC1458" s="52"/>
      <c r="AD1458" s="52"/>
      <c r="AE1458" s="50">
        <f>IF(L1458="W",1,0)</f>
        <v>1</v>
      </c>
      <c r="AF1458" s="50">
        <f>IF(L1458="T",1,0)</f>
        <v>0</v>
      </c>
      <c r="AG1458" s="50">
        <f>IF(L1458="L",1,0)</f>
        <v>0</v>
      </c>
      <c r="AH1458" s="52" t="s">
        <v>1017</v>
      </c>
      <c r="AI1458" s="52" t="s">
        <v>1018</v>
      </c>
      <c r="AJ1458" s="52" t="s">
        <v>376</v>
      </c>
      <c r="AK1458" s="50" t="s">
        <v>658</v>
      </c>
      <c r="AL1458" s="52" t="s">
        <v>1111</v>
      </c>
      <c r="AM1458" s="52" t="s">
        <v>1126</v>
      </c>
      <c r="AN1458" s="52" t="s">
        <v>376</v>
      </c>
      <c r="AO1458" s="50" t="s">
        <v>658</v>
      </c>
      <c r="AP1458" s="52"/>
      <c r="AQ1458" s="52">
        <v>2</v>
      </c>
      <c r="AR1458" s="52"/>
      <c r="AS1458" s="52"/>
      <c r="AU1458" s="52" t="s">
        <v>376</v>
      </c>
      <c r="AV1458" s="52"/>
      <c r="AW1458" s="52" t="s">
        <v>30</v>
      </c>
      <c r="AX1458" s="52"/>
      <c r="AY1458" s="52" t="s">
        <v>30</v>
      </c>
      <c r="AZ1458" s="52"/>
      <c r="BA1458" s="52"/>
      <c r="BB1458" s="60"/>
      <c r="BC1458" s="52"/>
      <c r="BD1458" s="60"/>
      <c r="BE1458" s="60"/>
      <c r="BF1458" s="35">
        <v>1</v>
      </c>
      <c r="BG1458" s="52">
        <v>1</v>
      </c>
      <c r="BH1458" s="52"/>
      <c r="BI1458" s="52" t="s">
        <v>816</v>
      </c>
      <c r="BJ1458" s="52" t="s">
        <v>806</v>
      </c>
      <c r="BK1458" s="52">
        <v>2010</v>
      </c>
      <c r="BL1458" s="46" t="str">
        <f>BK1458&amp;BI1458</f>
        <v>2010Chelsea</v>
      </c>
      <c r="BM1458" s="52" t="str">
        <f>IF(AD1458="Home",BI1458,IF(AD1458="Away",BJ1458,Q1458))</f>
        <v>London</v>
      </c>
      <c r="BN1458" s="52"/>
      <c r="BO1458" s="52"/>
      <c r="BP1458" s="52"/>
      <c r="BQ1458" s="52"/>
      <c r="BR1458" s="52"/>
      <c r="BS1458" s="52"/>
      <c r="BT1458" s="52"/>
      <c r="BU1458" s="52"/>
      <c r="BV1458" s="52" t="s">
        <v>376</v>
      </c>
      <c r="BW1458" s="52" t="s">
        <v>376</v>
      </c>
      <c r="BX1458" s="52"/>
      <c r="BY1458" s="52"/>
      <c r="BZ1458" s="53"/>
      <c r="CA1458" s="53"/>
      <c r="CB1458" s="93" t="str">
        <f>IF(OR(C1458="",A1458="",B1458=""),"",TEXT(C1458,"0000")&amp;TEXT(A1458,"00")&amp;TEXT(B1458,"00"))</f>
        <v>20100410</v>
      </c>
    </row>
    <row r="1459" spans="1:80" s="46" customFormat="1" ht="12.95" customHeight="1" x14ac:dyDescent="0.2">
      <c r="A1459" s="46">
        <v>4</v>
      </c>
      <c r="B1459" s="46">
        <v>10</v>
      </c>
      <c r="C1459" s="46">
        <v>2010</v>
      </c>
      <c r="D1459" s="52" t="s">
        <v>658</v>
      </c>
      <c r="E1459" s="52" t="s">
        <v>258</v>
      </c>
      <c r="F1459" s="52" t="s">
        <v>1010</v>
      </c>
      <c r="G1459" s="52"/>
      <c r="H1459" s="52" t="s">
        <v>1011</v>
      </c>
      <c r="I1459" s="52"/>
      <c r="J1459" s="56">
        <v>40278</v>
      </c>
      <c r="K1459" s="52" t="s">
        <v>806</v>
      </c>
      <c r="L1459" s="62" t="s">
        <v>4</v>
      </c>
      <c r="M1459" s="52" t="s">
        <v>816</v>
      </c>
      <c r="N1459" s="57">
        <v>0</v>
      </c>
      <c r="O1459" s="57">
        <v>3</v>
      </c>
      <c r="P1459" s="52" t="s">
        <v>1415</v>
      </c>
      <c r="Q1459" s="52" t="s">
        <v>1017</v>
      </c>
      <c r="R1459" s="52" t="s">
        <v>376</v>
      </c>
      <c r="S1459" s="52"/>
      <c r="T1459" s="52"/>
      <c r="U1459" s="52"/>
      <c r="V1459" s="52"/>
      <c r="W1459" s="52"/>
      <c r="X1459" s="52"/>
      <c r="Y1459" s="52"/>
      <c r="Z1459" s="57"/>
      <c r="AA1459" s="52"/>
      <c r="AB1459" s="52"/>
      <c r="AC1459" s="52"/>
      <c r="AD1459" s="52"/>
      <c r="AE1459" s="50">
        <f>IF(L1459="W",1,0)</f>
        <v>0</v>
      </c>
      <c r="AF1459" s="50">
        <f>IF(L1459="T",1,0)</f>
        <v>0</v>
      </c>
      <c r="AG1459" s="50">
        <f>IF(L1459="L",1,0)</f>
        <v>1</v>
      </c>
      <c r="AH1459" s="52" t="s">
        <v>1111</v>
      </c>
      <c r="AI1459" s="52" t="s">
        <v>1126</v>
      </c>
      <c r="AJ1459" s="52" t="s">
        <v>376</v>
      </c>
      <c r="AK1459" s="50" t="s">
        <v>658</v>
      </c>
      <c r="AL1459" s="52" t="s">
        <v>1017</v>
      </c>
      <c r="AM1459" s="52" t="s">
        <v>1018</v>
      </c>
      <c r="AN1459" s="52" t="s">
        <v>376</v>
      </c>
      <c r="AO1459" s="50" t="s">
        <v>658</v>
      </c>
      <c r="AP1459" s="52"/>
      <c r="AQ1459" s="52">
        <v>2</v>
      </c>
      <c r="AR1459" s="52"/>
      <c r="AS1459" s="52">
        <v>1</v>
      </c>
      <c r="AU1459" s="52" t="s">
        <v>376</v>
      </c>
      <c r="AV1459" s="52"/>
      <c r="AW1459" s="52" t="s">
        <v>30</v>
      </c>
      <c r="AX1459" s="52"/>
      <c r="AY1459" s="52" t="s">
        <v>30</v>
      </c>
      <c r="AZ1459" s="52"/>
      <c r="BA1459" s="52"/>
      <c r="BB1459" s="60"/>
      <c r="BC1459" s="52"/>
      <c r="BD1459" s="60"/>
      <c r="BE1459" s="60"/>
      <c r="BF1459" s="35">
        <v>1</v>
      </c>
      <c r="BG1459" s="52">
        <v>1</v>
      </c>
      <c r="BH1459" s="52"/>
      <c r="BI1459" s="52" t="s">
        <v>806</v>
      </c>
      <c r="BJ1459" s="52" t="s">
        <v>816</v>
      </c>
      <c r="BK1459" s="52">
        <v>2010</v>
      </c>
      <c r="BL1459" s="46" t="str">
        <f>BK1459&amp;BI1459</f>
        <v>2010Aston Villa</v>
      </c>
      <c r="BM1459" s="52" t="str">
        <f>IF(AD1459="Home",BI1459,IF(AD1459="Away",BJ1459,Q1459))</f>
        <v>London</v>
      </c>
      <c r="BN1459" s="52"/>
      <c r="BO1459" s="52"/>
      <c r="BP1459" s="52"/>
      <c r="BQ1459" s="52"/>
      <c r="BR1459" s="52"/>
      <c r="BS1459" s="52"/>
      <c r="BT1459" s="52"/>
      <c r="BU1459" s="52"/>
      <c r="BV1459" s="52" t="s">
        <v>376</v>
      </c>
      <c r="BW1459" s="52" t="s">
        <v>376</v>
      </c>
      <c r="BX1459" s="52"/>
      <c r="BY1459" s="52"/>
      <c r="BZ1459" s="53"/>
      <c r="CA1459" s="53"/>
      <c r="CB1459" s="93" t="str">
        <f>IF(OR(C1459="",A1459="",B1459=""),"",TEXT(C1459,"0000")&amp;TEXT(A1459,"00")&amp;TEXT(B1459,"00"))</f>
        <v>20100410</v>
      </c>
    </row>
    <row r="1460" spans="1:80" s="46" customFormat="1" ht="12.95" customHeight="1" x14ac:dyDescent="0.2">
      <c r="A1460" s="46">
        <v>4</v>
      </c>
      <c r="B1460" s="46">
        <v>11</v>
      </c>
      <c r="C1460" s="46">
        <v>2010</v>
      </c>
      <c r="D1460" s="52" t="s">
        <v>658</v>
      </c>
      <c r="E1460" s="52" t="s">
        <v>258</v>
      </c>
      <c r="F1460" s="52" t="s">
        <v>1010</v>
      </c>
      <c r="G1460" s="52"/>
      <c r="H1460" s="52" t="s">
        <v>1011</v>
      </c>
      <c r="I1460" s="52"/>
      <c r="J1460" s="56">
        <v>40279</v>
      </c>
      <c r="K1460" s="52" t="s">
        <v>1280</v>
      </c>
      <c r="L1460" s="62" t="s">
        <v>3</v>
      </c>
      <c r="M1460" s="52" t="s">
        <v>813</v>
      </c>
      <c r="N1460" s="57">
        <v>2</v>
      </c>
      <c r="O1460" s="57">
        <v>0</v>
      </c>
      <c r="P1460" s="52" t="s">
        <v>1415</v>
      </c>
      <c r="Q1460" s="52" t="s">
        <v>1017</v>
      </c>
      <c r="R1460" s="52" t="s">
        <v>376</v>
      </c>
      <c r="S1460" s="52" t="s">
        <v>1396</v>
      </c>
      <c r="T1460" s="52"/>
      <c r="U1460" s="52"/>
      <c r="V1460" s="52"/>
      <c r="W1460" s="52"/>
      <c r="X1460" s="52"/>
      <c r="Y1460" s="52"/>
      <c r="Z1460" s="57"/>
      <c r="AA1460" s="52"/>
      <c r="AB1460" s="52"/>
      <c r="AC1460" s="52"/>
      <c r="AD1460" s="52"/>
      <c r="AE1460" s="50">
        <f>IF(L1460="W",1,0)</f>
        <v>1</v>
      </c>
      <c r="AF1460" s="50">
        <f>IF(L1460="T",1,0)</f>
        <v>0</v>
      </c>
      <c r="AG1460" s="50">
        <f>IF(L1460="L",1,0)</f>
        <v>0</v>
      </c>
      <c r="AH1460" s="52" t="s">
        <v>1280</v>
      </c>
      <c r="AI1460" s="52" t="s">
        <v>1199</v>
      </c>
      <c r="AJ1460" s="52" t="s">
        <v>376</v>
      </c>
      <c r="AK1460" s="50" t="s">
        <v>658</v>
      </c>
      <c r="AL1460" s="52" t="s">
        <v>1017</v>
      </c>
      <c r="AM1460" s="52" t="s">
        <v>1018</v>
      </c>
      <c r="AN1460" s="52" t="s">
        <v>376</v>
      </c>
      <c r="AO1460" s="50" t="s">
        <v>658</v>
      </c>
      <c r="AP1460" s="52"/>
      <c r="AQ1460" s="52">
        <v>2</v>
      </c>
      <c r="AR1460" s="52"/>
      <c r="AS1460" s="52"/>
      <c r="AU1460" s="52" t="s">
        <v>376</v>
      </c>
      <c r="AV1460" s="52"/>
      <c r="AW1460" s="52" t="s">
        <v>30</v>
      </c>
      <c r="AX1460" s="52"/>
      <c r="AY1460" s="52" t="s">
        <v>30</v>
      </c>
      <c r="AZ1460" s="52"/>
      <c r="BA1460" s="52"/>
      <c r="BB1460" s="60"/>
      <c r="BC1460" s="52"/>
      <c r="BD1460" s="60"/>
      <c r="BE1460" s="60"/>
      <c r="BF1460" s="35">
        <v>1</v>
      </c>
      <c r="BG1460" s="52">
        <v>1</v>
      </c>
      <c r="BH1460" s="52"/>
      <c r="BI1460" s="52" t="s">
        <v>1280</v>
      </c>
      <c r="BJ1460" s="52" t="s">
        <v>813</v>
      </c>
      <c r="BK1460" s="52">
        <v>2010</v>
      </c>
      <c r="BL1460" s="46" t="str">
        <f>BK1460&amp;BI1460</f>
        <v>2010Portsmouth</v>
      </c>
      <c r="BM1460" s="52" t="str">
        <f>IF(AD1460="Home",BI1460,IF(AD1460="Away",BJ1460,Q1460))</f>
        <v>London</v>
      </c>
      <c r="BN1460" s="52"/>
      <c r="BO1460" s="52"/>
      <c r="BP1460" s="52"/>
      <c r="BQ1460" s="52"/>
      <c r="BR1460" s="52"/>
      <c r="BS1460" s="52"/>
      <c r="BT1460" s="52"/>
      <c r="BU1460" s="52"/>
      <c r="BV1460" s="52" t="s">
        <v>376</v>
      </c>
      <c r="BW1460" s="52" t="s">
        <v>376</v>
      </c>
      <c r="BX1460" s="52"/>
      <c r="BY1460" s="52"/>
      <c r="BZ1460" s="53"/>
      <c r="CA1460" s="53"/>
      <c r="CB1460" s="93" t="str">
        <f>IF(OR(C1460="",A1460="",B1460=""),"",TEXT(C1460,"0000")&amp;TEXT(A1460,"00")&amp;TEXT(B1460,"00"))</f>
        <v>20100411</v>
      </c>
    </row>
    <row r="1461" spans="1:80" s="46" customFormat="1" ht="12.95" customHeight="1" x14ac:dyDescent="0.2">
      <c r="A1461" s="46">
        <v>4</v>
      </c>
      <c r="B1461" s="46">
        <v>11</v>
      </c>
      <c r="C1461" s="46">
        <v>2010</v>
      </c>
      <c r="D1461" s="52" t="s">
        <v>658</v>
      </c>
      <c r="E1461" s="52" t="s">
        <v>258</v>
      </c>
      <c r="F1461" s="52" t="s">
        <v>1010</v>
      </c>
      <c r="G1461" s="52"/>
      <c r="H1461" s="52" t="s">
        <v>1011</v>
      </c>
      <c r="I1461" s="52"/>
      <c r="J1461" s="56">
        <v>40279</v>
      </c>
      <c r="K1461" s="52" t="s">
        <v>813</v>
      </c>
      <c r="L1461" s="62" t="s">
        <v>4</v>
      </c>
      <c r="M1461" s="52" t="s">
        <v>1280</v>
      </c>
      <c r="N1461" s="57">
        <v>0</v>
      </c>
      <c r="O1461" s="57">
        <v>2</v>
      </c>
      <c r="P1461" s="52" t="s">
        <v>1415</v>
      </c>
      <c r="Q1461" s="52" t="s">
        <v>1017</v>
      </c>
      <c r="R1461" s="52" t="s">
        <v>376</v>
      </c>
      <c r="S1461" s="52" t="s">
        <v>1396</v>
      </c>
      <c r="T1461" s="52"/>
      <c r="U1461" s="52"/>
      <c r="V1461" s="52"/>
      <c r="W1461" s="52"/>
      <c r="X1461" s="52"/>
      <c r="Y1461" s="52"/>
      <c r="Z1461" s="57"/>
      <c r="AA1461" s="52"/>
      <c r="AB1461" s="52"/>
      <c r="AC1461" s="52"/>
      <c r="AD1461" s="52"/>
      <c r="AE1461" s="50">
        <f>IF(L1461="W",1,0)</f>
        <v>0</v>
      </c>
      <c r="AF1461" s="50">
        <f>IF(L1461="T",1,0)</f>
        <v>0</v>
      </c>
      <c r="AG1461" s="50">
        <f>IF(L1461="L",1,0)</f>
        <v>1</v>
      </c>
      <c r="AH1461" s="52" t="s">
        <v>1017</v>
      </c>
      <c r="AI1461" s="52" t="s">
        <v>1018</v>
      </c>
      <c r="AJ1461" s="52" t="s">
        <v>376</v>
      </c>
      <c r="AK1461" s="50" t="s">
        <v>658</v>
      </c>
      <c r="AL1461" s="52" t="s">
        <v>1280</v>
      </c>
      <c r="AM1461" s="52" t="s">
        <v>1199</v>
      </c>
      <c r="AN1461" s="52" t="s">
        <v>376</v>
      </c>
      <c r="AO1461" s="50" t="s">
        <v>658</v>
      </c>
      <c r="AP1461" s="52"/>
      <c r="AQ1461" s="52">
        <v>2</v>
      </c>
      <c r="AR1461" s="52"/>
      <c r="AS1461" s="52">
        <v>1</v>
      </c>
      <c r="AU1461" s="52" t="s">
        <v>376</v>
      </c>
      <c r="AV1461" s="52"/>
      <c r="AW1461" s="52" t="s">
        <v>30</v>
      </c>
      <c r="AX1461" s="52"/>
      <c r="AY1461" s="52" t="s">
        <v>30</v>
      </c>
      <c r="AZ1461" s="52"/>
      <c r="BA1461" s="52"/>
      <c r="BB1461" s="60"/>
      <c r="BC1461" s="52"/>
      <c r="BD1461" s="60"/>
      <c r="BE1461" s="60"/>
      <c r="BF1461" s="35">
        <v>1</v>
      </c>
      <c r="BG1461" s="52">
        <v>1</v>
      </c>
      <c r="BH1461" s="52"/>
      <c r="BI1461" s="52" t="s">
        <v>813</v>
      </c>
      <c r="BJ1461" s="52" t="s">
        <v>1280</v>
      </c>
      <c r="BK1461" s="52">
        <v>2010</v>
      </c>
      <c r="BL1461" s="46" t="str">
        <f>BK1461&amp;BI1461</f>
        <v>2010Tottenham Hotspur</v>
      </c>
      <c r="BM1461" s="52" t="str">
        <f>IF(AD1461="Home",BI1461,IF(AD1461="Away",BJ1461,Q1461))</f>
        <v>London</v>
      </c>
      <c r="BN1461" s="52"/>
      <c r="BO1461" s="52"/>
      <c r="BP1461" s="52"/>
      <c r="BQ1461" s="52"/>
      <c r="BR1461" s="52"/>
      <c r="BS1461" s="52"/>
      <c r="BT1461" s="52"/>
      <c r="BU1461" s="52"/>
      <c r="BV1461" s="52" t="s">
        <v>376</v>
      </c>
      <c r="BW1461" s="52" t="s">
        <v>376</v>
      </c>
      <c r="BX1461" s="52"/>
      <c r="BY1461" s="52"/>
      <c r="BZ1461" s="53"/>
      <c r="CA1461" s="53"/>
      <c r="CB1461" s="93" t="str">
        <f>IF(OR(C1461="",A1461="",B1461=""),"",TEXT(C1461,"0000")&amp;TEXT(A1461,"00")&amp;TEXT(B1461,"00"))</f>
        <v>20100411</v>
      </c>
    </row>
    <row r="1462" spans="1:80" s="46" customFormat="1" ht="12.95" customHeight="1" x14ac:dyDescent="0.2">
      <c r="A1462" s="46">
        <v>5</v>
      </c>
      <c r="B1462" s="46">
        <v>15</v>
      </c>
      <c r="C1462" s="46">
        <v>2010</v>
      </c>
      <c r="D1462" s="52" t="s">
        <v>658</v>
      </c>
      <c r="E1462" s="52" t="s">
        <v>258</v>
      </c>
      <c r="F1462" s="52" t="s">
        <v>1010</v>
      </c>
      <c r="G1462" s="52"/>
      <c r="H1462" s="52" t="s">
        <v>40</v>
      </c>
      <c r="I1462" s="52"/>
      <c r="J1462" s="56">
        <v>40313</v>
      </c>
      <c r="K1462" s="52" t="s">
        <v>816</v>
      </c>
      <c r="L1462" s="67" t="s">
        <v>3</v>
      </c>
      <c r="M1462" s="52" t="s">
        <v>1280</v>
      </c>
      <c r="N1462" s="57">
        <v>1</v>
      </c>
      <c r="O1462" s="57">
        <v>0</v>
      </c>
      <c r="P1462" s="52" t="s">
        <v>1415</v>
      </c>
      <c r="Q1462" s="52" t="s">
        <v>1017</v>
      </c>
      <c r="R1462" s="52" t="s">
        <v>376</v>
      </c>
      <c r="S1462" s="52"/>
      <c r="T1462" s="52"/>
      <c r="U1462" s="52"/>
      <c r="V1462" s="52"/>
      <c r="W1462" s="52"/>
      <c r="X1462" s="52"/>
      <c r="Y1462" s="52"/>
      <c r="Z1462" s="57"/>
      <c r="AA1462" s="52"/>
      <c r="AB1462" s="52"/>
      <c r="AC1462" s="52"/>
      <c r="AD1462" s="52"/>
      <c r="AE1462" s="50">
        <f>IF(L1462="W",1,0)</f>
        <v>1</v>
      </c>
      <c r="AF1462" s="50">
        <f>IF(L1462="T",1,0)</f>
        <v>0</v>
      </c>
      <c r="AG1462" s="50">
        <f>IF(L1462="L",1,0)</f>
        <v>0</v>
      </c>
      <c r="AH1462" s="52" t="s">
        <v>1017</v>
      </c>
      <c r="AI1462" s="52" t="s">
        <v>1018</v>
      </c>
      <c r="AJ1462" s="52" t="s">
        <v>376</v>
      </c>
      <c r="AK1462" s="50" t="s">
        <v>658</v>
      </c>
      <c r="AL1462" s="52" t="s">
        <v>1280</v>
      </c>
      <c r="AM1462" s="52" t="s">
        <v>1199</v>
      </c>
      <c r="AN1462" s="52" t="s">
        <v>376</v>
      </c>
      <c r="AO1462" s="50" t="s">
        <v>658</v>
      </c>
      <c r="AP1462" s="52"/>
      <c r="AQ1462" s="52">
        <v>1</v>
      </c>
      <c r="AR1462" s="52"/>
      <c r="AS1462" s="52" t="s">
        <v>1393</v>
      </c>
      <c r="AU1462" s="52" t="s">
        <v>376</v>
      </c>
      <c r="AV1462" s="52"/>
      <c r="AW1462" s="52" t="s">
        <v>30</v>
      </c>
      <c r="AX1462" s="52"/>
      <c r="AY1462" s="57" t="s">
        <v>30</v>
      </c>
      <c r="AZ1462" s="52"/>
      <c r="BA1462" s="52"/>
      <c r="BB1462" s="60" t="s">
        <v>30</v>
      </c>
      <c r="BC1462" s="52" t="s">
        <v>30</v>
      </c>
      <c r="BD1462" s="60"/>
      <c r="BE1462" s="60" t="s">
        <v>1417</v>
      </c>
      <c r="BF1462" s="35">
        <v>1</v>
      </c>
      <c r="BG1462" s="52">
        <v>1</v>
      </c>
      <c r="BH1462" s="52"/>
      <c r="BI1462" s="52" t="s">
        <v>816</v>
      </c>
      <c r="BJ1462" s="52" t="s">
        <v>1280</v>
      </c>
      <c r="BK1462" s="52">
        <v>2010</v>
      </c>
      <c r="BL1462" s="46" t="str">
        <f>BK1462&amp;BI1462</f>
        <v>2010Chelsea</v>
      </c>
      <c r="BM1462" s="52" t="str">
        <f>IF(AD1462="Home",BI1462,IF(AD1462="Away",BJ1462,Q1462))</f>
        <v>London</v>
      </c>
      <c r="BN1462" s="52"/>
      <c r="BO1462" s="52"/>
      <c r="BP1462" s="52"/>
      <c r="BQ1462" s="52"/>
      <c r="BR1462" s="52"/>
      <c r="BS1462" s="52"/>
      <c r="BT1462" s="52"/>
      <c r="BU1462" s="52"/>
      <c r="BV1462" s="52" t="s">
        <v>376</v>
      </c>
      <c r="BW1462" s="52" t="s">
        <v>376</v>
      </c>
      <c r="BX1462" s="52"/>
      <c r="BY1462" s="52"/>
      <c r="BZ1462" s="53"/>
      <c r="CA1462" s="53"/>
      <c r="CB1462" s="93" t="str">
        <f>IF(OR(C1462="",A1462="",B1462=""),"",TEXT(C1462,"0000")&amp;TEXT(A1462,"00")&amp;TEXT(B1462,"00"))</f>
        <v>20100515</v>
      </c>
    </row>
    <row r="1463" spans="1:80" s="46" customFormat="1" ht="12.95" customHeight="1" x14ac:dyDescent="0.2">
      <c r="A1463" s="46">
        <v>5</v>
      </c>
      <c r="B1463" s="46">
        <v>15</v>
      </c>
      <c r="C1463" s="46">
        <v>2010</v>
      </c>
      <c r="D1463" s="52" t="s">
        <v>658</v>
      </c>
      <c r="E1463" s="52" t="s">
        <v>258</v>
      </c>
      <c r="F1463" s="52" t="s">
        <v>1010</v>
      </c>
      <c r="G1463" s="52"/>
      <c r="H1463" s="52" t="s">
        <v>40</v>
      </c>
      <c r="I1463" s="52"/>
      <c r="J1463" s="56">
        <v>40313</v>
      </c>
      <c r="K1463" s="52" t="s">
        <v>1280</v>
      </c>
      <c r="L1463" s="67" t="s">
        <v>4</v>
      </c>
      <c r="M1463" s="52" t="s">
        <v>816</v>
      </c>
      <c r="N1463" s="57">
        <v>0</v>
      </c>
      <c r="O1463" s="57">
        <v>1</v>
      </c>
      <c r="P1463" s="52" t="s">
        <v>1415</v>
      </c>
      <c r="Q1463" s="52" t="s">
        <v>1017</v>
      </c>
      <c r="R1463" s="52" t="s">
        <v>376</v>
      </c>
      <c r="S1463" s="52"/>
      <c r="T1463" s="52"/>
      <c r="U1463" s="52"/>
      <c r="V1463" s="52"/>
      <c r="W1463" s="52"/>
      <c r="X1463" s="52"/>
      <c r="Y1463" s="52"/>
      <c r="Z1463" s="57"/>
      <c r="AA1463" s="52"/>
      <c r="AB1463" s="52"/>
      <c r="AC1463" s="52"/>
      <c r="AD1463" s="52"/>
      <c r="AE1463" s="50">
        <f>IF(L1463="W",1,0)</f>
        <v>0</v>
      </c>
      <c r="AF1463" s="50">
        <f>IF(L1463="T",1,0)</f>
        <v>0</v>
      </c>
      <c r="AG1463" s="50">
        <f>IF(L1463="L",1,0)</f>
        <v>1</v>
      </c>
      <c r="AH1463" s="52" t="s">
        <v>1280</v>
      </c>
      <c r="AI1463" s="52" t="s">
        <v>1199</v>
      </c>
      <c r="AJ1463" s="52" t="s">
        <v>376</v>
      </c>
      <c r="AK1463" s="50" t="s">
        <v>658</v>
      </c>
      <c r="AL1463" s="52" t="s">
        <v>1017</v>
      </c>
      <c r="AM1463" s="52" t="s">
        <v>1018</v>
      </c>
      <c r="AN1463" s="52" t="s">
        <v>376</v>
      </c>
      <c r="AO1463" s="50" t="s">
        <v>658</v>
      </c>
      <c r="AP1463" s="52"/>
      <c r="AQ1463" s="52">
        <v>1</v>
      </c>
      <c r="AR1463" s="52"/>
      <c r="AS1463" s="52">
        <v>1</v>
      </c>
      <c r="AU1463" s="52" t="s">
        <v>376</v>
      </c>
      <c r="AV1463" s="52"/>
      <c r="AW1463" s="52" t="s">
        <v>30</v>
      </c>
      <c r="AX1463" s="52"/>
      <c r="AY1463" s="52" t="s">
        <v>30</v>
      </c>
      <c r="AZ1463" s="52"/>
      <c r="BA1463" s="52"/>
      <c r="BB1463" s="60"/>
      <c r="BC1463" s="52" t="s">
        <v>30</v>
      </c>
      <c r="BD1463" s="60"/>
      <c r="BE1463" s="60"/>
      <c r="BF1463" s="35">
        <v>1</v>
      </c>
      <c r="BG1463" s="52">
        <v>1</v>
      </c>
      <c r="BH1463" s="52"/>
      <c r="BI1463" s="52" t="s">
        <v>1280</v>
      </c>
      <c r="BJ1463" s="52" t="s">
        <v>816</v>
      </c>
      <c r="BK1463" s="52">
        <v>2010</v>
      </c>
      <c r="BL1463" s="46" t="str">
        <f>BK1463&amp;BI1463</f>
        <v>2010Portsmouth</v>
      </c>
      <c r="BM1463" s="52" t="str">
        <f>IF(AD1463="Home",BI1463,IF(AD1463="Away",BJ1463,Q1463))</f>
        <v>London</v>
      </c>
      <c r="BN1463" s="52"/>
      <c r="BO1463" s="52"/>
      <c r="BP1463" s="52"/>
      <c r="BQ1463" s="52"/>
      <c r="BR1463" s="52"/>
      <c r="BS1463" s="52"/>
      <c r="BT1463" s="52"/>
      <c r="BU1463" s="52"/>
      <c r="BV1463" s="52" t="s">
        <v>376</v>
      </c>
      <c r="BW1463" s="52" t="s">
        <v>376</v>
      </c>
      <c r="BX1463" s="52"/>
      <c r="BY1463" s="52"/>
      <c r="BZ1463" s="53"/>
      <c r="CA1463" s="53"/>
      <c r="CB1463" s="93" t="str">
        <f>IF(OR(C1463="",A1463="",B1463=""),"",TEXT(C1463,"0000")&amp;TEXT(A1463,"00")&amp;TEXT(B1463,"00"))</f>
        <v>20100515</v>
      </c>
    </row>
    <row r="1464" spans="1:80" s="46" customFormat="1" ht="12.95" customHeight="1" x14ac:dyDescent="0.2">
      <c r="A1464" s="46">
        <v>1</v>
      </c>
      <c r="B1464" s="46">
        <v>11</v>
      </c>
      <c r="C1464" s="46">
        <v>2011</v>
      </c>
      <c r="D1464" s="52" t="s">
        <v>658</v>
      </c>
      <c r="E1464" s="52" t="s">
        <v>253</v>
      </c>
      <c r="F1464" s="52" t="s">
        <v>1327</v>
      </c>
      <c r="G1464" s="52"/>
      <c r="H1464" s="52" t="s">
        <v>1011</v>
      </c>
      <c r="I1464" s="52">
        <v>1</v>
      </c>
      <c r="J1464" s="56">
        <v>40554</v>
      </c>
      <c r="K1464" s="52" t="s">
        <v>803</v>
      </c>
      <c r="L1464" s="52" t="s">
        <v>3</v>
      </c>
      <c r="M1464" s="52" t="s">
        <v>1125</v>
      </c>
      <c r="N1464" s="57">
        <v>2</v>
      </c>
      <c r="O1464" s="57">
        <v>1</v>
      </c>
      <c r="P1464" s="52" t="s">
        <v>1341</v>
      </c>
      <c r="Q1464" s="52" t="s">
        <v>1017</v>
      </c>
      <c r="R1464" s="52" t="s">
        <v>376</v>
      </c>
      <c r="S1464" s="52"/>
      <c r="T1464" s="52"/>
      <c r="U1464" s="52"/>
      <c r="V1464" s="52"/>
      <c r="W1464" s="52"/>
      <c r="X1464" s="52"/>
      <c r="Y1464" s="52"/>
      <c r="Z1464" s="57"/>
      <c r="AA1464" s="58">
        <v>2</v>
      </c>
      <c r="AB1464" s="58">
        <v>1</v>
      </c>
      <c r="AC1464" s="59">
        <v>0</v>
      </c>
      <c r="AD1464" s="52" t="s">
        <v>1033</v>
      </c>
      <c r="AE1464" s="50">
        <f>IF(L1464="W",1,0)</f>
        <v>1</v>
      </c>
      <c r="AF1464" s="50">
        <f>IF(L1464="T",1,0)</f>
        <v>0</v>
      </c>
      <c r="AG1464" s="50">
        <f>IF(L1464="L",1,0)</f>
        <v>0</v>
      </c>
      <c r="AH1464" s="52" t="s">
        <v>1017</v>
      </c>
      <c r="AI1464" s="52" t="s">
        <v>1018</v>
      </c>
      <c r="AJ1464" s="52" t="s">
        <v>376</v>
      </c>
      <c r="AK1464" s="50" t="s">
        <v>658</v>
      </c>
      <c r="AL1464" s="52" t="s">
        <v>1111</v>
      </c>
      <c r="AM1464" s="52" t="s">
        <v>1126</v>
      </c>
      <c r="AN1464" s="52" t="s">
        <v>376</v>
      </c>
      <c r="AO1464" s="50" t="s">
        <v>658</v>
      </c>
      <c r="AP1464" s="52"/>
      <c r="AQ1464" s="52">
        <v>2</v>
      </c>
      <c r="AR1464" s="52"/>
      <c r="AS1464" s="52"/>
      <c r="AU1464" s="52" t="s">
        <v>376</v>
      </c>
      <c r="AV1464" s="52"/>
      <c r="AW1464" s="52" t="s">
        <v>30</v>
      </c>
      <c r="AX1464" s="52"/>
      <c r="AY1464" s="52"/>
      <c r="AZ1464" s="52" t="s">
        <v>30</v>
      </c>
      <c r="BA1464" s="52"/>
      <c r="BB1464" s="60"/>
      <c r="BC1464" s="52"/>
      <c r="BD1464" s="60"/>
      <c r="BE1464" s="60"/>
      <c r="BF1464" s="35">
        <v>1</v>
      </c>
      <c r="BG1464" s="52">
        <v>1</v>
      </c>
      <c r="BH1464" s="52"/>
      <c r="BI1464" s="52" t="s">
        <v>803</v>
      </c>
      <c r="BJ1464" s="52" t="s">
        <v>1125</v>
      </c>
      <c r="BK1464" s="62">
        <v>2011</v>
      </c>
      <c r="BL1464" s="46" t="str">
        <f>BK1464&amp;BI1464</f>
        <v>2011West Ham United</v>
      </c>
      <c r="BM1464" s="52" t="str">
        <f>IF(AD1464="Home",BI1464,IF(AD1464="Away",BJ1464,Q1464))</f>
        <v>West Ham United</v>
      </c>
      <c r="BN1464" s="52"/>
      <c r="BO1464" s="52"/>
      <c r="BP1464" s="52"/>
      <c r="BQ1464" s="52"/>
      <c r="BR1464" s="52"/>
      <c r="BS1464" s="52"/>
      <c r="BT1464" s="52"/>
      <c r="BU1464" s="52"/>
      <c r="BV1464" s="52" t="s">
        <v>376</v>
      </c>
      <c r="BW1464" s="52" t="s">
        <v>376</v>
      </c>
      <c r="BX1464" s="52"/>
      <c r="BY1464" s="52"/>
      <c r="BZ1464" s="53"/>
      <c r="CA1464" s="53"/>
      <c r="CB1464" s="93" t="str">
        <f>IF(OR(C1464="",A1464="",B1464=""),"",TEXT(C1464,"0000")&amp;TEXT(A1464,"00")&amp;TEXT(B1464,"00"))</f>
        <v>20110111</v>
      </c>
    </row>
    <row r="1465" spans="1:80" s="46" customFormat="1" ht="12.95" customHeight="1" x14ac:dyDescent="0.2">
      <c r="A1465" s="46">
        <v>1</v>
      </c>
      <c r="B1465" s="46">
        <v>11</v>
      </c>
      <c r="C1465" s="46">
        <v>2011</v>
      </c>
      <c r="D1465" s="52" t="s">
        <v>658</v>
      </c>
      <c r="E1465" s="52" t="s">
        <v>253</v>
      </c>
      <c r="F1465" s="52" t="s">
        <v>1327</v>
      </c>
      <c r="G1465" s="52"/>
      <c r="H1465" s="52" t="s">
        <v>1011</v>
      </c>
      <c r="I1465" s="52">
        <v>1</v>
      </c>
      <c r="J1465" s="56">
        <v>40554</v>
      </c>
      <c r="K1465" s="52" t="s">
        <v>1125</v>
      </c>
      <c r="L1465" s="52" t="s">
        <v>4</v>
      </c>
      <c r="M1465" s="52" t="s">
        <v>803</v>
      </c>
      <c r="N1465" s="57">
        <v>1</v>
      </c>
      <c r="O1465" s="57">
        <v>2</v>
      </c>
      <c r="P1465" s="52" t="s">
        <v>1341</v>
      </c>
      <c r="Q1465" s="52" t="s">
        <v>1017</v>
      </c>
      <c r="R1465" s="52" t="s">
        <v>376</v>
      </c>
      <c r="S1465" s="52"/>
      <c r="T1465" s="52"/>
      <c r="U1465" s="52"/>
      <c r="V1465" s="52"/>
      <c r="W1465" s="52"/>
      <c r="X1465" s="52"/>
      <c r="Y1465" s="52"/>
      <c r="Z1465" s="57"/>
      <c r="AA1465" s="58">
        <v>1</v>
      </c>
      <c r="AB1465" s="58">
        <v>2</v>
      </c>
      <c r="AC1465" s="59">
        <v>1</v>
      </c>
      <c r="AD1465" s="52" t="s">
        <v>1037</v>
      </c>
      <c r="AE1465" s="50">
        <f>IF(L1465="W",1,0)</f>
        <v>0</v>
      </c>
      <c r="AF1465" s="50">
        <f>IF(L1465="T",1,0)</f>
        <v>0</v>
      </c>
      <c r="AG1465" s="50">
        <f>IF(L1465="L",1,0)</f>
        <v>1</v>
      </c>
      <c r="AH1465" s="52" t="s">
        <v>1111</v>
      </c>
      <c r="AI1465" s="52" t="s">
        <v>1126</v>
      </c>
      <c r="AJ1465" s="52" t="s">
        <v>376</v>
      </c>
      <c r="AK1465" s="50" t="s">
        <v>658</v>
      </c>
      <c r="AL1465" s="52" t="s">
        <v>1017</v>
      </c>
      <c r="AM1465" s="52" t="s">
        <v>1018</v>
      </c>
      <c r="AN1465" s="52" t="s">
        <v>376</v>
      </c>
      <c r="AO1465" s="50" t="s">
        <v>658</v>
      </c>
      <c r="AP1465" s="52"/>
      <c r="AQ1465" s="52">
        <v>2</v>
      </c>
      <c r="AR1465" s="52"/>
      <c r="AS1465" s="52"/>
      <c r="AU1465" s="52" t="s">
        <v>376</v>
      </c>
      <c r="AV1465" s="52"/>
      <c r="AW1465" s="52" t="s">
        <v>30</v>
      </c>
      <c r="AX1465" s="52"/>
      <c r="AY1465" s="52"/>
      <c r="AZ1465" s="52" t="s">
        <v>30</v>
      </c>
      <c r="BA1465" s="52"/>
      <c r="BB1465" s="60"/>
      <c r="BC1465" s="52"/>
      <c r="BD1465" s="60"/>
      <c r="BE1465" s="60"/>
      <c r="BF1465" s="35">
        <v>1</v>
      </c>
      <c r="BG1465" s="52">
        <v>1</v>
      </c>
      <c r="BH1465" s="52"/>
      <c r="BI1465" s="52" t="s">
        <v>1125</v>
      </c>
      <c r="BJ1465" s="52" t="s">
        <v>803</v>
      </c>
      <c r="BK1465" s="62">
        <v>2011</v>
      </c>
      <c r="BL1465" s="46" t="str">
        <f>BK1465&amp;BI1465</f>
        <v>2011Birmingham City</v>
      </c>
      <c r="BM1465" s="52" t="str">
        <f>IF(AD1465="Home",BI1465,IF(AD1465="Away",BJ1465,Q1465))</f>
        <v>West Ham United</v>
      </c>
      <c r="BN1465" s="52"/>
      <c r="BO1465" s="52"/>
      <c r="BP1465" s="52"/>
      <c r="BQ1465" s="52"/>
      <c r="BR1465" s="52"/>
      <c r="BS1465" s="52"/>
      <c r="BT1465" s="52"/>
      <c r="BU1465" s="52"/>
      <c r="BV1465" s="52" t="s">
        <v>376</v>
      </c>
      <c r="BW1465" s="52" t="s">
        <v>376</v>
      </c>
      <c r="BX1465" s="52"/>
      <c r="BY1465" s="52"/>
      <c r="BZ1465" s="53"/>
      <c r="CA1465" s="53"/>
      <c r="CB1465" s="93" t="str">
        <f>IF(OR(C1465="",A1465="",B1465=""),"",TEXT(C1465,"0000")&amp;TEXT(A1465,"00")&amp;TEXT(B1465,"00"))</f>
        <v>20110111</v>
      </c>
    </row>
    <row r="1466" spans="1:80" s="46" customFormat="1" ht="12.95" customHeight="1" x14ac:dyDescent="0.2">
      <c r="A1466" s="46">
        <v>1</v>
      </c>
      <c r="B1466" s="46">
        <v>12</v>
      </c>
      <c r="C1466" s="46">
        <v>2011</v>
      </c>
      <c r="D1466" s="46" t="s">
        <v>658</v>
      </c>
      <c r="E1466" s="46" t="s">
        <v>253</v>
      </c>
      <c r="F1466" s="54" t="s">
        <v>1327</v>
      </c>
      <c r="H1466" s="54" t="s">
        <v>1011</v>
      </c>
      <c r="I1466" s="54">
        <v>1</v>
      </c>
      <c r="J1466" s="64">
        <v>40555</v>
      </c>
      <c r="K1466" s="46" t="s">
        <v>1363</v>
      </c>
      <c r="L1466" s="46" t="s">
        <v>3</v>
      </c>
      <c r="M1466" s="46" t="s">
        <v>587</v>
      </c>
      <c r="N1466" s="49">
        <v>1</v>
      </c>
      <c r="O1466" s="49">
        <v>0</v>
      </c>
      <c r="P1466" s="46" t="s">
        <v>1378</v>
      </c>
      <c r="Q1466" s="46" t="s">
        <v>1364</v>
      </c>
      <c r="R1466" s="54" t="s">
        <v>376</v>
      </c>
      <c r="AD1466" s="46" t="s">
        <v>1033</v>
      </c>
      <c r="AE1466" s="50">
        <f>IF(L1466="W",1,0)</f>
        <v>1</v>
      </c>
      <c r="AF1466" s="50">
        <f>IF(L1466="T",1,0)</f>
        <v>0</v>
      </c>
      <c r="AG1466" s="50">
        <f>IF(L1466="L",1,0)</f>
        <v>0</v>
      </c>
      <c r="AH1466" s="46" t="s">
        <v>1364</v>
      </c>
      <c r="AI1466" s="46" t="s">
        <v>1365</v>
      </c>
      <c r="AJ1466" s="46" t="s">
        <v>376</v>
      </c>
      <c r="AK1466" s="46" t="s">
        <v>658</v>
      </c>
      <c r="AL1466" s="46" t="s">
        <v>1017</v>
      </c>
      <c r="AM1466" s="46" t="s">
        <v>1018</v>
      </c>
      <c r="AN1466" s="46" t="s">
        <v>376</v>
      </c>
      <c r="AO1466" s="46" t="s">
        <v>658</v>
      </c>
      <c r="AQ1466" s="46">
        <v>2</v>
      </c>
      <c r="AU1466" s="46" t="s">
        <v>376</v>
      </c>
      <c r="AW1466" s="46" t="s">
        <v>30</v>
      </c>
      <c r="AZ1466" s="46" t="s">
        <v>30</v>
      </c>
      <c r="BA1466" s="54"/>
      <c r="BB1466" s="51"/>
      <c r="BF1466" s="46">
        <v>1</v>
      </c>
      <c r="BG1466" s="46">
        <v>2</v>
      </c>
      <c r="BH1466" s="46">
        <v>1</v>
      </c>
      <c r="BI1466" s="46" t="s">
        <v>1363</v>
      </c>
      <c r="BJ1466" s="46" t="s">
        <v>587</v>
      </c>
      <c r="BK1466" s="46">
        <v>2011</v>
      </c>
      <c r="BL1466" s="46" t="str">
        <f>BK1466&amp;BI1466</f>
        <v>2011Ipswich Town</v>
      </c>
      <c r="BM1466" s="52" t="str">
        <f>IF(AD1466="Home",BI1466,IF(AD1466="Away",BJ1466,Q1466))</f>
        <v>Ipswich Town</v>
      </c>
      <c r="BV1466" s="46" t="s">
        <v>376</v>
      </c>
      <c r="BW1466" s="46" t="s">
        <v>376</v>
      </c>
      <c r="BY1466" s="52"/>
      <c r="BZ1466" s="53"/>
      <c r="CA1466" s="53"/>
      <c r="CB1466" s="93" t="str">
        <f>IF(OR(C1466="",A1466="",B1466=""),"",TEXT(C1466,"0000")&amp;TEXT(A1466,"00")&amp;TEXT(B1466,"00"))</f>
        <v>20110112</v>
      </c>
    </row>
    <row r="1467" spans="1:80" s="46" customFormat="1" ht="12.95" customHeight="1" x14ac:dyDescent="0.2">
      <c r="A1467" s="46">
        <v>1</v>
      </c>
      <c r="B1467" s="46">
        <v>12</v>
      </c>
      <c r="C1467" s="46">
        <v>2011</v>
      </c>
      <c r="D1467" s="52" t="s">
        <v>658</v>
      </c>
      <c r="E1467" s="52" t="s">
        <v>253</v>
      </c>
      <c r="F1467" s="52" t="s">
        <v>1327</v>
      </c>
      <c r="G1467" s="52"/>
      <c r="H1467" s="52" t="s">
        <v>1011</v>
      </c>
      <c r="I1467" s="52">
        <v>1</v>
      </c>
      <c r="J1467" s="56">
        <v>40555</v>
      </c>
      <c r="K1467" s="52" t="s">
        <v>587</v>
      </c>
      <c r="L1467" s="52" t="s">
        <v>4</v>
      </c>
      <c r="M1467" s="52" t="s">
        <v>1363</v>
      </c>
      <c r="N1467" s="57">
        <v>0</v>
      </c>
      <c r="O1467" s="57">
        <v>1</v>
      </c>
      <c r="P1467" s="52" t="s">
        <v>1378</v>
      </c>
      <c r="Q1467" s="52" t="s">
        <v>1364</v>
      </c>
      <c r="R1467" s="52" t="s">
        <v>376</v>
      </c>
      <c r="S1467" s="52"/>
      <c r="T1467" s="52"/>
      <c r="U1467" s="52"/>
      <c r="V1467" s="52"/>
      <c r="W1467" s="52"/>
      <c r="X1467" s="52"/>
      <c r="Y1467" s="52"/>
      <c r="Z1467" s="57"/>
      <c r="AA1467" s="58">
        <v>0</v>
      </c>
      <c r="AB1467" s="58">
        <v>1</v>
      </c>
      <c r="AC1467" s="59">
        <v>0</v>
      </c>
      <c r="AD1467" s="52" t="s">
        <v>1037</v>
      </c>
      <c r="AE1467" s="50">
        <f>IF(L1467="W",1,0)</f>
        <v>0</v>
      </c>
      <c r="AF1467" s="50">
        <f>IF(L1467="T",1,0)</f>
        <v>0</v>
      </c>
      <c r="AG1467" s="50">
        <f>IF(L1467="L",1,0)</f>
        <v>1</v>
      </c>
      <c r="AH1467" s="52" t="s">
        <v>1017</v>
      </c>
      <c r="AI1467" s="52" t="s">
        <v>1018</v>
      </c>
      <c r="AJ1467" s="52" t="s">
        <v>376</v>
      </c>
      <c r="AK1467" s="50" t="s">
        <v>658</v>
      </c>
      <c r="AL1467" s="52" t="s">
        <v>1364</v>
      </c>
      <c r="AM1467" s="52" t="s">
        <v>1365</v>
      </c>
      <c r="AN1467" s="52" t="s">
        <v>376</v>
      </c>
      <c r="AO1467" s="50" t="s">
        <v>658</v>
      </c>
      <c r="AP1467" s="52"/>
      <c r="AQ1467" s="52">
        <v>2</v>
      </c>
      <c r="AR1467" s="52"/>
      <c r="AS1467" s="52"/>
      <c r="AU1467" s="52" t="s">
        <v>376</v>
      </c>
      <c r="AV1467" s="52"/>
      <c r="AW1467" s="52" t="s">
        <v>30</v>
      </c>
      <c r="AX1467" s="52"/>
      <c r="AY1467" s="52"/>
      <c r="AZ1467" s="52" t="s">
        <v>30</v>
      </c>
      <c r="BA1467" s="52"/>
      <c r="BB1467" s="60"/>
      <c r="BC1467" s="52"/>
      <c r="BD1467" s="60"/>
      <c r="BE1467" s="60"/>
      <c r="BF1467" s="35">
        <v>1</v>
      </c>
      <c r="BG1467" s="52">
        <v>1</v>
      </c>
      <c r="BH1467" s="52"/>
      <c r="BI1467" s="52" t="s">
        <v>587</v>
      </c>
      <c r="BJ1467" s="52" t="s">
        <v>1363</v>
      </c>
      <c r="BK1467" s="62">
        <v>2011</v>
      </c>
      <c r="BL1467" s="46" t="str">
        <f>BK1467&amp;BI1467</f>
        <v>2011Arsenal</v>
      </c>
      <c r="BM1467" s="52" t="str">
        <f>IF(AD1467="Home",BI1467,IF(AD1467="Away",BJ1467,Q1467))</f>
        <v>Ipswich Town</v>
      </c>
      <c r="BN1467" s="52"/>
      <c r="BO1467" s="52"/>
      <c r="BP1467" s="52"/>
      <c r="BQ1467" s="52"/>
      <c r="BR1467" s="52"/>
      <c r="BS1467" s="52"/>
      <c r="BT1467" s="52"/>
      <c r="BU1467" s="52"/>
      <c r="BV1467" s="52" t="s">
        <v>376</v>
      </c>
      <c r="BW1467" s="52" t="s">
        <v>376</v>
      </c>
      <c r="BX1467" s="52"/>
      <c r="BY1467" s="52"/>
      <c r="BZ1467" s="53"/>
      <c r="CA1467" s="53"/>
      <c r="CB1467" s="93" t="str">
        <f>IF(OR(C1467="",A1467="",B1467=""),"",TEXT(C1467,"0000")&amp;TEXT(A1467,"00")&amp;TEXT(B1467,"00"))</f>
        <v>20110112</v>
      </c>
    </row>
    <row r="1468" spans="1:80" s="46" customFormat="1" ht="12.95" customHeight="1" x14ac:dyDescent="0.2">
      <c r="A1468" s="46">
        <v>1</v>
      </c>
      <c r="B1468" s="46">
        <v>25</v>
      </c>
      <c r="C1468" s="46">
        <v>2011</v>
      </c>
      <c r="D1468" s="52" t="s">
        <v>658</v>
      </c>
      <c r="E1468" s="52" t="s">
        <v>253</v>
      </c>
      <c r="F1468" s="52" t="s">
        <v>1327</v>
      </c>
      <c r="G1468" s="52"/>
      <c r="H1468" s="52" t="s">
        <v>1011</v>
      </c>
      <c r="I1468" s="52">
        <v>2</v>
      </c>
      <c r="J1468" s="56">
        <v>40568</v>
      </c>
      <c r="K1468" s="52" t="s">
        <v>587</v>
      </c>
      <c r="L1468" s="52" t="s">
        <v>3</v>
      </c>
      <c r="M1468" s="52" t="s">
        <v>1363</v>
      </c>
      <c r="N1468" s="57">
        <v>3</v>
      </c>
      <c r="O1468" s="57">
        <v>0</v>
      </c>
      <c r="P1468" s="52" t="s">
        <v>1414</v>
      </c>
      <c r="Q1468" s="52" t="s">
        <v>1017</v>
      </c>
      <c r="R1468" s="52" t="s">
        <v>376</v>
      </c>
      <c r="S1468" s="52"/>
      <c r="T1468" s="52"/>
      <c r="U1468" s="52"/>
      <c r="V1468" s="52"/>
      <c r="W1468" s="52"/>
      <c r="X1468" s="52"/>
      <c r="Y1468" s="52"/>
      <c r="Z1468" s="57"/>
      <c r="AA1468" s="58">
        <v>3</v>
      </c>
      <c r="AB1468" s="58">
        <v>1</v>
      </c>
      <c r="AC1468" s="59">
        <v>0</v>
      </c>
      <c r="AD1468" s="52" t="s">
        <v>1033</v>
      </c>
      <c r="AE1468" s="50">
        <f>IF(L1468="W",1,0)</f>
        <v>1</v>
      </c>
      <c r="AF1468" s="50">
        <f>IF(L1468="T",1,0)</f>
        <v>0</v>
      </c>
      <c r="AG1468" s="50">
        <f>IF(L1468="L",1,0)</f>
        <v>0</v>
      </c>
      <c r="AH1468" s="52" t="s">
        <v>1017</v>
      </c>
      <c r="AI1468" s="52" t="s">
        <v>1018</v>
      </c>
      <c r="AJ1468" s="52" t="s">
        <v>376</v>
      </c>
      <c r="AK1468" s="50" t="s">
        <v>658</v>
      </c>
      <c r="AL1468" s="52" t="s">
        <v>1364</v>
      </c>
      <c r="AM1468" s="52" t="s">
        <v>1365</v>
      </c>
      <c r="AN1468" s="52" t="s">
        <v>376</v>
      </c>
      <c r="AO1468" s="50" t="s">
        <v>658</v>
      </c>
      <c r="AP1468" s="52"/>
      <c r="AQ1468" s="52">
        <v>2</v>
      </c>
      <c r="AR1468" s="52"/>
      <c r="AS1468" s="52"/>
      <c r="AU1468" s="52" t="s">
        <v>376</v>
      </c>
      <c r="AV1468" s="52"/>
      <c r="AW1468" s="52" t="s">
        <v>30</v>
      </c>
      <c r="AX1468" s="52"/>
      <c r="AY1468" s="52"/>
      <c r="AZ1468" s="52" t="s">
        <v>30</v>
      </c>
      <c r="BA1468" s="52"/>
      <c r="BB1468" s="60"/>
      <c r="BC1468" s="52"/>
      <c r="BD1468" s="60"/>
      <c r="BE1468" s="60"/>
      <c r="BF1468" s="35">
        <v>1</v>
      </c>
      <c r="BG1468" s="52">
        <v>1</v>
      </c>
      <c r="BH1468" s="52"/>
      <c r="BI1468" s="52" t="s">
        <v>587</v>
      </c>
      <c r="BJ1468" s="52" t="s">
        <v>1363</v>
      </c>
      <c r="BK1468" s="62">
        <v>2011</v>
      </c>
      <c r="BL1468" s="46" t="str">
        <f>BK1468&amp;BI1468</f>
        <v>2011Arsenal</v>
      </c>
      <c r="BM1468" s="52" t="str">
        <f>IF(AD1468="Home",BI1468,IF(AD1468="Away",BJ1468,Q1468))</f>
        <v>Arsenal</v>
      </c>
      <c r="BN1468" s="52"/>
      <c r="BO1468" s="52"/>
      <c r="BP1468" s="52"/>
      <c r="BQ1468" s="52"/>
      <c r="BR1468" s="52"/>
      <c r="BS1468" s="52"/>
      <c r="BT1468" s="52"/>
      <c r="BU1468" s="52"/>
      <c r="BV1468" s="52" t="s">
        <v>376</v>
      </c>
      <c r="BW1468" s="52" t="s">
        <v>376</v>
      </c>
      <c r="BX1468" s="52"/>
      <c r="BY1468" s="52"/>
      <c r="BZ1468" s="53"/>
      <c r="CA1468" s="53"/>
      <c r="CB1468" s="93" t="str">
        <f>IF(OR(C1468="",A1468="",B1468=""),"",TEXT(C1468,"0000")&amp;TEXT(A1468,"00")&amp;TEXT(B1468,"00"))</f>
        <v>20110125</v>
      </c>
    </row>
    <row r="1469" spans="1:80" s="46" customFormat="1" ht="12.95" customHeight="1" x14ac:dyDescent="0.2">
      <c r="A1469" s="46">
        <v>1</v>
      </c>
      <c r="B1469" s="46">
        <v>25</v>
      </c>
      <c r="C1469" s="46">
        <v>2011</v>
      </c>
      <c r="D1469" s="46" t="s">
        <v>658</v>
      </c>
      <c r="E1469" s="46" t="s">
        <v>253</v>
      </c>
      <c r="F1469" s="54" t="s">
        <v>1327</v>
      </c>
      <c r="H1469" s="54" t="s">
        <v>1011</v>
      </c>
      <c r="I1469" s="54">
        <v>2</v>
      </c>
      <c r="J1469" s="64">
        <v>40568</v>
      </c>
      <c r="K1469" s="46" t="s">
        <v>1363</v>
      </c>
      <c r="L1469" s="46" t="s">
        <v>4</v>
      </c>
      <c r="M1469" s="46" t="s">
        <v>587</v>
      </c>
      <c r="N1469" s="49">
        <v>0</v>
      </c>
      <c r="O1469" s="49">
        <v>3</v>
      </c>
      <c r="P1469" s="46" t="s">
        <v>1414</v>
      </c>
      <c r="Q1469" s="46" t="s">
        <v>1017</v>
      </c>
      <c r="R1469" s="54" t="s">
        <v>376</v>
      </c>
      <c r="AD1469" s="46" t="s">
        <v>1037</v>
      </c>
      <c r="AE1469" s="50">
        <f>IF(L1469="W",1,0)</f>
        <v>0</v>
      </c>
      <c r="AF1469" s="50">
        <f>IF(L1469="T",1,0)</f>
        <v>0</v>
      </c>
      <c r="AG1469" s="50">
        <f>IF(L1469="L",1,0)</f>
        <v>1</v>
      </c>
      <c r="AH1469" s="46" t="s">
        <v>1364</v>
      </c>
      <c r="AI1469" s="46" t="s">
        <v>1365</v>
      </c>
      <c r="AJ1469" s="46" t="s">
        <v>376</v>
      </c>
      <c r="AK1469" s="46" t="s">
        <v>658</v>
      </c>
      <c r="AL1469" s="46" t="s">
        <v>1017</v>
      </c>
      <c r="AM1469" s="46" t="s">
        <v>1018</v>
      </c>
      <c r="AN1469" s="46" t="s">
        <v>376</v>
      </c>
      <c r="AO1469" s="46" t="s">
        <v>658</v>
      </c>
      <c r="AQ1469" s="46">
        <v>2</v>
      </c>
      <c r="AU1469" s="46" t="s">
        <v>376</v>
      </c>
      <c r="AW1469" s="46" t="s">
        <v>30</v>
      </c>
      <c r="AZ1469" s="46" t="s">
        <v>30</v>
      </c>
      <c r="BA1469" s="54"/>
      <c r="BB1469" s="51"/>
      <c r="BF1469" s="46">
        <v>1</v>
      </c>
      <c r="BG1469" s="46">
        <v>2</v>
      </c>
      <c r="BH1469" s="46">
        <v>1</v>
      </c>
      <c r="BI1469" s="46" t="s">
        <v>1363</v>
      </c>
      <c r="BJ1469" s="46" t="s">
        <v>587</v>
      </c>
      <c r="BK1469" s="46">
        <v>2011</v>
      </c>
      <c r="BL1469" s="46" t="str">
        <f>BK1469&amp;BI1469</f>
        <v>2011Ipswich Town</v>
      </c>
      <c r="BM1469" s="52" t="str">
        <f>IF(AD1469="Home",BI1469,IF(AD1469="Away",BJ1469,Q1469))</f>
        <v>Arsenal</v>
      </c>
      <c r="BV1469" s="46" t="s">
        <v>376</v>
      </c>
      <c r="BW1469" s="46" t="s">
        <v>376</v>
      </c>
      <c r="BY1469" s="52"/>
      <c r="BZ1469" s="53"/>
      <c r="CA1469" s="53"/>
      <c r="CB1469" s="93" t="str">
        <f>IF(OR(C1469="",A1469="",B1469=""),"",TEXT(C1469,"0000")&amp;TEXT(A1469,"00")&amp;TEXT(B1469,"00"))</f>
        <v>20110125</v>
      </c>
    </row>
    <row r="1470" spans="1:80" s="46" customFormat="1" ht="12.95" customHeight="1" x14ac:dyDescent="0.2">
      <c r="A1470" s="46">
        <v>1</v>
      </c>
      <c r="B1470" s="46">
        <v>26</v>
      </c>
      <c r="C1470" s="46">
        <v>2011</v>
      </c>
      <c r="D1470" s="52" t="s">
        <v>658</v>
      </c>
      <c r="E1470" s="52" t="s">
        <v>253</v>
      </c>
      <c r="F1470" s="52" t="s">
        <v>1327</v>
      </c>
      <c r="G1470" s="52"/>
      <c r="H1470" s="52" t="s">
        <v>1011</v>
      </c>
      <c r="I1470" s="52">
        <v>2</v>
      </c>
      <c r="J1470" s="56">
        <v>40569</v>
      </c>
      <c r="K1470" s="52" t="s">
        <v>1125</v>
      </c>
      <c r="L1470" s="52" t="s">
        <v>3</v>
      </c>
      <c r="M1470" s="52" t="s">
        <v>803</v>
      </c>
      <c r="N1470" s="57">
        <v>3</v>
      </c>
      <c r="O1470" s="57">
        <v>1</v>
      </c>
      <c r="P1470" s="52" t="s">
        <v>1232</v>
      </c>
      <c r="Q1470" s="52" t="s">
        <v>1111</v>
      </c>
      <c r="R1470" s="52" t="s">
        <v>376</v>
      </c>
      <c r="S1470" s="52" t="s">
        <v>1396</v>
      </c>
      <c r="T1470" s="52"/>
      <c r="U1470" s="52"/>
      <c r="V1470" s="52"/>
      <c r="W1470" s="52"/>
      <c r="X1470" s="52"/>
      <c r="Y1470" s="52"/>
      <c r="Z1470" s="57"/>
      <c r="AA1470" s="58">
        <v>4</v>
      </c>
      <c r="AB1470" s="58">
        <v>3</v>
      </c>
      <c r="AC1470" s="59">
        <v>1</v>
      </c>
      <c r="AD1470" s="52" t="s">
        <v>1033</v>
      </c>
      <c r="AE1470" s="50">
        <f>IF(L1470="W",1,0)</f>
        <v>1</v>
      </c>
      <c r="AF1470" s="50">
        <f>IF(L1470="T",1,0)</f>
        <v>0</v>
      </c>
      <c r="AG1470" s="50">
        <f>IF(L1470="L",1,0)</f>
        <v>0</v>
      </c>
      <c r="AH1470" s="52" t="s">
        <v>1111</v>
      </c>
      <c r="AI1470" s="52" t="s">
        <v>1126</v>
      </c>
      <c r="AJ1470" s="52" t="s">
        <v>376</v>
      </c>
      <c r="AK1470" s="50" t="s">
        <v>658</v>
      </c>
      <c r="AL1470" s="52" t="s">
        <v>1017</v>
      </c>
      <c r="AM1470" s="52" t="s">
        <v>1018</v>
      </c>
      <c r="AN1470" s="52" t="s">
        <v>376</v>
      </c>
      <c r="AO1470" s="50" t="s">
        <v>658</v>
      </c>
      <c r="AP1470" s="52"/>
      <c r="AQ1470" s="52">
        <v>2</v>
      </c>
      <c r="AR1470" s="52"/>
      <c r="AS1470" s="52"/>
      <c r="AU1470" s="52" t="s">
        <v>376</v>
      </c>
      <c r="AV1470" s="52"/>
      <c r="AW1470" s="52" t="s">
        <v>30</v>
      </c>
      <c r="AX1470" s="52"/>
      <c r="AY1470" s="52"/>
      <c r="AZ1470" s="52" t="s">
        <v>30</v>
      </c>
      <c r="BA1470" s="52"/>
      <c r="BB1470" s="60"/>
      <c r="BC1470" s="52"/>
      <c r="BD1470" s="60"/>
      <c r="BE1470" s="60"/>
      <c r="BF1470" s="35">
        <v>1</v>
      </c>
      <c r="BG1470" s="52">
        <v>1</v>
      </c>
      <c r="BH1470" s="52"/>
      <c r="BI1470" s="52" t="s">
        <v>1125</v>
      </c>
      <c r="BJ1470" s="52" t="s">
        <v>803</v>
      </c>
      <c r="BK1470" s="62">
        <v>2011</v>
      </c>
      <c r="BL1470" s="46" t="str">
        <f>BK1470&amp;BI1470</f>
        <v>2011Birmingham City</v>
      </c>
      <c r="BM1470" s="52" t="str">
        <f>IF(AD1470="Home",BI1470,IF(AD1470="Away",BJ1470,Q1470))</f>
        <v>Birmingham City</v>
      </c>
      <c r="BN1470" s="52"/>
      <c r="BO1470" s="52"/>
      <c r="BP1470" s="52"/>
      <c r="BQ1470" s="52"/>
      <c r="BR1470" s="52"/>
      <c r="BS1470" s="52"/>
      <c r="BT1470" s="52"/>
      <c r="BU1470" s="52"/>
      <c r="BV1470" s="52" t="s">
        <v>376</v>
      </c>
      <c r="BW1470" s="52" t="s">
        <v>376</v>
      </c>
      <c r="BX1470" s="52"/>
      <c r="BY1470" s="52"/>
      <c r="BZ1470" s="53"/>
      <c r="CA1470" s="53"/>
      <c r="CB1470" s="93" t="str">
        <f>IF(OR(C1470="",A1470="",B1470=""),"",TEXT(C1470,"0000")&amp;TEXT(A1470,"00")&amp;TEXT(B1470,"00"))</f>
        <v>20110126</v>
      </c>
    </row>
    <row r="1471" spans="1:80" s="46" customFormat="1" ht="12.95" customHeight="1" x14ac:dyDescent="0.2">
      <c r="A1471" s="46">
        <v>1</v>
      </c>
      <c r="B1471" s="46">
        <v>26</v>
      </c>
      <c r="C1471" s="46">
        <v>2011</v>
      </c>
      <c r="D1471" s="52" t="s">
        <v>658</v>
      </c>
      <c r="E1471" s="52" t="s">
        <v>253</v>
      </c>
      <c r="F1471" s="52" t="s">
        <v>1327</v>
      </c>
      <c r="G1471" s="52"/>
      <c r="H1471" s="52" t="s">
        <v>1011</v>
      </c>
      <c r="I1471" s="52">
        <v>2</v>
      </c>
      <c r="J1471" s="56">
        <v>40569</v>
      </c>
      <c r="K1471" s="52" t="s">
        <v>803</v>
      </c>
      <c r="L1471" s="52" t="s">
        <v>4</v>
      </c>
      <c r="M1471" s="52" t="s">
        <v>1125</v>
      </c>
      <c r="N1471" s="57">
        <v>1</v>
      </c>
      <c r="O1471" s="57">
        <v>3</v>
      </c>
      <c r="P1471" s="52" t="s">
        <v>1232</v>
      </c>
      <c r="Q1471" s="52" t="s">
        <v>1111</v>
      </c>
      <c r="R1471" s="52" t="s">
        <v>376</v>
      </c>
      <c r="S1471" s="52" t="s">
        <v>1396</v>
      </c>
      <c r="T1471" s="52"/>
      <c r="U1471" s="52"/>
      <c r="V1471" s="52"/>
      <c r="W1471" s="52"/>
      <c r="X1471" s="52"/>
      <c r="Y1471" s="52"/>
      <c r="Z1471" s="57"/>
      <c r="AA1471" s="58">
        <v>3</v>
      </c>
      <c r="AB1471" s="58">
        <v>4</v>
      </c>
      <c r="AC1471" s="59">
        <v>1</v>
      </c>
      <c r="AD1471" s="52" t="s">
        <v>1037</v>
      </c>
      <c r="AE1471" s="50">
        <f>IF(L1471="W",1,0)</f>
        <v>0</v>
      </c>
      <c r="AF1471" s="50">
        <f>IF(L1471="T",1,0)</f>
        <v>0</v>
      </c>
      <c r="AG1471" s="50">
        <f>IF(L1471="L",1,0)</f>
        <v>1</v>
      </c>
      <c r="AH1471" s="52" t="s">
        <v>1017</v>
      </c>
      <c r="AI1471" s="52" t="s">
        <v>1018</v>
      </c>
      <c r="AJ1471" s="52" t="s">
        <v>376</v>
      </c>
      <c r="AK1471" s="50" t="s">
        <v>658</v>
      </c>
      <c r="AL1471" s="52" t="s">
        <v>1111</v>
      </c>
      <c r="AM1471" s="52" t="s">
        <v>1126</v>
      </c>
      <c r="AN1471" s="52" t="s">
        <v>376</v>
      </c>
      <c r="AO1471" s="50" t="s">
        <v>658</v>
      </c>
      <c r="AP1471" s="52"/>
      <c r="AQ1471" s="52">
        <v>2</v>
      </c>
      <c r="AR1471" s="52"/>
      <c r="AS1471" s="52">
        <v>1</v>
      </c>
      <c r="AU1471" s="52" t="s">
        <v>376</v>
      </c>
      <c r="AV1471" s="52"/>
      <c r="AW1471" s="52" t="s">
        <v>30</v>
      </c>
      <c r="AX1471" s="52"/>
      <c r="AY1471" s="52"/>
      <c r="AZ1471" s="52" t="s">
        <v>30</v>
      </c>
      <c r="BA1471" s="52"/>
      <c r="BB1471" s="60"/>
      <c r="BC1471" s="52"/>
      <c r="BD1471" s="60"/>
      <c r="BE1471" s="60"/>
      <c r="BF1471" s="35">
        <v>1</v>
      </c>
      <c r="BG1471" s="52">
        <v>1</v>
      </c>
      <c r="BH1471" s="52"/>
      <c r="BI1471" s="52" t="s">
        <v>803</v>
      </c>
      <c r="BJ1471" s="52" t="s">
        <v>1125</v>
      </c>
      <c r="BK1471" s="62">
        <v>2011</v>
      </c>
      <c r="BL1471" s="46" t="str">
        <f>BK1471&amp;BI1471</f>
        <v>2011West Ham United</v>
      </c>
      <c r="BM1471" s="52" t="str">
        <f>IF(AD1471="Home",BI1471,IF(AD1471="Away",BJ1471,Q1471))</f>
        <v>Birmingham City</v>
      </c>
      <c r="BN1471" s="52"/>
      <c r="BO1471" s="52"/>
      <c r="BP1471" s="52"/>
      <c r="BQ1471" s="52"/>
      <c r="BR1471" s="52"/>
      <c r="BS1471" s="52"/>
      <c r="BT1471" s="52"/>
      <c r="BU1471" s="52"/>
      <c r="BV1471" s="52" t="s">
        <v>376</v>
      </c>
      <c r="BW1471" s="52" t="s">
        <v>376</v>
      </c>
      <c r="BX1471" s="52"/>
      <c r="BY1471" s="52"/>
      <c r="BZ1471" s="53"/>
      <c r="CA1471" s="53"/>
      <c r="CB1471" s="93" t="str">
        <f>IF(OR(C1471="",A1471="",B1471=""),"",TEXT(C1471,"0000")&amp;TEXT(A1471,"00")&amp;TEXT(B1471,"00"))</f>
        <v>20110126</v>
      </c>
    </row>
    <row r="1472" spans="1:80" s="46" customFormat="1" ht="12.95" customHeight="1" x14ac:dyDescent="0.2">
      <c r="A1472" s="46">
        <v>2</v>
      </c>
      <c r="B1472" s="46">
        <v>27</v>
      </c>
      <c r="C1472" s="46">
        <v>2011</v>
      </c>
      <c r="D1472" s="52" t="s">
        <v>658</v>
      </c>
      <c r="E1472" s="52" t="s">
        <v>253</v>
      </c>
      <c r="F1472" s="52" t="s">
        <v>1327</v>
      </c>
      <c r="G1472" s="52"/>
      <c r="H1472" s="52" t="s">
        <v>40</v>
      </c>
      <c r="I1472" s="52"/>
      <c r="J1472" s="56">
        <v>40601</v>
      </c>
      <c r="K1472" s="52" t="s">
        <v>1125</v>
      </c>
      <c r="L1472" s="52" t="s">
        <v>3</v>
      </c>
      <c r="M1472" s="52" t="s">
        <v>587</v>
      </c>
      <c r="N1472" s="57">
        <v>2</v>
      </c>
      <c r="O1472" s="57">
        <v>1</v>
      </c>
      <c r="P1472" s="52" t="s">
        <v>1415</v>
      </c>
      <c r="Q1472" s="52" t="s">
        <v>1017</v>
      </c>
      <c r="R1472" s="52" t="s">
        <v>376</v>
      </c>
      <c r="S1472" s="52"/>
      <c r="T1472" s="52"/>
      <c r="U1472" s="52"/>
      <c r="V1472" s="52"/>
      <c r="W1472" s="52"/>
      <c r="X1472" s="52"/>
      <c r="Y1472" s="52"/>
      <c r="Z1472" s="57"/>
      <c r="AA1472" s="52"/>
      <c r="AB1472" s="52"/>
      <c r="AC1472" s="52"/>
      <c r="AD1472" s="52"/>
      <c r="AE1472" s="50">
        <f>IF(L1472="W",1,0)</f>
        <v>1</v>
      </c>
      <c r="AF1472" s="50">
        <f>IF(L1472="T",1,0)</f>
        <v>0</v>
      </c>
      <c r="AG1472" s="50">
        <f>IF(L1472="L",1,0)</f>
        <v>0</v>
      </c>
      <c r="AH1472" s="52" t="s">
        <v>1111</v>
      </c>
      <c r="AI1472" s="52" t="s">
        <v>1126</v>
      </c>
      <c r="AJ1472" s="52" t="s">
        <v>376</v>
      </c>
      <c r="AK1472" s="50" t="s">
        <v>658</v>
      </c>
      <c r="AL1472" s="52" t="s">
        <v>1017</v>
      </c>
      <c r="AM1472" s="52" t="s">
        <v>1018</v>
      </c>
      <c r="AN1472" s="52" t="s">
        <v>376</v>
      </c>
      <c r="AO1472" s="50" t="s">
        <v>658</v>
      </c>
      <c r="AP1472" s="52"/>
      <c r="AQ1472" s="52">
        <v>1</v>
      </c>
      <c r="AR1472" s="52"/>
      <c r="AS1472" s="52" t="s">
        <v>1393</v>
      </c>
      <c r="AU1472" s="52" t="s">
        <v>376</v>
      </c>
      <c r="AV1472" s="52"/>
      <c r="AW1472" s="52" t="s">
        <v>30</v>
      </c>
      <c r="AX1472" s="52"/>
      <c r="AY1472" s="52"/>
      <c r="AZ1472" s="57" t="s">
        <v>30</v>
      </c>
      <c r="BA1472" s="52"/>
      <c r="BB1472" s="60" t="s">
        <v>30</v>
      </c>
      <c r="BC1472" s="52" t="s">
        <v>30</v>
      </c>
      <c r="BD1472" s="60"/>
      <c r="BE1472" s="60" t="s">
        <v>1419</v>
      </c>
      <c r="BF1472" s="35">
        <v>1</v>
      </c>
      <c r="BG1472" s="52">
        <v>1</v>
      </c>
      <c r="BH1472" s="52"/>
      <c r="BI1472" s="52" t="s">
        <v>1125</v>
      </c>
      <c r="BJ1472" s="52" t="s">
        <v>587</v>
      </c>
      <c r="BK1472" s="62">
        <v>2011</v>
      </c>
      <c r="BL1472" s="46" t="str">
        <f>BK1472&amp;BI1472</f>
        <v>2011Birmingham City</v>
      </c>
      <c r="BM1472" s="52" t="str">
        <f>IF(AD1472="Home",BI1472,IF(AD1472="Away",BJ1472,Q1472))</f>
        <v>London</v>
      </c>
      <c r="BN1472" s="52"/>
      <c r="BO1472" s="52"/>
      <c r="BP1472" s="52"/>
      <c r="BQ1472" s="52"/>
      <c r="BR1472" s="52"/>
      <c r="BS1472" s="52"/>
      <c r="BT1472" s="52"/>
      <c r="BU1472" s="52"/>
      <c r="BV1472" s="52" t="s">
        <v>376</v>
      </c>
      <c r="BW1472" s="52" t="s">
        <v>376</v>
      </c>
      <c r="BX1472" s="52"/>
      <c r="BY1472" s="52"/>
      <c r="BZ1472" s="53"/>
      <c r="CA1472" s="53"/>
      <c r="CB1472" s="93" t="str">
        <f>IF(OR(C1472="",A1472="",B1472=""),"",TEXT(C1472,"0000")&amp;TEXT(A1472,"00")&amp;TEXT(B1472,"00"))</f>
        <v>20110227</v>
      </c>
    </row>
    <row r="1473" spans="1:80" s="46" customFormat="1" ht="12.95" customHeight="1" x14ac:dyDescent="0.2">
      <c r="A1473" s="46">
        <v>2</v>
      </c>
      <c r="B1473" s="46">
        <v>27</v>
      </c>
      <c r="C1473" s="46">
        <v>2011</v>
      </c>
      <c r="D1473" s="52" t="s">
        <v>658</v>
      </c>
      <c r="E1473" s="52" t="s">
        <v>253</v>
      </c>
      <c r="F1473" s="52" t="s">
        <v>1327</v>
      </c>
      <c r="G1473" s="52"/>
      <c r="H1473" s="52" t="s">
        <v>40</v>
      </c>
      <c r="I1473" s="52"/>
      <c r="J1473" s="56">
        <v>40601</v>
      </c>
      <c r="K1473" s="52" t="s">
        <v>587</v>
      </c>
      <c r="L1473" s="52" t="s">
        <v>4</v>
      </c>
      <c r="M1473" s="52" t="s">
        <v>1125</v>
      </c>
      <c r="N1473" s="57">
        <v>1</v>
      </c>
      <c r="O1473" s="57">
        <v>2</v>
      </c>
      <c r="P1473" s="52" t="s">
        <v>1415</v>
      </c>
      <c r="Q1473" s="52" t="s">
        <v>1017</v>
      </c>
      <c r="R1473" s="52" t="s">
        <v>376</v>
      </c>
      <c r="S1473" s="52"/>
      <c r="T1473" s="52"/>
      <c r="U1473" s="52"/>
      <c r="V1473" s="52"/>
      <c r="W1473" s="52"/>
      <c r="X1473" s="52"/>
      <c r="Y1473" s="52"/>
      <c r="Z1473" s="57"/>
      <c r="AA1473" s="52"/>
      <c r="AB1473" s="52"/>
      <c r="AC1473" s="52"/>
      <c r="AD1473" s="52"/>
      <c r="AE1473" s="50">
        <f>IF(L1473="W",1,0)</f>
        <v>0</v>
      </c>
      <c r="AF1473" s="50">
        <f>IF(L1473="T",1,0)</f>
        <v>0</v>
      </c>
      <c r="AG1473" s="50">
        <f>IF(L1473="L",1,0)</f>
        <v>1</v>
      </c>
      <c r="AH1473" s="52" t="s">
        <v>1017</v>
      </c>
      <c r="AI1473" s="52" t="s">
        <v>1018</v>
      </c>
      <c r="AJ1473" s="52" t="s">
        <v>376</v>
      </c>
      <c r="AK1473" s="50" t="s">
        <v>658</v>
      </c>
      <c r="AL1473" s="52" t="s">
        <v>1111</v>
      </c>
      <c r="AM1473" s="52" t="s">
        <v>1126</v>
      </c>
      <c r="AN1473" s="52" t="s">
        <v>376</v>
      </c>
      <c r="AO1473" s="50" t="s">
        <v>658</v>
      </c>
      <c r="AP1473" s="52"/>
      <c r="AQ1473" s="52">
        <v>1</v>
      </c>
      <c r="AR1473" s="52"/>
      <c r="AS1473" s="52">
        <v>1</v>
      </c>
      <c r="AU1473" s="52" t="s">
        <v>376</v>
      </c>
      <c r="AV1473" s="52"/>
      <c r="AW1473" s="52" t="s">
        <v>30</v>
      </c>
      <c r="AX1473" s="52"/>
      <c r="AY1473" s="52"/>
      <c r="AZ1473" s="52" t="s">
        <v>30</v>
      </c>
      <c r="BA1473" s="52"/>
      <c r="BB1473" s="60"/>
      <c r="BC1473" s="52" t="s">
        <v>30</v>
      </c>
      <c r="BD1473" s="60"/>
      <c r="BE1473" s="60"/>
      <c r="BF1473" s="35">
        <v>1</v>
      </c>
      <c r="BG1473" s="52">
        <v>1</v>
      </c>
      <c r="BH1473" s="52"/>
      <c r="BI1473" s="52" t="s">
        <v>587</v>
      </c>
      <c r="BJ1473" s="52" t="s">
        <v>1125</v>
      </c>
      <c r="BK1473" s="62">
        <v>2011</v>
      </c>
      <c r="BL1473" s="46" t="str">
        <f>BK1473&amp;BI1473</f>
        <v>2011Arsenal</v>
      </c>
      <c r="BM1473" s="52" t="str">
        <f>IF(AD1473="Home",BI1473,IF(AD1473="Away",BJ1473,Q1473))</f>
        <v>London</v>
      </c>
      <c r="BN1473" s="52"/>
      <c r="BO1473" s="52"/>
      <c r="BP1473" s="52"/>
      <c r="BQ1473" s="52"/>
      <c r="BR1473" s="52"/>
      <c r="BS1473" s="52"/>
      <c r="BT1473" s="52"/>
      <c r="BU1473" s="52"/>
      <c r="BV1473" s="52" t="s">
        <v>376</v>
      </c>
      <c r="BW1473" s="52" t="s">
        <v>376</v>
      </c>
      <c r="BX1473" s="52"/>
      <c r="BY1473" s="52"/>
      <c r="BZ1473" s="53"/>
      <c r="CA1473" s="53"/>
      <c r="CB1473" s="93" t="str">
        <f>IF(OR(C1473="",A1473="",B1473=""),"",TEXT(C1473,"0000")&amp;TEXT(A1473,"00")&amp;TEXT(B1473,"00"))</f>
        <v>20110227</v>
      </c>
    </row>
    <row r="1474" spans="1:80" s="46" customFormat="1" ht="12.95" customHeight="1" x14ac:dyDescent="0.2">
      <c r="A1474" s="46">
        <v>4</v>
      </c>
      <c r="B1474" s="46">
        <v>16</v>
      </c>
      <c r="C1474" s="46">
        <v>2011</v>
      </c>
      <c r="D1474" s="52" t="s">
        <v>658</v>
      </c>
      <c r="E1474" s="52" t="s">
        <v>253</v>
      </c>
      <c r="F1474" s="52" t="s">
        <v>1010</v>
      </c>
      <c r="G1474" s="52"/>
      <c r="H1474" s="52" t="s">
        <v>1011</v>
      </c>
      <c r="I1474" s="52"/>
      <c r="J1474" s="56">
        <v>40649</v>
      </c>
      <c r="K1474" s="52" t="s">
        <v>823</v>
      </c>
      <c r="L1474" s="52" t="s">
        <v>3</v>
      </c>
      <c r="M1474" s="52" t="s">
        <v>821</v>
      </c>
      <c r="N1474" s="57">
        <v>1</v>
      </c>
      <c r="O1474" s="57">
        <v>0</v>
      </c>
      <c r="P1474" s="52" t="s">
        <v>1415</v>
      </c>
      <c r="Q1474" s="52" t="s">
        <v>1017</v>
      </c>
      <c r="R1474" s="52" t="s">
        <v>376</v>
      </c>
      <c r="S1474" s="52"/>
      <c r="T1474" s="52"/>
      <c r="U1474" s="52"/>
      <c r="V1474" s="52"/>
      <c r="W1474" s="52"/>
      <c r="X1474" s="52"/>
      <c r="Y1474" s="52"/>
      <c r="Z1474" s="57"/>
      <c r="AA1474" s="52"/>
      <c r="AB1474" s="52"/>
      <c r="AC1474" s="52"/>
      <c r="AD1474" s="52"/>
      <c r="AE1474" s="50">
        <f>IF(L1474="W",1,0)</f>
        <v>1</v>
      </c>
      <c r="AF1474" s="50">
        <f>IF(L1474="T",1,0)</f>
        <v>0</v>
      </c>
      <c r="AG1474" s="50">
        <f>IF(L1474="L",1,0)</f>
        <v>0</v>
      </c>
      <c r="AH1474" s="52" t="s">
        <v>1101</v>
      </c>
      <c r="AI1474" s="52" t="s">
        <v>1159</v>
      </c>
      <c r="AJ1474" s="52" t="s">
        <v>376</v>
      </c>
      <c r="AK1474" s="50" t="s">
        <v>658</v>
      </c>
      <c r="AL1474" s="52" t="s">
        <v>1101</v>
      </c>
      <c r="AM1474" s="52" t="s">
        <v>1159</v>
      </c>
      <c r="AN1474" s="52" t="s">
        <v>376</v>
      </c>
      <c r="AO1474" s="50" t="s">
        <v>658</v>
      </c>
      <c r="AP1474" s="52"/>
      <c r="AQ1474" s="52">
        <v>2</v>
      </c>
      <c r="AR1474" s="52"/>
      <c r="AS1474" s="52"/>
      <c r="AT1474" s="46" t="s">
        <v>1272</v>
      </c>
      <c r="AU1474" s="52" t="s">
        <v>376</v>
      </c>
      <c r="AV1474" s="52"/>
      <c r="AW1474" s="52" t="s">
        <v>30</v>
      </c>
      <c r="AX1474" s="52"/>
      <c r="AY1474" s="52" t="s">
        <v>30</v>
      </c>
      <c r="AZ1474" s="52"/>
      <c r="BA1474" s="52"/>
      <c r="BB1474" s="60"/>
      <c r="BC1474" s="52"/>
      <c r="BD1474" s="60"/>
      <c r="BE1474" s="60"/>
      <c r="BF1474" s="35">
        <v>1</v>
      </c>
      <c r="BG1474" s="52">
        <v>1</v>
      </c>
      <c r="BH1474" s="52"/>
      <c r="BI1474" s="52" t="s">
        <v>823</v>
      </c>
      <c r="BJ1474" s="52" t="s">
        <v>821</v>
      </c>
      <c r="BK1474" s="62">
        <v>2011</v>
      </c>
      <c r="BL1474" s="46" t="str">
        <f>BK1474&amp;BI1474</f>
        <v>2011Manchester City</v>
      </c>
      <c r="BM1474" s="52" t="str">
        <f>IF(AD1474="Home",BI1474,IF(AD1474="Away",BJ1474,Q1474))</f>
        <v>London</v>
      </c>
      <c r="BN1474" s="52"/>
      <c r="BO1474" s="52"/>
      <c r="BP1474" s="52"/>
      <c r="BQ1474" s="52"/>
      <c r="BR1474" s="52"/>
      <c r="BS1474" s="52"/>
      <c r="BT1474" s="52"/>
      <c r="BU1474" s="52"/>
      <c r="BV1474" s="52" t="s">
        <v>376</v>
      </c>
      <c r="BW1474" s="52" t="s">
        <v>376</v>
      </c>
      <c r="BX1474" s="52"/>
      <c r="BY1474" s="52"/>
      <c r="BZ1474" s="53"/>
      <c r="CA1474" s="53"/>
      <c r="CB1474" s="93" t="str">
        <f>IF(OR(C1474="",A1474="",B1474=""),"",TEXT(C1474,"0000")&amp;TEXT(A1474,"00")&amp;TEXT(B1474,"00"))</f>
        <v>20110416</v>
      </c>
    </row>
    <row r="1475" spans="1:80" s="46" customFormat="1" ht="12.95" customHeight="1" x14ac:dyDescent="0.2">
      <c r="A1475" s="46">
        <v>4</v>
      </c>
      <c r="B1475" s="46">
        <v>16</v>
      </c>
      <c r="C1475" s="46">
        <v>2011</v>
      </c>
      <c r="D1475" s="52" t="s">
        <v>658</v>
      </c>
      <c r="E1475" s="52" t="s">
        <v>253</v>
      </c>
      <c r="F1475" s="52" t="s">
        <v>1010</v>
      </c>
      <c r="G1475" s="52"/>
      <c r="H1475" s="52" t="s">
        <v>1011</v>
      </c>
      <c r="I1475" s="52"/>
      <c r="J1475" s="56">
        <v>40649</v>
      </c>
      <c r="K1475" s="52" t="s">
        <v>821</v>
      </c>
      <c r="L1475" s="52" t="s">
        <v>4</v>
      </c>
      <c r="M1475" s="52" t="s">
        <v>823</v>
      </c>
      <c r="N1475" s="57">
        <v>0</v>
      </c>
      <c r="O1475" s="57">
        <v>1</v>
      </c>
      <c r="P1475" s="52" t="s">
        <v>1415</v>
      </c>
      <c r="Q1475" s="52" t="s">
        <v>1017</v>
      </c>
      <c r="R1475" s="52" t="s">
        <v>376</v>
      </c>
      <c r="S1475" s="52"/>
      <c r="T1475" s="52"/>
      <c r="U1475" s="52"/>
      <c r="V1475" s="52"/>
      <c r="W1475" s="52"/>
      <c r="X1475" s="52"/>
      <c r="Y1475" s="52"/>
      <c r="Z1475" s="57"/>
      <c r="AA1475" s="52"/>
      <c r="AB1475" s="52"/>
      <c r="AC1475" s="52"/>
      <c r="AD1475" s="52"/>
      <c r="AE1475" s="50">
        <f>IF(L1475="W",1,0)</f>
        <v>0</v>
      </c>
      <c r="AF1475" s="50">
        <f>IF(L1475="T",1,0)</f>
        <v>0</v>
      </c>
      <c r="AG1475" s="50">
        <f>IF(L1475="L",1,0)</f>
        <v>1</v>
      </c>
      <c r="AH1475" s="52" t="s">
        <v>1101</v>
      </c>
      <c r="AI1475" s="52" t="s">
        <v>1159</v>
      </c>
      <c r="AJ1475" s="52" t="s">
        <v>376</v>
      </c>
      <c r="AK1475" s="50" t="s">
        <v>658</v>
      </c>
      <c r="AL1475" s="52" t="s">
        <v>1101</v>
      </c>
      <c r="AM1475" s="52" t="s">
        <v>1159</v>
      </c>
      <c r="AN1475" s="52" t="s">
        <v>376</v>
      </c>
      <c r="AO1475" s="50" t="s">
        <v>658</v>
      </c>
      <c r="AP1475" s="52"/>
      <c r="AQ1475" s="52">
        <v>2</v>
      </c>
      <c r="AR1475" s="52"/>
      <c r="AS1475" s="52">
        <v>1</v>
      </c>
      <c r="AT1475" s="46" t="s">
        <v>1272</v>
      </c>
      <c r="AU1475" s="52" t="s">
        <v>376</v>
      </c>
      <c r="AV1475" s="52"/>
      <c r="AW1475" s="52" t="s">
        <v>30</v>
      </c>
      <c r="AX1475" s="52"/>
      <c r="AY1475" s="52" t="s">
        <v>30</v>
      </c>
      <c r="AZ1475" s="52"/>
      <c r="BA1475" s="52"/>
      <c r="BB1475" s="60"/>
      <c r="BC1475" s="52"/>
      <c r="BD1475" s="60"/>
      <c r="BE1475" s="60"/>
      <c r="BF1475" s="35">
        <v>1</v>
      </c>
      <c r="BG1475" s="52">
        <v>1</v>
      </c>
      <c r="BH1475" s="52"/>
      <c r="BI1475" s="52" t="s">
        <v>821</v>
      </c>
      <c r="BJ1475" s="52" t="s">
        <v>823</v>
      </c>
      <c r="BK1475" s="62">
        <v>2011</v>
      </c>
      <c r="BL1475" s="46" t="str">
        <f>BK1475&amp;BI1475</f>
        <v>2011Manchester United</v>
      </c>
      <c r="BM1475" s="52" t="str">
        <f>IF(AD1475="Home",BI1475,IF(AD1475="Away",BJ1475,Q1475))</f>
        <v>London</v>
      </c>
      <c r="BN1475" s="52"/>
      <c r="BO1475" s="52"/>
      <c r="BP1475" s="52"/>
      <c r="BQ1475" s="52"/>
      <c r="BR1475" s="52"/>
      <c r="BS1475" s="52"/>
      <c r="BT1475" s="52"/>
      <c r="BU1475" s="52"/>
      <c r="BV1475" s="52" t="s">
        <v>376</v>
      </c>
      <c r="BW1475" s="52" t="s">
        <v>376</v>
      </c>
      <c r="BX1475" s="52"/>
      <c r="BY1475" s="52"/>
      <c r="BZ1475" s="53"/>
      <c r="CA1475" s="53"/>
      <c r="CB1475" s="93" t="str">
        <f>IF(OR(C1475="",A1475="",B1475=""),"",TEXT(C1475,"0000")&amp;TEXT(A1475,"00")&amp;TEXT(B1475,"00"))</f>
        <v>20110416</v>
      </c>
    </row>
    <row r="1476" spans="1:80" s="46" customFormat="1" ht="12.95" customHeight="1" x14ac:dyDescent="0.2">
      <c r="A1476" s="46">
        <v>4</v>
      </c>
      <c r="B1476" s="46">
        <v>17</v>
      </c>
      <c r="C1476" s="46">
        <v>2011</v>
      </c>
      <c r="D1476" s="52" t="s">
        <v>658</v>
      </c>
      <c r="E1476" s="52" t="s">
        <v>253</v>
      </c>
      <c r="F1476" s="52" t="s">
        <v>1010</v>
      </c>
      <c r="G1476" s="52"/>
      <c r="H1476" s="52" t="s">
        <v>1011</v>
      </c>
      <c r="I1476" s="52"/>
      <c r="J1476" s="56">
        <v>40650</v>
      </c>
      <c r="K1476" s="52" t="s">
        <v>1205</v>
      </c>
      <c r="L1476" s="52" t="s">
        <v>3</v>
      </c>
      <c r="M1476" s="52" t="s">
        <v>1157</v>
      </c>
      <c r="N1476" s="57">
        <v>5</v>
      </c>
      <c r="O1476" s="57">
        <v>0</v>
      </c>
      <c r="P1476" s="52" t="s">
        <v>1415</v>
      </c>
      <c r="Q1476" s="52" t="s">
        <v>1017</v>
      </c>
      <c r="R1476" s="52" t="s">
        <v>376</v>
      </c>
      <c r="S1476" s="52"/>
      <c r="T1476" s="52"/>
      <c r="U1476" s="52"/>
      <c r="V1476" s="52"/>
      <c r="W1476" s="52"/>
      <c r="X1476" s="52"/>
      <c r="Y1476" s="52"/>
      <c r="Z1476" s="57"/>
      <c r="AA1476" s="52"/>
      <c r="AB1476" s="52"/>
      <c r="AC1476" s="52"/>
      <c r="AD1476" s="52"/>
      <c r="AE1476" s="50">
        <f>IF(L1476="W",1,0)</f>
        <v>1</v>
      </c>
      <c r="AF1476" s="50">
        <f>IF(L1476="T",1,0)</f>
        <v>0</v>
      </c>
      <c r="AG1476" s="50">
        <f>IF(L1476="L",1,0)</f>
        <v>0</v>
      </c>
      <c r="AH1476" s="52" t="s">
        <v>1145</v>
      </c>
      <c r="AI1476" s="52" t="s">
        <v>1206</v>
      </c>
      <c r="AJ1476" s="52" t="s">
        <v>376</v>
      </c>
      <c r="AK1476" s="50" t="s">
        <v>658</v>
      </c>
      <c r="AL1476" s="52" t="s">
        <v>1101</v>
      </c>
      <c r="AM1476" s="52" t="s">
        <v>1159</v>
      </c>
      <c r="AN1476" s="52" t="s">
        <v>376</v>
      </c>
      <c r="AO1476" s="50" t="s">
        <v>658</v>
      </c>
      <c r="AP1476" s="52"/>
      <c r="AQ1476" s="52">
        <v>2</v>
      </c>
      <c r="AR1476" s="52"/>
      <c r="AS1476" s="52"/>
      <c r="AU1476" s="52" t="s">
        <v>376</v>
      </c>
      <c r="AV1476" s="52"/>
      <c r="AW1476" s="52" t="s">
        <v>30</v>
      </c>
      <c r="AX1476" s="52"/>
      <c r="AY1476" s="52" t="s">
        <v>30</v>
      </c>
      <c r="AZ1476" s="52"/>
      <c r="BA1476" s="52"/>
      <c r="BB1476" s="60"/>
      <c r="BC1476" s="52"/>
      <c r="BD1476" s="60"/>
      <c r="BE1476" s="60"/>
      <c r="BF1476" s="35">
        <v>1</v>
      </c>
      <c r="BG1476" s="52">
        <v>1</v>
      </c>
      <c r="BH1476" s="52"/>
      <c r="BI1476" s="52" t="s">
        <v>1205</v>
      </c>
      <c r="BJ1476" s="52" t="s">
        <v>1157</v>
      </c>
      <c r="BK1476" s="62">
        <v>2011</v>
      </c>
      <c r="BL1476" s="46" t="str">
        <f>BK1476&amp;BI1476</f>
        <v>2011Stoke City</v>
      </c>
      <c r="BM1476" s="52" t="str">
        <f>IF(AD1476="Home",BI1476,IF(AD1476="Away",BJ1476,Q1476))</f>
        <v>London</v>
      </c>
      <c r="BN1476" s="52"/>
      <c r="BO1476" s="52"/>
      <c r="BP1476" s="52"/>
      <c r="BQ1476" s="52"/>
      <c r="BR1476" s="52"/>
      <c r="BS1476" s="52"/>
      <c r="BT1476" s="52"/>
      <c r="BU1476" s="52"/>
      <c r="BV1476" s="52" t="s">
        <v>376</v>
      </c>
      <c r="BW1476" s="52" t="s">
        <v>376</v>
      </c>
      <c r="BX1476" s="52"/>
      <c r="BY1476" s="52"/>
      <c r="BZ1476" s="53"/>
      <c r="CA1476" s="53"/>
      <c r="CB1476" s="93" t="str">
        <f>IF(OR(C1476="",A1476="",B1476=""),"",TEXT(C1476,"0000")&amp;TEXT(A1476,"00")&amp;TEXT(B1476,"00"))</f>
        <v>20110417</v>
      </c>
    </row>
    <row r="1477" spans="1:80" s="46" customFormat="1" ht="12.95" customHeight="1" x14ac:dyDescent="0.2">
      <c r="A1477" s="46">
        <v>4</v>
      </c>
      <c r="B1477" s="46">
        <v>17</v>
      </c>
      <c r="C1477" s="46">
        <v>2011</v>
      </c>
      <c r="D1477" s="52" t="s">
        <v>658</v>
      </c>
      <c r="E1477" s="52" t="s">
        <v>253</v>
      </c>
      <c r="F1477" s="52" t="s">
        <v>1010</v>
      </c>
      <c r="G1477" s="52"/>
      <c r="H1477" s="52" t="s">
        <v>1011</v>
      </c>
      <c r="I1477" s="52"/>
      <c r="J1477" s="56">
        <v>40650</v>
      </c>
      <c r="K1477" s="52" t="s">
        <v>1157</v>
      </c>
      <c r="L1477" s="52" t="s">
        <v>4</v>
      </c>
      <c r="M1477" s="52" t="s">
        <v>1205</v>
      </c>
      <c r="N1477" s="57">
        <v>0</v>
      </c>
      <c r="O1477" s="57">
        <v>5</v>
      </c>
      <c r="P1477" s="52" t="s">
        <v>1415</v>
      </c>
      <c r="Q1477" s="52" t="s">
        <v>1017</v>
      </c>
      <c r="R1477" s="52" t="s">
        <v>376</v>
      </c>
      <c r="S1477" s="52"/>
      <c r="T1477" s="52"/>
      <c r="U1477" s="52"/>
      <c r="V1477" s="52"/>
      <c r="W1477" s="52"/>
      <c r="X1477" s="52"/>
      <c r="Y1477" s="52"/>
      <c r="Z1477" s="57"/>
      <c r="AA1477" s="52"/>
      <c r="AB1477" s="52"/>
      <c r="AC1477" s="52"/>
      <c r="AD1477" s="52"/>
      <c r="AE1477" s="50">
        <f>IF(L1477="W",1,0)</f>
        <v>0</v>
      </c>
      <c r="AF1477" s="50">
        <f>IF(L1477="T",1,0)</f>
        <v>0</v>
      </c>
      <c r="AG1477" s="50">
        <f>IF(L1477="L",1,0)</f>
        <v>1</v>
      </c>
      <c r="AH1477" s="52" t="s">
        <v>1101</v>
      </c>
      <c r="AI1477" s="52" t="s">
        <v>1159</v>
      </c>
      <c r="AJ1477" s="52" t="s">
        <v>376</v>
      </c>
      <c r="AK1477" s="50" t="s">
        <v>658</v>
      </c>
      <c r="AL1477" s="52" t="s">
        <v>1145</v>
      </c>
      <c r="AM1477" s="52" t="s">
        <v>1206</v>
      </c>
      <c r="AN1477" s="52" t="s">
        <v>376</v>
      </c>
      <c r="AO1477" s="50" t="s">
        <v>658</v>
      </c>
      <c r="AP1477" s="52"/>
      <c r="AQ1477" s="52">
        <v>2</v>
      </c>
      <c r="AR1477" s="52"/>
      <c r="AS1477" s="52">
        <v>1</v>
      </c>
      <c r="AU1477" s="52" t="s">
        <v>376</v>
      </c>
      <c r="AV1477" s="52"/>
      <c r="AW1477" s="52" t="s">
        <v>30</v>
      </c>
      <c r="AX1477" s="52"/>
      <c r="AY1477" s="52" t="s">
        <v>30</v>
      </c>
      <c r="AZ1477" s="52"/>
      <c r="BA1477" s="52"/>
      <c r="BB1477" s="60"/>
      <c r="BC1477" s="52"/>
      <c r="BD1477" s="60"/>
      <c r="BE1477" s="60"/>
      <c r="BF1477" s="35">
        <v>1</v>
      </c>
      <c r="BG1477" s="52">
        <v>1</v>
      </c>
      <c r="BH1477" s="52"/>
      <c r="BI1477" s="52" t="s">
        <v>1157</v>
      </c>
      <c r="BJ1477" s="52" t="s">
        <v>1205</v>
      </c>
      <c r="BK1477" s="62">
        <v>2011</v>
      </c>
      <c r="BL1477" s="46" t="str">
        <f>BK1477&amp;BI1477</f>
        <v>2011Bolton Wanderers</v>
      </c>
      <c r="BM1477" s="52" t="str">
        <f>IF(AD1477="Home",BI1477,IF(AD1477="Away",BJ1477,Q1477))</f>
        <v>London</v>
      </c>
      <c r="BN1477" s="52"/>
      <c r="BO1477" s="52"/>
      <c r="BP1477" s="52"/>
      <c r="BQ1477" s="52"/>
      <c r="BR1477" s="52"/>
      <c r="BS1477" s="52"/>
      <c r="BT1477" s="52"/>
      <c r="BU1477" s="52"/>
      <c r="BV1477" s="52" t="s">
        <v>376</v>
      </c>
      <c r="BW1477" s="52" t="s">
        <v>376</v>
      </c>
      <c r="BX1477" s="52"/>
      <c r="BY1477" s="52"/>
      <c r="BZ1477" s="53"/>
      <c r="CA1477" s="53"/>
      <c r="CB1477" s="93" t="str">
        <f>IF(OR(C1477="",A1477="",B1477=""),"",TEXT(C1477,"0000")&amp;TEXT(A1477,"00")&amp;TEXT(B1477,"00"))</f>
        <v>20110417</v>
      </c>
    </row>
    <row r="1478" spans="1:80" s="46" customFormat="1" ht="12.95" customHeight="1" x14ac:dyDescent="0.2">
      <c r="A1478" s="46">
        <v>5</v>
      </c>
      <c r="B1478" s="46">
        <v>14</v>
      </c>
      <c r="C1478" s="46">
        <v>2011</v>
      </c>
      <c r="D1478" s="52" t="s">
        <v>658</v>
      </c>
      <c r="E1478" s="52" t="s">
        <v>253</v>
      </c>
      <c r="F1478" s="52" t="s">
        <v>1010</v>
      </c>
      <c r="G1478" s="52"/>
      <c r="H1478" s="52" t="s">
        <v>40</v>
      </c>
      <c r="I1478" s="52"/>
      <c r="J1478" s="56">
        <v>40677</v>
      </c>
      <c r="K1478" s="52" t="s">
        <v>823</v>
      </c>
      <c r="L1478" s="52" t="s">
        <v>3</v>
      </c>
      <c r="M1478" s="52" t="s">
        <v>1205</v>
      </c>
      <c r="N1478" s="57">
        <v>1</v>
      </c>
      <c r="O1478" s="57">
        <v>0</v>
      </c>
      <c r="P1478" s="52" t="s">
        <v>1415</v>
      </c>
      <c r="Q1478" s="52" t="s">
        <v>1017</v>
      </c>
      <c r="R1478" s="52" t="s">
        <v>376</v>
      </c>
      <c r="S1478" s="52"/>
      <c r="T1478" s="52"/>
      <c r="U1478" s="52"/>
      <c r="V1478" s="52"/>
      <c r="W1478" s="52"/>
      <c r="X1478" s="52"/>
      <c r="Y1478" s="52"/>
      <c r="Z1478" s="57"/>
      <c r="AA1478" s="52"/>
      <c r="AB1478" s="52"/>
      <c r="AC1478" s="52"/>
      <c r="AD1478" s="52"/>
      <c r="AE1478" s="50">
        <f>IF(L1478="W",1,0)</f>
        <v>1</v>
      </c>
      <c r="AF1478" s="50">
        <f>IF(L1478="T",1,0)</f>
        <v>0</v>
      </c>
      <c r="AG1478" s="50">
        <f>IF(L1478="L",1,0)</f>
        <v>0</v>
      </c>
      <c r="AH1478" s="52" t="s">
        <v>1101</v>
      </c>
      <c r="AI1478" s="52" t="s">
        <v>1159</v>
      </c>
      <c r="AJ1478" s="52" t="s">
        <v>376</v>
      </c>
      <c r="AK1478" s="50" t="s">
        <v>658</v>
      </c>
      <c r="AL1478" s="52" t="s">
        <v>1145</v>
      </c>
      <c r="AM1478" s="52" t="s">
        <v>1206</v>
      </c>
      <c r="AN1478" s="52" t="s">
        <v>376</v>
      </c>
      <c r="AO1478" s="50" t="s">
        <v>658</v>
      </c>
      <c r="AP1478" s="52"/>
      <c r="AQ1478" s="52">
        <v>1</v>
      </c>
      <c r="AR1478" s="52"/>
      <c r="AS1478" s="52" t="s">
        <v>1393</v>
      </c>
      <c r="AU1478" s="52" t="s">
        <v>376</v>
      </c>
      <c r="AV1478" s="52"/>
      <c r="AW1478" s="52" t="s">
        <v>30</v>
      </c>
      <c r="AX1478" s="52"/>
      <c r="AY1478" s="57" t="s">
        <v>30</v>
      </c>
      <c r="AZ1478" s="52"/>
      <c r="BA1478" s="52"/>
      <c r="BB1478" s="60" t="s">
        <v>30</v>
      </c>
      <c r="BC1478" s="52" t="s">
        <v>30</v>
      </c>
      <c r="BD1478" s="60"/>
      <c r="BE1478" s="60"/>
      <c r="BF1478" s="35">
        <v>1</v>
      </c>
      <c r="BG1478" s="52">
        <v>1</v>
      </c>
      <c r="BH1478" s="52"/>
      <c r="BI1478" s="52" t="s">
        <v>823</v>
      </c>
      <c r="BJ1478" s="52" t="s">
        <v>1205</v>
      </c>
      <c r="BK1478" s="62">
        <v>2011</v>
      </c>
      <c r="BL1478" s="46" t="str">
        <f>BK1478&amp;BI1478</f>
        <v>2011Manchester City</v>
      </c>
      <c r="BM1478" s="52" t="str">
        <f>IF(AD1478="Home",BI1478,IF(AD1478="Away",BJ1478,Q1478))</f>
        <v>London</v>
      </c>
      <c r="BN1478" s="52"/>
      <c r="BO1478" s="52"/>
      <c r="BP1478" s="52"/>
      <c r="BQ1478" s="52"/>
      <c r="BR1478" s="52"/>
      <c r="BS1478" s="52"/>
      <c r="BT1478" s="52"/>
      <c r="BU1478" s="52"/>
      <c r="BV1478" s="52" t="s">
        <v>376</v>
      </c>
      <c r="BW1478" s="52" t="s">
        <v>376</v>
      </c>
      <c r="BX1478" s="52"/>
      <c r="BY1478" s="52"/>
      <c r="BZ1478" s="53"/>
      <c r="CA1478" s="53"/>
      <c r="CB1478" s="93" t="str">
        <f>IF(OR(C1478="",A1478="",B1478=""),"",TEXT(C1478,"0000")&amp;TEXT(A1478,"00")&amp;TEXT(B1478,"00"))</f>
        <v>20110514</v>
      </c>
    </row>
    <row r="1479" spans="1:80" s="46" customFormat="1" ht="12.95" customHeight="1" x14ac:dyDescent="0.2">
      <c r="A1479" s="46">
        <v>5</v>
      </c>
      <c r="B1479" s="46">
        <v>14</v>
      </c>
      <c r="C1479" s="46">
        <v>2011</v>
      </c>
      <c r="D1479" s="52" t="s">
        <v>658</v>
      </c>
      <c r="E1479" s="52" t="s">
        <v>253</v>
      </c>
      <c r="F1479" s="52" t="s">
        <v>1010</v>
      </c>
      <c r="G1479" s="52"/>
      <c r="H1479" s="52" t="s">
        <v>40</v>
      </c>
      <c r="I1479" s="52"/>
      <c r="J1479" s="56">
        <v>40677</v>
      </c>
      <c r="K1479" s="52" t="s">
        <v>1205</v>
      </c>
      <c r="L1479" s="52" t="s">
        <v>4</v>
      </c>
      <c r="M1479" s="52" t="s">
        <v>823</v>
      </c>
      <c r="N1479" s="57">
        <v>0</v>
      </c>
      <c r="O1479" s="57">
        <v>1</v>
      </c>
      <c r="P1479" s="52" t="s">
        <v>1415</v>
      </c>
      <c r="Q1479" s="52" t="s">
        <v>1017</v>
      </c>
      <c r="R1479" s="52" t="s">
        <v>376</v>
      </c>
      <c r="S1479" s="52"/>
      <c r="T1479" s="52"/>
      <c r="U1479" s="52"/>
      <c r="V1479" s="52"/>
      <c r="W1479" s="52"/>
      <c r="X1479" s="52"/>
      <c r="Y1479" s="52"/>
      <c r="Z1479" s="57"/>
      <c r="AA1479" s="52"/>
      <c r="AB1479" s="52"/>
      <c r="AC1479" s="52"/>
      <c r="AD1479" s="52"/>
      <c r="AE1479" s="50">
        <f>IF(L1479="W",1,0)</f>
        <v>0</v>
      </c>
      <c r="AF1479" s="50">
        <f>IF(L1479="T",1,0)</f>
        <v>0</v>
      </c>
      <c r="AG1479" s="50">
        <f>IF(L1479="L",1,0)</f>
        <v>1</v>
      </c>
      <c r="AH1479" s="52" t="s">
        <v>1145</v>
      </c>
      <c r="AI1479" s="52" t="s">
        <v>1206</v>
      </c>
      <c r="AJ1479" s="52" t="s">
        <v>376</v>
      </c>
      <c r="AK1479" s="50" t="s">
        <v>658</v>
      </c>
      <c r="AL1479" s="52" t="s">
        <v>1101</v>
      </c>
      <c r="AM1479" s="52" t="s">
        <v>1159</v>
      </c>
      <c r="AN1479" s="52" t="s">
        <v>376</v>
      </c>
      <c r="AO1479" s="50" t="s">
        <v>658</v>
      </c>
      <c r="AP1479" s="52"/>
      <c r="AQ1479" s="52">
        <v>1</v>
      </c>
      <c r="AR1479" s="52"/>
      <c r="AS1479" s="52">
        <v>1</v>
      </c>
      <c r="AU1479" s="52" t="s">
        <v>376</v>
      </c>
      <c r="AV1479" s="52"/>
      <c r="AW1479" s="52" t="s">
        <v>30</v>
      </c>
      <c r="AX1479" s="52"/>
      <c r="AY1479" s="52" t="s">
        <v>30</v>
      </c>
      <c r="AZ1479" s="52"/>
      <c r="BA1479" s="52"/>
      <c r="BB1479" s="60"/>
      <c r="BC1479" s="52" t="s">
        <v>30</v>
      </c>
      <c r="BD1479" s="60"/>
      <c r="BE1479" s="60" t="s">
        <v>1419</v>
      </c>
      <c r="BF1479" s="35">
        <v>1</v>
      </c>
      <c r="BG1479" s="52">
        <v>1</v>
      </c>
      <c r="BH1479" s="52"/>
      <c r="BI1479" s="52" t="s">
        <v>1205</v>
      </c>
      <c r="BJ1479" s="52" t="s">
        <v>823</v>
      </c>
      <c r="BK1479" s="62">
        <v>2011</v>
      </c>
      <c r="BL1479" s="46" t="str">
        <f>BK1479&amp;BI1479</f>
        <v>2011Stoke City</v>
      </c>
      <c r="BM1479" s="52" t="str">
        <f>IF(AD1479="Home",BI1479,IF(AD1479="Away",BJ1479,Q1479))</f>
        <v>London</v>
      </c>
      <c r="BN1479" s="52"/>
      <c r="BO1479" s="52"/>
      <c r="BP1479" s="52"/>
      <c r="BQ1479" s="52"/>
      <c r="BR1479" s="52"/>
      <c r="BS1479" s="52"/>
      <c r="BT1479" s="52"/>
      <c r="BU1479" s="52"/>
      <c r="BV1479" s="52" t="s">
        <v>376</v>
      </c>
      <c r="BW1479" s="52" t="s">
        <v>376</v>
      </c>
      <c r="BX1479" s="52"/>
      <c r="BY1479" s="52"/>
      <c r="BZ1479" s="53"/>
      <c r="CA1479" s="53"/>
      <c r="CB1479" s="93" t="str">
        <f>IF(OR(C1479="",A1479="",B1479=""),"",TEXT(C1479,"0000")&amp;TEXT(A1479,"00")&amp;TEXT(B1479,"00"))</f>
        <v>20110514</v>
      </c>
    </row>
    <row r="1480" spans="1:80" s="46" customFormat="1" ht="12.95" customHeight="1" x14ac:dyDescent="0.2">
      <c r="A1480" s="46">
        <v>1</v>
      </c>
      <c r="B1480" s="46">
        <v>10</v>
      </c>
      <c r="C1480" s="46">
        <v>2012</v>
      </c>
      <c r="D1480" s="46" t="s">
        <v>658</v>
      </c>
      <c r="E1480" s="46" t="s">
        <v>246</v>
      </c>
      <c r="F1480" s="54" t="s">
        <v>1327</v>
      </c>
      <c r="H1480" s="54" t="s">
        <v>1011</v>
      </c>
      <c r="I1480" s="54">
        <v>1</v>
      </c>
      <c r="J1480" s="55">
        <v>40918</v>
      </c>
      <c r="K1480" s="46" t="s">
        <v>798</v>
      </c>
      <c r="L1480" s="46" t="s">
        <v>3</v>
      </c>
      <c r="M1480" s="46" t="s">
        <v>1262</v>
      </c>
      <c r="N1480" s="49">
        <v>1</v>
      </c>
      <c r="O1480" s="49">
        <v>0</v>
      </c>
      <c r="P1480" s="46" t="s">
        <v>1391</v>
      </c>
      <c r="Q1480" s="46" t="s">
        <v>1017</v>
      </c>
      <c r="R1480" s="54" t="s">
        <v>376</v>
      </c>
      <c r="AD1480" s="46" t="s">
        <v>1033</v>
      </c>
      <c r="AE1480" s="50">
        <f>IF(L1480="W",1,0)</f>
        <v>1</v>
      </c>
      <c r="AF1480" s="50">
        <f>IF(L1480="T",1,0)</f>
        <v>0</v>
      </c>
      <c r="AG1480" s="50">
        <f>IF(L1480="L",1,0)</f>
        <v>0</v>
      </c>
      <c r="AH1480" s="46" t="s">
        <v>1017</v>
      </c>
      <c r="AI1480" s="46" t="s">
        <v>1018</v>
      </c>
      <c r="AJ1480" s="46" t="s">
        <v>376</v>
      </c>
      <c r="AK1480" s="46" t="s">
        <v>658</v>
      </c>
      <c r="AL1480" s="46" t="s">
        <v>1263</v>
      </c>
      <c r="AM1480" s="46" t="s">
        <v>1264</v>
      </c>
      <c r="AN1480" s="46" t="s">
        <v>376</v>
      </c>
      <c r="AO1480" s="46" t="s">
        <v>658</v>
      </c>
      <c r="AQ1480" s="46">
        <v>2</v>
      </c>
      <c r="AU1480" s="46" t="s">
        <v>376</v>
      </c>
      <c r="AW1480" s="46" t="s">
        <v>30</v>
      </c>
      <c r="AZ1480" s="46" t="s">
        <v>30</v>
      </c>
      <c r="BA1480" s="54"/>
      <c r="BB1480" s="51"/>
      <c r="BF1480" s="46">
        <v>1</v>
      </c>
      <c r="BG1480" s="46">
        <v>2</v>
      </c>
      <c r="BH1480" s="46">
        <v>2</v>
      </c>
      <c r="BI1480" s="46" t="s">
        <v>798</v>
      </c>
      <c r="BJ1480" s="46" t="s">
        <v>1262</v>
      </c>
      <c r="BK1480" s="46">
        <v>2012</v>
      </c>
      <c r="BL1480" s="46" t="str">
        <f>BK1480&amp;BI1480</f>
        <v>2012Crystal Palace</v>
      </c>
      <c r="BM1480" s="52" t="str">
        <f>IF(AD1480="Home",BI1480,IF(AD1480="Away",BJ1480,Q1480))</f>
        <v>Crystal Palace</v>
      </c>
      <c r="BV1480" s="46" t="s">
        <v>376</v>
      </c>
      <c r="BW1480" s="46" t="s">
        <v>376</v>
      </c>
      <c r="BY1480" s="52"/>
      <c r="BZ1480" s="53"/>
      <c r="CA1480" s="53"/>
      <c r="CB1480" s="93" t="str">
        <f>IF(OR(C1480="",A1480="",B1480=""),"",TEXT(C1480,"0000")&amp;TEXT(A1480,"00")&amp;TEXT(B1480,"00"))</f>
        <v>20120110</v>
      </c>
    </row>
    <row r="1481" spans="1:80" s="46" customFormat="1" ht="12.95" customHeight="1" x14ac:dyDescent="0.2">
      <c r="A1481" s="46">
        <v>1</v>
      </c>
      <c r="B1481" s="46">
        <v>10</v>
      </c>
      <c r="C1481" s="46">
        <v>2012</v>
      </c>
      <c r="D1481" s="46" t="s">
        <v>658</v>
      </c>
      <c r="E1481" s="46" t="s">
        <v>246</v>
      </c>
      <c r="F1481" s="54" t="s">
        <v>1327</v>
      </c>
      <c r="H1481" s="54" t="s">
        <v>1011</v>
      </c>
      <c r="I1481" s="54">
        <v>1</v>
      </c>
      <c r="J1481" s="55">
        <v>40918</v>
      </c>
      <c r="K1481" s="46" t="s">
        <v>1262</v>
      </c>
      <c r="L1481" s="46" t="s">
        <v>4</v>
      </c>
      <c r="M1481" s="46" t="s">
        <v>798</v>
      </c>
      <c r="N1481" s="49">
        <v>0</v>
      </c>
      <c r="O1481" s="49">
        <v>1</v>
      </c>
      <c r="P1481" s="46" t="s">
        <v>1391</v>
      </c>
      <c r="Q1481" s="46" t="s">
        <v>1017</v>
      </c>
      <c r="R1481" s="54" t="s">
        <v>376</v>
      </c>
      <c r="AD1481" s="46" t="s">
        <v>1037</v>
      </c>
      <c r="AE1481" s="50">
        <f>IF(L1481="W",1,0)</f>
        <v>0</v>
      </c>
      <c r="AF1481" s="50">
        <f>IF(L1481="T",1,0)</f>
        <v>0</v>
      </c>
      <c r="AG1481" s="50">
        <f>IF(L1481="L",1,0)</f>
        <v>1</v>
      </c>
      <c r="AH1481" s="46" t="s">
        <v>1263</v>
      </c>
      <c r="AI1481" s="46" t="s">
        <v>1264</v>
      </c>
      <c r="AJ1481" s="46" t="s">
        <v>376</v>
      </c>
      <c r="AK1481" s="46" t="s">
        <v>658</v>
      </c>
      <c r="AL1481" s="46" t="s">
        <v>1017</v>
      </c>
      <c r="AM1481" s="46" t="s">
        <v>1018</v>
      </c>
      <c r="AN1481" s="46" t="s">
        <v>376</v>
      </c>
      <c r="AO1481" s="46" t="s">
        <v>658</v>
      </c>
      <c r="AQ1481" s="46">
        <v>2</v>
      </c>
      <c r="AU1481" s="46" t="s">
        <v>376</v>
      </c>
      <c r="AW1481" s="46" t="s">
        <v>30</v>
      </c>
      <c r="AZ1481" s="46" t="s">
        <v>30</v>
      </c>
      <c r="BA1481" s="54"/>
      <c r="BB1481" s="51"/>
      <c r="BF1481" s="46">
        <v>1</v>
      </c>
      <c r="BG1481" s="46">
        <v>2</v>
      </c>
      <c r="BH1481" s="46">
        <v>2</v>
      </c>
      <c r="BI1481" s="46" t="s">
        <v>1262</v>
      </c>
      <c r="BJ1481" s="46" t="s">
        <v>798</v>
      </c>
      <c r="BK1481" s="46">
        <v>2012</v>
      </c>
      <c r="BL1481" s="46" t="str">
        <f>BK1481&amp;BI1481</f>
        <v>2012Cardiff City</v>
      </c>
      <c r="BM1481" s="52" t="str">
        <f>IF(AD1481="Home",BI1481,IF(AD1481="Away",BJ1481,Q1481))</f>
        <v>Crystal Palace</v>
      </c>
      <c r="BV1481" s="46" t="s">
        <v>376</v>
      </c>
      <c r="BW1481" s="46" t="s">
        <v>376</v>
      </c>
      <c r="BY1481" s="52"/>
      <c r="BZ1481" s="53"/>
      <c r="CA1481" s="53"/>
      <c r="CB1481" s="93" t="str">
        <f>IF(OR(C1481="",A1481="",B1481=""),"",TEXT(C1481,"0000")&amp;TEXT(A1481,"00")&amp;TEXT(B1481,"00"))</f>
        <v>20120110</v>
      </c>
    </row>
    <row r="1482" spans="1:80" s="46" customFormat="1" ht="12.95" customHeight="1" x14ac:dyDescent="0.2">
      <c r="A1482" s="46">
        <v>1</v>
      </c>
      <c r="B1482" s="46">
        <v>11</v>
      </c>
      <c r="C1482" s="46">
        <v>2012</v>
      </c>
      <c r="D1482" s="52" t="s">
        <v>658</v>
      </c>
      <c r="E1482" s="52" t="s">
        <v>246</v>
      </c>
      <c r="F1482" s="52" t="s">
        <v>1327</v>
      </c>
      <c r="G1482" s="52"/>
      <c r="H1482" s="52" t="s">
        <v>1011</v>
      </c>
      <c r="I1482" s="52">
        <v>1</v>
      </c>
      <c r="J1482" s="56">
        <v>40919</v>
      </c>
      <c r="K1482" s="52" t="s">
        <v>823</v>
      </c>
      <c r="L1482" s="52" t="s">
        <v>4</v>
      </c>
      <c r="M1482" s="52" t="s">
        <v>588</v>
      </c>
      <c r="N1482" s="57">
        <v>0</v>
      </c>
      <c r="O1482" s="57">
        <v>1</v>
      </c>
      <c r="P1482" s="52" t="s">
        <v>1420</v>
      </c>
      <c r="Q1482" s="52" t="s">
        <v>1101</v>
      </c>
      <c r="R1482" s="52" t="s">
        <v>376</v>
      </c>
      <c r="S1482" s="52"/>
      <c r="T1482" s="52"/>
      <c r="U1482" s="52"/>
      <c r="V1482" s="52"/>
      <c r="W1482" s="52"/>
      <c r="X1482" s="52"/>
      <c r="Y1482" s="52"/>
      <c r="Z1482" s="57"/>
      <c r="AA1482" s="58">
        <v>0</v>
      </c>
      <c r="AB1482" s="58">
        <v>1</v>
      </c>
      <c r="AC1482" s="59">
        <v>0</v>
      </c>
      <c r="AD1482" s="52" t="s">
        <v>1033</v>
      </c>
      <c r="AE1482" s="50">
        <f>IF(L1482="W",1,0)</f>
        <v>0</v>
      </c>
      <c r="AF1482" s="50">
        <f>IF(L1482="T",1,0)</f>
        <v>0</v>
      </c>
      <c r="AG1482" s="50">
        <f>IF(L1482="L",1,0)</f>
        <v>1</v>
      </c>
      <c r="AH1482" s="52" t="s">
        <v>1101</v>
      </c>
      <c r="AI1482" s="52" t="s">
        <v>1159</v>
      </c>
      <c r="AJ1482" s="52" t="s">
        <v>376</v>
      </c>
      <c r="AK1482" s="50" t="s">
        <v>658</v>
      </c>
      <c r="AL1482" s="52" t="s">
        <v>588</v>
      </c>
      <c r="AM1482" s="52" t="s">
        <v>1175</v>
      </c>
      <c r="AN1482" s="52" t="s">
        <v>376</v>
      </c>
      <c r="AO1482" s="50" t="s">
        <v>658</v>
      </c>
      <c r="AP1482" s="52"/>
      <c r="AQ1482" s="52">
        <v>2</v>
      </c>
      <c r="AR1482" s="52"/>
      <c r="AS1482" s="52"/>
      <c r="AU1482" s="52" t="s">
        <v>376</v>
      </c>
      <c r="AV1482" s="52"/>
      <c r="AW1482" s="52" t="s">
        <v>30</v>
      </c>
      <c r="AX1482" s="52"/>
      <c r="AY1482" s="52"/>
      <c r="AZ1482" s="52" t="s">
        <v>30</v>
      </c>
      <c r="BA1482" s="52"/>
      <c r="BB1482" s="60"/>
      <c r="BC1482" s="52"/>
      <c r="BD1482" s="60"/>
      <c r="BE1482" s="60"/>
      <c r="BF1482" s="35">
        <v>1</v>
      </c>
      <c r="BG1482" s="52">
        <v>1</v>
      </c>
      <c r="BH1482" s="52"/>
      <c r="BI1482" s="52" t="s">
        <v>823</v>
      </c>
      <c r="BJ1482" s="52" t="s">
        <v>588</v>
      </c>
      <c r="BK1482" s="52">
        <v>2012</v>
      </c>
      <c r="BL1482" s="46" t="str">
        <f>BK1482&amp;BI1482</f>
        <v>2012Manchester City</v>
      </c>
      <c r="BM1482" s="52" t="str">
        <f>IF(AD1482="Home",BI1482,IF(AD1482="Away",BJ1482,Q1482))</f>
        <v>Manchester City</v>
      </c>
      <c r="BN1482" s="52"/>
      <c r="BO1482" s="52"/>
      <c r="BP1482" s="52"/>
      <c r="BQ1482" s="52"/>
      <c r="BR1482" s="52"/>
      <c r="BS1482" s="52"/>
      <c r="BT1482" s="52"/>
      <c r="BU1482" s="52"/>
      <c r="BV1482" s="52" t="s">
        <v>376</v>
      </c>
      <c r="BW1482" s="52" t="s">
        <v>376</v>
      </c>
      <c r="BX1482" s="52"/>
      <c r="BY1482" s="52"/>
      <c r="BZ1482" s="53"/>
      <c r="CA1482" s="53"/>
      <c r="CB1482" s="93" t="str">
        <f>IF(OR(C1482="",A1482="",B1482=""),"",TEXT(C1482,"0000")&amp;TEXT(A1482,"00")&amp;TEXT(B1482,"00"))</f>
        <v>20120111</v>
      </c>
    </row>
    <row r="1483" spans="1:80" s="46" customFormat="1" ht="12.95" customHeight="1" x14ac:dyDescent="0.2">
      <c r="A1483" s="46">
        <v>1</v>
      </c>
      <c r="B1483" s="46">
        <v>11</v>
      </c>
      <c r="C1483" s="46">
        <v>2012</v>
      </c>
      <c r="D1483" s="52" t="s">
        <v>658</v>
      </c>
      <c r="E1483" s="52" t="s">
        <v>246</v>
      </c>
      <c r="F1483" s="52" t="s">
        <v>1327</v>
      </c>
      <c r="G1483" s="52"/>
      <c r="H1483" s="52" t="s">
        <v>1011</v>
      </c>
      <c r="I1483" s="52">
        <v>1</v>
      </c>
      <c r="J1483" s="56">
        <v>40919</v>
      </c>
      <c r="K1483" s="52" t="s">
        <v>588</v>
      </c>
      <c r="L1483" s="52" t="s">
        <v>3</v>
      </c>
      <c r="M1483" s="52" t="s">
        <v>823</v>
      </c>
      <c r="N1483" s="57">
        <v>1</v>
      </c>
      <c r="O1483" s="57">
        <v>0</v>
      </c>
      <c r="P1483" s="52" t="s">
        <v>1420</v>
      </c>
      <c r="Q1483" s="52" t="s">
        <v>1101</v>
      </c>
      <c r="R1483" s="52" t="s">
        <v>376</v>
      </c>
      <c r="S1483" s="52"/>
      <c r="T1483" s="52"/>
      <c r="U1483" s="52"/>
      <c r="V1483" s="52"/>
      <c r="W1483" s="52"/>
      <c r="X1483" s="52"/>
      <c r="Y1483" s="52"/>
      <c r="Z1483" s="57"/>
      <c r="AA1483" s="58">
        <v>1</v>
      </c>
      <c r="AB1483" s="58">
        <v>0</v>
      </c>
      <c r="AC1483" s="59">
        <v>1</v>
      </c>
      <c r="AD1483" s="52" t="s">
        <v>1037</v>
      </c>
      <c r="AE1483" s="50">
        <f>IF(L1483="W",1,0)</f>
        <v>1</v>
      </c>
      <c r="AF1483" s="50">
        <f>IF(L1483="T",1,0)</f>
        <v>0</v>
      </c>
      <c r="AG1483" s="50">
        <f>IF(L1483="L",1,0)</f>
        <v>0</v>
      </c>
      <c r="AH1483" s="52" t="s">
        <v>588</v>
      </c>
      <c r="AI1483" s="52" t="s">
        <v>1175</v>
      </c>
      <c r="AJ1483" s="52" t="s">
        <v>376</v>
      </c>
      <c r="AK1483" s="50" t="s">
        <v>658</v>
      </c>
      <c r="AL1483" s="52" t="s">
        <v>1101</v>
      </c>
      <c r="AM1483" s="52" t="s">
        <v>1159</v>
      </c>
      <c r="AN1483" s="52" t="s">
        <v>376</v>
      </c>
      <c r="AO1483" s="50" t="s">
        <v>658</v>
      </c>
      <c r="AP1483" s="52"/>
      <c r="AQ1483" s="52">
        <v>2</v>
      </c>
      <c r="AR1483" s="52"/>
      <c r="AS1483" s="52"/>
      <c r="AU1483" s="52" t="s">
        <v>376</v>
      </c>
      <c r="AV1483" s="52"/>
      <c r="AW1483" s="52" t="s">
        <v>30</v>
      </c>
      <c r="AX1483" s="52"/>
      <c r="AY1483" s="52"/>
      <c r="AZ1483" s="52" t="s">
        <v>30</v>
      </c>
      <c r="BA1483" s="52"/>
      <c r="BB1483" s="60"/>
      <c r="BC1483" s="52"/>
      <c r="BD1483" s="60"/>
      <c r="BE1483" s="60"/>
      <c r="BF1483" s="35">
        <v>1</v>
      </c>
      <c r="BG1483" s="52">
        <v>1</v>
      </c>
      <c r="BH1483" s="52"/>
      <c r="BI1483" s="52" t="s">
        <v>588</v>
      </c>
      <c r="BJ1483" s="52" t="s">
        <v>823</v>
      </c>
      <c r="BK1483" s="52">
        <v>2012</v>
      </c>
      <c r="BL1483" s="46" t="str">
        <f>BK1483&amp;BI1483</f>
        <v>2012Liverpool</v>
      </c>
      <c r="BM1483" s="52" t="str">
        <f>IF(AD1483="Home",BI1483,IF(AD1483="Away",BJ1483,Q1483))</f>
        <v>Manchester City</v>
      </c>
      <c r="BN1483" s="52"/>
      <c r="BO1483" s="52"/>
      <c r="BP1483" s="52"/>
      <c r="BQ1483" s="52"/>
      <c r="BR1483" s="52"/>
      <c r="BS1483" s="52"/>
      <c r="BT1483" s="52"/>
      <c r="BU1483" s="52"/>
      <c r="BV1483" s="52" t="s">
        <v>376</v>
      </c>
      <c r="BW1483" s="52" t="s">
        <v>376</v>
      </c>
      <c r="BX1483" s="52"/>
      <c r="BY1483" s="52"/>
      <c r="BZ1483" s="53"/>
      <c r="CA1483" s="53"/>
      <c r="CB1483" s="93" t="str">
        <f>IF(OR(C1483="",A1483="",B1483=""),"",TEXT(C1483,"0000")&amp;TEXT(A1483,"00")&amp;TEXT(B1483,"00"))</f>
        <v>20120111</v>
      </c>
    </row>
    <row r="1484" spans="1:80" s="46" customFormat="1" ht="12.95" customHeight="1" x14ac:dyDescent="0.2">
      <c r="A1484" s="46">
        <v>1</v>
      </c>
      <c r="B1484" s="46">
        <v>24</v>
      </c>
      <c r="C1484" s="46">
        <v>2012</v>
      </c>
      <c r="D1484" s="46" t="s">
        <v>658</v>
      </c>
      <c r="E1484" s="46" t="s">
        <v>246</v>
      </c>
      <c r="F1484" s="54" t="s">
        <v>1327</v>
      </c>
      <c r="H1484" s="54" t="s">
        <v>1011</v>
      </c>
      <c r="I1484" s="54">
        <v>2</v>
      </c>
      <c r="J1484" s="55">
        <v>40932</v>
      </c>
      <c r="K1484" s="46" t="s">
        <v>1262</v>
      </c>
      <c r="L1484" s="46" t="s">
        <v>3</v>
      </c>
      <c r="M1484" s="46" t="s">
        <v>798</v>
      </c>
      <c r="N1484" s="49">
        <v>1</v>
      </c>
      <c r="O1484" s="49">
        <v>0</v>
      </c>
      <c r="P1484" s="46" t="s">
        <v>1421</v>
      </c>
      <c r="Q1484" s="46" t="s">
        <v>1263</v>
      </c>
      <c r="R1484" s="54" t="s">
        <v>1264</v>
      </c>
      <c r="S1484" s="46" t="s">
        <v>1390</v>
      </c>
      <c r="AD1484" s="46" t="s">
        <v>1033</v>
      </c>
      <c r="AE1484" s="50">
        <f>IF(L1484="W",1,0)</f>
        <v>1</v>
      </c>
      <c r="AF1484" s="50">
        <f>IF(L1484="T",1,0)</f>
        <v>0</v>
      </c>
      <c r="AG1484" s="50">
        <f>IF(L1484="L",1,0)</f>
        <v>0</v>
      </c>
      <c r="AH1484" s="46" t="s">
        <v>1263</v>
      </c>
      <c r="AI1484" s="46" t="s">
        <v>1264</v>
      </c>
      <c r="AJ1484" s="46" t="s">
        <v>376</v>
      </c>
      <c r="AK1484" s="46" t="s">
        <v>658</v>
      </c>
      <c r="AL1484" s="46" t="s">
        <v>1017</v>
      </c>
      <c r="AM1484" s="46" t="s">
        <v>1018</v>
      </c>
      <c r="AN1484" s="46" t="s">
        <v>376</v>
      </c>
      <c r="AO1484" s="46" t="s">
        <v>658</v>
      </c>
      <c r="AQ1484" s="46">
        <v>2</v>
      </c>
      <c r="AU1484" s="46" t="s">
        <v>376</v>
      </c>
      <c r="AW1484" s="46" t="s">
        <v>30</v>
      </c>
      <c r="AZ1484" s="46" t="s">
        <v>30</v>
      </c>
      <c r="BA1484" s="54"/>
      <c r="BB1484" s="51"/>
      <c r="BF1484" s="46">
        <v>1</v>
      </c>
      <c r="BG1484" s="46">
        <v>2</v>
      </c>
      <c r="BH1484" s="46">
        <v>2</v>
      </c>
      <c r="BI1484" s="46" t="s">
        <v>1262</v>
      </c>
      <c r="BJ1484" s="46" t="s">
        <v>798</v>
      </c>
      <c r="BK1484" s="46">
        <v>2012</v>
      </c>
      <c r="BL1484" s="46" t="str">
        <f>BK1484&amp;BI1484</f>
        <v>2012Cardiff City</v>
      </c>
      <c r="BM1484" s="52" t="str">
        <f>IF(AD1484="Home",BI1484,IF(AD1484="Away",BJ1484,Q1484))</f>
        <v>Cardiff City</v>
      </c>
      <c r="BV1484" s="46" t="s">
        <v>376</v>
      </c>
      <c r="BW1484" s="46" t="s">
        <v>376</v>
      </c>
      <c r="BZ1484" s="53"/>
      <c r="CA1484" s="53"/>
      <c r="CB1484" s="93" t="str">
        <f>IF(OR(C1484="",A1484="",B1484=""),"",TEXT(C1484,"0000")&amp;TEXT(A1484,"00")&amp;TEXT(B1484,"00"))</f>
        <v>20120124</v>
      </c>
    </row>
    <row r="1485" spans="1:80" s="46" customFormat="1" ht="12.95" customHeight="1" x14ac:dyDescent="0.2">
      <c r="A1485" s="46">
        <v>1</v>
      </c>
      <c r="B1485" s="46">
        <v>24</v>
      </c>
      <c r="C1485" s="46">
        <v>2012</v>
      </c>
      <c r="D1485" s="46" t="s">
        <v>658</v>
      </c>
      <c r="E1485" s="46" t="s">
        <v>246</v>
      </c>
      <c r="F1485" s="54" t="s">
        <v>1327</v>
      </c>
      <c r="H1485" s="54" t="s">
        <v>1011</v>
      </c>
      <c r="I1485" s="54">
        <v>2</v>
      </c>
      <c r="J1485" s="55">
        <v>40932</v>
      </c>
      <c r="K1485" s="46" t="s">
        <v>798</v>
      </c>
      <c r="L1485" s="46" t="s">
        <v>4</v>
      </c>
      <c r="M1485" s="46" t="s">
        <v>1262</v>
      </c>
      <c r="N1485" s="49">
        <v>0</v>
      </c>
      <c r="O1485" s="49">
        <v>1</v>
      </c>
      <c r="P1485" s="46" t="s">
        <v>1421</v>
      </c>
      <c r="Q1485" s="46" t="s">
        <v>1263</v>
      </c>
      <c r="R1485" s="54" t="s">
        <v>1264</v>
      </c>
      <c r="S1485" s="46" t="s">
        <v>1390</v>
      </c>
      <c r="AD1485" s="46" t="s">
        <v>1037</v>
      </c>
      <c r="AE1485" s="50">
        <f>IF(L1485="W",1,0)</f>
        <v>0</v>
      </c>
      <c r="AF1485" s="50">
        <f>IF(L1485="T",1,0)</f>
        <v>0</v>
      </c>
      <c r="AG1485" s="50">
        <f>IF(L1485="L",1,0)</f>
        <v>1</v>
      </c>
      <c r="AH1485" s="46" t="s">
        <v>1017</v>
      </c>
      <c r="AI1485" s="46" t="s">
        <v>1018</v>
      </c>
      <c r="AJ1485" s="46" t="s">
        <v>376</v>
      </c>
      <c r="AK1485" s="46" t="s">
        <v>658</v>
      </c>
      <c r="AL1485" s="46" t="s">
        <v>1263</v>
      </c>
      <c r="AM1485" s="46" t="s">
        <v>1264</v>
      </c>
      <c r="AN1485" s="46" t="s">
        <v>376</v>
      </c>
      <c r="AO1485" s="46" t="s">
        <v>658</v>
      </c>
      <c r="AQ1485" s="46">
        <v>2</v>
      </c>
      <c r="AU1485" s="46" t="s">
        <v>376</v>
      </c>
      <c r="AW1485" s="46" t="s">
        <v>30</v>
      </c>
      <c r="AZ1485" s="46" t="s">
        <v>30</v>
      </c>
      <c r="BA1485" s="54"/>
      <c r="BB1485" s="51"/>
      <c r="BF1485" s="46">
        <v>1</v>
      </c>
      <c r="BG1485" s="46">
        <v>2</v>
      </c>
      <c r="BH1485" s="46">
        <v>2</v>
      </c>
      <c r="BI1485" s="46" t="s">
        <v>798</v>
      </c>
      <c r="BJ1485" s="46" t="s">
        <v>1262</v>
      </c>
      <c r="BK1485" s="46">
        <v>2012</v>
      </c>
      <c r="BL1485" s="46" t="str">
        <f>BK1485&amp;BI1485</f>
        <v>2012Crystal Palace</v>
      </c>
      <c r="BM1485" s="52" t="str">
        <f>IF(AD1485="Home",BI1485,IF(AD1485="Away",BJ1485,Q1485))</f>
        <v>Cardiff City</v>
      </c>
      <c r="BV1485" s="46" t="s">
        <v>376</v>
      </c>
      <c r="BW1485" s="46" t="s">
        <v>376</v>
      </c>
      <c r="BZ1485" s="53"/>
      <c r="CA1485" s="53"/>
      <c r="CB1485" s="93" t="str">
        <f>IF(OR(C1485="",A1485="",B1485=""),"",TEXT(C1485,"0000")&amp;TEXT(A1485,"00")&amp;TEXT(B1485,"00"))</f>
        <v>20120124</v>
      </c>
    </row>
    <row r="1486" spans="1:80" s="46" customFormat="1" ht="12.95" customHeight="1" x14ac:dyDescent="0.2">
      <c r="A1486" s="46">
        <v>1</v>
      </c>
      <c r="B1486" s="46">
        <v>25</v>
      </c>
      <c r="C1486" s="46">
        <v>2012</v>
      </c>
      <c r="D1486" s="52" t="s">
        <v>658</v>
      </c>
      <c r="E1486" s="52" t="s">
        <v>246</v>
      </c>
      <c r="F1486" s="52" t="s">
        <v>1327</v>
      </c>
      <c r="G1486" s="52"/>
      <c r="H1486" s="52" t="s">
        <v>1011</v>
      </c>
      <c r="I1486" s="52">
        <v>2</v>
      </c>
      <c r="J1486" s="56">
        <v>40933</v>
      </c>
      <c r="K1486" s="52" t="s">
        <v>588</v>
      </c>
      <c r="L1486" s="52" t="s">
        <v>1014</v>
      </c>
      <c r="M1486" s="52" t="s">
        <v>823</v>
      </c>
      <c r="N1486" s="57">
        <v>2</v>
      </c>
      <c r="O1486" s="57">
        <v>2</v>
      </c>
      <c r="P1486" s="52" t="s">
        <v>1141</v>
      </c>
      <c r="Q1486" s="52" t="s">
        <v>588</v>
      </c>
      <c r="R1486" s="52" t="s">
        <v>376</v>
      </c>
      <c r="S1486" s="52"/>
      <c r="T1486" s="52"/>
      <c r="U1486" s="52"/>
      <c r="V1486" s="52"/>
      <c r="W1486" s="52"/>
      <c r="X1486" s="52"/>
      <c r="Y1486" s="52"/>
      <c r="Z1486" s="57"/>
      <c r="AA1486" s="58">
        <v>3</v>
      </c>
      <c r="AB1486" s="58">
        <v>2</v>
      </c>
      <c r="AC1486" s="59">
        <v>1</v>
      </c>
      <c r="AD1486" s="52" t="s">
        <v>1033</v>
      </c>
      <c r="AE1486" s="50">
        <f>IF(L1486="W",1,0)</f>
        <v>0</v>
      </c>
      <c r="AF1486" s="50">
        <f>IF(L1486="T",1,0)</f>
        <v>1</v>
      </c>
      <c r="AG1486" s="50">
        <f>IF(L1486="L",1,0)</f>
        <v>0</v>
      </c>
      <c r="AH1486" s="52" t="s">
        <v>588</v>
      </c>
      <c r="AI1486" s="52" t="s">
        <v>1175</v>
      </c>
      <c r="AJ1486" s="52" t="s">
        <v>376</v>
      </c>
      <c r="AK1486" s="50" t="s">
        <v>658</v>
      </c>
      <c r="AL1486" s="52" t="s">
        <v>1101</v>
      </c>
      <c r="AM1486" s="52" t="s">
        <v>1159</v>
      </c>
      <c r="AN1486" s="52" t="s">
        <v>376</v>
      </c>
      <c r="AO1486" s="50" t="s">
        <v>658</v>
      </c>
      <c r="AP1486" s="52"/>
      <c r="AQ1486" s="52">
        <v>2</v>
      </c>
      <c r="AR1486" s="52"/>
      <c r="AS1486" s="52"/>
      <c r="AU1486" s="52" t="s">
        <v>376</v>
      </c>
      <c r="AV1486" s="52"/>
      <c r="AW1486" s="52" t="s">
        <v>30</v>
      </c>
      <c r="AX1486" s="52"/>
      <c r="AY1486" s="52"/>
      <c r="AZ1486" s="52" t="s">
        <v>30</v>
      </c>
      <c r="BA1486" s="52"/>
      <c r="BB1486" s="60"/>
      <c r="BC1486" s="52"/>
      <c r="BD1486" s="60"/>
      <c r="BE1486" s="60"/>
      <c r="BF1486" s="35">
        <v>1</v>
      </c>
      <c r="BG1486" s="52">
        <v>1</v>
      </c>
      <c r="BH1486" s="52"/>
      <c r="BI1486" s="52" t="s">
        <v>588</v>
      </c>
      <c r="BJ1486" s="52" t="s">
        <v>823</v>
      </c>
      <c r="BK1486" s="52">
        <v>2012</v>
      </c>
      <c r="BL1486" s="46" t="str">
        <f>BK1486&amp;BI1486</f>
        <v>2012Liverpool</v>
      </c>
      <c r="BM1486" s="52" t="str">
        <f>IF(AD1486="Home",BI1486,IF(AD1486="Away",BJ1486,Q1486))</f>
        <v>Liverpool</v>
      </c>
      <c r="BN1486" s="52"/>
      <c r="BO1486" s="52"/>
      <c r="BP1486" s="52"/>
      <c r="BQ1486" s="52"/>
      <c r="BR1486" s="52"/>
      <c r="BS1486" s="52"/>
      <c r="BT1486" s="52"/>
      <c r="BU1486" s="52"/>
      <c r="BV1486" s="52" t="s">
        <v>376</v>
      </c>
      <c r="BW1486" s="52" t="s">
        <v>376</v>
      </c>
      <c r="BX1486" s="52"/>
      <c r="BY1486" s="52"/>
      <c r="BZ1486" s="53"/>
      <c r="CA1486" s="53"/>
      <c r="CB1486" s="93" t="str">
        <f>IF(OR(C1486="",A1486="",B1486=""),"",TEXT(C1486,"0000")&amp;TEXT(A1486,"00")&amp;TEXT(B1486,"00"))</f>
        <v>20120125</v>
      </c>
    </row>
    <row r="1487" spans="1:80" s="46" customFormat="1" ht="12.95" customHeight="1" x14ac:dyDescent="0.2">
      <c r="A1487" s="46">
        <v>1</v>
      </c>
      <c r="B1487" s="46">
        <v>25</v>
      </c>
      <c r="C1487" s="46">
        <v>2012</v>
      </c>
      <c r="D1487" s="52" t="s">
        <v>658</v>
      </c>
      <c r="E1487" s="52" t="s">
        <v>246</v>
      </c>
      <c r="F1487" s="52" t="s">
        <v>1327</v>
      </c>
      <c r="G1487" s="52"/>
      <c r="H1487" s="52" t="s">
        <v>1011</v>
      </c>
      <c r="I1487" s="52">
        <v>2</v>
      </c>
      <c r="J1487" s="56">
        <v>40933</v>
      </c>
      <c r="K1487" s="52" t="s">
        <v>823</v>
      </c>
      <c r="L1487" s="52" t="s">
        <v>1014</v>
      </c>
      <c r="M1487" s="52" t="s">
        <v>588</v>
      </c>
      <c r="N1487" s="57">
        <v>2</v>
      </c>
      <c r="O1487" s="57">
        <v>2</v>
      </c>
      <c r="P1487" s="52" t="s">
        <v>1141</v>
      </c>
      <c r="Q1487" s="52" t="s">
        <v>588</v>
      </c>
      <c r="R1487" s="52" t="s">
        <v>376</v>
      </c>
      <c r="S1487" s="52"/>
      <c r="T1487" s="52"/>
      <c r="U1487" s="52"/>
      <c r="V1487" s="52"/>
      <c r="W1487" s="52"/>
      <c r="X1487" s="52"/>
      <c r="Y1487" s="52"/>
      <c r="Z1487" s="57"/>
      <c r="AA1487" s="58">
        <v>2</v>
      </c>
      <c r="AB1487" s="58">
        <v>3</v>
      </c>
      <c r="AC1487" s="59">
        <v>2</v>
      </c>
      <c r="AD1487" s="52" t="s">
        <v>1037</v>
      </c>
      <c r="AE1487" s="50">
        <f>IF(L1487="W",1,0)</f>
        <v>0</v>
      </c>
      <c r="AF1487" s="50">
        <f>IF(L1487="T",1,0)</f>
        <v>1</v>
      </c>
      <c r="AG1487" s="50">
        <f>IF(L1487="L",1,0)</f>
        <v>0</v>
      </c>
      <c r="AH1487" s="52" t="s">
        <v>1101</v>
      </c>
      <c r="AI1487" s="52" t="s">
        <v>1159</v>
      </c>
      <c r="AJ1487" s="52" t="s">
        <v>376</v>
      </c>
      <c r="AK1487" s="50" t="s">
        <v>658</v>
      </c>
      <c r="AL1487" s="52" t="s">
        <v>588</v>
      </c>
      <c r="AM1487" s="52" t="s">
        <v>1175</v>
      </c>
      <c r="AN1487" s="52" t="s">
        <v>376</v>
      </c>
      <c r="AO1487" s="50" t="s">
        <v>658</v>
      </c>
      <c r="AP1487" s="52"/>
      <c r="AQ1487" s="52">
        <v>2</v>
      </c>
      <c r="AR1487" s="52"/>
      <c r="AS1487" s="52">
        <v>1</v>
      </c>
      <c r="AU1487" s="52" t="s">
        <v>376</v>
      </c>
      <c r="AV1487" s="52"/>
      <c r="AW1487" s="52" t="s">
        <v>30</v>
      </c>
      <c r="AX1487" s="52"/>
      <c r="AY1487" s="52"/>
      <c r="AZ1487" s="52" t="s">
        <v>30</v>
      </c>
      <c r="BA1487" s="52"/>
      <c r="BB1487" s="60"/>
      <c r="BC1487" s="52"/>
      <c r="BD1487" s="60"/>
      <c r="BE1487" s="60"/>
      <c r="BF1487" s="35">
        <v>1</v>
      </c>
      <c r="BG1487" s="52">
        <v>1</v>
      </c>
      <c r="BH1487" s="52"/>
      <c r="BI1487" s="52" t="s">
        <v>823</v>
      </c>
      <c r="BJ1487" s="52" t="s">
        <v>588</v>
      </c>
      <c r="BK1487" s="52">
        <v>2012</v>
      </c>
      <c r="BL1487" s="46" t="str">
        <f>BK1487&amp;BI1487</f>
        <v>2012Manchester City</v>
      </c>
      <c r="BM1487" s="52" t="str">
        <f>IF(AD1487="Home",BI1487,IF(AD1487="Away",BJ1487,Q1487))</f>
        <v>Liverpool</v>
      </c>
      <c r="BN1487" s="52"/>
      <c r="BO1487" s="52"/>
      <c r="BP1487" s="52"/>
      <c r="BQ1487" s="52"/>
      <c r="BR1487" s="52"/>
      <c r="BS1487" s="52"/>
      <c r="BT1487" s="52"/>
      <c r="BU1487" s="52"/>
      <c r="BV1487" s="52" t="s">
        <v>376</v>
      </c>
      <c r="BW1487" s="52" t="s">
        <v>376</v>
      </c>
      <c r="BX1487" s="52"/>
      <c r="BY1487" s="52"/>
      <c r="BZ1487" s="53"/>
      <c r="CA1487" s="53"/>
      <c r="CB1487" s="93" t="str">
        <f>IF(OR(C1487="",A1487="",B1487=""),"",TEXT(C1487,"0000")&amp;TEXT(A1487,"00")&amp;TEXT(B1487,"00"))</f>
        <v>20120125</v>
      </c>
    </row>
    <row r="1488" spans="1:80" s="46" customFormat="1" ht="12.95" customHeight="1" x14ac:dyDescent="0.2">
      <c r="A1488" s="46">
        <v>2</v>
      </c>
      <c r="B1488" s="46">
        <v>26</v>
      </c>
      <c r="C1488" s="46">
        <v>2012</v>
      </c>
      <c r="D1488" s="52" t="s">
        <v>658</v>
      </c>
      <c r="E1488" s="52" t="s">
        <v>246</v>
      </c>
      <c r="F1488" s="52" t="s">
        <v>1327</v>
      </c>
      <c r="G1488" s="52"/>
      <c r="H1488" s="52" t="s">
        <v>40</v>
      </c>
      <c r="I1488" s="52"/>
      <c r="J1488" s="56">
        <v>40965</v>
      </c>
      <c r="K1488" s="52" t="s">
        <v>588</v>
      </c>
      <c r="L1488" s="52" t="s">
        <v>3</v>
      </c>
      <c r="M1488" s="52" t="s">
        <v>1262</v>
      </c>
      <c r="N1488" s="57">
        <v>2</v>
      </c>
      <c r="O1488" s="57">
        <v>2</v>
      </c>
      <c r="P1488" s="52" t="s">
        <v>1415</v>
      </c>
      <c r="Q1488" s="52" t="s">
        <v>1017</v>
      </c>
      <c r="R1488" s="52" t="s">
        <v>376</v>
      </c>
      <c r="S1488" s="52" t="s">
        <v>1390</v>
      </c>
      <c r="T1488" s="52">
        <v>3</v>
      </c>
      <c r="U1488" s="52">
        <v>2</v>
      </c>
      <c r="V1488" s="52"/>
      <c r="W1488" s="52"/>
      <c r="X1488" s="52"/>
      <c r="Y1488" s="52"/>
      <c r="Z1488" s="57"/>
      <c r="AA1488" s="52"/>
      <c r="AB1488" s="52"/>
      <c r="AC1488" s="52"/>
      <c r="AD1488" s="52"/>
      <c r="AE1488" s="50">
        <f>IF(L1488="W",1,0)</f>
        <v>1</v>
      </c>
      <c r="AF1488" s="50">
        <f>IF(L1488="T",1,0)</f>
        <v>0</v>
      </c>
      <c r="AG1488" s="50">
        <f>IF(L1488="L",1,0)</f>
        <v>0</v>
      </c>
      <c r="AH1488" s="52" t="s">
        <v>588</v>
      </c>
      <c r="AI1488" s="52" t="s">
        <v>1175</v>
      </c>
      <c r="AJ1488" s="52" t="s">
        <v>376</v>
      </c>
      <c r="AK1488" s="50" t="s">
        <v>658</v>
      </c>
      <c r="AL1488" s="52" t="s">
        <v>1263</v>
      </c>
      <c r="AM1488" s="52" t="s">
        <v>1264</v>
      </c>
      <c r="AN1488" s="52" t="s">
        <v>376</v>
      </c>
      <c r="AO1488" s="50" t="s">
        <v>658</v>
      </c>
      <c r="AP1488" s="52"/>
      <c r="AQ1488" s="52">
        <v>1</v>
      </c>
      <c r="AR1488" s="52"/>
      <c r="AS1488" s="52" t="s">
        <v>1393</v>
      </c>
      <c r="AU1488" s="52" t="s">
        <v>376</v>
      </c>
      <c r="AV1488" s="52"/>
      <c r="AW1488" s="52" t="s">
        <v>30</v>
      </c>
      <c r="AX1488" s="52"/>
      <c r="AY1488" s="52"/>
      <c r="AZ1488" s="57" t="s">
        <v>30</v>
      </c>
      <c r="BA1488" s="52"/>
      <c r="BB1488" s="60" t="s">
        <v>30</v>
      </c>
      <c r="BC1488" s="52" t="s">
        <v>30</v>
      </c>
      <c r="BD1488" s="60"/>
      <c r="BE1488" s="60" t="s">
        <v>1419</v>
      </c>
      <c r="BF1488" s="35">
        <v>1</v>
      </c>
      <c r="BG1488" s="52">
        <v>1</v>
      </c>
      <c r="BH1488" s="52"/>
      <c r="BI1488" s="52" t="s">
        <v>588</v>
      </c>
      <c r="BJ1488" s="52" t="s">
        <v>1262</v>
      </c>
      <c r="BK1488" s="52">
        <v>2012</v>
      </c>
      <c r="BL1488" s="46" t="str">
        <f>BK1488&amp;BI1488</f>
        <v>2012Liverpool</v>
      </c>
      <c r="BM1488" s="52" t="str">
        <f>IF(AD1488="Home",BI1488,IF(AD1488="Away",BJ1488,Q1488))</f>
        <v>London</v>
      </c>
      <c r="BN1488" s="52"/>
      <c r="BO1488" s="52"/>
      <c r="BP1488" s="52"/>
      <c r="BQ1488" s="52"/>
      <c r="BR1488" s="52"/>
      <c r="BS1488" s="52"/>
      <c r="BT1488" s="52"/>
      <c r="BU1488" s="52"/>
      <c r="BV1488" s="52" t="s">
        <v>376</v>
      </c>
      <c r="BW1488" s="46" t="s">
        <v>376</v>
      </c>
      <c r="BX1488" s="52"/>
      <c r="BY1488" s="52"/>
      <c r="BZ1488" s="53"/>
      <c r="CA1488" s="53"/>
      <c r="CB1488" s="93" t="str">
        <f>IF(OR(C1488="",A1488="",B1488=""),"",TEXT(C1488,"0000")&amp;TEXT(A1488,"00")&amp;TEXT(B1488,"00"))</f>
        <v>20120226</v>
      </c>
    </row>
    <row r="1489" spans="1:80" s="46" customFormat="1" ht="12.95" customHeight="1" x14ac:dyDescent="0.2">
      <c r="A1489" s="46">
        <v>2</v>
      </c>
      <c r="B1489" s="46">
        <v>26</v>
      </c>
      <c r="C1489" s="46">
        <v>2012</v>
      </c>
      <c r="D1489" s="46" t="s">
        <v>658</v>
      </c>
      <c r="E1489" s="46" t="s">
        <v>246</v>
      </c>
      <c r="F1489" s="54" t="s">
        <v>1327</v>
      </c>
      <c r="H1489" s="54" t="s">
        <v>40</v>
      </c>
      <c r="I1489" s="54"/>
      <c r="J1489" s="55">
        <v>40965</v>
      </c>
      <c r="K1489" s="46" t="s">
        <v>1262</v>
      </c>
      <c r="L1489" s="46" t="s">
        <v>4</v>
      </c>
      <c r="M1489" s="46" t="s">
        <v>588</v>
      </c>
      <c r="N1489" s="49">
        <v>2</v>
      </c>
      <c r="O1489" s="49">
        <v>2</v>
      </c>
      <c r="P1489" s="46" t="s">
        <v>1415</v>
      </c>
      <c r="Q1489" s="46" t="s">
        <v>1017</v>
      </c>
      <c r="R1489" s="54" t="s">
        <v>376</v>
      </c>
      <c r="S1489" s="46" t="s">
        <v>1390</v>
      </c>
      <c r="AE1489" s="50">
        <f>IF(L1489="W",1,0)</f>
        <v>0</v>
      </c>
      <c r="AF1489" s="50">
        <f>IF(L1489="T",1,0)</f>
        <v>0</v>
      </c>
      <c r="AG1489" s="50">
        <f>IF(L1489="L",1,0)</f>
        <v>1</v>
      </c>
      <c r="AH1489" s="46" t="s">
        <v>1263</v>
      </c>
      <c r="AI1489" s="46" t="s">
        <v>1264</v>
      </c>
      <c r="AJ1489" s="46" t="s">
        <v>376</v>
      </c>
      <c r="AK1489" s="46" t="s">
        <v>658</v>
      </c>
      <c r="AL1489" s="46" t="s">
        <v>588</v>
      </c>
      <c r="AM1489" s="46" t="s">
        <v>1175</v>
      </c>
      <c r="AN1489" s="46" t="s">
        <v>376</v>
      </c>
      <c r="AO1489" s="46" t="s">
        <v>658</v>
      </c>
      <c r="AQ1489" s="46">
        <v>1</v>
      </c>
      <c r="AU1489" s="46" t="s">
        <v>376</v>
      </c>
      <c r="AW1489" s="46" t="s">
        <v>30</v>
      </c>
      <c r="AZ1489" s="46" t="s">
        <v>30</v>
      </c>
      <c r="BA1489" s="54"/>
      <c r="BB1489" s="51"/>
      <c r="BC1489" s="46" t="s">
        <v>30</v>
      </c>
      <c r="BF1489" s="46">
        <v>1</v>
      </c>
      <c r="BG1489" s="46">
        <v>2</v>
      </c>
      <c r="BH1489" s="46">
        <v>1</v>
      </c>
      <c r="BI1489" s="46" t="s">
        <v>1262</v>
      </c>
      <c r="BJ1489" s="46" t="s">
        <v>588</v>
      </c>
      <c r="BK1489" s="46">
        <v>2012</v>
      </c>
      <c r="BL1489" s="46" t="str">
        <f>BK1489&amp;BI1489</f>
        <v>2012Cardiff City</v>
      </c>
      <c r="BM1489" s="52" t="str">
        <f>IF(AD1489="Home",BI1489,IF(AD1489="Away",BJ1489,Q1489))</f>
        <v>London</v>
      </c>
      <c r="BV1489" s="46" t="s">
        <v>376</v>
      </c>
      <c r="BW1489" s="46" t="s">
        <v>376</v>
      </c>
      <c r="BY1489" s="52"/>
      <c r="BZ1489" s="53"/>
      <c r="CA1489" s="53"/>
      <c r="CB1489" s="93" t="str">
        <f>IF(OR(C1489="",A1489="",B1489=""),"",TEXT(C1489,"0000")&amp;TEXT(A1489,"00")&amp;TEXT(B1489,"00"))</f>
        <v>20120226</v>
      </c>
    </row>
    <row r="1490" spans="1:80" s="46" customFormat="1" ht="12.95" customHeight="1" x14ac:dyDescent="0.2">
      <c r="A1490" s="46">
        <v>4</v>
      </c>
      <c r="B1490" s="46">
        <v>14</v>
      </c>
      <c r="C1490" s="46">
        <v>2012</v>
      </c>
      <c r="D1490" s="52" t="s">
        <v>658</v>
      </c>
      <c r="E1490" s="52" t="s">
        <v>246</v>
      </c>
      <c r="F1490" s="52" t="s">
        <v>1010</v>
      </c>
      <c r="G1490" s="52"/>
      <c r="H1490" s="52" t="s">
        <v>1011</v>
      </c>
      <c r="I1490" s="52"/>
      <c r="J1490" s="56">
        <v>41013</v>
      </c>
      <c r="K1490" s="52" t="s">
        <v>588</v>
      </c>
      <c r="L1490" s="52" t="s">
        <v>3</v>
      </c>
      <c r="M1490" s="52" t="s">
        <v>804</v>
      </c>
      <c r="N1490" s="57">
        <v>2</v>
      </c>
      <c r="O1490" s="57">
        <v>1</v>
      </c>
      <c r="P1490" s="52" t="s">
        <v>1415</v>
      </c>
      <c r="Q1490" s="52" t="s">
        <v>1017</v>
      </c>
      <c r="R1490" s="52" t="s">
        <v>376</v>
      </c>
      <c r="S1490" s="52"/>
      <c r="T1490" s="52"/>
      <c r="U1490" s="52"/>
      <c r="V1490" s="52"/>
      <c r="W1490" s="52"/>
      <c r="X1490" s="52"/>
      <c r="Y1490" s="52"/>
      <c r="Z1490" s="57"/>
      <c r="AA1490" s="52"/>
      <c r="AB1490" s="52"/>
      <c r="AC1490" s="52"/>
      <c r="AD1490" s="52"/>
      <c r="AE1490" s="50">
        <f>IF(L1490="W",1,0)</f>
        <v>1</v>
      </c>
      <c r="AF1490" s="50">
        <f>IF(L1490="T",1,0)</f>
        <v>0</v>
      </c>
      <c r="AG1490" s="50">
        <f>IF(L1490="L",1,0)</f>
        <v>0</v>
      </c>
      <c r="AH1490" s="52" t="s">
        <v>588</v>
      </c>
      <c r="AI1490" s="52" t="s">
        <v>1175</v>
      </c>
      <c r="AJ1490" s="52" t="s">
        <v>376</v>
      </c>
      <c r="AK1490" s="50" t="s">
        <v>658</v>
      </c>
      <c r="AL1490" s="52" t="s">
        <v>588</v>
      </c>
      <c r="AM1490" s="52" t="s">
        <v>1175</v>
      </c>
      <c r="AN1490" s="52" t="s">
        <v>376</v>
      </c>
      <c r="AO1490" s="50" t="s">
        <v>658</v>
      </c>
      <c r="AP1490" s="52"/>
      <c r="AQ1490" s="52">
        <v>2</v>
      </c>
      <c r="AR1490" s="52"/>
      <c r="AS1490" s="52"/>
      <c r="AT1490" s="46" t="s">
        <v>1229</v>
      </c>
      <c r="AU1490" s="52" t="s">
        <v>376</v>
      </c>
      <c r="AV1490" s="52"/>
      <c r="AW1490" s="52" t="s">
        <v>30</v>
      </c>
      <c r="AX1490" s="52"/>
      <c r="AY1490" s="52" t="s">
        <v>30</v>
      </c>
      <c r="AZ1490" s="52"/>
      <c r="BA1490" s="52"/>
      <c r="BB1490" s="60"/>
      <c r="BC1490" s="52"/>
      <c r="BD1490" s="60"/>
      <c r="BE1490" s="60"/>
      <c r="BF1490" s="35">
        <v>1</v>
      </c>
      <c r="BG1490" s="52">
        <v>1</v>
      </c>
      <c r="BH1490" s="52"/>
      <c r="BI1490" s="52" t="s">
        <v>588</v>
      </c>
      <c r="BJ1490" s="52" t="s">
        <v>804</v>
      </c>
      <c r="BK1490" s="52">
        <v>2012</v>
      </c>
      <c r="BL1490" s="46" t="str">
        <f>BK1490&amp;BI1490</f>
        <v>2012Liverpool</v>
      </c>
      <c r="BM1490" s="52" t="str">
        <f>IF(AD1490="Home",BI1490,IF(AD1490="Away",BJ1490,Q1490))</f>
        <v>London</v>
      </c>
      <c r="BN1490" s="52"/>
      <c r="BO1490" s="52"/>
      <c r="BP1490" s="52"/>
      <c r="BQ1490" s="52"/>
      <c r="BR1490" s="52"/>
      <c r="BS1490" s="52"/>
      <c r="BT1490" s="52"/>
      <c r="BU1490" s="52"/>
      <c r="BV1490" s="52" t="s">
        <v>376</v>
      </c>
      <c r="BW1490" s="52" t="s">
        <v>376</v>
      </c>
      <c r="BX1490" s="52"/>
      <c r="BY1490" s="52"/>
      <c r="BZ1490" s="53"/>
      <c r="CA1490" s="53"/>
      <c r="CB1490" s="93" t="str">
        <f>IF(OR(C1490="",A1490="",B1490=""),"",TEXT(C1490,"0000")&amp;TEXT(A1490,"00")&amp;TEXT(B1490,"00"))</f>
        <v>20120414</v>
      </c>
    </row>
    <row r="1491" spans="1:80" s="46" customFormat="1" ht="12.95" customHeight="1" x14ac:dyDescent="0.2">
      <c r="A1491" s="46">
        <v>4</v>
      </c>
      <c r="B1491" s="46">
        <v>14</v>
      </c>
      <c r="C1491" s="46">
        <v>2012</v>
      </c>
      <c r="D1491" s="52" t="s">
        <v>658</v>
      </c>
      <c r="E1491" s="52" t="s">
        <v>246</v>
      </c>
      <c r="F1491" s="52" t="s">
        <v>1010</v>
      </c>
      <c r="G1491" s="52"/>
      <c r="H1491" s="52" t="s">
        <v>1011</v>
      </c>
      <c r="I1491" s="52"/>
      <c r="J1491" s="56">
        <v>41013</v>
      </c>
      <c r="K1491" s="52" t="s">
        <v>804</v>
      </c>
      <c r="L1491" s="52" t="s">
        <v>4</v>
      </c>
      <c r="M1491" s="52" t="s">
        <v>588</v>
      </c>
      <c r="N1491" s="57">
        <v>1</v>
      </c>
      <c r="O1491" s="57">
        <v>2</v>
      </c>
      <c r="P1491" s="52" t="s">
        <v>1415</v>
      </c>
      <c r="Q1491" s="52" t="s">
        <v>1017</v>
      </c>
      <c r="R1491" s="52" t="s">
        <v>376</v>
      </c>
      <c r="S1491" s="52"/>
      <c r="T1491" s="52"/>
      <c r="U1491" s="52"/>
      <c r="V1491" s="52"/>
      <c r="W1491" s="52"/>
      <c r="X1491" s="52"/>
      <c r="Y1491" s="52"/>
      <c r="Z1491" s="57"/>
      <c r="AA1491" s="52"/>
      <c r="AB1491" s="52"/>
      <c r="AC1491" s="52"/>
      <c r="AD1491" s="52"/>
      <c r="AE1491" s="50">
        <f>IF(L1491="W",1,0)</f>
        <v>0</v>
      </c>
      <c r="AF1491" s="50">
        <f>IF(L1491="T",1,0)</f>
        <v>0</v>
      </c>
      <c r="AG1491" s="50">
        <f>IF(L1491="L",1,0)</f>
        <v>1</v>
      </c>
      <c r="AH1491" s="52" t="s">
        <v>588</v>
      </c>
      <c r="AI1491" s="52" t="s">
        <v>1175</v>
      </c>
      <c r="AJ1491" s="52" t="s">
        <v>376</v>
      </c>
      <c r="AK1491" s="50" t="s">
        <v>658</v>
      </c>
      <c r="AL1491" s="52" t="s">
        <v>588</v>
      </c>
      <c r="AM1491" s="52" t="s">
        <v>1175</v>
      </c>
      <c r="AN1491" s="52" t="s">
        <v>376</v>
      </c>
      <c r="AO1491" s="50" t="s">
        <v>658</v>
      </c>
      <c r="AP1491" s="52"/>
      <c r="AQ1491" s="52">
        <v>2</v>
      </c>
      <c r="AR1491" s="52"/>
      <c r="AS1491" s="52">
        <v>1</v>
      </c>
      <c r="AT1491" s="46" t="s">
        <v>1229</v>
      </c>
      <c r="AU1491" s="52" t="s">
        <v>376</v>
      </c>
      <c r="AV1491" s="52"/>
      <c r="AW1491" s="52" t="s">
        <v>30</v>
      </c>
      <c r="AX1491" s="52"/>
      <c r="AY1491" s="52" t="s">
        <v>30</v>
      </c>
      <c r="AZ1491" s="52"/>
      <c r="BA1491" s="52"/>
      <c r="BB1491" s="60"/>
      <c r="BC1491" s="52"/>
      <c r="BD1491" s="60"/>
      <c r="BE1491" s="60"/>
      <c r="BF1491" s="35">
        <v>1</v>
      </c>
      <c r="BG1491" s="52">
        <v>1</v>
      </c>
      <c r="BH1491" s="52"/>
      <c r="BI1491" s="52" t="s">
        <v>804</v>
      </c>
      <c r="BJ1491" s="52" t="s">
        <v>588</v>
      </c>
      <c r="BK1491" s="52">
        <v>2012</v>
      </c>
      <c r="BL1491" s="46" t="str">
        <f>BK1491&amp;BI1491</f>
        <v>2012Everton</v>
      </c>
      <c r="BM1491" s="52" t="str">
        <f>IF(AD1491="Home",BI1491,IF(AD1491="Away",BJ1491,Q1491))</f>
        <v>London</v>
      </c>
      <c r="BN1491" s="52"/>
      <c r="BO1491" s="52"/>
      <c r="BP1491" s="52"/>
      <c r="BQ1491" s="52"/>
      <c r="BR1491" s="52"/>
      <c r="BS1491" s="52"/>
      <c r="BT1491" s="52"/>
      <c r="BU1491" s="52"/>
      <c r="BV1491" s="52" t="s">
        <v>376</v>
      </c>
      <c r="BW1491" s="52" t="s">
        <v>376</v>
      </c>
      <c r="BX1491" s="52"/>
      <c r="BY1491" s="52"/>
      <c r="BZ1491" s="53"/>
      <c r="CA1491" s="53"/>
      <c r="CB1491" s="93" t="str">
        <f>IF(OR(C1491="",A1491="",B1491=""),"",TEXT(C1491,"0000")&amp;TEXT(A1491,"00")&amp;TEXT(B1491,"00"))</f>
        <v>20120414</v>
      </c>
    </row>
    <row r="1492" spans="1:80" s="46" customFormat="1" ht="12.95" customHeight="1" x14ac:dyDescent="0.2">
      <c r="A1492" s="46">
        <v>4</v>
      </c>
      <c r="B1492" s="46">
        <v>15</v>
      </c>
      <c r="C1492" s="46">
        <v>2012</v>
      </c>
      <c r="D1492" s="52" t="s">
        <v>658</v>
      </c>
      <c r="E1492" s="52" t="s">
        <v>246</v>
      </c>
      <c r="F1492" s="52" t="s">
        <v>1010</v>
      </c>
      <c r="G1492" s="52"/>
      <c r="H1492" s="52" t="s">
        <v>1011</v>
      </c>
      <c r="I1492" s="52"/>
      <c r="J1492" s="56">
        <v>41014</v>
      </c>
      <c r="K1492" s="52" t="s">
        <v>816</v>
      </c>
      <c r="L1492" s="52" t="s">
        <v>3</v>
      </c>
      <c r="M1492" s="52" t="s">
        <v>813</v>
      </c>
      <c r="N1492" s="57">
        <v>5</v>
      </c>
      <c r="O1492" s="57">
        <v>1</v>
      </c>
      <c r="P1492" s="52" t="s">
        <v>1415</v>
      </c>
      <c r="Q1492" s="52" t="s">
        <v>1017</v>
      </c>
      <c r="R1492" s="52" t="s">
        <v>376</v>
      </c>
      <c r="S1492" s="52"/>
      <c r="T1492" s="52"/>
      <c r="U1492" s="52"/>
      <c r="V1492" s="52"/>
      <c r="W1492" s="52"/>
      <c r="X1492" s="52"/>
      <c r="Y1492" s="52"/>
      <c r="Z1492" s="57"/>
      <c r="AA1492" s="52"/>
      <c r="AB1492" s="52"/>
      <c r="AC1492" s="52"/>
      <c r="AD1492" s="52"/>
      <c r="AE1492" s="50">
        <f>IF(L1492="W",1,0)</f>
        <v>1</v>
      </c>
      <c r="AF1492" s="50">
        <f>IF(L1492="T",1,0)</f>
        <v>0</v>
      </c>
      <c r="AG1492" s="50">
        <f>IF(L1492="L",1,0)</f>
        <v>0</v>
      </c>
      <c r="AH1492" s="52" t="s">
        <v>1017</v>
      </c>
      <c r="AI1492" s="52" t="s">
        <v>1018</v>
      </c>
      <c r="AJ1492" s="52" t="s">
        <v>376</v>
      </c>
      <c r="AK1492" s="50" t="s">
        <v>658</v>
      </c>
      <c r="AL1492" s="52" t="s">
        <v>1017</v>
      </c>
      <c r="AM1492" s="52" t="s">
        <v>1018</v>
      </c>
      <c r="AN1492" s="52" t="s">
        <v>376</v>
      </c>
      <c r="AO1492" s="50" t="s">
        <v>658</v>
      </c>
      <c r="AP1492" s="52"/>
      <c r="AQ1492" s="52">
        <v>2</v>
      </c>
      <c r="AR1492" s="52"/>
      <c r="AS1492" s="52"/>
      <c r="AU1492" s="52" t="s">
        <v>376</v>
      </c>
      <c r="AV1492" s="52"/>
      <c r="AW1492" s="52" t="s">
        <v>30</v>
      </c>
      <c r="AX1492" s="52"/>
      <c r="AY1492" s="52" t="s">
        <v>30</v>
      </c>
      <c r="AZ1492" s="52"/>
      <c r="BA1492" s="52"/>
      <c r="BB1492" s="60"/>
      <c r="BC1492" s="52"/>
      <c r="BD1492" s="60"/>
      <c r="BE1492" s="60"/>
      <c r="BF1492" s="35">
        <v>1</v>
      </c>
      <c r="BG1492" s="52">
        <v>1</v>
      </c>
      <c r="BH1492" s="52"/>
      <c r="BI1492" s="52" t="s">
        <v>816</v>
      </c>
      <c r="BJ1492" s="52" t="s">
        <v>813</v>
      </c>
      <c r="BK1492" s="52">
        <v>2012</v>
      </c>
      <c r="BL1492" s="46" t="str">
        <f>BK1492&amp;BI1492</f>
        <v>2012Chelsea</v>
      </c>
      <c r="BM1492" s="52" t="str">
        <f>IF(AD1492="Home",BI1492,IF(AD1492="Away",BJ1492,Q1492))</f>
        <v>London</v>
      </c>
      <c r="BN1492" s="52"/>
      <c r="BO1492" s="52"/>
      <c r="BP1492" s="52"/>
      <c r="BQ1492" s="52"/>
      <c r="BR1492" s="52"/>
      <c r="BS1492" s="52"/>
      <c r="BT1492" s="52"/>
      <c r="BU1492" s="52"/>
      <c r="BV1492" s="52" t="s">
        <v>376</v>
      </c>
      <c r="BW1492" s="52" t="s">
        <v>376</v>
      </c>
      <c r="BX1492" s="52"/>
      <c r="BY1492" s="52"/>
      <c r="BZ1492" s="53"/>
      <c r="CA1492" s="53"/>
      <c r="CB1492" s="93" t="str">
        <f>IF(OR(C1492="",A1492="",B1492=""),"",TEXT(C1492,"0000")&amp;TEXT(A1492,"00")&amp;TEXT(B1492,"00"))</f>
        <v>20120415</v>
      </c>
    </row>
    <row r="1493" spans="1:80" s="46" customFormat="1" ht="12.95" customHeight="1" x14ac:dyDescent="0.2">
      <c r="A1493" s="46">
        <v>4</v>
      </c>
      <c r="B1493" s="46">
        <v>15</v>
      </c>
      <c r="C1493" s="46">
        <v>2012</v>
      </c>
      <c r="D1493" s="52" t="s">
        <v>658</v>
      </c>
      <c r="E1493" s="52" t="s">
        <v>246</v>
      </c>
      <c r="F1493" s="52" t="s">
        <v>1010</v>
      </c>
      <c r="G1493" s="52"/>
      <c r="H1493" s="52" t="s">
        <v>1011</v>
      </c>
      <c r="I1493" s="52"/>
      <c r="J1493" s="56">
        <v>41014</v>
      </c>
      <c r="K1493" s="52" t="s">
        <v>813</v>
      </c>
      <c r="L1493" s="52" t="s">
        <v>4</v>
      </c>
      <c r="M1493" s="52" t="s">
        <v>816</v>
      </c>
      <c r="N1493" s="57">
        <v>1</v>
      </c>
      <c r="O1493" s="57">
        <v>5</v>
      </c>
      <c r="P1493" s="52" t="s">
        <v>1415</v>
      </c>
      <c r="Q1493" s="52" t="s">
        <v>1017</v>
      </c>
      <c r="R1493" s="52" t="s">
        <v>376</v>
      </c>
      <c r="S1493" s="52"/>
      <c r="T1493" s="52"/>
      <c r="U1493" s="52"/>
      <c r="V1493" s="52"/>
      <c r="W1493" s="52"/>
      <c r="X1493" s="52"/>
      <c r="Y1493" s="52"/>
      <c r="Z1493" s="57"/>
      <c r="AA1493" s="52"/>
      <c r="AB1493" s="52"/>
      <c r="AC1493" s="52"/>
      <c r="AD1493" s="52"/>
      <c r="AE1493" s="50">
        <f>IF(L1493="W",1,0)</f>
        <v>0</v>
      </c>
      <c r="AF1493" s="50">
        <f>IF(L1493="T",1,0)</f>
        <v>0</v>
      </c>
      <c r="AG1493" s="50">
        <f>IF(L1493="L",1,0)</f>
        <v>1</v>
      </c>
      <c r="AH1493" s="52" t="s">
        <v>1017</v>
      </c>
      <c r="AI1493" s="52" t="s">
        <v>1018</v>
      </c>
      <c r="AJ1493" s="52" t="s">
        <v>376</v>
      </c>
      <c r="AK1493" s="50" t="s">
        <v>658</v>
      </c>
      <c r="AL1493" s="52" t="s">
        <v>1017</v>
      </c>
      <c r="AM1493" s="52" t="s">
        <v>1018</v>
      </c>
      <c r="AN1493" s="52" t="s">
        <v>376</v>
      </c>
      <c r="AO1493" s="50" t="s">
        <v>658</v>
      </c>
      <c r="AP1493" s="52"/>
      <c r="AQ1493" s="52">
        <v>2</v>
      </c>
      <c r="AR1493" s="52"/>
      <c r="AS1493" s="52">
        <v>1</v>
      </c>
      <c r="AU1493" s="52" t="s">
        <v>376</v>
      </c>
      <c r="AV1493" s="52"/>
      <c r="AW1493" s="52" t="s">
        <v>30</v>
      </c>
      <c r="AX1493" s="52"/>
      <c r="AY1493" s="52" t="s">
        <v>30</v>
      </c>
      <c r="AZ1493" s="52"/>
      <c r="BA1493" s="52"/>
      <c r="BB1493" s="60"/>
      <c r="BC1493" s="52"/>
      <c r="BD1493" s="60"/>
      <c r="BE1493" s="60"/>
      <c r="BF1493" s="35">
        <v>1</v>
      </c>
      <c r="BG1493" s="52">
        <v>1</v>
      </c>
      <c r="BH1493" s="52"/>
      <c r="BI1493" s="52" t="s">
        <v>813</v>
      </c>
      <c r="BJ1493" s="52" t="s">
        <v>816</v>
      </c>
      <c r="BK1493" s="52">
        <v>2012</v>
      </c>
      <c r="BL1493" s="46" t="str">
        <f>BK1493&amp;BI1493</f>
        <v>2012Tottenham Hotspur</v>
      </c>
      <c r="BM1493" s="52" t="str">
        <f>IF(AD1493="Home",BI1493,IF(AD1493="Away",BJ1493,Q1493))</f>
        <v>London</v>
      </c>
      <c r="BN1493" s="52"/>
      <c r="BO1493" s="52"/>
      <c r="BP1493" s="52"/>
      <c r="BQ1493" s="52"/>
      <c r="BR1493" s="52"/>
      <c r="BS1493" s="52"/>
      <c r="BT1493" s="52"/>
      <c r="BU1493" s="52"/>
      <c r="BV1493" s="52" t="s">
        <v>376</v>
      </c>
      <c r="BW1493" s="52" t="s">
        <v>376</v>
      </c>
      <c r="BX1493" s="52"/>
      <c r="BY1493" s="52"/>
      <c r="BZ1493" s="53"/>
      <c r="CA1493" s="53"/>
      <c r="CB1493" s="93" t="str">
        <f>IF(OR(C1493="",A1493="",B1493=""),"",TEXT(C1493,"0000")&amp;TEXT(A1493,"00")&amp;TEXT(B1493,"00"))</f>
        <v>20120415</v>
      </c>
    </row>
    <row r="1494" spans="1:80" s="46" customFormat="1" ht="12.95" customHeight="1" x14ac:dyDescent="0.2">
      <c r="A1494" s="46">
        <v>5</v>
      </c>
      <c r="B1494" s="46">
        <v>5</v>
      </c>
      <c r="C1494" s="46">
        <v>2012</v>
      </c>
      <c r="D1494" s="52" t="s">
        <v>658</v>
      </c>
      <c r="E1494" s="52" t="s">
        <v>246</v>
      </c>
      <c r="F1494" s="52" t="s">
        <v>1010</v>
      </c>
      <c r="G1494" s="52"/>
      <c r="H1494" s="52" t="s">
        <v>40</v>
      </c>
      <c r="I1494" s="52"/>
      <c r="J1494" s="56">
        <v>41034</v>
      </c>
      <c r="K1494" s="52" t="s">
        <v>816</v>
      </c>
      <c r="L1494" s="52" t="s">
        <v>3</v>
      </c>
      <c r="M1494" s="52" t="s">
        <v>588</v>
      </c>
      <c r="N1494" s="57">
        <v>2</v>
      </c>
      <c r="O1494" s="57">
        <v>1</v>
      </c>
      <c r="P1494" s="52" t="s">
        <v>1415</v>
      </c>
      <c r="Q1494" s="52" t="s">
        <v>1017</v>
      </c>
      <c r="R1494" s="52" t="s">
        <v>376</v>
      </c>
      <c r="S1494" s="52"/>
      <c r="T1494" s="52"/>
      <c r="U1494" s="52"/>
      <c r="V1494" s="52"/>
      <c r="W1494" s="52"/>
      <c r="X1494" s="52"/>
      <c r="Y1494" s="52"/>
      <c r="Z1494" s="57"/>
      <c r="AA1494" s="52"/>
      <c r="AB1494" s="52"/>
      <c r="AC1494" s="52"/>
      <c r="AD1494" s="52"/>
      <c r="AE1494" s="50">
        <f>IF(L1494="W",1,0)</f>
        <v>1</v>
      </c>
      <c r="AF1494" s="50">
        <f>IF(L1494="T",1,0)</f>
        <v>0</v>
      </c>
      <c r="AG1494" s="50">
        <f>IF(L1494="L",1,0)</f>
        <v>0</v>
      </c>
      <c r="AH1494" s="52" t="s">
        <v>1017</v>
      </c>
      <c r="AI1494" s="52" t="s">
        <v>1018</v>
      </c>
      <c r="AJ1494" s="52" t="s">
        <v>376</v>
      </c>
      <c r="AK1494" s="50" t="s">
        <v>658</v>
      </c>
      <c r="AL1494" s="52" t="s">
        <v>588</v>
      </c>
      <c r="AM1494" s="52" t="s">
        <v>1175</v>
      </c>
      <c r="AN1494" s="52" t="s">
        <v>376</v>
      </c>
      <c r="AO1494" s="50" t="s">
        <v>658</v>
      </c>
      <c r="AP1494" s="52"/>
      <c r="AQ1494" s="52">
        <v>1</v>
      </c>
      <c r="AR1494" s="52"/>
      <c r="AS1494" s="52" t="s">
        <v>1393</v>
      </c>
      <c r="AU1494" s="52" t="s">
        <v>376</v>
      </c>
      <c r="AV1494" s="52"/>
      <c r="AW1494" s="52" t="s">
        <v>30</v>
      </c>
      <c r="AX1494" s="52"/>
      <c r="AY1494" s="57" t="s">
        <v>30</v>
      </c>
      <c r="AZ1494" s="52"/>
      <c r="BA1494" s="52"/>
      <c r="BB1494" s="60" t="s">
        <v>30</v>
      </c>
      <c r="BC1494" s="52" t="s">
        <v>30</v>
      </c>
      <c r="BD1494" s="60"/>
      <c r="BE1494" s="60" t="s">
        <v>1417</v>
      </c>
      <c r="BF1494" s="35">
        <v>1</v>
      </c>
      <c r="BG1494" s="52">
        <v>1</v>
      </c>
      <c r="BH1494" s="52"/>
      <c r="BI1494" s="52" t="s">
        <v>816</v>
      </c>
      <c r="BJ1494" s="52" t="s">
        <v>588</v>
      </c>
      <c r="BK1494" s="52">
        <v>2012</v>
      </c>
      <c r="BL1494" s="46" t="str">
        <f>BK1494&amp;BI1494</f>
        <v>2012Chelsea</v>
      </c>
      <c r="BM1494" s="52" t="str">
        <f>IF(AD1494="Home",BI1494,IF(AD1494="Away",BJ1494,Q1494))</f>
        <v>London</v>
      </c>
      <c r="BN1494" s="52"/>
      <c r="BO1494" s="52"/>
      <c r="BP1494" s="52"/>
      <c r="BQ1494" s="52"/>
      <c r="BR1494" s="52"/>
      <c r="BS1494" s="52"/>
      <c r="BT1494" s="52"/>
      <c r="BU1494" s="52"/>
      <c r="BV1494" s="52" t="s">
        <v>376</v>
      </c>
      <c r="BW1494" s="52" t="s">
        <v>376</v>
      </c>
      <c r="BX1494" s="52"/>
      <c r="BY1494" s="52"/>
      <c r="BZ1494" s="53"/>
      <c r="CA1494" s="53"/>
      <c r="CB1494" s="93" t="str">
        <f>IF(OR(C1494="",A1494="",B1494=""),"",TEXT(C1494,"0000")&amp;TEXT(A1494,"00")&amp;TEXT(B1494,"00"))</f>
        <v>20120505</v>
      </c>
    </row>
    <row r="1495" spans="1:80" s="46" customFormat="1" ht="12.95" customHeight="1" x14ac:dyDescent="0.2">
      <c r="A1495" s="46">
        <v>5</v>
      </c>
      <c r="B1495" s="46">
        <v>5</v>
      </c>
      <c r="C1495" s="46">
        <v>2012</v>
      </c>
      <c r="D1495" s="52" t="s">
        <v>658</v>
      </c>
      <c r="E1495" s="52" t="s">
        <v>246</v>
      </c>
      <c r="F1495" s="52" t="s">
        <v>1010</v>
      </c>
      <c r="G1495" s="52"/>
      <c r="H1495" s="52" t="s">
        <v>40</v>
      </c>
      <c r="I1495" s="52"/>
      <c r="J1495" s="56">
        <v>41034</v>
      </c>
      <c r="K1495" s="52" t="s">
        <v>588</v>
      </c>
      <c r="L1495" s="52" t="s">
        <v>4</v>
      </c>
      <c r="M1495" s="52" t="s">
        <v>816</v>
      </c>
      <c r="N1495" s="57">
        <v>1</v>
      </c>
      <c r="O1495" s="57">
        <v>2</v>
      </c>
      <c r="P1495" s="52" t="s">
        <v>1415</v>
      </c>
      <c r="Q1495" s="52" t="s">
        <v>1017</v>
      </c>
      <c r="R1495" s="52" t="s">
        <v>376</v>
      </c>
      <c r="S1495" s="52"/>
      <c r="T1495" s="52"/>
      <c r="U1495" s="52"/>
      <c r="V1495" s="52"/>
      <c r="W1495" s="52"/>
      <c r="X1495" s="52"/>
      <c r="Y1495" s="52"/>
      <c r="Z1495" s="57"/>
      <c r="AA1495" s="52"/>
      <c r="AB1495" s="52"/>
      <c r="AC1495" s="52"/>
      <c r="AD1495" s="52"/>
      <c r="AE1495" s="50">
        <f>IF(L1495="W",1,0)</f>
        <v>0</v>
      </c>
      <c r="AF1495" s="50">
        <f>IF(L1495="T",1,0)</f>
        <v>0</v>
      </c>
      <c r="AG1495" s="50">
        <f>IF(L1495="L",1,0)</f>
        <v>1</v>
      </c>
      <c r="AH1495" s="52" t="s">
        <v>588</v>
      </c>
      <c r="AI1495" s="52" t="s">
        <v>1175</v>
      </c>
      <c r="AJ1495" s="52" t="s">
        <v>376</v>
      </c>
      <c r="AK1495" s="50" t="s">
        <v>658</v>
      </c>
      <c r="AL1495" s="52" t="s">
        <v>1017</v>
      </c>
      <c r="AM1495" s="52" t="s">
        <v>1018</v>
      </c>
      <c r="AN1495" s="52" t="s">
        <v>376</v>
      </c>
      <c r="AO1495" s="50" t="s">
        <v>658</v>
      </c>
      <c r="AP1495" s="52"/>
      <c r="AQ1495" s="52">
        <v>1</v>
      </c>
      <c r="AR1495" s="52"/>
      <c r="AS1495" s="52">
        <v>1</v>
      </c>
      <c r="AU1495" s="52" t="s">
        <v>376</v>
      </c>
      <c r="AV1495" s="52"/>
      <c r="AW1495" s="52" t="s">
        <v>30</v>
      </c>
      <c r="AX1495" s="52"/>
      <c r="AY1495" s="52" t="s">
        <v>30</v>
      </c>
      <c r="AZ1495" s="52"/>
      <c r="BA1495" s="52"/>
      <c r="BB1495" s="60"/>
      <c r="BC1495" s="52" t="s">
        <v>30</v>
      </c>
      <c r="BD1495" s="60"/>
      <c r="BE1495" s="60"/>
      <c r="BF1495" s="35">
        <v>1</v>
      </c>
      <c r="BG1495" s="52">
        <v>1</v>
      </c>
      <c r="BH1495" s="52"/>
      <c r="BI1495" s="52" t="s">
        <v>588</v>
      </c>
      <c r="BJ1495" s="52" t="s">
        <v>816</v>
      </c>
      <c r="BK1495" s="52">
        <v>2012</v>
      </c>
      <c r="BL1495" s="46" t="str">
        <f>BK1495&amp;BI1495</f>
        <v>2012Liverpool</v>
      </c>
      <c r="BM1495" s="52" t="str">
        <f>IF(AD1495="Home",BI1495,IF(AD1495="Away",BJ1495,Q1495))</f>
        <v>London</v>
      </c>
      <c r="BN1495" s="52"/>
      <c r="BO1495" s="52"/>
      <c r="BP1495" s="52"/>
      <c r="BQ1495" s="52"/>
      <c r="BR1495" s="52"/>
      <c r="BS1495" s="52"/>
      <c r="BT1495" s="52"/>
      <c r="BU1495" s="52"/>
      <c r="BV1495" s="52" t="s">
        <v>376</v>
      </c>
      <c r="BW1495" s="52" t="s">
        <v>376</v>
      </c>
      <c r="BX1495" s="52"/>
      <c r="BY1495" s="52"/>
      <c r="BZ1495" s="53"/>
      <c r="CA1495" s="53"/>
      <c r="CB1495" s="93" t="str">
        <f>IF(OR(C1495="",A1495="",B1495=""),"",TEXT(C1495,"0000")&amp;TEXT(A1495,"00")&amp;TEXT(B1495,"00"))</f>
        <v>20120505</v>
      </c>
    </row>
    <row r="1496" spans="1:80" s="46" customFormat="1" ht="12.95" customHeight="1" x14ac:dyDescent="0.2">
      <c r="A1496" s="46">
        <v>1</v>
      </c>
      <c r="B1496" s="46">
        <v>8</v>
      </c>
      <c r="C1496" s="46">
        <v>2013</v>
      </c>
      <c r="D1496" s="46" t="s">
        <v>658</v>
      </c>
      <c r="E1496" s="46" t="s">
        <v>236</v>
      </c>
      <c r="F1496" s="54" t="s">
        <v>1327</v>
      </c>
      <c r="H1496" s="54" t="s">
        <v>1011</v>
      </c>
      <c r="I1496" s="54">
        <v>1</v>
      </c>
      <c r="J1496" s="55">
        <v>41282</v>
      </c>
      <c r="K1496" s="46" t="s">
        <v>1248</v>
      </c>
      <c r="L1496" s="46" t="s">
        <v>3</v>
      </c>
      <c r="M1496" s="46" t="s">
        <v>806</v>
      </c>
      <c r="N1496" s="49">
        <v>3</v>
      </c>
      <c r="O1496" s="49">
        <v>1</v>
      </c>
      <c r="P1496" s="46" t="s">
        <v>1422</v>
      </c>
      <c r="Q1496" s="46" t="s">
        <v>1249</v>
      </c>
      <c r="R1496" s="54" t="s">
        <v>376</v>
      </c>
      <c r="AD1496" s="46" t="s">
        <v>1033</v>
      </c>
      <c r="AE1496" s="50">
        <f>IF(L1496="W",1,0)</f>
        <v>1</v>
      </c>
      <c r="AF1496" s="50">
        <f>IF(L1496="T",1,0)</f>
        <v>0</v>
      </c>
      <c r="AG1496" s="50">
        <f>IF(L1496="L",1,0)</f>
        <v>0</v>
      </c>
      <c r="AH1496" s="46" t="s">
        <v>1249</v>
      </c>
      <c r="AI1496" s="46" t="s">
        <v>1242</v>
      </c>
      <c r="AJ1496" s="46" t="s">
        <v>376</v>
      </c>
      <c r="AK1496" s="46" t="s">
        <v>658</v>
      </c>
      <c r="AL1496" s="46" t="s">
        <v>1111</v>
      </c>
      <c r="AM1496" s="46" t="s">
        <v>1126</v>
      </c>
      <c r="AN1496" s="46" t="s">
        <v>376</v>
      </c>
      <c r="AO1496" s="46" t="s">
        <v>658</v>
      </c>
      <c r="AQ1496" s="46">
        <v>2</v>
      </c>
      <c r="AU1496" s="46" t="s">
        <v>376</v>
      </c>
      <c r="AW1496" s="46" t="s">
        <v>30</v>
      </c>
      <c r="AZ1496" s="46" t="s">
        <v>30</v>
      </c>
      <c r="BA1496" s="54"/>
      <c r="BB1496" s="51"/>
      <c r="BF1496" s="46">
        <v>1</v>
      </c>
      <c r="BG1496" s="46">
        <v>4</v>
      </c>
      <c r="BH1496" s="46">
        <v>1</v>
      </c>
      <c r="BI1496" s="46" t="s">
        <v>1248</v>
      </c>
      <c r="BJ1496" s="46" t="s">
        <v>806</v>
      </c>
      <c r="BK1496" s="46">
        <v>2013</v>
      </c>
      <c r="BL1496" s="46" t="str">
        <f>BK1496&amp;BI1496</f>
        <v>2013Bradford City</v>
      </c>
      <c r="BM1496" s="52" t="str">
        <f>IF(AD1496="Home",BI1496,IF(AD1496="Away",BJ1496,Q1496))</f>
        <v>Bradford City</v>
      </c>
      <c r="BV1496" s="46" t="s">
        <v>376</v>
      </c>
      <c r="BW1496" s="46" t="s">
        <v>376</v>
      </c>
      <c r="BY1496" s="52"/>
      <c r="BZ1496" s="53"/>
      <c r="CA1496" s="53"/>
      <c r="CB1496" s="93" t="str">
        <f>IF(OR(C1496="",A1496="",B1496=""),"",TEXT(C1496,"0000")&amp;TEXT(A1496,"00")&amp;TEXT(B1496,"00"))</f>
        <v>20130108</v>
      </c>
    </row>
    <row r="1497" spans="1:80" s="46" customFormat="1" ht="12.95" customHeight="1" x14ac:dyDescent="0.2">
      <c r="A1497" s="46">
        <v>1</v>
      </c>
      <c r="B1497" s="46">
        <v>8</v>
      </c>
      <c r="C1497" s="46">
        <v>2013</v>
      </c>
      <c r="D1497" s="52" t="s">
        <v>658</v>
      </c>
      <c r="E1497" s="52" t="s">
        <v>236</v>
      </c>
      <c r="F1497" s="66" t="s">
        <v>1327</v>
      </c>
      <c r="G1497" s="52"/>
      <c r="H1497" s="66" t="s">
        <v>1011</v>
      </c>
      <c r="I1497" s="52">
        <v>1</v>
      </c>
      <c r="J1497" s="65">
        <v>41282</v>
      </c>
      <c r="K1497" s="66" t="s">
        <v>806</v>
      </c>
      <c r="L1497" s="62" t="s">
        <v>4</v>
      </c>
      <c r="M1497" s="66" t="s">
        <v>1248</v>
      </c>
      <c r="N1497" s="57">
        <v>1</v>
      </c>
      <c r="O1497" s="57">
        <v>3</v>
      </c>
      <c r="P1497" s="52" t="s">
        <v>1422</v>
      </c>
      <c r="Q1497" s="52" t="s">
        <v>1249</v>
      </c>
      <c r="R1497" s="66" t="s">
        <v>376</v>
      </c>
      <c r="S1497" s="52"/>
      <c r="T1497" s="52"/>
      <c r="U1497" s="52"/>
      <c r="V1497" s="52"/>
      <c r="W1497" s="52"/>
      <c r="X1497" s="52"/>
      <c r="Y1497" s="52"/>
      <c r="Z1497" s="52"/>
      <c r="AA1497" s="58">
        <v>1</v>
      </c>
      <c r="AB1497" s="58">
        <v>3</v>
      </c>
      <c r="AC1497" s="59">
        <v>1</v>
      </c>
      <c r="AD1497" s="67" t="s">
        <v>1037</v>
      </c>
      <c r="AE1497" s="50">
        <f>IF(L1497="W",1,0)</f>
        <v>0</v>
      </c>
      <c r="AF1497" s="50">
        <f>IF(L1497="T",1,0)</f>
        <v>0</v>
      </c>
      <c r="AG1497" s="50">
        <f>IF(L1497="L",1,0)</f>
        <v>1</v>
      </c>
      <c r="AH1497" s="52" t="s">
        <v>1111</v>
      </c>
      <c r="AI1497" s="52" t="s">
        <v>1126</v>
      </c>
      <c r="AJ1497" s="52" t="s">
        <v>376</v>
      </c>
      <c r="AK1497" s="50" t="s">
        <v>658</v>
      </c>
      <c r="AL1497" s="52" t="s">
        <v>1249</v>
      </c>
      <c r="AM1497" s="52" t="s">
        <v>1242</v>
      </c>
      <c r="AN1497" s="52" t="s">
        <v>376</v>
      </c>
      <c r="AO1497" s="50" t="s">
        <v>658</v>
      </c>
      <c r="AP1497" s="52"/>
      <c r="AQ1497" s="52">
        <v>2</v>
      </c>
      <c r="AR1497" s="52"/>
      <c r="AS1497" s="52"/>
      <c r="AU1497" s="52" t="s">
        <v>376</v>
      </c>
      <c r="AV1497" s="52"/>
      <c r="AW1497" s="52" t="s">
        <v>30</v>
      </c>
      <c r="AX1497" s="52"/>
      <c r="AY1497" s="52"/>
      <c r="AZ1497" s="52" t="s">
        <v>30</v>
      </c>
      <c r="BA1497" s="52"/>
      <c r="BB1497" s="60"/>
      <c r="BC1497" s="52"/>
      <c r="BD1497" s="52"/>
      <c r="BE1497" s="60"/>
      <c r="BF1497" s="35">
        <v>1</v>
      </c>
      <c r="BG1497" s="52">
        <v>1</v>
      </c>
      <c r="BH1497" s="52"/>
      <c r="BI1497" s="50" t="s">
        <v>806</v>
      </c>
      <c r="BJ1497" s="50" t="s">
        <v>1248</v>
      </c>
      <c r="BK1497" s="52">
        <v>2013</v>
      </c>
      <c r="BL1497" s="46" t="str">
        <f>BK1497&amp;BI1497</f>
        <v>2013Aston Villa</v>
      </c>
      <c r="BM1497" s="52" t="str">
        <f>IF(AD1497="Home",BI1497,IF(AD1497="Away",BJ1497,Q1497))</f>
        <v>Bradford City</v>
      </c>
      <c r="BN1497" s="52"/>
      <c r="BO1497" s="52"/>
      <c r="BP1497" s="52"/>
      <c r="BQ1497" s="52"/>
      <c r="BR1497" s="52"/>
      <c r="BS1497" s="52"/>
      <c r="BT1497" s="52"/>
      <c r="BU1497" s="52"/>
      <c r="BV1497" s="52" t="s">
        <v>376</v>
      </c>
      <c r="BW1497" s="52" t="s">
        <v>376</v>
      </c>
      <c r="BX1497" s="52"/>
      <c r="BY1497" s="52"/>
      <c r="BZ1497" s="53"/>
      <c r="CA1497" s="53"/>
      <c r="CB1497" s="93" t="str">
        <f>IF(OR(C1497="",A1497="",B1497=""),"",TEXT(C1497,"0000")&amp;TEXT(A1497,"00")&amp;TEXT(B1497,"00"))</f>
        <v>20130108</v>
      </c>
    </row>
    <row r="1498" spans="1:80" s="46" customFormat="1" ht="12.95" customHeight="1" x14ac:dyDescent="0.2">
      <c r="A1498" s="46">
        <v>1</v>
      </c>
      <c r="B1498" s="46">
        <v>9</v>
      </c>
      <c r="C1498" s="46">
        <v>2013</v>
      </c>
      <c r="D1498" s="52" t="s">
        <v>658</v>
      </c>
      <c r="E1498" s="52" t="s">
        <v>236</v>
      </c>
      <c r="F1498" s="66" t="s">
        <v>1327</v>
      </c>
      <c r="G1498" s="52"/>
      <c r="H1498" s="66" t="s">
        <v>1011</v>
      </c>
      <c r="I1498" s="52">
        <v>1</v>
      </c>
      <c r="J1498" s="65">
        <v>41283</v>
      </c>
      <c r="K1498" s="52" t="s">
        <v>816</v>
      </c>
      <c r="L1498" s="62" t="s">
        <v>4</v>
      </c>
      <c r="M1498" s="66" t="s">
        <v>1273</v>
      </c>
      <c r="N1498" s="57">
        <v>0</v>
      </c>
      <c r="O1498" s="57">
        <v>2</v>
      </c>
      <c r="P1498" s="52" t="s">
        <v>1234</v>
      </c>
      <c r="Q1498" s="52" t="s">
        <v>1017</v>
      </c>
      <c r="R1498" s="66" t="s">
        <v>376</v>
      </c>
      <c r="S1498" s="52"/>
      <c r="T1498" s="52"/>
      <c r="U1498" s="52"/>
      <c r="V1498" s="52"/>
      <c r="W1498" s="52"/>
      <c r="X1498" s="52"/>
      <c r="Y1498" s="52"/>
      <c r="Z1498" s="52"/>
      <c r="AA1498" s="58">
        <v>0</v>
      </c>
      <c r="AB1498" s="58">
        <v>2</v>
      </c>
      <c r="AC1498" s="59">
        <v>0</v>
      </c>
      <c r="AD1498" s="67" t="s">
        <v>1033</v>
      </c>
      <c r="AE1498" s="50">
        <f>IF(L1498="W",1,0)</f>
        <v>0</v>
      </c>
      <c r="AF1498" s="50">
        <f>IF(L1498="T",1,0)</f>
        <v>0</v>
      </c>
      <c r="AG1498" s="50">
        <f>IF(L1498="L",1,0)</f>
        <v>1</v>
      </c>
      <c r="AH1498" s="52" t="s">
        <v>1017</v>
      </c>
      <c r="AI1498" s="52" t="s">
        <v>1018</v>
      </c>
      <c r="AJ1498" s="52" t="s">
        <v>376</v>
      </c>
      <c r="AK1498" s="50" t="s">
        <v>658</v>
      </c>
      <c r="AL1498" s="52" t="s">
        <v>1274</v>
      </c>
      <c r="AM1498" s="52" t="s">
        <v>1264</v>
      </c>
      <c r="AN1498" s="52" t="s">
        <v>376</v>
      </c>
      <c r="AO1498" s="50" t="s">
        <v>658</v>
      </c>
      <c r="AP1498" s="52"/>
      <c r="AQ1498" s="52">
        <v>2</v>
      </c>
      <c r="AR1498" s="52"/>
      <c r="AS1498" s="52"/>
      <c r="AU1498" s="52" t="s">
        <v>376</v>
      </c>
      <c r="AV1498" s="52"/>
      <c r="AW1498" s="52" t="s">
        <v>30</v>
      </c>
      <c r="AX1498" s="52"/>
      <c r="AY1498" s="52"/>
      <c r="AZ1498" s="52" t="s">
        <v>30</v>
      </c>
      <c r="BA1498" s="52"/>
      <c r="BB1498" s="60"/>
      <c r="BC1498" s="52"/>
      <c r="BD1498" s="52"/>
      <c r="BE1498" s="60"/>
      <c r="BF1498" s="35">
        <v>1</v>
      </c>
      <c r="BG1498" s="52">
        <v>1</v>
      </c>
      <c r="BH1498" s="52"/>
      <c r="BI1498" s="50" t="s">
        <v>816</v>
      </c>
      <c r="BJ1498" s="50" t="s">
        <v>1273</v>
      </c>
      <c r="BK1498" s="52">
        <v>2013</v>
      </c>
      <c r="BL1498" s="46" t="str">
        <f>BK1498&amp;BI1498</f>
        <v>2013Chelsea</v>
      </c>
      <c r="BM1498" s="52" t="str">
        <f>IF(AD1498="Home",BI1498,IF(AD1498="Away",BJ1498,Q1498))</f>
        <v>Chelsea</v>
      </c>
      <c r="BN1498" s="52"/>
      <c r="BO1498" s="52"/>
      <c r="BP1498" s="52"/>
      <c r="BQ1498" s="52"/>
      <c r="BR1498" s="52"/>
      <c r="BS1498" s="52"/>
      <c r="BT1498" s="52"/>
      <c r="BU1498" s="52"/>
      <c r="BV1498" s="52" t="s">
        <v>376</v>
      </c>
      <c r="BW1498" s="46" t="s">
        <v>376</v>
      </c>
      <c r="BX1498" s="52"/>
      <c r="BY1498" s="52"/>
      <c r="BZ1498" s="53"/>
      <c r="CA1498" s="53"/>
      <c r="CB1498" s="93" t="str">
        <f>IF(OR(C1498="",A1498="",B1498=""),"",TEXT(C1498,"0000")&amp;TEXT(A1498,"00")&amp;TEXT(B1498,"00"))</f>
        <v>20130109</v>
      </c>
    </row>
    <row r="1499" spans="1:80" s="46" customFormat="1" ht="12.95" customHeight="1" x14ac:dyDescent="0.2">
      <c r="A1499" s="46">
        <v>1</v>
      </c>
      <c r="B1499" s="46">
        <v>9</v>
      </c>
      <c r="C1499" s="46">
        <v>2013</v>
      </c>
      <c r="D1499" s="52" t="s">
        <v>658</v>
      </c>
      <c r="E1499" s="52" t="s">
        <v>236</v>
      </c>
      <c r="F1499" s="66" t="s">
        <v>1327</v>
      </c>
      <c r="G1499" s="52"/>
      <c r="H1499" s="66" t="s">
        <v>1011</v>
      </c>
      <c r="I1499" s="52">
        <v>1</v>
      </c>
      <c r="J1499" s="65">
        <v>41283</v>
      </c>
      <c r="K1499" s="66" t="s">
        <v>1273</v>
      </c>
      <c r="L1499" s="62" t="s">
        <v>3</v>
      </c>
      <c r="M1499" s="52" t="s">
        <v>816</v>
      </c>
      <c r="N1499" s="57">
        <v>2</v>
      </c>
      <c r="O1499" s="57">
        <v>0</v>
      </c>
      <c r="P1499" s="52" t="s">
        <v>1234</v>
      </c>
      <c r="Q1499" s="52" t="s">
        <v>1017</v>
      </c>
      <c r="R1499" s="66" t="s">
        <v>376</v>
      </c>
      <c r="S1499" s="52"/>
      <c r="T1499" s="52"/>
      <c r="U1499" s="52"/>
      <c r="V1499" s="52"/>
      <c r="W1499" s="52"/>
      <c r="X1499" s="52"/>
      <c r="Y1499" s="52"/>
      <c r="Z1499" s="52"/>
      <c r="AA1499" s="58">
        <v>2</v>
      </c>
      <c r="AB1499" s="58">
        <v>0</v>
      </c>
      <c r="AC1499" s="59">
        <v>2</v>
      </c>
      <c r="AD1499" s="67" t="s">
        <v>1037</v>
      </c>
      <c r="AE1499" s="50">
        <f>IF(L1499="W",1,0)</f>
        <v>1</v>
      </c>
      <c r="AF1499" s="50">
        <f>IF(L1499="T",1,0)</f>
        <v>0</v>
      </c>
      <c r="AG1499" s="50">
        <f>IF(L1499="L",1,0)</f>
        <v>0</v>
      </c>
      <c r="AH1499" s="52" t="s">
        <v>1274</v>
      </c>
      <c r="AI1499" s="52" t="s">
        <v>1264</v>
      </c>
      <c r="AJ1499" s="52" t="s">
        <v>376</v>
      </c>
      <c r="AK1499" s="50" t="s">
        <v>658</v>
      </c>
      <c r="AL1499" s="52" t="s">
        <v>1017</v>
      </c>
      <c r="AM1499" s="52" t="s">
        <v>1018</v>
      </c>
      <c r="AN1499" s="52" t="s">
        <v>376</v>
      </c>
      <c r="AO1499" s="50" t="s">
        <v>658</v>
      </c>
      <c r="AP1499" s="52"/>
      <c r="AQ1499" s="52">
        <v>2</v>
      </c>
      <c r="AR1499" s="52"/>
      <c r="AS1499" s="52"/>
      <c r="AU1499" s="52" t="s">
        <v>376</v>
      </c>
      <c r="AV1499" s="52"/>
      <c r="AW1499" s="52" t="s">
        <v>30</v>
      </c>
      <c r="AX1499" s="52"/>
      <c r="AY1499" s="52"/>
      <c r="AZ1499" s="52" t="s">
        <v>30</v>
      </c>
      <c r="BA1499" s="52"/>
      <c r="BB1499" s="60"/>
      <c r="BC1499" s="52"/>
      <c r="BD1499" s="52"/>
      <c r="BE1499" s="60"/>
      <c r="BF1499" s="35">
        <v>1</v>
      </c>
      <c r="BG1499" s="52">
        <v>1</v>
      </c>
      <c r="BH1499" s="52"/>
      <c r="BI1499" s="50" t="s">
        <v>1273</v>
      </c>
      <c r="BJ1499" s="50" t="s">
        <v>816</v>
      </c>
      <c r="BK1499" s="52">
        <v>2013</v>
      </c>
      <c r="BL1499" s="46" t="str">
        <f>BK1499&amp;BI1499</f>
        <v>2013Swansea City</v>
      </c>
      <c r="BM1499" s="52" t="str">
        <f>IF(AD1499="Home",BI1499,IF(AD1499="Away",BJ1499,Q1499))</f>
        <v>Chelsea</v>
      </c>
      <c r="BN1499" s="52"/>
      <c r="BO1499" s="52"/>
      <c r="BP1499" s="52"/>
      <c r="BQ1499" s="52"/>
      <c r="BR1499" s="52"/>
      <c r="BS1499" s="52"/>
      <c r="BT1499" s="52"/>
      <c r="BU1499" s="52"/>
      <c r="BV1499" s="46" t="s">
        <v>376</v>
      </c>
      <c r="BW1499" s="52" t="s">
        <v>376</v>
      </c>
      <c r="BX1499" s="52"/>
      <c r="BY1499" s="52"/>
      <c r="BZ1499" s="53"/>
      <c r="CA1499" s="53"/>
      <c r="CB1499" s="93" t="str">
        <f>IF(OR(C1499="",A1499="",B1499=""),"",TEXT(C1499,"0000")&amp;TEXT(A1499,"00")&amp;TEXT(B1499,"00"))</f>
        <v>20130109</v>
      </c>
    </row>
    <row r="1500" spans="1:80" s="46" customFormat="1" ht="12.95" customHeight="1" x14ac:dyDescent="0.2">
      <c r="A1500" s="46">
        <v>1</v>
      </c>
      <c r="B1500" s="46">
        <v>22</v>
      </c>
      <c r="C1500" s="46">
        <v>2013</v>
      </c>
      <c r="D1500" s="52" t="s">
        <v>658</v>
      </c>
      <c r="E1500" s="52" t="s">
        <v>236</v>
      </c>
      <c r="F1500" s="66" t="s">
        <v>1327</v>
      </c>
      <c r="G1500" s="52"/>
      <c r="H1500" s="66" t="s">
        <v>1011</v>
      </c>
      <c r="I1500" s="52">
        <v>2</v>
      </c>
      <c r="J1500" s="65">
        <v>41296</v>
      </c>
      <c r="K1500" s="66" t="s">
        <v>806</v>
      </c>
      <c r="L1500" s="62" t="s">
        <v>3</v>
      </c>
      <c r="M1500" s="66" t="s">
        <v>1248</v>
      </c>
      <c r="N1500" s="57">
        <v>2</v>
      </c>
      <c r="O1500" s="57">
        <v>1</v>
      </c>
      <c r="P1500" s="52" t="s">
        <v>1219</v>
      </c>
      <c r="Q1500" s="52" t="s">
        <v>1111</v>
      </c>
      <c r="R1500" s="66" t="s">
        <v>376</v>
      </c>
      <c r="S1500" s="52"/>
      <c r="T1500" s="52"/>
      <c r="U1500" s="52"/>
      <c r="V1500" s="52"/>
      <c r="W1500" s="52"/>
      <c r="X1500" s="52"/>
      <c r="Y1500" s="52"/>
      <c r="Z1500" s="52"/>
      <c r="AA1500" s="58">
        <v>3</v>
      </c>
      <c r="AB1500" s="58">
        <v>4</v>
      </c>
      <c r="AC1500" s="59">
        <v>1</v>
      </c>
      <c r="AD1500" s="67" t="s">
        <v>1033</v>
      </c>
      <c r="AE1500" s="50">
        <f>IF(L1500="W",1,0)</f>
        <v>1</v>
      </c>
      <c r="AF1500" s="50">
        <f>IF(L1500="T",1,0)</f>
        <v>0</v>
      </c>
      <c r="AG1500" s="50">
        <f>IF(L1500="L",1,0)</f>
        <v>0</v>
      </c>
      <c r="AH1500" s="52" t="s">
        <v>1111</v>
      </c>
      <c r="AI1500" s="52" t="s">
        <v>1126</v>
      </c>
      <c r="AJ1500" s="52" t="s">
        <v>376</v>
      </c>
      <c r="AK1500" s="50" t="s">
        <v>658</v>
      </c>
      <c r="AL1500" s="52" t="s">
        <v>1249</v>
      </c>
      <c r="AM1500" s="52" t="s">
        <v>1242</v>
      </c>
      <c r="AN1500" s="52" t="s">
        <v>376</v>
      </c>
      <c r="AO1500" s="50" t="s">
        <v>658</v>
      </c>
      <c r="AP1500" s="52"/>
      <c r="AQ1500" s="52">
        <v>2</v>
      </c>
      <c r="AR1500" s="52"/>
      <c r="AS1500" s="52">
        <v>1</v>
      </c>
      <c r="AU1500" s="52" t="s">
        <v>376</v>
      </c>
      <c r="AV1500" s="52"/>
      <c r="AW1500" s="52" t="s">
        <v>30</v>
      </c>
      <c r="AX1500" s="52"/>
      <c r="AY1500" s="52"/>
      <c r="AZ1500" s="52" t="s">
        <v>30</v>
      </c>
      <c r="BA1500" s="52"/>
      <c r="BB1500" s="60"/>
      <c r="BC1500" s="52"/>
      <c r="BD1500" s="52"/>
      <c r="BE1500" s="60"/>
      <c r="BF1500" s="35">
        <v>1</v>
      </c>
      <c r="BG1500" s="52">
        <v>1</v>
      </c>
      <c r="BH1500" s="52"/>
      <c r="BI1500" s="50" t="s">
        <v>806</v>
      </c>
      <c r="BJ1500" s="50" t="s">
        <v>1248</v>
      </c>
      <c r="BK1500" s="52">
        <v>2013</v>
      </c>
      <c r="BL1500" s="46" t="str">
        <f>BK1500&amp;BI1500</f>
        <v>2013Aston Villa</v>
      </c>
      <c r="BM1500" s="52" t="str">
        <f>IF(AD1500="Home",BI1500,IF(AD1500="Away",BJ1500,Q1500))</f>
        <v>Aston Villa</v>
      </c>
      <c r="BN1500" s="52"/>
      <c r="BO1500" s="52"/>
      <c r="BP1500" s="52"/>
      <c r="BQ1500" s="52"/>
      <c r="BR1500" s="52"/>
      <c r="BS1500" s="52"/>
      <c r="BT1500" s="52"/>
      <c r="BU1500" s="52"/>
      <c r="BV1500" s="52" t="s">
        <v>376</v>
      </c>
      <c r="BW1500" s="52" t="s">
        <v>376</v>
      </c>
      <c r="BX1500" s="52"/>
      <c r="BY1500" s="52"/>
      <c r="BZ1500" s="53"/>
      <c r="CA1500" s="53"/>
      <c r="CB1500" s="93" t="str">
        <f>IF(OR(C1500="",A1500="",B1500=""),"",TEXT(C1500,"0000")&amp;TEXT(A1500,"00")&amp;TEXT(B1500,"00"))</f>
        <v>20130122</v>
      </c>
    </row>
    <row r="1501" spans="1:80" s="46" customFormat="1" ht="12.95" customHeight="1" x14ac:dyDescent="0.2">
      <c r="A1501" s="46">
        <v>1</v>
      </c>
      <c r="B1501" s="46">
        <v>22</v>
      </c>
      <c r="C1501" s="46">
        <v>2013</v>
      </c>
      <c r="D1501" s="46" t="s">
        <v>658</v>
      </c>
      <c r="E1501" s="46" t="s">
        <v>236</v>
      </c>
      <c r="F1501" s="54" t="s">
        <v>1327</v>
      </c>
      <c r="H1501" s="54" t="s">
        <v>1011</v>
      </c>
      <c r="I1501" s="54">
        <v>2</v>
      </c>
      <c r="J1501" s="55">
        <v>41296</v>
      </c>
      <c r="K1501" s="46" t="s">
        <v>1248</v>
      </c>
      <c r="L1501" s="46" t="s">
        <v>4</v>
      </c>
      <c r="M1501" s="46" t="s">
        <v>806</v>
      </c>
      <c r="N1501" s="49">
        <v>1</v>
      </c>
      <c r="O1501" s="49">
        <v>2</v>
      </c>
      <c r="P1501" s="46" t="s">
        <v>1219</v>
      </c>
      <c r="Q1501" s="46" t="s">
        <v>1111</v>
      </c>
      <c r="R1501" s="54" t="s">
        <v>376</v>
      </c>
      <c r="AD1501" s="46" t="s">
        <v>1037</v>
      </c>
      <c r="AE1501" s="50">
        <f>IF(L1501="W",1,0)</f>
        <v>0</v>
      </c>
      <c r="AF1501" s="50">
        <f>IF(L1501="T",1,0)</f>
        <v>0</v>
      </c>
      <c r="AG1501" s="50">
        <f>IF(L1501="L",1,0)</f>
        <v>1</v>
      </c>
      <c r="AH1501" s="46" t="s">
        <v>1249</v>
      </c>
      <c r="AI1501" s="46" t="s">
        <v>1242</v>
      </c>
      <c r="AJ1501" s="46" t="s">
        <v>376</v>
      </c>
      <c r="AK1501" s="46" t="s">
        <v>658</v>
      </c>
      <c r="AL1501" s="46" t="s">
        <v>1111</v>
      </c>
      <c r="AM1501" s="46" t="s">
        <v>1126</v>
      </c>
      <c r="AN1501" s="46" t="s">
        <v>376</v>
      </c>
      <c r="AO1501" s="46" t="s">
        <v>658</v>
      </c>
      <c r="AQ1501" s="46">
        <v>2</v>
      </c>
      <c r="AU1501" s="46" t="s">
        <v>376</v>
      </c>
      <c r="AW1501" s="46" t="s">
        <v>30</v>
      </c>
      <c r="AZ1501" s="46" t="s">
        <v>30</v>
      </c>
      <c r="BA1501" s="54"/>
      <c r="BB1501" s="51"/>
      <c r="BF1501" s="46">
        <v>1</v>
      </c>
      <c r="BG1501" s="46">
        <v>4</v>
      </c>
      <c r="BH1501" s="46">
        <v>1</v>
      </c>
      <c r="BI1501" s="46" t="s">
        <v>1248</v>
      </c>
      <c r="BJ1501" s="46" t="s">
        <v>806</v>
      </c>
      <c r="BK1501" s="46">
        <v>2013</v>
      </c>
      <c r="BL1501" s="46" t="str">
        <f>BK1501&amp;BI1501</f>
        <v>2013Bradford City</v>
      </c>
      <c r="BM1501" s="52" t="str">
        <f>IF(AD1501="Home",BI1501,IF(AD1501="Away",BJ1501,Q1501))</f>
        <v>Aston Villa</v>
      </c>
      <c r="BV1501" s="46" t="s">
        <v>376</v>
      </c>
      <c r="BW1501" s="46" t="s">
        <v>376</v>
      </c>
      <c r="BY1501" s="52"/>
      <c r="BZ1501" s="53"/>
      <c r="CA1501" s="53"/>
      <c r="CB1501" s="93" t="str">
        <f>IF(OR(C1501="",A1501="",B1501=""),"",TEXT(C1501,"0000")&amp;TEXT(A1501,"00")&amp;TEXT(B1501,"00"))</f>
        <v>20130122</v>
      </c>
    </row>
    <row r="1502" spans="1:80" s="46" customFormat="1" ht="12.95" customHeight="1" x14ac:dyDescent="0.2">
      <c r="A1502" s="46">
        <v>1</v>
      </c>
      <c r="B1502" s="46">
        <v>23</v>
      </c>
      <c r="C1502" s="46">
        <v>2013</v>
      </c>
      <c r="D1502" s="52" t="s">
        <v>658</v>
      </c>
      <c r="E1502" s="52" t="s">
        <v>236</v>
      </c>
      <c r="F1502" s="66" t="s">
        <v>1327</v>
      </c>
      <c r="G1502" s="52"/>
      <c r="H1502" s="66" t="s">
        <v>1011</v>
      </c>
      <c r="I1502" s="52">
        <v>2</v>
      </c>
      <c r="J1502" s="65">
        <v>41297</v>
      </c>
      <c r="K1502" s="66" t="s">
        <v>1273</v>
      </c>
      <c r="L1502" s="62" t="s">
        <v>1014</v>
      </c>
      <c r="M1502" s="52" t="s">
        <v>816</v>
      </c>
      <c r="N1502" s="57">
        <v>0</v>
      </c>
      <c r="O1502" s="57">
        <v>0</v>
      </c>
      <c r="P1502" s="52" t="s">
        <v>1423</v>
      </c>
      <c r="Q1502" s="52" t="s">
        <v>1274</v>
      </c>
      <c r="R1502" s="47" t="s">
        <v>1264</v>
      </c>
      <c r="S1502" s="52"/>
      <c r="T1502" s="52"/>
      <c r="U1502" s="52"/>
      <c r="V1502" s="52"/>
      <c r="W1502" s="52"/>
      <c r="X1502" s="52"/>
      <c r="Y1502" s="52"/>
      <c r="Z1502" s="52"/>
      <c r="AA1502" s="58">
        <v>2</v>
      </c>
      <c r="AB1502" s="58">
        <v>0</v>
      </c>
      <c r="AC1502" s="59">
        <v>2</v>
      </c>
      <c r="AD1502" s="67" t="s">
        <v>1033</v>
      </c>
      <c r="AE1502" s="50">
        <f>IF(L1502="W",1,0)</f>
        <v>0</v>
      </c>
      <c r="AF1502" s="50">
        <f>IF(L1502="T",1,0)</f>
        <v>1</v>
      </c>
      <c r="AG1502" s="50">
        <f>IF(L1502="L",1,0)</f>
        <v>0</v>
      </c>
      <c r="AH1502" s="52" t="s">
        <v>1274</v>
      </c>
      <c r="AI1502" s="52" t="s">
        <v>1264</v>
      </c>
      <c r="AJ1502" s="52" t="s">
        <v>376</v>
      </c>
      <c r="AK1502" s="50" t="s">
        <v>658</v>
      </c>
      <c r="AL1502" s="52" t="s">
        <v>1017</v>
      </c>
      <c r="AM1502" s="52" t="s">
        <v>1018</v>
      </c>
      <c r="AN1502" s="52" t="s">
        <v>376</v>
      </c>
      <c r="AO1502" s="50" t="s">
        <v>658</v>
      </c>
      <c r="AP1502" s="52"/>
      <c r="AQ1502" s="52">
        <v>2</v>
      </c>
      <c r="AR1502" s="52"/>
      <c r="AS1502" s="52"/>
      <c r="AU1502" s="52" t="s">
        <v>376</v>
      </c>
      <c r="AV1502" s="52"/>
      <c r="AW1502" s="52" t="s">
        <v>30</v>
      </c>
      <c r="AX1502" s="52"/>
      <c r="AY1502" s="52"/>
      <c r="AZ1502" s="52" t="s">
        <v>30</v>
      </c>
      <c r="BA1502" s="52"/>
      <c r="BB1502" s="60"/>
      <c r="BC1502" s="52"/>
      <c r="BD1502" s="52"/>
      <c r="BE1502" s="60"/>
      <c r="BF1502" s="35">
        <v>1</v>
      </c>
      <c r="BG1502" s="52">
        <v>1</v>
      </c>
      <c r="BH1502" s="52"/>
      <c r="BI1502" s="50" t="s">
        <v>1273</v>
      </c>
      <c r="BJ1502" s="50" t="s">
        <v>816</v>
      </c>
      <c r="BK1502" s="52">
        <v>2013</v>
      </c>
      <c r="BL1502" s="46" t="str">
        <f>BK1502&amp;BI1502</f>
        <v>2013Swansea City</v>
      </c>
      <c r="BM1502" s="52" t="str">
        <f>IF(AD1502="Home",BI1502,IF(AD1502="Away",BJ1502,Q1502))</f>
        <v>Swansea City</v>
      </c>
      <c r="BN1502" s="52"/>
      <c r="BO1502" s="52"/>
      <c r="BP1502" s="52"/>
      <c r="BQ1502" s="52"/>
      <c r="BR1502" s="52"/>
      <c r="BS1502" s="52"/>
      <c r="BT1502" s="52"/>
      <c r="BU1502" s="52"/>
      <c r="BV1502" s="46" t="s">
        <v>376</v>
      </c>
      <c r="BW1502" s="52" t="s">
        <v>376</v>
      </c>
      <c r="BX1502" s="52"/>
      <c r="BZ1502" s="53"/>
      <c r="CA1502" s="53"/>
      <c r="CB1502" s="93" t="str">
        <f>IF(OR(C1502="",A1502="",B1502=""),"",TEXT(C1502,"0000")&amp;TEXT(A1502,"00")&amp;TEXT(B1502,"00"))</f>
        <v>20130123</v>
      </c>
    </row>
    <row r="1503" spans="1:80" s="46" customFormat="1" ht="12.95" customHeight="1" x14ac:dyDescent="0.2">
      <c r="A1503" s="46">
        <v>1</v>
      </c>
      <c r="B1503" s="46">
        <v>23</v>
      </c>
      <c r="C1503" s="46">
        <v>2013</v>
      </c>
      <c r="D1503" s="52" t="s">
        <v>658</v>
      </c>
      <c r="E1503" s="52" t="s">
        <v>236</v>
      </c>
      <c r="F1503" s="66" t="s">
        <v>1327</v>
      </c>
      <c r="G1503" s="52"/>
      <c r="H1503" s="66" t="s">
        <v>1011</v>
      </c>
      <c r="I1503" s="52">
        <v>2</v>
      </c>
      <c r="J1503" s="65">
        <v>41297</v>
      </c>
      <c r="K1503" s="52" t="s">
        <v>816</v>
      </c>
      <c r="L1503" s="62" t="s">
        <v>1014</v>
      </c>
      <c r="M1503" s="66" t="s">
        <v>1273</v>
      </c>
      <c r="N1503" s="57">
        <v>0</v>
      </c>
      <c r="O1503" s="57">
        <v>0</v>
      </c>
      <c r="P1503" s="52" t="s">
        <v>1423</v>
      </c>
      <c r="Q1503" s="52" t="s">
        <v>1274</v>
      </c>
      <c r="R1503" s="47" t="s">
        <v>1264</v>
      </c>
      <c r="S1503" s="52"/>
      <c r="T1503" s="52"/>
      <c r="U1503" s="52"/>
      <c r="V1503" s="52"/>
      <c r="W1503" s="52"/>
      <c r="X1503" s="52"/>
      <c r="Y1503" s="52"/>
      <c r="Z1503" s="52"/>
      <c r="AA1503" s="58">
        <v>0</v>
      </c>
      <c r="AB1503" s="58">
        <v>2</v>
      </c>
      <c r="AC1503" s="59">
        <v>0</v>
      </c>
      <c r="AD1503" s="67" t="s">
        <v>1037</v>
      </c>
      <c r="AE1503" s="50">
        <f>IF(L1503="W",1,0)</f>
        <v>0</v>
      </c>
      <c r="AF1503" s="50">
        <f>IF(L1503="T",1,0)</f>
        <v>1</v>
      </c>
      <c r="AG1503" s="50">
        <f>IF(L1503="L",1,0)</f>
        <v>0</v>
      </c>
      <c r="AH1503" s="52" t="s">
        <v>1017</v>
      </c>
      <c r="AI1503" s="52" t="s">
        <v>1018</v>
      </c>
      <c r="AJ1503" s="52" t="s">
        <v>376</v>
      </c>
      <c r="AK1503" s="50" t="s">
        <v>658</v>
      </c>
      <c r="AL1503" s="52" t="s">
        <v>1274</v>
      </c>
      <c r="AM1503" s="52" t="s">
        <v>1264</v>
      </c>
      <c r="AN1503" s="52" t="s">
        <v>376</v>
      </c>
      <c r="AO1503" s="50" t="s">
        <v>658</v>
      </c>
      <c r="AP1503" s="52"/>
      <c r="AQ1503" s="52">
        <v>2</v>
      </c>
      <c r="AR1503" s="52"/>
      <c r="AS1503" s="52">
        <v>1</v>
      </c>
      <c r="AU1503" s="52" t="s">
        <v>376</v>
      </c>
      <c r="AV1503" s="52"/>
      <c r="AW1503" s="52" t="s">
        <v>30</v>
      </c>
      <c r="AX1503" s="52"/>
      <c r="AY1503" s="52"/>
      <c r="AZ1503" s="52" t="s">
        <v>30</v>
      </c>
      <c r="BA1503" s="52"/>
      <c r="BB1503" s="60"/>
      <c r="BC1503" s="52"/>
      <c r="BD1503" s="52"/>
      <c r="BE1503" s="60"/>
      <c r="BF1503" s="35">
        <v>1</v>
      </c>
      <c r="BG1503" s="52">
        <v>1</v>
      </c>
      <c r="BH1503" s="52"/>
      <c r="BI1503" s="50" t="s">
        <v>816</v>
      </c>
      <c r="BJ1503" s="50" t="s">
        <v>1273</v>
      </c>
      <c r="BK1503" s="52">
        <v>2013</v>
      </c>
      <c r="BL1503" s="46" t="str">
        <f>BK1503&amp;BI1503</f>
        <v>2013Chelsea</v>
      </c>
      <c r="BM1503" s="52" t="str">
        <f>IF(AD1503="Home",BI1503,IF(AD1503="Away",BJ1503,Q1503))</f>
        <v>Swansea City</v>
      </c>
      <c r="BN1503" s="52"/>
      <c r="BO1503" s="52"/>
      <c r="BP1503" s="52"/>
      <c r="BQ1503" s="52"/>
      <c r="BR1503" s="52"/>
      <c r="BS1503" s="52"/>
      <c r="BT1503" s="52"/>
      <c r="BU1503" s="52"/>
      <c r="BV1503" s="52" t="s">
        <v>376</v>
      </c>
      <c r="BW1503" s="46" t="s">
        <v>376</v>
      </c>
      <c r="BX1503" s="52"/>
      <c r="BZ1503" s="53"/>
      <c r="CA1503" s="53"/>
      <c r="CB1503" s="93" t="str">
        <f>IF(OR(C1503="",A1503="",B1503=""),"",TEXT(C1503,"0000")&amp;TEXT(A1503,"00")&amp;TEXT(B1503,"00"))</f>
        <v>20130123</v>
      </c>
    </row>
    <row r="1504" spans="1:80" s="46" customFormat="1" ht="12.95" customHeight="1" x14ac:dyDescent="0.25">
      <c r="A1504" s="46">
        <v>2</v>
      </c>
      <c r="B1504" s="46">
        <v>24</v>
      </c>
      <c r="C1504" s="46">
        <v>2013</v>
      </c>
      <c r="D1504" s="52" t="s">
        <v>658</v>
      </c>
      <c r="E1504" s="52" t="s">
        <v>236</v>
      </c>
      <c r="F1504" s="66" t="s">
        <v>1327</v>
      </c>
      <c r="G1504" s="52"/>
      <c r="H1504" s="66" t="s">
        <v>40</v>
      </c>
      <c r="I1504" s="52"/>
      <c r="J1504" s="56">
        <v>41329</v>
      </c>
      <c r="K1504" s="66" t="s">
        <v>1273</v>
      </c>
      <c r="L1504" s="68" t="s">
        <v>3</v>
      </c>
      <c r="M1504" s="66" t="s">
        <v>1248</v>
      </c>
      <c r="N1504" s="57">
        <v>5</v>
      </c>
      <c r="O1504" s="57">
        <v>0</v>
      </c>
      <c r="P1504" s="52" t="s">
        <v>1415</v>
      </c>
      <c r="Q1504" s="52" t="s">
        <v>1017</v>
      </c>
      <c r="R1504" s="66" t="s">
        <v>376</v>
      </c>
      <c r="S1504" s="52"/>
      <c r="T1504" s="52"/>
      <c r="U1504" s="52"/>
      <c r="V1504" s="52"/>
      <c r="W1504" s="52"/>
      <c r="X1504" s="52"/>
      <c r="Y1504" s="52"/>
      <c r="Z1504" s="52"/>
      <c r="AA1504" s="52"/>
      <c r="AB1504" s="52"/>
      <c r="AC1504" s="52"/>
      <c r="AD1504" s="52"/>
      <c r="AE1504" s="50">
        <f>IF(L1504="W",1,0)</f>
        <v>1</v>
      </c>
      <c r="AF1504" s="50">
        <f>IF(L1504="T",1,0)</f>
        <v>0</v>
      </c>
      <c r="AG1504" s="50">
        <f>IF(L1504="L",1,0)</f>
        <v>0</v>
      </c>
      <c r="AH1504" s="52" t="s">
        <v>1274</v>
      </c>
      <c r="AI1504" s="52" t="s">
        <v>1264</v>
      </c>
      <c r="AJ1504" s="52" t="s">
        <v>376</v>
      </c>
      <c r="AK1504" s="50" t="s">
        <v>658</v>
      </c>
      <c r="AL1504" s="52" t="s">
        <v>1249</v>
      </c>
      <c r="AM1504" s="52" t="s">
        <v>1242</v>
      </c>
      <c r="AN1504" s="52" t="s">
        <v>376</v>
      </c>
      <c r="AO1504" s="50" t="s">
        <v>658</v>
      </c>
      <c r="AP1504" s="52"/>
      <c r="AQ1504" s="52">
        <v>1</v>
      </c>
      <c r="AR1504" s="52"/>
      <c r="AS1504" s="52" t="s">
        <v>1393</v>
      </c>
      <c r="AU1504" s="52" t="s">
        <v>376</v>
      </c>
      <c r="AV1504" s="52"/>
      <c r="AW1504" s="52" t="s">
        <v>30</v>
      </c>
      <c r="AX1504" s="52"/>
      <c r="AY1504" s="52"/>
      <c r="AZ1504" s="57" t="s">
        <v>30</v>
      </c>
      <c r="BA1504" s="52"/>
      <c r="BB1504" s="60" t="s">
        <v>30</v>
      </c>
      <c r="BC1504" s="52" t="s">
        <v>30</v>
      </c>
      <c r="BD1504" s="52"/>
      <c r="BE1504" s="60" t="s">
        <v>1419</v>
      </c>
      <c r="BF1504" s="35">
        <v>1</v>
      </c>
      <c r="BG1504" s="52">
        <v>1</v>
      </c>
      <c r="BH1504" s="52"/>
      <c r="BI1504" s="50" t="s">
        <v>1273</v>
      </c>
      <c r="BJ1504" s="50" t="s">
        <v>1248</v>
      </c>
      <c r="BK1504" s="52">
        <v>2013</v>
      </c>
      <c r="BL1504" s="46" t="str">
        <f>BK1504&amp;BI1504</f>
        <v>2013Swansea City</v>
      </c>
      <c r="BM1504" s="52" t="str">
        <f>IF(AD1504="Home",BI1504,IF(AD1504="Away",BJ1504,Q1504))</f>
        <v>London</v>
      </c>
      <c r="BN1504" s="52"/>
      <c r="BO1504" s="52"/>
      <c r="BP1504" s="52"/>
      <c r="BQ1504" s="52"/>
      <c r="BR1504" s="52"/>
      <c r="BS1504" s="52"/>
      <c r="BT1504" s="52"/>
      <c r="BU1504" s="52"/>
      <c r="BV1504" s="46" t="s">
        <v>376</v>
      </c>
      <c r="BW1504" s="52" t="s">
        <v>376</v>
      </c>
      <c r="BX1504" s="52"/>
      <c r="BY1504" s="52"/>
      <c r="BZ1504" s="53"/>
      <c r="CA1504" s="53"/>
      <c r="CB1504" s="93" t="str">
        <f>IF(OR(C1504="",A1504="",B1504=""),"",TEXT(C1504,"0000")&amp;TEXT(A1504,"00")&amp;TEXT(B1504,"00"))</f>
        <v>20130224</v>
      </c>
    </row>
    <row r="1505" spans="1:80" s="46" customFormat="1" ht="12.95" customHeight="1" x14ac:dyDescent="0.2">
      <c r="A1505" s="46">
        <v>2</v>
      </c>
      <c r="B1505" s="46">
        <v>24</v>
      </c>
      <c r="C1505" s="46">
        <v>2013</v>
      </c>
      <c r="D1505" s="46" t="s">
        <v>658</v>
      </c>
      <c r="E1505" s="46" t="s">
        <v>236</v>
      </c>
      <c r="F1505" s="54" t="s">
        <v>1327</v>
      </c>
      <c r="H1505" s="54" t="s">
        <v>40</v>
      </c>
      <c r="I1505" s="54"/>
      <c r="J1505" s="55">
        <v>41329</v>
      </c>
      <c r="K1505" s="46" t="s">
        <v>1248</v>
      </c>
      <c r="L1505" s="46" t="s">
        <v>4</v>
      </c>
      <c r="M1505" s="46" t="s">
        <v>1273</v>
      </c>
      <c r="N1505" s="49">
        <v>0</v>
      </c>
      <c r="O1505" s="49">
        <v>5</v>
      </c>
      <c r="P1505" s="46" t="s">
        <v>1415</v>
      </c>
      <c r="Q1505" s="46" t="s">
        <v>1017</v>
      </c>
      <c r="R1505" s="54" t="s">
        <v>376</v>
      </c>
      <c r="AE1505" s="50">
        <f>IF(L1505="W",1,0)</f>
        <v>0</v>
      </c>
      <c r="AF1505" s="50">
        <f>IF(L1505="T",1,0)</f>
        <v>0</v>
      </c>
      <c r="AG1505" s="50">
        <f>IF(L1505="L",1,0)</f>
        <v>1</v>
      </c>
      <c r="AH1505" s="46" t="s">
        <v>1249</v>
      </c>
      <c r="AI1505" s="46" t="s">
        <v>1242</v>
      </c>
      <c r="AJ1505" s="46" t="s">
        <v>376</v>
      </c>
      <c r="AK1505" s="46" t="s">
        <v>658</v>
      </c>
      <c r="AL1505" s="46" t="s">
        <v>1274</v>
      </c>
      <c r="AM1505" s="46" t="s">
        <v>1264</v>
      </c>
      <c r="AN1505" s="46" t="s">
        <v>376</v>
      </c>
      <c r="AO1505" s="46" t="s">
        <v>658</v>
      </c>
      <c r="AQ1505" s="46">
        <v>1</v>
      </c>
      <c r="AU1505" s="46" t="s">
        <v>376</v>
      </c>
      <c r="AW1505" s="46" t="s">
        <v>30</v>
      </c>
      <c r="AZ1505" s="46" t="s">
        <v>30</v>
      </c>
      <c r="BA1505" s="54"/>
      <c r="BB1505" s="51"/>
      <c r="BC1505" s="46" t="s">
        <v>30</v>
      </c>
      <c r="BF1505" s="46">
        <v>1</v>
      </c>
      <c r="BG1505" s="46">
        <v>4</v>
      </c>
      <c r="BH1505" s="46">
        <v>1</v>
      </c>
      <c r="BI1505" s="46" t="s">
        <v>1248</v>
      </c>
      <c r="BJ1505" s="46" t="s">
        <v>1273</v>
      </c>
      <c r="BK1505" s="46">
        <v>2013</v>
      </c>
      <c r="BL1505" s="46" t="str">
        <f>BK1505&amp;BI1505</f>
        <v>2013Bradford City</v>
      </c>
      <c r="BM1505" s="52" t="str">
        <f>IF(AD1505="Home",BI1505,IF(AD1505="Away",BJ1505,Q1505))</f>
        <v>London</v>
      </c>
      <c r="BV1505" s="46" t="s">
        <v>376</v>
      </c>
      <c r="BW1505" s="46" t="s">
        <v>376</v>
      </c>
      <c r="BY1505" s="52"/>
      <c r="BZ1505" s="53"/>
      <c r="CA1505" s="53"/>
      <c r="CB1505" s="93" t="str">
        <f>IF(OR(C1505="",A1505="",B1505=""),"",TEXT(C1505,"0000")&amp;TEXT(A1505,"00")&amp;TEXT(B1505,"00"))</f>
        <v>20130224</v>
      </c>
    </row>
    <row r="1506" spans="1:80" s="46" customFormat="1" ht="12.95" customHeight="1" x14ac:dyDescent="0.2">
      <c r="A1506" s="46">
        <v>4</v>
      </c>
      <c r="B1506" s="46">
        <v>13</v>
      </c>
      <c r="C1506" s="46">
        <v>2013</v>
      </c>
      <c r="D1506" s="52" t="s">
        <v>658</v>
      </c>
      <c r="E1506" s="52" t="s">
        <v>236</v>
      </c>
      <c r="F1506" s="67" t="s">
        <v>1010</v>
      </c>
      <c r="G1506" s="52"/>
      <c r="H1506" s="67" t="s">
        <v>1011</v>
      </c>
      <c r="I1506" s="52"/>
      <c r="J1506" s="69">
        <v>41377</v>
      </c>
      <c r="K1506" s="67" t="s">
        <v>1411</v>
      </c>
      <c r="L1506" s="67" t="s">
        <v>3</v>
      </c>
      <c r="M1506" s="67" t="s">
        <v>1214</v>
      </c>
      <c r="N1506" s="57">
        <v>2</v>
      </c>
      <c r="O1506" s="57">
        <v>0</v>
      </c>
      <c r="P1506" s="52" t="s">
        <v>1415</v>
      </c>
      <c r="Q1506" s="52" t="s">
        <v>1017</v>
      </c>
      <c r="R1506" s="52" t="s">
        <v>376</v>
      </c>
      <c r="S1506" s="52"/>
      <c r="T1506" s="52"/>
      <c r="U1506" s="52"/>
      <c r="V1506" s="52"/>
      <c r="W1506" s="52"/>
      <c r="X1506" s="52"/>
      <c r="Y1506" s="52"/>
      <c r="Z1506" s="52"/>
      <c r="AA1506" s="52"/>
      <c r="AB1506" s="52"/>
      <c r="AC1506" s="52"/>
      <c r="AD1506" s="67"/>
      <c r="AE1506" s="50">
        <f>IF(L1506="W",1,0)</f>
        <v>1</v>
      </c>
      <c r="AF1506" s="50">
        <f>IF(L1506="T",1,0)</f>
        <v>0</v>
      </c>
      <c r="AG1506" s="50">
        <f>IF(L1506="L",1,0)</f>
        <v>0</v>
      </c>
      <c r="AH1506" s="52" t="s">
        <v>1101</v>
      </c>
      <c r="AI1506" s="52" t="s">
        <v>1159</v>
      </c>
      <c r="AJ1506" s="52" t="s">
        <v>376</v>
      </c>
      <c r="AK1506" s="50" t="s">
        <v>658</v>
      </c>
      <c r="AL1506" s="52" t="s">
        <v>1017</v>
      </c>
      <c r="AM1506" s="52" t="s">
        <v>1018</v>
      </c>
      <c r="AN1506" s="52" t="s">
        <v>376</v>
      </c>
      <c r="AO1506" s="50" t="s">
        <v>658</v>
      </c>
      <c r="AP1506" s="52"/>
      <c r="AQ1506" s="52">
        <v>2</v>
      </c>
      <c r="AR1506" s="52"/>
      <c r="AS1506" s="52"/>
      <c r="AU1506" s="52" t="s">
        <v>376</v>
      </c>
      <c r="AV1506" s="52"/>
      <c r="AW1506" s="52" t="s">
        <v>30</v>
      </c>
      <c r="AX1506" s="52"/>
      <c r="AY1506" s="52" t="s">
        <v>30</v>
      </c>
      <c r="AZ1506" s="52"/>
      <c r="BA1506" s="52"/>
      <c r="BB1506" s="60"/>
      <c r="BC1506" s="52"/>
      <c r="BD1506" s="52"/>
      <c r="BE1506" s="60"/>
      <c r="BF1506" s="35">
        <v>1</v>
      </c>
      <c r="BG1506" s="52">
        <v>1</v>
      </c>
      <c r="BH1506" s="52"/>
      <c r="BI1506" s="50" t="s">
        <v>1411</v>
      </c>
      <c r="BJ1506" s="50" t="s">
        <v>1214</v>
      </c>
      <c r="BK1506" s="52">
        <v>2013</v>
      </c>
      <c r="BL1506" s="46" t="str">
        <f>BK1506&amp;BI1506</f>
        <v>2013Wigan Athletic</v>
      </c>
      <c r="BM1506" s="52" t="str">
        <f>IF(AD1506="Home",BI1506,IF(AD1506="Away",BJ1506,Q1506))</f>
        <v>London</v>
      </c>
      <c r="BN1506" s="52"/>
      <c r="BO1506" s="52"/>
      <c r="BP1506" s="52"/>
      <c r="BQ1506" s="52"/>
      <c r="BR1506" s="52"/>
      <c r="BS1506" s="52"/>
      <c r="BT1506" s="52"/>
      <c r="BU1506" s="52"/>
      <c r="BV1506" s="52" t="s">
        <v>376</v>
      </c>
      <c r="BW1506" s="52" t="s">
        <v>376</v>
      </c>
      <c r="BX1506" s="52"/>
      <c r="BY1506" s="52"/>
      <c r="BZ1506" s="53"/>
      <c r="CA1506" s="53"/>
      <c r="CB1506" s="93" t="str">
        <f>IF(OR(C1506="",A1506="",B1506=""),"",TEXT(C1506,"0000")&amp;TEXT(A1506,"00")&amp;TEXT(B1506,"00"))</f>
        <v>20130413</v>
      </c>
    </row>
    <row r="1507" spans="1:80" s="46" customFormat="1" ht="12.95" customHeight="1" x14ac:dyDescent="0.2">
      <c r="A1507" s="46">
        <v>4</v>
      </c>
      <c r="B1507" s="46">
        <v>13</v>
      </c>
      <c r="C1507" s="46">
        <v>2013</v>
      </c>
      <c r="D1507" s="46" t="s">
        <v>658</v>
      </c>
      <c r="E1507" s="46" t="s">
        <v>236</v>
      </c>
      <c r="F1507" s="47" t="s">
        <v>1010</v>
      </c>
      <c r="H1507" s="47" t="s">
        <v>1011</v>
      </c>
      <c r="I1507" s="47"/>
      <c r="J1507" s="48">
        <v>41377</v>
      </c>
      <c r="K1507" s="46" t="s">
        <v>1214</v>
      </c>
      <c r="L1507" s="46" t="s">
        <v>4</v>
      </c>
      <c r="M1507" s="46" t="s">
        <v>1411</v>
      </c>
      <c r="N1507" s="49">
        <v>0</v>
      </c>
      <c r="O1507" s="49">
        <v>2</v>
      </c>
      <c r="P1507" s="35" t="s">
        <v>1415</v>
      </c>
      <c r="Q1507" s="47" t="s">
        <v>1017</v>
      </c>
      <c r="R1507" s="47" t="s">
        <v>376</v>
      </c>
      <c r="AE1507" s="50">
        <f>IF(L1507="W",1,0)</f>
        <v>0</v>
      </c>
      <c r="AF1507" s="50">
        <f>IF(L1507="T",1,0)</f>
        <v>0</v>
      </c>
      <c r="AG1507" s="50">
        <f>IF(L1507="L",1,0)</f>
        <v>1</v>
      </c>
      <c r="AH1507" s="46" t="s">
        <v>1017</v>
      </c>
      <c r="AI1507" s="46" t="s">
        <v>1018</v>
      </c>
      <c r="AJ1507" s="46" t="s">
        <v>376</v>
      </c>
      <c r="AK1507" s="46" t="s">
        <v>658</v>
      </c>
      <c r="AL1507" s="46" t="s">
        <v>1101</v>
      </c>
      <c r="AM1507" s="46" t="s">
        <v>1159</v>
      </c>
      <c r="AN1507" s="46" t="s">
        <v>376</v>
      </c>
      <c r="AO1507" s="46" t="s">
        <v>658</v>
      </c>
      <c r="AQ1507" s="46">
        <v>2</v>
      </c>
      <c r="AU1507" s="46" t="s">
        <v>376</v>
      </c>
      <c r="AW1507" s="46" t="s">
        <v>30</v>
      </c>
      <c r="AY1507" s="46" t="s">
        <v>30</v>
      </c>
      <c r="BA1507" s="47"/>
      <c r="BB1507" s="51"/>
      <c r="BF1507" s="46">
        <v>1</v>
      </c>
      <c r="BG1507" s="46">
        <v>2</v>
      </c>
      <c r="BH1507" s="46">
        <v>1</v>
      </c>
      <c r="BI1507" s="46" t="s">
        <v>1214</v>
      </c>
      <c r="BJ1507" s="46" t="s">
        <v>1411</v>
      </c>
      <c r="BK1507" s="46">
        <v>2013</v>
      </c>
      <c r="BL1507" s="46" t="str">
        <f>BK1507&amp;BI1507</f>
        <v>2013Millwall</v>
      </c>
      <c r="BM1507" s="52" t="str">
        <f>IF(AD1507="Home",BI1507,IF(AD1507="Away",BJ1507,Q1507))</f>
        <v>London</v>
      </c>
      <c r="BV1507" s="46" t="s">
        <v>376</v>
      </c>
      <c r="BW1507" s="46" t="s">
        <v>376</v>
      </c>
      <c r="BY1507" s="52"/>
      <c r="BZ1507" s="53"/>
      <c r="CA1507" s="53"/>
      <c r="CB1507" s="93" t="str">
        <f>IF(OR(C1507="",A1507="",B1507=""),"",TEXT(C1507,"0000")&amp;TEXT(A1507,"00")&amp;TEXT(B1507,"00"))</f>
        <v>20130413</v>
      </c>
    </row>
    <row r="1508" spans="1:80" s="46" customFormat="1" ht="12.95" customHeight="1" x14ac:dyDescent="0.2">
      <c r="A1508" s="46">
        <v>4</v>
      </c>
      <c r="B1508" s="46">
        <v>14</v>
      </c>
      <c r="C1508" s="46">
        <v>2013</v>
      </c>
      <c r="D1508" s="52" t="s">
        <v>658</v>
      </c>
      <c r="E1508" s="52" t="s">
        <v>236</v>
      </c>
      <c r="F1508" s="67" t="s">
        <v>1010</v>
      </c>
      <c r="G1508" s="52"/>
      <c r="H1508" s="67" t="s">
        <v>1011</v>
      </c>
      <c r="I1508" s="52"/>
      <c r="J1508" s="69">
        <v>41378</v>
      </c>
      <c r="K1508" s="67" t="s">
        <v>823</v>
      </c>
      <c r="L1508" s="67" t="s">
        <v>3</v>
      </c>
      <c r="M1508" s="52" t="s">
        <v>816</v>
      </c>
      <c r="N1508" s="57">
        <v>2</v>
      </c>
      <c r="O1508" s="57">
        <v>1</v>
      </c>
      <c r="P1508" s="52" t="s">
        <v>1415</v>
      </c>
      <c r="Q1508" s="52" t="s">
        <v>1017</v>
      </c>
      <c r="R1508" s="52" t="s">
        <v>376</v>
      </c>
      <c r="S1508" s="52"/>
      <c r="T1508" s="52"/>
      <c r="U1508" s="52"/>
      <c r="V1508" s="52"/>
      <c r="W1508" s="52"/>
      <c r="X1508" s="52"/>
      <c r="Y1508" s="52"/>
      <c r="Z1508" s="52"/>
      <c r="AA1508" s="52"/>
      <c r="AB1508" s="52"/>
      <c r="AC1508" s="52"/>
      <c r="AD1508" s="67"/>
      <c r="AE1508" s="50">
        <f>IF(L1508="W",1,0)</f>
        <v>1</v>
      </c>
      <c r="AF1508" s="50">
        <f>IF(L1508="T",1,0)</f>
        <v>0</v>
      </c>
      <c r="AG1508" s="50">
        <f>IF(L1508="L",1,0)</f>
        <v>0</v>
      </c>
      <c r="AH1508" s="52" t="s">
        <v>1101</v>
      </c>
      <c r="AI1508" s="52" t="s">
        <v>1159</v>
      </c>
      <c r="AJ1508" s="52" t="s">
        <v>376</v>
      </c>
      <c r="AK1508" s="50" t="s">
        <v>658</v>
      </c>
      <c r="AL1508" s="52" t="s">
        <v>1017</v>
      </c>
      <c r="AM1508" s="52" t="s">
        <v>1018</v>
      </c>
      <c r="AN1508" s="52" t="s">
        <v>376</v>
      </c>
      <c r="AO1508" s="50" t="s">
        <v>658</v>
      </c>
      <c r="AP1508" s="52"/>
      <c r="AQ1508" s="52">
        <v>2</v>
      </c>
      <c r="AR1508" s="52"/>
      <c r="AS1508" s="52"/>
      <c r="AU1508" s="52" t="s">
        <v>376</v>
      </c>
      <c r="AV1508" s="52"/>
      <c r="AW1508" s="52" t="s">
        <v>30</v>
      </c>
      <c r="AX1508" s="52"/>
      <c r="AY1508" s="52" t="s">
        <v>30</v>
      </c>
      <c r="AZ1508" s="52"/>
      <c r="BA1508" s="52"/>
      <c r="BB1508" s="60"/>
      <c r="BC1508" s="52"/>
      <c r="BD1508" s="52"/>
      <c r="BE1508" s="60"/>
      <c r="BF1508" s="35">
        <v>1</v>
      </c>
      <c r="BG1508" s="52">
        <v>1</v>
      </c>
      <c r="BH1508" s="52"/>
      <c r="BI1508" s="50" t="s">
        <v>823</v>
      </c>
      <c r="BJ1508" s="50" t="s">
        <v>816</v>
      </c>
      <c r="BK1508" s="52">
        <v>2013</v>
      </c>
      <c r="BL1508" s="46" t="str">
        <f>BK1508&amp;BI1508</f>
        <v>2013Manchester City</v>
      </c>
      <c r="BM1508" s="52" t="str">
        <f>IF(AD1508="Home",BI1508,IF(AD1508="Away",BJ1508,Q1508))</f>
        <v>London</v>
      </c>
      <c r="BN1508" s="52"/>
      <c r="BO1508" s="52"/>
      <c r="BP1508" s="52"/>
      <c r="BQ1508" s="52"/>
      <c r="BR1508" s="52"/>
      <c r="BS1508" s="52"/>
      <c r="BT1508" s="52"/>
      <c r="BU1508" s="52"/>
      <c r="BV1508" s="52" t="s">
        <v>376</v>
      </c>
      <c r="BW1508" s="52" t="s">
        <v>376</v>
      </c>
      <c r="BX1508" s="52"/>
      <c r="BY1508" s="52"/>
      <c r="BZ1508" s="53"/>
      <c r="CA1508" s="53"/>
      <c r="CB1508" s="93" t="str">
        <f>IF(OR(C1508="",A1508="",B1508=""),"",TEXT(C1508,"0000")&amp;TEXT(A1508,"00")&amp;TEXT(B1508,"00"))</f>
        <v>20130414</v>
      </c>
    </row>
    <row r="1509" spans="1:80" s="46" customFormat="1" ht="12.95" customHeight="1" x14ac:dyDescent="0.2">
      <c r="A1509" s="46">
        <v>4</v>
      </c>
      <c r="B1509" s="46">
        <v>14</v>
      </c>
      <c r="C1509" s="46">
        <v>2013</v>
      </c>
      <c r="D1509" s="52" t="s">
        <v>658</v>
      </c>
      <c r="E1509" s="52" t="s">
        <v>236</v>
      </c>
      <c r="F1509" s="67" t="s">
        <v>1010</v>
      </c>
      <c r="G1509" s="52"/>
      <c r="H1509" s="67" t="s">
        <v>1011</v>
      </c>
      <c r="I1509" s="52"/>
      <c r="J1509" s="69">
        <v>41378</v>
      </c>
      <c r="K1509" s="52" t="s">
        <v>816</v>
      </c>
      <c r="L1509" s="67" t="s">
        <v>4</v>
      </c>
      <c r="M1509" s="67" t="s">
        <v>823</v>
      </c>
      <c r="N1509" s="57">
        <v>1</v>
      </c>
      <c r="O1509" s="57">
        <v>2</v>
      </c>
      <c r="P1509" s="52" t="s">
        <v>1415</v>
      </c>
      <c r="Q1509" s="52" t="s">
        <v>1017</v>
      </c>
      <c r="R1509" s="52" t="s">
        <v>376</v>
      </c>
      <c r="S1509" s="52"/>
      <c r="T1509" s="52"/>
      <c r="U1509" s="52"/>
      <c r="V1509" s="52"/>
      <c r="W1509" s="52"/>
      <c r="X1509" s="52"/>
      <c r="Y1509" s="52"/>
      <c r="Z1509" s="52"/>
      <c r="AA1509" s="52"/>
      <c r="AB1509" s="52"/>
      <c r="AC1509" s="52"/>
      <c r="AD1509" s="67"/>
      <c r="AE1509" s="50">
        <f>IF(L1509="W",1,0)</f>
        <v>0</v>
      </c>
      <c r="AF1509" s="50">
        <f>IF(L1509="T",1,0)</f>
        <v>0</v>
      </c>
      <c r="AG1509" s="50">
        <f>IF(L1509="L",1,0)</f>
        <v>1</v>
      </c>
      <c r="AH1509" s="52" t="s">
        <v>1017</v>
      </c>
      <c r="AI1509" s="52" t="s">
        <v>1018</v>
      </c>
      <c r="AJ1509" s="52" t="s">
        <v>376</v>
      </c>
      <c r="AK1509" s="50" t="s">
        <v>658</v>
      </c>
      <c r="AL1509" s="52" t="s">
        <v>1101</v>
      </c>
      <c r="AM1509" s="52" t="s">
        <v>1159</v>
      </c>
      <c r="AN1509" s="52" t="s">
        <v>376</v>
      </c>
      <c r="AO1509" s="50" t="s">
        <v>658</v>
      </c>
      <c r="AP1509" s="52"/>
      <c r="AQ1509" s="52">
        <v>2</v>
      </c>
      <c r="AR1509" s="52"/>
      <c r="AS1509" s="52">
        <v>1</v>
      </c>
      <c r="AU1509" s="52" t="s">
        <v>376</v>
      </c>
      <c r="AV1509" s="52"/>
      <c r="AW1509" s="52" t="s">
        <v>30</v>
      </c>
      <c r="AX1509" s="52"/>
      <c r="AY1509" s="52" t="s">
        <v>30</v>
      </c>
      <c r="AZ1509" s="52"/>
      <c r="BA1509" s="52"/>
      <c r="BB1509" s="60"/>
      <c r="BC1509" s="52"/>
      <c r="BD1509" s="52"/>
      <c r="BE1509" s="60"/>
      <c r="BF1509" s="35">
        <v>1</v>
      </c>
      <c r="BG1509" s="52">
        <v>1</v>
      </c>
      <c r="BH1509" s="52"/>
      <c r="BI1509" s="50" t="s">
        <v>816</v>
      </c>
      <c r="BJ1509" s="50" t="s">
        <v>823</v>
      </c>
      <c r="BK1509" s="52">
        <v>2013</v>
      </c>
      <c r="BL1509" s="46" t="str">
        <f>BK1509&amp;BI1509</f>
        <v>2013Chelsea</v>
      </c>
      <c r="BM1509" s="52" t="str">
        <f>IF(AD1509="Home",BI1509,IF(AD1509="Away",BJ1509,Q1509))</f>
        <v>London</v>
      </c>
      <c r="BN1509" s="52"/>
      <c r="BO1509" s="52"/>
      <c r="BP1509" s="52"/>
      <c r="BQ1509" s="52"/>
      <c r="BR1509" s="52"/>
      <c r="BS1509" s="52"/>
      <c r="BT1509" s="52"/>
      <c r="BU1509" s="52"/>
      <c r="BV1509" s="52" t="s">
        <v>376</v>
      </c>
      <c r="BW1509" s="52" t="s">
        <v>376</v>
      </c>
      <c r="BX1509" s="52"/>
      <c r="BY1509" s="52"/>
      <c r="BZ1509" s="53"/>
      <c r="CA1509" s="53"/>
      <c r="CB1509" s="93" t="str">
        <f>IF(OR(C1509="",A1509="",B1509=""),"",TEXT(C1509,"0000")&amp;TEXT(A1509,"00")&amp;TEXT(B1509,"00"))</f>
        <v>20130414</v>
      </c>
    </row>
    <row r="1510" spans="1:80" s="46" customFormat="1" ht="12.95" customHeight="1" x14ac:dyDescent="0.2">
      <c r="A1510" s="46">
        <v>5</v>
      </c>
      <c r="B1510" s="46">
        <v>11</v>
      </c>
      <c r="C1510" s="46">
        <v>2013</v>
      </c>
      <c r="D1510" s="52" t="s">
        <v>658</v>
      </c>
      <c r="E1510" s="52" t="s">
        <v>236</v>
      </c>
      <c r="F1510" s="67" t="s">
        <v>1010</v>
      </c>
      <c r="G1510" s="52"/>
      <c r="H1510" s="67" t="s">
        <v>40</v>
      </c>
      <c r="I1510" s="52"/>
      <c r="J1510" s="69">
        <v>41405</v>
      </c>
      <c r="K1510" s="67" t="s">
        <v>1411</v>
      </c>
      <c r="L1510" s="62" t="s">
        <v>3</v>
      </c>
      <c r="M1510" s="67" t="s">
        <v>823</v>
      </c>
      <c r="N1510" s="57">
        <v>1</v>
      </c>
      <c r="O1510" s="57">
        <v>0</v>
      </c>
      <c r="P1510" s="52" t="s">
        <v>1415</v>
      </c>
      <c r="Q1510" s="52" t="s">
        <v>1017</v>
      </c>
      <c r="R1510" s="52" t="s">
        <v>376</v>
      </c>
      <c r="S1510" s="52"/>
      <c r="T1510" s="52"/>
      <c r="U1510" s="52"/>
      <c r="V1510" s="52"/>
      <c r="W1510" s="52"/>
      <c r="X1510" s="52"/>
      <c r="Y1510" s="52"/>
      <c r="Z1510" s="52"/>
      <c r="AA1510" s="52"/>
      <c r="AB1510" s="52"/>
      <c r="AC1510" s="52"/>
      <c r="AD1510" s="67"/>
      <c r="AE1510" s="50">
        <f>IF(L1510="W",1,0)</f>
        <v>1</v>
      </c>
      <c r="AF1510" s="50">
        <f>IF(L1510="T",1,0)</f>
        <v>0</v>
      </c>
      <c r="AG1510" s="50">
        <f>IF(L1510="L",1,0)</f>
        <v>0</v>
      </c>
      <c r="AH1510" s="52" t="s">
        <v>1101</v>
      </c>
      <c r="AI1510" s="52" t="s">
        <v>1159</v>
      </c>
      <c r="AJ1510" s="52" t="s">
        <v>376</v>
      </c>
      <c r="AK1510" s="50" t="s">
        <v>658</v>
      </c>
      <c r="AL1510" s="52" t="s">
        <v>1101</v>
      </c>
      <c r="AM1510" s="52" t="s">
        <v>1159</v>
      </c>
      <c r="AN1510" s="52" t="s">
        <v>376</v>
      </c>
      <c r="AO1510" s="50" t="s">
        <v>658</v>
      </c>
      <c r="AP1510" s="52"/>
      <c r="AQ1510" s="52">
        <v>1</v>
      </c>
      <c r="AR1510" s="52"/>
      <c r="AS1510" s="52" t="s">
        <v>1393</v>
      </c>
      <c r="AU1510" s="52" t="s">
        <v>376</v>
      </c>
      <c r="AV1510" s="52"/>
      <c r="AW1510" s="52" t="s">
        <v>30</v>
      </c>
      <c r="AX1510" s="52"/>
      <c r="AY1510" s="57" t="s">
        <v>30</v>
      </c>
      <c r="AZ1510" s="52"/>
      <c r="BA1510" s="52"/>
      <c r="BB1510" s="60" t="s">
        <v>30</v>
      </c>
      <c r="BC1510" s="52" t="s">
        <v>30</v>
      </c>
      <c r="BD1510" s="52"/>
      <c r="BE1510" s="60" t="s">
        <v>1419</v>
      </c>
      <c r="BF1510" s="35">
        <v>1</v>
      </c>
      <c r="BG1510" s="52">
        <v>1</v>
      </c>
      <c r="BH1510" s="52"/>
      <c r="BI1510" s="50" t="s">
        <v>1411</v>
      </c>
      <c r="BJ1510" s="50" t="s">
        <v>823</v>
      </c>
      <c r="BK1510" s="52">
        <v>2013</v>
      </c>
      <c r="BL1510" s="46" t="str">
        <f>BK1510&amp;BI1510</f>
        <v>2013Wigan Athletic</v>
      </c>
      <c r="BM1510" s="52" t="str">
        <f>IF(AD1510="Home",BI1510,IF(AD1510="Away",BJ1510,Q1510))</f>
        <v>London</v>
      </c>
      <c r="BN1510" s="52"/>
      <c r="BO1510" s="52"/>
      <c r="BP1510" s="52"/>
      <c r="BQ1510" s="52"/>
      <c r="BR1510" s="52"/>
      <c r="BS1510" s="52"/>
      <c r="BT1510" s="52"/>
      <c r="BU1510" s="52"/>
      <c r="BV1510" s="52" t="s">
        <v>376</v>
      </c>
      <c r="BW1510" s="52" t="s">
        <v>376</v>
      </c>
      <c r="BX1510" s="52"/>
      <c r="BY1510" s="52"/>
      <c r="BZ1510" s="53"/>
      <c r="CA1510" s="53"/>
      <c r="CB1510" s="93" t="str">
        <f>IF(OR(C1510="",A1510="",B1510=""),"",TEXT(C1510,"0000")&amp;TEXT(A1510,"00")&amp;TEXT(B1510,"00"))</f>
        <v>20130511</v>
      </c>
    </row>
    <row r="1511" spans="1:80" s="46" customFormat="1" ht="12.95" customHeight="1" x14ac:dyDescent="0.2">
      <c r="A1511" s="46">
        <v>5</v>
      </c>
      <c r="B1511" s="46">
        <v>11</v>
      </c>
      <c r="C1511" s="46">
        <v>2013</v>
      </c>
      <c r="D1511" s="52" t="s">
        <v>658</v>
      </c>
      <c r="E1511" s="52" t="s">
        <v>236</v>
      </c>
      <c r="F1511" s="67" t="s">
        <v>1010</v>
      </c>
      <c r="G1511" s="52"/>
      <c r="H1511" s="67" t="s">
        <v>40</v>
      </c>
      <c r="I1511" s="52"/>
      <c r="J1511" s="69">
        <v>41405</v>
      </c>
      <c r="K1511" s="67" t="s">
        <v>823</v>
      </c>
      <c r="L1511" s="62" t="s">
        <v>4</v>
      </c>
      <c r="M1511" s="67" t="s">
        <v>1411</v>
      </c>
      <c r="N1511" s="57">
        <v>0</v>
      </c>
      <c r="O1511" s="57">
        <v>1</v>
      </c>
      <c r="P1511" s="52" t="s">
        <v>1415</v>
      </c>
      <c r="Q1511" s="52" t="s">
        <v>1017</v>
      </c>
      <c r="R1511" s="52" t="s">
        <v>376</v>
      </c>
      <c r="S1511" s="52"/>
      <c r="T1511" s="52"/>
      <c r="U1511" s="52"/>
      <c r="V1511" s="52"/>
      <c r="W1511" s="52"/>
      <c r="X1511" s="52"/>
      <c r="Y1511" s="52"/>
      <c r="Z1511" s="52"/>
      <c r="AA1511" s="52"/>
      <c r="AB1511" s="52"/>
      <c r="AC1511" s="52"/>
      <c r="AD1511" s="67"/>
      <c r="AE1511" s="50">
        <f>IF(L1511="W",1,0)</f>
        <v>0</v>
      </c>
      <c r="AF1511" s="50">
        <f>IF(L1511="T",1,0)</f>
        <v>0</v>
      </c>
      <c r="AG1511" s="50">
        <f>IF(L1511="L",1,0)</f>
        <v>1</v>
      </c>
      <c r="AH1511" s="52" t="s">
        <v>1101</v>
      </c>
      <c r="AI1511" s="52" t="s">
        <v>1159</v>
      </c>
      <c r="AJ1511" s="52" t="s">
        <v>376</v>
      </c>
      <c r="AK1511" s="50" t="s">
        <v>658</v>
      </c>
      <c r="AL1511" s="52" t="s">
        <v>1101</v>
      </c>
      <c r="AM1511" s="52" t="s">
        <v>1159</v>
      </c>
      <c r="AN1511" s="52" t="s">
        <v>376</v>
      </c>
      <c r="AO1511" s="50" t="s">
        <v>658</v>
      </c>
      <c r="AP1511" s="52"/>
      <c r="AQ1511" s="52">
        <v>1</v>
      </c>
      <c r="AR1511" s="52"/>
      <c r="AS1511" s="52">
        <v>1</v>
      </c>
      <c r="AU1511" s="52" t="s">
        <v>376</v>
      </c>
      <c r="AV1511" s="52"/>
      <c r="AW1511" s="52" t="s">
        <v>30</v>
      </c>
      <c r="AX1511" s="52"/>
      <c r="AY1511" s="52" t="s">
        <v>30</v>
      </c>
      <c r="AZ1511" s="52"/>
      <c r="BA1511" s="52"/>
      <c r="BB1511" s="60"/>
      <c r="BC1511" s="52" t="s">
        <v>30</v>
      </c>
      <c r="BD1511" s="52"/>
      <c r="BE1511" s="60"/>
      <c r="BF1511" s="35">
        <v>1</v>
      </c>
      <c r="BG1511" s="52">
        <v>1</v>
      </c>
      <c r="BH1511" s="52"/>
      <c r="BI1511" s="50" t="s">
        <v>823</v>
      </c>
      <c r="BJ1511" s="50" t="s">
        <v>1411</v>
      </c>
      <c r="BK1511" s="52">
        <v>2013</v>
      </c>
      <c r="BL1511" s="46" t="str">
        <f>BK1511&amp;BI1511</f>
        <v>2013Manchester City</v>
      </c>
      <c r="BM1511" s="52" t="str">
        <f>IF(AD1511="Home",BI1511,IF(AD1511="Away",BJ1511,Q1511))</f>
        <v>London</v>
      </c>
      <c r="BN1511" s="52"/>
      <c r="BO1511" s="52"/>
      <c r="BP1511" s="52"/>
      <c r="BQ1511" s="52"/>
      <c r="BR1511" s="52"/>
      <c r="BS1511" s="52"/>
      <c r="BT1511" s="52"/>
      <c r="BU1511" s="52"/>
      <c r="BV1511" s="52" t="s">
        <v>376</v>
      </c>
      <c r="BW1511" s="52" t="s">
        <v>376</v>
      </c>
      <c r="BX1511" s="52"/>
      <c r="BY1511" s="52"/>
      <c r="BZ1511" s="53"/>
      <c r="CA1511" s="53"/>
      <c r="CB1511" s="93" t="str">
        <f>IF(OR(C1511="",A1511="",B1511=""),"",TEXT(C1511,"0000")&amp;TEXT(A1511,"00")&amp;TEXT(B1511,"00"))</f>
        <v>20130511</v>
      </c>
    </row>
    <row r="1512" spans="1:80" s="46" customFormat="1" ht="12.95" customHeight="1" x14ac:dyDescent="0.2">
      <c r="A1512" s="46">
        <v>1</v>
      </c>
      <c r="B1512" s="46">
        <v>7</v>
      </c>
      <c r="C1512" s="46">
        <v>2014</v>
      </c>
      <c r="D1512" s="52" t="s">
        <v>658</v>
      </c>
      <c r="E1512" s="35" t="s">
        <v>227</v>
      </c>
      <c r="F1512" s="87" t="s">
        <v>1327</v>
      </c>
      <c r="G1512" s="35"/>
      <c r="H1512" s="70" t="s">
        <v>1011</v>
      </c>
      <c r="I1512" s="87">
        <v>1</v>
      </c>
      <c r="J1512" s="71">
        <v>41646</v>
      </c>
      <c r="K1512" s="70" t="s">
        <v>793</v>
      </c>
      <c r="L1512" s="50" t="s">
        <v>3</v>
      </c>
      <c r="M1512" s="70" t="s">
        <v>821</v>
      </c>
      <c r="N1512" s="72">
        <v>2</v>
      </c>
      <c r="O1512" s="72">
        <v>1</v>
      </c>
      <c r="P1512" s="35" t="s">
        <v>1405</v>
      </c>
      <c r="Q1512" s="35" t="s">
        <v>793</v>
      </c>
      <c r="R1512" s="35" t="s">
        <v>376</v>
      </c>
      <c r="S1512" s="70"/>
      <c r="T1512" s="87"/>
      <c r="U1512" s="87"/>
      <c r="V1512" s="35"/>
      <c r="W1512" s="35"/>
      <c r="X1512" s="35"/>
      <c r="Y1512" s="35"/>
      <c r="Z1512" s="35"/>
      <c r="AA1512" s="73">
        <v>2</v>
      </c>
      <c r="AB1512" s="73">
        <v>1</v>
      </c>
      <c r="AC1512" s="74">
        <v>0</v>
      </c>
      <c r="AD1512" s="35" t="s">
        <v>1033</v>
      </c>
      <c r="AE1512" s="50">
        <f>IF(L1512="W",1,0)</f>
        <v>1</v>
      </c>
      <c r="AF1512" s="50">
        <f>IF(L1512="T",1,0)</f>
        <v>0</v>
      </c>
      <c r="AG1512" s="50">
        <f>IF(L1512="L",1,0)</f>
        <v>0</v>
      </c>
      <c r="AH1512" s="35" t="s">
        <v>793</v>
      </c>
      <c r="AI1512" s="35" t="s">
        <v>1164</v>
      </c>
      <c r="AJ1512" s="35" t="s">
        <v>376</v>
      </c>
      <c r="AK1512" s="50" t="s">
        <v>658</v>
      </c>
      <c r="AL1512" s="35" t="s">
        <v>1101</v>
      </c>
      <c r="AM1512" s="35" t="s">
        <v>1159</v>
      </c>
      <c r="AN1512" s="35" t="s">
        <v>376</v>
      </c>
      <c r="AO1512" s="50" t="s">
        <v>658</v>
      </c>
      <c r="AP1512" s="35"/>
      <c r="AQ1512" s="35">
        <v>2</v>
      </c>
      <c r="AR1512" s="35"/>
      <c r="AS1512" s="87"/>
      <c r="AU1512" s="35" t="s">
        <v>376</v>
      </c>
      <c r="AV1512" s="35"/>
      <c r="AW1512" s="87" t="s">
        <v>30</v>
      </c>
      <c r="AX1512" s="87"/>
      <c r="AY1512" s="87"/>
      <c r="AZ1512" s="87" t="s">
        <v>30</v>
      </c>
      <c r="BA1512" s="35"/>
      <c r="BB1512" s="75"/>
      <c r="BC1512" s="35"/>
      <c r="BD1512" s="35"/>
      <c r="BE1512" s="35"/>
      <c r="BF1512" s="35">
        <v>1</v>
      </c>
      <c r="BG1512" s="35">
        <v>1</v>
      </c>
      <c r="BH1512" s="35"/>
      <c r="BI1512" s="50" t="s">
        <v>793</v>
      </c>
      <c r="BJ1512" s="50" t="s">
        <v>821</v>
      </c>
      <c r="BK1512" s="35">
        <v>2014</v>
      </c>
      <c r="BL1512" s="46" t="str">
        <f>BK1512&amp;BI1512</f>
        <v>2014Sunderland</v>
      </c>
      <c r="BM1512" s="52" t="str">
        <f>IF(AD1512="Home",BI1512,IF(AD1512="Away",BJ1512,Q1512))</f>
        <v>Sunderland</v>
      </c>
      <c r="BN1512" s="35"/>
      <c r="BO1512" s="35"/>
      <c r="BP1512" s="35"/>
      <c r="BQ1512" s="35"/>
      <c r="BR1512" s="35"/>
      <c r="BS1512" s="35"/>
      <c r="BT1512" s="35"/>
      <c r="BU1512" s="35"/>
      <c r="BV1512" s="35" t="s">
        <v>376</v>
      </c>
      <c r="BW1512" s="35" t="s">
        <v>376</v>
      </c>
      <c r="BX1512" s="35"/>
      <c r="BY1512" s="50"/>
      <c r="BZ1512" s="53"/>
      <c r="CA1512" s="53"/>
      <c r="CB1512" s="93" t="str">
        <f>IF(OR(C1512="",A1512="",B1512=""),"",TEXT(C1512,"0000")&amp;TEXT(A1512,"00")&amp;TEXT(B1512,"00"))</f>
        <v>20140107</v>
      </c>
    </row>
    <row r="1513" spans="1:80" s="46" customFormat="1" ht="12.95" customHeight="1" x14ac:dyDescent="0.2">
      <c r="A1513" s="46">
        <v>1</v>
      </c>
      <c r="B1513" s="46">
        <v>7</v>
      </c>
      <c r="C1513" s="46">
        <v>2014</v>
      </c>
      <c r="D1513" s="52" t="s">
        <v>658</v>
      </c>
      <c r="E1513" s="35" t="s">
        <v>227</v>
      </c>
      <c r="F1513" s="87" t="s">
        <v>1327</v>
      </c>
      <c r="G1513" s="35"/>
      <c r="H1513" s="70" t="s">
        <v>1011</v>
      </c>
      <c r="I1513" s="87">
        <v>1</v>
      </c>
      <c r="J1513" s="71">
        <v>41646</v>
      </c>
      <c r="K1513" s="70" t="s">
        <v>821</v>
      </c>
      <c r="L1513" s="50" t="s">
        <v>4</v>
      </c>
      <c r="M1513" s="70" t="s">
        <v>793</v>
      </c>
      <c r="N1513" s="72">
        <v>1</v>
      </c>
      <c r="O1513" s="72">
        <v>2</v>
      </c>
      <c r="P1513" s="35" t="s">
        <v>1405</v>
      </c>
      <c r="Q1513" s="35" t="s">
        <v>793</v>
      </c>
      <c r="R1513" s="35" t="s">
        <v>376</v>
      </c>
      <c r="S1513" s="70"/>
      <c r="T1513" s="87"/>
      <c r="U1513" s="87"/>
      <c r="V1513" s="35"/>
      <c r="W1513" s="35"/>
      <c r="X1513" s="35"/>
      <c r="Y1513" s="35"/>
      <c r="Z1513" s="35"/>
      <c r="AA1513" s="73">
        <v>1</v>
      </c>
      <c r="AB1513" s="73">
        <v>2</v>
      </c>
      <c r="AC1513" s="74">
        <v>1</v>
      </c>
      <c r="AD1513" s="35" t="s">
        <v>1037</v>
      </c>
      <c r="AE1513" s="50">
        <f>IF(L1513="W",1,0)</f>
        <v>0</v>
      </c>
      <c r="AF1513" s="50">
        <f>IF(L1513="T",1,0)</f>
        <v>0</v>
      </c>
      <c r="AG1513" s="50">
        <f>IF(L1513="L",1,0)</f>
        <v>1</v>
      </c>
      <c r="AH1513" s="35" t="s">
        <v>1101</v>
      </c>
      <c r="AI1513" s="35" t="s">
        <v>1159</v>
      </c>
      <c r="AJ1513" s="35" t="s">
        <v>376</v>
      </c>
      <c r="AK1513" s="50" t="s">
        <v>658</v>
      </c>
      <c r="AL1513" s="35" t="s">
        <v>793</v>
      </c>
      <c r="AM1513" s="35" t="s">
        <v>1164</v>
      </c>
      <c r="AN1513" s="35" t="s">
        <v>376</v>
      </c>
      <c r="AO1513" s="50" t="s">
        <v>658</v>
      </c>
      <c r="AP1513" s="35"/>
      <c r="AQ1513" s="35">
        <v>2</v>
      </c>
      <c r="AR1513" s="35"/>
      <c r="AS1513" s="87"/>
      <c r="AU1513" s="35" t="s">
        <v>376</v>
      </c>
      <c r="AV1513" s="35"/>
      <c r="AW1513" s="87" t="s">
        <v>30</v>
      </c>
      <c r="AX1513" s="87"/>
      <c r="AY1513" s="87"/>
      <c r="AZ1513" s="87" t="s">
        <v>30</v>
      </c>
      <c r="BA1513" s="35"/>
      <c r="BB1513" s="75"/>
      <c r="BC1513" s="35"/>
      <c r="BD1513" s="35"/>
      <c r="BE1513" s="35"/>
      <c r="BF1513" s="35">
        <v>1</v>
      </c>
      <c r="BG1513" s="35">
        <v>1</v>
      </c>
      <c r="BH1513" s="35"/>
      <c r="BI1513" s="50" t="s">
        <v>821</v>
      </c>
      <c r="BJ1513" s="50" t="s">
        <v>793</v>
      </c>
      <c r="BK1513" s="35">
        <v>2014</v>
      </c>
      <c r="BL1513" s="46" t="str">
        <f>BK1513&amp;BI1513</f>
        <v>2014Manchester United</v>
      </c>
      <c r="BM1513" s="52" t="str">
        <f>IF(AD1513="Home",BI1513,IF(AD1513="Away",BJ1513,Q1513))</f>
        <v>Sunderland</v>
      </c>
      <c r="BN1513" s="35"/>
      <c r="BO1513" s="35"/>
      <c r="BP1513" s="35"/>
      <c r="BQ1513" s="35"/>
      <c r="BR1513" s="35"/>
      <c r="BS1513" s="35"/>
      <c r="BT1513" s="35"/>
      <c r="BU1513" s="35"/>
      <c r="BV1513" s="35" t="s">
        <v>376</v>
      </c>
      <c r="BW1513" s="35" t="s">
        <v>376</v>
      </c>
      <c r="BX1513" s="35"/>
      <c r="BY1513" s="50"/>
      <c r="BZ1513" s="53"/>
      <c r="CA1513" s="53"/>
      <c r="CB1513" s="93" t="str">
        <f>IF(OR(C1513="",A1513="",B1513=""),"",TEXT(C1513,"0000")&amp;TEXT(A1513,"00")&amp;TEXT(B1513,"00"))</f>
        <v>20140107</v>
      </c>
    </row>
    <row r="1514" spans="1:80" s="46" customFormat="1" ht="12.95" customHeight="1" x14ac:dyDescent="0.2">
      <c r="A1514" s="46">
        <v>1</v>
      </c>
      <c r="B1514" s="46">
        <v>8</v>
      </c>
      <c r="C1514" s="46">
        <v>2014</v>
      </c>
      <c r="D1514" s="52" t="s">
        <v>658</v>
      </c>
      <c r="E1514" s="35" t="s">
        <v>227</v>
      </c>
      <c r="F1514" s="87" t="s">
        <v>1327</v>
      </c>
      <c r="G1514" s="35"/>
      <c r="H1514" s="70" t="s">
        <v>1011</v>
      </c>
      <c r="I1514" s="87">
        <v>1</v>
      </c>
      <c r="J1514" s="71">
        <v>41647</v>
      </c>
      <c r="K1514" s="70" t="s">
        <v>823</v>
      </c>
      <c r="L1514" s="50" t="s">
        <v>3</v>
      </c>
      <c r="M1514" s="70" t="s">
        <v>803</v>
      </c>
      <c r="N1514" s="72">
        <v>6</v>
      </c>
      <c r="O1514" s="72">
        <v>0</v>
      </c>
      <c r="P1514" s="35" t="s">
        <v>1420</v>
      </c>
      <c r="Q1514" s="35" t="s">
        <v>1101</v>
      </c>
      <c r="R1514" s="35" t="s">
        <v>376</v>
      </c>
      <c r="S1514" s="70"/>
      <c r="T1514" s="87"/>
      <c r="U1514" s="87"/>
      <c r="V1514" s="35"/>
      <c r="W1514" s="35"/>
      <c r="X1514" s="35"/>
      <c r="Y1514" s="35"/>
      <c r="Z1514" s="35"/>
      <c r="AA1514" s="73">
        <v>6</v>
      </c>
      <c r="AB1514" s="73">
        <v>0</v>
      </c>
      <c r="AC1514" s="74">
        <v>0</v>
      </c>
      <c r="AD1514" s="35" t="s">
        <v>1033</v>
      </c>
      <c r="AE1514" s="50">
        <f>IF(L1514="W",1,0)</f>
        <v>1</v>
      </c>
      <c r="AF1514" s="50">
        <f>IF(L1514="T",1,0)</f>
        <v>0</v>
      </c>
      <c r="AG1514" s="50">
        <f>IF(L1514="L",1,0)</f>
        <v>0</v>
      </c>
      <c r="AH1514" s="35" t="s">
        <v>1101</v>
      </c>
      <c r="AI1514" s="35" t="s">
        <v>1159</v>
      </c>
      <c r="AJ1514" s="35" t="s">
        <v>376</v>
      </c>
      <c r="AK1514" s="50" t="s">
        <v>658</v>
      </c>
      <c r="AL1514" s="35" t="s">
        <v>1017</v>
      </c>
      <c r="AM1514" s="35" t="s">
        <v>1018</v>
      </c>
      <c r="AN1514" s="35" t="s">
        <v>376</v>
      </c>
      <c r="AO1514" s="50" t="s">
        <v>658</v>
      </c>
      <c r="AP1514" s="35"/>
      <c r="AQ1514" s="35">
        <v>2</v>
      </c>
      <c r="AR1514" s="35"/>
      <c r="AS1514" s="87"/>
      <c r="AU1514" s="35" t="s">
        <v>376</v>
      </c>
      <c r="AV1514" s="35"/>
      <c r="AW1514" s="87" t="s">
        <v>30</v>
      </c>
      <c r="AX1514" s="87"/>
      <c r="AY1514" s="87"/>
      <c r="AZ1514" s="87" t="s">
        <v>30</v>
      </c>
      <c r="BA1514" s="35"/>
      <c r="BB1514" s="75"/>
      <c r="BC1514" s="35"/>
      <c r="BD1514" s="35"/>
      <c r="BE1514" s="35"/>
      <c r="BF1514" s="35">
        <v>1</v>
      </c>
      <c r="BG1514" s="35">
        <v>1</v>
      </c>
      <c r="BH1514" s="35"/>
      <c r="BI1514" s="50" t="s">
        <v>823</v>
      </c>
      <c r="BJ1514" s="50" t="s">
        <v>803</v>
      </c>
      <c r="BK1514" s="35">
        <v>2014</v>
      </c>
      <c r="BL1514" s="46" t="str">
        <f>BK1514&amp;BI1514</f>
        <v>2014Manchester City</v>
      </c>
      <c r="BM1514" s="52" t="str">
        <f>IF(AD1514="Home",BI1514,IF(AD1514="Away",BJ1514,Q1514))</f>
        <v>Manchester City</v>
      </c>
      <c r="BN1514" s="35"/>
      <c r="BO1514" s="35"/>
      <c r="BP1514" s="35"/>
      <c r="BQ1514" s="35"/>
      <c r="BR1514" s="35"/>
      <c r="BS1514" s="35"/>
      <c r="BT1514" s="35"/>
      <c r="BU1514" s="35"/>
      <c r="BV1514" s="35" t="s">
        <v>376</v>
      </c>
      <c r="BW1514" s="35" t="s">
        <v>376</v>
      </c>
      <c r="BX1514" s="35"/>
      <c r="BY1514" s="52"/>
      <c r="BZ1514" s="53"/>
      <c r="CA1514" s="53"/>
      <c r="CB1514" s="93" t="str">
        <f>IF(OR(C1514="",A1514="",B1514=""),"",TEXT(C1514,"0000")&amp;TEXT(A1514,"00")&amp;TEXT(B1514,"00"))</f>
        <v>20140108</v>
      </c>
    </row>
    <row r="1515" spans="1:80" s="46" customFormat="1" ht="12.95" customHeight="1" x14ac:dyDescent="0.2">
      <c r="A1515" s="46">
        <v>1</v>
      </c>
      <c r="B1515" s="46">
        <v>8</v>
      </c>
      <c r="C1515" s="46">
        <v>2014</v>
      </c>
      <c r="D1515" s="52" t="s">
        <v>658</v>
      </c>
      <c r="E1515" s="35" t="s">
        <v>227</v>
      </c>
      <c r="F1515" s="87" t="s">
        <v>1327</v>
      </c>
      <c r="G1515" s="35"/>
      <c r="H1515" s="70" t="s">
        <v>1011</v>
      </c>
      <c r="I1515" s="87">
        <v>1</v>
      </c>
      <c r="J1515" s="71">
        <v>41647</v>
      </c>
      <c r="K1515" s="70" t="s">
        <v>803</v>
      </c>
      <c r="L1515" s="50" t="s">
        <v>4</v>
      </c>
      <c r="M1515" s="70" t="s">
        <v>823</v>
      </c>
      <c r="N1515" s="72">
        <v>0</v>
      </c>
      <c r="O1515" s="72">
        <v>6</v>
      </c>
      <c r="P1515" s="35" t="s">
        <v>1420</v>
      </c>
      <c r="Q1515" s="35" t="s">
        <v>1101</v>
      </c>
      <c r="R1515" s="35" t="s">
        <v>376</v>
      </c>
      <c r="S1515" s="70"/>
      <c r="T1515" s="87"/>
      <c r="U1515" s="87"/>
      <c r="V1515" s="35"/>
      <c r="W1515" s="35"/>
      <c r="X1515" s="35"/>
      <c r="Y1515" s="35"/>
      <c r="Z1515" s="35"/>
      <c r="AA1515" s="73">
        <v>0</v>
      </c>
      <c r="AB1515" s="73">
        <v>6</v>
      </c>
      <c r="AC1515" s="74">
        <v>0</v>
      </c>
      <c r="AD1515" s="35" t="s">
        <v>1037</v>
      </c>
      <c r="AE1515" s="50">
        <f>IF(L1515="W",1,0)</f>
        <v>0</v>
      </c>
      <c r="AF1515" s="50">
        <f>IF(L1515="T",1,0)</f>
        <v>0</v>
      </c>
      <c r="AG1515" s="50">
        <f>IF(L1515="L",1,0)</f>
        <v>1</v>
      </c>
      <c r="AH1515" s="35" t="s">
        <v>1017</v>
      </c>
      <c r="AI1515" s="35" t="s">
        <v>1018</v>
      </c>
      <c r="AJ1515" s="35" t="s">
        <v>376</v>
      </c>
      <c r="AK1515" s="50" t="s">
        <v>658</v>
      </c>
      <c r="AL1515" s="35" t="s">
        <v>1101</v>
      </c>
      <c r="AM1515" s="35" t="s">
        <v>1159</v>
      </c>
      <c r="AN1515" s="35" t="s">
        <v>376</v>
      </c>
      <c r="AO1515" s="50" t="s">
        <v>658</v>
      </c>
      <c r="AP1515" s="35"/>
      <c r="AQ1515" s="35">
        <v>2</v>
      </c>
      <c r="AR1515" s="35"/>
      <c r="AS1515" s="87"/>
      <c r="AU1515" s="35" t="s">
        <v>376</v>
      </c>
      <c r="AV1515" s="35"/>
      <c r="AW1515" s="87" t="s">
        <v>30</v>
      </c>
      <c r="AX1515" s="87"/>
      <c r="AY1515" s="87"/>
      <c r="AZ1515" s="87" t="s">
        <v>30</v>
      </c>
      <c r="BA1515" s="35"/>
      <c r="BB1515" s="75"/>
      <c r="BC1515" s="35"/>
      <c r="BD1515" s="35"/>
      <c r="BE1515" s="35"/>
      <c r="BF1515" s="35">
        <v>1</v>
      </c>
      <c r="BG1515" s="35">
        <v>1</v>
      </c>
      <c r="BH1515" s="35"/>
      <c r="BI1515" s="50" t="s">
        <v>803</v>
      </c>
      <c r="BJ1515" s="50" t="s">
        <v>823</v>
      </c>
      <c r="BK1515" s="35">
        <v>2014</v>
      </c>
      <c r="BL1515" s="46" t="str">
        <f>BK1515&amp;BI1515</f>
        <v>2014West Ham United</v>
      </c>
      <c r="BM1515" s="52" t="str">
        <f>IF(AD1515="Home",BI1515,IF(AD1515="Away",BJ1515,Q1515))</f>
        <v>Manchester City</v>
      </c>
      <c r="BN1515" s="35"/>
      <c r="BO1515" s="35"/>
      <c r="BP1515" s="35"/>
      <c r="BQ1515" s="35"/>
      <c r="BR1515" s="35"/>
      <c r="BS1515" s="35"/>
      <c r="BT1515" s="35"/>
      <c r="BU1515" s="35"/>
      <c r="BV1515" s="35" t="s">
        <v>376</v>
      </c>
      <c r="BW1515" s="35" t="s">
        <v>376</v>
      </c>
      <c r="BX1515" s="35"/>
      <c r="BY1515" s="52"/>
      <c r="BZ1515" s="53"/>
      <c r="CA1515" s="53"/>
      <c r="CB1515" s="93" t="str">
        <f>IF(OR(C1515="",A1515="",B1515=""),"",TEXT(C1515,"0000")&amp;TEXT(A1515,"00")&amp;TEXT(B1515,"00"))</f>
        <v>20140108</v>
      </c>
    </row>
    <row r="1516" spans="1:80" s="46" customFormat="1" ht="12.95" customHeight="1" x14ac:dyDescent="0.2">
      <c r="A1516" s="46">
        <v>1</v>
      </c>
      <c r="B1516" s="46">
        <v>21</v>
      </c>
      <c r="C1516" s="46">
        <v>2014</v>
      </c>
      <c r="D1516" s="52" t="s">
        <v>658</v>
      </c>
      <c r="E1516" s="35" t="s">
        <v>227</v>
      </c>
      <c r="F1516" s="87" t="s">
        <v>1327</v>
      </c>
      <c r="G1516" s="35"/>
      <c r="H1516" s="70" t="s">
        <v>1011</v>
      </c>
      <c r="I1516" s="87">
        <v>2</v>
      </c>
      <c r="J1516" s="71">
        <v>41660</v>
      </c>
      <c r="K1516" s="70" t="s">
        <v>803</v>
      </c>
      <c r="L1516" s="50" t="s">
        <v>4</v>
      </c>
      <c r="M1516" s="70" t="s">
        <v>823</v>
      </c>
      <c r="N1516" s="72">
        <v>0</v>
      </c>
      <c r="O1516" s="72">
        <v>3</v>
      </c>
      <c r="P1516" s="35" t="s">
        <v>1341</v>
      </c>
      <c r="Q1516" s="35" t="s">
        <v>1017</v>
      </c>
      <c r="R1516" s="35" t="s">
        <v>376</v>
      </c>
      <c r="S1516" s="70"/>
      <c r="T1516" s="87"/>
      <c r="U1516" s="87"/>
      <c r="V1516" s="35"/>
      <c r="W1516" s="35"/>
      <c r="X1516" s="35"/>
      <c r="Y1516" s="35"/>
      <c r="Z1516" s="35"/>
      <c r="AA1516" s="73">
        <v>0</v>
      </c>
      <c r="AB1516" s="73">
        <v>9</v>
      </c>
      <c r="AC1516" s="74">
        <v>0</v>
      </c>
      <c r="AD1516" s="35" t="s">
        <v>1033</v>
      </c>
      <c r="AE1516" s="50">
        <f>IF(L1516="W",1,0)</f>
        <v>0</v>
      </c>
      <c r="AF1516" s="50">
        <f>IF(L1516="T",1,0)</f>
        <v>0</v>
      </c>
      <c r="AG1516" s="50">
        <f>IF(L1516="L",1,0)</f>
        <v>1</v>
      </c>
      <c r="AH1516" s="35" t="s">
        <v>1017</v>
      </c>
      <c r="AI1516" s="35" t="s">
        <v>1018</v>
      </c>
      <c r="AJ1516" s="35" t="s">
        <v>376</v>
      </c>
      <c r="AK1516" s="50" t="s">
        <v>658</v>
      </c>
      <c r="AL1516" s="35" t="s">
        <v>1101</v>
      </c>
      <c r="AM1516" s="35" t="s">
        <v>1159</v>
      </c>
      <c r="AN1516" s="35" t="s">
        <v>376</v>
      </c>
      <c r="AO1516" s="50" t="s">
        <v>658</v>
      </c>
      <c r="AP1516" s="35"/>
      <c r="AQ1516" s="35">
        <v>2</v>
      </c>
      <c r="AR1516" s="35"/>
      <c r="AS1516" s="87">
        <v>1</v>
      </c>
      <c r="AU1516" s="35" t="s">
        <v>376</v>
      </c>
      <c r="AV1516" s="35"/>
      <c r="AW1516" s="87" t="s">
        <v>30</v>
      </c>
      <c r="AX1516" s="87"/>
      <c r="AY1516" s="87"/>
      <c r="AZ1516" s="87" t="s">
        <v>30</v>
      </c>
      <c r="BA1516" s="35"/>
      <c r="BB1516" s="75"/>
      <c r="BC1516" s="35"/>
      <c r="BD1516" s="35"/>
      <c r="BE1516" s="35"/>
      <c r="BF1516" s="35">
        <v>1</v>
      </c>
      <c r="BG1516" s="35">
        <v>1</v>
      </c>
      <c r="BH1516" s="35"/>
      <c r="BI1516" s="50" t="s">
        <v>803</v>
      </c>
      <c r="BJ1516" s="50" t="s">
        <v>823</v>
      </c>
      <c r="BK1516" s="35">
        <v>2014</v>
      </c>
      <c r="BL1516" s="46" t="str">
        <f>BK1516&amp;BI1516</f>
        <v>2014West Ham United</v>
      </c>
      <c r="BM1516" s="52" t="str">
        <f>IF(AD1516="Home",BI1516,IF(AD1516="Away",BJ1516,Q1516))</f>
        <v>West Ham United</v>
      </c>
      <c r="BN1516" s="35"/>
      <c r="BO1516" s="35"/>
      <c r="BP1516" s="35"/>
      <c r="BQ1516" s="35"/>
      <c r="BR1516" s="35"/>
      <c r="BS1516" s="35"/>
      <c r="BT1516" s="35"/>
      <c r="BU1516" s="35"/>
      <c r="BV1516" s="35" t="s">
        <v>376</v>
      </c>
      <c r="BW1516" s="35" t="s">
        <v>376</v>
      </c>
      <c r="BX1516" s="35"/>
      <c r="BY1516" s="52"/>
      <c r="BZ1516" s="53"/>
      <c r="CA1516" s="53"/>
      <c r="CB1516" s="93" t="str">
        <f>IF(OR(C1516="",A1516="",B1516=""),"",TEXT(C1516,"0000")&amp;TEXT(A1516,"00")&amp;TEXT(B1516,"00"))</f>
        <v>20140121</v>
      </c>
    </row>
    <row r="1517" spans="1:80" s="46" customFormat="1" ht="12.95" customHeight="1" x14ac:dyDescent="0.2">
      <c r="A1517" s="46">
        <v>1</v>
      </c>
      <c r="B1517" s="46">
        <v>21</v>
      </c>
      <c r="C1517" s="46">
        <v>2014</v>
      </c>
      <c r="D1517" s="52" t="s">
        <v>658</v>
      </c>
      <c r="E1517" s="35" t="s">
        <v>227</v>
      </c>
      <c r="F1517" s="87" t="s">
        <v>1327</v>
      </c>
      <c r="G1517" s="35"/>
      <c r="H1517" s="70" t="s">
        <v>1011</v>
      </c>
      <c r="I1517" s="87">
        <v>2</v>
      </c>
      <c r="J1517" s="71">
        <v>41660</v>
      </c>
      <c r="K1517" s="70" t="s">
        <v>823</v>
      </c>
      <c r="L1517" s="50" t="s">
        <v>3</v>
      </c>
      <c r="M1517" s="70" t="s">
        <v>803</v>
      </c>
      <c r="N1517" s="72">
        <v>3</v>
      </c>
      <c r="O1517" s="72">
        <v>0</v>
      </c>
      <c r="P1517" s="35" t="s">
        <v>1341</v>
      </c>
      <c r="Q1517" s="35" t="s">
        <v>1017</v>
      </c>
      <c r="R1517" s="35" t="s">
        <v>376</v>
      </c>
      <c r="S1517" s="70"/>
      <c r="T1517" s="87"/>
      <c r="U1517" s="87"/>
      <c r="V1517" s="35"/>
      <c r="W1517" s="35"/>
      <c r="X1517" s="35"/>
      <c r="Y1517" s="35"/>
      <c r="Z1517" s="35"/>
      <c r="AA1517" s="73">
        <v>9</v>
      </c>
      <c r="AB1517" s="73">
        <v>0</v>
      </c>
      <c r="AC1517" s="74">
        <v>3</v>
      </c>
      <c r="AD1517" s="35" t="s">
        <v>1037</v>
      </c>
      <c r="AE1517" s="50">
        <f>IF(L1517="W",1,0)</f>
        <v>1</v>
      </c>
      <c r="AF1517" s="50">
        <f>IF(L1517="T",1,0)</f>
        <v>0</v>
      </c>
      <c r="AG1517" s="50">
        <f>IF(L1517="L",1,0)</f>
        <v>0</v>
      </c>
      <c r="AH1517" s="35" t="s">
        <v>1101</v>
      </c>
      <c r="AI1517" s="35" t="s">
        <v>1159</v>
      </c>
      <c r="AJ1517" s="35" t="s">
        <v>376</v>
      </c>
      <c r="AK1517" s="50" t="s">
        <v>658</v>
      </c>
      <c r="AL1517" s="35" t="s">
        <v>1017</v>
      </c>
      <c r="AM1517" s="35" t="s">
        <v>1018</v>
      </c>
      <c r="AN1517" s="35" t="s">
        <v>376</v>
      </c>
      <c r="AO1517" s="50" t="s">
        <v>658</v>
      </c>
      <c r="AP1517" s="35"/>
      <c r="AQ1517" s="35">
        <v>2</v>
      </c>
      <c r="AR1517" s="35"/>
      <c r="AS1517" s="87"/>
      <c r="AU1517" s="35" t="s">
        <v>376</v>
      </c>
      <c r="AV1517" s="35"/>
      <c r="AW1517" s="87" t="s">
        <v>30</v>
      </c>
      <c r="AX1517" s="87"/>
      <c r="AY1517" s="87"/>
      <c r="AZ1517" s="87" t="s">
        <v>30</v>
      </c>
      <c r="BA1517" s="35"/>
      <c r="BB1517" s="75"/>
      <c r="BC1517" s="35"/>
      <c r="BD1517" s="35"/>
      <c r="BE1517" s="35"/>
      <c r="BF1517" s="35">
        <v>1</v>
      </c>
      <c r="BG1517" s="35">
        <v>1</v>
      </c>
      <c r="BH1517" s="35"/>
      <c r="BI1517" s="50" t="s">
        <v>823</v>
      </c>
      <c r="BJ1517" s="50" t="s">
        <v>803</v>
      </c>
      <c r="BK1517" s="35">
        <v>2014</v>
      </c>
      <c r="BL1517" s="46" t="str">
        <f>BK1517&amp;BI1517</f>
        <v>2014Manchester City</v>
      </c>
      <c r="BM1517" s="52" t="str">
        <f>IF(AD1517="Home",BI1517,IF(AD1517="Away",BJ1517,Q1517))</f>
        <v>West Ham United</v>
      </c>
      <c r="BN1517" s="35"/>
      <c r="BO1517" s="35"/>
      <c r="BP1517" s="35"/>
      <c r="BQ1517" s="35"/>
      <c r="BR1517" s="35"/>
      <c r="BS1517" s="35"/>
      <c r="BT1517" s="35"/>
      <c r="BU1517" s="35"/>
      <c r="BV1517" s="35" t="s">
        <v>376</v>
      </c>
      <c r="BW1517" s="35" t="s">
        <v>376</v>
      </c>
      <c r="BX1517" s="35"/>
      <c r="BY1517" s="52"/>
      <c r="BZ1517" s="53"/>
      <c r="CA1517" s="53"/>
      <c r="CB1517" s="93" t="str">
        <f>IF(OR(C1517="",A1517="",B1517=""),"",TEXT(C1517,"0000")&amp;TEXT(A1517,"00")&amp;TEXT(B1517,"00"))</f>
        <v>20140121</v>
      </c>
    </row>
    <row r="1518" spans="1:80" s="46" customFormat="1" ht="12.95" customHeight="1" x14ac:dyDescent="0.2">
      <c r="A1518" s="46">
        <v>1</v>
      </c>
      <c r="B1518" s="46">
        <v>22</v>
      </c>
      <c r="C1518" s="46">
        <v>2014</v>
      </c>
      <c r="D1518" s="52" t="s">
        <v>658</v>
      </c>
      <c r="E1518" s="35" t="s">
        <v>227</v>
      </c>
      <c r="F1518" s="87" t="s">
        <v>1327</v>
      </c>
      <c r="G1518" s="35"/>
      <c r="H1518" s="70" t="s">
        <v>1011</v>
      </c>
      <c r="I1518" s="87">
        <v>2</v>
      </c>
      <c r="J1518" s="71">
        <v>41661</v>
      </c>
      <c r="K1518" s="70" t="s">
        <v>821</v>
      </c>
      <c r="L1518" s="50" t="s">
        <v>3</v>
      </c>
      <c r="M1518" s="70" t="s">
        <v>793</v>
      </c>
      <c r="N1518" s="72">
        <v>2</v>
      </c>
      <c r="O1518" s="72">
        <v>1</v>
      </c>
      <c r="P1518" s="35" t="s">
        <v>1246</v>
      </c>
      <c r="Q1518" s="35" t="s">
        <v>1101</v>
      </c>
      <c r="R1518" s="35" t="s">
        <v>376</v>
      </c>
      <c r="S1518" s="70" t="s">
        <v>1390</v>
      </c>
      <c r="T1518" s="87">
        <v>1</v>
      </c>
      <c r="U1518" s="87">
        <v>2</v>
      </c>
      <c r="V1518" s="35"/>
      <c r="W1518" s="35"/>
      <c r="X1518" s="35"/>
      <c r="Y1518" s="35"/>
      <c r="Z1518" s="35"/>
      <c r="AA1518" s="73">
        <v>3</v>
      </c>
      <c r="AB1518" s="73">
        <v>3</v>
      </c>
      <c r="AC1518" s="74">
        <v>1</v>
      </c>
      <c r="AD1518" s="35" t="s">
        <v>1033</v>
      </c>
      <c r="AE1518" s="50">
        <f>IF(L1518="W",1,0)</f>
        <v>1</v>
      </c>
      <c r="AF1518" s="50">
        <f>IF(L1518="T",1,0)</f>
        <v>0</v>
      </c>
      <c r="AG1518" s="50">
        <f>IF(L1518="L",1,0)</f>
        <v>0</v>
      </c>
      <c r="AH1518" s="35" t="s">
        <v>1101</v>
      </c>
      <c r="AI1518" s="35" t="s">
        <v>1159</v>
      </c>
      <c r="AJ1518" s="35" t="s">
        <v>376</v>
      </c>
      <c r="AK1518" s="50" t="s">
        <v>658</v>
      </c>
      <c r="AL1518" s="35" t="s">
        <v>793</v>
      </c>
      <c r="AM1518" s="35" t="s">
        <v>1164</v>
      </c>
      <c r="AN1518" s="35" t="s">
        <v>376</v>
      </c>
      <c r="AO1518" s="50" t="s">
        <v>658</v>
      </c>
      <c r="AP1518" s="35"/>
      <c r="AQ1518" s="35">
        <v>2</v>
      </c>
      <c r="AR1518" s="35"/>
      <c r="AS1518" s="87">
        <v>1</v>
      </c>
      <c r="AU1518" s="35" t="s">
        <v>376</v>
      </c>
      <c r="AV1518" s="35"/>
      <c r="AW1518" s="87" t="s">
        <v>30</v>
      </c>
      <c r="AX1518" s="87"/>
      <c r="AY1518" s="87"/>
      <c r="AZ1518" s="87" t="s">
        <v>30</v>
      </c>
      <c r="BA1518" s="35"/>
      <c r="BB1518" s="75"/>
      <c r="BC1518" s="35"/>
      <c r="BD1518" s="35"/>
      <c r="BE1518" s="35"/>
      <c r="BF1518" s="35">
        <v>1</v>
      </c>
      <c r="BG1518" s="35">
        <v>1</v>
      </c>
      <c r="BH1518" s="35"/>
      <c r="BI1518" s="50" t="s">
        <v>821</v>
      </c>
      <c r="BJ1518" s="50" t="s">
        <v>793</v>
      </c>
      <c r="BK1518" s="35">
        <v>2014</v>
      </c>
      <c r="BL1518" s="46" t="str">
        <f>BK1518&amp;BI1518</f>
        <v>2014Manchester United</v>
      </c>
      <c r="BM1518" s="52" t="str">
        <f>IF(AD1518="Home",BI1518,IF(AD1518="Away",BJ1518,Q1518))</f>
        <v>Manchester United</v>
      </c>
      <c r="BN1518" s="35"/>
      <c r="BO1518" s="35"/>
      <c r="BP1518" s="35"/>
      <c r="BQ1518" s="35"/>
      <c r="BR1518" s="35"/>
      <c r="BS1518" s="35"/>
      <c r="BT1518" s="35"/>
      <c r="BU1518" s="35"/>
      <c r="BV1518" s="35" t="s">
        <v>376</v>
      </c>
      <c r="BW1518" s="35" t="s">
        <v>376</v>
      </c>
      <c r="BX1518" s="35"/>
      <c r="BY1518" s="52"/>
      <c r="BZ1518" s="53"/>
      <c r="CA1518" s="53"/>
      <c r="CB1518" s="93" t="str">
        <f>IF(OR(C1518="",A1518="",B1518=""),"",TEXT(C1518,"0000")&amp;TEXT(A1518,"00")&amp;TEXT(B1518,"00"))</f>
        <v>20140122</v>
      </c>
    </row>
    <row r="1519" spans="1:80" s="46" customFormat="1" ht="12.95" customHeight="1" x14ac:dyDescent="0.2">
      <c r="A1519" s="46">
        <v>1</v>
      </c>
      <c r="B1519" s="46">
        <v>22</v>
      </c>
      <c r="C1519" s="46">
        <v>2014</v>
      </c>
      <c r="D1519" s="52" t="s">
        <v>658</v>
      </c>
      <c r="E1519" s="35" t="s">
        <v>227</v>
      </c>
      <c r="F1519" s="87" t="s">
        <v>1327</v>
      </c>
      <c r="G1519" s="35"/>
      <c r="H1519" s="70" t="s">
        <v>1011</v>
      </c>
      <c r="I1519" s="87">
        <v>2</v>
      </c>
      <c r="J1519" s="71">
        <v>41661</v>
      </c>
      <c r="K1519" s="70" t="s">
        <v>793</v>
      </c>
      <c r="L1519" s="50" t="s">
        <v>4</v>
      </c>
      <c r="M1519" s="70" t="s">
        <v>821</v>
      </c>
      <c r="N1519" s="72">
        <v>1</v>
      </c>
      <c r="O1519" s="72">
        <v>2</v>
      </c>
      <c r="P1519" s="35" t="s">
        <v>1246</v>
      </c>
      <c r="Q1519" s="35" t="s">
        <v>1101</v>
      </c>
      <c r="R1519" s="35" t="s">
        <v>376</v>
      </c>
      <c r="S1519" s="70" t="s">
        <v>1390</v>
      </c>
      <c r="T1519" s="87">
        <v>2</v>
      </c>
      <c r="U1519" s="87">
        <v>1</v>
      </c>
      <c r="V1519" s="35"/>
      <c r="W1519" s="35"/>
      <c r="X1519" s="35"/>
      <c r="Y1519" s="35"/>
      <c r="Z1519" s="35"/>
      <c r="AA1519" s="73">
        <v>3</v>
      </c>
      <c r="AB1519" s="73">
        <v>3</v>
      </c>
      <c r="AC1519" s="74">
        <v>1</v>
      </c>
      <c r="AD1519" s="35" t="s">
        <v>1037</v>
      </c>
      <c r="AE1519" s="50">
        <f>IF(L1519="W",1,0)</f>
        <v>0</v>
      </c>
      <c r="AF1519" s="50">
        <f>IF(L1519="T",1,0)</f>
        <v>0</v>
      </c>
      <c r="AG1519" s="50">
        <f>IF(L1519="L",1,0)</f>
        <v>1</v>
      </c>
      <c r="AH1519" s="35" t="s">
        <v>793</v>
      </c>
      <c r="AI1519" s="35" t="s">
        <v>1164</v>
      </c>
      <c r="AJ1519" s="35" t="s">
        <v>376</v>
      </c>
      <c r="AK1519" s="50" t="s">
        <v>658</v>
      </c>
      <c r="AL1519" s="35" t="s">
        <v>1101</v>
      </c>
      <c r="AM1519" s="35" t="s">
        <v>1159</v>
      </c>
      <c r="AN1519" s="35" t="s">
        <v>376</v>
      </c>
      <c r="AO1519" s="50" t="s">
        <v>658</v>
      </c>
      <c r="AP1519" s="35"/>
      <c r="AQ1519" s="35">
        <v>2</v>
      </c>
      <c r="AR1519" s="35"/>
      <c r="AS1519" s="87"/>
      <c r="AU1519" s="35" t="s">
        <v>376</v>
      </c>
      <c r="AV1519" s="35"/>
      <c r="AW1519" s="87" t="s">
        <v>30</v>
      </c>
      <c r="AX1519" s="87"/>
      <c r="AY1519" s="87"/>
      <c r="AZ1519" s="87" t="s">
        <v>30</v>
      </c>
      <c r="BA1519" s="35"/>
      <c r="BB1519" s="75"/>
      <c r="BC1519" s="35"/>
      <c r="BD1519" s="35"/>
      <c r="BE1519" s="35"/>
      <c r="BF1519" s="35">
        <v>1</v>
      </c>
      <c r="BG1519" s="35">
        <v>1</v>
      </c>
      <c r="BH1519" s="35"/>
      <c r="BI1519" s="50" t="s">
        <v>793</v>
      </c>
      <c r="BJ1519" s="50" t="s">
        <v>821</v>
      </c>
      <c r="BK1519" s="35">
        <v>2014</v>
      </c>
      <c r="BL1519" s="46" t="str">
        <f>BK1519&amp;BI1519</f>
        <v>2014Sunderland</v>
      </c>
      <c r="BM1519" s="52" t="str">
        <f>IF(AD1519="Home",BI1519,IF(AD1519="Away",BJ1519,Q1519))</f>
        <v>Manchester United</v>
      </c>
      <c r="BN1519" s="35"/>
      <c r="BO1519" s="35"/>
      <c r="BP1519" s="35"/>
      <c r="BQ1519" s="35"/>
      <c r="BR1519" s="35"/>
      <c r="BS1519" s="35"/>
      <c r="BT1519" s="35"/>
      <c r="BU1519" s="35"/>
      <c r="BV1519" s="35" t="s">
        <v>376</v>
      </c>
      <c r="BW1519" s="35" t="s">
        <v>376</v>
      </c>
      <c r="BX1519" s="35"/>
      <c r="BY1519" s="52"/>
      <c r="BZ1519" s="53"/>
      <c r="CA1519" s="53"/>
      <c r="CB1519" s="93" t="str">
        <f>IF(OR(C1519="",A1519="",B1519=""),"",TEXT(C1519,"0000")&amp;TEXT(A1519,"00")&amp;TEXT(B1519,"00"))</f>
        <v>20140122</v>
      </c>
    </row>
    <row r="1520" spans="1:80" s="46" customFormat="1" ht="12.95" customHeight="1" x14ac:dyDescent="0.2">
      <c r="A1520" s="46">
        <v>3</v>
      </c>
      <c r="B1520" s="46">
        <v>2</v>
      </c>
      <c r="C1520" s="46">
        <v>2014</v>
      </c>
      <c r="D1520" s="52" t="s">
        <v>658</v>
      </c>
      <c r="E1520" s="35" t="s">
        <v>227</v>
      </c>
      <c r="F1520" s="87" t="s">
        <v>1327</v>
      </c>
      <c r="G1520" s="35"/>
      <c r="H1520" s="70" t="s">
        <v>40</v>
      </c>
      <c r="I1520" s="87"/>
      <c r="J1520" s="71">
        <v>41700</v>
      </c>
      <c r="K1520" s="70" t="s">
        <v>823</v>
      </c>
      <c r="L1520" s="87" t="s">
        <v>3</v>
      </c>
      <c r="M1520" s="70" t="s">
        <v>793</v>
      </c>
      <c r="N1520" s="72">
        <v>3</v>
      </c>
      <c r="O1520" s="72">
        <v>1</v>
      </c>
      <c r="P1520" s="35" t="s">
        <v>1415</v>
      </c>
      <c r="Q1520" s="35" t="s">
        <v>1017</v>
      </c>
      <c r="R1520" s="35" t="s">
        <v>376</v>
      </c>
      <c r="S1520" s="70"/>
      <c r="T1520" s="87"/>
      <c r="U1520" s="87"/>
      <c r="V1520" s="35"/>
      <c r="W1520" s="35"/>
      <c r="X1520" s="35"/>
      <c r="Y1520" s="35"/>
      <c r="Z1520" s="35"/>
      <c r="AA1520" s="35"/>
      <c r="AB1520" s="35"/>
      <c r="AC1520" s="35"/>
      <c r="AD1520" s="35"/>
      <c r="AE1520" s="50">
        <f>IF(L1520="W",1,0)</f>
        <v>1</v>
      </c>
      <c r="AF1520" s="50">
        <f>IF(L1520="T",1,0)</f>
        <v>0</v>
      </c>
      <c r="AG1520" s="50">
        <f>IF(L1520="L",1,0)</f>
        <v>0</v>
      </c>
      <c r="AH1520" s="35" t="s">
        <v>1101</v>
      </c>
      <c r="AI1520" s="35" t="s">
        <v>1159</v>
      </c>
      <c r="AJ1520" s="35" t="s">
        <v>376</v>
      </c>
      <c r="AK1520" s="50" t="s">
        <v>658</v>
      </c>
      <c r="AL1520" s="35" t="s">
        <v>793</v>
      </c>
      <c r="AM1520" s="35" t="s">
        <v>1164</v>
      </c>
      <c r="AN1520" s="35" t="s">
        <v>376</v>
      </c>
      <c r="AO1520" s="50" t="s">
        <v>658</v>
      </c>
      <c r="AP1520" s="35"/>
      <c r="AQ1520" s="35">
        <v>1</v>
      </c>
      <c r="AR1520" s="35"/>
      <c r="AS1520" s="87" t="s">
        <v>1393</v>
      </c>
      <c r="AU1520" s="35" t="s">
        <v>376</v>
      </c>
      <c r="AV1520" s="35"/>
      <c r="AW1520" s="87" t="s">
        <v>30</v>
      </c>
      <c r="AX1520" s="87"/>
      <c r="AY1520" s="87"/>
      <c r="AZ1520" s="88" t="s">
        <v>30</v>
      </c>
      <c r="BA1520" s="35"/>
      <c r="BB1520" s="75" t="s">
        <v>30</v>
      </c>
      <c r="BC1520" s="52" t="s">
        <v>30</v>
      </c>
      <c r="BD1520" s="35"/>
      <c r="BE1520" s="60" t="s">
        <v>1417</v>
      </c>
      <c r="BF1520" s="35">
        <v>1</v>
      </c>
      <c r="BG1520" s="35">
        <v>1</v>
      </c>
      <c r="BH1520" s="35"/>
      <c r="BI1520" s="50" t="s">
        <v>823</v>
      </c>
      <c r="BJ1520" s="50" t="s">
        <v>793</v>
      </c>
      <c r="BK1520" s="35">
        <v>2014</v>
      </c>
      <c r="BL1520" s="46" t="str">
        <f>BK1520&amp;BI1520</f>
        <v>2014Manchester City</v>
      </c>
      <c r="BM1520" s="52" t="str">
        <f>IF(AD1520="Home",BI1520,IF(AD1520="Away",BJ1520,Q1520))</f>
        <v>London</v>
      </c>
      <c r="BN1520" s="35"/>
      <c r="BO1520" s="35"/>
      <c r="BP1520" s="35"/>
      <c r="BQ1520" s="35"/>
      <c r="BR1520" s="35"/>
      <c r="BS1520" s="35"/>
      <c r="BT1520" s="35"/>
      <c r="BU1520" s="35"/>
      <c r="BV1520" s="35" t="s">
        <v>376</v>
      </c>
      <c r="BW1520" s="35" t="s">
        <v>376</v>
      </c>
      <c r="BX1520" s="35"/>
      <c r="BY1520" s="52"/>
      <c r="BZ1520" s="53"/>
      <c r="CA1520" s="53"/>
      <c r="CB1520" s="93" t="str">
        <f>IF(OR(C1520="",A1520="",B1520=""),"",TEXT(C1520,"0000")&amp;TEXT(A1520,"00")&amp;TEXT(B1520,"00"))</f>
        <v>20140302</v>
      </c>
    </row>
    <row r="1521" spans="1:80" s="46" customFormat="1" ht="12.95" customHeight="1" x14ac:dyDescent="0.2">
      <c r="A1521" s="46">
        <v>3</v>
      </c>
      <c r="B1521" s="46">
        <v>2</v>
      </c>
      <c r="C1521" s="46">
        <v>2014</v>
      </c>
      <c r="D1521" s="52" t="s">
        <v>658</v>
      </c>
      <c r="E1521" s="35" t="s">
        <v>227</v>
      </c>
      <c r="F1521" s="87" t="s">
        <v>1327</v>
      </c>
      <c r="G1521" s="35"/>
      <c r="H1521" s="70" t="s">
        <v>40</v>
      </c>
      <c r="I1521" s="87"/>
      <c r="J1521" s="71">
        <v>41700</v>
      </c>
      <c r="K1521" s="70" t="s">
        <v>793</v>
      </c>
      <c r="L1521" s="87" t="s">
        <v>4</v>
      </c>
      <c r="M1521" s="70" t="s">
        <v>823</v>
      </c>
      <c r="N1521" s="72">
        <v>1</v>
      </c>
      <c r="O1521" s="72">
        <v>3</v>
      </c>
      <c r="P1521" s="35" t="s">
        <v>1415</v>
      </c>
      <c r="Q1521" s="35" t="s">
        <v>1017</v>
      </c>
      <c r="R1521" s="35" t="s">
        <v>376</v>
      </c>
      <c r="S1521" s="70"/>
      <c r="T1521" s="87"/>
      <c r="U1521" s="87"/>
      <c r="V1521" s="35"/>
      <c r="W1521" s="35"/>
      <c r="X1521" s="35"/>
      <c r="Y1521" s="35"/>
      <c r="Z1521" s="35"/>
      <c r="AA1521" s="35"/>
      <c r="AB1521" s="35"/>
      <c r="AC1521" s="35"/>
      <c r="AD1521" s="35"/>
      <c r="AE1521" s="50">
        <f>IF(L1521="W",1,0)</f>
        <v>0</v>
      </c>
      <c r="AF1521" s="50">
        <f>IF(L1521="T",1,0)</f>
        <v>0</v>
      </c>
      <c r="AG1521" s="50">
        <f>IF(L1521="L",1,0)</f>
        <v>1</v>
      </c>
      <c r="AH1521" s="35" t="s">
        <v>793</v>
      </c>
      <c r="AI1521" s="35" t="s">
        <v>1164</v>
      </c>
      <c r="AJ1521" s="35" t="s">
        <v>376</v>
      </c>
      <c r="AK1521" s="50" t="s">
        <v>658</v>
      </c>
      <c r="AL1521" s="35" t="s">
        <v>1101</v>
      </c>
      <c r="AM1521" s="35" t="s">
        <v>1159</v>
      </c>
      <c r="AN1521" s="35" t="s">
        <v>376</v>
      </c>
      <c r="AO1521" s="50" t="s">
        <v>658</v>
      </c>
      <c r="AP1521" s="35"/>
      <c r="AQ1521" s="35">
        <v>1</v>
      </c>
      <c r="AR1521" s="35"/>
      <c r="AS1521" s="87">
        <v>1</v>
      </c>
      <c r="AU1521" s="35" t="s">
        <v>376</v>
      </c>
      <c r="AV1521" s="35"/>
      <c r="AW1521" s="87" t="s">
        <v>30</v>
      </c>
      <c r="AX1521" s="87"/>
      <c r="AY1521" s="87"/>
      <c r="AZ1521" s="87" t="s">
        <v>30</v>
      </c>
      <c r="BA1521" s="35"/>
      <c r="BB1521" s="75"/>
      <c r="BC1521" s="52" t="s">
        <v>30</v>
      </c>
      <c r="BD1521" s="35"/>
      <c r="BE1521" s="35"/>
      <c r="BF1521" s="35">
        <v>1</v>
      </c>
      <c r="BG1521" s="35">
        <v>1</v>
      </c>
      <c r="BH1521" s="35"/>
      <c r="BI1521" s="50" t="s">
        <v>793</v>
      </c>
      <c r="BJ1521" s="50" t="s">
        <v>823</v>
      </c>
      <c r="BK1521" s="35">
        <v>2014</v>
      </c>
      <c r="BL1521" s="46" t="str">
        <f>BK1521&amp;BI1521</f>
        <v>2014Sunderland</v>
      </c>
      <c r="BM1521" s="52" t="str">
        <f>IF(AD1521="Home",BI1521,IF(AD1521="Away",BJ1521,Q1521))</f>
        <v>London</v>
      </c>
      <c r="BN1521" s="35"/>
      <c r="BO1521" s="35"/>
      <c r="BP1521" s="35"/>
      <c r="BQ1521" s="35"/>
      <c r="BR1521" s="35"/>
      <c r="BS1521" s="35"/>
      <c r="BT1521" s="35"/>
      <c r="BU1521" s="35"/>
      <c r="BV1521" s="35" t="s">
        <v>376</v>
      </c>
      <c r="BW1521" s="35" t="s">
        <v>376</v>
      </c>
      <c r="BX1521" s="35"/>
      <c r="BY1521" s="52"/>
      <c r="BZ1521" s="53"/>
      <c r="CA1521" s="53"/>
      <c r="CB1521" s="93" t="str">
        <f>IF(OR(C1521="",A1521="",B1521=""),"",TEXT(C1521,"0000")&amp;TEXT(A1521,"00")&amp;TEXT(B1521,"00"))</f>
        <v>20140302</v>
      </c>
    </row>
    <row r="1522" spans="1:80" s="46" customFormat="1" ht="12.95" customHeight="1" x14ac:dyDescent="0.2">
      <c r="A1522" s="46">
        <v>4</v>
      </c>
      <c r="B1522" s="46">
        <v>12</v>
      </c>
      <c r="C1522" s="46">
        <v>2014</v>
      </c>
      <c r="D1522" s="52" t="s">
        <v>658</v>
      </c>
      <c r="E1522" s="35" t="s">
        <v>227</v>
      </c>
      <c r="F1522" s="35" t="s">
        <v>1010</v>
      </c>
      <c r="G1522" s="35"/>
      <c r="H1522" s="87" t="s">
        <v>1011</v>
      </c>
      <c r="I1522" s="87"/>
      <c r="J1522" s="89">
        <v>41741</v>
      </c>
      <c r="K1522" s="87" t="s">
        <v>587</v>
      </c>
      <c r="L1522" s="50" t="s">
        <v>3</v>
      </c>
      <c r="M1522" s="87" t="s">
        <v>1411</v>
      </c>
      <c r="N1522" s="76">
        <v>1</v>
      </c>
      <c r="O1522" s="76">
        <v>1</v>
      </c>
      <c r="P1522" s="35" t="s">
        <v>1415</v>
      </c>
      <c r="Q1522" s="35" t="s">
        <v>1017</v>
      </c>
      <c r="R1522" s="35" t="s">
        <v>376</v>
      </c>
      <c r="S1522" s="35" t="s">
        <v>1390</v>
      </c>
      <c r="T1522" s="35">
        <v>4</v>
      </c>
      <c r="U1522" s="35">
        <v>2</v>
      </c>
      <c r="V1522" s="35"/>
      <c r="W1522" s="35"/>
      <c r="X1522" s="35"/>
      <c r="Y1522" s="35"/>
      <c r="Z1522" s="35"/>
      <c r="AA1522" s="35"/>
      <c r="AB1522" s="35"/>
      <c r="AC1522" s="35"/>
      <c r="AD1522" s="87"/>
      <c r="AE1522" s="50">
        <f>IF(L1522="W",1,0)</f>
        <v>1</v>
      </c>
      <c r="AF1522" s="50">
        <f>IF(L1522="T",1,0)</f>
        <v>0</v>
      </c>
      <c r="AG1522" s="50">
        <f>IF(L1522="L",1,0)</f>
        <v>0</v>
      </c>
      <c r="AH1522" s="35" t="s">
        <v>1017</v>
      </c>
      <c r="AI1522" s="35" t="s">
        <v>1018</v>
      </c>
      <c r="AJ1522" s="35" t="s">
        <v>376</v>
      </c>
      <c r="AK1522" s="50" t="s">
        <v>658</v>
      </c>
      <c r="AL1522" s="35" t="s">
        <v>1101</v>
      </c>
      <c r="AM1522" s="35" t="s">
        <v>1159</v>
      </c>
      <c r="AN1522" s="35" t="s">
        <v>376</v>
      </c>
      <c r="AO1522" s="50" t="s">
        <v>658</v>
      </c>
      <c r="AP1522" s="35"/>
      <c r="AQ1522" s="35">
        <v>2</v>
      </c>
      <c r="AR1522" s="35"/>
      <c r="AS1522" s="35"/>
      <c r="AU1522" s="35" t="s">
        <v>376</v>
      </c>
      <c r="AV1522" s="35"/>
      <c r="AW1522" s="87" t="s">
        <v>30</v>
      </c>
      <c r="AX1522" s="87"/>
      <c r="AY1522" s="87" t="s">
        <v>30</v>
      </c>
      <c r="AZ1522" s="87"/>
      <c r="BA1522" s="35"/>
      <c r="BB1522" s="75"/>
      <c r="BC1522" s="35"/>
      <c r="BD1522" s="35"/>
      <c r="BE1522" s="35"/>
      <c r="BF1522" s="35">
        <v>1</v>
      </c>
      <c r="BG1522" s="35">
        <v>1</v>
      </c>
      <c r="BH1522" s="35"/>
      <c r="BI1522" s="50" t="s">
        <v>587</v>
      </c>
      <c r="BJ1522" s="50" t="s">
        <v>1411</v>
      </c>
      <c r="BK1522" s="35">
        <v>2014</v>
      </c>
      <c r="BL1522" s="46" t="str">
        <f>BK1522&amp;BI1522</f>
        <v>2014Arsenal</v>
      </c>
      <c r="BM1522" s="52" t="str">
        <f>IF(AD1522="Home",BI1522,IF(AD1522="Away",BJ1522,Q1522))</f>
        <v>London</v>
      </c>
      <c r="BN1522" s="35"/>
      <c r="BO1522" s="35"/>
      <c r="BP1522" s="35"/>
      <c r="BQ1522" s="35"/>
      <c r="BR1522" s="35"/>
      <c r="BS1522" s="35"/>
      <c r="BT1522" s="35"/>
      <c r="BU1522" s="35"/>
      <c r="BV1522" s="35" t="s">
        <v>376</v>
      </c>
      <c r="BW1522" s="35" t="s">
        <v>376</v>
      </c>
      <c r="BX1522" s="35"/>
      <c r="BY1522" s="52"/>
      <c r="BZ1522" s="53"/>
      <c r="CA1522" s="53"/>
      <c r="CB1522" s="93" t="str">
        <f>IF(OR(C1522="",A1522="",B1522=""),"",TEXT(C1522,"0000")&amp;TEXT(A1522,"00")&amp;TEXT(B1522,"00"))</f>
        <v>20140412</v>
      </c>
    </row>
    <row r="1523" spans="1:80" s="46" customFormat="1" ht="12.95" customHeight="1" x14ac:dyDescent="0.2">
      <c r="A1523" s="46">
        <v>4</v>
      </c>
      <c r="B1523" s="46">
        <v>12</v>
      </c>
      <c r="C1523" s="46">
        <v>2014</v>
      </c>
      <c r="D1523" s="46" t="s">
        <v>658</v>
      </c>
      <c r="E1523" s="46" t="s">
        <v>227</v>
      </c>
      <c r="F1523" s="47" t="s">
        <v>1010</v>
      </c>
      <c r="H1523" s="47" t="s">
        <v>1011</v>
      </c>
      <c r="I1523" s="47"/>
      <c r="J1523" s="48">
        <v>41741</v>
      </c>
      <c r="K1523" s="46" t="s">
        <v>1207</v>
      </c>
      <c r="L1523" s="46" t="s">
        <v>4</v>
      </c>
      <c r="M1523" s="46" t="s">
        <v>1283</v>
      </c>
      <c r="N1523" s="49">
        <v>3</v>
      </c>
      <c r="O1523" s="49">
        <v>5</v>
      </c>
      <c r="P1523" s="35" t="s">
        <v>1415</v>
      </c>
      <c r="Q1523" s="47" t="s">
        <v>1017</v>
      </c>
      <c r="R1523" s="47" t="s">
        <v>376</v>
      </c>
      <c r="AE1523" s="50">
        <f>IF(L1523="W",1,0)</f>
        <v>0</v>
      </c>
      <c r="AF1523" s="50">
        <f>IF(L1523="T",1,0)</f>
        <v>0</v>
      </c>
      <c r="AG1523" s="50">
        <f>IF(L1523="L",1,0)</f>
        <v>1</v>
      </c>
      <c r="AH1523" s="46" t="s">
        <v>1097</v>
      </c>
      <c r="AI1523" s="46" t="s">
        <v>1098</v>
      </c>
      <c r="AJ1523" s="46" t="s">
        <v>376</v>
      </c>
      <c r="AK1523" s="46" t="s">
        <v>658</v>
      </c>
      <c r="AL1523" s="46" t="s">
        <v>1284</v>
      </c>
      <c r="AM1523" s="46" t="s">
        <v>1285</v>
      </c>
      <c r="AN1523" s="46" t="s">
        <v>376</v>
      </c>
      <c r="AO1523" s="46" t="s">
        <v>658</v>
      </c>
      <c r="AQ1523" s="46">
        <v>2</v>
      </c>
      <c r="AU1523" s="46" t="s">
        <v>376</v>
      </c>
      <c r="AW1523" s="46" t="s">
        <v>30</v>
      </c>
      <c r="AY1523" s="46" t="s">
        <v>30</v>
      </c>
      <c r="BA1523" s="47"/>
      <c r="BB1523" s="51"/>
      <c r="BF1523" s="46">
        <v>1</v>
      </c>
      <c r="BG1523" s="46">
        <v>3</v>
      </c>
      <c r="BH1523" s="46">
        <v>1</v>
      </c>
      <c r="BI1523" s="46" t="s">
        <v>1207</v>
      </c>
      <c r="BJ1523" s="46" t="s">
        <v>1283</v>
      </c>
      <c r="BK1523" s="46">
        <v>2014</v>
      </c>
      <c r="BL1523" s="46" t="str">
        <f>BK1523&amp;BI1523</f>
        <v>2014Sheffield United</v>
      </c>
      <c r="BM1523" s="52" t="str">
        <f>IF(AD1523="Home",BI1523,IF(AD1523="Away",BJ1523,Q1523))</f>
        <v>London</v>
      </c>
      <c r="BV1523" s="46" t="s">
        <v>376</v>
      </c>
      <c r="BW1523" s="46" t="s">
        <v>376</v>
      </c>
      <c r="BY1523" s="52"/>
      <c r="BZ1523" s="53"/>
      <c r="CA1523" s="53"/>
      <c r="CB1523" s="93" t="str">
        <f>IF(OR(C1523="",A1523="",B1523=""),"",TEXT(C1523,"0000")&amp;TEXT(A1523,"00")&amp;TEXT(B1523,"00"))</f>
        <v>20140412</v>
      </c>
    </row>
    <row r="1524" spans="1:80" s="46" customFormat="1" ht="12.95" customHeight="1" x14ac:dyDescent="0.2">
      <c r="A1524" s="46">
        <v>4</v>
      </c>
      <c r="B1524" s="46">
        <v>13</v>
      </c>
      <c r="C1524" s="46">
        <v>2014</v>
      </c>
      <c r="D1524" s="52" t="s">
        <v>658</v>
      </c>
      <c r="E1524" s="35" t="s">
        <v>227</v>
      </c>
      <c r="F1524" s="35" t="s">
        <v>1010</v>
      </c>
      <c r="G1524" s="35"/>
      <c r="H1524" s="87" t="s">
        <v>1011</v>
      </c>
      <c r="I1524" s="87"/>
      <c r="J1524" s="89">
        <v>41742</v>
      </c>
      <c r="K1524" s="87" t="s">
        <v>1283</v>
      </c>
      <c r="L1524" s="50" t="s">
        <v>3</v>
      </c>
      <c r="M1524" s="87" t="s">
        <v>1207</v>
      </c>
      <c r="N1524" s="76">
        <v>5</v>
      </c>
      <c r="O1524" s="76">
        <v>3</v>
      </c>
      <c r="P1524" s="35" t="s">
        <v>1415</v>
      </c>
      <c r="Q1524" s="35" t="s">
        <v>1017</v>
      </c>
      <c r="R1524" s="35" t="s">
        <v>376</v>
      </c>
      <c r="S1524" s="35"/>
      <c r="T1524" s="35"/>
      <c r="U1524" s="35"/>
      <c r="V1524" s="35"/>
      <c r="W1524" s="35"/>
      <c r="X1524" s="35"/>
      <c r="Y1524" s="35"/>
      <c r="Z1524" s="35"/>
      <c r="AA1524" s="35"/>
      <c r="AB1524" s="35"/>
      <c r="AC1524" s="35"/>
      <c r="AD1524" s="87"/>
      <c r="AE1524" s="50">
        <f>IF(L1524="W",1,0)</f>
        <v>1</v>
      </c>
      <c r="AF1524" s="50">
        <f>IF(L1524="T",1,0)</f>
        <v>0</v>
      </c>
      <c r="AG1524" s="50">
        <f>IF(L1524="L",1,0)</f>
        <v>0</v>
      </c>
      <c r="AH1524" s="35" t="s">
        <v>1284</v>
      </c>
      <c r="AI1524" s="35" t="s">
        <v>1285</v>
      </c>
      <c r="AJ1524" s="35" t="s">
        <v>376</v>
      </c>
      <c r="AK1524" s="50" t="s">
        <v>658</v>
      </c>
      <c r="AL1524" s="35" t="s">
        <v>1097</v>
      </c>
      <c r="AM1524" s="35" t="s">
        <v>1098</v>
      </c>
      <c r="AN1524" s="35" t="s">
        <v>376</v>
      </c>
      <c r="AO1524" s="50" t="s">
        <v>658</v>
      </c>
      <c r="AP1524" s="35"/>
      <c r="AQ1524" s="35">
        <v>2</v>
      </c>
      <c r="AR1524" s="35"/>
      <c r="AS1524" s="35"/>
      <c r="AU1524" s="35" t="s">
        <v>376</v>
      </c>
      <c r="AV1524" s="35"/>
      <c r="AW1524" s="87" t="s">
        <v>30</v>
      </c>
      <c r="AX1524" s="87"/>
      <c r="AY1524" s="87" t="s">
        <v>30</v>
      </c>
      <c r="AZ1524" s="87"/>
      <c r="BA1524" s="35"/>
      <c r="BB1524" s="75"/>
      <c r="BC1524" s="35"/>
      <c r="BD1524" s="35"/>
      <c r="BE1524" s="35"/>
      <c r="BF1524" s="35">
        <v>1</v>
      </c>
      <c r="BG1524" s="35">
        <v>1</v>
      </c>
      <c r="BH1524" s="35"/>
      <c r="BI1524" s="50" t="s">
        <v>1283</v>
      </c>
      <c r="BJ1524" s="50" t="s">
        <v>1207</v>
      </c>
      <c r="BK1524" s="35">
        <v>2014</v>
      </c>
      <c r="BL1524" s="46" t="str">
        <f>BK1524&amp;BI1524</f>
        <v>2014Hull City</v>
      </c>
      <c r="BM1524" s="52" t="str">
        <f>IF(AD1524="Home",BI1524,IF(AD1524="Away",BJ1524,Q1524))</f>
        <v>London</v>
      </c>
      <c r="BN1524" s="35"/>
      <c r="BO1524" s="35"/>
      <c r="BP1524" s="35"/>
      <c r="BQ1524" s="35"/>
      <c r="BR1524" s="35"/>
      <c r="BS1524" s="35"/>
      <c r="BT1524" s="35"/>
      <c r="BU1524" s="35"/>
      <c r="BV1524" s="35" t="s">
        <v>376</v>
      </c>
      <c r="BW1524" s="35" t="s">
        <v>376</v>
      </c>
      <c r="BX1524" s="35"/>
      <c r="BY1524" s="52"/>
      <c r="BZ1524" s="53"/>
      <c r="CA1524" s="53"/>
      <c r="CB1524" s="93" t="str">
        <f>IF(OR(C1524="",A1524="",B1524=""),"",TEXT(C1524,"0000")&amp;TEXT(A1524,"00")&amp;TEXT(B1524,"00"))</f>
        <v>20140413</v>
      </c>
    </row>
    <row r="1525" spans="1:80" s="46" customFormat="1" ht="12.95" customHeight="1" x14ac:dyDescent="0.2">
      <c r="A1525" s="46">
        <v>4</v>
      </c>
      <c r="B1525" s="46">
        <v>13</v>
      </c>
      <c r="C1525" s="46">
        <v>2014</v>
      </c>
      <c r="D1525" s="46" t="s">
        <v>658</v>
      </c>
      <c r="E1525" s="46" t="s">
        <v>227</v>
      </c>
      <c r="F1525" s="47" t="s">
        <v>1010</v>
      </c>
      <c r="H1525" s="47" t="s">
        <v>1011</v>
      </c>
      <c r="I1525" s="47"/>
      <c r="J1525" s="48">
        <v>41742</v>
      </c>
      <c r="K1525" s="46" t="s">
        <v>1411</v>
      </c>
      <c r="L1525" s="46" t="s">
        <v>4</v>
      </c>
      <c r="M1525" s="46" t="s">
        <v>587</v>
      </c>
      <c r="N1525" s="49">
        <v>1</v>
      </c>
      <c r="O1525" s="49">
        <v>1</v>
      </c>
      <c r="P1525" s="35" t="s">
        <v>1415</v>
      </c>
      <c r="Q1525" s="47" t="s">
        <v>1017</v>
      </c>
      <c r="R1525" s="47" t="s">
        <v>376</v>
      </c>
      <c r="S1525" s="46" t="s">
        <v>1390</v>
      </c>
      <c r="AE1525" s="50">
        <f>IF(L1525="W",1,0)</f>
        <v>0</v>
      </c>
      <c r="AF1525" s="50">
        <f>IF(L1525="T",1,0)</f>
        <v>0</v>
      </c>
      <c r="AG1525" s="50">
        <f>IF(L1525="L",1,0)</f>
        <v>1</v>
      </c>
      <c r="AH1525" s="46" t="s">
        <v>1101</v>
      </c>
      <c r="AI1525" s="46" t="s">
        <v>1159</v>
      </c>
      <c r="AJ1525" s="46" t="s">
        <v>376</v>
      </c>
      <c r="AK1525" s="46" t="s">
        <v>658</v>
      </c>
      <c r="AL1525" s="46" t="s">
        <v>1017</v>
      </c>
      <c r="AM1525" s="46" t="s">
        <v>1018</v>
      </c>
      <c r="AN1525" s="46" t="s">
        <v>376</v>
      </c>
      <c r="AO1525" s="46" t="s">
        <v>658</v>
      </c>
      <c r="AQ1525" s="46">
        <v>2</v>
      </c>
      <c r="AU1525" s="46" t="s">
        <v>376</v>
      </c>
      <c r="AW1525" s="46" t="s">
        <v>30</v>
      </c>
      <c r="AY1525" s="46" t="s">
        <v>30</v>
      </c>
      <c r="BA1525" s="47"/>
      <c r="BB1525" s="51"/>
      <c r="BF1525" s="46">
        <v>1</v>
      </c>
      <c r="BG1525" s="46">
        <v>2</v>
      </c>
      <c r="BH1525" s="46">
        <v>1</v>
      </c>
      <c r="BI1525" s="46" t="s">
        <v>1411</v>
      </c>
      <c r="BJ1525" s="46" t="s">
        <v>587</v>
      </c>
      <c r="BK1525" s="46">
        <v>2014</v>
      </c>
      <c r="BL1525" s="46" t="str">
        <f>BK1525&amp;BI1525</f>
        <v>2014Wigan Athletic</v>
      </c>
      <c r="BM1525" s="52" t="str">
        <f>IF(AD1525="Home",BI1525,IF(AD1525="Away",BJ1525,Q1525))</f>
        <v>London</v>
      </c>
      <c r="BV1525" s="46" t="s">
        <v>376</v>
      </c>
      <c r="BW1525" s="46" t="s">
        <v>376</v>
      </c>
      <c r="BY1525" s="52"/>
      <c r="BZ1525" s="53"/>
      <c r="CA1525" s="53"/>
      <c r="CB1525" s="93" t="str">
        <f>IF(OR(C1525="",A1525="",B1525=""),"",TEXT(C1525,"0000")&amp;TEXT(A1525,"00")&amp;TEXT(B1525,"00"))</f>
        <v>20140413</v>
      </c>
    </row>
    <row r="1526" spans="1:80" s="46" customFormat="1" ht="12.95" customHeight="1" x14ac:dyDescent="0.2">
      <c r="A1526" s="46">
        <v>5</v>
      </c>
      <c r="B1526" s="46">
        <v>17</v>
      </c>
      <c r="C1526" s="46">
        <v>2014</v>
      </c>
      <c r="D1526" s="52" t="s">
        <v>658</v>
      </c>
      <c r="E1526" s="35" t="s">
        <v>227</v>
      </c>
      <c r="F1526" s="35" t="s">
        <v>1010</v>
      </c>
      <c r="G1526" s="35"/>
      <c r="H1526" s="87" t="s">
        <v>40</v>
      </c>
      <c r="I1526" s="87"/>
      <c r="J1526" s="89">
        <v>41776</v>
      </c>
      <c r="K1526" s="87" t="s">
        <v>587</v>
      </c>
      <c r="L1526" s="50" t="s">
        <v>3</v>
      </c>
      <c r="M1526" s="87" t="s">
        <v>1283</v>
      </c>
      <c r="N1526" s="88">
        <v>3</v>
      </c>
      <c r="O1526" s="88">
        <v>2</v>
      </c>
      <c r="P1526" s="35" t="s">
        <v>1415</v>
      </c>
      <c r="Q1526" s="35" t="s">
        <v>1017</v>
      </c>
      <c r="R1526" s="35" t="s">
        <v>376</v>
      </c>
      <c r="S1526" s="35" t="s">
        <v>1396</v>
      </c>
      <c r="T1526" s="35"/>
      <c r="U1526" s="35"/>
      <c r="V1526" s="35"/>
      <c r="W1526" s="35"/>
      <c r="X1526" s="35"/>
      <c r="Y1526" s="35"/>
      <c r="Z1526" s="35"/>
      <c r="AA1526" s="35"/>
      <c r="AB1526" s="35"/>
      <c r="AC1526" s="35"/>
      <c r="AD1526" s="87"/>
      <c r="AE1526" s="50">
        <f>IF(L1526="W",1,0)</f>
        <v>1</v>
      </c>
      <c r="AF1526" s="50">
        <f>IF(L1526="T",1,0)</f>
        <v>0</v>
      </c>
      <c r="AG1526" s="50">
        <f>IF(L1526="L",1,0)</f>
        <v>0</v>
      </c>
      <c r="AH1526" s="35" t="s">
        <v>1017</v>
      </c>
      <c r="AI1526" s="35" t="s">
        <v>1018</v>
      </c>
      <c r="AJ1526" s="35" t="s">
        <v>376</v>
      </c>
      <c r="AK1526" s="50" t="s">
        <v>658</v>
      </c>
      <c r="AL1526" s="35" t="s">
        <v>1284</v>
      </c>
      <c r="AM1526" s="35" t="s">
        <v>1285</v>
      </c>
      <c r="AN1526" s="35" t="s">
        <v>376</v>
      </c>
      <c r="AO1526" s="50" t="s">
        <v>658</v>
      </c>
      <c r="AP1526" s="35"/>
      <c r="AQ1526" s="35">
        <v>1</v>
      </c>
      <c r="AR1526" s="35"/>
      <c r="AS1526" s="35" t="s">
        <v>1393</v>
      </c>
      <c r="AU1526" s="35" t="s">
        <v>376</v>
      </c>
      <c r="AV1526" s="35"/>
      <c r="AW1526" s="87" t="s">
        <v>30</v>
      </c>
      <c r="AX1526" s="87"/>
      <c r="AY1526" s="88" t="s">
        <v>30</v>
      </c>
      <c r="AZ1526" s="87"/>
      <c r="BA1526" s="35"/>
      <c r="BB1526" s="75" t="s">
        <v>30</v>
      </c>
      <c r="BC1526" s="52" t="s">
        <v>30</v>
      </c>
      <c r="BD1526" s="35"/>
      <c r="BE1526" s="35"/>
      <c r="BF1526" s="35">
        <v>1</v>
      </c>
      <c r="BG1526" s="35">
        <v>1</v>
      </c>
      <c r="BH1526" s="35"/>
      <c r="BI1526" s="50" t="s">
        <v>587</v>
      </c>
      <c r="BJ1526" s="50" t="s">
        <v>1283</v>
      </c>
      <c r="BK1526" s="35">
        <v>2014</v>
      </c>
      <c r="BL1526" s="46" t="str">
        <f>BK1526&amp;BI1526</f>
        <v>2014Arsenal</v>
      </c>
      <c r="BM1526" s="52" t="s">
        <v>1017</v>
      </c>
      <c r="BN1526" s="35"/>
      <c r="BO1526" s="35"/>
      <c r="BP1526" s="35"/>
      <c r="BQ1526" s="35"/>
      <c r="BR1526" s="35"/>
      <c r="BS1526" s="35"/>
      <c r="BT1526" s="35"/>
      <c r="BU1526" s="35"/>
      <c r="BV1526" s="35" t="s">
        <v>376</v>
      </c>
      <c r="BW1526" s="35" t="s">
        <v>376</v>
      </c>
      <c r="BX1526" s="35"/>
      <c r="BY1526" s="52"/>
      <c r="BZ1526" s="53"/>
      <c r="CA1526" s="53"/>
      <c r="CB1526" s="93" t="str">
        <f>IF(OR(C1526="",A1526="",B1526=""),"",TEXT(C1526,"0000")&amp;TEXT(A1526,"00")&amp;TEXT(B1526,"00"))</f>
        <v>20140517</v>
      </c>
    </row>
    <row r="1527" spans="1:80" s="46" customFormat="1" ht="12.95" customHeight="1" x14ac:dyDescent="0.2">
      <c r="A1527" s="46">
        <v>5</v>
      </c>
      <c r="B1527" s="46">
        <v>17</v>
      </c>
      <c r="C1527" s="46">
        <v>2014</v>
      </c>
      <c r="D1527" s="52" t="s">
        <v>658</v>
      </c>
      <c r="E1527" s="35" t="s">
        <v>227</v>
      </c>
      <c r="F1527" s="35" t="s">
        <v>1010</v>
      </c>
      <c r="G1527" s="35"/>
      <c r="H1527" s="87" t="s">
        <v>40</v>
      </c>
      <c r="I1527" s="87"/>
      <c r="J1527" s="89">
        <v>41776</v>
      </c>
      <c r="K1527" s="87" t="s">
        <v>1283</v>
      </c>
      <c r="L1527" s="50" t="s">
        <v>4</v>
      </c>
      <c r="M1527" s="87" t="s">
        <v>587</v>
      </c>
      <c r="N1527" s="88">
        <v>2</v>
      </c>
      <c r="O1527" s="88">
        <v>3</v>
      </c>
      <c r="P1527" s="35" t="s">
        <v>1415</v>
      </c>
      <c r="Q1527" s="35" t="s">
        <v>1017</v>
      </c>
      <c r="R1527" s="35" t="s">
        <v>376</v>
      </c>
      <c r="S1527" s="35" t="s">
        <v>1396</v>
      </c>
      <c r="T1527" s="35"/>
      <c r="U1527" s="35"/>
      <c r="V1527" s="35"/>
      <c r="W1527" s="35"/>
      <c r="X1527" s="35"/>
      <c r="Y1527" s="35"/>
      <c r="Z1527" s="35"/>
      <c r="AA1527" s="35"/>
      <c r="AB1527" s="35"/>
      <c r="AC1527" s="35"/>
      <c r="AD1527" s="87"/>
      <c r="AE1527" s="50">
        <f>IF(L1527="W",1,0)</f>
        <v>0</v>
      </c>
      <c r="AF1527" s="50">
        <f>IF(L1527="T",1,0)</f>
        <v>0</v>
      </c>
      <c r="AG1527" s="50">
        <f>IF(L1527="L",1,0)</f>
        <v>1</v>
      </c>
      <c r="AH1527" s="35" t="s">
        <v>1284</v>
      </c>
      <c r="AI1527" s="35" t="s">
        <v>1285</v>
      </c>
      <c r="AJ1527" s="35" t="s">
        <v>376</v>
      </c>
      <c r="AK1527" s="50" t="s">
        <v>658</v>
      </c>
      <c r="AL1527" s="35" t="s">
        <v>1017</v>
      </c>
      <c r="AM1527" s="35" t="s">
        <v>1018</v>
      </c>
      <c r="AN1527" s="35" t="s">
        <v>376</v>
      </c>
      <c r="AO1527" s="50" t="s">
        <v>658</v>
      </c>
      <c r="AP1527" s="35"/>
      <c r="AQ1527" s="35">
        <v>1</v>
      </c>
      <c r="AR1527" s="35"/>
      <c r="AS1527" s="35">
        <v>1</v>
      </c>
      <c r="AU1527" s="35" t="s">
        <v>376</v>
      </c>
      <c r="AV1527" s="35"/>
      <c r="AW1527" s="87" t="s">
        <v>30</v>
      </c>
      <c r="AX1527" s="87"/>
      <c r="AY1527" s="87" t="s">
        <v>30</v>
      </c>
      <c r="AZ1527" s="87"/>
      <c r="BA1527" s="35"/>
      <c r="BB1527" s="75"/>
      <c r="BC1527" s="52" t="s">
        <v>30</v>
      </c>
      <c r="BD1527" s="35"/>
      <c r="BE1527" s="35" t="s">
        <v>1419</v>
      </c>
      <c r="BF1527" s="35">
        <v>1</v>
      </c>
      <c r="BG1527" s="35">
        <v>1</v>
      </c>
      <c r="BH1527" s="35"/>
      <c r="BI1527" s="50" t="s">
        <v>1283</v>
      </c>
      <c r="BJ1527" s="50" t="s">
        <v>587</v>
      </c>
      <c r="BK1527" s="35">
        <v>2014</v>
      </c>
      <c r="BL1527" s="46" t="str">
        <f>BK1527&amp;BI1527</f>
        <v>2014Hull City</v>
      </c>
      <c r="BM1527" s="52" t="s">
        <v>1017</v>
      </c>
      <c r="BN1527" s="35"/>
      <c r="BO1527" s="35"/>
      <c r="BP1527" s="35"/>
      <c r="BQ1527" s="35"/>
      <c r="BR1527" s="35"/>
      <c r="BS1527" s="35"/>
      <c r="BT1527" s="35"/>
      <c r="BU1527" s="35"/>
      <c r="BV1527" s="35" t="s">
        <v>376</v>
      </c>
      <c r="BW1527" s="35" t="s">
        <v>376</v>
      </c>
      <c r="BX1527" s="35"/>
      <c r="BY1527" s="52"/>
      <c r="BZ1527" s="53"/>
      <c r="CA1527" s="53"/>
      <c r="CB1527" s="93" t="str">
        <f>IF(OR(C1527="",A1527="",B1527=""),"",TEXT(C1527,"0000")&amp;TEXT(A1527,"00")&amp;TEXT(B1527,"00"))</f>
        <v>20140517</v>
      </c>
    </row>
    <row r="1528" spans="1:80" s="46" customFormat="1" ht="13.35" customHeight="1" x14ac:dyDescent="0.2">
      <c r="A1528" s="46">
        <v>1</v>
      </c>
      <c r="B1528" s="46">
        <v>20</v>
      </c>
      <c r="C1528" s="46">
        <v>2015</v>
      </c>
      <c r="D1528" s="46" t="s">
        <v>658</v>
      </c>
      <c r="E1528" s="46" t="s">
        <v>222</v>
      </c>
      <c r="F1528" s="46" t="s">
        <v>1327</v>
      </c>
      <c r="H1528" s="46" t="s">
        <v>1011</v>
      </c>
      <c r="I1528" s="46">
        <v>1</v>
      </c>
      <c r="J1528" s="64">
        <v>42024</v>
      </c>
      <c r="K1528" s="46" t="s">
        <v>588</v>
      </c>
      <c r="L1528" s="46" t="s">
        <v>1014</v>
      </c>
      <c r="M1528" s="46" t="s">
        <v>816</v>
      </c>
      <c r="N1528" s="49">
        <v>1</v>
      </c>
      <c r="O1528" s="49">
        <v>1</v>
      </c>
      <c r="P1528" s="46" t="s">
        <v>1141</v>
      </c>
      <c r="Q1528" s="46" t="s">
        <v>588</v>
      </c>
      <c r="R1528" s="46" t="s">
        <v>376</v>
      </c>
      <c r="AA1528" s="77">
        <v>1</v>
      </c>
      <c r="AB1528" s="77">
        <v>1</v>
      </c>
      <c r="AC1528" s="78">
        <v>0</v>
      </c>
      <c r="AD1528" s="46" t="s">
        <v>1033</v>
      </c>
      <c r="AE1528" s="50">
        <f>IF(L1528="W",1,0)</f>
        <v>0</v>
      </c>
      <c r="AF1528" s="50">
        <f>IF(L1528="T",1,0)</f>
        <v>1</v>
      </c>
      <c r="AG1528" s="50">
        <f>IF(L1528="L",1,0)</f>
        <v>0</v>
      </c>
      <c r="AH1528" s="46" t="s">
        <v>588</v>
      </c>
      <c r="AI1528" s="46" t="s">
        <v>1175</v>
      </c>
      <c r="AJ1528" s="46" t="s">
        <v>376</v>
      </c>
      <c r="AK1528" s="46" t="s">
        <v>658</v>
      </c>
      <c r="AL1528" s="46" t="s">
        <v>1017</v>
      </c>
      <c r="AM1528" s="46" t="s">
        <v>1018</v>
      </c>
      <c r="AN1528" s="46" t="s">
        <v>376</v>
      </c>
      <c r="AO1528" s="46" t="s">
        <v>658</v>
      </c>
      <c r="AQ1528" s="46">
        <v>2</v>
      </c>
      <c r="AU1528" s="46" t="s">
        <v>376</v>
      </c>
      <c r="AW1528" s="46" t="s">
        <v>30</v>
      </c>
      <c r="AZ1528" s="46" t="s">
        <v>30</v>
      </c>
      <c r="BB1528" s="51"/>
      <c r="BF1528" s="46">
        <v>1</v>
      </c>
      <c r="BG1528" s="46">
        <v>1</v>
      </c>
      <c r="BH1528" s="46">
        <v>1</v>
      </c>
      <c r="BI1528" s="46" t="s">
        <v>588</v>
      </c>
      <c r="BJ1528" s="46" t="s">
        <v>816</v>
      </c>
      <c r="BK1528" s="46">
        <v>2015</v>
      </c>
      <c r="BL1528" s="46" t="str">
        <f>BK1528&amp;BI1528</f>
        <v>2015Liverpool</v>
      </c>
      <c r="BM1528" s="52" t="s">
        <v>588</v>
      </c>
      <c r="BV1528" s="46" t="s">
        <v>376</v>
      </c>
      <c r="BW1528" s="46" t="s">
        <v>376</v>
      </c>
      <c r="BY1528" s="52"/>
      <c r="BZ1528" s="53"/>
      <c r="CA1528" s="53"/>
      <c r="CB1528" s="93" t="str">
        <f>IF(OR(C1528="",A1528="",B1528=""),"",TEXT(C1528,"0000")&amp;TEXT(A1528,"00")&amp;TEXT(B1528,"00"))</f>
        <v>20150120</v>
      </c>
    </row>
    <row r="1529" spans="1:80" s="46" customFormat="1" ht="13.35" customHeight="1" x14ac:dyDescent="0.2">
      <c r="A1529" s="46">
        <v>1</v>
      </c>
      <c r="B1529" s="46">
        <v>20</v>
      </c>
      <c r="C1529" s="46">
        <v>2015</v>
      </c>
      <c r="D1529" s="46" t="s">
        <v>658</v>
      </c>
      <c r="E1529" s="46" t="s">
        <v>222</v>
      </c>
      <c r="F1529" s="46" t="s">
        <v>1327</v>
      </c>
      <c r="H1529" s="46" t="s">
        <v>1011</v>
      </c>
      <c r="I1529" s="46">
        <v>1</v>
      </c>
      <c r="J1529" s="64">
        <v>42024</v>
      </c>
      <c r="K1529" s="46" t="s">
        <v>816</v>
      </c>
      <c r="L1529" s="46" t="s">
        <v>1014</v>
      </c>
      <c r="M1529" s="46" t="s">
        <v>588</v>
      </c>
      <c r="N1529" s="49">
        <v>1</v>
      </c>
      <c r="O1529" s="49">
        <v>1</v>
      </c>
      <c r="P1529" s="46" t="s">
        <v>1141</v>
      </c>
      <c r="Q1529" s="46" t="s">
        <v>588</v>
      </c>
      <c r="R1529" s="46" t="s">
        <v>376</v>
      </c>
      <c r="AA1529" s="77">
        <v>1</v>
      </c>
      <c r="AB1529" s="77">
        <v>1</v>
      </c>
      <c r="AC1529" s="78">
        <v>1</v>
      </c>
      <c r="AD1529" s="46" t="s">
        <v>1037</v>
      </c>
      <c r="AE1529" s="50">
        <f>IF(L1529="W",1,0)</f>
        <v>0</v>
      </c>
      <c r="AF1529" s="50">
        <f>IF(L1529="T",1,0)</f>
        <v>1</v>
      </c>
      <c r="AG1529" s="50">
        <f>IF(L1529="L",1,0)</f>
        <v>0</v>
      </c>
      <c r="AH1529" s="46" t="s">
        <v>1017</v>
      </c>
      <c r="AI1529" s="46" t="s">
        <v>1018</v>
      </c>
      <c r="AJ1529" s="46" t="s">
        <v>376</v>
      </c>
      <c r="AK1529" s="46" t="s">
        <v>658</v>
      </c>
      <c r="AL1529" s="46" t="s">
        <v>588</v>
      </c>
      <c r="AM1529" s="46" t="s">
        <v>1175</v>
      </c>
      <c r="AN1529" s="46" t="s">
        <v>376</v>
      </c>
      <c r="AO1529" s="46" t="s">
        <v>658</v>
      </c>
      <c r="AQ1529" s="46">
        <v>2</v>
      </c>
      <c r="AU1529" s="46" t="s">
        <v>376</v>
      </c>
      <c r="AW1529" s="46" t="s">
        <v>30</v>
      </c>
      <c r="AZ1529" s="46" t="s">
        <v>30</v>
      </c>
      <c r="BB1529" s="51"/>
      <c r="BF1529" s="46">
        <v>1</v>
      </c>
      <c r="BG1529" s="46">
        <v>1</v>
      </c>
      <c r="BH1529" s="46">
        <v>1</v>
      </c>
      <c r="BI1529" s="46" t="s">
        <v>816</v>
      </c>
      <c r="BJ1529" s="46" t="s">
        <v>588</v>
      </c>
      <c r="BK1529" s="46">
        <v>2015</v>
      </c>
      <c r="BL1529" s="46" t="str">
        <f>BK1529&amp;BI1529</f>
        <v>2015Chelsea</v>
      </c>
      <c r="BM1529" s="52" t="s">
        <v>588</v>
      </c>
      <c r="BV1529" s="46" t="s">
        <v>376</v>
      </c>
      <c r="BW1529" s="46" t="s">
        <v>376</v>
      </c>
      <c r="BY1529" s="52"/>
      <c r="BZ1529" s="53"/>
      <c r="CA1529" s="53"/>
      <c r="CB1529" s="93" t="str">
        <f>IF(OR(C1529="",A1529="",B1529=""),"",TEXT(C1529,"0000")&amp;TEXT(A1529,"00")&amp;TEXT(B1529,"00"))</f>
        <v>20150120</v>
      </c>
    </row>
    <row r="1530" spans="1:80" s="46" customFormat="1" ht="13.35" customHeight="1" x14ac:dyDescent="0.2">
      <c r="A1530" s="46">
        <v>1</v>
      </c>
      <c r="B1530" s="46">
        <v>21</v>
      </c>
      <c r="C1530" s="46">
        <v>2015</v>
      </c>
      <c r="D1530" s="46" t="s">
        <v>658</v>
      </c>
      <c r="E1530" s="46" t="s">
        <v>222</v>
      </c>
      <c r="F1530" s="46" t="s">
        <v>1327</v>
      </c>
      <c r="H1530" s="46" t="s">
        <v>1011</v>
      </c>
      <c r="I1530" s="46">
        <v>1</v>
      </c>
      <c r="J1530" s="64">
        <v>42025</v>
      </c>
      <c r="K1530" s="46" t="s">
        <v>813</v>
      </c>
      <c r="L1530" s="46" t="s">
        <v>3</v>
      </c>
      <c r="M1530" s="46" t="s">
        <v>1207</v>
      </c>
      <c r="N1530" s="49">
        <v>1</v>
      </c>
      <c r="O1530" s="49">
        <v>0</v>
      </c>
      <c r="P1530" s="46" t="s">
        <v>1222</v>
      </c>
      <c r="Q1530" s="46" t="s">
        <v>1017</v>
      </c>
      <c r="R1530" s="46" t="s">
        <v>376</v>
      </c>
      <c r="AA1530" s="77">
        <v>1</v>
      </c>
      <c r="AB1530" s="77">
        <v>0</v>
      </c>
      <c r="AC1530" s="78">
        <v>0</v>
      </c>
      <c r="AD1530" s="46" t="s">
        <v>1033</v>
      </c>
      <c r="AE1530" s="50">
        <f>IF(L1530="W",1,0)</f>
        <v>1</v>
      </c>
      <c r="AF1530" s="50">
        <f>IF(L1530="T",1,0)</f>
        <v>0</v>
      </c>
      <c r="AG1530" s="50">
        <f>IF(L1530="L",1,0)</f>
        <v>0</v>
      </c>
      <c r="AH1530" s="46" t="s">
        <v>1017</v>
      </c>
      <c r="AI1530" s="46" t="s">
        <v>1018</v>
      </c>
      <c r="AJ1530" s="46" t="s">
        <v>376</v>
      </c>
      <c r="AK1530" s="46" t="s">
        <v>658</v>
      </c>
      <c r="AL1530" s="46" t="s">
        <v>1097</v>
      </c>
      <c r="AM1530" s="46" t="s">
        <v>1098</v>
      </c>
      <c r="AN1530" s="46" t="s">
        <v>376</v>
      </c>
      <c r="AO1530" s="46" t="s">
        <v>658</v>
      </c>
      <c r="AQ1530" s="46">
        <v>2</v>
      </c>
      <c r="AU1530" s="46" t="s">
        <v>376</v>
      </c>
      <c r="AW1530" s="46" t="s">
        <v>30</v>
      </c>
      <c r="AZ1530" s="46" t="s">
        <v>30</v>
      </c>
      <c r="BB1530" s="51"/>
      <c r="BF1530" s="46">
        <v>1</v>
      </c>
      <c r="BG1530" s="46">
        <v>1</v>
      </c>
      <c r="BH1530" s="46">
        <v>3</v>
      </c>
      <c r="BI1530" s="46" t="s">
        <v>813</v>
      </c>
      <c r="BJ1530" s="46" t="s">
        <v>1207</v>
      </c>
      <c r="BK1530" s="46">
        <v>2015</v>
      </c>
      <c r="BL1530" s="46" t="str">
        <f>BK1530&amp;BI1530</f>
        <v>2015Tottenham Hotspur</v>
      </c>
      <c r="BM1530" s="52" t="s">
        <v>813</v>
      </c>
      <c r="BV1530" s="46" t="s">
        <v>376</v>
      </c>
      <c r="BW1530" s="46" t="s">
        <v>376</v>
      </c>
      <c r="BY1530" s="52"/>
      <c r="BZ1530" s="53"/>
      <c r="CA1530" s="53"/>
      <c r="CB1530" s="93" t="str">
        <f>IF(OR(C1530="",A1530="",B1530=""),"",TEXT(C1530,"0000")&amp;TEXT(A1530,"00")&amp;TEXT(B1530,"00"))</f>
        <v>20150121</v>
      </c>
    </row>
    <row r="1531" spans="1:80" s="46" customFormat="1" ht="13.35" customHeight="1" x14ac:dyDescent="0.2">
      <c r="A1531" s="46">
        <v>1</v>
      </c>
      <c r="B1531" s="46">
        <v>21</v>
      </c>
      <c r="C1531" s="46">
        <v>2015</v>
      </c>
      <c r="D1531" s="46" t="s">
        <v>658</v>
      </c>
      <c r="E1531" s="46" t="s">
        <v>222</v>
      </c>
      <c r="F1531" s="46" t="s">
        <v>1327</v>
      </c>
      <c r="H1531" s="46" t="s">
        <v>1011</v>
      </c>
      <c r="I1531" s="46">
        <v>1</v>
      </c>
      <c r="J1531" s="64">
        <v>42025</v>
      </c>
      <c r="K1531" s="46" t="s">
        <v>1207</v>
      </c>
      <c r="L1531" s="46" t="s">
        <v>4</v>
      </c>
      <c r="M1531" s="46" t="s">
        <v>813</v>
      </c>
      <c r="N1531" s="49">
        <v>0</v>
      </c>
      <c r="O1531" s="49">
        <v>1</v>
      </c>
      <c r="P1531" s="46" t="s">
        <v>1222</v>
      </c>
      <c r="Q1531" s="46" t="s">
        <v>1017</v>
      </c>
      <c r="R1531" s="46" t="s">
        <v>376</v>
      </c>
      <c r="AA1531" s="77">
        <v>0</v>
      </c>
      <c r="AB1531" s="77">
        <v>1</v>
      </c>
      <c r="AC1531" s="78">
        <v>0</v>
      </c>
      <c r="AD1531" s="46" t="s">
        <v>1037</v>
      </c>
      <c r="AE1531" s="50">
        <f>IF(L1531="W",1,0)</f>
        <v>0</v>
      </c>
      <c r="AF1531" s="50">
        <f>IF(L1531="T",1,0)</f>
        <v>0</v>
      </c>
      <c r="AG1531" s="50">
        <f>IF(L1531="L",1,0)</f>
        <v>1</v>
      </c>
      <c r="AH1531" s="46" t="s">
        <v>1097</v>
      </c>
      <c r="AI1531" s="46" t="s">
        <v>1098</v>
      </c>
      <c r="AJ1531" s="46" t="s">
        <v>376</v>
      </c>
      <c r="AK1531" s="46" t="s">
        <v>658</v>
      </c>
      <c r="AL1531" s="46" t="s">
        <v>1017</v>
      </c>
      <c r="AM1531" s="46" t="s">
        <v>1018</v>
      </c>
      <c r="AN1531" s="46" t="s">
        <v>376</v>
      </c>
      <c r="AO1531" s="46" t="s">
        <v>658</v>
      </c>
      <c r="AQ1531" s="46">
        <v>2</v>
      </c>
      <c r="AU1531" s="46" t="s">
        <v>376</v>
      </c>
      <c r="AW1531" s="46" t="s">
        <v>30</v>
      </c>
      <c r="AZ1531" s="46" t="s">
        <v>30</v>
      </c>
      <c r="BB1531" s="51"/>
      <c r="BF1531" s="46">
        <v>1</v>
      </c>
      <c r="BG1531" s="46">
        <v>3</v>
      </c>
      <c r="BH1531" s="46">
        <v>1</v>
      </c>
      <c r="BI1531" s="46" t="s">
        <v>1207</v>
      </c>
      <c r="BJ1531" s="46" t="s">
        <v>813</v>
      </c>
      <c r="BK1531" s="46">
        <v>2015</v>
      </c>
      <c r="BL1531" s="46" t="str">
        <f>BK1531&amp;BI1531</f>
        <v>2015Sheffield United</v>
      </c>
      <c r="BM1531" s="52" t="s">
        <v>813</v>
      </c>
      <c r="BV1531" s="46" t="s">
        <v>376</v>
      </c>
      <c r="BW1531" s="46" t="s">
        <v>376</v>
      </c>
      <c r="BY1531" s="52"/>
      <c r="BZ1531" s="53"/>
      <c r="CA1531" s="53"/>
      <c r="CB1531" s="93" t="str">
        <f>IF(OR(C1531="",A1531="",B1531=""),"",TEXT(C1531,"0000")&amp;TEXT(A1531,"00")&amp;TEXT(B1531,"00"))</f>
        <v>20150121</v>
      </c>
    </row>
    <row r="1532" spans="1:80" s="46" customFormat="1" ht="13.35" customHeight="1" x14ac:dyDescent="0.2">
      <c r="A1532" s="46">
        <v>1</v>
      </c>
      <c r="B1532" s="46">
        <v>27</v>
      </c>
      <c r="C1532" s="46">
        <v>2015</v>
      </c>
      <c r="D1532" s="46" t="s">
        <v>658</v>
      </c>
      <c r="E1532" s="46" t="s">
        <v>222</v>
      </c>
      <c r="F1532" s="46" t="s">
        <v>1327</v>
      </c>
      <c r="H1532" s="46" t="s">
        <v>1011</v>
      </c>
      <c r="I1532" s="46">
        <v>2</v>
      </c>
      <c r="J1532" s="64">
        <v>42031</v>
      </c>
      <c r="K1532" s="46" t="s">
        <v>816</v>
      </c>
      <c r="L1532" s="46" t="s">
        <v>3</v>
      </c>
      <c r="M1532" s="46" t="s">
        <v>588</v>
      </c>
      <c r="N1532" s="49">
        <v>1</v>
      </c>
      <c r="O1532" s="49">
        <v>0</v>
      </c>
      <c r="P1532" s="46" t="s">
        <v>1234</v>
      </c>
      <c r="Q1532" s="46" t="s">
        <v>1017</v>
      </c>
      <c r="R1532" s="46" t="s">
        <v>376</v>
      </c>
      <c r="S1532" s="46" t="s">
        <v>1396</v>
      </c>
      <c r="AA1532" s="77">
        <v>2</v>
      </c>
      <c r="AB1532" s="77">
        <v>1</v>
      </c>
      <c r="AC1532" s="78">
        <v>1</v>
      </c>
      <c r="AD1532" s="46" t="s">
        <v>1033</v>
      </c>
      <c r="AE1532" s="50">
        <f>IF(L1532="W",1,0)</f>
        <v>1</v>
      </c>
      <c r="AF1532" s="50">
        <f>IF(L1532="T",1,0)</f>
        <v>0</v>
      </c>
      <c r="AG1532" s="50">
        <f>IF(L1532="L",1,0)</f>
        <v>0</v>
      </c>
      <c r="AH1532" s="46" t="s">
        <v>1017</v>
      </c>
      <c r="AI1532" s="46" t="s">
        <v>1018</v>
      </c>
      <c r="AJ1532" s="46" t="s">
        <v>376</v>
      </c>
      <c r="AK1532" s="46" t="s">
        <v>658</v>
      </c>
      <c r="AL1532" s="46" t="s">
        <v>588</v>
      </c>
      <c r="AM1532" s="46" t="s">
        <v>1175</v>
      </c>
      <c r="AN1532" s="46" t="s">
        <v>376</v>
      </c>
      <c r="AO1532" s="46" t="s">
        <v>658</v>
      </c>
      <c r="AQ1532" s="46">
        <v>2</v>
      </c>
      <c r="AU1532" s="46" t="s">
        <v>376</v>
      </c>
      <c r="AW1532" s="46" t="s">
        <v>30</v>
      </c>
      <c r="AZ1532" s="46" t="s">
        <v>30</v>
      </c>
      <c r="BB1532" s="51"/>
      <c r="BF1532" s="46">
        <v>1</v>
      </c>
      <c r="BG1532" s="46">
        <v>1</v>
      </c>
      <c r="BH1532" s="46">
        <v>1</v>
      </c>
      <c r="BI1532" s="46" t="s">
        <v>816</v>
      </c>
      <c r="BJ1532" s="46" t="s">
        <v>588</v>
      </c>
      <c r="BK1532" s="46">
        <v>2015</v>
      </c>
      <c r="BL1532" s="46" t="str">
        <f>BK1532&amp;BI1532</f>
        <v>2015Chelsea</v>
      </c>
      <c r="BM1532" s="52" t="s">
        <v>816</v>
      </c>
      <c r="BV1532" s="46" t="s">
        <v>376</v>
      </c>
      <c r="BW1532" s="46" t="s">
        <v>376</v>
      </c>
      <c r="BY1532" s="52"/>
      <c r="BZ1532" s="53"/>
      <c r="CA1532" s="53"/>
      <c r="CB1532" s="93" t="str">
        <f>IF(OR(C1532="",A1532="",B1532=""),"",TEXT(C1532,"0000")&amp;TEXT(A1532,"00")&amp;TEXT(B1532,"00"))</f>
        <v>20150127</v>
      </c>
    </row>
    <row r="1533" spans="1:80" s="46" customFormat="1" ht="13.35" customHeight="1" x14ac:dyDescent="0.2">
      <c r="A1533" s="46">
        <v>1</v>
      </c>
      <c r="B1533" s="46">
        <v>27</v>
      </c>
      <c r="C1533" s="46">
        <v>2015</v>
      </c>
      <c r="D1533" s="46" t="s">
        <v>658</v>
      </c>
      <c r="E1533" s="46" t="s">
        <v>222</v>
      </c>
      <c r="F1533" s="46" t="s">
        <v>1327</v>
      </c>
      <c r="H1533" s="46" t="s">
        <v>1011</v>
      </c>
      <c r="I1533" s="46">
        <v>2</v>
      </c>
      <c r="J1533" s="64">
        <v>42031</v>
      </c>
      <c r="K1533" s="46" t="s">
        <v>588</v>
      </c>
      <c r="L1533" s="46" t="s">
        <v>4</v>
      </c>
      <c r="M1533" s="46" t="s">
        <v>816</v>
      </c>
      <c r="N1533" s="49">
        <v>0</v>
      </c>
      <c r="O1533" s="49">
        <v>1</v>
      </c>
      <c r="P1533" s="46" t="s">
        <v>1234</v>
      </c>
      <c r="Q1533" s="46" t="s">
        <v>1017</v>
      </c>
      <c r="R1533" s="46" t="s">
        <v>376</v>
      </c>
      <c r="S1533" s="46" t="s">
        <v>1396</v>
      </c>
      <c r="AA1533" s="77">
        <v>1</v>
      </c>
      <c r="AB1533" s="77">
        <v>2</v>
      </c>
      <c r="AC1533" s="78">
        <v>0</v>
      </c>
      <c r="AD1533" s="46" t="s">
        <v>1037</v>
      </c>
      <c r="AE1533" s="50">
        <f>IF(L1533="W",1,0)</f>
        <v>0</v>
      </c>
      <c r="AF1533" s="50">
        <f>IF(L1533="T",1,0)</f>
        <v>0</v>
      </c>
      <c r="AG1533" s="50">
        <f>IF(L1533="L",1,0)</f>
        <v>1</v>
      </c>
      <c r="AH1533" s="46" t="s">
        <v>588</v>
      </c>
      <c r="AI1533" s="46" t="s">
        <v>1175</v>
      </c>
      <c r="AJ1533" s="46" t="s">
        <v>376</v>
      </c>
      <c r="AK1533" s="46" t="s">
        <v>658</v>
      </c>
      <c r="AL1533" s="46" t="s">
        <v>1017</v>
      </c>
      <c r="AM1533" s="46" t="s">
        <v>1018</v>
      </c>
      <c r="AN1533" s="46" t="s">
        <v>376</v>
      </c>
      <c r="AO1533" s="46" t="s">
        <v>658</v>
      </c>
      <c r="AQ1533" s="46">
        <v>2</v>
      </c>
      <c r="AS1533" s="46">
        <v>1</v>
      </c>
      <c r="AU1533" s="46" t="s">
        <v>376</v>
      </c>
      <c r="AW1533" s="46" t="s">
        <v>30</v>
      </c>
      <c r="AZ1533" s="46" t="s">
        <v>30</v>
      </c>
      <c r="BB1533" s="51"/>
      <c r="BF1533" s="46">
        <v>1</v>
      </c>
      <c r="BG1533" s="46">
        <v>1</v>
      </c>
      <c r="BH1533" s="46">
        <v>1</v>
      </c>
      <c r="BI1533" s="46" t="s">
        <v>588</v>
      </c>
      <c r="BJ1533" s="46" t="s">
        <v>816</v>
      </c>
      <c r="BK1533" s="46">
        <v>2015</v>
      </c>
      <c r="BL1533" s="46" t="str">
        <f>BK1533&amp;BI1533</f>
        <v>2015Liverpool</v>
      </c>
      <c r="BM1533" s="52" t="s">
        <v>816</v>
      </c>
      <c r="BV1533" s="46" t="s">
        <v>376</v>
      </c>
      <c r="BW1533" s="46" t="s">
        <v>376</v>
      </c>
      <c r="BY1533" s="52"/>
      <c r="BZ1533" s="53"/>
      <c r="CA1533" s="53"/>
      <c r="CB1533" s="93" t="str">
        <f>IF(OR(C1533="",A1533="",B1533=""),"",TEXT(C1533,"0000")&amp;TEXT(A1533,"00")&amp;TEXT(B1533,"00"))</f>
        <v>20150127</v>
      </c>
    </row>
    <row r="1534" spans="1:80" s="46" customFormat="1" ht="13.35" customHeight="1" x14ac:dyDescent="0.2">
      <c r="A1534" s="46">
        <v>1</v>
      </c>
      <c r="B1534" s="46">
        <v>28</v>
      </c>
      <c r="C1534" s="46">
        <v>2015</v>
      </c>
      <c r="D1534" s="46" t="s">
        <v>658</v>
      </c>
      <c r="E1534" s="46" t="s">
        <v>222</v>
      </c>
      <c r="F1534" s="46" t="s">
        <v>1327</v>
      </c>
      <c r="H1534" s="46" t="s">
        <v>1011</v>
      </c>
      <c r="I1534" s="46">
        <v>2</v>
      </c>
      <c r="J1534" s="64">
        <v>42032</v>
      </c>
      <c r="K1534" s="46" t="s">
        <v>1207</v>
      </c>
      <c r="L1534" s="46" t="s">
        <v>1014</v>
      </c>
      <c r="M1534" s="46" t="s">
        <v>813</v>
      </c>
      <c r="N1534" s="49">
        <v>2</v>
      </c>
      <c r="O1534" s="49">
        <v>2</v>
      </c>
      <c r="P1534" s="46" t="s">
        <v>1163</v>
      </c>
      <c r="Q1534" s="46" t="s">
        <v>1097</v>
      </c>
      <c r="R1534" s="46" t="s">
        <v>376</v>
      </c>
      <c r="AA1534" s="77">
        <v>2</v>
      </c>
      <c r="AB1534" s="77">
        <v>3</v>
      </c>
      <c r="AC1534" s="78">
        <v>0</v>
      </c>
      <c r="AD1534" s="46" t="s">
        <v>1033</v>
      </c>
      <c r="AE1534" s="50">
        <f>IF(L1534="W",1,0)</f>
        <v>0</v>
      </c>
      <c r="AF1534" s="50">
        <f>IF(L1534="T",1,0)</f>
        <v>1</v>
      </c>
      <c r="AG1534" s="50">
        <f>IF(L1534="L",1,0)</f>
        <v>0</v>
      </c>
      <c r="AH1534" s="46" t="s">
        <v>1097</v>
      </c>
      <c r="AI1534" s="46" t="s">
        <v>1098</v>
      </c>
      <c r="AJ1534" s="46" t="s">
        <v>376</v>
      </c>
      <c r="AK1534" s="46" t="s">
        <v>658</v>
      </c>
      <c r="AL1534" s="46" t="s">
        <v>1017</v>
      </c>
      <c r="AM1534" s="46" t="s">
        <v>1018</v>
      </c>
      <c r="AN1534" s="46" t="s">
        <v>376</v>
      </c>
      <c r="AO1534" s="46" t="s">
        <v>658</v>
      </c>
      <c r="AQ1534" s="46">
        <v>2</v>
      </c>
      <c r="AS1534" s="46">
        <v>1</v>
      </c>
      <c r="AU1534" s="46" t="s">
        <v>376</v>
      </c>
      <c r="AW1534" s="46" t="s">
        <v>30</v>
      </c>
      <c r="AZ1534" s="46" t="s">
        <v>30</v>
      </c>
      <c r="BB1534" s="51"/>
      <c r="BF1534" s="46">
        <v>1</v>
      </c>
      <c r="BG1534" s="46">
        <v>3</v>
      </c>
      <c r="BH1534" s="46">
        <v>1</v>
      </c>
      <c r="BI1534" s="46" t="s">
        <v>1207</v>
      </c>
      <c r="BJ1534" s="46" t="s">
        <v>813</v>
      </c>
      <c r="BK1534" s="46">
        <v>2015</v>
      </c>
      <c r="BL1534" s="46" t="str">
        <f>BK1534&amp;BI1534</f>
        <v>2015Sheffield United</v>
      </c>
      <c r="BM1534" s="52" t="s">
        <v>1207</v>
      </c>
      <c r="BV1534" s="46" t="s">
        <v>376</v>
      </c>
      <c r="BW1534" s="46" t="s">
        <v>376</v>
      </c>
      <c r="BY1534" s="50"/>
      <c r="BZ1534" s="53"/>
      <c r="CA1534" s="53"/>
      <c r="CB1534" s="93" t="str">
        <f>IF(OR(C1534="",A1534="",B1534=""),"",TEXT(C1534,"0000")&amp;TEXT(A1534,"00")&amp;TEXT(B1534,"00"))</f>
        <v>20150128</v>
      </c>
    </row>
    <row r="1535" spans="1:80" s="46" customFormat="1" ht="13.35" customHeight="1" x14ac:dyDescent="0.2">
      <c r="A1535" s="46">
        <v>1</v>
      </c>
      <c r="B1535" s="46">
        <v>28</v>
      </c>
      <c r="C1535" s="46">
        <v>2015</v>
      </c>
      <c r="D1535" s="46" t="s">
        <v>658</v>
      </c>
      <c r="E1535" s="46" t="s">
        <v>222</v>
      </c>
      <c r="F1535" s="46" t="s">
        <v>1327</v>
      </c>
      <c r="H1535" s="46" t="s">
        <v>1011</v>
      </c>
      <c r="I1535" s="46">
        <v>2</v>
      </c>
      <c r="J1535" s="64">
        <v>42032</v>
      </c>
      <c r="K1535" s="46" t="s">
        <v>813</v>
      </c>
      <c r="L1535" s="46" t="s">
        <v>1014</v>
      </c>
      <c r="M1535" s="46" t="s">
        <v>1207</v>
      </c>
      <c r="N1535" s="49">
        <v>2</v>
      </c>
      <c r="O1535" s="49">
        <v>2</v>
      </c>
      <c r="P1535" s="46" t="s">
        <v>1163</v>
      </c>
      <c r="Q1535" s="46" t="s">
        <v>1097</v>
      </c>
      <c r="R1535" s="46" t="s">
        <v>376</v>
      </c>
      <c r="AA1535" s="77">
        <v>3</v>
      </c>
      <c r="AB1535" s="77">
        <v>2</v>
      </c>
      <c r="AC1535" s="78">
        <v>2</v>
      </c>
      <c r="AD1535" s="46" t="s">
        <v>1037</v>
      </c>
      <c r="AE1535" s="50">
        <f>IF(L1535="W",1,0)</f>
        <v>0</v>
      </c>
      <c r="AF1535" s="50">
        <f>IF(L1535="T",1,0)</f>
        <v>1</v>
      </c>
      <c r="AG1535" s="50">
        <f>IF(L1535="L",1,0)</f>
        <v>0</v>
      </c>
      <c r="AH1535" s="46" t="s">
        <v>1017</v>
      </c>
      <c r="AI1535" s="46" t="s">
        <v>1018</v>
      </c>
      <c r="AJ1535" s="46" t="s">
        <v>376</v>
      </c>
      <c r="AK1535" s="46" t="s">
        <v>658</v>
      </c>
      <c r="AL1535" s="46" t="s">
        <v>1097</v>
      </c>
      <c r="AM1535" s="46" t="s">
        <v>1098</v>
      </c>
      <c r="AN1535" s="46" t="s">
        <v>376</v>
      </c>
      <c r="AO1535" s="46" t="s">
        <v>658</v>
      </c>
      <c r="AQ1535" s="46">
        <v>2</v>
      </c>
      <c r="AU1535" s="46" t="s">
        <v>376</v>
      </c>
      <c r="AW1535" s="46" t="s">
        <v>30</v>
      </c>
      <c r="AZ1535" s="46" t="s">
        <v>30</v>
      </c>
      <c r="BB1535" s="51"/>
      <c r="BF1535" s="46">
        <v>1</v>
      </c>
      <c r="BG1535" s="46">
        <v>1</v>
      </c>
      <c r="BH1535" s="46">
        <v>3</v>
      </c>
      <c r="BI1535" s="46" t="s">
        <v>813</v>
      </c>
      <c r="BJ1535" s="46" t="s">
        <v>1207</v>
      </c>
      <c r="BK1535" s="46">
        <v>2015</v>
      </c>
      <c r="BL1535" s="46" t="str">
        <f>BK1535&amp;BI1535</f>
        <v>2015Tottenham Hotspur</v>
      </c>
      <c r="BM1535" s="52" t="s">
        <v>1207</v>
      </c>
      <c r="BV1535" s="46" t="s">
        <v>376</v>
      </c>
      <c r="BW1535" s="46" t="s">
        <v>376</v>
      </c>
      <c r="BY1535" s="50"/>
      <c r="BZ1535" s="53"/>
      <c r="CA1535" s="53"/>
      <c r="CB1535" s="93" t="str">
        <f>IF(OR(C1535="",A1535="",B1535=""),"",TEXT(C1535,"0000")&amp;TEXT(A1535,"00")&amp;TEXT(B1535,"00"))</f>
        <v>20150128</v>
      </c>
    </row>
    <row r="1536" spans="1:80" s="46" customFormat="1" ht="13.35" customHeight="1" x14ac:dyDescent="0.2">
      <c r="A1536" s="46">
        <v>3</v>
      </c>
      <c r="B1536" s="46">
        <v>1</v>
      </c>
      <c r="C1536" s="46">
        <v>2015</v>
      </c>
      <c r="D1536" s="46" t="s">
        <v>658</v>
      </c>
      <c r="E1536" s="46" t="s">
        <v>222</v>
      </c>
      <c r="F1536" s="46" t="s">
        <v>1327</v>
      </c>
      <c r="H1536" s="46" t="s">
        <v>40</v>
      </c>
      <c r="J1536" s="64">
        <v>42064</v>
      </c>
      <c r="K1536" s="46" t="s">
        <v>816</v>
      </c>
      <c r="L1536" s="46" t="s">
        <v>3</v>
      </c>
      <c r="M1536" s="46" t="s">
        <v>813</v>
      </c>
      <c r="N1536" s="49">
        <v>2</v>
      </c>
      <c r="O1536" s="49">
        <v>0</v>
      </c>
      <c r="P1536" s="46" t="s">
        <v>1415</v>
      </c>
      <c r="Q1536" s="46" t="s">
        <v>1017</v>
      </c>
      <c r="R1536" s="46" t="s">
        <v>376</v>
      </c>
      <c r="AE1536" s="50">
        <f>IF(L1536="W",1,0)</f>
        <v>1</v>
      </c>
      <c r="AF1536" s="50">
        <f>IF(L1536="T",1,0)</f>
        <v>0</v>
      </c>
      <c r="AG1536" s="50">
        <f>IF(L1536="L",1,0)</f>
        <v>0</v>
      </c>
      <c r="AH1536" s="46" t="s">
        <v>1017</v>
      </c>
      <c r="AI1536" s="46" t="s">
        <v>1018</v>
      </c>
      <c r="AJ1536" s="46" t="s">
        <v>376</v>
      </c>
      <c r="AK1536" s="46" t="s">
        <v>658</v>
      </c>
      <c r="AL1536" s="46" t="s">
        <v>1017</v>
      </c>
      <c r="AM1536" s="46" t="s">
        <v>1018</v>
      </c>
      <c r="AN1536" s="46" t="s">
        <v>376</v>
      </c>
      <c r="AO1536" s="46" t="s">
        <v>658</v>
      </c>
      <c r="AQ1536" s="46">
        <v>1</v>
      </c>
      <c r="AS1536" s="46" t="s">
        <v>1393</v>
      </c>
      <c r="AU1536" s="46" t="s">
        <v>376</v>
      </c>
      <c r="AW1536" s="46" t="s">
        <v>30</v>
      </c>
      <c r="AZ1536" s="49" t="s">
        <v>30</v>
      </c>
      <c r="BB1536" s="51" t="s">
        <v>30</v>
      </c>
      <c r="BC1536" s="46" t="s">
        <v>30</v>
      </c>
      <c r="BF1536" s="46">
        <v>1</v>
      </c>
      <c r="BG1536" s="46">
        <v>1</v>
      </c>
      <c r="BH1536" s="46">
        <v>1</v>
      </c>
      <c r="BI1536" s="46" t="s">
        <v>816</v>
      </c>
      <c r="BJ1536" s="46" t="s">
        <v>813</v>
      </c>
      <c r="BK1536" s="46">
        <v>2015</v>
      </c>
      <c r="BL1536" s="46" t="str">
        <f>BK1536&amp;BI1536</f>
        <v>2015Chelsea</v>
      </c>
      <c r="BM1536" s="52" t="s">
        <v>1017</v>
      </c>
      <c r="BV1536" s="46" t="s">
        <v>376</v>
      </c>
      <c r="BW1536" s="46" t="s">
        <v>376</v>
      </c>
      <c r="BY1536" s="52"/>
      <c r="BZ1536" s="53"/>
      <c r="CA1536" s="53"/>
      <c r="CB1536" s="93" t="str">
        <f>IF(OR(C1536="",A1536="",B1536=""),"",TEXT(C1536,"0000")&amp;TEXT(A1536,"00")&amp;TEXT(B1536,"00"))</f>
        <v>20150301</v>
      </c>
    </row>
    <row r="1537" spans="1:80" s="46" customFormat="1" ht="13.35" customHeight="1" x14ac:dyDescent="0.2">
      <c r="A1537" s="46">
        <v>3</v>
      </c>
      <c r="B1537" s="46">
        <v>1</v>
      </c>
      <c r="C1537" s="46">
        <v>2015</v>
      </c>
      <c r="D1537" s="46" t="s">
        <v>658</v>
      </c>
      <c r="E1537" s="46" t="s">
        <v>222</v>
      </c>
      <c r="F1537" s="46" t="s">
        <v>1327</v>
      </c>
      <c r="H1537" s="46" t="s">
        <v>40</v>
      </c>
      <c r="J1537" s="64">
        <v>42064</v>
      </c>
      <c r="K1537" s="46" t="s">
        <v>813</v>
      </c>
      <c r="L1537" s="46" t="s">
        <v>4</v>
      </c>
      <c r="M1537" s="46" t="s">
        <v>816</v>
      </c>
      <c r="N1537" s="49">
        <v>0</v>
      </c>
      <c r="O1537" s="49">
        <v>2</v>
      </c>
      <c r="P1537" s="46" t="s">
        <v>1415</v>
      </c>
      <c r="Q1537" s="46" t="s">
        <v>1017</v>
      </c>
      <c r="R1537" s="46" t="s">
        <v>376</v>
      </c>
      <c r="AE1537" s="50">
        <f>IF(L1537="W",1,0)</f>
        <v>0</v>
      </c>
      <c r="AF1537" s="50">
        <f>IF(L1537="T",1,0)</f>
        <v>0</v>
      </c>
      <c r="AG1537" s="50">
        <f>IF(L1537="L",1,0)</f>
        <v>1</v>
      </c>
      <c r="AH1537" s="46" t="s">
        <v>1017</v>
      </c>
      <c r="AI1537" s="46" t="s">
        <v>1018</v>
      </c>
      <c r="AJ1537" s="46" t="s">
        <v>376</v>
      </c>
      <c r="AK1537" s="46" t="s">
        <v>658</v>
      </c>
      <c r="AL1537" s="46" t="s">
        <v>1017</v>
      </c>
      <c r="AM1537" s="46" t="s">
        <v>1018</v>
      </c>
      <c r="AN1537" s="46" t="s">
        <v>376</v>
      </c>
      <c r="AO1537" s="46" t="s">
        <v>658</v>
      </c>
      <c r="AQ1537" s="46">
        <v>1</v>
      </c>
      <c r="AS1537" s="46">
        <v>1</v>
      </c>
      <c r="AU1537" s="46" t="s">
        <v>376</v>
      </c>
      <c r="AW1537" s="46" t="s">
        <v>30</v>
      </c>
      <c r="AZ1537" s="46" t="s">
        <v>30</v>
      </c>
      <c r="BB1537" s="51"/>
      <c r="BC1537" s="46" t="s">
        <v>30</v>
      </c>
      <c r="BF1537" s="46">
        <v>1</v>
      </c>
      <c r="BG1537" s="46">
        <v>1</v>
      </c>
      <c r="BH1537" s="46">
        <v>1</v>
      </c>
      <c r="BI1537" s="46" t="s">
        <v>813</v>
      </c>
      <c r="BJ1537" s="46" t="s">
        <v>816</v>
      </c>
      <c r="BK1537" s="46">
        <v>2015</v>
      </c>
      <c r="BL1537" s="46" t="str">
        <f>BK1537&amp;BI1537</f>
        <v>2015Tottenham Hotspur</v>
      </c>
      <c r="BM1537" s="52" t="s">
        <v>1017</v>
      </c>
      <c r="BV1537" s="46" t="s">
        <v>376</v>
      </c>
      <c r="BW1537" s="46" t="s">
        <v>376</v>
      </c>
      <c r="BY1537" s="52"/>
      <c r="BZ1537" s="53"/>
      <c r="CA1537" s="53"/>
      <c r="CB1537" s="93" t="str">
        <f>IF(OR(C1537="",A1537="",B1537=""),"",TEXT(C1537,"0000")&amp;TEXT(A1537,"00")&amp;TEXT(B1537,"00"))</f>
        <v>20150301</v>
      </c>
    </row>
    <row r="1538" spans="1:80" s="46" customFormat="1" ht="13.35" customHeight="1" x14ac:dyDescent="0.2">
      <c r="A1538" s="46">
        <v>4</v>
      </c>
      <c r="B1538" s="46">
        <v>18</v>
      </c>
      <c r="C1538" s="46">
        <v>2015</v>
      </c>
      <c r="D1538" s="46" t="s">
        <v>658</v>
      </c>
      <c r="E1538" s="46" t="s">
        <v>222</v>
      </c>
      <c r="F1538" s="46" t="s">
        <v>1010</v>
      </c>
      <c r="H1538" s="46" t="s">
        <v>1011</v>
      </c>
      <c r="J1538" s="64">
        <v>42112</v>
      </c>
      <c r="K1538" s="52" t="s">
        <v>587</v>
      </c>
      <c r="L1538" s="46" t="s">
        <v>3</v>
      </c>
      <c r="M1538" s="52" t="s">
        <v>1217</v>
      </c>
      <c r="N1538" s="49">
        <v>2</v>
      </c>
      <c r="O1538" s="49">
        <v>1</v>
      </c>
      <c r="P1538" s="46" t="s">
        <v>1415</v>
      </c>
      <c r="Q1538" s="46" t="s">
        <v>1017</v>
      </c>
      <c r="R1538" s="46" t="s">
        <v>376</v>
      </c>
      <c r="S1538" s="46" t="s">
        <v>1396</v>
      </c>
      <c r="AE1538" s="50">
        <f>IF(L1538="W",1,0)</f>
        <v>1</v>
      </c>
      <c r="AF1538" s="50">
        <f>IF(L1538="T",1,0)</f>
        <v>0</v>
      </c>
      <c r="AG1538" s="50">
        <f>IF(L1538="L",1,0)</f>
        <v>0</v>
      </c>
      <c r="AH1538" s="46" t="s">
        <v>1017</v>
      </c>
      <c r="AI1538" s="46" t="s">
        <v>1018</v>
      </c>
      <c r="AJ1538" s="46" t="s">
        <v>376</v>
      </c>
      <c r="AK1538" s="46" t="s">
        <v>658</v>
      </c>
      <c r="AL1538" s="46" t="s">
        <v>1217</v>
      </c>
      <c r="AM1538" s="46" t="s">
        <v>1036</v>
      </c>
      <c r="AN1538" s="46" t="s">
        <v>376</v>
      </c>
      <c r="AO1538" s="46" t="s">
        <v>658</v>
      </c>
      <c r="AQ1538" s="46">
        <v>2</v>
      </c>
      <c r="AU1538" s="46" t="s">
        <v>376</v>
      </c>
      <c r="AW1538" s="46" t="s">
        <v>30</v>
      </c>
      <c r="AY1538" s="46" t="s">
        <v>30</v>
      </c>
      <c r="BB1538" s="51"/>
      <c r="BF1538" s="46">
        <v>1</v>
      </c>
      <c r="BG1538" s="46">
        <v>1</v>
      </c>
      <c r="BH1538" s="46">
        <v>2</v>
      </c>
      <c r="BI1538" s="46" t="s">
        <v>587</v>
      </c>
      <c r="BJ1538" s="46" t="s">
        <v>1217</v>
      </c>
      <c r="BK1538" s="46">
        <v>2015</v>
      </c>
      <c r="BL1538" s="46" t="str">
        <f>BK1538&amp;BI1538</f>
        <v>2015Arsenal</v>
      </c>
      <c r="BM1538" s="52" t="s">
        <v>1017</v>
      </c>
      <c r="BV1538" s="46" t="s">
        <v>376</v>
      </c>
      <c r="BW1538" s="46" t="s">
        <v>376</v>
      </c>
      <c r="BY1538" s="52"/>
      <c r="BZ1538" s="53"/>
      <c r="CA1538" s="53"/>
      <c r="CB1538" s="93" t="str">
        <f>IF(OR(C1538="",A1538="",B1538=""),"",TEXT(C1538,"0000")&amp;TEXT(A1538,"00")&amp;TEXT(B1538,"00"))</f>
        <v>20150418</v>
      </c>
    </row>
    <row r="1539" spans="1:80" s="46" customFormat="1" ht="13.35" customHeight="1" x14ac:dyDescent="0.2">
      <c r="A1539" s="46">
        <v>4</v>
      </c>
      <c r="B1539" s="46">
        <v>18</v>
      </c>
      <c r="C1539" s="46">
        <v>2015</v>
      </c>
      <c r="D1539" s="46" t="s">
        <v>658</v>
      </c>
      <c r="E1539" s="46" t="s">
        <v>222</v>
      </c>
      <c r="F1539" s="46" t="s">
        <v>1010</v>
      </c>
      <c r="H1539" s="46" t="s">
        <v>1011</v>
      </c>
      <c r="J1539" s="64">
        <v>42112</v>
      </c>
      <c r="K1539" s="52" t="s">
        <v>1217</v>
      </c>
      <c r="L1539" s="46" t="s">
        <v>4</v>
      </c>
      <c r="M1539" s="52" t="s">
        <v>587</v>
      </c>
      <c r="N1539" s="49">
        <v>1</v>
      </c>
      <c r="O1539" s="49">
        <v>2</v>
      </c>
      <c r="P1539" s="46" t="s">
        <v>1415</v>
      </c>
      <c r="Q1539" s="46" t="s">
        <v>1017</v>
      </c>
      <c r="R1539" s="46" t="s">
        <v>376</v>
      </c>
      <c r="S1539" s="46" t="s">
        <v>1396</v>
      </c>
      <c r="AE1539" s="50">
        <f>IF(L1539="W",1,0)</f>
        <v>0</v>
      </c>
      <c r="AF1539" s="50">
        <f>IF(L1539="T",1,0)</f>
        <v>0</v>
      </c>
      <c r="AG1539" s="50">
        <f>IF(L1539="L",1,0)</f>
        <v>1</v>
      </c>
      <c r="AH1539" s="46" t="s">
        <v>1217</v>
      </c>
      <c r="AI1539" s="46" t="s">
        <v>1036</v>
      </c>
      <c r="AJ1539" s="46" t="s">
        <v>376</v>
      </c>
      <c r="AK1539" s="46" t="s">
        <v>658</v>
      </c>
      <c r="AL1539" s="46" t="s">
        <v>1017</v>
      </c>
      <c r="AM1539" s="46" t="s">
        <v>1018</v>
      </c>
      <c r="AN1539" s="46" t="s">
        <v>376</v>
      </c>
      <c r="AO1539" s="46" t="s">
        <v>658</v>
      </c>
      <c r="AQ1539" s="46">
        <v>2</v>
      </c>
      <c r="AS1539" s="46">
        <v>1</v>
      </c>
      <c r="AU1539" s="46" t="s">
        <v>376</v>
      </c>
      <c r="AW1539" s="46" t="s">
        <v>30</v>
      </c>
      <c r="AY1539" s="46" t="s">
        <v>30</v>
      </c>
      <c r="BB1539" s="51"/>
      <c r="BF1539" s="46">
        <v>1</v>
      </c>
      <c r="BG1539" s="46">
        <v>2</v>
      </c>
      <c r="BH1539" s="46">
        <v>1</v>
      </c>
      <c r="BI1539" s="46" t="s">
        <v>1217</v>
      </c>
      <c r="BJ1539" s="46" t="s">
        <v>587</v>
      </c>
      <c r="BK1539" s="46">
        <v>2015</v>
      </c>
      <c r="BL1539" s="46" t="str">
        <f>BK1539&amp;BI1539</f>
        <v>2015Reading</v>
      </c>
      <c r="BM1539" s="52" t="s">
        <v>1017</v>
      </c>
      <c r="BV1539" s="46" t="s">
        <v>376</v>
      </c>
      <c r="BW1539" s="46" t="s">
        <v>376</v>
      </c>
      <c r="BY1539" s="52"/>
      <c r="BZ1539" s="53"/>
      <c r="CA1539" s="53"/>
      <c r="CB1539" s="93" t="str">
        <f>IF(OR(C1539="",A1539="",B1539=""),"",TEXT(C1539,"0000")&amp;TEXT(A1539,"00")&amp;TEXT(B1539,"00"))</f>
        <v>20150418</v>
      </c>
    </row>
    <row r="1540" spans="1:80" s="46" customFormat="1" ht="13.35" customHeight="1" x14ac:dyDescent="0.2">
      <c r="A1540" s="46">
        <v>4</v>
      </c>
      <c r="B1540" s="46">
        <v>19</v>
      </c>
      <c r="C1540" s="46">
        <v>2015</v>
      </c>
      <c r="D1540" s="46" t="s">
        <v>658</v>
      </c>
      <c r="E1540" s="46" t="s">
        <v>222</v>
      </c>
      <c r="F1540" s="46" t="s">
        <v>1010</v>
      </c>
      <c r="H1540" s="46" t="s">
        <v>1011</v>
      </c>
      <c r="J1540" s="64">
        <v>42113</v>
      </c>
      <c r="K1540" s="52" t="s">
        <v>806</v>
      </c>
      <c r="L1540" s="46" t="s">
        <v>3</v>
      </c>
      <c r="M1540" s="46" t="s">
        <v>588</v>
      </c>
      <c r="N1540" s="49">
        <v>2</v>
      </c>
      <c r="O1540" s="49">
        <v>1</v>
      </c>
      <c r="P1540" s="46" t="s">
        <v>1415</v>
      </c>
      <c r="Q1540" s="46" t="s">
        <v>1017</v>
      </c>
      <c r="R1540" s="46" t="s">
        <v>376</v>
      </c>
      <c r="AE1540" s="50">
        <f>IF(L1540="W",1,0)</f>
        <v>1</v>
      </c>
      <c r="AF1540" s="50">
        <f>IF(L1540="T",1,0)</f>
        <v>0</v>
      </c>
      <c r="AG1540" s="50">
        <f>IF(L1540="L",1,0)</f>
        <v>0</v>
      </c>
      <c r="AH1540" s="46" t="s">
        <v>1111</v>
      </c>
      <c r="AI1540" s="46" t="s">
        <v>1126</v>
      </c>
      <c r="AJ1540" s="46" t="s">
        <v>376</v>
      </c>
      <c r="AK1540" s="46" t="s">
        <v>658</v>
      </c>
      <c r="AL1540" s="46" t="s">
        <v>588</v>
      </c>
      <c r="AM1540" s="46" t="s">
        <v>1175</v>
      </c>
      <c r="AN1540" s="46" t="s">
        <v>376</v>
      </c>
      <c r="AO1540" s="46" t="s">
        <v>658</v>
      </c>
      <c r="AQ1540" s="46">
        <v>2</v>
      </c>
      <c r="AU1540" s="46" t="s">
        <v>376</v>
      </c>
      <c r="AW1540" s="46" t="s">
        <v>30</v>
      </c>
      <c r="AY1540" s="46" t="s">
        <v>30</v>
      </c>
      <c r="BB1540" s="51"/>
      <c r="BF1540" s="46">
        <v>1</v>
      </c>
      <c r="BG1540" s="46">
        <v>1</v>
      </c>
      <c r="BH1540" s="46">
        <v>1</v>
      </c>
      <c r="BI1540" s="46" t="s">
        <v>806</v>
      </c>
      <c r="BJ1540" s="46" t="s">
        <v>588</v>
      </c>
      <c r="BK1540" s="46">
        <v>2015</v>
      </c>
      <c r="BL1540" s="46" t="str">
        <f>BK1540&amp;BI1540</f>
        <v>2015Aston Villa</v>
      </c>
      <c r="BM1540" s="52" t="s">
        <v>1017</v>
      </c>
      <c r="BV1540" s="46" t="s">
        <v>376</v>
      </c>
      <c r="BW1540" s="46" t="s">
        <v>376</v>
      </c>
      <c r="BY1540" s="52"/>
      <c r="BZ1540" s="53"/>
      <c r="CA1540" s="53"/>
      <c r="CB1540" s="93" t="str">
        <f>IF(OR(C1540="",A1540="",B1540=""),"",TEXT(C1540,"0000")&amp;TEXT(A1540,"00")&amp;TEXT(B1540,"00"))</f>
        <v>20150419</v>
      </c>
    </row>
    <row r="1541" spans="1:80" s="46" customFormat="1" ht="13.35" customHeight="1" x14ac:dyDescent="0.2">
      <c r="A1541" s="46">
        <v>4</v>
      </c>
      <c r="B1541" s="46">
        <v>19</v>
      </c>
      <c r="C1541" s="46">
        <v>2015</v>
      </c>
      <c r="D1541" s="46" t="s">
        <v>658</v>
      </c>
      <c r="E1541" s="46" t="s">
        <v>222</v>
      </c>
      <c r="F1541" s="46" t="s">
        <v>1010</v>
      </c>
      <c r="H1541" s="46" t="s">
        <v>1011</v>
      </c>
      <c r="J1541" s="64">
        <v>42113</v>
      </c>
      <c r="K1541" s="46" t="s">
        <v>588</v>
      </c>
      <c r="L1541" s="46" t="s">
        <v>4</v>
      </c>
      <c r="M1541" s="52" t="s">
        <v>806</v>
      </c>
      <c r="N1541" s="49">
        <v>1</v>
      </c>
      <c r="O1541" s="49">
        <v>2</v>
      </c>
      <c r="P1541" s="46" t="s">
        <v>1415</v>
      </c>
      <c r="Q1541" s="46" t="s">
        <v>1017</v>
      </c>
      <c r="R1541" s="46" t="s">
        <v>376</v>
      </c>
      <c r="AE1541" s="50">
        <f>IF(L1541="W",1,0)</f>
        <v>0</v>
      </c>
      <c r="AF1541" s="50">
        <f>IF(L1541="T",1,0)</f>
        <v>0</v>
      </c>
      <c r="AG1541" s="50">
        <f>IF(L1541="L",1,0)</f>
        <v>1</v>
      </c>
      <c r="AH1541" s="46" t="s">
        <v>588</v>
      </c>
      <c r="AI1541" s="46" t="s">
        <v>1175</v>
      </c>
      <c r="AJ1541" s="46" t="s">
        <v>376</v>
      </c>
      <c r="AK1541" s="46" t="s">
        <v>658</v>
      </c>
      <c r="AL1541" s="46" t="s">
        <v>1111</v>
      </c>
      <c r="AM1541" s="46" t="s">
        <v>1126</v>
      </c>
      <c r="AN1541" s="46" t="s">
        <v>376</v>
      </c>
      <c r="AO1541" s="46" t="s">
        <v>658</v>
      </c>
      <c r="AQ1541" s="46">
        <v>2</v>
      </c>
      <c r="AS1541" s="46">
        <v>1</v>
      </c>
      <c r="AU1541" s="46" t="s">
        <v>376</v>
      </c>
      <c r="AW1541" s="46" t="s">
        <v>30</v>
      </c>
      <c r="AY1541" s="46" t="s">
        <v>30</v>
      </c>
      <c r="BB1541" s="51"/>
      <c r="BF1541" s="46">
        <v>1</v>
      </c>
      <c r="BG1541" s="46">
        <v>1</v>
      </c>
      <c r="BH1541" s="46">
        <v>1</v>
      </c>
      <c r="BI1541" s="46" t="s">
        <v>588</v>
      </c>
      <c r="BJ1541" s="46" t="s">
        <v>806</v>
      </c>
      <c r="BK1541" s="46">
        <v>2015</v>
      </c>
      <c r="BL1541" s="46" t="str">
        <f>BK1541&amp;BI1541</f>
        <v>2015Liverpool</v>
      </c>
      <c r="BM1541" s="52" t="s">
        <v>1017</v>
      </c>
      <c r="BV1541" s="46" t="s">
        <v>376</v>
      </c>
      <c r="BW1541" s="46" t="s">
        <v>376</v>
      </c>
      <c r="BY1541" s="52"/>
      <c r="BZ1541" s="53"/>
      <c r="CA1541" s="53"/>
      <c r="CB1541" s="93" t="str">
        <f>IF(OR(C1541="",A1541="",B1541=""),"",TEXT(C1541,"0000")&amp;TEXT(A1541,"00")&amp;TEXT(B1541,"00"))</f>
        <v>20150419</v>
      </c>
    </row>
    <row r="1542" spans="1:80" s="46" customFormat="1" ht="13.35" customHeight="1" x14ac:dyDescent="0.2">
      <c r="A1542" s="46">
        <v>5</v>
      </c>
      <c r="B1542" s="46">
        <v>30</v>
      </c>
      <c r="C1542" s="46">
        <v>2015</v>
      </c>
      <c r="D1542" s="46" t="s">
        <v>658</v>
      </c>
      <c r="E1542" s="46" t="s">
        <v>222</v>
      </c>
      <c r="F1542" s="46" t="s">
        <v>1010</v>
      </c>
      <c r="H1542" s="46" t="s">
        <v>40</v>
      </c>
      <c r="J1542" s="64">
        <v>42154</v>
      </c>
      <c r="K1542" s="46" t="s">
        <v>587</v>
      </c>
      <c r="L1542" s="46" t="s">
        <v>3</v>
      </c>
      <c r="M1542" s="46" t="s">
        <v>806</v>
      </c>
      <c r="N1542" s="49">
        <v>4</v>
      </c>
      <c r="O1542" s="49">
        <v>0</v>
      </c>
      <c r="P1542" s="46" t="s">
        <v>1415</v>
      </c>
      <c r="Q1542" s="46" t="s">
        <v>1017</v>
      </c>
      <c r="R1542" s="46" t="s">
        <v>376</v>
      </c>
      <c r="AE1542" s="50">
        <f>IF(L1542="W",1,0)</f>
        <v>1</v>
      </c>
      <c r="AF1542" s="50">
        <f>IF(L1542="T",1,0)</f>
        <v>0</v>
      </c>
      <c r="AG1542" s="50">
        <f>IF(L1542="L",1,0)</f>
        <v>0</v>
      </c>
      <c r="AH1542" s="46" t="s">
        <v>1017</v>
      </c>
      <c r="AI1542" s="46" t="s">
        <v>1018</v>
      </c>
      <c r="AJ1542" s="46" t="s">
        <v>376</v>
      </c>
      <c r="AK1542" s="46" t="s">
        <v>658</v>
      </c>
      <c r="AL1542" s="46" t="s">
        <v>1111</v>
      </c>
      <c r="AM1542" s="46" t="s">
        <v>1126</v>
      </c>
      <c r="AN1542" s="46" t="s">
        <v>376</v>
      </c>
      <c r="AO1542" s="46" t="s">
        <v>658</v>
      </c>
      <c r="AQ1542" s="46">
        <v>1</v>
      </c>
      <c r="AS1542" s="46" t="s">
        <v>1393</v>
      </c>
      <c r="AU1542" s="46" t="s">
        <v>376</v>
      </c>
      <c r="AW1542" s="46" t="s">
        <v>30</v>
      </c>
      <c r="AY1542" s="49" t="s">
        <v>30</v>
      </c>
      <c r="BB1542" s="51" t="s">
        <v>30</v>
      </c>
      <c r="BC1542" s="46" t="s">
        <v>30</v>
      </c>
      <c r="BF1542" s="46">
        <v>1</v>
      </c>
      <c r="BG1542" s="46">
        <v>1</v>
      </c>
      <c r="BH1542" s="46">
        <v>1</v>
      </c>
      <c r="BI1542" s="46" t="s">
        <v>587</v>
      </c>
      <c r="BJ1542" s="46" t="s">
        <v>806</v>
      </c>
      <c r="BK1542" s="46">
        <v>2015</v>
      </c>
      <c r="BL1542" s="46" t="str">
        <f>BK1542&amp;BI1542</f>
        <v>2015Arsenal</v>
      </c>
      <c r="BM1542" s="52" t="s">
        <v>1017</v>
      </c>
      <c r="BV1542" s="46" t="s">
        <v>376</v>
      </c>
      <c r="BW1542" s="46" t="s">
        <v>376</v>
      </c>
      <c r="BY1542" s="52"/>
      <c r="BZ1542" s="53"/>
      <c r="CA1542" s="53"/>
      <c r="CB1542" s="93" t="str">
        <f>IF(OR(C1542="",A1542="",B1542=""),"",TEXT(C1542,"0000")&amp;TEXT(A1542,"00")&amp;TEXT(B1542,"00"))</f>
        <v>20150530</v>
      </c>
    </row>
    <row r="1543" spans="1:80" s="46" customFormat="1" ht="13.35" customHeight="1" x14ac:dyDescent="0.2">
      <c r="A1543" s="46">
        <v>5</v>
      </c>
      <c r="B1543" s="46">
        <v>30</v>
      </c>
      <c r="C1543" s="46">
        <v>2015</v>
      </c>
      <c r="D1543" s="46" t="s">
        <v>658</v>
      </c>
      <c r="E1543" s="46" t="s">
        <v>222</v>
      </c>
      <c r="F1543" s="46" t="s">
        <v>1010</v>
      </c>
      <c r="H1543" s="46" t="s">
        <v>40</v>
      </c>
      <c r="J1543" s="64">
        <v>42154</v>
      </c>
      <c r="K1543" s="46" t="s">
        <v>806</v>
      </c>
      <c r="L1543" s="46" t="s">
        <v>4</v>
      </c>
      <c r="M1543" s="46" t="s">
        <v>587</v>
      </c>
      <c r="N1543" s="49">
        <v>0</v>
      </c>
      <c r="O1543" s="49">
        <v>4</v>
      </c>
      <c r="P1543" s="46" t="s">
        <v>1415</v>
      </c>
      <c r="Q1543" s="46" t="s">
        <v>1017</v>
      </c>
      <c r="R1543" s="46" t="s">
        <v>376</v>
      </c>
      <c r="AE1543" s="50">
        <f>IF(L1543="W",1,0)</f>
        <v>0</v>
      </c>
      <c r="AF1543" s="50">
        <f>IF(L1543="T",1,0)</f>
        <v>0</v>
      </c>
      <c r="AG1543" s="50">
        <f>IF(L1543="L",1,0)</f>
        <v>1</v>
      </c>
      <c r="AH1543" s="46" t="s">
        <v>1111</v>
      </c>
      <c r="AI1543" s="46" t="s">
        <v>1126</v>
      </c>
      <c r="AJ1543" s="46" t="s">
        <v>376</v>
      </c>
      <c r="AK1543" s="46" t="s">
        <v>658</v>
      </c>
      <c r="AL1543" s="46" t="s">
        <v>1017</v>
      </c>
      <c r="AM1543" s="46" t="s">
        <v>1018</v>
      </c>
      <c r="AN1543" s="46" t="s">
        <v>376</v>
      </c>
      <c r="AO1543" s="46" t="s">
        <v>658</v>
      </c>
      <c r="AQ1543" s="46">
        <v>1</v>
      </c>
      <c r="AS1543" s="46">
        <v>1</v>
      </c>
      <c r="AU1543" s="46" t="s">
        <v>376</v>
      </c>
      <c r="AW1543" s="46" t="s">
        <v>30</v>
      </c>
      <c r="AY1543" s="46" t="s">
        <v>30</v>
      </c>
      <c r="BB1543" s="51"/>
      <c r="BC1543" s="46" t="s">
        <v>30</v>
      </c>
      <c r="BF1543" s="46">
        <v>1</v>
      </c>
      <c r="BG1543" s="46">
        <v>1</v>
      </c>
      <c r="BH1543" s="46">
        <v>1</v>
      </c>
      <c r="BI1543" s="46" t="s">
        <v>806</v>
      </c>
      <c r="BJ1543" s="46" t="s">
        <v>587</v>
      </c>
      <c r="BK1543" s="46">
        <v>2015</v>
      </c>
      <c r="BL1543" s="46" t="str">
        <f>BK1543&amp;BI1543</f>
        <v>2015Aston Villa</v>
      </c>
      <c r="BM1543" s="52" t="s">
        <v>1017</v>
      </c>
      <c r="BV1543" s="46" t="s">
        <v>376</v>
      </c>
      <c r="BW1543" s="46" t="s">
        <v>376</v>
      </c>
      <c r="BY1543" s="52"/>
      <c r="BZ1543" s="53"/>
      <c r="CA1543" s="53"/>
      <c r="CB1543" s="93" t="str">
        <f>IF(OR(C1543="",A1543="",B1543=""),"",TEXT(C1543,"0000")&amp;TEXT(A1543,"00")&amp;TEXT(B1543,"00"))</f>
        <v>20150530</v>
      </c>
    </row>
    <row r="1544" spans="1:80" s="53" customFormat="1" ht="12.75" x14ac:dyDescent="0.2">
      <c r="A1544" s="46">
        <v>1</v>
      </c>
      <c r="B1544" s="46">
        <v>5</v>
      </c>
      <c r="C1544" s="46">
        <v>2016</v>
      </c>
      <c r="D1544" s="46" t="s">
        <v>658</v>
      </c>
      <c r="E1544" s="46" t="s">
        <v>206</v>
      </c>
      <c r="F1544" s="46" t="s">
        <v>1327</v>
      </c>
      <c r="G1544" s="46"/>
      <c r="H1544" s="46" t="s">
        <v>1011</v>
      </c>
      <c r="I1544" s="46">
        <v>1</v>
      </c>
      <c r="J1544" s="64">
        <v>42374</v>
      </c>
      <c r="K1544" s="46" t="s">
        <v>1205</v>
      </c>
      <c r="L1544" s="46" t="s">
        <v>4</v>
      </c>
      <c r="M1544" s="46" t="s">
        <v>588</v>
      </c>
      <c r="N1544" s="49">
        <v>0</v>
      </c>
      <c r="O1544" s="49">
        <v>1</v>
      </c>
      <c r="P1544" s="46" t="s">
        <v>1424</v>
      </c>
      <c r="Q1544" s="46" t="s">
        <v>1145</v>
      </c>
      <c r="R1544" s="46" t="s">
        <v>376</v>
      </c>
      <c r="S1544" s="46"/>
      <c r="T1544" s="46"/>
      <c r="U1544" s="46"/>
      <c r="V1544" s="46"/>
      <c r="W1544" s="46"/>
      <c r="X1544" s="46"/>
      <c r="Y1544" s="46"/>
      <c r="Z1544" s="46"/>
      <c r="AA1544" s="77">
        <v>0</v>
      </c>
      <c r="AB1544" s="77">
        <v>1</v>
      </c>
      <c r="AC1544" s="78">
        <v>0</v>
      </c>
      <c r="AD1544" s="46" t="s">
        <v>1033</v>
      </c>
      <c r="AE1544" s="50">
        <f>IF(L1544="W",1,0)</f>
        <v>0</v>
      </c>
      <c r="AF1544" s="50">
        <f>IF(L1544="T",1,0)</f>
        <v>0</v>
      </c>
      <c r="AG1544" s="50">
        <f>IF(L1544="L",1,0)</f>
        <v>1</v>
      </c>
      <c r="AH1544" s="46" t="s">
        <v>1145</v>
      </c>
      <c r="AI1544" s="46" t="s">
        <v>1206</v>
      </c>
      <c r="AJ1544" s="46" t="s">
        <v>376</v>
      </c>
      <c r="AK1544" s="46" t="s">
        <v>658</v>
      </c>
      <c r="AL1544" s="46" t="s">
        <v>588</v>
      </c>
      <c r="AM1544" s="46" t="s">
        <v>1175</v>
      </c>
      <c r="AN1544" s="46" t="s">
        <v>376</v>
      </c>
      <c r="AO1544" s="46" t="s">
        <v>658</v>
      </c>
      <c r="AP1544" s="46"/>
      <c r="AQ1544" s="46">
        <v>2</v>
      </c>
      <c r="AR1544" s="46"/>
      <c r="AS1544" s="46"/>
      <c r="AT1544" s="46"/>
      <c r="AU1544" s="46" t="s">
        <v>376</v>
      </c>
      <c r="AV1544" s="46"/>
      <c r="AW1544" s="46" t="s">
        <v>30</v>
      </c>
      <c r="AX1544" s="46"/>
      <c r="AY1544" s="46"/>
      <c r="AZ1544" s="46" t="s">
        <v>30</v>
      </c>
      <c r="BA1544" s="46"/>
      <c r="BB1544" s="51"/>
      <c r="BC1544" s="46"/>
      <c r="BD1544" s="46"/>
      <c r="BE1544" s="46"/>
      <c r="BF1544" s="46">
        <v>1</v>
      </c>
      <c r="BG1544" s="46">
        <v>1</v>
      </c>
      <c r="BH1544" s="46">
        <v>1</v>
      </c>
      <c r="BI1544" s="46" t="s">
        <v>1205</v>
      </c>
      <c r="BJ1544" s="46" t="s">
        <v>588</v>
      </c>
      <c r="BK1544" s="46">
        <v>2016</v>
      </c>
      <c r="BL1544" s="46" t="str">
        <f>BK1544&amp;BI1544</f>
        <v>2016Stoke City</v>
      </c>
      <c r="BM1544" s="52" t="s">
        <v>1205</v>
      </c>
      <c r="BN1544" s="46"/>
      <c r="BO1544" s="46"/>
      <c r="BP1544" s="46"/>
      <c r="BQ1544" s="46"/>
      <c r="BR1544" s="46"/>
      <c r="BS1544" s="46"/>
      <c r="BT1544" s="46"/>
      <c r="BU1544" s="46"/>
      <c r="BV1544" s="46" t="s">
        <v>376</v>
      </c>
      <c r="BW1544" s="46" t="s">
        <v>376</v>
      </c>
      <c r="BX1544" s="46"/>
      <c r="BY1544" s="50"/>
      <c r="CB1544" s="93" t="str">
        <f>IF(OR(C1544="",A1544="",B1544=""),"",TEXT(C1544,"0000")&amp;TEXT(A1544,"00")&amp;TEXT(B1544,"00"))</f>
        <v>20160105</v>
      </c>
    </row>
    <row r="1545" spans="1:80" s="53" customFormat="1" ht="12.75" x14ac:dyDescent="0.2">
      <c r="A1545" s="46">
        <v>1</v>
      </c>
      <c r="B1545" s="46">
        <v>5</v>
      </c>
      <c r="C1545" s="46">
        <v>2016</v>
      </c>
      <c r="D1545" s="46" t="s">
        <v>658</v>
      </c>
      <c r="E1545" s="46" t="s">
        <v>206</v>
      </c>
      <c r="F1545" s="46" t="s">
        <v>1327</v>
      </c>
      <c r="G1545" s="46"/>
      <c r="H1545" s="46" t="s">
        <v>1011</v>
      </c>
      <c r="I1545" s="46">
        <v>1</v>
      </c>
      <c r="J1545" s="64">
        <v>42374</v>
      </c>
      <c r="K1545" s="46" t="s">
        <v>588</v>
      </c>
      <c r="L1545" s="46" t="s">
        <v>3</v>
      </c>
      <c r="M1545" s="46" t="s">
        <v>1205</v>
      </c>
      <c r="N1545" s="49">
        <v>1</v>
      </c>
      <c r="O1545" s="49">
        <v>0</v>
      </c>
      <c r="P1545" s="46" t="s">
        <v>1424</v>
      </c>
      <c r="Q1545" s="46" t="s">
        <v>1145</v>
      </c>
      <c r="R1545" s="46" t="s">
        <v>376</v>
      </c>
      <c r="S1545" s="46"/>
      <c r="T1545" s="46"/>
      <c r="U1545" s="46"/>
      <c r="V1545" s="46"/>
      <c r="W1545" s="46"/>
      <c r="X1545" s="46"/>
      <c r="Y1545" s="46"/>
      <c r="Z1545" s="46"/>
      <c r="AA1545" s="77">
        <v>1</v>
      </c>
      <c r="AB1545" s="77">
        <v>0</v>
      </c>
      <c r="AC1545" s="78">
        <v>1</v>
      </c>
      <c r="AD1545" s="46" t="s">
        <v>1037</v>
      </c>
      <c r="AE1545" s="50">
        <f>IF(L1545="W",1,0)</f>
        <v>1</v>
      </c>
      <c r="AF1545" s="50">
        <f>IF(L1545="T",1,0)</f>
        <v>0</v>
      </c>
      <c r="AG1545" s="50">
        <f>IF(L1545="L",1,0)</f>
        <v>0</v>
      </c>
      <c r="AH1545" s="46" t="s">
        <v>588</v>
      </c>
      <c r="AI1545" s="46" t="s">
        <v>1175</v>
      </c>
      <c r="AJ1545" s="46" t="s">
        <v>376</v>
      </c>
      <c r="AK1545" s="46" t="s">
        <v>658</v>
      </c>
      <c r="AL1545" s="46" t="s">
        <v>1145</v>
      </c>
      <c r="AM1545" s="46" t="s">
        <v>1206</v>
      </c>
      <c r="AN1545" s="46" t="s">
        <v>376</v>
      </c>
      <c r="AO1545" s="46" t="s">
        <v>658</v>
      </c>
      <c r="AP1545" s="46"/>
      <c r="AQ1545" s="46">
        <v>2</v>
      </c>
      <c r="AR1545" s="46"/>
      <c r="AS1545" s="46"/>
      <c r="AT1545" s="46"/>
      <c r="AU1545" s="46" t="s">
        <v>376</v>
      </c>
      <c r="AV1545" s="46"/>
      <c r="AW1545" s="46" t="s">
        <v>30</v>
      </c>
      <c r="AX1545" s="46"/>
      <c r="AY1545" s="46"/>
      <c r="AZ1545" s="46" t="s">
        <v>30</v>
      </c>
      <c r="BA1545" s="46"/>
      <c r="BB1545" s="51"/>
      <c r="BC1545" s="46"/>
      <c r="BD1545" s="46"/>
      <c r="BE1545" s="46"/>
      <c r="BF1545" s="46">
        <v>1</v>
      </c>
      <c r="BG1545" s="46">
        <v>1</v>
      </c>
      <c r="BH1545" s="46">
        <v>1</v>
      </c>
      <c r="BI1545" s="46" t="s">
        <v>588</v>
      </c>
      <c r="BJ1545" s="46" t="s">
        <v>1205</v>
      </c>
      <c r="BK1545" s="46">
        <v>2016</v>
      </c>
      <c r="BL1545" s="46" t="str">
        <f>BK1545&amp;BI1545</f>
        <v>2016Liverpool</v>
      </c>
      <c r="BM1545" s="52" t="s">
        <v>1205</v>
      </c>
      <c r="BN1545" s="46"/>
      <c r="BO1545" s="46"/>
      <c r="BP1545" s="46"/>
      <c r="BQ1545" s="46"/>
      <c r="BR1545" s="46"/>
      <c r="BS1545" s="46"/>
      <c r="BT1545" s="46"/>
      <c r="BU1545" s="46"/>
      <c r="BV1545" s="46" t="s">
        <v>376</v>
      </c>
      <c r="BW1545" s="46" t="s">
        <v>376</v>
      </c>
      <c r="BX1545" s="46"/>
      <c r="BY1545" s="50"/>
      <c r="CB1545" s="93" t="str">
        <f>IF(OR(C1545="",A1545="",B1545=""),"",TEXT(C1545,"0000")&amp;TEXT(A1545,"00")&amp;TEXT(B1545,"00"))</f>
        <v>20160105</v>
      </c>
    </row>
    <row r="1546" spans="1:80" s="53" customFormat="1" ht="12.75" x14ac:dyDescent="0.2">
      <c r="A1546" s="46">
        <v>1</v>
      </c>
      <c r="B1546" s="46">
        <v>6</v>
      </c>
      <c r="C1546" s="46">
        <v>2016</v>
      </c>
      <c r="D1546" s="46" t="s">
        <v>658</v>
      </c>
      <c r="E1546" s="46" t="s">
        <v>206</v>
      </c>
      <c r="F1546" s="46" t="s">
        <v>1327</v>
      </c>
      <c r="G1546" s="46"/>
      <c r="H1546" s="46" t="s">
        <v>1011</v>
      </c>
      <c r="I1546" s="46">
        <v>1</v>
      </c>
      <c r="J1546" s="64">
        <v>42375</v>
      </c>
      <c r="K1546" s="46" t="s">
        <v>804</v>
      </c>
      <c r="L1546" s="46" t="s">
        <v>3</v>
      </c>
      <c r="M1546" s="46" t="s">
        <v>823</v>
      </c>
      <c r="N1546" s="49">
        <v>2</v>
      </c>
      <c r="O1546" s="49">
        <v>1</v>
      </c>
      <c r="P1546" s="46" t="s">
        <v>1184</v>
      </c>
      <c r="Q1546" s="46" t="s">
        <v>588</v>
      </c>
      <c r="R1546" s="46" t="s">
        <v>376</v>
      </c>
      <c r="S1546" s="46"/>
      <c r="T1546" s="46"/>
      <c r="U1546" s="46"/>
      <c r="V1546" s="46"/>
      <c r="W1546" s="46"/>
      <c r="X1546" s="46"/>
      <c r="Y1546" s="46"/>
      <c r="Z1546" s="46"/>
      <c r="AA1546" s="77">
        <v>2</v>
      </c>
      <c r="AB1546" s="77">
        <v>1</v>
      </c>
      <c r="AC1546" s="78">
        <v>0</v>
      </c>
      <c r="AD1546" s="46" t="s">
        <v>1033</v>
      </c>
      <c r="AE1546" s="50">
        <f>IF(L1546="W",1,0)</f>
        <v>1</v>
      </c>
      <c r="AF1546" s="50">
        <f>IF(L1546="T",1,0)</f>
        <v>0</v>
      </c>
      <c r="AG1546" s="50">
        <f>IF(L1546="L",1,0)</f>
        <v>0</v>
      </c>
      <c r="AH1546" s="46" t="s">
        <v>588</v>
      </c>
      <c r="AI1546" s="46" t="s">
        <v>1175</v>
      </c>
      <c r="AJ1546" s="46" t="s">
        <v>376</v>
      </c>
      <c r="AK1546" s="46" t="s">
        <v>658</v>
      </c>
      <c r="AL1546" s="46" t="s">
        <v>1101</v>
      </c>
      <c r="AM1546" s="46" t="s">
        <v>1159</v>
      </c>
      <c r="AN1546" s="46" t="s">
        <v>376</v>
      </c>
      <c r="AO1546" s="46" t="s">
        <v>658</v>
      </c>
      <c r="AP1546" s="46"/>
      <c r="AQ1546" s="46">
        <v>2</v>
      </c>
      <c r="AR1546" s="46"/>
      <c r="AS1546" s="46"/>
      <c r="AT1546" s="46"/>
      <c r="AU1546" s="46" t="s">
        <v>376</v>
      </c>
      <c r="AV1546" s="46"/>
      <c r="AW1546" s="46" t="s">
        <v>30</v>
      </c>
      <c r="AX1546" s="46"/>
      <c r="AY1546" s="46"/>
      <c r="AZ1546" s="46" t="s">
        <v>30</v>
      </c>
      <c r="BA1546" s="46"/>
      <c r="BB1546" s="51"/>
      <c r="BC1546" s="46"/>
      <c r="BD1546" s="46"/>
      <c r="BE1546" s="46"/>
      <c r="BF1546" s="46">
        <v>1</v>
      </c>
      <c r="BG1546" s="46">
        <v>1</v>
      </c>
      <c r="BH1546" s="46">
        <v>1</v>
      </c>
      <c r="BI1546" s="46" t="s">
        <v>804</v>
      </c>
      <c r="BJ1546" s="46" t="s">
        <v>823</v>
      </c>
      <c r="BK1546" s="46">
        <v>2016</v>
      </c>
      <c r="BL1546" s="46" t="str">
        <f>BK1546&amp;BI1546</f>
        <v>2016Everton</v>
      </c>
      <c r="BM1546" s="52" t="s">
        <v>804</v>
      </c>
      <c r="BN1546" s="46"/>
      <c r="BO1546" s="46"/>
      <c r="BP1546" s="46"/>
      <c r="BQ1546" s="46"/>
      <c r="BR1546" s="46"/>
      <c r="BS1546" s="46"/>
      <c r="BT1546" s="46"/>
      <c r="BU1546" s="46"/>
      <c r="BV1546" s="46" t="s">
        <v>376</v>
      </c>
      <c r="BW1546" s="46" t="s">
        <v>376</v>
      </c>
      <c r="BX1546" s="46"/>
      <c r="BY1546" s="52"/>
      <c r="CB1546" s="93" t="str">
        <f>IF(OR(C1546="",A1546="",B1546=""),"",TEXT(C1546,"0000")&amp;TEXT(A1546,"00")&amp;TEXT(B1546,"00"))</f>
        <v>20160106</v>
      </c>
    </row>
    <row r="1547" spans="1:80" s="53" customFormat="1" ht="12.75" x14ac:dyDescent="0.2">
      <c r="A1547" s="46">
        <v>1</v>
      </c>
      <c r="B1547" s="46">
        <v>6</v>
      </c>
      <c r="C1547" s="46">
        <v>2016</v>
      </c>
      <c r="D1547" s="46" t="s">
        <v>658</v>
      </c>
      <c r="E1547" s="46" t="s">
        <v>206</v>
      </c>
      <c r="F1547" s="46" t="s">
        <v>1327</v>
      </c>
      <c r="G1547" s="46"/>
      <c r="H1547" s="46" t="s">
        <v>1011</v>
      </c>
      <c r="I1547" s="46">
        <v>1</v>
      </c>
      <c r="J1547" s="64">
        <v>42375</v>
      </c>
      <c r="K1547" s="46" t="s">
        <v>823</v>
      </c>
      <c r="L1547" s="46" t="s">
        <v>4</v>
      </c>
      <c r="M1547" s="46" t="s">
        <v>804</v>
      </c>
      <c r="N1547" s="49">
        <v>1</v>
      </c>
      <c r="O1547" s="49">
        <v>2</v>
      </c>
      <c r="P1547" s="46" t="s">
        <v>1184</v>
      </c>
      <c r="Q1547" s="46" t="s">
        <v>588</v>
      </c>
      <c r="R1547" s="46" t="s">
        <v>376</v>
      </c>
      <c r="S1547" s="46"/>
      <c r="T1547" s="46"/>
      <c r="U1547" s="46"/>
      <c r="V1547" s="46"/>
      <c r="W1547" s="46"/>
      <c r="X1547" s="46"/>
      <c r="Y1547" s="46"/>
      <c r="Z1547" s="46"/>
      <c r="AA1547" s="77">
        <v>1</v>
      </c>
      <c r="AB1547" s="77">
        <v>2</v>
      </c>
      <c r="AC1547" s="78">
        <v>1</v>
      </c>
      <c r="AD1547" s="46" t="s">
        <v>1037</v>
      </c>
      <c r="AE1547" s="50">
        <f>IF(L1547="W",1,0)</f>
        <v>0</v>
      </c>
      <c r="AF1547" s="50">
        <f>IF(L1547="T",1,0)</f>
        <v>0</v>
      </c>
      <c r="AG1547" s="50">
        <f>IF(L1547="L",1,0)</f>
        <v>1</v>
      </c>
      <c r="AH1547" s="46" t="s">
        <v>1101</v>
      </c>
      <c r="AI1547" s="46" t="s">
        <v>1159</v>
      </c>
      <c r="AJ1547" s="46" t="s">
        <v>376</v>
      </c>
      <c r="AK1547" s="46" t="s">
        <v>658</v>
      </c>
      <c r="AL1547" s="46" t="s">
        <v>588</v>
      </c>
      <c r="AM1547" s="46" t="s">
        <v>1175</v>
      </c>
      <c r="AN1547" s="46" t="s">
        <v>376</v>
      </c>
      <c r="AO1547" s="46" t="s">
        <v>658</v>
      </c>
      <c r="AP1547" s="46"/>
      <c r="AQ1547" s="46">
        <v>2</v>
      </c>
      <c r="AR1547" s="46"/>
      <c r="AS1547" s="46"/>
      <c r="AT1547" s="46"/>
      <c r="AU1547" s="46" t="s">
        <v>376</v>
      </c>
      <c r="AV1547" s="46"/>
      <c r="AW1547" s="46" t="s">
        <v>30</v>
      </c>
      <c r="AX1547" s="46"/>
      <c r="AY1547" s="46"/>
      <c r="AZ1547" s="46" t="s">
        <v>30</v>
      </c>
      <c r="BA1547" s="46"/>
      <c r="BB1547" s="51"/>
      <c r="BC1547" s="46"/>
      <c r="BD1547" s="46"/>
      <c r="BE1547" s="46"/>
      <c r="BF1547" s="46">
        <v>1</v>
      </c>
      <c r="BG1547" s="46">
        <v>1</v>
      </c>
      <c r="BH1547" s="46">
        <v>1</v>
      </c>
      <c r="BI1547" s="46" t="s">
        <v>823</v>
      </c>
      <c r="BJ1547" s="46" t="s">
        <v>804</v>
      </c>
      <c r="BK1547" s="46">
        <v>2016</v>
      </c>
      <c r="BL1547" s="46" t="str">
        <f>BK1547&amp;BI1547</f>
        <v>2016Manchester City</v>
      </c>
      <c r="BM1547" s="52" t="s">
        <v>804</v>
      </c>
      <c r="BN1547" s="46"/>
      <c r="BO1547" s="46"/>
      <c r="BP1547" s="46"/>
      <c r="BQ1547" s="46"/>
      <c r="BR1547" s="46"/>
      <c r="BS1547" s="46"/>
      <c r="BT1547" s="46"/>
      <c r="BU1547" s="46"/>
      <c r="BV1547" s="46" t="s">
        <v>376</v>
      </c>
      <c r="BW1547" s="46" t="s">
        <v>376</v>
      </c>
      <c r="BX1547" s="46"/>
      <c r="BY1547" s="52"/>
      <c r="CB1547" s="93" t="str">
        <f>IF(OR(C1547="",A1547="",B1547=""),"",TEXT(C1547,"0000")&amp;TEXT(A1547,"00")&amp;TEXT(B1547,"00"))</f>
        <v>20160106</v>
      </c>
    </row>
    <row r="1548" spans="1:80" s="53" customFormat="1" ht="12.75" x14ac:dyDescent="0.2">
      <c r="A1548" s="46">
        <v>1</v>
      </c>
      <c r="B1548" s="46">
        <v>26</v>
      </c>
      <c r="C1548" s="46">
        <v>2016</v>
      </c>
      <c r="D1548" s="46" t="s">
        <v>658</v>
      </c>
      <c r="E1548" s="46" t="s">
        <v>206</v>
      </c>
      <c r="F1548" s="46" t="s">
        <v>1327</v>
      </c>
      <c r="G1548" s="46"/>
      <c r="H1548" s="46" t="s">
        <v>1011</v>
      </c>
      <c r="I1548" s="46">
        <v>2</v>
      </c>
      <c r="J1548" s="64">
        <v>42395</v>
      </c>
      <c r="K1548" s="46" t="s">
        <v>588</v>
      </c>
      <c r="L1548" s="46" t="s">
        <v>4</v>
      </c>
      <c r="M1548" s="46" t="s">
        <v>1205</v>
      </c>
      <c r="N1548" s="49">
        <v>0</v>
      </c>
      <c r="O1548" s="49">
        <v>1</v>
      </c>
      <c r="P1548" s="46" t="s">
        <v>1141</v>
      </c>
      <c r="Q1548" s="46" t="s">
        <v>588</v>
      </c>
      <c r="R1548" s="46" t="s">
        <v>376</v>
      </c>
      <c r="S1548" s="46" t="s">
        <v>1390</v>
      </c>
      <c r="T1548" s="46">
        <v>6</v>
      </c>
      <c r="U1548" s="46">
        <v>5</v>
      </c>
      <c r="V1548" s="46"/>
      <c r="W1548" s="46"/>
      <c r="X1548" s="46"/>
      <c r="Y1548" s="46"/>
      <c r="Z1548" s="46"/>
      <c r="AA1548" s="77">
        <v>1</v>
      </c>
      <c r="AB1548" s="77">
        <v>1</v>
      </c>
      <c r="AC1548" s="78">
        <v>1</v>
      </c>
      <c r="AD1548" s="46" t="s">
        <v>1033</v>
      </c>
      <c r="AE1548" s="50">
        <f>IF(L1548="W",1,0)</f>
        <v>0</v>
      </c>
      <c r="AF1548" s="50">
        <f>IF(L1548="T",1,0)</f>
        <v>0</v>
      </c>
      <c r="AG1548" s="50">
        <f>IF(L1548="L",1,0)</f>
        <v>1</v>
      </c>
      <c r="AH1548" s="46" t="s">
        <v>588</v>
      </c>
      <c r="AI1548" s="46" t="s">
        <v>1175</v>
      </c>
      <c r="AJ1548" s="46" t="s">
        <v>376</v>
      </c>
      <c r="AK1548" s="46" t="s">
        <v>658</v>
      </c>
      <c r="AL1548" s="46" t="s">
        <v>1145</v>
      </c>
      <c r="AM1548" s="46" t="s">
        <v>1206</v>
      </c>
      <c r="AN1548" s="46" t="s">
        <v>376</v>
      </c>
      <c r="AO1548" s="46" t="s">
        <v>658</v>
      </c>
      <c r="AP1548" s="46"/>
      <c r="AQ1548" s="46">
        <v>2</v>
      </c>
      <c r="AR1548" s="46"/>
      <c r="AS1548" s="46"/>
      <c r="AT1548" s="46"/>
      <c r="AU1548" s="46" t="s">
        <v>376</v>
      </c>
      <c r="AV1548" s="46"/>
      <c r="AW1548" s="46" t="s">
        <v>30</v>
      </c>
      <c r="AX1548" s="46"/>
      <c r="AY1548" s="46"/>
      <c r="AZ1548" s="46" t="s">
        <v>30</v>
      </c>
      <c r="BA1548" s="46"/>
      <c r="BB1548" s="51"/>
      <c r="BC1548" s="46"/>
      <c r="BD1548" s="46"/>
      <c r="BE1548" s="46"/>
      <c r="BF1548" s="46">
        <v>1</v>
      </c>
      <c r="BG1548" s="46">
        <v>1</v>
      </c>
      <c r="BH1548" s="46">
        <v>1</v>
      </c>
      <c r="BI1548" s="46" t="s">
        <v>588</v>
      </c>
      <c r="BJ1548" s="46" t="s">
        <v>1205</v>
      </c>
      <c r="BK1548" s="46">
        <v>2016</v>
      </c>
      <c r="BL1548" s="46" t="str">
        <f>BK1548&amp;BI1548</f>
        <v>2016Liverpool</v>
      </c>
      <c r="BM1548" s="52" t="s">
        <v>588</v>
      </c>
      <c r="BN1548" s="46"/>
      <c r="BO1548" s="46"/>
      <c r="BP1548" s="46"/>
      <c r="BQ1548" s="46"/>
      <c r="BR1548" s="46"/>
      <c r="BS1548" s="46"/>
      <c r="BT1548" s="46"/>
      <c r="BU1548" s="46"/>
      <c r="BV1548" s="46" t="s">
        <v>376</v>
      </c>
      <c r="BW1548" s="46" t="s">
        <v>376</v>
      </c>
      <c r="BX1548" s="46"/>
      <c r="BY1548" s="52"/>
      <c r="CB1548" s="93" t="str">
        <f>IF(OR(C1548="",A1548="",B1548=""),"",TEXT(C1548,"0000")&amp;TEXT(A1548,"00")&amp;TEXT(B1548,"00"))</f>
        <v>20160126</v>
      </c>
    </row>
    <row r="1549" spans="1:80" s="53" customFormat="1" ht="12.75" x14ac:dyDescent="0.2">
      <c r="A1549" s="46">
        <v>1</v>
      </c>
      <c r="B1549" s="46">
        <v>26</v>
      </c>
      <c r="C1549" s="46">
        <v>2016</v>
      </c>
      <c r="D1549" s="46" t="s">
        <v>658</v>
      </c>
      <c r="E1549" s="46" t="s">
        <v>206</v>
      </c>
      <c r="F1549" s="46" t="s">
        <v>1327</v>
      </c>
      <c r="G1549" s="46"/>
      <c r="H1549" s="46" t="s">
        <v>1011</v>
      </c>
      <c r="I1549" s="46">
        <v>2</v>
      </c>
      <c r="J1549" s="64">
        <v>42395</v>
      </c>
      <c r="K1549" s="46" t="s">
        <v>1205</v>
      </c>
      <c r="L1549" s="46" t="s">
        <v>3</v>
      </c>
      <c r="M1549" s="46" t="s">
        <v>588</v>
      </c>
      <c r="N1549" s="49">
        <v>1</v>
      </c>
      <c r="O1549" s="49">
        <v>0</v>
      </c>
      <c r="P1549" s="46" t="s">
        <v>1141</v>
      </c>
      <c r="Q1549" s="46" t="s">
        <v>588</v>
      </c>
      <c r="R1549" s="46" t="s">
        <v>376</v>
      </c>
      <c r="S1549" s="46" t="s">
        <v>1390</v>
      </c>
      <c r="T1549" s="46">
        <v>5</v>
      </c>
      <c r="U1549" s="46">
        <v>6</v>
      </c>
      <c r="V1549" s="46"/>
      <c r="W1549" s="46"/>
      <c r="X1549" s="46"/>
      <c r="Y1549" s="46"/>
      <c r="Z1549" s="46"/>
      <c r="AA1549" s="77">
        <v>1</v>
      </c>
      <c r="AB1549" s="77">
        <v>1</v>
      </c>
      <c r="AC1549" s="78">
        <v>1</v>
      </c>
      <c r="AD1549" s="46" t="s">
        <v>1037</v>
      </c>
      <c r="AE1549" s="50">
        <f>IF(L1549="W",1,0)</f>
        <v>1</v>
      </c>
      <c r="AF1549" s="50">
        <f>IF(L1549="T",1,0)</f>
        <v>0</v>
      </c>
      <c r="AG1549" s="50">
        <f>IF(L1549="L",1,0)</f>
        <v>0</v>
      </c>
      <c r="AH1549" s="46" t="s">
        <v>1145</v>
      </c>
      <c r="AI1549" s="46" t="s">
        <v>1206</v>
      </c>
      <c r="AJ1549" s="46" t="s">
        <v>376</v>
      </c>
      <c r="AK1549" s="46" t="s">
        <v>658</v>
      </c>
      <c r="AL1549" s="46" t="s">
        <v>588</v>
      </c>
      <c r="AM1549" s="46" t="s">
        <v>1175</v>
      </c>
      <c r="AN1549" s="46" t="s">
        <v>376</v>
      </c>
      <c r="AO1549" s="46" t="s">
        <v>658</v>
      </c>
      <c r="AP1549" s="46"/>
      <c r="AQ1549" s="46">
        <v>2</v>
      </c>
      <c r="AR1549" s="46"/>
      <c r="AS1549" s="46">
        <v>1</v>
      </c>
      <c r="AT1549" s="46"/>
      <c r="AU1549" s="46" t="s">
        <v>376</v>
      </c>
      <c r="AV1549" s="46"/>
      <c r="AW1549" s="46" t="s">
        <v>30</v>
      </c>
      <c r="AX1549" s="46"/>
      <c r="AY1549" s="46"/>
      <c r="AZ1549" s="46" t="s">
        <v>30</v>
      </c>
      <c r="BA1549" s="46"/>
      <c r="BB1549" s="51"/>
      <c r="BC1549" s="46"/>
      <c r="BD1549" s="46"/>
      <c r="BE1549" s="46"/>
      <c r="BF1549" s="46">
        <v>1</v>
      </c>
      <c r="BG1549" s="46">
        <v>1</v>
      </c>
      <c r="BH1549" s="46">
        <v>1</v>
      </c>
      <c r="BI1549" s="46" t="s">
        <v>1205</v>
      </c>
      <c r="BJ1549" s="46" t="s">
        <v>588</v>
      </c>
      <c r="BK1549" s="46">
        <v>2016</v>
      </c>
      <c r="BL1549" s="46" t="str">
        <f>BK1549&amp;BI1549</f>
        <v>2016Stoke City</v>
      </c>
      <c r="BM1549" s="52" t="s">
        <v>588</v>
      </c>
      <c r="BN1549" s="46"/>
      <c r="BO1549" s="46"/>
      <c r="BP1549" s="46"/>
      <c r="BQ1549" s="46"/>
      <c r="BR1549" s="46"/>
      <c r="BS1549" s="46"/>
      <c r="BT1549" s="46"/>
      <c r="BU1549" s="46"/>
      <c r="BV1549" s="46" t="s">
        <v>376</v>
      </c>
      <c r="BW1549" s="46" t="s">
        <v>376</v>
      </c>
      <c r="BX1549" s="46"/>
      <c r="BY1549" s="52"/>
      <c r="CB1549" s="93" t="str">
        <f>IF(OR(C1549="",A1549="",B1549=""),"",TEXT(C1549,"0000")&amp;TEXT(A1549,"00")&amp;TEXT(B1549,"00"))</f>
        <v>20160126</v>
      </c>
    </row>
    <row r="1550" spans="1:80" s="53" customFormat="1" ht="12.75" x14ac:dyDescent="0.2">
      <c r="A1550" s="46">
        <v>1</v>
      </c>
      <c r="B1550" s="46">
        <v>27</v>
      </c>
      <c r="C1550" s="46">
        <v>2016</v>
      </c>
      <c r="D1550" s="46" t="s">
        <v>658</v>
      </c>
      <c r="E1550" s="46" t="s">
        <v>206</v>
      </c>
      <c r="F1550" s="46" t="s">
        <v>1327</v>
      </c>
      <c r="G1550" s="46"/>
      <c r="H1550" s="46" t="s">
        <v>1011</v>
      </c>
      <c r="I1550" s="46">
        <v>2</v>
      </c>
      <c r="J1550" s="64">
        <v>42396</v>
      </c>
      <c r="K1550" s="46" t="s">
        <v>823</v>
      </c>
      <c r="L1550" s="46" t="s">
        <v>3</v>
      </c>
      <c r="M1550" s="46" t="s">
        <v>804</v>
      </c>
      <c r="N1550" s="49">
        <v>3</v>
      </c>
      <c r="O1550" s="49">
        <v>1</v>
      </c>
      <c r="P1550" s="46" t="s">
        <v>1420</v>
      </c>
      <c r="Q1550" s="46" t="s">
        <v>1101</v>
      </c>
      <c r="R1550" s="46" t="s">
        <v>376</v>
      </c>
      <c r="S1550" s="46"/>
      <c r="T1550" s="46"/>
      <c r="U1550" s="46"/>
      <c r="V1550" s="46"/>
      <c r="W1550" s="46"/>
      <c r="X1550" s="46"/>
      <c r="Y1550" s="46"/>
      <c r="Z1550" s="46"/>
      <c r="AA1550" s="77">
        <v>4</v>
      </c>
      <c r="AB1550" s="77">
        <v>3</v>
      </c>
      <c r="AC1550" s="78">
        <v>1</v>
      </c>
      <c r="AD1550" s="46" t="s">
        <v>1033</v>
      </c>
      <c r="AE1550" s="50">
        <f>IF(L1550="W",1,0)</f>
        <v>1</v>
      </c>
      <c r="AF1550" s="50">
        <f>IF(L1550="T",1,0)</f>
        <v>0</v>
      </c>
      <c r="AG1550" s="50">
        <f>IF(L1550="L",1,0)</f>
        <v>0</v>
      </c>
      <c r="AH1550" s="46" t="s">
        <v>1101</v>
      </c>
      <c r="AI1550" s="46" t="s">
        <v>1159</v>
      </c>
      <c r="AJ1550" s="46" t="s">
        <v>376</v>
      </c>
      <c r="AK1550" s="46" t="s">
        <v>658</v>
      </c>
      <c r="AL1550" s="46" t="s">
        <v>588</v>
      </c>
      <c r="AM1550" s="46" t="s">
        <v>1175</v>
      </c>
      <c r="AN1550" s="46" t="s">
        <v>376</v>
      </c>
      <c r="AO1550" s="46" t="s">
        <v>658</v>
      </c>
      <c r="AP1550" s="46"/>
      <c r="AQ1550" s="46">
        <v>2</v>
      </c>
      <c r="AR1550" s="46"/>
      <c r="AS1550" s="46"/>
      <c r="AT1550" s="46"/>
      <c r="AU1550" s="46" t="s">
        <v>376</v>
      </c>
      <c r="AV1550" s="46"/>
      <c r="AW1550" s="46" t="s">
        <v>30</v>
      </c>
      <c r="AX1550" s="46"/>
      <c r="AY1550" s="46"/>
      <c r="AZ1550" s="46" t="s">
        <v>30</v>
      </c>
      <c r="BA1550" s="46"/>
      <c r="BB1550" s="51"/>
      <c r="BC1550" s="46"/>
      <c r="BD1550" s="46"/>
      <c r="BE1550" s="46"/>
      <c r="BF1550" s="46">
        <v>1</v>
      </c>
      <c r="BG1550" s="46">
        <v>1</v>
      </c>
      <c r="BH1550" s="46">
        <v>1</v>
      </c>
      <c r="BI1550" s="46" t="s">
        <v>823</v>
      </c>
      <c r="BJ1550" s="46" t="s">
        <v>804</v>
      </c>
      <c r="BK1550" s="46">
        <v>2016</v>
      </c>
      <c r="BL1550" s="46" t="str">
        <f>BK1550&amp;BI1550</f>
        <v>2016Manchester City</v>
      </c>
      <c r="BM1550" s="52" t="s">
        <v>823</v>
      </c>
      <c r="BN1550" s="46"/>
      <c r="BO1550" s="46"/>
      <c r="BP1550" s="46"/>
      <c r="BQ1550" s="46"/>
      <c r="BR1550" s="46"/>
      <c r="BS1550" s="46"/>
      <c r="BT1550" s="46"/>
      <c r="BU1550" s="46"/>
      <c r="BV1550" s="46" t="s">
        <v>376</v>
      </c>
      <c r="BW1550" s="46" t="s">
        <v>376</v>
      </c>
      <c r="BX1550" s="46"/>
      <c r="BY1550" s="52"/>
      <c r="CB1550" s="93" t="str">
        <f>IF(OR(C1550="",A1550="",B1550=""),"",TEXT(C1550,"0000")&amp;TEXT(A1550,"00")&amp;TEXT(B1550,"00"))</f>
        <v>20160127</v>
      </c>
    </row>
    <row r="1551" spans="1:80" s="53" customFormat="1" ht="12.75" x14ac:dyDescent="0.2">
      <c r="A1551" s="46">
        <v>1</v>
      </c>
      <c r="B1551" s="46">
        <v>27</v>
      </c>
      <c r="C1551" s="46">
        <v>2016</v>
      </c>
      <c r="D1551" s="46" t="s">
        <v>658</v>
      </c>
      <c r="E1551" s="46" t="s">
        <v>206</v>
      </c>
      <c r="F1551" s="46" t="s">
        <v>1327</v>
      </c>
      <c r="G1551" s="46"/>
      <c r="H1551" s="46" t="s">
        <v>1011</v>
      </c>
      <c r="I1551" s="46">
        <v>2</v>
      </c>
      <c r="J1551" s="64">
        <v>42396</v>
      </c>
      <c r="K1551" s="46" t="s">
        <v>804</v>
      </c>
      <c r="L1551" s="46" t="s">
        <v>4</v>
      </c>
      <c r="M1551" s="46" t="s">
        <v>823</v>
      </c>
      <c r="N1551" s="49">
        <v>1</v>
      </c>
      <c r="O1551" s="49">
        <v>3</v>
      </c>
      <c r="P1551" s="46" t="s">
        <v>1420</v>
      </c>
      <c r="Q1551" s="46" t="s">
        <v>1101</v>
      </c>
      <c r="R1551" s="46" t="s">
        <v>376</v>
      </c>
      <c r="S1551" s="46"/>
      <c r="T1551" s="46"/>
      <c r="U1551" s="46"/>
      <c r="V1551" s="46"/>
      <c r="W1551" s="46"/>
      <c r="X1551" s="46"/>
      <c r="Y1551" s="46"/>
      <c r="Z1551" s="46"/>
      <c r="AA1551" s="77">
        <v>3</v>
      </c>
      <c r="AB1551" s="77">
        <v>4</v>
      </c>
      <c r="AC1551" s="78">
        <v>1</v>
      </c>
      <c r="AD1551" s="46" t="s">
        <v>1037</v>
      </c>
      <c r="AE1551" s="50">
        <f>IF(L1551="W",1,0)</f>
        <v>0</v>
      </c>
      <c r="AF1551" s="50">
        <f>IF(L1551="T",1,0)</f>
        <v>0</v>
      </c>
      <c r="AG1551" s="50">
        <f>IF(L1551="L",1,0)</f>
        <v>1</v>
      </c>
      <c r="AH1551" s="46" t="s">
        <v>588</v>
      </c>
      <c r="AI1551" s="46" t="s">
        <v>1175</v>
      </c>
      <c r="AJ1551" s="46" t="s">
        <v>376</v>
      </c>
      <c r="AK1551" s="46" t="s">
        <v>658</v>
      </c>
      <c r="AL1551" s="46" t="s">
        <v>1101</v>
      </c>
      <c r="AM1551" s="46" t="s">
        <v>1159</v>
      </c>
      <c r="AN1551" s="46" t="s">
        <v>376</v>
      </c>
      <c r="AO1551" s="46" t="s">
        <v>658</v>
      </c>
      <c r="AP1551" s="46"/>
      <c r="AQ1551" s="46">
        <v>2</v>
      </c>
      <c r="AR1551" s="46"/>
      <c r="AS1551" s="46">
        <v>1</v>
      </c>
      <c r="AT1551" s="46"/>
      <c r="AU1551" s="46" t="s">
        <v>376</v>
      </c>
      <c r="AV1551" s="46"/>
      <c r="AW1551" s="46" t="s">
        <v>30</v>
      </c>
      <c r="AX1551" s="46"/>
      <c r="AY1551" s="46"/>
      <c r="AZ1551" s="46" t="s">
        <v>30</v>
      </c>
      <c r="BA1551" s="46"/>
      <c r="BB1551" s="51"/>
      <c r="BC1551" s="46"/>
      <c r="BD1551" s="46"/>
      <c r="BE1551" s="46"/>
      <c r="BF1551" s="46">
        <v>1</v>
      </c>
      <c r="BG1551" s="46">
        <v>1</v>
      </c>
      <c r="BH1551" s="46">
        <v>1</v>
      </c>
      <c r="BI1551" s="46" t="s">
        <v>804</v>
      </c>
      <c r="BJ1551" s="46" t="s">
        <v>823</v>
      </c>
      <c r="BK1551" s="46">
        <v>2016</v>
      </c>
      <c r="BL1551" s="46" t="str">
        <f>BK1551&amp;BI1551</f>
        <v>2016Everton</v>
      </c>
      <c r="BM1551" s="52" t="s">
        <v>823</v>
      </c>
      <c r="BN1551" s="46"/>
      <c r="BO1551" s="46"/>
      <c r="BP1551" s="46"/>
      <c r="BQ1551" s="46"/>
      <c r="BR1551" s="46"/>
      <c r="BS1551" s="46"/>
      <c r="BT1551" s="46"/>
      <c r="BU1551" s="46"/>
      <c r="BV1551" s="46" t="s">
        <v>376</v>
      </c>
      <c r="BW1551" s="46" t="s">
        <v>376</v>
      </c>
      <c r="BX1551" s="46"/>
      <c r="BY1551" s="52"/>
      <c r="CB1551" s="93" t="str">
        <f>IF(OR(C1551="",A1551="",B1551=""),"",TEXT(C1551,"0000")&amp;TEXT(A1551,"00")&amp;TEXT(B1551,"00"))</f>
        <v>20160127</v>
      </c>
    </row>
    <row r="1552" spans="1:80" s="53" customFormat="1" ht="12.75" x14ac:dyDescent="0.2">
      <c r="A1552" s="46">
        <v>2</v>
      </c>
      <c r="B1552" s="46">
        <v>28</v>
      </c>
      <c r="C1552" s="46">
        <v>2016</v>
      </c>
      <c r="D1552" s="46" t="s">
        <v>658</v>
      </c>
      <c r="E1552" s="46" t="s">
        <v>206</v>
      </c>
      <c r="F1552" s="46" t="s">
        <v>1327</v>
      </c>
      <c r="G1552" s="46"/>
      <c r="H1552" s="46" t="s">
        <v>40</v>
      </c>
      <c r="I1552" s="46"/>
      <c r="J1552" s="64">
        <v>42428</v>
      </c>
      <c r="K1552" s="46" t="s">
        <v>588</v>
      </c>
      <c r="L1552" s="46" t="s">
        <v>3</v>
      </c>
      <c r="M1552" s="46" t="s">
        <v>823</v>
      </c>
      <c r="N1552" s="49">
        <v>1</v>
      </c>
      <c r="O1552" s="49">
        <v>1</v>
      </c>
      <c r="P1552" s="46" t="s">
        <v>1415</v>
      </c>
      <c r="Q1552" s="46" t="s">
        <v>1017</v>
      </c>
      <c r="R1552" s="46" t="s">
        <v>376</v>
      </c>
      <c r="S1552" s="46" t="s">
        <v>1390</v>
      </c>
      <c r="T1552" s="46">
        <v>3</v>
      </c>
      <c r="U1552" s="46">
        <v>1</v>
      </c>
      <c r="V1552" s="46"/>
      <c r="W1552" s="46"/>
      <c r="X1552" s="46"/>
      <c r="Y1552" s="46"/>
      <c r="Z1552" s="46"/>
      <c r="AA1552" s="46"/>
      <c r="AB1552" s="46"/>
      <c r="AC1552" s="46"/>
      <c r="AD1552" s="46"/>
      <c r="AE1552" s="50">
        <f>IF(L1552="W",1,0)</f>
        <v>1</v>
      </c>
      <c r="AF1552" s="50">
        <f>IF(L1552="T",1,0)</f>
        <v>0</v>
      </c>
      <c r="AG1552" s="50">
        <f>IF(L1552="L",1,0)</f>
        <v>0</v>
      </c>
      <c r="AH1552" s="46" t="s">
        <v>588</v>
      </c>
      <c r="AI1552" s="46" t="s">
        <v>1175</v>
      </c>
      <c r="AJ1552" s="46" t="s">
        <v>376</v>
      </c>
      <c r="AK1552" s="46" t="s">
        <v>658</v>
      </c>
      <c r="AL1552" s="46" t="s">
        <v>1101</v>
      </c>
      <c r="AM1552" s="46" t="s">
        <v>1159</v>
      </c>
      <c r="AN1552" s="46" t="s">
        <v>376</v>
      </c>
      <c r="AO1552" s="46" t="s">
        <v>658</v>
      </c>
      <c r="AP1552" s="46"/>
      <c r="AQ1552" s="46">
        <v>1</v>
      </c>
      <c r="AR1552" s="46"/>
      <c r="AS1552" s="46">
        <v>1</v>
      </c>
      <c r="AT1552" s="46"/>
      <c r="AU1552" s="46" t="s">
        <v>376</v>
      </c>
      <c r="AV1552" s="46"/>
      <c r="AW1552" s="46" t="s">
        <v>30</v>
      </c>
      <c r="AX1552" s="46"/>
      <c r="AY1552" s="46"/>
      <c r="AZ1552" s="46" t="s">
        <v>30</v>
      </c>
      <c r="BA1552" s="46"/>
      <c r="BB1552" s="51"/>
      <c r="BC1552" s="46" t="s">
        <v>30</v>
      </c>
      <c r="BD1552" s="46"/>
      <c r="BE1552" s="46"/>
      <c r="BF1552" s="46">
        <v>1</v>
      </c>
      <c r="BG1552" s="46">
        <v>1</v>
      </c>
      <c r="BH1552" s="46">
        <v>1</v>
      </c>
      <c r="BI1552" s="46" t="s">
        <v>588</v>
      </c>
      <c r="BJ1552" s="46" t="s">
        <v>823</v>
      </c>
      <c r="BK1552" s="46">
        <v>2016</v>
      </c>
      <c r="BL1552" s="46" t="str">
        <f>BK1552&amp;BI1552</f>
        <v>2016Liverpool</v>
      </c>
      <c r="BM1552" s="52" t="s">
        <v>1017</v>
      </c>
      <c r="BN1552" s="46"/>
      <c r="BO1552" s="46"/>
      <c r="BP1552" s="46"/>
      <c r="BQ1552" s="46"/>
      <c r="BR1552" s="46"/>
      <c r="BS1552" s="46"/>
      <c r="BT1552" s="46"/>
      <c r="BU1552" s="46"/>
      <c r="BV1552" s="46" t="s">
        <v>376</v>
      </c>
      <c r="BW1552" s="46" t="s">
        <v>376</v>
      </c>
      <c r="BX1552" s="46"/>
      <c r="BY1552" s="52"/>
      <c r="CB1552" s="93" t="str">
        <f>IF(OR(C1552="",A1552="",B1552=""),"",TEXT(C1552,"0000")&amp;TEXT(A1552,"00")&amp;TEXT(B1552,"00"))</f>
        <v>20160228</v>
      </c>
    </row>
    <row r="1553" spans="1:80" s="53" customFormat="1" ht="12.75" x14ac:dyDescent="0.2">
      <c r="A1553" s="46">
        <v>2</v>
      </c>
      <c r="B1553" s="46">
        <v>28</v>
      </c>
      <c r="C1553" s="46">
        <v>2016</v>
      </c>
      <c r="D1553" s="46" t="s">
        <v>658</v>
      </c>
      <c r="E1553" s="46" t="s">
        <v>206</v>
      </c>
      <c r="F1553" s="46" t="s">
        <v>1327</v>
      </c>
      <c r="G1553" s="46"/>
      <c r="H1553" s="46" t="s">
        <v>40</v>
      </c>
      <c r="I1553" s="46"/>
      <c r="J1553" s="64">
        <v>42428</v>
      </c>
      <c r="K1553" s="46" t="s">
        <v>823</v>
      </c>
      <c r="L1553" s="46" t="s">
        <v>4</v>
      </c>
      <c r="M1553" s="46" t="s">
        <v>588</v>
      </c>
      <c r="N1553" s="49">
        <v>1</v>
      </c>
      <c r="O1553" s="49">
        <v>1</v>
      </c>
      <c r="P1553" s="46" t="s">
        <v>1415</v>
      </c>
      <c r="Q1553" s="46" t="s">
        <v>1017</v>
      </c>
      <c r="R1553" s="46" t="s">
        <v>376</v>
      </c>
      <c r="S1553" s="46" t="s">
        <v>1390</v>
      </c>
      <c r="T1553" s="46">
        <v>1</v>
      </c>
      <c r="U1553" s="46">
        <v>3</v>
      </c>
      <c r="V1553" s="46"/>
      <c r="W1553" s="46"/>
      <c r="X1553" s="46"/>
      <c r="Y1553" s="46"/>
      <c r="Z1553" s="46"/>
      <c r="AA1553" s="46"/>
      <c r="AB1553" s="46"/>
      <c r="AC1553" s="46"/>
      <c r="AD1553" s="46"/>
      <c r="AE1553" s="50">
        <f>IF(L1553="W",1,0)</f>
        <v>0</v>
      </c>
      <c r="AF1553" s="50">
        <f>IF(L1553="T",1,0)</f>
        <v>0</v>
      </c>
      <c r="AG1553" s="50">
        <f>IF(L1553="L",1,0)</f>
        <v>1</v>
      </c>
      <c r="AH1553" s="46" t="s">
        <v>1101</v>
      </c>
      <c r="AI1553" s="46" t="s">
        <v>1159</v>
      </c>
      <c r="AJ1553" s="46" t="s">
        <v>376</v>
      </c>
      <c r="AK1553" s="46" t="s">
        <v>658</v>
      </c>
      <c r="AL1553" s="46" t="s">
        <v>588</v>
      </c>
      <c r="AM1553" s="46" t="s">
        <v>1175</v>
      </c>
      <c r="AN1553" s="46" t="s">
        <v>376</v>
      </c>
      <c r="AO1553" s="46" t="s">
        <v>658</v>
      </c>
      <c r="AP1553" s="46"/>
      <c r="AQ1553" s="46">
        <v>1</v>
      </c>
      <c r="AR1553" s="46"/>
      <c r="AS1553" s="46" t="s">
        <v>1393</v>
      </c>
      <c r="AT1553" s="46"/>
      <c r="AU1553" s="46" t="s">
        <v>376</v>
      </c>
      <c r="AV1553" s="46"/>
      <c r="AW1553" s="46" t="s">
        <v>30</v>
      </c>
      <c r="AX1553" s="46"/>
      <c r="AY1553" s="46"/>
      <c r="AZ1553" s="49" t="s">
        <v>30</v>
      </c>
      <c r="BA1553" s="46"/>
      <c r="BB1553" s="51" t="s">
        <v>30</v>
      </c>
      <c r="BC1553" s="46" t="s">
        <v>30</v>
      </c>
      <c r="BD1553" s="46"/>
      <c r="BE1553" s="46"/>
      <c r="BF1553" s="46">
        <v>1</v>
      </c>
      <c r="BG1553" s="46">
        <v>1</v>
      </c>
      <c r="BH1553" s="46">
        <v>1</v>
      </c>
      <c r="BI1553" s="46" t="s">
        <v>823</v>
      </c>
      <c r="BJ1553" s="46" t="s">
        <v>588</v>
      </c>
      <c r="BK1553" s="46">
        <v>2016</v>
      </c>
      <c r="BL1553" s="46" t="str">
        <f>BK1553&amp;BI1553</f>
        <v>2016Manchester City</v>
      </c>
      <c r="BM1553" s="52" t="s">
        <v>1017</v>
      </c>
      <c r="BN1553" s="46"/>
      <c r="BO1553" s="46"/>
      <c r="BP1553" s="46"/>
      <c r="BQ1553" s="46"/>
      <c r="BR1553" s="46"/>
      <c r="BS1553" s="46"/>
      <c r="BT1553" s="46"/>
      <c r="BU1553" s="46"/>
      <c r="BV1553" s="46" t="s">
        <v>376</v>
      </c>
      <c r="BW1553" s="46" t="s">
        <v>376</v>
      </c>
      <c r="BX1553" s="46"/>
      <c r="BY1553" s="52"/>
      <c r="CB1553" s="93" t="str">
        <f>IF(OR(C1553="",A1553="",B1553=""),"",TEXT(C1553,"0000")&amp;TEXT(A1553,"00")&amp;TEXT(B1553,"00"))</f>
        <v>20160228</v>
      </c>
    </row>
    <row r="1554" spans="1:80" s="53" customFormat="1" ht="12.75" x14ac:dyDescent="0.2">
      <c r="A1554" s="46">
        <v>4</v>
      </c>
      <c r="B1554" s="46">
        <v>23</v>
      </c>
      <c r="C1554" s="46">
        <v>2016</v>
      </c>
      <c r="D1554" s="46" t="s">
        <v>658</v>
      </c>
      <c r="E1554" s="46" t="s">
        <v>206</v>
      </c>
      <c r="F1554" s="46" t="s">
        <v>1010</v>
      </c>
      <c r="G1554" s="46"/>
      <c r="H1554" s="46" t="s">
        <v>1011</v>
      </c>
      <c r="I1554" s="46"/>
      <c r="J1554" s="64">
        <v>42483</v>
      </c>
      <c r="K1554" s="46" t="s">
        <v>821</v>
      </c>
      <c r="L1554" s="46" t="s">
        <v>3</v>
      </c>
      <c r="M1554" s="46" t="s">
        <v>804</v>
      </c>
      <c r="N1554" s="49">
        <v>2</v>
      </c>
      <c r="O1554" s="49">
        <v>1</v>
      </c>
      <c r="P1554" s="46" t="s">
        <v>1415</v>
      </c>
      <c r="Q1554" s="46" t="s">
        <v>1017</v>
      </c>
      <c r="R1554" s="46" t="s">
        <v>376</v>
      </c>
      <c r="S1554" s="46"/>
      <c r="T1554" s="46"/>
      <c r="U1554" s="46"/>
      <c r="V1554" s="46"/>
      <c r="W1554" s="46"/>
      <c r="X1554" s="46"/>
      <c r="Y1554" s="46"/>
      <c r="Z1554" s="46"/>
      <c r="AA1554" s="46"/>
      <c r="AB1554" s="46"/>
      <c r="AC1554" s="46"/>
      <c r="AD1554" s="46"/>
      <c r="AE1554" s="50">
        <f>IF(L1554="W",1,0)</f>
        <v>1</v>
      </c>
      <c r="AF1554" s="50">
        <f>IF(L1554="T",1,0)</f>
        <v>0</v>
      </c>
      <c r="AG1554" s="50">
        <f>IF(L1554="L",1,0)</f>
        <v>0</v>
      </c>
      <c r="AH1554" s="46" t="s">
        <v>1101</v>
      </c>
      <c r="AI1554" s="46" t="s">
        <v>1159</v>
      </c>
      <c r="AJ1554" s="46" t="s">
        <v>376</v>
      </c>
      <c r="AK1554" s="46" t="s">
        <v>658</v>
      </c>
      <c r="AL1554" s="46" t="s">
        <v>588</v>
      </c>
      <c r="AM1554" s="46" t="s">
        <v>1175</v>
      </c>
      <c r="AN1554" s="46" t="s">
        <v>376</v>
      </c>
      <c r="AO1554" s="46" t="s">
        <v>658</v>
      </c>
      <c r="AP1554" s="46"/>
      <c r="AQ1554" s="46">
        <v>2</v>
      </c>
      <c r="AR1554" s="46"/>
      <c r="AS1554" s="46"/>
      <c r="AT1554" s="46"/>
      <c r="AU1554" s="46" t="s">
        <v>376</v>
      </c>
      <c r="AV1554" s="46"/>
      <c r="AW1554" s="46" t="s">
        <v>30</v>
      </c>
      <c r="AX1554" s="46"/>
      <c r="AY1554" s="46" t="s">
        <v>30</v>
      </c>
      <c r="AZ1554" s="46"/>
      <c r="BA1554" s="46"/>
      <c r="BB1554" s="51"/>
      <c r="BC1554" s="46"/>
      <c r="BD1554" s="46"/>
      <c r="BE1554" s="46"/>
      <c r="BF1554" s="46">
        <v>1</v>
      </c>
      <c r="BG1554" s="46">
        <v>1</v>
      </c>
      <c r="BH1554" s="46">
        <v>1</v>
      </c>
      <c r="BI1554" s="46" t="s">
        <v>821</v>
      </c>
      <c r="BJ1554" s="46" t="s">
        <v>804</v>
      </c>
      <c r="BK1554" s="46">
        <v>2016</v>
      </c>
      <c r="BL1554" s="46" t="str">
        <f>BK1554&amp;BI1554</f>
        <v>2016Manchester United</v>
      </c>
      <c r="BM1554" s="52" t="s">
        <v>1017</v>
      </c>
      <c r="BN1554" s="46"/>
      <c r="BO1554" s="46"/>
      <c r="BP1554" s="46"/>
      <c r="BQ1554" s="46"/>
      <c r="BR1554" s="46"/>
      <c r="BS1554" s="46"/>
      <c r="BT1554" s="46"/>
      <c r="BU1554" s="46"/>
      <c r="BV1554" s="46" t="s">
        <v>376</v>
      </c>
      <c r="BW1554" s="46" t="s">
        <v>376</v>
      </c>
      <c r="BX1554" s="46"/>
      <c r="BY1554" s="52"/>
      <c r="CB1554" s="93" t="str">
        <f>IF(OR(C1554="",A1554="",B1554=""),"",TEXT(C1554,"0000")&amp;TEXT(A1554,"00")&amp;TEXT(B1554,"00"))</f>
        <v>20160423</v>
      </c>
    </row>
    <row r="1555" spans="1:80" s="53" customFormat="1" ht="12.75" x14ac:dyDescent="0.2">
      <c r="A1555" s="46">
        <v>4</v>
      </c>
      <c r="B1555" s="46">
        <v>23</v>
      </c>
      <c r="C1555" s="46">
        <v>2016</v>
      </c>
      <c r="D1555" s="46" t="s">
        <v>658</v>
      </c>
      <c r="E1555" s="46" t="s">
        <v>206</v>
      </c>
      <c r="F1555" s="46" t="s">
        <v>1010</v>
      </c>
      <c r="G1555" s="46"/>
      <c r="H1555" s="46" t="s">
        <v>1011</v>
      </c>
      <c r="I1555" s="46"/>
      <c r="J1555" s="64">
        <v>42483</v>
      </c>
      <c r="K1555" s="46" t="s">
        <v>804</v>
      </c>
      <c r="L1555" s="46" t="s">
        <v>4</v>
      </c>
      <c r="M1555" s="46" t="s">
        <v>821</v>
      </c>
      <c r="N1555" s="49">
        <v>1</v>
      </c>
      <c r="O1555" s="49">
        <v>2</v>
      </c>
      <c r="P1555" s="46" t="s">
        <v>1415</v>
      </c>
      <c r="Q1555" s="46" t="s">
        <v>1017</v>
      </c>
      <c r="R1555" s="46" t="s">
        <v>376</v>
      </c>
      <c r="S1555" s="46"/>
      <c r="T1555" s="46"/>
      <c r="U1555" s="46"/>
      <c r="V1555" s="46"/>
      <c r="W1555" s="46"/>
      <c r="X1555" s="46"/>
      <c r="Y1555" s="46"/>
      <c r="Z1555" s="46"/>
      <c r="AA1555" s="46"/>
      <c r="AB1555" s="46"/>
      <c r="AC1555" s="46"/>
      <c r="AD1555" s="46"/>
      <c r="AE1555" s="50">
        <f>IF(L1555="W",1,0)</f>
        <v>0</v>
      </c>
      <c r="AF1555" s="50">
        <f>IF(L1555="T",1,0)</f>
        <v>0</v>
      </c>
      <c r="AG1555" s="50">
        <f>IF(L1555="L",1,0)</f>
        <v>1</v>
      </c>
      <c r="AH1555" s="46" t="s">
        <v>588</v>
      </c>
      <c r="AI1555" s="46" t="s">
        <v>1175</v>
      </c>
      <c r="AJ1555" s="46" t="s">
        <v>376</v>
      </c>
      <c r="AK1555" s="46" t="s">
        <v>658</v>
      </c>
      <c r="AL1555" s="46" t="s">
        <v>1101</v>
      </c>
      <c r="AM1555" s="46" t="s">
        <v>1159</v>
      </c>
      <c r="AN1555" s="46" t="s">
        <v>376</v>
      </c>
      <c r="AO1555" s="46" t="s">
        <v>658</v>
      </c>
      <c r="AP1555" s="46"/>
      <c r="AQ1555" s="46">
        <v>2</v>
      </c>
      <c r="AR1555" s="46"/>
      <c r="AS1555" s="46">
        <v>1</v>
      </c>
      <c r="AT1555" s="46"/>
      <c r="AU1555" s="46" t="s">
        <v>376</v>
      </c>
      <c r="AV1555" s="46"/>
      <c r="AW1555" s="46" t="s">
        <v>30</v>
      </c>
      <c r="AX1555" s="46"/>
      <c r="AY1555" s="46" t="s">
        <v>30</v>
      </c>
      <c r="AZ1555" s="46"/>
      <c r="BA1555" s="46"/>
      <c r="BB1555" s="51"/>
      <c r="BC1555" s="46"/>
      <c r="BD1555" s="46"/>
      <c r="BE1555" s="46"/>
      <c r="BF1555" s="46">
        <v>1</v>
      </c>
      <c r="BG1555" s="46">
        <v>1</v>
      </c>
      <c r="BH1555" s="46">
        <v>1</v>
      </c>
      <c r="BI1555" s="46" t="s">
        <v>804</v>
      </c>
      <c r="BJ1555" s="46" t="s">
        <v>821</v>
      </c>
      <c r="BK1555" s="46">
        <v>2016</v>
      </c>
      <c r="BL1555" s="46" t="str">
        <f>BK1555&amp;BI1555</f>
        <v>2016Everton</v>
      </c>
      <c r="BM1555" s="52" t="s">
        <v>1017</v>
      </c>
      <c r="BN1555" s="46"/>
      <c r="BO1555" s="46"/>
      <c r="BP1555" s="46"/>
      <c r="BQ1555" s="46"/>
      <c r="BR1555" s="46"/>
      <c r="BS1555" s="46"/>
      <c r="BT1555" s="46"/>
      <c r="BU1555" s="46"/>
      <c r="BV1555" s="46" t="s">
        <v>376</v>
      </c>
      <c r="BW1555" s="46" t="s">
        <v>376</v>
      </c>
      <c r="BX1555" s="46"/>
      <c r="BY1555" s="52"/>
      <c r="CB1555" s="93" t="str">
        <f>IF(OR(C1555="",A1555="",B1555=""),"",TEXT(C1555,"0000")&amp;TEXT(A1555,"00")&amp;TEXT(B1555,"00"))</f>
        <v>20160423</v>
      </c>
    </row>
    <row r="1556" spans="1:80" s="53" customFormat="1" ht="12.75" x14ac:dyDescent="0.2">
      <c r="A1556" s="46">
        <v>4</v>
      </c>
      <c r="B1556" s="46">
        <v>24</v>
      </c>
      <c r="C1556" s="46">
        <v>2016</v>
      </c>
      <c r="D1556" s="46" t="s">
        <v>658</v>
      </c>
      <c r="E1556" s="46" t="s">
        <v>206</v>
      </c>
      <c r="F1556" s="46" t="s">
        <v>1010</v>
      </c>
      <c r="G1556" s="46"/>
      <c r="H1556" s="46" t="s">
        <v>1011</v>
      </c>
      <c r="I1556" s="46"/>
      <c r="J1556" s="64">
        <v>42484</v>
      </c>
      <c r="K1556" s="46" t="s">
        <v>798</v>
      </c>
      <c r="L1556" s="46" t="s">
        <v>3</v>
      </c>
      <c r="M1556" s="46" t="s">
        <v>1357</v>
      </c>
      <c r="N1556" s="49">
        <v>2</v>
      </c>
      <c r="O1556" s="49">
        <v>1</v>
      </c>
      <c r="P1556" s="46" t="s">
        <v>1415</v>
      </c>
      <c r="Q1556" s="46" t="s">
        <v>1017</v>
      </c>
      <c r="R1556" s="46" t="s">
        <v>376</v>
      </c>
      <c r="S1556" s="46"/>
      <c r="T1556" s="46"/>
      <c r="U1556" s="46"/>
      <c r="V1556" s="46"/>
      <c r="W1556" s="46"/>
      <c r="X1556" s="46"/>
      <c r="Y1556" s="46"/>
      <c r="Z1556" s="46"/>
      <c r="AA1556" s="46"/>
      <c r="AB1556" s="46"/>
      <c r="AC1556" s="46"/>
      <c r="AD1556" s="46"/>
      <c r="AE1556" s="50">
        <f>IF(L1556="W",1,0)</f>
        <v>1</v>
      </c>
      <c r="AF1556" s="50">
        <f>IF(L1556="T",1,0)</f>
        <v>0</v>
      </c>
      <c r="AG1556" s="50">
        <f>IF(L1556="L",1,0)</f>
        <v>0</v>
      </c>
      <c r="AH1556" s="46" t="s">
        <v>1017</v>
      </c>
      <c r="AI1556" s="46" t="s">
        <v>1018</v>
      </c>
      <c r="AJ1556" s="46" t="s">
        <v>376</v>
      </c>
      <c r="AK1556" s="46" t="s">
        <v>658</v>
      </c>
      <c r="AL1556" s="46" t="s">
        <v>1017</v>
      </c>
      <c r="AM1556" s="46" t="s">
        <v>1371</v>
      </c>
      <c r="AN1556" s="46" t="s">
        <v>376</v>
      </c>
      <c r="AO1556" s="46" t="s">
        <v>658</v>
      </c>
      <c r="AP1556" s="46"/>
      <c r="AQ1556" s="46">
        <v>2</v>
      </c>
      <c r="AR1556" s="46"/>
      <c r="AS1556" s="46"/>
      <c r="AT1556" s="46"/>
      <c r="AU1556" s="46" t="s">
        <v>376</v>
      </c>
      <c r="AV1556" s="46"/>
      <c r="AW1556" s="46" t="s">
        <v>30</v>
      </c>
      <c r="AX1556" s="46"/>
      <c r="AY1556" s="46" t="s">
        <v>30</v>
      </c>
      <c r="AZ1556" s="46"/>
      <c r="BA1556" s="46"/>
      <c r="BB1556" s="51"/>
      <c r="BC1556" s="46"/>
      <c r="BD1556" s="46"/>
      <c r="BE1556" s="46"/>
      <c r="BF1556" s="46">
        <v>1</v>
      </c>
      <c r="BG1556" s="46">
        <v>1</v>
      </c>
      <c r="BH1556" s="46">
        <v>1</v>
      </c>
      <c r="BI1556" s="46" t="s">
        <v>798</v>
      </c>
      <c r="BJ1556" s="46" t="s">
        <v>1357</v>
      </c>
      <c r="BK1556" s="46">
        <v>2016</v>
      </c>
      <c r="BL1556" s="46" t="str">
        <f>BK1556&amp;BI1556</f>
        <v>2016Crystal Palace</v>
      </c>
      <c r="BM1556" s="52" t="s">
        <v>1017</v>
      </c>
      <c r="BN1556" s="46"/>
      <c r="BO1556" s="46"/>
      <c r="BP1556" s="46"/>
      <c r="BQ1556" s="46"/>
      <c r="BR1556" s="46"/>
      <c r="BS1556" s="46"/>
      <c r="BT1556" s="46"/>
      <c r="BU1556" s="46"/>
      <c r="BV1556" s="46" t="s">
        <v>376</v>
      </c>
      <c r="BW1556" s="46" t="s">
        <v>376</v>
      </c>
      <c r="BX1556" s="46"/>
      <c r="BY1556" s="52"/>
      <c r="CB1556" s="93" t="str">
        <f>IF(OR(C1556="",A1556="",B1556=""),"",TEXT(C1556,"0000")&amp;TEXT(A1556,"00")&amp;TEXT(B1556,"00"))</f>
        <v>20160424</v>
      </c>
    </row>
    <row r="1557" spans="1:80" s="53" customFormat="1" ht="12.75" x14ac:dyDescent="0.2">
      <c r="A1557" s="46">
        <v>4</v>
      </c>
      <c r="B1557" s="46">
        <v>24</v>
      </c>
      <c r="C1557" s="46">
        <v>2016</v>
      </c>
      <c r="D1557" s="46" t="s">
        <v>658</v>
      </c>
      <c r="E1557" s="46" t="s">
        <v>206</v>
      </c>
      <c r="F1557" s="46" t="s">
        <v>1010</v>
      </c>
      <c r="G1557" s="46"/>
      <c r="H1557" s="46" t="s">
        <v>1011</v>
      </c>
      <c r="I1557" s="46"/>
      <c r="J1557" s="64">
        <v>42484</v>
      </c>
      <c r="K1557" s="46" t="s">
        <v>1357</v>
      </c>
      <c r="L1557" s="46" t="s">
        <v>4</v>
      </c>
      <c r="M1557" s="46" t="s">
        <v>798</v>
      </c>
      <c r="N1557" s="49">
        <v>1</v>
      </c>
      <c r="O1557" s="49">
        <v>2</v>
      </c>
      <c r="P1557" s="46" t="s">
        <v>1415</v>
      </c>
      <c r="Q1557" s="46" t="s">
        <v>1017</v>
      </c>
      <c r="R1557" s="46" t="s">
        <v>376</v>
      </c>
      <c r="S1557" s="46"/>
      <c r="T1557" s="46"/>
      <c r="U1557" s="46"/>
      <c r="V1557" s="46"/>
      <c r="W1557" s="46"/>
      <c r="X1557" s="46"/>
      <c r="Y1557" s="46"/>
      <c r="Z1557" s="46"/>
      <c r="AA1557" s="46"/>
      <c r="AB1557" s="46"/>
      <c r="AC1557" s="46"/>
      <c r="AD1557" s="46"/>
      <c r="AE1557" s="50">
        <f>IF(L1557="W",1,0)</f>
        <v>0</v>
      </c>
      <c r="AF1557" s="50">
        <f>IF(L1557="T",1,0)</f>
        <v>0</v>
      </c>
      <c r="AG1557" s="50">
        <f>IF(L1557="L",1,0)</f>
        <v>1</v>
      </c>
      <c r="AH1557" s="46" t="s">
        <v>1017</v>
      </c>
      <c r="AI1557" s="46" t="s">
        <v>1371</v>
      </c>
      <c r="AJ1557" s="46" t="s">
        <v>376</v>
      </c>
      <c r="AK1557" s="46" t="s">
        <v>658</v>
      </c>
      <c r="AL1557" s="46" t="s">
        <v>1017</v>
      </c>
      <c r="AM1557" s="46" t="s">
        <v>1018</v>
      </c>
      <c r="AN1557" s="46" t="s">
        <v>376</v>
      </c>
      <c r="AO1557" s="46" t="s">
        <v>658</v>
      </c>
      <c r="AP1557" s="46"/>
      <c r="AQ1557" s="46">
        <v>2</v>
      </c>
      <c r="AR1557" s="46"/>
      <c r="AS1557" s="46">
        <v>1</v>
      </c>
      <c r="AT1557" s="46"/>
      <c r="AU1557" s="46" t="s">
        <v>376</v>
      </c>
      <c r="AV1557" s="46"/>
      <c r="AW1557" s="46" t="s">
        <v>30</v>
      </c>
      <c r="AX1557" s="46"/>
      <c r="AY1557" s="46" t="s">
        <v>30</v>
      </c>
      <c r="AZ1557" s="46"/>
      <c r="BA1557" s="46"/>
      <c r="BB1557" s="51"/>
      <c r="BC1557" s="46"/>
      <c r="BD1557" s="46"/>
      <c r="BE1557" s="46"/>
      <c r="BF1557" s="46">
        <v>1</v>
      </c>
      <c r="BG1557" s="46">
        <v>1</v>
      </c>
      <c r="BH1557" s="46">
        <v>1</v>
      </c>
      <c r="BI1557" s="46" t="s">
        <v>1357</v>
      </c>
      <c r="BJ1557" s="46" t="s">
        <v>798</v>
      </c>
      <c r="BK1557" s="46">
        <v>2016</v>
      </c>
      <c r="BL1557" s="46" t="str">
        <f>BK1557&amp;BI1557</f>
        <v>2016Watford</v>
      </c>
      <c r="BM1557" s="52" t="s">
        <v>1017</v>
      </c>
      <c r="BN1557" s="46"/>
      <c r="BO1557" s="46"/>
      <c r="BP1557" s="46"/>
      <c r="BQ1557" s="46"/>
      <c r="BR1557" s="46"/>
      <c r="BS1557" s="46"/>
      <c r="BT1557" s="46"/>
      <c r="BU1557" s="46"/>
      <c r="BV1557" s="46" t="s">
        <v>376</v>
      </c>
      <c r="BW1557" s="46" t="s">
        <v>376</v>
      </c>
      <c r="BX1557" s="46"/>
      <c r="BY1557" s="52"/>
      <c r="CB1557" s="93" t="str">
        <f>IF(OR(C1557="",A1557="",B1557=""),"",TEXT(C1557,"0000")&amp;TEXT(A1557,"00")&amp;TEXT(B1557,"00"))</f>
        <v>20160424</v>
      </c>
    </row>
    <row r="1558" spans="1:80" s="53" customFormat="1" ht="12.75" x14ac:dyDescent="0.2">
      <c r="A1558" s="46">
        <v>5</v>
      </c>
      <c r="B1558" s="46">
        <v>21</v>
      </c>
      <c r="C1558" s="46">
        <v>2016</v>
      </c>
      <c r="D1558" s="46" t="s">
        <v>658</v>
      </c>
      <c r="E1558" s="46" t="s">
        <v>206</v>
      </c>
      <c r="F1558" s="46" t="s">
        <v>1010</v>
      </c>
      <c r="G1558" s="46"/>
      <c r="H1558" s="46" t="s">
        <v>40</v>
      </c>
      <c r="I1558" s="46"/>
      <c r="J1558" s="64">
        <v>42511</v>
      </c>
      <c r="K1558" s="46" t="s">
        <v>821</v>
      </c>
      <c r="L1558" s="46" t="s">
        <v>3</v>
      </c>
      <c r="M1558" s="46" t="s">
        <v>798</v>
      </c>
      <c r="N1558" s="49">
        <v>2</v>
      </c>
      <c r="O1558" s="49">
        <v>1</v>
      </c>
      <c r="P1558" s="46" t="s">
        <v>1415</v>
      </c>
      <c r="Q1558" s="46" t="s">
        <v>1017</v>
      </c>
      <c r="R1558" s="46" t="s">
        <v>376</v>
      </c>
      <c r="S1558" s="46" t="s">
        <v>1396</v>
      </c>
      <c r="T1558" s="46"/>
      <c r="U1558" s="46"/>
      <c r="V1558" s="46"/>
      <c r="W1558" s="46"/>
      <c r="X1558" s="46"/>
      <c r="Y1558" s="46"/>
      <c r="Z1558" s="46"/>
      <c r="AA1558" s="46"/>
      <c r="AB1558" s="46"/>
      <c r="AC1558" s="46"/>
      <c r="AD1558" s="46"/>
      <c r="AE1558" s="50">
        <f>IF(L1558="W",1,0)</f>
        <v>1</v>
      </c>
      <c r="AF1558" s="50">
        <f>IF(L1558="T",1,0)</f>
        <v>0</v>
      </c>
      <c r="AG1558" s="50">
        <f>IF(L1558="L",1,0)</f>
        <v>0</v>
      </c>
      <c r="AH1558" s="46" t="s">
        <v>1101</v>
      </c>
      <c r="AI1558" s="46" t="s">
        <v>1159</v>
      </c>
      <c r="AJ1558" s="46" t="s">
        <v>376</v>
      </c>
      <c r="AK1558" s="46" t="s">
        <v>658</v>
      </c>
      <c r="AL1558" s="46" t="s">
        <v>1017</v>
      </c>
      <c r="AM1558" s="46" t="s">
        <v>1018</v>
      </c>
      <c r="AN1558" s="46" t="s">
        <v>376</v>
      </c>
      <c r="AO1558" s="46" t="s">
        <v>658</v>
      </c>
      <c r="AP1558" s="46"/>
      <c r="AQ1558" s="46">
        <v>1</v>
      </c>
      <c r="AR1558" s="46"/>
      <c r="AS1558" s="46" t="s">
        <v>1393</v>
      </c>
      <c r="AT1558" s="46"/>
      <c r="AU1558" s="46" t="s">
        <v>376</v>
      </c>
      <c r="AV1558" s="46"/>
      <c r="AW1558" s="46" t="s">
        <v>30</v>
      </c>
      <c r="AX1558" s="46"/>
      <c r="AY1558" s="49" t="s">
        <v>30</v>
      </c>
      <c r="AZ1558" s="46"/>
      <c r="BA1558" s="46"/>
      <c r="BB1558" s="51" t="s">
        <v>30</v>
      </c>
      <c r="BC1558" s="46" t="s">
        <v>30</v>
      </c>
      <c r="BD1558" s="46"/>
      <c r="BE1558" s="46"/>
      <c r="BF1558" s="46">
        <v>1</v>
      </c>
      <c r="BG1558" s="46">
        <v>1</v>
      </c>
      <c r="BH1558" s="46">
        <v>1</v>
      </c>
      <c r="BI1558" s="46" t="s">
        <v>821</v>
      </c>
      <c r="BJ1558" s="46" t="s">
        <v>798</v>
      </c>
      <c r="BK1558" s="46">
        <v>2016</v>
      </c>
      <c r="BL1558" s="46" t="str">
        <f>BK1558&amp;BI1558</f>
        <v>2016Manchester United</v>
      </c>
      <c r="BM1558" s="52" t="s">
        <v>1017</v>
      </c>
      <c r="BN1558" s="46"/>
      <c r="BO1558" s="46"/>
      <c r="BP1558" s="46"/>
      <c r="BQ1558" s="46"/>
      <c r="BR1558" s="46"/>
      <c r="BS1558" s="46"/>
      <c r="BT1558" s="46"/>
      <c r="BU1558" s="46"/>
      <c r="BV1558" s="46" t="s">
        <v>376</v>
      </c>
      <c r="BW1558" s="46" t="s">
        <v>376</v>
      </c>
      <c r="BX1558" s="46"/>
      <c r="BY1558" s="52"/>
      <c r="CB1558" s="93" t="str">
        <f>IF(OR(C1558="",A1558="",B1558=""),"",TEXT(C1558,"0000")&amp;TEXT(A1558,"00")&amp;TEXT(B1558,"00"))</f>
        <v>20160521</v>
      </c>
    </row>
    <row r="1559" spans="1:80" s="53" customFormat="1" ht="12.75" x14ac:dyDescent="0.2">
      <c r="A1559" s="46">
        <v>5</v>
      </c>
      <c r="B1559" s="46">
        <v>21</v>
      </c>
      <c r="C1559" s="46">
        <v>2016</v>
      </c>
      <c r="D1559" s="46" t="s">
        <v>658</v>
      </c>
      <c r="E1559" s="46" t="s">
        <v>206</v>
      </c>
      <c r="F1559" s="46" t="s">
        <v>1010</v>
      </c>
      <c r="G1559" s="46"/>
      <c r="H1559" s="46" t="s">
        <v>40</v>
      </c>
      <c r="I1559" s="46"/>
      <c r="J1559" s="64">
        <v>42511</v>
      </c>
      <c r="K1559" s="46" t="s">
        <v>798</v>
      </c>
      <c r="L1559" s="46" t="s">
        <v>4</v>
      </c>
      <c r="M1559" s="46" t="s">
        <v>821</v>
      </c>
      <c r="N1559" s="49">
        <v>1</v>
      </c>
      <c r="O1559" s="49">
        <v>2</v>
      </c>
      <c r="P1559" s="46" t="s">
        <v>1415</v>
      </c>
      <c r="Q1559" s="46" t="s">
        <v>1017</v>
      </c>
      <c r="R1559" s="46" t="s">
        <v>376</v>
      </c>
      <c r="S1559" s="46" t="s">
        <v>1396</v>
      </c>
      <c r="T1559" s="46"/>
      <c r="U1559" s="46"/>
      <c r="V1559" s="46"/>
      <c r="W1559" s="46"/>
      <c r="X1559" s="46"/>
      <c r="Y1559" s="46"/>
      <c r="Z1559" s="46"/>
      <c r="AA1559" s="46"/>
      <c r="AB1559" s="46"/>
      <c r="AC1559" s="46"/>
      <c r="AD1559" s="46"/>
      <c r="AE1559" s="50">
        <f>IF(L1559="W",1,0)</f>
        <v>0</v>
      </c>
      <c r="AF1559" s="50">
        <f>IF(L1559="T",1,0)</f>
        <v>0</v>
      </c>
      <c r="AG1559" s="50">
        <f>IF(L1559="L",1,0)</f>
        <v>1</v>
      </c>
      <c r="AH1559" s="46" t="s">
        <v>1017</v>
      </c>
      <c r="AI1559" s="46" t="s">
        <v>1018</v>
      </c>
      <c r="AJ1559" s="46" t="s">
        <v>376</v>
      </c>
      <c r="AK1559" s="46" t="s">
        <v>658</v>
      </c>
      <c r="AL1559" s="46" t="s">
        <v>1101</v>
      </c>
      <c r="AM1559" s="46" t="s">
        <v>1159</v>
      </c>
      <c r="AN1559" s="46" t="s">
        <v>376</v>
      </c>
      <c r="AO1559" s="46" t="s">
        <v>658</v>
      </c>
      <c r="AP1559" s="46"/>
      <c r="AQ1559" s="46">
        <v>1</v>
      </c>
      <c r="AR1559" s="46"/>
      <c r="AS1559" s="46">
        <v>1</v>
      </c>
      <c r="AT1559" s="46"/>
      <c r="AU1559" s="46" t="s">
        <v>376</v>
      </c>
      <c r="AV1559" s="46"/>
      <c r="AW1559" s="46" t="s">
        <v>30</v>
      </c>
      <c r="AX1559" s="46"/>
      <c r="AY1559" s="46" t="s">
        <v>30</v>
      </c>
      <c r="AZ1559" s="46"/>
      <c r="BA1559" s="46"/>
      <c r="BB1559" s="51"/>
      <c r="BC1559" s="46" t="s">
        <v>30</v>
      </c>
      <c r="BD1559" s="46"/>
      <c r="BE1559" s="46"/>
      <c r="BF1559" s="46">
        <v>1</v>
      </c>
      <c r="BG1559" s="46">
        <v>1</v>
      </c>
      <c r="BH1559" s="46">
        <v>1</v>
      </c>
      <c r="BI1559" s="46" t="s">
        <v>798</v>
      </c>
      <c r="BJ1559" s="46" t="s">
        <v>821</v>
      </c>
      <c r="BK1559" s="46">
        <v>2016</v>
      </c>
      <c r="BL1559" s="46" t="str">
        <f>BK1559&amp;BI1559</f>
        <v>2016Crystal Palace</v>
      </c>
      <c r="BM1559" s="52" t="s">
        <v>1017</v>
      </c>
      <c r="BN1559" s="46"/>
      <c r="BO1559" s="46"/>
      <c r="BP1559" s="46"/>
      <c r="BQ1559" s="46"/>
      <c r="BR1559" s="46"/>
      <c r="BS1559" s="46"/>
      <c r="BT1559" s="46"/>
      <c r="BU1559" s="46"/>
      <c r="BV1559" s="46" t="s">
        <v>376</v>
      </c>
      <c r="BW1559" s="46" t="s">
        <v>376</v>
      </c>
      <c r="BX1559" s="46"/>
      <c r="BY1559" s="52"/>
      <c r="CB1559" s="93" t="str">
        <f>IF(OR(C1559="",A1559="",B1559=""),"",TEXT(C1559,"0000")&amp;TEXT(A1559,"00")&amp;TEXT(B1559,"00"))</f>
        <v>20160521</v>
      </c>
    </row>
    <row r="1560" spans="1:80" s="53" customFormat="1" ht="12.75" x14ac:dyDescent="0.2">
      <c r="A1560" s="46">
        <v>1</v>
      </c>
      <c r="B1560" s="46">
        <v>10</v>
      </c>
      <c r="C1560" s="46">
        <v>2017</v>
      </c>
      <c r="D1560" s="46" t="s">
        <v>658</v>
      </c>
      <c r="E1560" s="46" t="s">
        <v>203</v>
      </c>
      <c r="F1560" s="46" t="s">
        <v>1327</v>
      </c>
      <c r="G1560" s="46"/>
      <c r="H1560" s="46" t="s">
        <v>1011</v>
      </c>
      <c r="I1560" s="46">
        <v>1</v>
      </c>
      <c r="J1560" s="64">
        <v>42745</v>
      </c>
      <c r="K1560" s="46" t="s">
        <v>821</v>
      </c>
      <c r="L1560" s="46" t="s">
        <v>3</v>
      </c>
      <c r="M1560" s="46" t="s">
        <v>1283</v>
      </c>
      <c r="N1560" s="49">
        <v>2</v>
      </c>
      <c r="O1560" s="49">
        <v>0</v>
      </c>
      <c r="P1560" s="46" t="s">
        <v>1246</v>
      </c>
      <c r="Q1560" s="46" t="s">
        <v>1101</v>
      </c>
      <c r="R1560" s="46" t="s">
        <v>376</v>
      </c>
      <c r="S1560" s="46"/>
      <c r="T1560" s="46"/>
      <c r="U1560" s="46"/>
      <c r="V1560" s="46"/>
      <c r="W1560" s="46"/>
      <c r="X1560" s="46"/>
      <c r="Y1560" s="46"/>
      <c r="Z1560" s="46"/>
      <c r="AA1560" s="77">
        <v>2</v>
      </c>
      <c r="AB1560" s="77">
        <v>0</v>
      </c>
      <c r="AC1560" s="78">
        <v>0</v>
      </c>
      <c r="AD1560" s="46" t="s">
        <v>1033</v>
      </c>
      <c r="AE1560" s="50">
        <f>IF(L1560="W",1,0)</f>
        <v>1</v>
      </c>
      <c r="AF1560" s="50">
        <f>IF(L1560="T",1,0)</f>
        <v>0</v>
      </c>
      <c r="AG1560" s="50">
        <f>IF(L1560="L",1,0)</f>
        <v>0</v>
      </c>
      <c r="AH1560" s="46" t="s">
        <v>1101</v>
      </c>
      <c r="AI1560" s="46" t="s">
        <v>1159</v>
      </c>
      <c r="AJ1560" s="46" t="s">
        <v>376</v>
      </c>
      <c r="AK1560" s="46" t="s">
        <v>658</v>
      </c>
      <c r="AL1560" s="46" t="s">
        <v>1284</v>
      </c>
      <c r="AM1560" s="46" t="s">
        <v>1285</v>
      </c>
      <c r="AN1560" s="46" t="s">
        <v>376</v>
      </c>
      <c r="AO1560" s="46" t="s">
        <v>658</v>
      </c>
      <c r="AP1560" s="46"/>
      <c r="AQ1560" s="46">
        <v>2</v>
      </c>
      <c r="AR1560" s="46"/>
      <c r="AS1560" s="46"/>
      <c r="AT1560" s="46"/>
      <c r="AU1560" s="46" t="s">
        <v>376</v>
      </c>
      <c r="AV1560" s="46"/>
      <c r="AW1560" s="46" t="s">
        <v>30</v>
      </c>
      <c r="AX1560" s="46"/>
      <c r="AY1560" s="46"/>
      <c r="AZ1560" s="46" t="s">
        <v>30</v>
      </c>
      <c r="BA1560" s="46"/>
      <c r="BB1560" s="51"/>
      <c r="BC1560" s="46"/>
      <c r="BD1560" s="46"/>
      <c r="BE1560" s="46"/>
      <c r="BF1560" s="46">
        <v>1</v>
      </c>
      <c r="BG1560" s="46">
        <v>1</v>
      </c>
      <c r="BH1560" s="46">
        <v>1</v>
      </c>
      <c r="BI1560" s="46" t="s">
        <v>821</v>
      </c>
      <c r="BJ1560" s="46" t="s">
        <v>1283</v>
      </c>
      <c r="BK1560" s="46">
        <v>2017</v>
      </c>
      <c r="BL1560" s="46" t="str">
        <f>BK1560&amp;BI1560</f>
        <v>2017Manchester United</v>
      </c>
      <c r="BM1560" s="52" t="s">
        <v>821</v>
      </c>
      <c r="BN1560" s="46"/>
      <c r="BO1560" s="46"/>
      <c r="BP1560" s="46"/>
      <c r="BQ1560" s="46"/>
      <c r="BR1560" s="46"/>
      <c r="BS1560" s="46"/>
      <c r="BT1560" s="46"/>
      <c r="BU1560" s="46"/>
      <c r="BV1560" s="46" t="s">
        <v>376</v>
      </c>
      <c r="BW1560" s="46" t="s">
        <v>376</v>
      </c>
      <c r="BX1560" s="46"/>
      <c r="BY1560" s="46"/>
      <c r="CB1560" s="93" t="str">
        <f>IF(OR(C1560="",A1560="",B1560=""),"",TEXT(C1560,"0000")&amp;TEXT(A1560,"00")&amp;TEXT(B1560,"00"))</f>
        <v>20170110</v>
      </c>
    </row>
    <row r="1561" spans="1:80" s="53" customFormat="1" ht="12.75" x14ac:dyDescent="0.2">
      <c r="A1561" s="46">
        <v>1</v>
      </c>
      <c r="B1561" s="46">
        <v>10</v>
      </c>
      <c r="C1561" s="46">
        <v>2017</v>
      </c>
      <c r="D1561" s="46" t="s">
        <v>658</v>
      </c>
      <c r="E1561" s="46" t="s">
        <v>203</v>
      </c>
      <c r="F1561" s="46" t="s">
        <v>1327</v>
      </c>
      <c r="G1561" s="46"/>
      <c r="H1561" s="46" t="s">
        <v>1011</v>
      </c>
      <c r="I1561" s="46">
        <v>1</v>
      </c>
      <c r="J1561" s="64">
        <v>42745</v>
      </c>
      <c r="K1561" s="46" t="s">
        <v>1283</v>
      </c>
      <c r="L1561" s="46" t="s">
        <v>4</v>
      </c>
      <c r="M1561" s="46" t="s">
        <v>821</v>
      </c>
      <c r="N1561" s="49">
        <v>0</v>
      </c>
      <c r="O1561" s="49">
        <v>2</v>
      </c>
      <c r="P1561" s="46" t="s">
        <v>1246</v>
      </c>
      <c r="Q1561" s="46" t="s">
        <v>1101</v>
      </c>
      <c r="R1561" s="46" t="s">
        <v>376</v>
      </c>
      <c r="S1561" s="46"/>
      <c r="T1561" s="46"/>
      <c r="U1561" s="46"/>
      <c r="V1561" s="46"/>
      <c r="W1561" s="46"/>
      <c r="X1561" s="46"/>
      <c r="Y1561" s="46"/>
      <c r="Z1561" s="46"/>
      <c r="AA1561" s="77">
        <v>0</v>
      </c>
      <c r="AB1561" s="77">
        <v>2</v>
      </c>
      <c r="AC1561" s="78">
        <v>0</v>
      </c>
      <c r="AD1561" s="46" t="s">
        <v>1037</v>
      </c>
      <c r="AE1561" s="50">
        <f>IF(L1561="W",1,0)</f>
        <v>0</v>
      </c>
      <c r="AF1561" s="50">
        <f>IF(L1561="T",1,0)</f>
        <v>0</v>
      </c>
      <c r="AG1561" s="50">
        <f>IF(L1561="L",1,0)</f>
        <v>1</v>
      </c>
      <c r="AH1561" s="46" t="s">
        <v>1284</v>
      </c>
      <c r="AI1561" s="46" t="s">
        <v>1285</v>
      </c>
      <c r="AJ1561" s="46" t="s">
        <v>376</v>
      </c>
      <c r="AK1561" s="46" t="s">
        <v>658</v>
      </c>
      <c r="AL1561" s="46" t="s">
        <v>1101</v>
      </c>
      <c r="AM1561" s="46" t="s">
        <v>1159</v>
      </c>
      <c r="AN1561" s="46" t="s">
        <v>376</v>
      </c>
      <c r="AO1561" s="46" t="s">
        <v>658</v>
      </c>
      <c r="AP1561" s="46"/>
      <c r="AQ1561" s="46">
        <v>2</v>
      </c>
      <c r="AR1561" s="46"/>
      <c r="AS1561" s="46"/>
      <c r="AT1561" s="46"/>
      <c r="AU1561" s="46" t="s">
        <v>376</v>
      </c>
      <c r="AV1561" s="46"/>
      <c r="AW1561" s="46" t="s">
        <v>30</v>
      </c>
      <c r="AX1561" s="46"/>
      <c r="AY1561" s="46"/>
      <c r="AZ1561" s="46" t="s">
        <v>30</v>
      </c>
      <c r="BA1561" s="46"/>
      <c r="BB1561" s="51"/>
      <c r="BC1561" s="46"/>
      <c r="BD1561" s="46"/>
      <c r="BE1561" s="46"/>
      <c r="BF1561" s="46">
        <v>1</v>
      </c>
      <c r="BG1561" s="46">
        <v>1</v>
      </c>
      <c r="BH1561" s="46">
        <v>1</v>
      </c>
      <c r="BI1561" s="46" t="s">
        <v>1283</v>
      </c>
      <c r="BJ1561" s="46" t="s">
        <v>821</v>
      </c>
      <c r="BK1561" s="46">
        <v>2017</v>
      </c>
      <c r="BL1561" s="46" t="str">
        <f>BK1561&amp;BI1561</f>
        <v>2017Hull City</v>
      </c>
      <c r="BM1561" s="52" t="s">
        <v>821</v>
      </c>
      <c r="BN1561" s="46"/>
      <c r="BO1561" s="46"/>
      <c r="BP1561" s="46"/>
      <c r="BQ1561" s="46"/>
      <c r="BR1561" s="46"/>
      <c r="BS1561" s="46"/>
      <c r="BT1561" s="46"/>
      <c r="BU1561" s="46"/>
      <c r="BV1561" s="46" t="s">
        <v>376</v>
      </c>
      <c r="BW1561" s="46" t="s">
        <v>376</v>
      </c>
      <c r="BX1561" s="46"/>
      <c r="BY1561" s="46"/>
      <c r="CB1561" s="93" t="str">
        <f>IF(OR(C1561="",A1561="",B1561=""),"",TEXT(C1561,"0000")&amp;TEXT(A1561,"00")&amp;TEXT(B1561,"00"))</f>
        <v>20170110</v>
      </c>
    </row>
    <row r="1562" spans="1:80" s="53" customFormat="1" ht="12.75" x14ac:dyDescent="0.2">
      <c r="A1562" s="46">
        <v>1</v>
      </c>
      <c r="B1562" s="46">
        <v>11</v>
      </c>
      <c r="C1562" s="46">
        <v>2017</v>
      </c>
      <c r="D1562" s="46" t="s">
        <v>658</v>
      </c>
      <c r="E1562" s="46" t="s">
        <v>203</v>
      </c>
      <c r="F1562" s="46" t="s">
        <v>1327</v>
      </c>
      <c r="G1562" s="46"/>
      <c r="H1562" s="46" t="s">
        <v>1011</v>
      </c>
      <c r="I1562" s="46">
        <v>1</v>
      </c>
      <c r="J1562" s="64">
        <v>42746</v>
      </c>
      <c r="K1562" s="46" t="s">
        <v>629</v>
      </c>
      <c r="L1562" s="46" t="s">
        <v>3</v>
      </c>
      <c r="M1562" s="46" t="s">
        <v>588</v>
      </c>
      <c r="N1562" s="49">
        <v>1</v>
      </c>
      <c r="O1562" s="49">
        <v>0</v>
      </c>
      <c r="P1562" s="46" t="s">
        <v>1425</v>
      </c>
      <c r="Q1562" s="46" t="s">
        <v>629</v>
      </c>
      <c r="R1562" s="46" t="s">
        <v>376</v>
      </c>
      <c r="S1562" s="46"/>
      <c r="T1562" s="46"/>
      <c r="U1562" s="46"/>
      <c r="V1562" s="46"/>
      <c r="W1562" s="46"/>
      <c r="X1562" s="46"/>
      <c r="Y1562" s="46"/>
      <c r="Z1562" s="46"/>
      <c r="AA1562" s="77">
        <v>1</v>
      </c>
      <c r="AB1562" s="77">
        <v>0</v>
      </c>
      <c r="AC1562" s="78">
        <v>0</v>
      </c>
      <c r="AD1562" s="46" t="s">
        <v>1033</v>
      </c>
      <c r="AE1562" s="50">
        <f>IF(L1562="W",1,0)</f>
        <v>1</v>
      </c>
      <c r="AF1562" s="50">
        <f>IF(L1562="T",1,0)</f>
        <v>0</v>
      </c>
      <c r="AG1562" s="50">
        <f>IF(L1562="L",1,0)</f>
        <v>0</v>
      </c>
      <c r="AH1562" s="46" t="s">
        <v>629</v>
      </c>
      <c r="AI1562" s="46" t="s">
        <v>1199</v>
      </c>
      <c r="AJ1562" s="46" t="s">
        <v>376</v>
      </c>
      <c r="AK1562" s="46" t="s">
        <v>658</v>
      </c>
      <c r="AL1562" s="46" t="s">
        <v>588</v>
      </c>
      <c r="AM1562" s="46" t="s">
        <v>1175</v>
      </c>
      <c r="AN1562" s="46" t="s">
        <v>376</v>
      </c>
      <c r="AO1562" s="46" t="s">
        <v>658</v>
      </c>
      <c r="AP1562" s="46"/>
      <c r="AQ1562" s="46">
        <v>2</v>
      </c>
      <c r="AR1562" s="46"/>
      <c r="AS1562" s="46"/>
      <c r="AT1562" s="46"/>
      <c r="AU1562" s="46" t="s">
        <v>376</v>
      </c>
      <c r="AV1562" s="46"/>
      <c r="AW1562" s="46" t="s">
        <v>30</v>
      </c>
      <c r="AX1562" s="46"/>
      <c r="AY1562" s="46"/>
      <c r="AZ1562" s="46" t="s">
        <v>30</v>
      </c>
      <c r="BA1562" s="46"/>
      <c r="BB1562" s="51"/>
      <c r="BC1562" s="46"/>
      <c r="BD1562" s="46"/>
      <c r="BE1562" s="46"/>
      <c r="BF1562" s="46">
        <v>1</v>
      </c>
      <c r="BG1562" s="46">
        <v>1</v>
      </c>
      <c r="BH1562" s="46">
        <v>1</v>
      </c>
      <c r="BI1562" s="46" t="s">
        <v>629</v>
      </c>
      <c r="BJ1562" s="46" t="s">
        <v>588</v>
      </c>
      <c r="BK1562" s="46">
        <v>2017</v>
      </c>
      <c r="BL1562" s="46" t="str">
        <f>BK1562&amp;BI1562</f>
        <v>2017Southampton</v>
      </c>
      <c r="BM1562" s="52" t="s">
        <v>629</v>
      </c>
      <c r="BN1562" s="46"/>
      <c r="BO1562" s="46"/>
      <c r="BP1562" s="46"/>
      <c r="BQ1562" s="46"/>
      <c r="BR1562" s="46"/>
      <c r="BS1562" s="46"/>
      <c r="BT1562" s="46"/>
      <c r="BU1562" s="46"/>
      <c r="BV1562" s="46" t="s">
        <v>376</v>
      </c>
      <c r="BW1562" s="46" t="s">
        <v>376</v>
      </c>
      <c r="BX1562" s="46"/>
      <c r="BY1562" s="46"/>
      <c r="CB1562" s="93" t="str">
        <f>IF(OR(C1562="",A1562="",B1562=""),"",TEXT(C1562,"0000")&amp;TEXT(A1562,"00")&amp;TEXT(B1562,"00"))</f>
        <v>20170111</v>
      </c>
    </row>
    <row r="1563" spans="1:80" s="53" customFormat="1" ht="12.75" x14ac:dyDescent="0.2">
      <c r="A1563" s="46">
        <v>1</v>
      </c>
      <c r="B1563" s="46">
        <v>11</v>
      </c>
      <c r="C1563" s="46">
        <v>2017</v>
      </c>
      <c r="D1563" s="46" t="s">
        <v>658</v>
      </c>
      <c r="E1563" s="46" t="s">
        <v>203</v>
      </c>
      <c r="F1563" s="46" t="s">
        <v>1327</v>
      </c>
      <c r="G1563" s="46"/>
      <c r="H1563" s="46" t="s">
        <v>1011</v>
      </c>
      <c r="I1563" s="46">
        <v>1</v>
      </c>
      <c r="J1563" s="64">
        <v>42746</v>
      </c>
      <c r="K1563" s="46" t="s">
        <v>588</v>
      </c>
      <c r="L1563" s="46" t="s">
        <v>4</v>
      </c>
      <c r="M1563" s="46" t="s">
        <v>629</v>
      </c>
      <c r="N1563" s="49">
        <v>0</v>
      </c>
      <c r="O1563" s="49">
        <v>1</v>
      </c>
      <c r="P1563" s="46" t="s">
        <v>1425</v>
      </c>
      <c r="Q1563" s="46" t="s">
        <v>629</v>
      </c>
      <c r="R1563" s="46" t="s">
        <v>376</v>
      </c>
      <c r="S1563" s="46"/>
      <c r="T1563" s="46"/>
      <c r="U1563" s="46"/>
      <c r="V1563" s="46"/>
      <c r="W1563" s="46"/>
      <c r="X1563" s="46"/>
      <c r="Y1563" s="46"/>
      <c r="Z1563" s="46"/>
      <c r="AA1563" s="77">
        <v>0</v>
      </c>
      <c r="AB1563" s="77">
        <v>1</v>
      </c>
      <c r="AC1563" s="78">
        <v>0</v>
      </c>
      <c r="AD1563" s="46" t="s">
        <v>1037</v>
      </c>
      <c r="AE1563" s="50">
        <f>IF(L1563="W",1,0)</f>
        <v>0</v>
      </c>
      <c r="AF1563" s="50">
        <f>IF(L1563="T",1,0)</f>
        <v>0</v>
      </c>
      <c r="AG1563" s="50">
        <f>IF(L1563="L",1,0)</f>
        <v>1</v>
      </c>
      <c r="AH1563" s="46" t="s">
        <v>588</v>
      </c>
      <c r="AI1563" s="46" t="s">
        <v>1175</v>
      </c>
      <c r="AJ1563" s="46" t="s">
        <v>376</v>
      </c>
      <c r="AK1563" s="46" t="s">
        <v>658</v>
      </c>
      <c r="AL1563" s="46" t="s">
        <v>629</v>
      </c>
      <c r="AM1563" s="46" t="s">
        <v>1199</v>
      </c>
      <c r="AN1563" s="46" t="s">
        <v>376</v>
      </c>
      <c r="AO1563" s="46" t="s">
        <v>658</v>
      </c>
      <c r="AP1563" s="46"/>
      <c r="AQ1563" s="46">
        <v>2</v>
      </c>
      <c r="AR1563" s="46"/>
      <c r="AS1563" s="46"/>
      <c r="AT1563" s="46"/>
      <c r="AU1563" s="46" t="s">
        <v>376</v>
      </c>
      <c r="AV1563" s="46"/>
      <c r="AW1563" s="46" t="s">
        <v>30</v>
      </c>
      <c r="AX1563" s="46"/>
      <c r="AY1563" s="46"/>
      <c r="AZ1563" s="46" t="s">
        <v>30</v>
      </c>
      <c r="BA1563" s="46"/>
      <c r="BB1563" s="51"/>
      <c r="BC1563" s="46"/>
      <c r="BD1563" s="46"/>
      <c r="BE1563" s="46"/>
      <c r="BF1563" s="46">
        <v>1</v>
      </c>
      <c r="BG1563" s="46">
        <v>1</v>
      </c>
      <c r="BH1563" s="46">
        <v>1</v>
      </c>
      <c r="BI1563" s="46" t="s">
        <v>588</v>
      </c>
      <c r="BJ1563" s="46" t="s">
        <v>629</v>
      </c>
      <c r="BK1563" s="46">
        <v>2017</v>
      </c>
      <c r="BL1563" s="46" t="str">
        <f>BK1563&amp;BI1563</f>
        <v>2017Liverpool</v>
      </c>
      <c r="BM1563" s="52" t="s">
        <v>629</v>
      </c>
      <c r="BN1563" s="46"/>
      <c r="BO1563" s="46"/>
      <c r="BP1563" s="46"/>
      <c r="BQ1563" s="46"/>
      <c r="BR1563" s="46"/>
      <c r="BS1563" s="46"/>
      <c r="BT1563" s="46"/>
      <c r="BU1563" s="46"/>
      <c r="BV1563" s="46" t="s">
        <v>376</v>
      </c>
      <c r="BW1563" s="46" t="s">
        <v>376</v>
      </c>
      <c r="BX1563" s="46"/>
      <c r="BY1563" s="46"/>
      <c r="CB1563" s="93" t="str">
        <f>IF(OR(C1563="",A1563="",B1563=""),"",TEXT(C1563,"0000")&amp;TEXT(A1563,"00")&amp;TEXT(B1563,"00"))</f>
        <v>20170111</v>
      </c>
    </row>
    <row r="1564" spans="1:80" s="53" customFormat="1" ht="12.75" x14ac:dyDescent="0.2">
      <c r="A1564" s="46">
        <v>1</v>
      </c>
      <c r="B1564" s="46">
        <v>25</v>
      </c>
      <c r="C1564" s="46">
        <v>2017</v>
      </c>
      <c r="D1564" s="46" t="s">
        <v>658</v>
      </c>
      <c r="E1564" s="46" t="s">
        <v>203</v>
      </c>
      <c r="F1564" s="46" t="s">
        <v>1327</v>
      </c>
      <c r="G1564" s="46"/>
      <c r="H1564" s="46" t="s">
        <v>1011</v>
      </c>
      <c r="I1564" s="46">
        <v>2</v>
      </c>
      <c r="J1564" s="64">
        <v>42760</v>
      </c>
      <c r="K1564" s="46" t="s">
        <v>588</v>
      </c>
      <c r="L1564" s="46" t="s">
        <v>4</v>
      </c>
      <c r="M1564" s="46" t="s">
        <v>629</v>
      </c>
      <c r="N1564" s="49">
        <v>0</v>
      </c>
      <c r="O1564" s="49">
        <v>1</v>
      </c>
      <c r="P1564" s="46" t="s">
        <v>1141</v>
      </c>
      <c r="Q1564" s="46" t="s">
        <v>588</v>
      </c>
      <c r="R1564" s="46" t="s">
        <v>376</v>
      </c>
      <c r="S1564" s="46"/>
      <c r="T1564" s="46"/>
      <c r="U1564" s="46"/>
      <c r="V1564" s="46"/>
      <c r="W1564" s="46"/>
      <c r="X1564" s="46"/>
      <c r="Y1564" s="46"/>
      <c r="Z1564" s="46"/>
      <c r="AA1564" s="77">
        <v>0</v>
      </c>
      <c r="AB1564" s="77">
        <v>2</v>
      </c>
      <c r="AC1564" s="78">
        <v>0</v>
      </c>
      <c r="AD1564" s="46" t="s">
        <v>1033</v>
      </c>
      <c r="AE1564" s="50">
        <f>IF(L1564="W",1,0)</f>
        <v>0</v>
      </c>
      <c r="AF1564" s="50">
        <f>IF(L1564="T",1,0)</f>
        <v>0</v>
      </c>
      <c r="AG1564" s="50">
        <f>IF(L1564="L",1,0)</f>
        <v>1</v>
      </c>
      <c r="AH1564" s="46" t="s">
        <v>588</v>
      </c>
      <c r="AI1564" s="46" t="s">
        <v>1175</v>
      </c>
      <c r="AJ1564" s="46" t="s">
        <v>376</v>
      </c>
      <c r="AK1564" s="46" t="s">
        <v>658</v>
      </c>
      <c r="AL1564" s="46" t="s">
        <v>629</v>
      </c>
      <c r="AM1564" s="46" t="s">
        <v>1199</v>
      </c>
      <c r="AN1564" s="46" t="s">
        <v>376</v>
      </c>
      <c r="AO1564" s="46" t="s">
        <v>658</v>
      </c>
      <c r="AP1564" s="46"/>
      <c r="AQ1564" s="46">
        <v>2</v>
      </c>
      <c r="AR1564" s="46"/>
      <c r="AS1564" s="46">
        <v>1</v>
      </c>
      <c r="AT1564" s="46"/>
      <c r="AU1564" s="46" t="s">
        <v>376</v>
      </c>
      <c r="AV1564" s="46"/>
      <c r="AW1564" s="46" t="s">
        <v>30</v>
      </c>
      <c r="AX1564" s="46"/>
      <c r="AY1564" s="46"/>
      <c r="AZ1564" s="46" t="s">
        <v>30</v>
      </c>
      <c r="BA1564" s="46"/>
      <c r="BB1564" s="51"/>
      <c r="BC1564" s="46"/>
      <c r="BD1564" s="46"/>
      <c r="BE1564" s="46"/>
      <c r="BF1564" s="46">
        <v>1</v>
      </c>
      <c r="BG1564" s="46">
        <v>1</v>
      </c>
      <c r="BH1564" s="46">
        <v>1</v>
      </c>
      <c r="BI1564" s="46" t="s">
        <v>588</v>
      </c>
      <c r="BJ1564" s="46" t="s">
        <v>629</v>
      </c>
      <c r="BK1564" s="46">
        <v>2017</v>
      </c>
      <c r="BL1564" s="46" t="str">
        <f>BK1564&amp;BI1564</f>
        <v>2017Liverpool</v>
      </c>
      <c r="BM1564" s="52" t="s">
        <v>588</v>
      </c>
      <c r="BN1564" s="46"/>
      <c r="BO1564" s="46"/>
      <c r="BP1564" s="46"/>
      <c r="BQ1564" s="46"/>
      <c r="BR1564" s="46"/>
      <c r="BS1564" s="46"/>
      <c r="BT1564" s="46"/>
      <c r="BU1564" s="46"/>
      <c r="BV1564" s="46" t="s">
        <v>376</v>
      </c>
      <c r="BW1564" s="46" t="s">
        <v>376</v>
      </c>
      <c r="BX1564" s="46"/>
      <c r="BY1564" s="46"/>
      <c r="CB1564" s="93" t="str">
        <f>IF(OR(C1564="",A1564="",B1564=""),"",TEXT(C1564,"0000")&amp;TEXT(A1564,"00")&amp;TEXT(B1564,"00"))</f>
        <v>20170125</v>
      </c>
    </row>
    <row r="1565" spans="1:80" s="53" customFormat="1" ht="12.75" x14ac:dyDescent="0.2">
      <c r="A1565" s="46">
        <v>1</v>
      </c>
      <c r="B1565" s="46">
        <v>25</v>
      </c>
      <c r="C1565" s="46">
        <v>2017</v>
      </c>
      <c r="D1565" s="46" t="s">
        <v>658</v>
      </c>
      <c r="E1565" s="46" t="s">
        <v>203</v>
      </c>
      <c r="F1565" s="46" t="s">
        <v>1327</v>
      </c>
      <c r="G1565" s="46"/>
      <c r="H1565" s="46" t="s">
        <v>1011</v>
      </c>
      <c r="I1565" s="46">
        <v>2</v>
      </c>
      <c r="J1565" s="64">
        <v>42760</v>
      </c>
      <c r="K1565" s="46" t="s">
        <v>629</v>
      </c>
      <c r="L1565" s="46" t="s">
        <v>3</v>
      </c>
      <c r="M1565" s="46" t="s">
        <v>588</v>
      </c>
      <c r="N1565" s="49">
        <v>1</v>
      </c>
      <c r="O1565" s="49">
        <v>0</v>
      </c>
      <c r="P1565" s="46" t="s">
        <v>1141</v>
      </c>
      <c r="Q1565" s="46" t="s">
        <v>588</v>
      </c>
      <c r="R1565" s="46" t="s">
        <v>376</v>
      </c>
      <c r="S1565" s="46"/>
      <c r="T1565" s="46"/>
      <c r="U1565" s="46"/>
      <c r="V1565" s="46"/>
      <c r="W1565" s="46"/>
      <c r="X1565" s="46"/>
      <c r="Y1565" s="46"/>
      <c r="Z1565" s="46"/>
      <c r="AA1565" s="77">
        <v>2</v>
      </c>
      <c r="AB1565" s="77">
        <v>0</v>
      </c>
      <c r="AC1565" s="78">
        <v>1</v>
      </c>
      <c r="AD1565" s="46" t="s">
        <v>1037</v>
      </c>
      <c r="AE1565" s="50">
        <f>IF(L1565="W",1,0)</f>
        <v>1</v>
      </c>
      <c r="AF1565" s="50">
        <f>IF(L1565="T",1,0)</f>
        <v>0</v>
      </c>
      <c r="AG1565" s="50">
        <f>IF(L1565="L",1,0)</f>
        <v>0</v>
      </c>
      <c r="AH1565" s="46" t="s">
        <v>629</v>
      </c>
      <c r="AI1565" s="46" t="s">
        <v>1199</v>
      </c>
      <c r="AJ1565" s="46" t="s">
        <v>376</v>
      </c>
      <c r="AK1565" s="46" t="s">
        <v>658</v>
      </c>
      <c r="AL1565" s="46" t="s">
        <v>588</v>
      </c>
      <c r="AM1565" s="46" t="s">
        <v>1175</v>
      </c>
      <c r="AN1565" s="46" t="s">
        <v>376</v>
      </c>
      <c r="AO1565" s="46" t="s">
        <v>658</v>
      </c>
      <c r="AP1565" s="46"/>
      <c r="AQ1565" s="46">
        <v>2</v>
      </c>
      <c r="AR1565" s="46"/>
      <c r="AS1565" s="46"/>
      <c r="AT1565" s="46"/>
      <c r="AU1565" s="46" t="s">
        <v>376</v>
      </c>
      <c r="AV1565" s="46"/>
      <c r="AW1565" s="46" t="s">
        <v>30</v>
      </c>
      <c r="AX1565" s="46"/>
      <c r="AY1565" s="46"/>
      <c r="AZ1565" s="46" t="s">
        <v>30</v>
      </c>
      <c r="BA1565" s="46"/>
      <c r="BB1565" s="51"/>
      <c r="BC1565" s="46"/>
      <c r="BD1565" s="46"/>
      <c r="BE1565" s="46"/>
      <c r="BF1565" s="46">
        <v>1</v>
      </c>
      <c r="BG1565" s="46">
        <v>1</v>
      </c>
      <c r="BH1565" s="46">
        <v>1</v>
      </c>
      <c r="BI1565" s="46" t="s">
        <v>629</v>
      </c>
      <c r="BJ1565" s="46" t="s">
        <v>588</v>
      </c>
      <c r="BK1565" s="46">
        <v>2017</v>
      </c>
      <c r="BL1565" s="46" t="str">
        <f>BK1565&amp;BI1565</f>
        <v>2017Southampton</v>
      </c>
      <c r="BM1565" s="52" t="s">
        <v>588</v>
      </c>
      <c r="BN1565" s="46"/>
      <c r="BO1565" s="46"/>
      <c r="BP1565" s="46"/>
      <c r="BQ1565" s="46"/>
      <c r="BR1565" s="46"/>
      <c r="BS1565" s="46"/>
      <c r="BT1565" s="46"/>
      <c r="BU1565" s="46"/>
      <c r="BV1565" s="46" t="s">
        <v>376</v>
      </c>
      <c r="BW1565" s="46" t="s">
        <v>376</v>
      </c>
      <c r="BX1565" s="46"/>
      <c r="BY1565" s="46"/>
      <c r="CB1565" s="93" t="str">
        <f>IF(OR(C1565="",A1565="",B1565=""),"",TEXT(C1565,"0000")&amp;TEXT(A1565,"00")&amp;TEXT(B1565,"00"))</f>
        <v>20170125</v>
      </c>
    </row>
    <row r="1566" spans="1:80" s="53" customFormat="1" ht="12.75" x14ac:dyDescent="0.2">
      <c r="A1566" s="46">
        <v>1</v>
      </c>
      <c r="B1566" s="46">
        <v>26</v>
      </c>
      <c r="C1566" s="46">
        <v>2017</v>
      </c>
      <c r="D1566" s="46" t="s">
        <v>658</v>
      </c>
      <c r="E1566" s="46" t="s">
        <v>203</v>
      </c>
      <c r="F1566" s="46" t="s">
        <v>1327</v>
      </c>
      <c r="G1566" s="46"/>
      <c r="H1566" s="46" t="s">
        <v>1011</v>
      </c>
      <c r="I1566" s="46">
        <v>2</v>
      </c>
      <c r="J1566" s="64">
        <v>42761</v>
      </c>
      <c r="K1566" s="46" t="s">
        <v>1283</v>
      </c>
      <c r="L1566" s="46" t="s">
        <v>3</v>
      </c>
      <c r="M1566" s="46" t="s">
        <v>821</v>
      </c>
      <c r="N1566" s="49">
        <v>2</v>
      </c>
      <c r="O1566" s="49">
        <v>1</v>
      </c>
      <c r="P1566" s="46" t="s">
        <v>1426</v>
      </c>
      <c r="Q1566" s="46" t="s">
        <v>1284</v>
      </c>
      <c r="R1566" s="46" t="s">
        <v>376</v>
      </c>
      <c r="S1566" s="46"/>
      <c r="T1566" s="46"/>
      <c r="U1566" s="46"/>
      <c r="V1566" s="46"/>
      <c r="W1566" s="46"/>
      <c r="X1566" s="46"/>
      <c r="Y1566" s="46"/>
      <c r="Z1566" s="46"/>
      <c r="AA1566" s="77">
        <v>2</v>
      </c>
      <c r="AB1566" s="77">
        <v>3</v>
      </c>
      <c r="AC1566" s="78">
        <v>0</v>
      </c>
      <c r="AD1566" s="46" t="s">
        <v>1033</v>
      </c>
      <c r="AE1566" s="50">
        <f>IF(L1566="W",1,0)</f>
        <v>1</v>
      </c>
      <c r="AF1566" s="50">
        <f>IF(L1566="T",1,0)</f>
        <v>0</v>
      </c>
      <c r="AG1566" s="50">
        <f>IF(L1566="L",1,0)</f>
        <v>0</v>
      </c>
      <c r="AH1566" s="46" t="s">
        <v>1284</v>
      </c>
      <c r="AI1566" s="46" t="s">
        <v>1285</v>
      </c>
      <c r="AJ1566" s="46" t="s">
        <v>376</v>
      </c>
      <c r="AK1566" s="46" t="s">
        <v>658</v>
      </c>
      <c r="AL1566" s="46" t="s">
        <v>1101</v>
      </c>
      <c r="AM1566" s="46" t="s">
        <v>1159</v>
      </c>
      <c r="AN1566" s="46" t="s">
        <v>376</v>
      </c>
      <c r="AO1566" s="46" t="s">
        <v>658</v>
      </c>
      <c r="AP1566" s="46"/>
      <c r="AQ1566" s="46">
        <v>2</v>
      </c>
      <c r="AR1566" s="46"/>
      <c r="AS1566" s="46">
        <v>1</v>
      </c>
      <c r="AT1566" s="46"/>
      <c r="AU1566" s="46" t="s">
        <v>376</v>
      </c>
      <c r="AV1566" s="46"/>
      <c r="AW1566" s="46" t="s">
        <v>30</v>
      </c>
      <c r="AX1566" s="46"/>
      <c r="AY1566" s="46"/>
      <c r="AZ1566" s="46" t="s">
        <v>30</v>
      </c>
      <c r="BA1566" s="46"/>
      <c r="BB1566" s="51"/>
      <c r="BC1566" s="46"/>
      <c r="BD1566" s="46"/>
      <c r="BE1566" s="46"/>
      <c r="BF1566" s="46">
        <v>1</v>
      </c>
      <c r="BG1566" s="46">
        <v>1</v>
      </c>
      <c r="BH1566" s="46">
        <v>1</v>
      </c>
      <c r="BI1566" s="46" t="s">
        <v>1283</v>
      </c>
      <c r="BJ1566" s="46" t="s">
        <v>821</v>
      </c>
      <c r="BK1566" s="46">
        <v>2017</v>
      </c>
      <c r="BL1566" s="46" t="str">
        <f>BK1566&amp;BI1566</f>
        <v>2017Hull City</v>
      </c>
      <c r="BM1566" s="52" t="s">
        <v>1283</v>
      </c>
      <c r="BN1566" s="46"/>
      <c r="BO1566" s="46"/>
      <c r="BP1566" s="46"/>
      <c r="BQ1566" s="46"/>
      <c r="BR1566" s="46"/>
      <c r="BS1566" s="46"/>
      <c r="BT1566" s="46"/>
      <c r="BU1566" s="46"/>
      <c r="BV1566" s="46" t="s">
        <v>376</v>
      </c>
      <c r="BW1566" s="46" t="s">
        <v>376</v>
      </c>
      <c r="BX1566" s="46"/>
      <c r="BY1566" s="46"/>
      <c r="CB1566" s="93" t="str">
        <f>IF(OR(C1566="",A1566="",B1566=""),"",TEXT(C1566,"0000")&amp;TEXT(A1566,"00")&amp;TEXT(B1566,"00"))</f>
        <v>20170126</v>
      </c>
    </row>
    <row r="1567" spans="1:80" s="53" customFormat="1" ht="12.75" x14ac:dyDescent="0.2">
      <c r="A1567" s="46">
        <v>1</v>
      </c>
      <c r="B1567" s="46">
        <v>26</v>
      </c>
      <c r="C1567" s="46">
        <v>2017</v>
      </c>
      <c r="D1567" s="46" t="s">
        <v>658</v>
      </c>
      <c r="E1567" s="46" t="s">
        <v>203</v>
      </c>
      <c r="F1567" s="46" t="s">
        <v>1327</v>
      </c>
      <c r="G1567" s="46"/>
      <c r="H1567" s="46" t="s">
        <v>1011</v>
      </c>
      <c r="I1567" s="46">
        <v>2</v>
      </c>
      <c r="J1567" s="64">
        <v>42761</v>
      </c>
      <c r="K1567" s="46" t="s">
        <v>821</v>
      </c>
      <c r="L1567" s="46" t="s">
        <v>4</v>
      </c>
      <c r="M1567" s="46" t="s">
        <v>1283</v>
      </c>
      <c r="N1567" s="49">
        <v>1</v>
      </c>
      <c r="O1567" s="49">
        <v>2</v>
      </c>
      <c r="P1567" s="46" t="s">
        <v>1426</v>
      </c>
      <c r="Q1567" s="46" t="s">
        <v>1284</v>
      </c>
      <c r="R1567" s="46" t="s">
        <v>376</v>
      </c>
      <c r="S1567" s="46"/>
      <c r="T1567" s="46"/>
      <c r="U1567" s="46"/>
      <c r="V1567" s="46"/>
      <c r="W1567" s="46"/>
      <c r="X1567" s="46"/>
      <c r="Y1567" s="46"/>
      <c r="Z1567" s="46"/>
      <c r="AA1567" s="77">
        <v>3</v>
      </c>
      <c r="AB1567" s="77">
        <v>2</v>
      </c>
      <c r="AC1567" s="78">
        <v>1</v>
      </c>
      <c r="AD1567" s="46" t="s">
        <v>1037</v>
      </c>
      <c r="AE1567" s="50">
        <f>IF(L1567="W",1,0)</f>
        <v>0</v>
      </c>
      <c r="AF1567" s="50">
        <f>IF(L1567="T",1,0)</f>
        <v>0</v>
      </c>
      <c r="AG1567" s="50">
        <f>IF(L1567="L",1,0)</f>
        <v>1</v>
      </c>
      <c r="AH1567" s="46" t="s">
        <v>1101</v>
      </c>
      <c r="AI1567" s="46" t="s">
        <v>1159</v>
      </c>
      <c r="AJ1567" s="46" t="s">
        <v>376</v>
      </c>
      <c r="AK1567" s="46" t="s">
        <v>658</v>
      </c>
      <c r="AL1567" s="46" t="s">
        <v>1284</v>
      </c>
      <c r="AM1567" s="46" t="s">
        <v>1285</v>
      </c>
      <c r="AN1567" s="46" t="s">
        <v>376</v>
      </c>
      <c r="AO1567" s="46" t="s">
        <v>658</v>
      </c>
      <c r="AP1567" s="46"/>
      <c r="AQ1567" s="46">
        <v>2</v>
      </c>
      <c r="AR1567" s="46"/>
      <c r="AS1567" s="46"/>
      <c r="AT1567" s="46"/>
      <c r="AU1567" s="46" t="s">
        <v>376</v>
      </c>
      <c r="AV1567" s="46"/>
      <c r="AW1567" s="46" t="s">
        <v>30</v>
      </c>
      <c r="AX1567" s="46"/>
      <c r="AY1567" s="46"/>
      <c r="AZ1567" s="46" t="s">
        <v>30</v>
      </c>
      <c r="BA1567" s="46"/>
      <c r="BB1567" s="51"/>
      <c r="BC1567" s="46"/>
      <c r="BD1567" s="46"/>
      <c r="BE1567" s="46"/>
      <c r="BF1567" s="46">
        <v>1</v>
      </c>
      <c r="BG1567" s="46">
        <v>1</v>
      </c>
      <c r="BH1567" s="46">
        <v>1</v>
      </c>
      <c r="BI1567" s="46" t="s">
        <v>821</v>
      </c>
      <c r="BJ1567" s="46" t="s">
        <v>1283</v>
      </c>
      <c r="BK1567" s="46">
        <v>2017</v>
      </c>
      <c r="BL1567" s="46" t="str">
        <f>BK1567&amp;BI1567</f>
        <v>2017Manchester United</v>
      </c>
      <c r="BM1567" s="52" t="s">
        <v>1283</v>
      </c>
      <c r="BN1567" s="46"/>
      <c r="BO1567" s="46"/>
      <c r="BP1567" s="46"/>
      <c r="BQ1567" s="46"/>
      <c r="BR1567" s="46"/>
      <c r="BS1567" s="46"/>
      <c r="BT1567" s="46"/>
      <c r="BU1567" s="46"/>
      <c r="BV1567" s="46" t="s">
        <v>376</v>
      </c>
      <c r="BW1567" s="46" t="s">
        <v>376</v>
      </c>
      <c r="BX1567" s="46"/>
      <c r="BY1567" s="46"/>
      <c r="CB1567" s="93" t="str">
        <f>IF(OR(C1567="",A1567="",B1567=""),"",TEXT(C1567,"0000")&amp;TEXT(A1567,"00")&amp;TEXT(B1567,"00"))</f>
        <v>20170126</v>
      </c>
    </row>
    <row r="1568" spans="1:80" s="53" customFormat="1" ht="12.75" x14ac:dyDescent="0.2">
      <c r="A1568" s="46">
        <v>2</v>
      </c>
      <c r="B1568" s="46">
        <v>26</v>
      </c>
      <c r="C1568" s="46">
        <v>2017</v>
      </c>
      <c r="D1568" s="46" t="s">
        <v>658</v>
      </c>
      <c r="E1568" s="46" t="s">
        <v>203</v>
      </c>
      <c r="F1568" s="46" t="s">
        <v>1327</v>
      </c>
      <c r="G1568" s="46"/>
      <c r="H1568" s="46" t="s">
        <v>40</v>
      </c>
      <c r="I1568" s="46"/>
      <c r="J1568" s="64">
        <v>42792</v>
      </c>
      <c r="K1568" s="46" t="s">
        <v>821</v>
      </c>
      <c r="L1568" s="46" t="s">
        <v>3</v>
      </c>
      <c r="M1568" s="46" t="s">
        <v>629</v>
      </c>
      <c r="N1568" s="49">
        <v>3</v>
      </c>
      <c r="O1568" s="49">
        <v>2</v>
      </c>
      <c r="P1568" s="46" t="s">
        <v>1415</v>
      </c>
      <c r="Q1568" s="46" t="s">
        <v>1017</v>
      </c>
      <c r="R1568" s="46" t="s">
        <v>376</v>
      </c>
      <c r="S1568" s="46"/>
      <c r="T1568" s="46"/>
      <c r="U1568" s="46"/>
      <c r="V1568" s="46"/>
      <c r="W1568" s="46"/>
      <c r="X1568" s="46"/>
      <c r="Y1568" s="46"/>
      <c r="Z1568" s="46"/>
      <c r="AA1568" s="46"/>
      <c r="AB1568" s="46"/>
      <c r="AC1568" s="46"/>
      <c r="AD1568" s="46"/>
      <c r="AE1568" s="50">
        <f>IF(L1568="W",1,0)</f>
        <v>1</v>
      </c>
      <c r="AF1568" s="50">
        <f>IF(L1568="T",1,0)</f>
        <v>0</v>
      </c>
      <c r="AG1568" s="50">
        <f>IF(L1568="L",1,0)</f>
        <v>0</v>
      </c>
      <c r="AH1568" s="46" t="s">
        <v>1101</v>
      </c>
      <c r="AI1568" s="46" t="s">
        <v>1159</v>
      </c>
      <c r="AJ1568" s="46" t="s">
        <v>376</v>
      </c>
      <c r="AK1568" s="46" t="s">
        <v>658</v>
      </c>
      <c r="AL1568" s="46" t="s">
        <v>629</v>
      </c>
      <c r="AM1568" s="46" t="s">
        <v>1199</v>
      </c>
      <c r="AN1568" s="46" t="s">
        <v>376</v>
      </c>
      <c r="AO1568" s="46" t="s">
        <v>658</v>
      </c>
      <c r="AP1568" s="46"/>
      <c r="AQ1568" s="46">
        <v>1</v>
      </c>
      <c r="AR1568" s="46"/>
      <c r="AS1568" s="46" t="s">
        <v>1393</v>
      </c>
      <c r="AT1568" s="46"/>
      <c r="AU1568" s="46" t="s">
        <v>376</v>
      </c>
      <c r="AV1568" s="46"/>
      <c r="AW1568" s="46" t="s">
        <v>30</v>
      </c>
      <c r="AX1568" s="46"/>
      <c r="AY1568" s="46"/>
      <c r="AZ1568" s="49" t="s">
        <v>30</v>
      </c>
      <c r="BA1568" s="46"/>
      <c r="BB1568" s="51" t="s">
        <v>30</v>
      </c>
      <c r="BC1568" s="46" t="s">
        <v>30</v>
      </c>
      <c r="BD1568" s="46"/>
      <c r="BE1568" s="46"/>
      <c r="BF1568" s="46">
        <v>1</v>
      </c>
      <c r="BG1568" s="46">
        <v>1</v>
      </c>
      <c r="BH1568" s="46">
        <v>1</v>
      </c>
      <c r="BI1568" s="46" t="s">
        <v>821</v>
      </c>
      <c r="BJ1568" s="46" t="s">
        <v>629</v>
      </c>
      <c r="BK1568" s="46">
        <v>2017</v>
      </c>
      <c r="BL1568" s="46" t="str">
        <f>BK1568&amp;BI1568</f>
        <v>2017Manchester United</v>
      </c>
      <c r="BM1568" s="52" t="s">
        <v>1017</v>
      </c>
      <c r="BN1568" s="46"/>
      <c r="BO1568" s="46"/>
      <c r="BP1568" s="46"/>
      <c r="BQ1568" s="46"/>
      <c r="BR1568" s="46"/>
      <c r="BS1568" s="46"/>
      <c r="BT1568" s="46"/>
      <c r="BU1568" s="46"/>
      <c r="BV1568" s="46" t="s">
        <v>376</v>
      </c>
      <c r="BW1568" s="46" t="s">
        <v>376</v>
      </c>
      <c r="BX1568" s="46"/>
      <c r="BY1568" s="46"/>
      <c r="CB1568" s="93" t="str">
        <f>IF(OR(C1568="",A1568="",B1568=""),"",TEXT(C1568,"0000")&amp;TEXT(A1568,"00")&amp;TEXT(B1568,"00"))</f>
        <v>20170226</v>
      </c>
    </row>
    <row r="1569" spans="1:80" s="53" customFormat="1" ht="12.75" x14ac:dyDescent="0.2">
      <c r="A1569" s="46">
        <v>2</v>
      </c>
      <c r="B1569" s="46">
        <v>26</v>
      </c>
      <c r="C1569" s="46">
        <v>2017</v>
      </c>
      <c r="D1569" s="46" t="s">
        <v>658</v>
      </c>
      <c r="E1569" s="46" t="s">
        <v>203</v>
      </c>
      <c r="F1569" s="46" t="s">
        <v>1327</v>
      </c>
      <c r="G1569" s="46"/>
      <c r="H1569" s="46" t="s">
        <v>40</v>
      </c>
      <c r="I1569" s="46"/>
      <c r="J1569" s="64">
        <v>42792</v>
      </c>
      <c r="K1569" s="46" t="s">
        <v>629</v>
      </c>
      <c r="L1569" s="46" t="s">
        <v>4</v>
      </c>
      <c r="M1569" s="46" t="s">
        <v>821</v>
      </c>
      <c r="N1569" s="49">
        <v>2</v>
      </c>
      <c r="O1569" s="49">
        <v>3</v>
      </c>
      <c r="P1569" s="46" t="s">
        <v>1415</v>
      </c>
      <c r="Q1569" s="46" t="s">
        <v>1017</v>
      </c>
      <c r="R1569" s="46" t="s">
        <v>376</v>
      </c>
      <c r="S1569" s="46"/>
      <c r="T1569" s="46"/>
      <c r="U1569" s="46"/>
      <c r="V1569" s="46"/>
      <c r="W1569" s="46"/>
      <c r="X1569" s="46"/>
      <c r="Y1569" s="46"/>
      <c r="Z1569" s="46"/>
      <c r="AA1569" s="46"/>
      <c r="AB1569" s="46"/>
      <c r="AC1569" s="46"/>
      <c r="AD1569" s="46"/>
      <c r="AE1569" s="50">
        <f>IF(L1569="W",1,0)</f>
        <v>0</v>
      </c>
      <c r="AF1569" s="50">
        <f>IF(L1569="T",1,0)</f>
        <v>0</v>
      </c>
      <c r="AG1569" s="50">
        <f>IF(L1569="L",1,0)</f>
        <v>1</v>
      </c>
      <c r="AH1569" s="46" t="s">
        <v>629</v>
      </c>
      <c r="AI1569" s="46" t="s">
        <v>1199</v>
      </c>
      <c r="AJ1569" s="46" t="s">
        <v>376</v>
      </c>
      <c r="AK1569" s="46" t="s">
        <v>658</v>
      </c>
      <c r="AL1569" s="46" t="s">
        <v>1101</v>
      </c>
      <c r="AM1569" s="46" t="s">
        <v>1159</v>
      </c>
      <c r="AN1569" s="46" t="s">
        <v>376</v>
      </c>
      <c r="AO1569" s="46" t="s">
        <v>658</v>
      </c>
      <c r="AP1569" s="46"/>
      <c r="AQ1569" s="46">
        <v>1</v>
      </c>
      <c r="AR1569" s="46"/>
      <c r="AS1569" s="46">
        <v>1</v>
      </c>
      <c r="AT1569" s="46"/>
      <c r="AU1569" s="46" t="s">
        <v>376</v>
      </c>
      <c r="AV1569" s="46"/>
      <c r="AW1569" s="46" t="s">
        <v>30</v>
      </c>
      <c r="AX1569" s="46"/>
      <c r="AY1569" s="46"/>
      <c r="AZ1569" s="46" t="s">
        <v>30</v>
      </c>
      <c r="BA1569" s="46"/>
      <c r="BB1569" s="51"/>
      <c r="BC1569" s="46" t="s">
        <v>30</v>
      </c>
      <c r="BD1569" s="46"/>
      <c r="BE1569" s="46"/>
      <c r="BF1569" s="46">
        <v>1</v>
      </c>
      <c r="BG1569" s="46">
        <v>1</v>
      </c>
      <c r="BH1569" s="46">
        <v>1</v>
      </c>
      <c r="BI1569" s="46" t="s">
        <v>629</v>
      </c>
      <c r="BJ1569" s="46" t="s">
        <v>821</v>
      </c>
      <c r="BK1569" s="46">
        <v>2017</v>
      </c>
      <c r="BL1569" s="46" t="str">
        <f>BK1569&amp;BI1569</f>
        <v>2017Southampton</v>
      </c>
      <c r="BM1569" s="52" t="s">
        <v>1017</v>
      </c>
      <c r="BN1569" s="46"/>
      <c r="BO1569" s="46"/>
      <c r="BP1569" s="46"/>
      <c r="BQ1569" s="46"/>
      <c r="BR1569" s="46"/>
      <c r="BS1569" s="46"/>
      <c r="BT1569" s="46"/>
      <c r="BU1569" s="46"/>
      <c r="BV1569" s="46" t="s">
        <v>376</v>
      </c>
      <c r="BW1569" s="46" t="s">
        <v>376</v>
      </c>
      <c r="BX1569" s="46"/>
      <c r="BY1569" s="46"/>
      <c r="CB1569" s="93" t="str">
        <f>IF(OR(C1569="",A1569="",B1569=""),"",TEXT(C1569,"0000")&amp;TEXT(A1569,"00")&amp;TEXT(B1569,"00"))</f>
        <v>20170226</v>
      </c>
    </row>
    <row r="1570" spans="1:80" s="53" customFormat="1" ht="12.75" x14ac:dyDescent="0.2">
      <c r="A1570" s="46">
        <v>4</v>
      </c>
      <c r="B1570" s="46">
        <v>22</v>
      </c>
      <c r="C1570" s="46">
        <v>2017</v>
      </c>
      <c r="D1570" s="46" t="s">
        <v>658</v>
      </c>
      <c r="E1570" s="46" t="s">
        <v>203</v>
      </c>
      <c r="F1570" s="46" t="s">
        <v>1010</v>
      </c>
      <c r="G1570" s="46"/>
      <c r="H1570" s="46" t="s">
        <v>1011</v>
      </c>
      <c r="I1570" s="46"/>
      <c r="J1570" s="64">
        <v>42847</v>
      </c>
      <c r="K1570" s="46" t="s">
        <v>816</v>
      </c>
      <c r="L1570" s="46" t="s">
        <v>3</v>
      </c>
      <c r="M1570" s="46" t="s">
        <v>813</v>
      </c>
      <c r="N1570" s="49">
        <v>4</v>
      </c>
      <c r="O1570" s="49">
        <v>2</v>
      </c>
      <c r="P1570" s="46" t="s">
        <v>1415</v>
      </c>
      <c r="Q1570" s="46" t="s">
        <v>1017</v>
      </c>
      <c r="R1570" s="46" t="s">
        <v>376</v>
      </c>
      <c r="S1570" s="46"/>
      <c r="T1570" s="46"/>
      <c r="U1570" s="46"/>
      <c r="V1570" s="46"/>
      <c r="W1570" s="46"/>
      <c r="X1570" s="46"/>
      <c r="Y1570" s="46"/>
      <c r="Z1570" s="46"/>
      <c r="AA1570" s="46"/>
      <c r="AB1570" s="46"/>
      <c r="AC1570" s="46"/>
      <c r="AD1570" s="46"/>
      <c r="AE1570" s="50">
        <f>IF(L1570="W",1,0)</f>
        <v>1</v>
      </c>
      <c r="AF1570" s="50">
        <f>IF(L1570="T",1,0)</f>
        <v>0</v>
      </c>
      <c r="AG1570" s="50">
        <f>IF(L1570="L",1,0)</f>
        <v>0</v>
      </c>
      <c r="AH1570" s="46" t="s">
        <v>1017</v>
      </c>
      <c r="AI1570" s="46" t="s">
        <v>1018</v>
      </c>
      <c r="AJ1570" s="46" t="s">
        <v>376</v>
      </c>
      <c r="AK1570" s="46" t="s">
        <v>658</v>
      </c>
      <c r="AL1570" s="46" t="s">
        <v>1017</v>
      </c>
      <c r="AM1570" s="46" t="s">
        <v>1018</v>
      </c>
      <c r="AN1570" s="46" t="s">
        <v>376</v>
      </c>
      <c r="AO1570" s="46" t="s">
        <v>658</v>
      </c>
      <c r="AP1570" s="46"/>
      <c r="AQ1570" s="46">
        <v>2</v>
      </c>
      <c r="AR1570" s="46"/>
      <c r="AS1570" s="46"/>
      <c r="AT1570" s="46"/>
      <c r="AU1570" s="46" t="s">
        <v>376</v>
      </c>
      <c r="AV1570" s="46"/>
      <c r="AW1570" s="46" t="s">
        <v>30</v>
      </c>
      <c r="AX1570" s="46"/>
      <c r="AY1570" s="46" t="s">
        <v>30</v>
      </c>
      <c r="AZ1570" s="46"/>
      <c r="BA1570" s="46"/>
      <c r="BB1570" s="51"/>
      <c r="BC1570" s="46"/>
      <c r="BD1570" s="46"/>
      <c r="BE1570" s="46"/>
      <c r="BF1570" s="46">
        <v>1</v>
      </c>
      <c r="BG1570" s="46">
        <v>1</v>
      </c>
      <c r="BH1570" s="46">
        <v>1</v>
      </c>
      <c r="BI1570" s="46" t="s">
        <v>816</v>
      </c>
      <c r="BJ1570" s="46" t="s">
        <v>813</v>
      </c>
      <c r="BK1570" s="46">
        <v>2017</v>
      </c>
      <c r="BL1570" s="46" t="str">
        <f>BK1570&amp;BI1570</f>
        <v>2017Chelsea</v>
      </c>
      <c r="BM1570" s="52" t="s">
        <v>1017</v>
      </c>
      <c r="BN1570" s="46"/>
      <c r="BO1570" s="46"/>
      <c r="BP1570" s="46"/>
      <c r="BQ1570" s="46"/>
      <c r="BR1570" s="46"/>
      <c r="BS1570" s="46"/>
      <c r="BT1570" s="46"/>
      <c r="BU1570" s="46"/>
      <c r="BV1570" s="46" t="s">
        <v>376</v>
      </c>
      <c r="BW1570" s="46" t="s">
        <v>376</v>
      </c>
      <c r="BX1570" s="46"/>
      <c r="BY1570" s="46"/>
      <c r="CB1570" s="93" t="str">
        <f>IF(OR(C1570="",A1570="",B1570=""),"",TEXT(C1570,"0000")&amp;TEXT(A1570,"00")&amp;TEXT(B1570,"00"))</f>
        <v>20170422</v>
      </c>
    </row>
    <row r="1571" spans="1:80" s="53" customFormat="1" ht="12.75" x14ac:dyDescent="0.2">
      <c r="A1571" s="46">
        <v>4</v>
      </c>
      <c r="B1571" s="46">
        <v>22</v>
      </c>
      <c r="C1571" s="46">
        <v>2017</v>
      </c>
      <c r="D1571" s="46" t="s">
        <v>658</v>
      </c>
      <c r="E1571" s="46" t="s">
        <v>203</v>
      </c>
      <c r="F1571" s="46" t="s">
        <v>1010</v>
      </c>
      <c r="G1571" s="46"/>
      <c r="H1571" s="46" t="s">
        <v>1011</v>
      </c>
      <c r="I1571" s="46"/>
      <c r="J1571" s="64">
        <v>42847</v>
      </c>
      <c r="K1571" s="46" t="s">
        <v>813</v>
      </c>
      <c r="L1571" s="46" t="s">
        <v>4</v>
      </c>
      <c r="M1571" s="46" t="s">
        <v>816</v>
      </c>
      <c r="N1571" s="49">
        <v>2</v>
      </c>
      <c r="O1571" s="49">
        <v>4</v>
      </c>
      <c r="P1571" s="46" t="s">
        <v>1415</v>
      </c>
      <c r="Q1571" s="46" t="s">
        <v>1017</v>
      </c>
      <c r="R1571" s="46" t="s">
        <v>376</v>
      </c>
      <c r="S1571" s="46"/>
      <c r="T1571" s="46"/>
      <c r="U1571" s="46"/>
      <c r="V1571" s="46"/>
      <c r="W1571" s="46"/>
      <c r="X1571" s="46"/>
      <c r="Y1571" s="46"/>
      <c r="Z1571" s="46"/>
      <c r="AA1571" s="46"/>
      <c r="AB1571" s="46"/>
      <c r="AC1571" s="46"/>
      <c r="AD1571" s="46"/>
      <c r="AE1571" s="50">
        <f>IF(L1571="W",1,0)</f>
        <v>0</v>
      </c>
      <c r="AF1571" s="50">
        <f>IF(L1571="T",1,0)</f>
        <v>0</v>
      </c>
      <c r="AG1571" s="50">
        <f>IF(L1571="L",1,0)</f>
        <v>1</v>
      </c>
      <c r="AH1571" s="46" t="s">
        <v>1017</v>
      </c>
      <c r="AI1571" s="46" t="s">
        <v>1018</v>
      </c>
      <c r="AJ1571" s="46" t="s">
        <v>376</v>
      </c>
      <c r="AK1571" s="46" t="s">
        <v>658</v>
      </c>
      <c r="AL1571" s="46" t="s">
        <v>1017</v>
      </c>
      <c r="AM1571" s="46" t="s">
        <v>1018</v>
      </c>
      <c r="AN1571" s="46" t="s">
        <v>376</v>
      </c>
      <c r="AO1571" s="46" t="s">
        <v>658</v>
      </c>
      <c r="AP1571" s="46"/>
      <c r="AQ1571" s="46">
        <v>2</v>
      </c>
      <c r="AR1571" s="46"/>
      <c r="AS1571" s="46">
        <v>1</v>
      </c>
      <c r="AT1571" s="46"/>
      <c r="AU1571" s="46" t="s">
        <v>376</v>
      </c>
      <c r="AV1571" s="46"/>
      <c r="AW1571" s="46" t="s">
        <v>30</v>
      </c>
      <c r="AX1571" s="46"/>
      <c r="AY1571" s="46" t="s">
        <v>30</v>
      </c>
      <c r="AZ1571" s="46"/>
      <c r="BA1571" s="46"/>
      <c r="BB1571" s="51"/>
      <c r="BC1571" s="46"/>
      <c r="BD1571" s="46"/>
      <c r="BE1571" s="46"/>
      <c r="BF1571" s="46">
        <v>1</v>
      </c>
      <c r="BG1571" s="46">
        <v>1</v>
      </c>
      <c r="BH1571" s="46">
        <v>1</v>
      </c>
      <c r="BI1571" s="46" t="s">
        <v>813</v>
      </c>
      <c r="BJ1571" s="46" t="s">
        <v>816</v>
      </c>
      <c r="BK1571" s="46">
        <v>2017</v>
      </c>
      <c r="BL1571" s="46" t="str">
        <f>BK1571&amp;BI1571</f>
        <v>2017Tottenham Hotspur</v>
      </c>
      <c r="BM1571" s="52" t="s">
        <v>1017</v>
      </c>
      <c r="BN1571" s="46"/>
      <c r="BO1571" s="46"/>
      <c r="BP1571" s="46"/>
      <c r="BQ1571" s="46"/>
      <c r="BR1571" s="46"/>
      <c r="BS1571" s="46"/>
      <c r="BT1571" s="46"/>
      <c r="BU1571" s="46"/>
      <c r="BV1571" s="46" t="s">
        <v>376</v>
      </c>
      <c r="BW1571" s="46" t="s">
        <v>376</v>
      </c>
      <c r="BX1571" s="46"/>
      <c r="BY1571" s="46"/>
      <c r="CB1571" s="93" t="str">
        <f>IF(OR(C1571="",A1571="",B1571=""),"",TEXT(C1571,"0000")&amp;TEXT(A1571,"00")&amp;TEXT(B1571,"00"))</f>
        <v>20170422</v>
      </c>
    </row>
    <row r="1572" spans="1:80" s="53" customFormat="1" ht="12.75" x14ac:dyDescent="0.2">
      <c r="A1572" s="46">
        <v>4</v>
      </c>
      <c r="B1572" s="46">
        <v>23</v>
      </c>
      <c r="C1572" s="46">
        <v>2017</v>
      </c>
      <c r="D1572" s="46" t="s">
        <v>658</v>
      </c>
      <c r="E1572" s="46" t="s">
        <v>203</v>
      </c>
      <c r="F1572" s="46" t="s">
        <v>1010</v>
      </c>
      <c r="G1572" s="46"/>
      <c r="H1572" s="46" t="s">
        <v>1011</v>
      </c>
      <c r="I1572" s="46"/>
      <c r="J1572" s="64">
        <v>42848</v>
      </c>
      <c r="K1572" s="46" t="s">
        <v>587</v>
      </c>
      <c r="L1572" s="46" t="s">
        <v>3</v>
      </c>
      <c r="M1572" s="46" t="s">
        <v>823</v>
      </c>
      <c r="N1572" s="49">
        <v>2</v>
      </c>
      <c r="O1572" s="49">
        <v>1</v>
      </c>
      <c r="P1572" s="46" t="s">
        <v>1415</v>
      </c>
      <c r="Q1572" s="46" t="s">
        <v>1017</v>
      </c>
      <c r="R1572" s="46" t="s">
        <v>376</v>
      </c>
      <c r="S1572" s="46" t="s">
        <v>1396</v>
      </c>
      <c r="T1572" s="46"/>
      <c r="U1572" s="46"/>
      <c r="V1572" s="46"/>
      <c r="W1572" s="46"/>
      <c r="X1572" s="46"/>
      <c r="Y1572" s="46"/>
      <c r="Z1572" s="46"/>
      <c r="AA1572" s="46"/>
      <c r="AB1572" s="46"/>
      <c r="AC1572" s="46"/>
      <c r="AD1572" s="46"/>
      <c r="AE1572" s="50">
        <f>IF(L1572="W",1,0)</f>
        <v>1</v>
      </c>
      <c r="AF1572" s="50">
        <f>IF(L1572="T",1,0)</f>
        <v>0</v>
      </c>
      <c r="AG1572" s="50">
        <f>IF(L1572="L",1,0)</f>
        <v>0</v>
      </c>
      <c r="AH1572" s="46" t="s">
        <v>1017</v>
      </c>
      <c r="AI1572" s="46" t="s">
        <v>1018</v>
      </c>
      <c r="AJ1572" s="46" t="s">
        <v>376</v>
      </c>
      <c r="AK1572" s="46" t="s">
        <v>658</v>
      </c>
      <c r="AL1572" s="46" t="s">
        <v>1101</v>
      </c>
      <c r="AM1572" s="46" t="s">
        <v>1159</v>
      </c>
      <c r="AN1572" s="46" t="s">
        <v>376</v>
      </c>
      <c r="AO1572" s="46" t="s">
        <v>658</v>
      </c>
      <c r="AP1572" s="46"/>
      <c r="AQ1572" s="46">
        <v>2</v>
      </c>
      <c r="AR1572" s="46"/>
      <c r="AS1572" s="46"/>
      <c r="AT1572" s="46"/>
      <c r="AU1572" s="46" t="s">
        <v>376</v>
      </c>
      <c r="AV1572" s="46"/>
      <c r="AW1572" s="46" t="s">
        <v>30</v>
      </c>
      <c r="AX1572" s="46"/>
      <c r="AY1572" s="46" t="s">
        <v>30</v>
      </c>
      <c r="AZ1572" s="46"/>
      <c r="BA1572" s="46"/>
      <c r="BB1572" s="51"/>
      <c r="BC1572" s="46"/>
      <c r="BD1572" s="46"/>
      <c r="BE1572" s="46"/>
      <c r="BF1572" s="46">
        <v>1</v>
      </c>
      <c r="BG1572" s="46">
        <v>1</v>
      </c>
      <c r="BH1572" s="46">
        <v>1</v>
      </c>
      <c r="BI1572" s="46" t="s">
        <v>587</v>
      </c>
      <c r="BJ1572" s="46" t="s">
        <v>823</v>
      </c>
      <c r="BK1572" s="46">
        <v>2017</v>
      </c>
      <c r="BL1572" s="46" t="str">
        <f>BK1572&amp;BI1572</f>
        <v>2017Arsenal</v>
      </c>
      <c r="BM1572" s="52" t="s">
        <v>1017</v>
      </c>
      <c r="BN1572" s="46"/>
      <c r="BO1572" s="46"/>
      <c r="BP1572" s="46"/>
      <c r="BQ1572" s="46"/>
      <c r="BR1572" s="46"/>
      <c r="BS1572" s="46"/>
      <c r="BT1572" s="46"/>
      <c r="BU1572" s="46"/>
      <c r="BV1572" s="46" t="s">
        <v>376</v>
      </c>
      <c r="BW1572" s="46" t="s">
        <v>376</v>
      </c>
      <c r="BX1572" s="46"/>
      <c r="BY1572" s="46"/>
      <c r="CB1572" s="93" t="str">
        <f>IF(OR(C1572="",A1572="",B1572=""),"",TEXT(C1572,"0000")&amp;TEXT(A1572,"00")&amp;TEXT(B1572,"00"))</f>
        <v>20170423</v>
      </c>
    </row>
    <row r="1573" spans="1:80" s="53" customFormat="1" ht="12.75" x14ac:dyDescent="0.2">
      <c r="A1573" s="46">
        <v>4</v>
      </c>
      <c r="B1573" s="46">
        <v>23</v>
      </c>
      <c r="C1573" s="46">
        <v>2017</v>
      </c>
      <c r="D1573" s="46" t="s">
        <v>658</v>
      </c>
      <c r="E1573" s="46" t="s">
        <v>203</v>
      </c>
      <c r="F1573" s="46" t="s">
        <v>1010</v>
      </c>
      <c r="G1573" s="46"/>
      <c r="H1573" s="46" t="s">
        <v>1011</v>
      </c>
      <c r="I1573" s="46"/>
      <c r="J1573" s="64">
        <v>42848</v>
      </c>
      <c r="K1573" s="46" t="s">
        <v>823</v>
      </c>
      <c r="L1573" s="46" t="s">
        <v>4</v>
      </c>
      <c r="M1573" s="46" t="s">
        <v>587</v>
      </c>
      <c r="N1573" s="49">
        <v>1</v>
      </c>
      <c r="O1573" s="49">
        <v>2</v>
      </c>
      <c r="P1573" s="46" t="s">
        <v>1415</v>
      </c>
      <c r="Q1573" s="46" t="s">
        <v>1017</v>
      </c>
      <c r="R1573" s="46" t="s">
        <v>376</v>
      </c>
      <c r="S1573" s="46" t="s">
        <v>1396</v>
      </c>
      <c r="T1573" s="46"/>
      <c r="U1573" s="46"/>
      <c r="V1573" s="46"/>
      <c r="W1573" s="46"/>
      <c r="X1573" s="46"/>
      <c r="Y1573" s="46"/>
      <c r="Z1573" s="46"/>
      <c r="AA1573" s="46"/>
      <c r="AB1573" s="46"/>
      <c r="AC1573" s="46"/>
      <c r="AD1573" s="46"/>
      <c r="AE1573" s="50">
        <f>IF(L1573="W",1,0)</f>
        <v>0</v>
      </c>
      <c r="AF1573" s="50">
        <f>IF(L1573="T",1,0)</f>
        <v>0</v>
      </c>
      <c r="AG1573" s="50">
        <f>IF(L1573="L",1,0)</f>
        <v>1</v>
      </c>
      <c r="AH1573" s="46" t="s">
        <v>1101</v>
      </c>
      <c r="AI1573" s="46" t="s">
        <v>1159</v>
      </c>
      <c r="AJ1573" s="46" t="s">
        <v>376</v>
      </c>
      <c r="AK1573" s="46" t="s">
        <v>658</v>
      </c>
      <c r="AL1573" s="46" t="s">
        <v>1017</v>
      </c>
      <c r="AM1573" s="46" t="s">
        <v>1018</v>
      </c>
      <c r="AN1573" s="46" t="s">
        <v>376</v>
      </c>
      <c r="AO1573" s="46" t="s">
        <v>658</v>
      </c>
      <c r="AP1573" s="46"/>
      <c r="AQ1573" s="46">
        <v>2</v>
      </c>
      <c r="AR1573" s="46"/>
      <c r="AS1573" s="46">
        <v>1</v>
      </c>
      <c r="AT1573" s="46"/>
      <c r="AU1573" s="46" t="s">
        <v>376</v>
      </c>
      <c r="AV1573" s="46"/>
      <c r="AW1573" s="46" t="s">
        <v>30</v>
      </c>
      <c r="AX1573" s="46"/>
      <c r="AY1573" s="46" t="s">
        <v>30</v>
      </c>
      <c r="AZ1573" s="46"/>
      <c r="BA1573" s="46"/>
      <c r="BB1573" s="51"/>
      <c r="BC1573" s="46"/>
      <c r="BD1573" s="46"/>
      <c r="BE1573" s="46"/>
      <c r="BF1573" s="46">
        <v>1</v>
      </c>
      <c r="BG1573" s="46">
        <v>1</v>
      </c>
      <c r="BH1573" s="46">
        <v>1</v>
      </c>
      <c r="BI1573" s="46" t="s">
        <v>823</v>
      </c>
      <c r="BJ1573" s="46" t="s">
        <v>587</v>
      </c>
      <c r="BK1573" s="46">
        <v>2017</v>
      </c>
      <c r="BL1573" s="46" t="str">
        <f>BK1573&amp;BI1573</f>
        <v>2017Manchester City</v>
      </c>
      <c r="BM1573" s="52" t="s">
        <v>1017</v>
      </c>
      <c r="BN1573" s="46"/>
      <c r="BO1573" s="46"/>
      <c r="BP1573" s="46"/>
      <c r="BQ1573" s="46"/>
      <c r="BR1573" s="46"/>
      <c r="BS1573" s="46"/>
      <c r="BT1573" s="46"/>
      <c r="BU1573" s="46"/>
      <c r="BV1573" s="46" t="s">
        <v>376</v>
      </c>
      <c r="BW1573" s="46" t="s">
        <v>376</v>
      </c>
      <c r="BX1573" s="46"/>
      <c r="BY1573" s="46"/>
      <c r="CB1573" s="93" t="str">
        <f>IF(OR(C1573="",A1573="",B1573=""),"",TEXT(C1573,"0000")&amp;TEXT(A1573,"00")&amp;TEXT(B1573,"00"))</f>
        <v>20170423</v>
      </c>
    </row>
    <row r="1574" spans="1:80" s="53" customFormat="1" ht="12.75" x14ac:dyDescent="0.2">
      <c r="A1574" s="46">
        <v>5</v>
      </c>
      <c r="B1574" s="46">
        <v>27</v>
      </c>
      <c r="C1574" s="46">
        <v>2017</v>
      </c>
      <c r="D1574" s="46" t="s">
        <v>658</v>
      </c>
      <c r="E1574" s="46" t="s">
        <v>203</v>
      </c>
      <c r="F1574" s="46" t="s">
        <v>1010</v>
      </c>
      <c r="G1574" s="46"/>
      <c r="H1574" s="46" t="s">
        <v>40</v>
      </c>
      <c r="I1574" s="46"/>
      <c r="J1574" s="64">
        <v>42882</v>
      </c>
      <c r="K1574" s="46" t="s">
        <v>587</v>
      </c>
      <c r="L1574" s="46" t="s">
        <v>3</v>
      </c>
      <c r="M1574" s="46" t="s">
        <v>816</v>
      </c>
      <c r="N1574" s="49">
        <v>2</v>
      </c>
      <c r="O1574" s="49">
        <v>1</v>
      </c>
      <c r="P1574" s="46" t="s">
        <v>1415</v>
      </c>
      <c r="Q1574" s="46" t="s">
        <v>1017</v>
      </c>
      <c r="R1574" s="46" t="s">
        <v>376</v>
      </c>
      <c r="S1574" s="46"/>
      <c r="T1574" s="46"/>
      <c r="U1574" s="46"/>
      <c r="V1574" s="46"/>
      <c r="W1574" s="46"/>
      <c r="X1574" s="46"/>
      <c r="Y1574" s="46"/>
      <c r="Z1574" s="46"/>
      <c r="AA1574" s="46"/>
      <c r="AB1574" s="46"/>
      <c r="AC1574" s="46"/>
      <c r="AD1574" s="46"/>
      <c r="AE1574" s="50">
        <f>IF(L1574="W",1,0)</f>
        <v>1</v>
      </c>
      <c r="AF1574" s="50">
        <f>IF(L1574="T",1,0)</f>
        <v>0</v>
      </c>
      <c r="AG1574" s="50">
        <f>IF(L1574="L",1,0)</f>
        <v>0</v>
      </c>
      <c r="AH1574" s="46" t="s">
        <v>1017</v>
      </c>
      <c r="AI1574" s="46" t="s">
        <v>1018</v>
      </c>
      <c r="AJ1574" s="46" t="s">
        <v>376</v>
      </c>
      <c r="AK1574" s="46" t="s">
        <v>658</v>
      </c>
      <c r="AL1574" s="46" t="s">
        <v>1017</v>
      </c>
      <c r="AM1574" s="46" t="s">
        <v>1018</v>
      </c>
      <c r="AN1574" s="46" t="s">
        <v>376</v>
      </c>
      <c r="AO1574" s="46" t="s">
        <v>658</v>
      </c>
      <c r="AP1574" s="46"/>
      <c r="AQ1574" s="46">
        <v>1</v>
      </c>
      <c r="AR1574" s="46"/>
      <c r="AS1574" s="46" t="s">
        <v>1393</v>
      </c>
      <c r="AT1574" s="46"/>
      <c r="AU1574" s="46" t="s">
        <v>376</v>
      </c>
      <c r="AV1574" s="46"/>
      <c r="AW1574" s="46" t="s">
        <v>30</v>
      </c>
      <c r="AX1574" s="46"/>
      <c r="AY1574" s="49" t="s">
        <v>30</v>
      </c>
      <c r="AZ1574" s="46"/>
      <c r="BA1574" s="46"/>
      <c r="BB1574" s="51" t="s">
        <v>30</v>
      </c>
      <c r="BC1574" s="46" t="s">
        <v>30</v>
      </c>
      <c r="BD1574" s="46"/>
      <c r="BE1574" s="46"/>
      <c r="BF1574" s="46">
        <v>1</v>
      </c>
      <c r="BG1574" s="46">
        <v>1</v>
      </c>
      <c r="BH1574" s="46">
        <v>1</v>
      </c>
      <c r="BI1574" s="46" t="s">
        <v>587</v>
      </c>
      <c r="BJ1574" s="46" t="s">
        <v>816</v>
      </c>
      <c r="BK1574" s="46">
        <v>2017</v>
      </c>
      <c r="BL1574" s="46" t="str">
        <f>BK1574&amp;BI1574</f>
        <v>2017Arsenal</v>
      </c>
      <c r="BM1574" s="52" t="s">
        <v>1017</v>
      </c>
      <c r="BN1574" s="46"/>
      <c r="BO1574" s="46"/>
      <c r="BP1574" s="46"/>
      <c r="BQ1574" s="46"/>
      <c r="BR1574" s="46"/>
      <c r="BS1574" s="46"/>
      <c r="BT1574" s="46"/>
      <c r="BU1574" s="46"/>
      <c r="BV1574" s="46" t="s">
        <v>376</v>
      </c>
      <c r="BW1574" s="46" t="s">
        <v>376</v>
      </c>
      <c r="BX1574" s="46"/>
      <c r="BY1574" s="46"/>
      <c r="CB1574" s="93" t="str">
        <f>IF(OR(C1574="",A1574="",B1574=""),"",TEXT(C1574,"0000")&amp;TEXT(A1574,"00")&amp;TEXT(B1574,"00"))</f>
        <v>20170527</v>
      </c>
    </row>
    <row r="1575" spans="1:80" s="53" customFormat="1" ht="12.75" x14ac:dyDescent="0.2">
      <c r="A1575" s="46">
        <v>5</v>
      </c>
      <c r="B1575" s="46">
        <v>27</v>
      </c>
      <c r="C1575" s="46">
        <v>2017</v>
      </c>
      <c r="D1575" s="46" t="s">
        <v>658</v>
      </c>
      <c r="E1575" s="46" t="s">
        <v>203</v>
      </c>
      <c r="F1575" s="46" t="s">
        <v>1010</v>
      </c>
      <c r="G1575" s="46"/>
      <c r="H1575" s="46" t="s">
        <v>40</v>
      </c>
      <c r="I1575" s="46"/>
      <c r="J1575" s="64">
        <v>42882</v>
      </c>
      <c r="K1575" s="46" t="s">
        <v>816</v>
      </c>
      <c r="L1575" s="46" t="s">
        <v>4</v>
      </c>
      <c r="M1575" s="46" t="s">
        <v>587</v>
      </c>
      <c r="N1575" s="49">
        <v>1</v>
      </c>
      <c r="O1575" s="49">
        <v>2</v>
      </c>
      <c r="P1575" s="46" t="s">
        <v>1415</v>
      </c>
      <c r="Q1575" s="46" t="s">
        <v>1017</v>
      </c>
      <c r="R1575" s="46" t="s">
        <v>376</v>
      </c>
      <c r="S1575" s="46"/>
      <c r="T1575" s="46"/>
      <c r="U1575" s="46"/>
      <c r="V1575" s="46"/>
      <c r="W1575" s="46"/>
      <c r="X1575" s="46"/>
      <c r="Y1575" s="46"/>
      <c r="Z1575" s="46"/>
      <c r="AA1575" s="46"/>
      <c r="AB1575" s="46"/>
      <c r="AC1575" s="46"/>
      <c r="AD1575" s="46"/>
      <c r="AE1575" s="50">
        <f>IF(L1575="W",1,0)</f>
        <v>0</v>
      </c>
      <c r="AF1575" s="50">
        <f>IF(L1575="T",1,0)</f>
        <v>0</v>
      </c>
      <c r="AG1575" s="50">
        <f>IF(L1575="L",1,0)</f>
        <v>1</v>
      </c>
      <c r="AH1575" s="46" t="s">
        <v>1017</v>
      </c>
      <c r="AI1575" s="46" t="s">
        <v>1018</v>
      </c>
      <c r="AJ1575" s="46" t="s">
        <v>376</v>
      </c>
      <c r="AK1575" s="46" t="s">
        <v>658</v>
      </c>
      <c r="AL1575" s="46" t="s">
        <v>1017</v>
      </c>
      <c r="AM1575" s="46" t="s">
        <v>1018</v>
      </c>
      <c r="AN1575" s="46" t="s">
        <v>376</v>
      </c>
      <c r="AO1575" s="46" t="s">
        <v>658</v>
      </c>
      <c r="AP1575" s="46"/>
      <c r="AQ1575" s="46">
        <v>1</v>
      </c>
      <c r="AR1575" s="46"/>
      <c r="AS1575" s="46">
        <v>1</v>
      </c>
      <c r="AT1575" s="46"/>
      <c r="AU1575" s="46" t="s">
        <v>376</v>
      </c>
      <c r="AV1575" s="46"/>
      <c r="AW1575" s="46" t="s">
        <v>30</v>
      </c>
      <c r="AX1575" s="46"/>
      <c r="AY1575" s="46" t="s">
        <v>30</v>
      </c>
      <c r="AZ1575" s="46"/>
      <c r="BA1575" s="46"/>
      <c r="BB1575" s="51"/>
      <c r="BC1575" s="46" t="s">
        <v>30</v>
      </c>
      <c r="BD1575" s="46"/>
      <c r="BE1575" s="46"/>
      <c r="BF1575" s="46">
        <v>1</v>
      </c>
      <c r="BG1575" s="46">
        <v>1</v>
      </c>
      <c r="BH1575" s="46">
        <v>1</v>
      </c>
      <c r="BI1575" s="46" t="s">
        <v>816</v>
      </c>
      <c r="BJ1575" s="46" t="s">
        <v>587</v>
      </c>
      <c r="BK1575" s="46">
        <v>2017</v>
      </c>
      <c r="BL1575" s="46" t="str">
        <f>BK1575&amp;BI1575</f>
        <v>2017Chelsea</v>
      </c>
      <c r="BM1575" s="52" t="s">
        <v>1017</v>
      </c>
      <c r="BN1575" s="46"/>
      <c r="BO1575" s="46"/>
      <c r="BP1575" s="46"/>
      <c r="BQ1575" s="46"/>
      <c r="BR1575" s="46"/>
      <c r="BS1575" s="46"/>
      <c r="BT1575" s="46"/>
      <c r="BU1575" s="46"/>
      <c r="BV1575" s="46" t="s">
        <v>376</v>
      </c>
      <c r="BW1575" s="46" t="s">
        <v>376</v>
      </c>
      <c r="BX1575" s="46"/>
      <c r="BY1575" s="46"/>
      <c r="CB1575" s="93" t="str">
        <f>IF(OR(C1575="",A1575="",B1575=""),"",TEXT(C1575,"0000")&amp;TEXT(A1575,"00")&amp;TEXT(B1575,"00"))</f>
        <v>20170527</v>
      </c>
    </row>
    <row r="1576" spans="1:80" s="53" customFormat="1" x14ac:dyDescent="0.25">
      <c r="A1576" s="46">
        <v>1</v>
      </c>
      <c r="B1576" s="46">
        <v>9</v>
      </c>
      <c r="C1576" s="46">
        <v>2018</v>
      </c>
      <c r="D1576" s="46" t="s">
        <v>658</v>
      </c>
      <c r="E1576" s="46" t="s">
        <v>200</v>
      </c>
      <c r="F1576" s="46" t="s">
        <v>1327</v>
      </c>
      <c r="G1576" s="46"/>
      <c r="H1576" s="46" t="s">
        <v>1011</v>
      </c>
      <c r="I1576" s="46">
        <v>1</v>
      </c>
      <c r="J1576" s="79">
        <v>43109</v>
      </c>
      <c r="K1576" s="46" t="s">
        <v>823</v>
      </c>
      <c r="L1576" s="46" t="s">
        <v>3</v>
      </c>
      <c r="M1576" s="46" t="s">
        <v>1236</v>
      </c>
      <c r="N1576" s="49">
        <v>2</v>
      </c>
      <c r="O1576" s="49">
        <v>1</v>
      </c>
      <c r="P1576" s="46" t="s">
        <v>1420</v>
      </c>
      <c r="Q1576" s="46" t="s">
        <v>1101</v>
      </c>
      <c r="R1576" s="46" t="s">
        <v>376</v>
      </c>
      <c r="S1576" s="46"/>
      <c r="T1576" s="46"/>
      <c r="U1576" s="46"/>
      <c r="V1576" s="46"/>
      <c r="W1576" s="46"/>
      <c r="X1576" s="46"/>
      <c r="Y1576" s="46"/>
      <c r="Z1576" s="46"/>
      <c r="AA1576" s="77">
        <v>2</v>
      </c>
      <c r="AB1576" s="77">
        <v>1</v>
      </c>
      <c r="AC1576" s="78">
        <v>0</v>
      </c>
      <c r="AD1576" s="46" t="s">
        <v>1033</v>
      </c>
      <c r="AE1576" s="50">
        <f>IF(L1576="W",1,0)</f>
        <v>1</v>
      </c>
      <c r="AF1576" s="50">
        <f>IF(L1576="T",1,0)</f>
        <v>0</v>
      </c>
      <c r="AG1576" s="50">
        <f>IF(L1576="L",1,0)</f>
        <v>0</v>
      </c>
      <c r="AH1576" s="46" t="s">
        <v>1101</v>
      </c>
      <c r="AI1576" s="46" t="s">
        <v>1159</v>
      </c>
      <c r="AJ1576" s="46" t="s">
        <v>376</v>
      </c>
      <c r="AK1576" s="46" t="s">
        <v>658</v>
      </c>
      <c r="AL1576" s="46" t="s">
        <v>1237</v>
      </c>
      <c r="AM1576" s="46" t="s">
        <v>1237</v>
      </c>
      <c r="AN1576" s="46" t="s">
        <v>376</v>
      </c>
      <c r="AO1576" s="46" t="s">
        <v>658</v>
      </c>
      <c r="AP1576" s="46"/>
      <c r="AQ1576" s="46">
        <v>2</v>
      </c>
      <c r="AR1576" s="46"/>
      <c r="AS1576" s="46"/>
      <c r="AT1576" s="46"/>
      <c r="AU1576" s="46" t="s">
        <v>376</v>
      </c>
      <c r="AV1576" s="46"/>
      <c r="AW1576" s="46" t="s">
        <v>30</v>
      </c>
      <c r="AX1576" s="46"/>
      <c r="AY1576" s="46"/>
      <c r="AZ1576" s="46" t="s">
        <v>30</v>
      </c>
      <c r="BA1576" s="46"/>
      <c r="BB1576" s="51"/>
      <c r="BC1576" s="46"/>
      <c r="BD1576" s="46"/>
      <c r="BE1576" s="46"/>
      <c r="BF1576" s="46">
        <v>1</v>
      </c>
      <c r="BG1576">
        <v>1</v>
      </c>
      <c r="BH1576">
        <v>2</v>
      </c>
      <c r="BI1576" s="46" t="s">
        <v>823</v>
      </c>
      <c r="BJ1576" s="46" t="s">
        <v>1236</v>
      </c>
      <c r="BK1576" s="46">
        <v>2018</v>
      </c>
      <c r="BL1576" s="46" t="str">
        <f>BK1576&amp;BI1576</f>
        <v>2018Manchester City</v>
      </c>
      <c r="BM1576" s="52" t="s">
        <v>823</v>
      </c>
      <c r="BN1576" s="46"/>
      <c r="BO1576" s="46"/>
      <c r="BP1576" s="46"/>
      <c r="BQ1576" s="46"/>
      <c r="BR1576" s="46"/>
      <c r="BS1576" s="46"/>
      <c r="BT1576" s="46"/>
      <c r="BU1576" s="46"/>
      <c r="BV1576" s="46" t="s">
        <v>376</v>
      </c>
      <c r="BW1576" s="46" t="s">
        <v>376</v>
      </c>
      <c r="BX1576" s="46"/>
      <c r="BY1576" s="46"/>
      <c r="CB1576" s="93" t="str">
        <f>IF(OR(C1576="",A1576="",B1576=""),"",TEXT(C1576,"0000")&amp;TEXT(A1576,"00")&amp;TEXT(B1576,"00"))</f>
        <v>20180109</v>
      </c>
    </row>
    <row r="1577" spans="1:80" s="53" customFormat="1" x14ac:dyDescent="0.25">
      <c r="A1577" s="46">
        <v>1</v>
      </c>
      <c r="B1577" s="46">
        <v>9</v>
      </c>
      <c r="C1577" s="46">
        <v>2018</v>
      </c>
      <c r="D1577" s="46" t="s">
        <v>658</v>
      </c>
      <c r="E1577" s="46" t="s">
        <v>200</v>
      </c>
      <c r="F1577" s="46" t="s">
        <v>1327</v>
      </c>
      <c r="G1577" s="46"/>
      <c r="H1577" s="46" t="s">
        <v>1011</v>
      </c>
      <c r="I1577" s="46">
        <v>1</v>
      </c>
      <c r="J1577" s="79">
        <v>43109</v>
      </c>
      <c r="K1577" s="46" t="s">
        <v>1236</v>
      </c>
      <c r="L1577" s="46" t="s">
        <v>4</v>
      </c>
      <c r="M1577" s="46" t="s">
        <v>823</v>
      </c>
      <c r="N1577" s="49">
        <v>1</v>
      </c>
      <c r="O1577" s="49">
        <v>2</v>
      </c>
      <c r="P1577" s="46" t="s">
        <v>1420</v>
      </c>
      <c r="Q1577" s="46" t="s">
        <v>1101</v>
      </c>
      <c r="R1577" s="46" t="s">
        <v>376</v>
      </c>
      <c r="S1577" s="46"/>
      <c r="T1577" s="46"/>
      <c r="U1577" s="46"/>
      <c r="V1577" s="46"/>
      <c r="W1577" s="46"/>
      <c r="X1577" s="46"/>
      <c r="Y1577" s="46"/>
      <c r="Z1577" s="46"/>
      <c r="AA1577" s="77">
        <v>1</v>
      </c>
      <c r="AB1577" s="77">
        <v>2</v>
      </c>
      <c r="AC1577" s="78">
        <v>1</v>
      </c>
      <c r="AD1577" s="46" t="s">
        <v>1037</v>
      </c>
      <c r="AE1577" s="50">
        <f>IF(L1577="W",1,0)</f>
        <v>0</v>
      </c>
      <c r="AF1577" s="50">
        <f>IF(L1577="T",1,0)</f>
        <v>0</v>
      </c>
      <c r="AG1577" s="50">
        <f>IF(L1577="L",1,0)</f>
        <v>1</v>
      </c>
      <c r="AH1577" s="46" t="s">
        <v>1237</v>
      </c>
      <c r="AI1577" s="46" t="s">
        <v>1237</v>
      </c>
      <c r="AJ1577" s="46" t="s">
        <v>376</v>
      </c>
      <c r="AK1577" s="46" t="s">
        <v>658</v>
      </c>
      <c r="AL1577" s="46" t="s">
        <v>1101</v>
      </c>
      <c r="AM1577" s="46" t="s">
        <v>1159</v>
      </c>
      <c r="AN1577" s="46" t="s">
        <v>376</v>
      </c>
      <c r="AO1577" s="46" t="s">
        <v>658</v>
      </c>
      <c r="AP1577" s="46"/>
      <c r="AQ1577" s="46">
        <v>2</v>
      </c>
      <c r="AR1577" s="46"/>
      <c r="AS1577" s="46"/>
      <c r="AT1577" s="46"/>
      <c r="AU1577" s="46" t="s">
        <v>376</v>
      </c>
      <c r="AV1577" s="46"/>
      <c r="AW1577" s="46" t="s">
        <v>30</v>
      </c>
      <c r="AX1577" s="46"/>
      <c r="AY1577" s="46"/>
      <c r="AZ1577" s="46" t="s">
        <v>30</v>
      </c>
      <c r="BA1577" s="46"/>
      <c r="BB1577" s="51"/>
      <c r="BC1577" s="46"/>
      <c r="BD1577" s="46"/>
      <c r="BE1577" s="46"/>
      <c r="BF1577" s="46">
        <v>1</v>
      </c>
      <c r="BG1577">
        <v>2</v>
      </c>
      <c r="BH1577">
        <v>1</v>
      </c>
      <c r="BI1577" s="46" t="s">
        <v>1236</v>
      </c>
      <c r="BJ1577" s="46" t="s">
        <v>823</v>
      </c>
      <c r="BK1577" s="46">
        <v>2018</v>
      </c>
      <c r="BL1577" s="46" t="str">
        <f>BK1577&amp;BI1577</f>
        <v>2018Bristol City</v>
      </c>
      <c r="BM1577" s="52" t="s">
        <v>823</v>
      </c>
      <c r="BN1577" s="46"/>
      <c r="BO1577" s="46"/>
      <c r="BP1577" s="46"/>
      <c r="BQ1577" s="46"/>
      <c r="BR1577" s="46"/>
      <c r="BS1577" s="46"/>
      <c r="BT1577" s="46"/>
      <c r="BU1577" s="46"/>
      <c r="BV1577" s="46" t="s">
        <v>376</v>
      </c>
      <c r="BW1577" s="46" t="s">
        <v>376</v>
      </c>
      <c r="BX1577" s="46"/>
      <c r="BY1577" s="46"/>
      <c r="CB1577" s="93" t="str">
        <f>IF(OR(C1577="",A1577="",B1577=""),"",TEXT(C1577,"0000")&amp;TEXT(A1577,"00")&amp;TEXT(B1577,"00"))</f>
        <v>20180109</v>
      </c>
    </row>
    <row r="1578" spans="1:80" s="53" customFormat="1" x14ac:dyDescent="0.25">
      <c r="A1578" s="46">
        <v>1</v>
      </c>
      <c r="B1578" s="46">
        <v>10</v>
      </c>
      <c r="C1578" s="46">
        <v>2018</v>
      </c>
      <c r="D1578" s="46" t="s">
        <v>658</v>
      </c>
      <c r="E1578" s="46" t="s">
        <v>200</v>
      </c>
      <c r="F1578" s="46" t="s">
        <v>1327</v>
      </c>
      <c r="G1578" s="46"/>
      <c r="H1578" s="46" t="s">
        <v>1011</v>
      </c>
      <c r="I1578" s="46">
        <v>1</v>
      </c>
      <c r="J1578" s="79">
        <v>43110</v>
      </c>
      <c r="K1578" s="46" t="s">
        <v>816</v>
      </c>
      <c r="L1578" s="46" t="s">
        <v>1014</v>
      </c>
      <c r="M1578" s="46" t="s">
        <v>587</v>
      </c>
      <c r="N1578" s="49">
        <v>0</v>
      </c>
      <c r="O1578" s="49">
        <v>0</v>
      </c>
      <c r="P1578" s="46" t="s">
        <v>1234</v>
      </c>
      <c r="Q1578" s="46" t="s">
        <v>1017</v>
      </c>
      <c r="R1578" s="46" t="s">
        <v>376</v>
      </c>
      <c r="S1578" s="46"/>
      <c r="T1578" s="46"/>
      <c r="U1578" s="46"/>
      <c r="V1578" s="46"/>
      <c r="W1578" s="46"/>
      <c r="X1578" s="46"/>
      <c r="Y1578" s="46"/>
      <c r="Z1578" s="46"/>
      <c r="AA1578" s="77">
        <v>0</v>
      </c>
      <c r="AB1578" s="77">
        <v>0</v>
      </c>
      <c r="AC1578" s="78">
        <v>0</v>
      </c>
      <c r="AD1578" s="46" t="s">
        <v>1033</v>
      </c>
      <c r="AE1578" s="50">
        <f>IF(L1578="W",1,0)</f>
        <v>0</v>
      </c>
      <c r="AF1578" s="50">
        <f>IF(L1578="T",1,0)</f>
        <v>1</v>
      </c>
      <c r="AG1578" s="50">
        <f>IF(L1578="L",1,0)</f>
        <v>0</v>
      </c>
      <c r="AH1578" s="46" t="s">
        <v>1017</v>
      </c>
      <c r="AI1578" s="46" t="s">
        <v>1018</v>
      </c>
      <c r="AJ1578" s="46" t="s">
        <v>376</v>
      </c>
      <c r="AK1578" s="46" t="s">
        <v>658</v>
      </c>
      <c r="AL1578" s="46" t="s">
        <v>1017</v>
      </c>
      <c r="AM1578" s="46" t="s">
        <v>1018</v>
      </c>
      <c r="AN1578" s="46" t="s">
        <v>376</v>
      </c>
      <c r="AO1578" s="46" t="s">
        <v>658</v>
      </c>
      <c r="AP1578" s="46"/>
      <c r="AQ1578" s="46">
        <v>2</v>
      </c>
      <c r="AR1578" s="46"/>
      <c r="AS1578" s="46"/>
      <c r="AT1578" s="46"/>
      <c r="AU1578" s="46" t="s">
        <v>376</v>
      </c>
      <c r="AV1578" s="46"/>
      <c r="AW1578" s="46" t="s">
        <v>30</v>
      </c>
      <c r="AX1578" s="46"/>
      <c r="AY1578" s="46"/>
      <c r="AZ1578" s="46" t="s">
        <v>30</v>
      </c>
      <c r="BA1578" s="46"/>
      <c r="BB1578" s="51"/>
      <c r="BC1578" s="46"/>
      <c r="BD1578" s="46"/>
      <c r="BE1578" s="46"/>
      <c r="BF1578" s="46">
        <v>1</v>
      </c>
      <c r="BG1578">
        <v>1</v>
      </c>
      <c r="BH1578">
        <v>1</v>
      </c>
      <c r="BI1578" s="46" t="s">
        <v>816</v>
      </c>
      <c r="BJ1578" s="46" t="s">
        <v>587</v>
      </c>
      <c r="BK1578" s="46">
        <v>2018</v>
      </c>
      <c r="BL1578" s="46" t="str">
        <f>BK1578&amp;BI1578</f>
        <v>2018Chelsea</v>
      </c>
      <c r="BM1578" s="52" t="s">
        <v>816</v>
      </c>
      <c r="BN1578" s="46"/>
      <c r="BO1578" s="46"/>
      <c r="BP1578" s="46"/>
      <c r="BQ1578" s="46"/>
      <c r="BR1578" s="46"/>
      <c r="BS1578" s="46"/>
      <c r="BT1578" s="46"/>
      <c r="BU1578" s="46"/>
      <c r="BV1578" s="46" t="s">
        <v>376</v>
      </c>
      <c r="BW1578" s="46" t="s">
        <v>376</v>
      </c>
      <c r="BX1578" s="46"/>
      <c r="BY1578" s="46"/>
      <c r="CB1578" s="93" t="str">
        <f>IF(OR(C1578="",A1578="",B1578=""),"",TEXT(C1578,"0000")&amp;TEXT(A1578,"00")&amp;TEXT(B1578,"00"))</f>
        <v>20180110</v>
      </c>
    </row>
    <row r="1579" spans="1:80" s="53" customFormat="1" x14ac:dyDescent="0.25">
      <c r="A1579" s="46">
        <v>1</v>
      </c>
      <c r="B1579" s="46">
        <v>10</v>
      </c>
      <c r="C1579" s="46">
        <v>2018</v>
      </c>
      <c r="D1579" s="46" t="s">
        <v>658</v>
      </c>
      <c r="E1579" s="46" t="s">
        <v>200</v>
      </c>
      <c r="F1579" s="46" t="s">
        <v>1327</v>
      </c>
      <c r="G1579" s="46"/>
      <c r="H1579" s="46" t="s">
        <v>1011</v>
      </c>
      <c r="I1579" s="46">
        <v>1</v>
      </c>
      <c r="J1579" s="79">
        <v>43110</v>
      </c>
      <c r="K1579" s="46" t="s">
        <v>587</v>
      </c>
      <c r="L1579" s="46" t="s">
        <v>1014</v>
      </c>
      <c r="M1579" s="46" t="s">
        <v>816</v>
      </c>
      <c r="N1579" s="49">
        <v>0</v>
      </c>
      <c r="O1579" s="49">
        <v>0</v>
      </c>
      <c r="P1579" s="46" t="s">
        <v>1234</v>
      </c>
      <c r="Q1579" s="46" t="s">
        <v>1017</v>
      </c>
      <c r="R1579" s="46" t="s">
        <v>376</v>
      </c>
      <c r="S1579" s="46"/>
      <c r="T1579" s="46"/>
      <c r="U1579" s="46"/>
      <c r="V1579" s="46"/>
      <c r="W1579" s="46"/>
      <c r="X1579" s="46"/>
      <c r="Y1579" s="46"/>
      <c r="Z1579" s="46"/>
      <c r="AA1579" s="77">
        <v>0</v>
      </c>
      <c r="AB1579" s="77">
        <v>0</v>
      </c>
      <c r="AC1579" s="78">
        <v>0</v>
      </c>
      <c r="AD1579" s="46" t="s">
        <v>1037</v>
      </c>
      <c r="AE1579" s="50">
        <f>IF(L1579="W",1,0)</f>
        <v>0</v>
      </c>
      <c r="AF1579" s="50">
        <f>IF(L1579="T",1,0)</f>
        <v>1</v>
      </c>
      <c r="AG1579" s="50">
        <f>IF(L1579="L",1,0)</f>
        <v>0</v>
      </c>
      <c r="AH1579" s="46" t="s">
        <v>1017</v>
      </c>
      <c r="AI1579" s="46" t="s">
        <v>1018</v>
      </c>
      <c r="AJ1579" s="46" t="s">
        <v>376</v>
      </c>
      <c r="AK1579" s="46" t="s">
        <v>658</v>
      </c>
      <c r="AL1579" s="46" t="s">
        <v>1017</v>
      </c>
      <c r="AM1579" s="46" t="s">
        <v>1018</v>
      </c>
      <c r="AN1579" s="46" t="s">
        <v>376</v>
      </c>
      <c r="AO1579" s="46" t="s">
        <v>658</v>
      </c>
      <c r="AP1579" s="46"/>
      <c r="AQ1579" s="46">
        <v>2</v>
      </c>
      <c r="AR1579" s="46"/>
      <c r="AS1579" s="46"/>
      <c r="AT1579" s="46"/>
      <c r="AU1579" s="46" t="s">
        <v>376</v>
      </c>
      <c r="AV1579" s="46"/>
      <c r="AW1579" s="46" t="s">
        <v>30</v>
      </c>
      <c r="AX1579" s="46"/>
      <c r="AY1579" s="46"/>
      <c r="AZ1579" s="46" t="s">
        <v>30</v>
      </c>
      <c r="BA1579" s="46"/>
      <c r="BB1579" s="51"/>
      <c r="BC1579" s="46"/>
      <c r="BD1579" s="46"/>
      <c r="BE1579" s="46"/>
      <c r="BF1579" s="46">
        <v>1</v>
      </c>
      <c r="BG1579">
        <v>1</v>
      </c>
      <c r="BH1579">
        <v>1</v>
      </c>
      <c r="BI1579" s="46" t="s">
        <v>587</v>
      </c>
      <c r="BJ1579" s="46" t="s">
        <v>816</v>
      </c>
      <c r="BK1579" s="46">
        <v>2018</v>
      </c>
      <c r="BL1579" s="46" t="str">
        <f>BK1579&amp;BI1579</f>
        <v>2018Arsenal</v>
      </c>
      <c r="BM1579" s="52" t="s">
        <v>816</v>
      </c>
      <c r="BN1579" s="46"/>
      <c r="BO1579" s="46"/>
      <c r="BP1579" s="46"/>
      <c r="BQ1579" s="46"/>
      <c r="BR1579" s="46"/>
      <c r="BS1579" s="46"/>
      <c r="BT1579" s="46"/>
      <c r="BU1579" s="46"/>
      <c r="BV1579" s="46" t="s">
        <v>376</v>
      </c>
      <c r="BW1579" s="46" t="s">
        <v>376</v>
      </c>
      <c r="BX1579" s="46"/>
      <c r="BY1579" s="46"/>
      <c r="CB1579" s="93" t="str">
        <f>IF(OR(C1579="",A1579="",B1579=""),"",TEXT(C1579,"0000")&amp;TEXT(A1579,"00")&amp;TEXT(B1579,"00"))</f>
        <v>20180110</v>
      </c>
    </row>
    <row r="1580" spans="1:80" s="53" customFormat="1" x14ac:dyDescent="0.25">
      <c r="A1580" s="46">
        <v>1</v>
      </c>
      <c r="B1580" s="46">
        <v>23</v>
      </c>
      <c r="C1580" s="46">
        <v>2018</v>
      </c>
      <c r="D1580" s="46" t="s">
        <v>658</v>
      </c>
      <c r="E1580" s="46" t="s">
        <v>200</v>
      </c>
      <c r="F1580" s="46" t="s">
        <v>1327</v>
      </c>
      <c r="G1580" s="46"/>
      <c r="H1580" s="46" t="s">
        <v>1011</v>
      </c>
      <c r="I1580" s="46">
        <v>2</v>
      </c>
      <c r="J1580" s="79">
        <v>43123</v>
      </c>
      <c r="K1580" s="46" t="s">
        <v>1236</v>
      </c>
      <c r="L1580" s="46" t="s">
        <v>4</v>
      </c>
      <c r="M1580" s="46" t="s">
        <v>823</v>
      </c>
      <c r="N1580" s="49">
        <v>2</v>
      </c>
      <c r="O1580" s="49">
        <v>3</v>
      </c>
      <c r="P1580" s="46" t="s">
        <v>1358</v>
      </c>
      <c r="Q1580" s="46" t="s">
        <v>1237</v>
      </c>
      <c r="R1580" s="46" t="s">
        <v>376</v>
      </c>
      <c r="S1580" s="46"/>
      <c r="T1580" s="46"/>
      <c r="U1580" s="46"/>
      <c r="V1580" s="46"/>
      <c r="W1580" s="46"/>
      <c r="X1580" s="46"/>
      <c r="Y1580" s="46"/>
      <c r="Z1580" s="46"/>
      <c r="AA1580" s="77">
        <v>3</v>
      </c>
      <c r="AB1580" s="77">
        <v>5</v>
      </c>
      <c r="AC1580" s="78">
        <v>1</v>
      </c>
      <c r="AD1580" s="46" t="s">
        <v>1033</v>
      </c>
      <c r="AE1580" s="50">
        <f>IF(L1580="W",1,0)</f>
        <v>0</v>
      </c>
      <c r="AF1580" s="50">
        <f>IF(L1580="T",1,0)</f>
        <v>0</v>
      </c>
      <c r="AG1580" s="50">
        <f>IF(L1580="L",1,0)</f>
        <v>1</v>
      </c>
      <c r="AH1580" s="46" t="s">
        <v>1237</v>
      </c>
      <c r="AI1580" s="46" t="s">
        <v>1237</v>
      </c>
      <c r="AJ1580" s="46" t="s">
        <v>376</v>
      </c>
      <c r="AK1580" s="46" t="s">
        <v>658</v>
      </c>
      <c r="AL1580" s="46" t="s">
        <v>1101</v>
      </c>
      <c r="AM1580" s="46" t="s">
        <v>1159</v>
      </c>
      <c r="AN1580" s="46" t="s">
        <v>376</v>
      </c>
      <c r="AO1580" s="46" t="s">
        <v>658</v>
      </c>
      <c r="AP1580" s="46"/>
      <c r="AQ1580" s="46">
        <v>2</v>
      </c>
      <c r="AR1580" s="46"/>
      <c r="AS1580" s="46">
        <v>1</v>
      </c>
      <c r="AT1580" s="46"/>
      <c r="AU1580" s="46" t="s">
        <v>376</v>
      </c>
      <c r="AV1580" s="46"/>
      <c r="AW1580" s="46" t="s">
        <v>30</v>
      </c>
      <c r="AX1580" s="46"/>
      <c r="AY1580" s="46"/>
      <c r="AZ1580" s="46" t="s">
        <v>30</v>
      </c>
      <c r="BA1580" s="46"/>
      <c r="BB1580" s="51"/>
      <c r="BC1580" s="46"/>
      <c r="BD1580" s="46"/>
      <c r="BE1580" s="46"/>
      <c r="BF1580" s="46">
        <v>1</v>
      </c>
      <c r="BG1580">
        <v>2</v>
      </c>
      <c r="BH1580">
        <v>1</v>
      </c>
      <c r="BI1580" s="46" t="s">
        <v>1236</v>
      </c>
      <c r="BJ1580" s="46" t="s">
        <v>823</v>
      </c>
      <c r="BK1580" s="46">
        <v>2018</v>
      </c>
      <c r="BL1580" s="46" t="str">
        <f>BK1580&amp;BI1580</f>
        <v>2018Bristol City</v>
      </c>
      <c r="BM1580" s="52" t="s">
        <v>1236</v>
      </c>
      <c r="BN1580" s="46"/>
      <c r="BO1580" s="46"/>
      <c r="BP1580" s="46"/>
      <c r="BQ1580" s="46"/>
      <c r="BR1580" s="46"/>
      <c r="BS1580" s="46"/>
      <c r="BT1580" s="46"/>
      <c r="BU1580" s="46"/>
      <c r="BV1580" s="46" t="s">
        <v>376</v>
      </c>
      <c r="BW1580" s="46" t="s">
        <v>376</v>
      </c>
      <c r="BX1580" s="46"/>
      <c r="BY1580" s="46"/>
      <c r="CB1580" s="93" t="str">
        <f>IF(OR(C1580="",A1580="",B1580=""),"",TEXT(C1580,"0000")&amp;TEXT(A1580,"00")&amp;TEXT(B1580,"00"))</f>
        <v>20180123</v>
      </c>
    </row>
    <row r="1581" spans="1:80" s="53" customFormat="1" x14ac:dyDescent="0.25">
      <c r="A1581" s="46">
        <v>1</v>
      </c>
      <c r="B1581" s="46">
        <v>23</v>
      </c>
      <c r="C1581" s="46">
        <v>2018</v>
      </c>
      <c r="D1581" s="46" t="s">
        <v>658</v>
      </c>
      <c r="E1581" s="46" t="s">
        <v>200</v>
      </c>
      <c r="F1581" s="46" t="s">
        <v>1327</v>
      </c>
      <c r="G1581" s="46"/>
      <c r="H1581" s="46" t="s">
        <v>1011</v>
      </c>
      <c r="I1581" s="46">
        <v>2</v>
      </c>
      <c r="J1581" s="79">
        <v>43123</v>
      </c>
      <c r="K1581" s="46" t="s">
        <v>823</v>
      </c>
      <c r="L1581" s="46" t="s">
        <v>3</v>
      </c>
      <c r="M1581" s="46" t="s">
        <v>1236</v>
      </c>
      <c r="N1581" s="49">
        <v>3</v>
      </c>
      <c r="O1581" s="49">
        <v>2</v>
      </c>
      <c r="P1581" s="46" t="s">
        <v>1358</v>
      </c>
      <c r="Q1581" s="46" t="s">
        <v>1237</v>
      </c>
      <c r="R1581" s="46" t="s">
        <v>376</v>
      </c>
      <c r="S1581" s="46"/>
      <c r="T1581" s="46"/>
      <c r="U1581" s="46"/>
      <c r="V1581" s="46"/>
      <c r="W1581" s="46"/>
      <c r="X1581" s="46"/>
      <c r="Y1581" s="46"/>
      <c r="Z1581" s="46"/>
      <c r="AA1581" s="77">
        <v>5</v>
      </c>
      <c r="AB1581" s="77">
        <v>3</v>
      </c>
      <c r="AC1581" s="78">
        <v>3</v>
      </c>
      <c r="AD1581" s="46" t="s">
        <v>1037</v>
      </c>
      <c r="AE1581" s="50">
        <f>IF(L1581="W",1,0)</f>
        <v>1</v>
      </c>
      <c r="AF1581" s="50">
        <f>IF(L1581="T",1,0)</f>
        <v>0</v>
      </c>
      <c r="AG1581" s="50">
        <f>IF(L1581="L",1,0)</f>
        <v>0</v>
      </c>
      <c r="AH1581" s="46" t="s">
        <v>1101</v>
      </c>
      <c r="AI1581" s="46" t="s">
        <v>1159</v>
      </c>
      <c r="AJ1581" s="46" t="s">
        <v>376</v>
      </c>
      <c r="AK1581" s="46" t="s">
        <v>658</v>
      </c>
      <c r="AL1581" s="46" t="s">
        <v>1237</v>
      </c>
      <c r="AM1581" s="46" t="s">
        <v>1237</v>
      </c>
      <c r="AN1581" s="46" t="s">
        <v>376</v>
      </c>
      <c r="AO1581" s="46" t="s">
        <v>658</v>
      </c>
      <c r="AP1581" s="46"/>
      <c r="AQ1581" s="46">
        <v>2</v>
      </c>
      <c r="AR1581" s="46"/>
      <c r="AS1581" s="46"/>
      <c r="AT1581" s="46"/>
      <c r="AU1581" s="46" t="s">
        <v>376</v>
      </c>
      <c r="AV1581" s="46"/>
      <c r="AW1581" s="46" t="s">
        <v>30</v>
      </c>
      <c r="AX1581" s="46"/>
      <c r="AY1581" s="46"/>
      <c r="AZ1581" s="46" t="s">
        <v>30</v>
      </c>
      <c r="BA1581" s="46"/>
      <c r="BB1581" s="51"/>
      <c r="BC1581" s="46"/>
      <c r="BD1581" s="46"/>
      <c r="BE1581" s="46"/>
      <c r="BF1581" s="46">
        <v>1</v>
      </c>
      <c r="BG1581">
        <v>1</v>
      </c>
      <c r="BH1581">
        <v>2</v>
      </c>
      <c r="BI1581" s="46" t="s">
        <v>823</v>
      </c>
      <c r="BJ1581" s="46" t="s">
        <v>1236</v>
      </c>
      <c r="BK1581" s="46">
        <v>2018</v>
      </c>
      <c r="BL1581" s="46" t="str">
        <f>BK1581&amp;BI1581</f>
        <v>2018Manchester City</v>
      </c>
      <c r="BM1581" s="52" t="s">
        <v>1236</v>
      </c>
      <c r="BN1581" s="46"/>
      <c r="BO1581" s="46"/>
      <c r="BP1581" s="46"/>
      <c r="BQ1581" s="46"/>
      <c r="BR1581" s="46"/>
      <c r="BS1581" s="46"/>
      <c r="BT1581" s="46"/>
      <c r="BU1581" s="46"/>
      <c r="BV1581" s="46" t="s">
        <v>376</v>
      </c>
      <c r="BW1581" s="46" t="s">
        <v>376</v>
      </c>
      <c r="BX1581" s="46"/>
      <c r="BY1581" s="46"/>
      <c r="CB1581" s="93" t="str">
        <f>IF(OR(C1581="",A1581="",B1581=""),"",TEXT(C1581,"0000")&amp;TEXT(A1581,"00")&amp;TEXT(B1581,"00"))</f>
        <v>20180123</v>
      </c>
    </row>
    <row r="1582" spans="1:80" s="53" customFormat="1" x14ac:dyDescent="0.25">
      <c r="A1582" s="46">
        <v>1</v>
      </c>
      <c r="B1582" s="46">
        <v>24</v>
      </c>
      <c r="C1582" s="46">
        <v>2018</v>
      </c>
      <c r="D1582" s="46" t="s">
        <v>658</v>
      </c>
      <c r="E1582" s="46" t="s">
        <v>200</v>
      </c>
      <c r="F1582" s="46" t="s">
        <v>1327</v>
      </c>
      <c r="G1582" s="46"/>
      <c r="H1582" s="46" t="s">
        <v>1011</v>
      </c>
      <c r="I1582" s="46">
        <v>2</v>
      </c>
      <c r="J1582" s="79">
        <v>43124</v>
      </c>
      <c r="K1582" s="46" t="s">
        <v>587</v>
      </c>
      <c r="L1582" s="46" t="s">
        <v>3</v>
      </c>
      <c r="M1582" s="46" t="s">
        <v>816</v>
      </c>
      <c r="N1582" s="49">
        <v>2</v>
      </c>
      <c r="O1582" s="49">
        <v>1</v>
      </c>
      <c r="P1582" s="46" t="s">
        <v>1414</v>
      </c>
      <c r="Q1582" s="46" t="s">
        <v>1017</v>
      </c>
      <c r="R1582" s="46" t="s">
        <v>376</v>
      </c>
      <c r="S1582" s="46"/>
      <c r="T1582" s="46"/>
      <c r="U1582" s="46"/>
      <c r="V1582" s="46"/>
      <c r="W1582" s="46"/>
      <c r="X1582" s="46"/>
      <c r="Y1582" s="46"/>
      <c r="Z1582" s="46"/>
      <c r="AA1582" s="77">
        <v>2</v>
      </c>
      <c r="AB1582" s="77">
        <v>1</v>
      </c>
      <c r="AC1582" s="78">
        <v>0</v>
      </c>
      <c r="AD1582" s="46" t="s">
        <v>1033</v>
      </c>
      <c r="AE1582" s="50">
        <f>IF(L1582="W",1,0)</f>
        <v>1</v>
      </c>
      <c r="AF1582" s="50">
        <f>IF(L1582="T",1,0)</f>
        <v>0</v>
      </c>
      <c r="AG1582" s="50">
        <f>IF(L1582="L",1,0)</f>
        <v>0</v>
      </c>
      <c r="AH1582" s="46" t="s">
        <v>1017</v>
      </c>
      <c r="AI1582" s="46" t="s">
        <v>1018</v>
      </c>
      <c r="AJ1582" s="46" t="s">
        <v>376</v>
      </c>
      <c r="AK1582" s="46" t="s">
        <v>658</v>
      </c>
      <c r="AL1582" s="46" t="s">
        <v>1017</v>
      </c>
      <c r="AM1582" s="46" t="s">
        <v>1018</v>
      </c>
      <c r="AN1582" s="46" t="s">
        <v>376</v>
      </c>
      <c r="AO1582" s="46" t="s">
        <v>658</v>
      </c>
      <c r="AP1582" s="46"/>
      <c r="AQ1582" s="46">
        <v>2</v>
      </c>
      <c r="AR1582" s="46"/>
      <c r="AS1582" s="46"/>
      <c r="AT1582" s="46"/>
      <c r="AU1582" s="46" t="s">
        <v>376</v>
      </c>
      <c r="AV1582" s="46"/>
      <c r="AW1582" s="46" t="s">
        <v>30</v>
      </c>
      <c r="AX1582" s="46"/>
      <c r="AY1582" s="46"/>
      <c r="AZ1582" s="46" t="s">
        <v>30</v>
      </c>
      <c r="BA1582" s="46"/>
      <c r="BB1582" s="51"/>
      <c r="BC1582" s="46"/>
      <c r="BD1582" s="46"/>
      <c r="BE1582" s="46"/>
      <c r="BF1582" s="46">
        <v>1</v>
      </c>
      <c r="BG1582">
        <v>1</v>
      </c>
      <c r="BH1582">
        <v>1</v>
      </c>
      <c r="BI1582" s="46" t="s">
        <v>587</v>
      </c>
      <c r="BJ1582" s="46" t="s">
        <v>816</v>
      </c>
      <c r="BK1582" s="46">
        <v>2018</v>
      </c>
      <c r="BL1582" s="46" t="str">
        <f>BK1582&amp;BI1582</f>
        <v>2018Arsenal</v>
      </c>
      <c r="BM1582" s="52" t="s">
        <v>587</v>
      </c>
      <c r="BN1582" s="46"/>
      <c r="BO1582" s="46"/>
      <c r="BP1582" s="46"/>
      <c r="BQ1582" s="46"/>
      <c r="BR1582" s="46"/>
      <c r="BS1582" s="46"/>
      <c r="BT1582" s="46"/>
      <c r="BU1582" s="46"/>
      <c r="BV1582" s="46" t="s">
        <v>376</v>
      </c>
      <c r="BW1582" s="46" t="s">
        <v>376</v>
      </c>
      <c r="BX1582" s="46"/>
      <c r="BY1582" s="46"/>
      <c r="CB1582" s="93" t="str">
        <f>IF(OR(C1582="",A1582="",B1582=""),"",TEXT(C1582,"0000")&amp;TEXT(A1582,"00")&amp;TEXT(B1582,"00"))</f>
        <v>20180124</v>
      </c>
    </row>
    <row r="1583" spans="1:80" s="53" customFormat="1" x14ac:dyDescent="0.25">
      <c r="A1583" s="46">
        <v>1</v>
      </c>
      <c r="B1583" s="46">
        <v>24</v>
      </c>
      <c r="C1583" s="46">
        <v>2018</v>
      </c>
      <c r="D1583" s="46" t="s">
        <v>658</v>
      </c>
      <c r="E1583" s="46" t="s">
        <v>200</v>
      </c>
      <c r="F1583" s="46" t="s">
        <v>1327</v>
      </c>
      <c r="G1583" s="46"/>
      <c r="H1583" s="46" t="s">
        <v>1011</v>
      </c>
      <c r="I1583" s="46">
        <v>2</v>
      </c>
      <c r="J1583" s="79">
        <v>43124</v>
      </c>
      <c r="K1583" s="46" t="s">
        <v>816</v>
      </c>
      <c r="L1583" s="46" t="s">
        <v>4</v>
      </c>
      <c r="M1583" s="46" t="s">
        <v>587</v>
      </c>
      <c r="N1583" s="49">
        <v>1</v>
      </c>
      <c r="O1583" s="49">
        <v>2</v>
      </c>
      <c r="P1583" s="46" t="s">
        <v>1414</v>
      </c>
      <c r="Q1583" s="46" t="s">
        <v>1017</v>
      </c>
      <c r="R1583" s="46" t="s">
        <v>376</v>
      </c>
      <c r="S1583" s="46"/>
      <c r="T1583" s="46"/>
      <c r="U1583" s="46"/>
      <c r="V1583" s="46"/>
      <c r="W1583" s="46"/>
      <c r="X1583" s="46"/>
      <c r="Y1583" s="46"/>
      <c r="Z1583" s="46"/>
      <c r="AA1583" s="77">
        <v>1</v>
      </c>
      <c r="AB1583" s="77">
        <v>2</v>
      </c>
      <c r="AC1583" s="78">
        <v>1</v>
      </c>
      <c r="AD1583" s="46" t="s">
        <v>1037</v>
      </c>
      <c r="AE1583" s="50">
        <f>IF(L1583="W",1,0)</f>
        <v>0</v>
      </c>
      <c r="AF1583" s="50">
        <f>IF(L1583="T",1,0)</f>
        <v>0</v>
      </c>
      <c r="AG1583" s="50">
        <f>IF(L1583="L",1,0)</f>
        <v>1</v>
      </c>
      <c r="AH1583" s="46" t="s">
        <v>1017</v>
      </c>
      <c r="AI1583" s="46" t="s">
        <v>1018</v>
      </c>
      <c r="AJ1583" s="46" t="s">
        <v>376</v>
      </c>
      <c r="AK1583" s="46" t="s">
        <v>658</v>
      </c>
      <c r="AL1583" s="46" t="s">
        <v>1017</v>
      </c>
      <c r="AM1583" s="46" t="s">
        <v>1018</v>
      </c>
      <c r="AN1583" s="46" t="s">
        <v>376</v>
      </c>
      <c r="AO1583" s="46" t="s">
        <v>658</v>
      </c>
      <c r="AP1583" s="46"/>
      <c r="AQ1583" s="46">
        <v>2</v>
      </c>
      <c r="AR1583" s="46"/>
      <c r="AS1583" s="46">
        <v>1</v>
      </c>
      <c r="AT1583" s="46"/>
      <c r="AU1583" s="46" t="s">
        <v>376</v>
      </c>
      <c r="AV1583" s="46"/>
      <c r="AW1583" s="46" t="s">
        <v>30</v>
      </c>
      <c r="AX1583" s="46"/>
      <c r="AY1583" s="46"/>
      <c r="AZ1583" s="46" t="s">
        <v>30</v>
      </c>
      <c r="BA1583" s="46"/>
      <c r="BB1583" s="51"/>
      <c r="BC1583" s="46"/>
      <c r="BD1583" s="46"/>
      <c r="BE1583" s="46"/>
      <c r="BF1583" s="46">
        <v>1</v>
      </c>
      <c r="BG1583">
        <v>1</v>
      </c>
      <c r="BH1583">
        <v>1</v>
      </c>
      <c r="BI1583" s="46" t="s">
        <v>816</v>
      </c>
      <c r="BJ1583" s="46" t="s">
        <v>587</v>
      </c>
      <c r="BK1583" s="46">
        <v>2018</v>
      </c>
      <c r="BL1583" s="46" t="str">
        <f>BK1583&amp;BI1583</f>
        <v>2018Chelsea</v>
      </c>
      <c r="BM1583" s="52" t="s">
        <v>587</v>
      </c>
      <c r="BN1583" s="46"/>
      <c r="BO1583" s="46"/>
      <c r="BP1583" s="46"/>
      <c r="BQ1583" s="46"/>
      <c r="BR1583" s="46"/>
      <c r="BS1583" s="46"/>
      <c r="BT1583" s="46"/>
      <c r="BU1583" s="46"/>
      <c r="BV1583" s="46" t="s">
        <v>376</v>
      </c>
      <c r="BW1583" s="46" t="s">
        <v>376</v>
      </c>
      <c r="BX1583" s="46"/>
      <c r="BY1583" s="46"/>
      <c r="CB1583" s="93" t="str">
        <f>IF(OR(C1583="",A1583="",B1583=""),"",TEXT(C1583,"0000")&amp;TEXT(A1583,"00")&amp;TEXT(B1583,"00"))</f>
        <v>20180124</v>
      </c>
    </row>
    <row r="1584" spans="1:80" s="53" customFormat="1" x14ac:dyDescent="0.25">
      <c r="A1584" s="46">
        <v>2</v>
      </c>
      <c r="B1584" s="46">
        <v>25</v>
      </c>
      <c r="C1584" s="46">
        <v>2018</v>
      </c>
      <c r="D1584" s="46" t="s">
        <v>658</v>
      </c>
      <c r="E1584" s="46" t="s">
        <v>200</v>
      </c>
      <c r="F1584" s="46" t="s">
        <v>1327</v>
      </c>
      <c r="G1584" s="46"/>
      <c r="H1584" s="46" t="s">
        <v>40</v>
      </c>
      <c r="I1584" s="46"/>
      <c r="J1584" s="79">
        <v>43156</v>
      </c>
      <c r="K1584" s="46" t="s">
        <v>823</v>
      </c>
      <c r="L1584" s="46" t="s">
        <v>3</v>
      </c>
      <c r="M1584" s="46" t="s">
        <v>587</v>
      </c>
      <c r="N1584" s="49">
        <v>3</v>
      </c>
      <c r="O1584" s="49">
        <v>0</v>
      </c>
      <c r="P1584" s="46" t="s">
        <v>1415</v>
      </c>
      <c r="Q1584" s="46" t="s">
        <v>1017</v>
      </c>
      <c r="R1584" s="46" t="s">
        <v>376</v>
      </c>
      <c r="S1584" s="46"/>
      <c r="T1584" s="46"/>
      <c r="U1584" s="46"/>
      <c r="V1584" s="46"/>
      <c r="W1584" s="46"/>
      <c r="X1584" s="46"/>
      <c r="Y1584" s="46"/>
      <c r="Z1584" s="46"/>
      <c r="AA1584" s="46"/>
      <c r="AB1584" s="46"/>
      <c r="AC1584" s="46"/>
      <c r="AD1584" s="46"/>
      <c r="AE1584" s="50">
        <f>IF(L1584="W",1,0)</f>
        <v>1</v>
      </c>
      <c r="AF1584" s="50">
        <f>IF(L1584="T",1,0)</f>
        <v>0</v>
      </c>
      <c r="AG1584" s="50">
        <f>IF(L1584="L",1,0)</f>
        <v>0</v>
      </c>
      <c r="AH1584" s="46" t="s">
        <v>1101</v>
      </c>
      <c r="AI1584" s="46" t="s">
        <v>1159</v>
      </c>
      <c r="AJ1584" s="46" t="s">
        <v>376</v>
      </c>
      <c r="AK1584" s="46" t="s">
        <v>658</v>
      </c>
      <c r="AL1584" s="46" t="s">
        <v>1017</v>
      </c>
      <c r="AM1584" s="46" t="s">
        <v>1018</v>
      </c>
      <c r="AN1584" s="46" t="s">
        <v>376</v>
      </c>
      <c r="AO1584" s="46" t="s">
        <v>658</v>
      </c>
      <c r="AP1584" s="46"/>
      <c r="AQ1584" s="46">
        <v>1</v>
      </c>
      <c r="AR1584" s="46"/>
      <c r="AS1584" s="46" t="s">
        <v>1393</v>
      </c>
      <c r="AT1584" s="46"/>
      <c r="AU1584" s="46" t="s">
        <v>376</v>
      </c>
      <c r="AV1584" s="46"/>
      <c r="AW1584" s="46" t="s">
        <v>30</v>
      </c>
      <c r="AX1584" s="46"/>
      <c r="AY1584" s="46"/>
      <c r="AZ1584" s="49" t="s">
        <v>30</v>
      </c>
      <c r="BA1584" s="46"/>
      <c r="BB1584" s="51" t="s">
        <v>30</v>
      </c>
      <c r="BC1584" s="46" t="s">
        <v>30</v>
      </c>
      <c r="BD1584" s="46"/>
      <c r="BE1584" s="46"/>
      <c r="BF1584" s="46">
        <v>1</v>
      </c>
      <c r="BG1584">
        <v>1</v>
      </c>
      <c r="BH1584">
        <v>1</v>
      </c>
      <c r="BI1584" s="46" t="s">
        <v>823</v>
      </c>
      <c r="BJ1584" s="46" t="s">
        <v>587</v>
      </c>
      <c r="BK1584" s="46">
        <v>2018</v>
      </c>
      <c r="BL1584" s="46" t="str">
        <f>BK1584&amp;BI1584</f>
        <v>2018Manchester City</v>
      </c>
      <c r="BM1584" s="52" t="s">
        <v>587</v>
      </c>
      <c r="BN1584" s="46"/>
      <c r="BO1584" s="46"/>
      <c r="BP1584" s="46"/>
      <c r="BQ1584" s="46"/>
      <c r="BR1584" s="46"/>
      <c r="BS1584" s="46"/>
      <c r="BT1584" s="46"/>
      <c r="BU1584" s="46"/>
      <c r="BV1584" s="46" t="s">
        <v>376</v>
      </c>
      <c r="BW1584" s="46" t="s">
        <v>376</v>
      </c>
      <c r="BX1584" s="46"/>
      <c r="BY1584" s="46"/>
      <c r="CB1584" s="93" t="str">
        <f>IF(OR(C1584="",A1584="",B1584=""),"",TEXT(C1584,"0000")&amp;TEXT(A1584,"00")&amp;TEXT(B1584,"00"))</f>
        <v>20180225</v>
      </c>
    </row>
    <row r="1585" spans="1:80" s="53" customFormat="1" x14ac:dyDescent="0.25">
      <c r="A1585" s="46">
        <v>2</v>
      </c>
      <c r="B1585" s="46">
        <v>25</v>
      </c>
      <c r="C1585" s="46">
        <v>2018</v>
      </c>
      <c r="D1585" s="46" t="s">
        <v>658</v>
      </c>
      <c r="E1585" s="46" t="s">
        <v>200</v>
      </c>
      <c r="F1585" s="46" t="s">
        <v>1327</v>
      </c>
      <c r="G1585" s="46"/>
      <c r="H1585" s="46" t="s">
        <v>40</v>
      </c>
      <c r="I1585" s="46"/>
      <c r="J1585" s="79">
        <v>43156</v>
      </c>
      <c r="K1585" s="46" t="s">
        <v>587</v>
      </c>
      <c r="L1585" s="46" t="s">
        <v>4</v>
      </c>
      <c r="M1585" s="46" t="s">
        <v>823</v>
      </c>
      <c r="N1585" s="49">
        <v>0</v>
      </c>
      <c r="O1585" s="49">
        <v>3</v>
      </c>
      <c r="P1585" s="46" t="s">
        <v>1415</v>
      </c>
      <c r="Q1585" s="46" t="s">
        <v>1017</v>
      </c>
      <c r="R1585" s="46" t="s">
        <v>376</v>
      </c>
      <c r="S1585" s="46"/>
      <c r="T1585" s="46"/>
      <c r="U1585" s="46"/>
      <c r="V1585" s="46"/>
      <c r="W1585" s="46"/>
      <c r="X1585" s="46"/>
      <c r="Y1585" s="46"/>
      <c r="Z1585" s="46"/>
      <c r="AA1585" s="46"/>
      <c r="AB1585" s="46"/>
      <c r="AC1585" s="46"/>
      <c r="AD1585" s="46"/>
      <c r="AE1585" s="50">
        <f>IF(L1585="W",1,0)</f>
        <v>0</v>
      </c>
      <c r="AF1585" s="50">
        <f>IF(L1585="T",1,0)</f>
        <v>0</v>
      </c>
      <c r="AG1585" s="50">
        <f>IF(L1585="L",1,0)</f>
        <v>1</v>
      </c>
      <c r="AH1585" s="46" t="s">
        <v>1017</v>
      </c>
      <c r="AI1585" s="46" t="s">
        <v>1018</v>
      </c>
      <c r="AJ1585" s="46" t="s">
        <v>376</v>
      </c>
      <c r="AK1585" s="46" t="s">
        <v>658</v>
      </c>
      <c r="AL1585" s="46" t="s">
        <v>1101</v>
      </c>
      <c r="AM1585" s="46" t="s">
        <v>1159</v>
      </c>
      <c r="AN1585" s="46" t="s">
        <v>376</v>
      </c>
      <c r="AO1585" s="46" t="s">
        <v>658</v>
      </c>
      <c r="AP1585" s="46"/>
      <c r="AQ1585" s="46">
        <v>1</v>
      </c>
      <c r="AR1585" s="46"/>
      <c r="AS1585" s="46">
        <v>1</v>
      </c>
      <c r="AT1585" s="46"/>
      <c r="AU1585" s="46" t="s">
        <v>376</v>
      </c>
      <c r="AV1585" s="46"/>
      <c r="AW1585" s="46" t="s">
        <v>30</v>
      </c>
      <c r="AX1585" s="46"/>
      <c r="AY1585" s="46"/>
      <c r="AZ1585" s="46" t="s">
        <v>30</v>
      </c>
      <c r="BA1585" s="46"/>
      <c r="BB1585" s="51"/>
      <c r="BC1585" s="46" t="s">
        <v>30</v>
      </c>
      <c r="BD1585" s="46"/>
      <c r="BE1585" s="46"/>
      <c r="BF1585" s="46">
        <v>1</v>
      </c>
      <c r="BG1585">
        <v>1</v>
      </c>
      <c r="BH1585">
        <v>1</v>
      </c>
      <c r="BI1585" s="46" t="s">
        <v>587</v>
      </c>
      <c r="BJ1585" s="46" t="s">
        <v>823</v>
      </c>
      <c r="BK1585" s="46">
        <v>2018</v>
      </c>
      <c r="BL1585" s="46" t="str">
        <f>BK1585&amp;BI1585</f>
        <v>2018Arsenal</v>
      </c>
      <c r="BM1585" s="52" t="s">
        <v>587</v>
      </c>
      <c r="BN1585" s="46"/>
      <c r="BO1585" s="46"/>
      <c r="BP1585" s="46"/>
      <c r="BQ1585" s="46"/>
      <c r="BR1585" s="46"/>
      <c r="BS1585" s="46"/>
      <c r="BT1585" s="46"/>
      <c r="BU1585" s="46"/>
      <c r="BV1585" s="46" t="s">
        <v>376</v>
      </c>
      <c r="BW1585" s="46" t="s">
        <v>376</v>
      </c>
      <c r="BX1585" s="46"/>
      <c r="BY1585" s="46"/>
      <c r="CB1585" s="93" t="str">
        <f>IF(OR(C1585="",A1585="",B1585=""),"",TEXT(C1585,"0000")&amp;TEXT(A1585,"00")&amp;TEXT(B1585,"00"))</f>
        <v>20180225</v>
      </c>
    </row>
    <row r="1586" spans="1:80" s="50" customFormat="1" ht="12.75" x14ac:dyDescent="0.2">
      <c r="A1586" s="46">
        <v>4</v>
      </c>
      <c r="B1586" s="46">
        <v>21</v>
      </c>
      <c r="C1586" s="46">
        <v>2018</v>
      </c>
      <c r="D1586" s="46" t="s">
        <v>658</v>
      </c>
      <c r="E1586" s="46" t="s">
        <v>200</v>
      </c>
      <c r="F1586" s="46" t="s">
        <v>1010</v>
      </c>
      <c r="G1586" s="46"/>
      <c r="H1586" s="46" t="s">
        <v>1011</v>
      </c>
      <c r="I1586" s="46"/>
      <c r="J1586" s="79">
        <v>43211</v>
      </c>
      <c r="K1586" s="46" t="s">
        <v>821</v>
      </c>
      <c r="L1586" s="46" t="s">
        <v>3</v>
      </c>
      <c r="M1586" s="46" t="s">
        <v>813</v>
      </c>
      <c r="N1586" s="49">
        <v>2</v>
      </c>
      <c r="O1586" s="49">
        <v>1</v>
      </c>
      <c r="P1586" s="46" t="s">
        <v>1415</v>
      </c>
      <c r="Q1586" s="46" t="s">
        <v>1017</v>
      </c>
      <c r="R1586" s="46" t="s">
        <v>376</v>
      </c>
      <c r="S1586" s="46"/>
      <c r="T1586" s="46"/>
      <c r="U1586" s="46"/>
      <c r="V1586" s="46"/>
      <c r="W1586" s="46"/>
      <c r="X1586" s="46"/>
      <c r="Y1586" s="46"/>
      <c r="Z1586" s="46"/>
      <c r="AA1586" s="46"/>
      <c r="AB1586" s="46"/>
      <c r="AC1586" s="46"/>
      <c r="AD1586" s="46"/>
      <c r="AE1586" s="50">
        <f>IF(L1586="W",1,0)</f>
        <v>1</v>
      </c>
      <c r="AF1586" s="50">
        <f>IF(L1586="T",1,0)</f>
        <v>0</v>
      </c>
      <c r="AG1586" s="50">
        <f>IF(L1586="L",1,0)</f>
        <v>0</v>
      </c>
      <c r="AH1586" s="46" t="s">
        <v>1101</v>
      </c>
      <c r="AI1586" s="46" t="s">
        <v>1159</v>
      </c>
      <c r="AJ1586" s="46" t="s">
        <v>376</v>
      </c>
      <c r="AK1586" s="46" t="s">
        <v>658</v>
      </c>
      <c r="AL1586" s="46" t="s">
        <v>1017</v>
      </c>
      <c r="AM1586" s="46" t="s">
        <v>1018</v>
      </c>
      <c r="AN1586" s="46" t="s">
        <v>376</v>
      </c>
      <c r="AO1586" s="46" t="s">
        <v>658</v>
      </c>
      <c r="AP1586" s="46"/>
      <c r="AQ1586" s="46">
        <v>2</v>
      </c>
      <c r="AR1586" s="46"/>
      <c r="AS1586" s="46"/>
      <c r="AT1586" s="46"/>
      <c r="AU1586" s="46" t="s">
        <v>376</v>
      </c>
      <c r="AV1586" s="46"/>
      <c r="AW1586" s="46" t="s">
        <v>30</v>
      </c>
      <c r="AX1586" s="46"/>
      <c r="AY1586" s="46" t="s">
        <v>30</v>
      </c>
      <c r="AZ1586" s="46"/>
      <c r="BA1586" s="46"/>
      <c r="BB1586" s="51"/>
      <c r="BC1586" s="46"/>
      <c r="BD1586" s="46"/>
      <c r="BE1586" s="46"/>
      <c r="BF1586" s="46">
        <v>1</v>
      </c>
      <c r="BG1586" s="46">
        <v>1</v>
      </c>
      <c r="BH1586" s="46">
        <v>1</v>
      </c>
      <c r="BI1586" s="46" t="s">
        <v>821</v>
      </c>
      <c r="BJ1586" s="46" t="s">
        <v>813</v>
      </c>
      <c r="BK1586" s="46">
        <v>2018</v>
      </c>
      <c r="BL1586" s="46" t="str">
        <f>BK1586&amp;BI1586</f>
        <v>2018Manchester United</v>
      </c>
      <c r="BM1586" s="52" t="s">
        <v>1017</v>
      </c>
      <c r="BN1586" s="46"/>
      <c r="BO1586" s="46"/>
      <c r="BP1586" s="46"/>
      <c r="BQ1586" s="46"/>
      <c r="BR1586" s="46"/>
      <c r="BS1586" s="46"/>
      <c r="BT1586" s="46"/>
      <c r="BU1586" s="46"/>
      <c r="BV1586" s="46" t="s">
        <v>376</v>
      </c>
      <c r="BW1586" s="46" t="s">
        <v>376</v>
      </c>
      <c r="BX1586" s="46"/>
      <c r="BY1586" s="46"/>
      <c r="BZ1586" s="53"/>
      <c r="CA1586" s="53"/>
      <c r="CB1586" s="93" t="str">
        <f>IF(OR(C1586="",A1586="",B1586=""),"",TEXT(C1586,"0000")&amp;TEXT(A1586,"00")&amp;TEXT(B1586,"00"))</f>
        <v>20180421</v>
      </c>
    </row>
    <row r="1587" spans="1:80" s="50" customFormat="1" ht="12.75" x14ac:dyDescent="0.2">
      <c r="A1587" s="46">
        <v>4</v>
      </c>
      <c r="B1587" s="46">
        <v>21</v>
      </c>
      <c r="C1587" s="46">
        <v>2018</v>
      </c>
      <c r="D1587" s="46" t="s">
        <v>658</v>
      </c>
      <c r="E1587" s="46" t="s">
        <v>200</v>
      </c>
      <c r="F1587" s="46" t="s">
        <v>1010</v>
      </c>
      <c r="G1587" s="46"/>
      <c r="H1587" s="46" t="s">
        <v>1011</v>
      </c>
      <c r="I1587" s="46"/>
      <c r="J1587" s="79">
        <v>43211</v>
      </c>
      <c r="K1587" s="46" t="s">
        <v>813</v>
      </c>
      <c r="L1587" s="46" t="s">
        <v>4</v>
      </c>
      <c r="M1587" s="46" t="s">
        <v>821</v>
      </c>
      <c r="N1587" s="49">
        <v>1</v>
      </c>
      <c r="O1587" s="49">
        <v>2</v>
      </c>
      <c r="P1587" s="46" t="s">
        <v>1415</v>
      </c>
      <c r="Q1587" s="46" t="s">
        <v>1017</v>
      </c>
      <c r="R1587" s="46" t="s">
        <v>376</v>
      </c>
      <c r="S1587" s="46"/>
      <c r="T1587" s="46"/>
      <c r="U1587" s="46"/>
      <c r="V1587" s="46"/>
      <c r="W1587" s="46"/>
      <c r="X1587" s="46"/>
      <c r="Y1587" s="46"/>
      <c r="Z1587" s="46"/>
      <c r="AA1587" s="46"/>
      <c r="AB1587" s="46"/>
      <c r="AC1587" s="46"/>
      <c r="AD1587" s="46"/>
      <c r="AE1587" s="50">
        <f>IF(L1587="W",1,0)</f>
        <v>0</v>
      </c>
      <c r="AF1587" s="50">
        <f>IF(L1587="T",1,0)</f>
        <v>0</v>
      </c>
      <c r="AG1587" s="50">
        <f>IF(L1587="L",1,0)</f>
        <v>1</v>
      </c>
      <c r="AH1587" s="46" t="s">
        <v>1017</v>
      </c>
      <c r="AI1587" s="46" t="s">
        <v>1018</v>
      </c>
      <c r="AJ1587" s="46" t="s">
        <v>376</v>
      </c>
      <c r="AK1587" s="46" t="s">
        <v>658</v>
      </c>
      <c r="AL1587" s="46" t="s">
        <v>1101</v>
      </c>
      <c r="AM1587" s="46" t="s">
        <v>1159</v>
      </c>
      <c r="AN1587" s="46" t="s">
        <v>376</v>
      </c>
      <c r="AO1587" s="46" t="s">
        <v>658</v>
      </c>
      <c r="AP1587" s="46"/>
      <c r="AQ1587" s="46">
        <v>2</v>
      </c>
      <c r="AR1587" s="46"/>
      <c r="AS1587" s="46">
        <v>1</v>
      </c>
      <c r="AT1587" s="46"/>
      <c r="AU1587" s="46" t="s">
        <v>376</v>
      </c>
      <c r="AV1587" s="46"/>
      <c r="AW1587" s="46" t="s">
        <v>30</v>
      </c>
      <c r="AX1587" s="46"/>
      <c r="AY1587" s="46" t="s">
        <v>30</v>
      </c>
      <c r="AZ1587" s="46"/>
      <c r="BA1587" s="46"/>
      <c r="BB1587" s="51"/>
      <c r="BC1587" s="46"/>
      <c r="BD1587" s="46"/>
      <c r="BE1587" s="46"/>
      <c r="BF1587" s="46">
        <v>1</v>
      </c>
      <c r="BG1587" s="46">
        <v>1</v>
      </c>
      <c r="BH1587" s="46">
        <v>1</v>
      </c>
      <c r="BI1587" s="46" t="s">
        <v>813</v>
      </c>
      <c r="BJ1587" s="46" t="s">
        <v>821</v>
      </c>
      <c r="BK1587" s="46">
        <v>2018</v>
      </c>
      <c r="BL1587" s="46" t="str">
        <f>BK1587&amp;BI1587</f>
        <v>2018Tottenham Hotspur</v>
      </c>
      <c r="BM1587" s="52" t="s">
        <v>1017</v>
      </c>
      <c r="BN1587" s="46"/>
      <c r="BO1587" s="46"/>
      <c r="BP1587" s="46"/>
      <c r="BQ1587" s="46"/>
      <c r="BR1587" s="46"/>
      <c r="BS1587" s="46"/>
      <c r="BT1587" s="46"/>
      <c r="BU1587" s="46"/>
      <c r="BV1587" s="46" t="s">
        <v>376</v>
      </c>
      <c r="BW1587" s="46" t="s">
        <v>376</v>
      </c>
      <c r="BX1587" s="46"/>
      <c r="BY1587" s="46"/>
      <c r="BZ1587" s="53"/>
      <c r="CA1587" s="53"/>
      <c r="CB1587" s="93" t="str">
        <f>IF(OR(C1587="",A1587="",B1587=""),"",TEXT(C1587,"0000")&amp;TEXT(A1587,"00")&amp;TEXT(B1587,"00"))</f>
        <v>20180421</v>
      </c>
    </row>
    <row r="1588" spans="1:80" s="50" customFormat="1" ht="12.75" x14ac:dyDescent="0.2">
      <c r="A1588" s="46">
        <v>4</v>
      </c>
      <c r="B1588" s="46">
        <v>22</v>
      </c>
      <c r="C1588" s="46">
        <v>2018</v>
      </c>
      <c r="D1588" s="46" t="s">
        <v>658</v>
      </c>
      <c r="E1588" s="46" t="s">
        <v>200</v>
      </c>
      <c r="F1588" s="46" t="s">
        <v>1010</v>
      </c>
      <c r="G1588" s="46"/>
      <c r="H1588" s="46" t="s">
        <v>1011</v>
      </c>
      <c r="I1588" s="46"/>
      <c r="J1588" s="79">
        <v>43212</v>
      </c>
      <c r="K1588" s="46" t="s">
        <v>816</v>
      </c>
      <c r="L1588" s="46" t="s">
        <v>3</v>
      </c>
      <c r="M1588" s="46" t="s">
        <v>629</v>
      </c>
      <c r="N1588" s="49">
        <v>2</v>
      </c>
      <c r="O1588" s="49">
        <v>0</v>
      </c>
      <c r="P1588" s="46" t="s">
        <v>1415</v>
      </c>
      <c r="Q1588" s="46" t="s">
        <v>1017</v>
      </c>
      <c r="R1588" s="46" t="s">
        <v>376</v>
      </c>
      <c r="S1588" s="46"/>
      <c r="T1588" s="46"/>
      <c r="U1588" s="46"/>
      <c r="V1588" s="46"/>
      <c r="W1588" s="46"/>
      <c r="X1588" s="46"/>
      <c r="Y1588" s="46"/>
      <c r="Z1588" s="46"/>
      <c r="AA1588" s="46"/>
      <c r="AB1588" s="46"/>
      <c r="AC1588" s="46"/>
      <c r="AD1588" s="46"/>
      <c r="AE1588" s="50">
        <f>IF(L1588="W",1,0)</f>
        <v>1</v>
      </c>
      <c r="AF1588" s="50">
        <f>IF(L1588="T",1,0)</f>
        <v>0</v>
      </c>
      <c r="AG1588" s="50">
        <f>IF(L1588="L",1,0)</f>
        <v>0</v>
      </c>
      <c r="AH1588" s="46" t="s">
        <v>1017</v>
      </c>
      <c r="AI1588" s="46" t="s">
        <v>1018</v>
      </c>
      <c r="AJ1588" s="46" t="s">
        <v>376</v>
      </c>
      <c r="AK1588" s="46" t="s">
        <v>658</v>
      </c>
      <c r="AL1588" s="46" t="s">
        <v>629</v>
      </c>
      <c r="AM1588" s="46" t="s">
        <v>1199</v>
      </c>
      <c r="AN1588" s="46" t="s">
        <v>376</v>
      </c>
      <c r="AO1588" s="46" t="s">
        <v>658</v>
      </c>
      <c r="AP1588" s="46"/>
      <c r="AQ1588" s="46">
        <v>2</v>
      </c>
      <c r="AR1588" s="46"/>
      <c r="AS1588" s="46"/>
      <c r="AT1588" s="46"/>
      <c r="AU1588" s="46" t="s">
        <v>376</v>
      </c>
      <c r="AV1588" s="46"/>
      <c r="AW1588" s="46" t="s">
        <v>30</v>
      </c>
      <c r="AX1588" s="46"/>
      <c r="AY1588" s="46" t="s">
        <v>30</v>
      </c>
      <c r="AZ1588" s="46"/>
      <c r="BA1588" s="46"/>
      <c r="BB1588" s="51"/>
      <c r="BC1588" s="46"/>
      <c r="BD1588" s="46"/>
      <c r="BE1588" s="46"/>
      <c r="BF1588" s="46">
        <v>1</v>
      </c>
      <c r="BG1588" s="46">
        <v>1</v>
      </c>
      <c r="BH1588" s="46">
        <v>1</v>
      </c>
      <c r="BI1588" s="46" t="s">
        <v>816</v>
      </c>
      <c r="BJ1588" s="46" t="s">
        <v>629</v>
      </c>
      <c r="BK1588" s="46">
        <v>2018</v>
      </c>
      <c r="BL1588" s="46" t="str">
        <f>BK1588&amp;BI1588</f>
        <v>2018Chelsea</v>
      </c>
      <c r="BM1588" s="52" t="s">
        <v>1017</v>
      </c>
      <c r="BN1588" s="46"/>
      <c r="BO1588" s="46"/>
      <c r="BP1588" s="46"/>
      <c r="BQ1588" s="46"/>
      <c r="BR1588" s="46"/>
      <c r="BS1588" s="46"/>
      <c r="BT1588" s="46"/>
      <c r="BU1588" s="46"/>
      <c r="BV1588" s="46" t="s">
        <v>376</v>
      </c>
      <c r="BW1588" s="46" t="s">
        <v>376</v>
      </c>
      <c r="BX1588" s="46"/>
      <c r="BY1588" s="46"/>
      <c r="BZ1588" s="53"/>
      <c r="CA1588" s="53"/>
      <c r="CB1588" s="93" t="str">
        <f>IF(OR(C1588="",A1588="",B1588=""),"",TEXT(C1588,"0000")&amp;TEXT(A1588,"00")&amp;TEXT(B1588,"00"))</f>
        <v>20180422</v>
      </c>
    </row>
    <row r="1589" spans="1:80" s="50" customFormat="1" ht="12.75" x14ac:dyDescent="0.2">
      <c r="A1589" s="46">
        <v>4</v>
      </c>
      <c r="B1589" s="46">
        <v>22</v>
      </c>
      <c r="C1589" s="46">
        <v>2018</v>
      </c>
      <c r="D1589" s="46" t="s">
        <v>658</v>
      </c>
      <c r="E1589" s="46" t="s">
        <v>200</v>
      </c>
      <c r="F1589" s="46" t="s">
        <v>1010</v>
      </c>
      <c r="G1589" s="46"/>
      <c r="H1589" s="46" t="s">
        <v>1011</v>
      </c>
      <c r="I1589" s="46"/>
      <c r="J1589" s="79">
        <v>43212</v>
      </c>
      <c r="K1589" s="46" t="s">
        <v>629</v>
      </c>
      <c r="L1589" s="46" t="s">
        <v>4</v>
      </c>
      <c r="M1589" s="46" t="s">
        <v>816</v>
      </c>
      <c r="N1589" s="49">
        <v>0</v>
      </c>
      <c r="O1589" s="49">
        <v>2</v>
      </c>
      <c r="P1589" s="46" t="s">
        <v>1415</v>
      </c>
      <c r="Q1589" s="46" t="s">
        <v>1017</v>
      </c>
      <c r="R1589" s="46" t="s">
        <v>376</v>
      </c>
      <c r="S1589" s="46"/>
      <c r="T1589" s="46"/>
      <c r="U1589" s="46"/>
      <c r="V1589" s="46"/>
      <c r="W1589" s="46"/>
      <c r="X1589" s="46"/>
      <c r="Y1589" s="46"/>
      <c r="Z1589" s="46"/>
      <c r="AA1589" s="46"/>
      <c r="AB1589" s="46"/>
      <c r="AC1589" s="46"/>
      <c r="AD1589" s="46"/>
      <c r="AE1589" s="50">
        <f>IF(L1589="W",1,0)</f>
        <v>0</v>
      </c>
      <c r="AF1589" s="50">
        <f>IF(L1589="T",1,0)</f>
        <v>0</v>
      </c>
      <c r="AG1589" s="50">
        <f>IF(L1589="L",1,0)</f>
        <v>1</v>
      </c>
      <c r="AH1589" s="46" t="s">
        <v>629</v>
      </c>
      <c r="AI1589" s="46" t="s">
        <v>1199</v>
      </c>
      <c r="AJ1589" s="46" t="s">
        <v>376</v>
      </c>
      <c r="AK1589" s="46" t="s">
        <v>658</v>
      </c>
      <c r="AL1589" s="46" t="s">
        <v>1017</v>
      </c>
      <c r="AM1589" s="46" t="s">
        <v>1018</v>
      </c>
      <c r="AN1589" s="46" t="s">
        <v>376</v>
      </c>
      <c r="AO1589" s="46" t="s">
        <v>658</v>
      </c>
      <c r="AP1589" s="46"/>
      <c r="AQ1589" s="46">
        <v>2</v>
      </c>
      <c r="AR1589" s="46"/>
      <c r="AS1589" s="46">
        <v>1</v>
      </c>
      <c r="AT1589" s="46"/>
      <c r="AU1589" s="46" t="s">
        <v>376</v>
      </c>
      <c r="AV1589" s="46"/>
      <c r="AW1589" s="46" t="s">
        <v>30</v>
      </c>
      <c r="AX1589" s="46"/>
      <c r="AY1589" s="46" t="s">
        <v>30</v>
      </c>
      <c r="AZ1589" s="46"/>
      <c r="BA1589" s="46"/>
      <c r="BB1589" s="51"/>
      <c r="BC1589" s="46"/>
      <c r="BD1589" s="46"/>
      <c r="BE1589" s="46"/>
      <c r="BF1589" s="46">
        <v>1</v>
      </c>
      <c r="BG1589" s="46">
        <v>1</v>
      </c>
      <c r="BH1589" s="46">
        <v>1</v>
      </c>
      <c r="BI1589" s="46" t="s">
        <v>629</v>
      </c>
      <c r="BJ1589" s="46" t="s">
        <v>816</v>
      </c>
      <c r="BK1589" s="46">
        <v>2018</v>
      </c>
      <c r="BL1589" s="46" t="str">
        <f>BK1589&amp;BI1589</f>
        <v>2018Southampton</v>
      </c>
      <c r="BM1589" s="52" t="s">
        <v>1017</v>
      </c>
      <c r="BN1589" s="46"/>
      <c r="BO1589" s="46"/>
      <c r="BP1589" s="46"/>
      <c r="BQ1589" s="46"/>
      <c r="BR1589" s="46"/>
      <c r="BS1589" s="46"/>
      <c r="BT1589" s="46"/>
      <c r="BU1589" s="46"/>
      <c r="BV1589" s="46" t="s">
        <v>376</v>
      </c>
      <c r="BW1589" s="46" t="s">
        <v>376</v>
      </c>
      <c r="BX1589" s="46"/>
      <c r="BY1589" s="46"/>
      <c r="BZ1589" s="53"/>
      <c r="CA1589" s="53"/>
      <c r="CB1589" s="93" t="str">
        <f>IF(OR(C1589="",A1589="",B1589=""),"",TEXT(C1589,"0000")&amp;TEXT(A1589,"00")&amp;TEXT(B1589,"00"))</f>
        <v>20180422</v>
      </c>
    </row>
    <row r="1590" spans="1:80" s="53" customFormat="1" ht="12.75" x14ac:dyDescent="0.2">
      <c r="A1590" s="46">
        <v>5</v>
      </c>
      <c r="B1590" s="46">
        <v>19</v>
      </c>
      <c r="C1590" s="46">
        <v>2018</v>
      </c>
      <c r="D1590" s="46" t="s">
        <v>658</v>
      </c>
      <c r="E1590" s="46" t="s">
        <v>200</v>
      </c>
      <c r="F1590" s="46" t="s">
        <v>1010</v>
      </c>
      <c r="G1590" s="46"/>
      <c r="H1590" s="46" t="s">
        <v>40</v>
      </c>
      <c r="I1590" s="46"/>
      <c r="J1590" s="79">
        <v>43239</v>
      </c>
      <c r="K1590" s="46" t="s">
        <v>816</v>
      </c>
      <c r="L1590" s="46" t="s">
        <v>3</v>
      </c>
      <c r="M1590" s="46" t="s">
        <v>821</v>
      </c>
      <c r="N1590" s="49">
        <v>1</v>
      </c>
      <c r="O1590" s="49">
        <v>0</v>
      </c>
      <c r="P1590" s="46" t="s">
        <v>1415</v>
      </c>
      <c r="Q1590" s="46" t="s">
        <v>1017</v>
      </c>
      <c r="R1590" s="46" t="s">
        <v>376</v>
      </c>
      <c r="S1590" s="46"/>
      <c r="T1590" s="46"/>
      <c r="U1590" s="46"/>
      <c r="V1590" s="46"/>
      <c r="W1590" s="46"/>
      <c r="X1590" s="46"/>
      <c r="Y1590" s="46"/>
      <c r="Z1590" s="46"/>
      <c r="AA1590" s="46"/>
      <c r="AB1590" s="46"/>
      <c r="AC1590" s="46"/>
      <c r="AD1590" s="46"/>
      <c r="AE1590" s="50">
        <f>IF(L1590="W",1,0)</f>
        <v>1</v>
      </c>
      <c r="AF1590" s="50">
        <f>IF(L1590="T",1,0)</f>
        <v>0</v>
      </c>
      <c r="AG1590" s="50">
        <f>IF(L1590="L",1,0)</f>
        <v>0</v>
      </c>
      <c r="AH1590" s="46" t="s">
        <v>1017</v>
      </c>
      <c r="AI1590" s="46" t="s">
        <v>1018</v>
      </c>
      <c r="AJ1590" s="46" t="s">
        <v>376</v>
      </c>
      <c r="AK1590" s="46" t="s">
        <v>658</v>
      </c>
      <c r="AL1590" s="46" t="s">
        <v>1101</v>
      </c>
      <c r="AM1590" s="46" t="s">
        <v>1159</v>
      </c>
      <c r="AN1590" s="46" t="s">
        <v>376</v>
      </c>
      <c r="AO1590" s="46" t="s">
        <v>658</v>
      </c>
      <c r="AP1590" s="46"/>
      <c r="AQ1590" s="46">
        <v>1</v>
      </c>
      <c r="AR1590" s="46"/>
      <c r="AS1590" s="46" t="s">
        <v>1393</v>
      </c>
      <c r="AT1590" s="46"/>
      <c r="AU1590" s="46" t="s">
        <v>376</v>
      </c>
      <c r="AV1590" s="46"/>
      <c r="AW1590" s="46" t="s">
        <v>30</v>
      </c>
      <c r="AX1590" s="46"/>
      <c r="AY1590" s="49" t="s">
        <v>30</v>
      </c>
      <c r="AZ1590" s="46"/>
      <c r="BA1590" s="46"/>
      <c r="BB1590" s="51" t="s">
        <v>30</v>
      </c>
      <c r="BC1590" s="46" t="s">
        <v>30</v>
      </c>
      <c r="BD1590" s="46"/>
      <c r="BE1590" s="46" t="s">
        <v>1419</v>
      </c>
      <c r="BF1590" s="46">
        <v>1</v>
      </c>
      <c r="BG1590" s="46">
        <v>1</v>
      </c>
      <c r="BH1590" s="46">
        <v>1</v>
      </c>
      <c r="BI1590" s="46" t="s">
        <v>816</v>
      </c>
      <c r="BJ1590" s="46" t="s">
        <v>821</v>
      </c>
      <c r="BK1590" s="46">
        <v>2018</v>
      </c>
      <c r="BL1590" s="46" t="str">
        <f>BK1590&amp;BI1590</f>
        <v>2018Chelsea</v>
      </c>
      <c r="BM1590" s="52" t="s">
        <v>1017</v>
      </c>
      <c r="BN1590" s="46"/>
      <c r="BO1590" s="46"/>
      <c r="BP1590" s="46"/>
      <c r="BQ1590" s="46"/>
      <c r="BR1590" s="46"/>
      <c r="BS1590" s="46"/>
      <c r="BT1590" s="46"/>
      <c r="BU1590" s="46"/>
      <c r="BV1590" s="46" t="s">
        <v>376</v>
      </c>
      <c r="BW1590" s="46" t="s">
        <v>376</v>
      </c>
      <c r="BX1590" s="46"/>
      <c r="BY1590" s="46"/>
      <c r="CB1590" s="93" t="str">
        <f>IF(OR(C1590="",A1590="",B1590=""),"",TEXT(C1590,"0000")&amp;TEXT(A1590,"00")&amp;TEXT(B1590,"00"))</f>
        <v>20180519</v>
      </c>
    </row>
    <row r="1591" spans="1:80" s="53" customFormat="1" ht="12.75" x14ac:dyDescent="0.2">
      <c r="A1591" s="46">
        <v>5</v>
      </c>
      <c r="B1591" s="46">
        <v>19</v>
      </c>
      <c r="C1591" s="46">
        <v>2018</v>
      </c>
      <c r="D1591" s="46" t="s">
        <v>658</v>
      </c>
      <c r="E1591" s="46" t="s">
        <v>200</v>
      </c>
      <c r="F1591" s="46" t="s">
        <v>1010</v>
      </c>
      <c r="G1591" s="46"/>
      <c r="H1591" s="46" t="s">
        <v>40</v>
      </c>
      <c r="I1591" s="46"/>
      <c r="J1591" s="79">
        <v>43239</v>
      </c>
      <c r="K1591" s="46" t="s">
        <v>821</v>
      </c>
      <c r="L1591" s="46" t="s">
        <v>4</v>
      </c>
      <c r="M1591" s="46" t="s">
        <v>816</v>
      </c>
      <c r="N1591" s="49">
        <v>0</v>
      </c>
      <c r="O1591" s="49">
        <v>1</v>
      </c>
      <c r="P1591" s="46" t="s">
        <v>1415</v>
      </c>
      <c r="Q1591" s="46" t="s">
        <v>1017</v>
      </c>
      <c r="R1591" s="46" t="s">
        <v>376</v>
      </c>
      <c r="S1591" s="46"/>
      <c r="T1591" s="46"/>
      <c r="U1591" s="46"/>
      <c r="V1591" s="46"/>
      <c r="W1591" s="46"/>
      <c r="X1591" s="46"/>
      <c r="Y1591" s="46"/>
      <c r="Z1591" s="46"/>
      <c r="AA1591" s="46"/>
      <c r="AB1591" s="46"/>
      <c r="AC1591" s="46"/>
      <c r="AD1591" s="46"/>
      <c r="AE1591" s="50">
        <f>IF(L1591="W",1,0)</f>
        <v>0</v>
      </c>
      <c r="AF1591" s="50">
        <f>IF(L1591="T",1,0)</f>
        <v>0</v>
      </c>
      <c r="AG1591" s="50">
        <f>IF(L1591="L",1,0)</f>
        <v>1</v>
      </c>
      <c r="AH1591" s="46" t="s">
        <v>1101</v>
      </c>
      <c r="AI1591" s="46" t="s">
        <v>1159</v>
      </c>
      <c r="AJ1591" s="46" t="s">
        <v>376</v>
      </c>
      <c r="AK1591" s="46" t="s">
        <v>658</v>
      </c>
      <c r="AL1591" s="46" t="s">
        <v>1017</v>
      </c>
      <c r="AM1591" s="46" t="s">
        <v>1018</v>
      </c>
      <c r="AN1591" s="46" t="s">
        <v>376</v>
      </c>
      <c r="AO1591" s="46" t="s">
        <v>658</v>
      </c>
      <c r="AP1591" s="46"/>
      <c r="AQ1591" s="46">
        <v>1</v>
      </c>
      <c r="AR1591" s="46"/>
      <c r="AS1591" s="46">
        <v>1</v>
      </c>
      <c r="AT1591" s="46"/>
      <c r="AU1591" s="46" t="s">
        <v>376</v>
      </c>
      <c r="AV1591" s="46"/>
      <c r="AW1591" s="46" t="s">
        <v>30</v>
      </c>
      <c r="AX1591" s="46"/>
      <c r="AY1591" s="46" t="s">
        <v>30</v>
      </c>
      <c r="AZ1591" s="46"/>
      <c r="BA1591" s="46"/>
      <c r="BB1591" s="51"/>
      <c r="BC1591" s="46" t="s">
        <v>30</v>
      </c>
      <c r="BD1591" s="46"/>
      <c r="BE1591" s="46"/>
      <c r="BF1591" s="46">
        <v>1</v>
      </c>
      <c r="BG1591" s="46">
        <v>1</v>
      </c>
      <c r="BH1591" s="46">
        <v>1</v>
      </c>
      <c r="BI1591" s="46" t="s">
        <v>821</v>
      </c>
      <c r="BJ1591" s="46" t="s">
        <v>816</v>
      </c>
      <c r="BK1591" s="46">
        <v>2018</v>
      </c>
      <c r="BL1591" s="46" t="str">
        <f>BK1591&amp;BI1591</f>
        <v>2018Manchester United</v>
      </c>
      <c r="BM1591" s="52" t="s">
        <v>1017</v>
      </c>
      <c r="BN1591" s="46"/>
      <c r="BO1591" s="46"/>
      <c r="BP1591" s="46"/>
      <c r="BQ1591" s="46"/>
      <c r="BR1591" s="46"/>
      <c r="BS1591" s="46"/>
      <c r="BT1591" s="46"/>
      <c r="BU1591" s="46"/>
      <c r="BV1591" s="46" t="s">
        <v>376</v>
      </c>
      <c r="BW1591" s="46" t="s">
        <v>376</v>
      </c>
      <c r="BX1591" s="46"/>
      <c r="BY1591" s="46"/>
      <c r="CB1591" s="93" t="str">
        <f>IF(OR(C1591="",A1591="",B1591=""),"",TEXT(C1591,"0000")&amp;TEXT(A1591,"00")&amp;TEXT(B1591,"00"))</f>
        <v>20180519</v>
      </c>
    </row>
    <row r="1592" spans="1:80" s="53" customFormat="1" ht="12.75" x14ac:dyDescent="0.2">
      <c r="A1592" s="46">
        <v>1</v>
      </c>
      <c r="B1592" s="46">
        <v>8</v>
      </c>
      <c r="C1592" s="46">
        <v>2019</v>
      </c>
      <c r="D1592" s="46" t="s">
        <v>658</v>
      </c>
      <c r="E1592" s="46" t="s">
        <v>195</v>
      </c>
      <c r="F1592" s="46" t="s">
        <v>1327</v>
      </c>
      <c r="G1592" s="46"/>
      <c r="H1592" s="46" t="s">
        <v>1011</v>
      </c>
      <c r="I1592" s="46">
        <v>1</v>
      </c>
      <c r="J1592" s="79">
        <v>43473</v>
      </c>
      <c r="K1592" s="46" t="s">
        <v>813</v>
      </c>
      <c r="L1592" s="46" t="s">
        <v>3</v>
      </c>
      <c r="M1592" s="46" t="s">
        <v>816</v>
      </c>
      <c r="N1592" s="49">
        <v>1</v>
      </c>
      <c r="O1592" s="49">
        <v>0</v>
      </c>
      <c r="P1592" s="46" t="s">
        <v>1415</v>
      </c>
      <c r="Q1592" s="46" t="s">
        <v>1017</v>
      </c>
      <c r="R1592" s="46" t="s">
        <v>376</v>
      </c>
      <c r="S1592" s="46"/>
      <c r="T1592" s="46"/>
      <c r="U1592" s="46"/>
      <c r="V1592" s="46"/>
      <c r="W1592" s="46"/>
      <c r="X1592" s="46"/>
      <c r="Y1592" s="46"/>
      <c r="Z1592" s="46"/>
      <c r="AA1592" s="77">
        <v>1</v>
      </c>
      <c r="AB1592" s="77">
        <v>0</v>
      </c>
      <c r="AC1592" s="78">
        <v>0</v>
      </c>
      <c r="AD1592" s="46" t="s">
        <v>1033</v>
      </c>
      <c r="AE1592" s="50">
        <f>IF(L1592="W",1,0)</f>
        <v>1</v>
      </c>
      <c r="AF1592" s="50">
        <f>IF(L1592="T",1,0)</f>
        <v>0</v>
      </c>
      <c r="AG1592" s="50">
        <f>IF(L1592="L",1,0)</f>
        <v>0</v>
      </c>
      <c r="AH1592" s="46" t="s">
        <v>1017</v>
      </c>
      <c r="AI1592" s="46" t="s">
        <v>1018</v>
      </c>
      <c r="AJ1592" s="46" t="s">
        <v>376</v>
      </c>
      <c r="AK1592" s="46" t="s">
        <v>658</v>
      </c>
      <c r="AL1592" s="46" t="s">
        <v>1017</v>
      </c>
      <c r="AM1592" s="46" t="s">
        <v>1018</v>
      </c>
      <c r="AN1592" s="46" t="s">
        <v>376</v>
      </c>
      <c r="AO1592" s="46" t="s">
        <v>658</v>
      </c>
      <c r="AP1592" s="46"/>
      <c r="AQ1592" s="46">
        <v>2</v>
      </c>
      <c r="AR1592" s="46"/>
      <c r="AS1592" s="46"/>
      <c r="AT1592" s="46"/>
      <c r="AU1592" s="46" t="s">
        <v>376</v>
      </c>
      <c r="AV1592" s="46"/>
      <c r="AW1592" s="46" t="s">
        <v>30</v>
      </c>
      <c r="AX1592" s="46"/>
      <c r="AY1592" s="46"/>
      <c r="AZ1592" s="46" t="s">
        <v>30</v>
      </c>
      <c r="BA1592" s="46"/>
      <c r="BB1592" s="51"/>
      <c r="BC1592" s="46"/>
      <c r="BD1592" s="46"/>
      <c r="BE1592" s="46"/>
      <c r="BF1592" s="46">
        <v>1</v>
      </c>
      <c r="BG1592" s="46">
        <v>1</v>
      </c>
      <c r="BH1592" s="46">
        <v>1</v>
      </c>
      <c r="BI1592" s="46" t="s">
        <v>813</v>
      </c>
      <c r="BJ1592" s="46" t="s">
        <v>816</v>
      </c>
      <c r="BK1592" s="46">
        <v>2019</v>
      </c>
      <c r="BL1592" s="46" t="str">
        <f>BK1592&amp;BI1592</f>
        <v>2019Tottenham Hotspur</v>
      </c>
      <c r="BM1592" s="52" t="s">
        <v>813</v>
      </c>
      <c r="BN1592" s="46"/>
      <c r="BO1592" s="46"/>
      <c r="BP1592" s="46"/>
      <c r="BQ1592" s="46"/>
      <c r="BR1592" s="46"/>
      <c r="BS1592" s="46"/>
      <c r="BT1592" s="46"/>
      <c r="BU1592" s="46"/>
      <c r="BV1592" s="46" t="s">
        <v>376</v>
      </c>
      <c r="BW1592" s="46" t="s">
        <v>376</v>
      </c>
      <c r="BX1592" s="46"/>
      <c r="BY1592" s="46"/>
      <c r="CB1592" s="93" t="str">
        <f>IF(OR(C1592="",A1592="",B1592=""),"",TEXT(C1592,"0000")&amp;TEXT(A1592,"00")&amp;TEXT(B1592,"00"))</f>
        <v>20190108</v>
      </c>
    </row>
    <row r="1593" spans="1:80" s="53" customFormat="1" ht="12.75" x14ac:dyDescent="0.2">
      <c r="A1593" s="46">
        <v>1</v>
      </c>
      <c r="B1593" s="46">
        <v>8</v>
      </c>
      <c r="C1593" s="46">
        <v>2019</v>
      </c>
      <c r="D1593" s="46" t="s">
        <v>658</v>
      </c>
      <c r="E1593" s="46" t="s">
        <v>195</v>
      </c>
      <c r="F1593" s="46" t="s">
        <v>1327</v>
      </c>
      <c r="G1593" s="46"/>
      <c r="H1593" s="46" t="s">
        <v>1011</v>
      </c>
      <c r="I1593" s="46">
        <v>1</v>
      </c>
      <c r="J1593" s="79">
        <v>43473</v>
      </c>
      <c r="K1593" s="46" t="s">
        <v>816</v>
      </c>
      <c r="L1593" s="46" t="s">
        <v>4</v>
      </c>
      <c r="M1593" s="46" t="s">
        <v>813</v>
      </c>
      <c r="N1593" s="49">
        <v>0</v>
      </c>
      <c r="O1593" s="49">
        <v>1</v>
      </c>
      <c r="P1593" s="46" t="s">
        <v>1415</v>
      </c>
      <c r="Q1593" s="46" t="s">
        <v>1017</v>
      </c>
      <c r="R1593" s="46" t="s">
        <v>376</v>
      </c>
      <c r="S1593" s="46"/>
      <c r="T1593" s="46"/>
      <c r="U1593" s="46"/>
      <c r="V1593" s="46"/>
      <c r="W1593" s="46"/>
      <c r="X1593" s="46"/>
      <c r="Y1593" s="46"/>
      <c r="Z1593" s="46"/>
      <c r="AA1593" s="77">
        <v>0</v>
      </c>
      <c r="AB1593" s="77">
        <v>1</v>
      </c>
      <c r="AC1593" s="78">
        <v>0</v>
      </c>
      <c r="AD1593" s="46" t="s">
        <v>1037</v>
      </c>
      <c r="AE1593" s="50">
        <f>IF(L1593="W",1,0)</f>
        <v>0</v>
      </c>
      <c r="AF1593" s="50">
        <f>IF(L1593="T",1,0)</f>
        <v>0</v>
      </c>
      <c r="AG1593" s="50">
        <f>IF(L1593="L",1,0)</f>
        <v>1</v>
      </c>
      <c r="AH1593" s="46" t="s">
        <v>1017</v>
      </c>
      <c r="AI1593" s="46" t="s">
        <v>1018</v>
      </c>
      <c r="AJ1593" s="46" t="s">
        <v>376</v>
      </c>
      <c r="AK1593" s="46" t="s">
        <v>658</v>
      </c>
      <c r="AL1593" s="46" t="s">
        <v>1017</v>
      </c>
      <c r="AM1593" s="46" t="s">
        <v>1018</v>
      </c>
      <c r="AN1593" s="46" t="s">
        <v>376</v>
      </c>
      <c r="AO1593" s="46" t="s">
        <v>658</v>
      </c>
      <c r="AP1593" s="46"/>
      <c r="AQ1593" s="46">
        <v>2</v>
      </c>
      <c r="AR1593" s="46"/>
      <c r="AS1593" s="46"/>
      <c r="AT1593" s="46"/>
      <c r="AU1593" s="46" t="s">
        <v>376</v>
      </c>
      <c r="AV1593" s="46"/>
      <c r="AW1593" s="46" t="s">
        <v>30</v>
      </c>
      <c r="AX1593" s="46"/>
      <c r="AY1593" s="46"/>
      <c r="AZ1593" s="46" t="s">
        <v>30</v>
      </c>
      <c r="BA1593" s="46"/>
      <c r="BB1593" s="51"/>
      <c r="BC1593" s="46"/>
      <c r="BD1593" s="46"/>
      <c r="BE1593" s="46"/>
      <c r="BF1593" s="46">
        <v>1</v>
      </c>
      <c r="BG1593" s="46">
        <v>1</v>
      </c>
      <c r="BH1593" s="46">
        <v>1</v>
      </c>
      <c r="BI1593" s="46" t="s">
        <v>816</v>
      </c>
      <c r="BJ1593" s="46" t="s">
        <v>813</v>
      </c>
      <c r="BK1593" s="46">
        <v>2019</v>
      </c>
      <c r="BL1593" s="46" t="str">
        <f>BK1593&amp;BI1593</f>
        <v>2019Chelsea</v>
      </c>
      <c r="BM1593" s="52" t="s">
        <v>813</v>
      </c>
      <c r="BN1593" s="46"/>
      <c r="BO1593" s="46"/>
      <c r="BP1593" s="46"/>
      <c r="BQ1593" s="46"/>
      <c r="BR1593" s="46"/>
      <c r="BS1593" s="46"/>
      <c r="BT1593" s="46"/>
      <c r="BU1593" s="46"/>
      <c r="BV1593" s="46" t="s">
        <v>376</v>
      </c>
      <c r="BW1593" s="46" t="s">
        <v>376</v>
      </c>
      <c r="BX1593" s="46"/>
      <c r="BY1593" s="46"/>
      <c r="CB1593" s="93" t="str">
        <f>IF(OR(C1593="",A1593="",B1593=""),"",TEXT(C1593,"0000")&amp;TEXT(A1593,"00")&amp;TEXT(B1593,"00"))</f>
        <v>20190108</v>
      </c>
    </row>
    <row r="1594" spans="1:80" s="53" customFormat="1" ht="12.75" x14ac:dyDescent="0.2">
      <c r="A1594" s="46">
        <v>1</v>
      </c>
      <c r="B1594" s="46">
        <v>9</v>
      </c>
      <c r="C1594" s="46">
        <v>2019</v>
      </c>
      <c r="D1594" s="46" t="s">
        <v>658</v>
      </c>
      <c r="E1594" s="46" t="s">
        <v>195</v>
      </c>
      <c r="F1594" s="46" t="s">
        <v>1327</v>
      </c>
      <c r="G1594" s="46"/>
      <c r="H1594" s="46" t="s">
        <v>1011</v>
      </c>
      <c r="I1594" s="46">
        <v>1</v>
      </c>
      <c r="J1594" s="79">
        <v>43474</v>
      </c>
      <c r="K1594" s="46" t="s">
        <v>823</v>
      </c>
      <c r="L1594" s="46" t="s">
        <v>3</v>
      </c>
      <c r="M1594" s="46" t="s">
        <v>1427</v>
      </c>
      <c r="N1594" s="49">
        <v>9</v>
      </c>
      <c r="O1594" s="49">
        <v>0</v>
      </c>
      <c r="P1594" s="46" t="s">
        <v>1420</v>
      </c>
      <c r="Q1594" s="46" t="s">
        <v>1101</v>
      </c>
      <c r="R1594" s="46" t="s">
        <v>376</v>
      </c>
      <c r="S1594" s="46"/>
      <c r="T1594" s="46"/>
      <c r="U1594" s="46"/>
      <c r="V1594" s="46"/>
      <c r="W1594" s="46"/>
      <c r="X1594" s="46"/>
      <c r="Y1594" s="46"/>
      <c r="Z1594" s="46"/>
      <c r="AA1594" s="77">
        <v>9</v>
      </c>
      <c r="AB1594" s="77">
        <v>0</v>
      </c>
      <c r="AC1594" s="78">
        <v>0</v>
      </c>
      <c r="AD1594" s="46" t="s">
        <v>1033</v>
      </c>
      <c r="AE1594" s="50">
        <f>IF(L1594="W",1,0)</f>
        <v>1</v>
      </c>
      <c r="AF1594" s="50">
        <f>IF(L1594="T",1,0)</f>
        <v>0</v>
      </c>
      <c r="AG1594" s="50">
        <f>IF(L1594="L",1,0)</f>
        <v>0</v>
      </c>
      <c r="AH1594" s="46" t="s">
        <v>1101</v>
      </c>
      <c r="AI1594" s="46" t="s">
        <v>1159</v>
      </c>
      <c r="AJ1594" s="46" t="s">
        <v>376</v>
      </c>
      <c r="AK1594" s="46" t="s">
        <v>658</v>
      </c>
      <c r="AL1594" s="46" t="s">
        <v>1428</v>
      </c>
      <c r="AM1594" s="46" t="s">
        <v>1206</v>
      </c>
      <c r="AN1594" s="46" t="s">
        <v>376</v>
      </c>
      <c r="AO1594" s="46" t="s">
        <v>658</v>
      </c>
      <c r="AP1594" s="46"/>
      <c r="AQ1594" s="46">
        <v>2</v>
      </c>
      <c r="AR1594" s="46"/>
      <c r="AS1594" s="46"/>
      <c r="AT1594" s="46"/>
      <c r="AU1594" s="46" t="s">
        <v>376</v>
      </c>
      <c r="AV1594" s="46"/>
      <c r="AW1594" s="46" t="s">
        <v>30</v>
      </c>
      <c r="AX1594" s="46"/>
      <c r="AY1594" s="46"/>
      <c r="AZ1594" s="46" t="s">
        <v>30</v>
      </c>
      <c r="BA1594" s="46"/>
      <c r="BB1594" s="51"/>
      <c r="BC1594" s="46"/>
      <c r="BD1594" s="46"/>
      <c r="BE1594" s="46"/>
      <c r="BF1594" s="46">
        <v>1</v>
      </c>
      <c r="BG1594" s="46">
        <v>1</v>
      </c>
      <c r="BH1594" s="46">
        <v>3</v>
      </c>
      <c r="BI1594" s="46" t="s">
        <v>823</v>
      </c>
      <c r="BJ1594" s="46" t="s">
        <v>1427</v>
      </c>
      <c r="BK1594" s="46">
        <v>2019</v>
      </c>
      <c r="BL1594" s="46" t="str">
        <f>BK1594&amp;BI1594</f>
        <v>2019Manchester City</v>
      </c>
      <c r="BM1594" s="52" t="s">
        <v>823</v>
      </c>
      <c r="BN1594" s="46"/>
      <c r="BO1594" s="46"/>
      <c r="BP1594" s="46"/>
      <c r="BQ1594" s="46"/>
      <c r="BR1594" s="46"/>
      <c r="BS1594" s="46"/>
      <c r="BT1594" s="46"/>
      <c r="BU1594" s="46"/>
      <c r="BV1594" s="46" t="s">
        <v>376</v>
      </c>
      <c r="BW1594" s="46" t="s">
        <v>376</v>
      </c>
      <c r="BX1594" s="46"/>
      <c r="BY1594" s="46"/>
      <c r="CB1594" s="93" t="str">
        <f>IF(OR(C1594="",A1594="",B1594=""),"",TEXT(C1594,"0000")&amp;TEXT(A1594,"00")&amp;TEXT(B1594,"00"))</f>
        <v>20190109</v>
      </c>
    </row>
    <row r="1595" spans="1:80" s="53" customFormat="1" ht="12.75" x14ac:dyDescent="0.2">
      <c r="A1595" s="46">
        <v>1</v>
      </c>
      <c r="B1595" s="46">
        <v>9</v>
      </c>
      <c r="C1595" s="46">
        <v>2019</v>
      </c>
      <c r="D1595" s="46" t="s">
        <v>658</v>
      </c>
      <c r="E1595" s="46" t="s">
        <v>195</v>
      </c>
      <c r="F1595" s="46" t="s">
        <v>1327</v>
      </c>
      <c r="G1595" s="46"/>
      <c r="H1595" s="46" t="s">
        <v>1011</v>
      </c>
      <c r="I1595" s="46">
        <v>1</v>
      </c>
      <c r="J1595" s="79">
        <v>43474</v>
      </c>
      <c r="K1595" s="46" t="s">
        <v>1427</v>
      </c>
      <c r="L1595" s="46" t="s">
        <v>4</v>
      </c>
      <c r="M1595" s="46" t="s">
        <v>823</v>
      </c>
      <c r="N1595" s="49">
        <v>0</v>
      </c>
      <c r="O1595" s="49">
        <v>9</v>
      </c>
      <c r="P1595" s="46" t="s">
        <v>1420</v>
      </c>
      <c r="Q1595" s="46" t="s">
        <v>1101</v>
      </c>
      <c r="R1595" s="46" t="s">
        <v>376</v>
      </c>
      <c r="S1595" s="46"/>
      <c r="T1595" s="46"/>
      <c r="U1595" s="46"/>
      <c r="V1595" s="46"/>
      <c r="W1595" s="46"/>
      <c r="X1595" s="46"/>
      <c r="Y1595" s="46"/>
      <c r="Z1595" s="46"/>
      <c r="AA1595" s="77">
        <v>0</v>
      </c>
      <c r="AB1595" s="77">
        <v>9</v>
      </c>
      <c r="AC1595" s="78">
        <v>0</v>
      </c>
      <c r="AD1595" s="46" t="s">
        <v>1037</v>
      </c>
      <c r="AE1595" s="50">
        <f>IF(L1595="W",1,0)</f>
        <v>0</v>
      </c>
      <c r="AF1595" s="50">
        <f>IF(L1595="T",1,0)</f>
        <v>0</v>
      </c>
      <c r="AG1595" s="50">
        <f>IF(L1595="L",1,0)</f>
        <v>1</v>
      </c>
      <c r="AH1595" s="46" t="s">
        <v>1428</v>
      </c>
      <c r="AI1595" s="46" t="s">
        <v>1206</v>
      </c>
      <c r="AJ1595" s="46" t="s">
        <v>376</v>
      </c>
      <c r="AK1595" s="46" t="s">
        <v>658</v>
      </c>
      <c r="AL1595" s="46" t="s">
        <v>1101</v>
      </c>
      <c r="AM1595" s="46" t="s">
        <v>1159</v>
      </c>
      <c r="AN1595" s="46" t="s">
        <v>376</v>
      </c>
      <c r="AO1595" s="46" t="s">
        <v>658</v>
      </c>
      <c r="AP1595" s="46"/>
      <c r="AQ1595" s="46">
        <v>2</v>
      </c>
      <c r="AR1595" s="46"/>
      <c r="AS1595" s="46"/>
      <c r="AT1595" s="46"/>
      <c r="AU1595" s="46" t="s">
        <v>376</v>
      </c>
      <c r="AV1595" s="46"/>
      <c r="AW1595" s="46" t="s">
        <v>30</v>
      </c>
      <c r="AX1595" s="46"/>
      <c r="AY1595" s="46"/>
      <c r="AZ1595" s="46" t="s">
        <v>30</v>
      </c>
      <c r="BA1595" s="46"/>
      <c r="BB1595" s="51"/>
      <c r="BC1595" s="46"/>
      <c r="BD1595" s="46"/>
      <c r="BE1595" s="46"/>
      <c r="BF1595" s="46">
        <v>1</v>
      </c>
      <c r="BG1595" s="46">
        <v>3</v>
      </c>
      <c r="BH1595" s="46">
        <v>1</v>
      </c>
      <c r="BI1595" s="46" t="s">
        <v>1427</v>
      </c>
      <c r="BJ1595" s="46" t="s">
        <v>823</v>
      </c>
      <c r="BK1595" s="46">
        <v>2019</v>
      </c>
      <c r="BL1595" s="46" t="str">
        <f>BK1595&amp;BI1595</f>
        <v>2019Burton Albion</v>
      </c>
      <c r="BM1595" s="52" t="s">
        <v>823</v>
      </c>
      <c r="BN1595" s="46"/>
      <c r="BO1595" s="46"/>
      <c r="BP1595" s="46"/>
      <c r="BQ1595" s="46"/>
      <c r="BR1595" s="46"/>
      <c r="BS1595" s="46"/>
      <c r="BT1595" s="46"/>
      <c r="BU1595" s="46"/>
      <c r="BV1595" s="46" t="s">
        <v>376</v>
      </c>
      <c r="BW1595" s="46" t="s">
        <v>376</v>
      </c>
      <c r="BX1595" s="46"/>
      <c r="BY1595" s="46"/>
      <c r="CB1595" s="93" t="str">
        <f>IF(OR(C1595="",A1595="",B1595=""),"",TEXT(C1595,"0000")&amp;TEXT(A1595,"00")&amp;TEXT(B1595,"00"))</f>
        <v>20190109</v>
      </c>
    </row>
    <row r="1596" spans="1:80" s="53" customFormat="1" ht="12.75" x14ac:dyDescent="0.2">
      <c r="A1596" s="46">
        <v>1</v>
      </c>
      <c r="B1596" s="46">
        <v>23</v>
      </c>
      <c r="C1596" s="46">
        <v>2019</v>
      </c>
      <c r="D1596" s="46" t="s">
        <v>658</v>
      </c>
      <c r="E1596" s="46" t="s">
        <v>195</v>
      </c>
      <c r="F1596" s="46" t="s">
        <v>1327</v>
      </c>
      <c r="G1596" s="46"/>
      <c r="H1596" s="46" t="s">
        <v>1011</v>
      </c>
      <c r="I1596" s="46">
        <v>2</v>
      </c>
      <c r="J1596" s="79">
        <v>43488</v>
      </c>
      <c r="K1596" s="46" t="s">
        <v>1427</v>
      </c>
      <c r="L1596" s="46" t="s">
        <v>4</v>
      </c>
      <c r="M1596" s="46" t="s">
        <v>823</v>
      </c>
      <c r="N1596" s="49">
        <v>0</v>
      </c>
      <c r="O1596" s="49">
        <v>1</v>
      </c>
      <c r="P1596" s="46" t="s">
        <v>1429</v>
      </c>
      <c r="Q1596" s="46" t="s">
        <v>1428</v>
      </c>
      <c r="R1596" s="46" t="s">
        <v>376</v>
      </c>
      <c r="S1596" s="46"/>
      <c r="T1596" s="46"/>
      <c r="U1596" s="46"/>
      <c r="V1596" s="46"/>
      <c r="W1596" s="46"/>
      <c r="X1596" s="46"/>
      <c r="Y1596" s="46"/>
      <c r="Z1596" s="46"/>
      <c r="AA1596" s="77">
        <v>0</v>
      </c>
      <c r="AB1596" s="77">
        <v>10</v>
      </c>
      <c r="AC1596" s="78">
        <v>0</v>
      </c>
      <c r="AD1596" s="46" t="s">
        <v>1033</v>
      </c>
      <c r="AE1596" s="50">
        <f>IF(L1596="W",1,0)</f>
        <v>0</v>
      </c>
      <c r="AF1596" s="50">
        <f>IF(L1596="T",1,0)</f>
        <v>0</v>
      </c>
      <c r="AG1596" s="50">
        <f>IF(L1596="L",1,0)</f>
        <v>1</v>
      </c>
      <c r="AH1596" s="46" t="s">
        <v>1428</v>
      </c>
      <c r="AI1596" s="46" t="s">
        <v>1206</v>
      </c>
      <c r="AJ1596" s="46" t="s">
        <v>376</v>
      </c>
      <c r="AK1596" s="46" t="s">
        <v>658</v>
      </c>
      <c r="AL1596" s="46" t="s">
        <v>1101</v>
      </c>
      <c r="AM1596" s="46" t="s">
        <v>1159</v>
      </c>
      <c r="AN1596" s="46" t="s">
        <v>376</v>
      </c>
      <c r="AO1596" s="46" t="s">
        <v>658</v>
      </c>
      <c r="AP1596" s="46"/>
      <c r="AQ1596" s="46">
        <v>2</v>
      </c>
      <c r="AR1596" s="46"/>
      <c r="AS1596" s="46">
        <v>1</v>
      </c>
      <c r="AT1596" s="46"/>
      <c r="AU1596" s="46" t="s">
        <v>376</v>
      </c>
      <c r="AV1596" s="46"/>
      <c r="AW1596" s="46" t="s">
        <v>30</v>
      </c>
      <c r="AX1596" s="46"/>
      <c r="AY1596" s="46"/>
      <c r="AZ1596" s="46" t="s">
        <v>30</v>
      </c>
      <c r="BA1596" s="46"/>
      <c r="BB1596" s="51"/>
      <c r="BC1596" s="46"/>
      <c r="BD1596" s="46"/>
      <c r="BE1596" s="46"/>
      <c r="BF1596" s="46">
        <v>1</v>
      </c>
      <c r="BG1596" s="46">
        <v>3</v>
      </c>
      <c r="BH1596" s="46">
        <v>1</v>
      </c>
      <c r="BI1596" s="46" t="s">
        <v>1427</v>
      </c>
      <c r="BJ1596" s="46" t="s">
        <v>823</v>
      </c>
      <c r="BK1596" s="46">
        <v>2019</v>
      </c>
      <c r="BL1596" s="46" t="str">
        <f>BK1596&amp;BI1596</f>
        <v>2019Burton Albion</v>
      </c>
      <c r="BM1596" s="52" t="s">
        <v>1427</v>
      </c>
      <c r="BN1596" s="46"/>
      <c r="BO1596" s="46"/>
      <c r="BP1596" s="46"/>
      <c r="BQ1596" s="46"/>
      <c r="BR1596" s="46"/>
      <c r="BS1596" s="46"/>
      <c r="BT1596" s="46"/>
      <c r="BU1596" s="46"/>
      <c r="BV1596" s="46" t="s">
        <v>376</v>
      </c>
      <c r="BW1596" s="46" t="s">
        <v>376</v>
      </c>
      <c r="BX1596" s="46"/>
      <c r="BY1596" s="46"/>
      <c r="CB1596" s="93" t="str">
        <f>IF(OR(C1596="",A1596="",B1596=""),"",TEXT(C1596,"0000")&amp;TEXT(A1596,"00")&amp;TEXT(B1596,"00"))</f>
        <v>20190123</v>
      </c>
    </row>
    <row r="1597" spans="1:80" s="53" customFormat="1" ht="12.75" x14ac:dyDescent="0.2">
      <c r="A1597" s="46">
        <v>1</v>
      </c>
      <c r="B1597" s="46">
        <v>23</v>
      </c>
      <c r="C1597" s="46">
        <v>2019</v>
      </c>
      <c r="D1597" s="46" t="s">
        <v>658</v>
      </c>
      <c r="E1597" s="46" t="s">
        <v>195</v>
      </c>
      <c r="F1597" s="46" t="s">
        <v>1327</v>
      </c>
      <c r="G1597" s="46"/>
      <c r="H1597" s="46" t="s">
        <v>1011</v>
      </c>
      <c r="I1597" s="46">
        <v>2</v>
      </c>
      <c r="J1597" s="79">
        <v>43488</v>
      </c>
      <c r="K1597" s="46" t="s">
        <v>823</v>
      </c>
      <c r="L1597" s="46" t="s">
        <v>3</v>
      </c>
      <c r="M1597" s="46" t="s">
        <v>1427</v>
      </c>
      <c r="N1597" s="49">
        <v>1</v>
      </c>
      <c r="O1597" s="49">
        <v>0</v>
      </c>
      <c r="P1597" s="46" t="s">
        <v>1429</v>
      </c>
      <c r="Q1597" s="46" t="s">
        <v>1428</v>
      </c>
      <c r="R1597" s="46" t="s">
        <v>376</v>
      </c>
      <c r="S1597" s="46"/>
      <c r="T1597" s="46"/>
      <c r="U1597" s="46"/>
      <c r="V1597" s="46"/>
      <c r="W1597" s="46"/>
      <c r="X1597" s="46"/>
      <c r="Y1597" s="46"/>
      <c r="Z1597" s="46"/>
      <c r="AA1597" s="77">
        <v>10</v>
      </c>
      <c r="AB1597" s="77">
        <v>0</v>
      </c>
      <c r="AC1597" s="78">
        <v>1</v>
      </c>
      <c r="AD1597" s="46" t="s">
        <v>1037</v>
      </c>
      <c r="AE1597" s="50">
        <f>IF(L1597="W",1,0)</f>
        <v>1</v>
      </c>
      <c r="AF1597" s="50">
        <f>IF(L1597="T",1,0)</f>
        <v>0</v>
      </c>
      <c r="AG1597" s="50">
        <f>IF(L1597="L",1,0)</f>
        <v>0</v>
      </c>
      <c r="AH1597" s="46" t="s">
        <v>1101</v>
      </c>
      <c r="AI1597" s="46" t="s">
        <v>1159</v>
      </c>
      <c r="AJ1597" s="46" t="s">
        <v>376</v>
      </c>
      <c r="AK1597" s="46" t="s">
        <v>658</v>
      </c>
      <c r="AL1597" s="46" t="s">
        <v>1428</v>
      </c>
      <c r="AM1597" s="46" t="s">
        <v>1206</v>
      </c>
      <c r="AN1597" s="46" t="s">
        <v>376</v>
      </c>
      <c r="AO1597" s="46" t="s">
        <v>658</v>
      </c>
      <c r="AP1597" s="46"/>
      <c r="AQ1597" s="46">
        <v>2</v>
      </c>
      <c r="AR1597" s="46"/>
      <c r="AS1597" s="46"/>
      <c r="AT1597" s="46"/>
      <c r="AU1597" s="46" t="s">
        <v>376</v>
      </c>
      <c r="AV1597" s="46"/>
      <c r="AW1597" s="46" t="s">
        <v>30</v>
      </c>
      <c r="AX1597" s="46"/>
      <c r="AY1597" s="46"/>
      <c r="AZ1597" s="46" t="s">
        <v>30</v>
      </c>
      <c r="BA1597" s="46"/>
      <c r="BB1597" s="51"/>
      <c r="BC1597" s="46"/>
      <c r="BD1597" s="46"/>
      <c r="BE1597" s="46"/>
      <c r="BF1597" s="46">
        <v>1</v>
      </c>
      <c r="BG1597" s="46">
        <v>1</v>
      </c>
      <c r="BH1597" s="46">
        <v>3</v>
      </c>
      <c r="BI1597" s="46" t="s">
        <v>823</v>
      </c>
      <c r="BJ1597" s="46" t="s">
        <v>1427</v>
      </c>
      <c r="BK1597" s="46">
        <v>2019</v>
      </c>
      <c r="BL1597" s="46" t="str">
        <f>BK1597&amp;BI1597</f>
        <v>2019Manchester City</v>
      </c>
      <c r="BM1597" s="52" t="s">
        <v>1427</v>
      </c>
      <c r="BN1597" s="46"/>
      <c r="BO1597" s="46"/>
      <c r="BP1597" s="46"/>
      <c r="BQ1597" s="46"/>
      <c r="BR1597" s="46"/>
      <c r="BS1597" s="46"/>
      <c r="BT1597" s="46"/>
      <c r="BU1597" s="46"/>
      <c r="BV1597" s="46" t="s">
        <v>376</v>
      </c>
      <c r="BW1597" s="46" t="s">
        <v>376</v>
      </c>
      <c r="BX1597" s="46"/>
      <c r="BY1597" s="46"/>
      <c r="CB1597" s="93" t="str">
        <f>IF(OR(C1597="",A1597="",B1597=""),"",TEXT(C1597,"0000")&amp;TEXT(A1597,"00")&amp;TEXT(B1597,"00"))</f>
        <v>20190123</v>
      </c>
    </row>
    <row r="1598" spans="1:80" s="53" customFormat="1" ht="12.75" x14ac:dyDescent="0.2">
      <c r="A1598" s="46">
        <v>1</v>
      </c>
      <c r="B1598" s="46">
        <v>24</v>
      </c>
      <c r="C1598" s="46">
        <v>2019</v>
      </c>
      <c r="D1598" s="46" t="s">
        <v>658</v>
      </c>
      <c r="E1598" s="46" t="s">
        <v>195</v>
      </c>
      <c r="F1598" s="46" t="s">
        <v>1327</v>
      </c>
      <c r="G1598" s="46"/>
      <c r="H1598" s="46" t="s">
        <v>1011</v>
      </c>
      <c r="I1598" s="46">
        <v>2</v>
      </c>
      <c r="J1598" s="79">
        <v>43489</v>
      </c>
      <c r="K1598" s="46" t="s">
        <v>816</v>
      </c>
      <c r="L1598" s="46" t="s">
        <v>3</v>
      </c>
      <c r="M1598" s="46" t="s">
        <v>813</v>
      </c>
      <c r="N1598" s="49">
        <v>2</v>
      </c>
      <c r="O1598" s="49">
        <v>1</v>
      </c>
      <c r="P1598" s="46" t="s">
        <v>1234</v>
      </c>
      <c r="Q1598" s="46" t="s">
        <v>1017</v>
      </c>
      <c r="R1598" s="46" t="s">
        <v>376</v>
      </c>
      <c r="S1598" s="46" t="s">
        <v>1390</v>
      </c>
      <c r="T1598" s="46">
        <v>4</v>
      </c>
      <c r="U1598" s="46">
        <v>2</v>
      </c>
      <c r="V1598" s="46"/>
      <c r="W1598" s="46"/>
      <c r="X1598" s="46"/>
      <c r="Y1598" s="46"/>
      <c r="Z1598" s="46"/>
      <c r="AA1598" s="77">
        <v>2</v>
      </c>
      <c r="AB1598" s="77">
        <v>2</v>
      </c>
      <c r="AC1598" s="78">
        <v>0</v>
      </c>
      <c r="AD1598" s="46" t="s">
        <v>1033</v>
      </c>
      <c r="AE1598" s="50">
        <f>IF(L1598="W",1,0)</f>
        <v>1</v>
      </c>
      <c r="AF1598" s="50">
        <f>IF(L1598="T",1,0)</f>
        <v>0</v>
      </c>
      <c r="AG1598" s="50">
        <f>IF(L1598="L",1,0)</f>
        <v>0</v>
      </c>
      <c r="AH1598" s="46" t="s">
        <v>1017</v>
      </c>
      <c r="AI1598" s="46" t="s">
        <v>1018</v>
      </c>
      <c r="AJ1598" s="46" t="s">
        <v>376</v>
      </c>
      <c r="AK1598" s="46" t="s">
        <v>658</v>
      </c>
      <c r="AL1598" s="46" t="s">
        <v>1017</v>
      </c>
      <c r="AM1598" s="46" t="s">
        <v>1018</v>
      </c>
      <c r="AN1598" s="46" t="s">
        <v>376</v>
      </c>
      <c r="AO1598" s="46" t="s">
        <v>658</v>
      </c>
      <c r="AP1598" s="46"/>
      <c r="AQ1598" s="46">
        <v>2</v>
      </c>
      <c r="AR1598" s="46"/>
      <c r="AS1598" s="46"/>
      <c r="AT1598" s="46"/>
      <c r="AU1598" s="46" t="s">
        <v>376</v>
      </c>
      <c r="AV1598" s="46"/>
      <c r="AW1598" s="46" t="s">
        <v>30</v>
      </c>
      <c r="AX1598" s="46"/>
      <c r="AY1598" s="46"/>
      <c r="AZ1598" s="46" t="s">
        <v>30</v>
      </c>
      <c r="BA1598" s="46"/>
      <c r="BB1598" s="51"/>
      <c r="BC1598" s="46"/>
      <c r="BD1598" s="46"/>
      <c r="BE1598" s="46"/>
      <c r="BF1598" s="46">
        <v>1</v>
      </c>
      <c r="BG1598" s="46">
        <v>1</v>
      </c>
      <c r="BH1598" s="46">
        <v>1</v>
      </c>
      <c r="BI1598" s="46" t="s">
        <v>816</v>
      </c>
      <c r="BJ1598" s="46" t="s">
        <v>813</v>
      </c>
      <c r="BK1598" s="46">
        <v>2019</v>
      </c>
      <c r="BL1598" s="46" t="str">
        <f>BK1598&amp;BI1598</f>
        <v>2019Chelsea</v>
      </c>
      <c r="BM1598" s="52" t="s">
        <v>816</v>
      </c>
      <c r="BN1598" s="46"/>
      <c r="BO1598" s="46"/>
      <c r="BP1598" s="46"/>
      <c r="BQ1598" s="46"/>
      <c r="BR1598" s="46"/>
      <c r="BS1598" s="46"/>
      <c r="BT1598" s="46"/>
      <c r="BU1598" s="46"/>
      <c r="BV1598" s="46" t="s">
        <v>376</v>
      </c>
      <c r="BW1598" s="46" t="s">
        <v>376</v>
      </c>
      <c r="BX1598" s="46"/>
      <c r="BY1598" s="46"/>
      <c r="CB1598" s="93" t="str">
        <f>IF(OR(C1598="",A1598="",B1598=""),"",TEXT(C1598,"0000")&amp;TEXT(A1598,"00")&amp;TEXT(B1598,"00"))</f>
        <v>20190124</v>
      </c>
    </row>
    <row r="1599" spans="1:80" s="53" customFormat="1" ht="12.75" x14ac:dyDescent="0.2">
      <c r="A1599" s="46">
        <v>1</v>
      </c>
      <c r="B1599" s="46">
        <v>24</v>
      </c>
      <c r="C1599" s="46">
        <v>2019</v>
      </c>
      <c r="D1599" s="46" t="s">
        <v>658</v>
      </c>
      <c r="E1599" s="46" t="s">
        <v>195</v>
      </c>
      <c r="F1599" s="46" t="s">
        <v>1327</v>
      </c>
      <c r="G1599" s="46"/>
      <c r="H1599" s="46" t="s">
        <v>1011</v>
      </c>
      <c r="I1599" s="46">
        <v>2</v>
      </c>
      <c r="J1599" s="79">
        <v>43489</v>
      </c>
      <c r="K1599" s="46" t="s">
        <v>813</v>
      </c>
      <c r="L1599" s="46" t="s">
        <v>4</v>
      </c>
      <c r="M1599" s="46" t="s">
        <v>816</v>
      </c>
      <c r="N1599" s="49">
        <v>1</v>
      </c>
      <c r="O1599" s="49">
        <v>2</v>
      </c>
      <c r="P1599" s="46" t="s">
        <v>1234</v>
      </c>
      <c r="Q1599" s="46" t="s">
        <v>1017</v>
      </c>
      <c r="R1599" s="46" t="s">
        <v>376</v>
      </c>
      <c r="S1599" s="46" t="s">
        <v>1390</v>
      </c>
      <c r="T1599" s="46">
        <v>2</v>
      </c>
      <c r="U1599" s="46">
        <v>4</v>
      </c>
      <c r="V1599" s="46"/>
      <c r="W1599" s="46"/>
      <c r="X1599" s="46"/>
      <c r="Y1599" s="46"/>
      <c r="Z1599" s="46"/>
      <c r="AA1599" s="77">
        <v>2</v>
      </c>
      <c r="AB1599" s="77">
        <v>2</v>
      </c>
      <c r="AC1599" s="78">
        <v>1</v>
      </c>
      <c r="AD1599" s="46" t="s">
        <v>1037</v>
      </c>
      <c r="AE1599" s="50">
        <f>IF(L1599="W",1,0)</f>
        <v>0</v>
      </c>
      <c r="AF1599" s="50">
        <f>IF(L1599="T",1,0)</f>
        <v>0</v>
      </c>
      <c r="AG1599" s="50">
        <f>IF(L1599="L",1,0)</f>
        <v>1</v>
      </c>
      <c r="AH1599" s="46" t="s">
        <v>1017</v>
      </c>
      <c r="AI1599" s="46" t="s">
        <v>1018</v>
      </c>
      <c r="AJ1599" s="46" t="s">
        <v>376</v>
      </c>
      <c r="AK1599" s="46" t="s">
        <v>658</v>
      </c>
      <c r="AL1599" s="46" t="s">
        <v>1017</v>
      </c>
      <c r="AM1599" s="46" t="s">
        <v>1018</v>
      </c>
      <c r="AN1599" s="46" t="s">
        <v>376</v>
      </c>
      <c r="AO1599" s="46" t="s">
        <v>658</v>
      </c>
      <c r="AP1599" s="46"/>
      <c r="AQ1599" s="46">
        <v>2</v>
      </c>
      <c r="AR1599" s="46"/>
      <c r="AS1599" s="46">
        <v>1</v>
      </c>
      <c r="AT1599" s="46"/>
      <c r="AU1599" s="46" t="s">
        <v>376</v>
      </c>
      <c r="AV1599" s="46"/>
      <c r="AW1599" s="46" t="s">
        <v>30</v>
      </c>
      <c r="AX1599" s="46"/>
      <c r="AY1599" s="46"/>
      <c r="AZ1599" s="46" t="s">
        <v>30</v>
      </c>
      <c r="BA1599" s="46"/>
      <c r="BB1599" s="51"/>
      <c r="BC1599" s="46"/>
      <c r="BD1599" s="46"/>
      <c r="BE1599" s="46"/>
      <c r="BF1599" s="46">
        <v>1</v>
      </c>
      <c r="BG1599" s="46">
        <v>1</v>
      </c>
      <c r="BH1599" s="46">
        <v>1</v>
      </c>
      <c r="BI1599" s="46" t="s">
        <v>813</v>
      </c>
      <c r="BJ1599" s="46" t="s">
        <v>816</v>
      </c>
      <c r="BK1599" s="46">
        <v>2019</v>
      </c>
      <c r="BL1599" s="46" t="str">
        <f>BK1599&amp;BI1599</f>
        <v>2019Tottenham Hotspur</v>
      </c>
      <c r="BM1599" s="52" t="s">
        <v>816</v>
      </c>
      <c r="BN1599" s="46"/>
      <c r="BO1599" s="46"/>
      <c r="BP1599" s="46"/>
      <c r="BQ1599" s="46"/>
      <c r="BR1599" s="46"/>
      <c r="BS1599" s="46"/>
      <c r="BT1599" s="46"/>
      <c r="BU1599" s="46"/>
      <c r="BV1599" s="46" t="s">
        <v>376</v>
      </c>
      <c r="BW1599" s="46" t="s">
        <v>376</v>
      </c>
      <c r="BX1599" s="46"/>
      <c r="BY1599" s="46"/>
      <c r="CB1599" s="93" t="str">
        <f>IF(OR(C1599="",A1599="",B1599=""),"",TEXT(C1599,"0000")&amp;TEXT(A1599,"00")&amp;TEXT(B1599,"00"))</f>
        <v>20190124</v>
      </c>
    </row>
    <row r="1600" spans="1:80" s="53" customFormat="1" ht="12.75" x14ac:dyDescent="0.2">
      <c r="A1600" s="46">
        <v>2</v>
      </c>
      <c r="B1600" s="46">
        <v>24</v>
      </c>
      <c r="C1600" s="46">
        <v>2019</v>
      </c>
      <c r="D1600" s="46" t="s">
        <v>658</v>
      </c>
      <c r="E1600" s="46" t="s">
        <v>195</v>
      </c>
      <c r="F1600" s="46" t="s">
        <v>1327</v>
      </c>
      <c r="G1600" s="46"/>
      <c r="H1600" s="46" t="s">
        <v>40</v>
      </c>
      <c r="I1600" s="46"/>
      <c r="J1600" s="79">
        <v>43520</v>
      </c>
      <c r="K1600" s="46" t="s">
        <v>823</v>
      </c>
      <c r="L1600" s="46" t="s">
        <v>3</v>
      </c>
      <c r="M1600" s="46" t="s">
        <v>816</v>
      </c>
      <c r="N1600" s="49">
        <v>0</v>
      </c>
      <c r="O1600" s="49">
        <v>0</v>
      </c>
      <c r="P1600" s="46" t="s">
        <v>1415</v>
      </c>
      <c r="Q1600" s="46" t="s">
        <v>1017</v>
      </c>
      <c r="R1600" s="46" t="s">
        <v>376</v>
      </c>
      <c r="S1600" s="46" t="s">
        <v>1390</v>
      </c>
      <c r="T1600" s="46">
        <v>4</v>
      </c>
      <c r="U1600" s="46">
        <v>3</v>
      </c>
      <c r="V1600" s="46"/>
      <c r="W1600" s="46"/>
      <c r="X1600" s="46"/>
      <c r="Y1600" s="46"/>
      <c r="Z1600" s="46"/>
      <c r="AA1600" s="46"/>
      <c r="AB1600" s="46"/>
      <c r="AC1600" s="46"/>
      <c r="AD1600" s="46"/>
      <c r="AE1600" s="50">
        <f>IF(L1600="W",1,0)</f>
        <v>1</v>
      </c>
      <c r="AF1600" s="50">
        <f>IF(L1600="T",1,0)</f>
        <v>0</v>
      </c>
      <c r="AG1600" s="50">
        <f>IF(L1600="L",1,0)</f>
        <v>0</v>
      </c>
      <c r="AH1600" s="46" t="s">
        <v>1101</v>
      </c>
      <c r="AI1600" s="46" t="s">
        <v>1159</v>
      </c>
      <c r="AJ1600" s="46" t="s">
        <v>376</v>
      </c>
      <c r="AK1600" s="46" t="s">
        <v>658</v>
      </c>
      <c r="AL1600" s="46" t="s">
        <v>1017</v>
      </c>
      <c r="AM1600" s="46" t="s">
        <v>1018</v>
      </c>
      <c r="AN1600" s="46" t="s">
        <v>376</v>
      </c>
      <c r="AO1600" s="46" t="s">
        <v>658</v>
      </c>
      <c r="AP1600" s="46"/>
      <c r="AQ1600" s="46">
        <v>1</v>
      </c>
      <c r="AR1600" s="46"/>
      <c r="AS1600" s="46" t="s">
        <v>1393</v>
      </c>
      <c r="AT1600" s="46"/>
      <c r="AU1600" s="46" t="s">
        <v>376</v>
      </c>
      <c r="AV1600" s="46"/>
      <c r="AW1600" s="46" t="s">
        <v>30</v>
      </c>
      <c r="AX1600" s="46"/>
      <c r="AY1600" s="46"/>
      <c r="AZ1600" s="49" t="s">
        <v>30</v>
      </c>
      <c r="BA1600" s="46"/>
      <c r="BB1600" s="51" t="s">
        <v>30</v>
      </c>
      <c r="BC1600" s="46" t="s">
        <v>30</v>
      </c>
      <c r="BD1600" s="46"/>
      <c r="BE1600" s="46"/>
      <c r="BF1600" s="46">
        <v>1</v>
      </c>
      <c r="BG1600" s="46">
        <v>1</v>
      </c>
      <c r="BH1600" s="46">
        <v>1</v>
      </c>
      <c r="BI1600" s="46" t="s">
        <v>823</v>
      </c>
      <c r="BJ1600" s="46" t="s">
        <v>816</v>
      </c>
      <c r="BK1600" s="46">
        <v>2019</v>
      </c>
      <c r="BL1600" s="46" t="str">
        <f>BK1600&amp;BI1600</f>
        <v>2019Manchester City</v>
      </c>
      <c r="BM1600" s="52" t="s">
        <v>1017</v>
      </c>
      <c r="BN1600" s="46"/>
      <c r="BO1600" s="46"/>
      <c r="BP1600" s="46"/>
      <c r="BQ1600" s="46"/>
      <c r="BR1600" s="46"/>
      <c r="BS1600" s="46"/>
      <c r="BT1600" s="46"/>
      <c r="BU1600" s="46"/>
      <c r="BV1600" s="46" t="s">
        <v>376</v>
      </c>
      <c r="BW1600" s="46" t="s">
        <v>376</v>
      </c>
      <c r="BX1600" s="46"/>
      <c r="BY1600" s="46"/>
      <c r="CB1600" s="93" t="str">
        <f>IF(OR(C1600="",A1600="",B1600=""),"",TEXT(C1600,"0000")&amp;TEXT(A1600,"00")&amp;TEXT(B1600,"00"))</f>
        <v>20190224</v>
      </c>
    </row>
    <row r="1601" spans="1:80" s="53" customFormat="1" ht="12.75" x14ac:dyDescent="0.2">
      <c r="A1601" s="46">
        <v>2</v>
      </c>
      <c r="B1601" s="46">
        <v>24</v>
      </c>
      <c r="C1601" s="46">
        <v>2019</v>
      </c>
      <c r="D1601" s="46" t="s">
        <v>658</v>
      </c>
      <c r="E1601" s="46" t="s">
        <v>195</v>
      </c>
      <c r="F1601" s="46" t="s">
        <v>1327</v>
      </c>
      <c r="G1601" s="46"/>
      <c r="H1601" s="46" t="s">
        <v>40</v>
      </c>
      <c r="I1601" s="46"/>
      <c r="J1601" s="79">
        <v>43520</v>
      </c>
      <c r="K1601" s="46" t="s">
        <v>816</v>
      </c>
      <c r="L1601" s="46" t="s">
        <v>4</v>
      </c>
      <c r="M1601" s="46" t="s">
        <v>823</v>
      </c>
      <c r="N1601" s="49">
        <v>0</v>
      </c>
      <c r="O1601" s="49">
        <v>0</v>
      </c>
      <c r="P1601" s="46" t="s">
        <v>1415</v>
      </c>
      <c r="Q1601" s="46" t="s">
        <v>1017</v>
      </c>
      <c r="R1601" s="46" t="s">
        <v>376</v>
      </c>
      <c r="S1601" s="46" t="s">
        <v>1390</v>
      </c>
      <c r="T1601" s="46">
        <v>3</v>
      </c>
      <c r="U1601" s="46">
        <v>4</v>
      </c>
      <c r="V1601" s="46"/>
      <c r="W1601" s="46"/>
      <c r="X1601" s="46"/>
      <c r="Y1601" s="46"/>
      <c r="Z1601" s="46"/>
      <c r="AA1601" s="46"/>
      <c r="AB1601" s="46"/>
      <c r="AC1601" s="46"/>
      <c r="AD1601" s="46"/>
      <c r="AE1601" s="50">
        <f>IF(L1601="W",1,0)</f>
        <v>0</v>
      </c>
      <c r="AF1601" s="50">
        <f>IF(L1601="T",1,0)</f>
        <v>0</v>
      </c>
      <c r="AG1601" s="50">
        <f>IF(L1601="L",1,0)</f>
        <v>1</v>
      </c>
      <c r="AH1601" s="46" t="s">
        <v>1017</v>
      </c>
      <c r="AI1601" s="46" t="s">
        <v>1018</v>
      </c>
      <c r="AJ1601" s="46" t="s">
        <v>376</v>
      </c>
      <c r="AK1601" s="46" t="s">
        <v>658</v>
      </c>
      <c r="AL1601" s="46" t="s">
        <v>1101</v>
      </c>
      <c r="AM1601" s="46" t="s">
        <v>1159</v>
      </c>
      <c r="AN1601" s="46" t="s">
        <v>376</v>
      </c>
      <c r="AO1601" s="46" t="s">
        <v>658</v>
      </c>
      <c r="AP1601" s="46"/>
      <c r="AQ1601" s="46">
        <v>1</v>
      </c>
      <c r="AR1601" s="46"/>
      <c r="AS1601" s="46">
        <v>1</v>
      </c>
      <c r="AT1601" s="46"/>
      <c r="AU1601" s="46" t="s">
        <v>376</v>
      </c>
      <c r="AV1601" s="46"/>
      <c r="AW1601" s="46" t="s">
        <v>30</v>
      </c>
      <c r="AX1601" s="46"/>
      <c r="AY1601" s="46"/>
      <c r="AZ1601" s="46" t="s">
        <v>30</v>
      </c>
      <c r="BA1601" s="46"/>
      <c r="BB1601" s="51"/>
      <c r="BC1601" s="46" t="s">
        <v>30</v>
      </c>
      <c r="BD1601" s="46"/>
      <c r="BE1601" s="46"/>
      <c r="BF1601" s="46">
        <v>1</v>
      </c>
      <c r="BG1601" s="46">
        <v>1</v>
      </c>
      <c r="BH1601" s="46">
        <v>1</v>
      </c>
      <c r="BI1601" s="46" t="s">
        <v>816</v>
      </c>
      <c r="BJ1601" s="46" t="s">
        <v>823</v>
      </c>
      <c r="BK1601" s="46">
        <v>2019</v>
      </c>
      <c r="BL1601" s="46" t="str">
        <f>BK1601&amp;BI1601</f>
        <v>2019Chelsea</v>
      </c>
      <c r="BM1601" s="52" t="s">
        <v>1017</v>
      </c>
      <c r="BN1601" s="46"/>
      <c r="BO1601" s="46"/>
      <c r="BP1601" s="46"/>
      <c r="BQ1601" s="46"/>
      <c r="BR1601" s="46"/>
      <c r="BS1601" s="46"/>
      <c r="BT1601" s="46"/>
      <c r="BU1601" s="46"/>
      <c r="BV1601" s="46" t="s">
        <v>376</v>
      </c>
      <c r="BW1601" s="46" t="s">
        <v>376</v>
      </c>
      <c r="BX1601" s="46"/>
      <c r="BY1601" s="46"/>
      <c r="CB1601" s="93" t="str">
        <f>IF(OR(C1601="",A1601="",B1601=""),"",TEXT(C1601,"0000")&amp;TEXT(A1601,"00")&amp;TEXT(B1601,"00"))</f>
        <v>20190224</v>
      </c>
    </row>
    <row r="1602" spans="1:80" s="53" customFormat="1" ht="12.75" x14ac:dyDescent="0.2">
      <c r="A1602" s="46">
        <v>4</v>
      </c>
      <c r="B1602" s="46">
        <v>6</v>
      </c>
      <c r="C1602" s="46">
        <v>2019</v>
      </c>
      <c r="D1602" s="46" t="s">
        <v>658</v>
      </c>
      <c r="E1602" s="46" t="s">
        <v>195</v>
      </c>
      <c r="F1602" s="46" t="s">
        <v>1010</v>
      </c>
      <c r="G1602" s="46"/>
      <c r="H1602" s="46" t="s">
        <v>1011</v>
      </c>
      <c r="I1602" s="46"/>
      <c r="J1602" s="79">
        <v>43561</v>
      </c>
      <c r="K1602" s="46" t="s">
        <v>823</v>
      </c>
      <c r="L1602" s="46" t="s">
        <v>3</v>
      </c>
      <c r="M1602" s="46" t="s">
        <v>802</v>
      </c>
      <c r="N1602" s="49">
        <v>1</v>
      </c>
      <c r="O1602" s="49">
        <v>0</v>
      </c>
      <c r="P1602" s="46" t="s">
        <v>1415</v>
      </c>
      <c r="Q1602" s="46" t="s">
        <v>1017</v>
      </c>
      <c r="R1602" s="46" t="s">
        <v>376</v>
      </c>
      <c r="S1602" s="46"/>
      <c r="T1602" s="46"/>
      <c r="U1602" s="46"/>
      <c r="V1602" s="46"/>
      <c r="W1602" s="46"/>
      <c r="X1602" s="46"/>
      <c r="Y1602" s="46"/>
      <c r="Z1602" s="46"/>
      <c r="AA1602" s="46"/>
      <c r="AB1602" s="46"/>
      <c r="AC1602" s="46"/>
      <c r="AD1602" s="46"/>
      <c r="AE1602" s="50">
        <f>IF(L1602="W",1,0)</f>
        <v>1</v>
      </c>
      <c r="AF1602" s="50">
        <f>IF(L1602="T",1,0)</f>
        <v>0</v>
      </c>
      <c r="AG1602" s="50">
        <f>IF(L1602="L",1,0)</f>
        <v>0</v>
      </c>
      <c r="AH1602" s="46" t="s">
        <v>1101</v>
      </c>
      <c r="AI1602" s="46" t="s">
        <v>1159</v>
      </c>
      <c r="AJ1602" s="46" t="s">
        <v>376</v>
      </c>
      <c r="AK1602" s="46" t="s">
        <v>658</v>
      </c>
      <c r="AL1602" s="46" t="s">
        <v>1379</v>
      </c>
      <c r="AM1602" s="46" t="s">
        <v>1380</v>
      </c>
      <c r="AN1602" s="46" t="s">
        <v>376</v>
      </c>
      <c r="AO1602" s="46" t="s">
        <v>658</v>
      </c>
      <c r="AP1602" s="46"/>
      <c r="AQ1602" s="46">
        <v>2</v>
      </c>
      <c r="AR1602" s="46"/>
      <c r="AS1602" s="46"/>
      <c r="AT1602" s="46"/>
      <c r="AU1602" s="46" t="s">
        <v>376</v>
      </c>
      <c r="AV1602" s="46"/>
      <c r="AW1602" s="46" t="s">
        <v>30</v>
      </c>
      <c r="AX1602" s="46"/>
      <c r="AY1602" s="46" t="s">
        <v>30</v>
      </c>
      <c r="AZ1602" s="46"/>
      <c r="BA1602" s="46"/>
      <c r="BB1602" s="51"/>
      <c r="BC1602" s="46"/>
      <c r="BD1602" s="46"/>
      <c r="BE1602" s="46"/>
      <c r="BF1602" s="46">
        <v>1</v>
      </c>
      <c r="BG1602" s="46">
        <v>1</v>
      </c>
      <c r="BH1602" s="46">
        <v>1</v>
      </c>
      <c r="BI1602" s="46" t="s">
        <v>823</v>
      </c>
      <c r="BJ1602" s="46" t="s">
        <v>802</v>
      </c>
      <c r="BK1602" s="46">
        <v>2019</v>
      </c>
      <c r="BL1602" s="46" t="str">
        <f>BK1602&amp;BI1602</f>
        <v>2019Manchester City</v>
      </c>
      <c r="BM1602" s="52" t="s">
        <v>1017</v>
      </c>
      <c r="BN1602" s="46"/>
      <c r="BO1602" s="46"/>
      <c r="BP1602" s="46"/>
      <c r="BQ1602" s="46"/>
      <c r="BR1602" s="46"/>
      <c r="BS1602" s="46"/>
      <c r="BT1602" s="46"/>
      <c r="BU1602" s="46"/>
      <c r="BV1602" s="46" t="s">
        <v>376</v>
      </c>
      <c r="BW1602" s="46" t="s">
        <v>376</v>
      </c>
      <c r="BX1602" s="46"/>
      <c r="BY1602" s="46"/>
      <c r="CB1602" s="93" t="str">
        <f>IF(OR(C1602="",A1602="",B1602=""),"",TEXT(C1602,"0000")&amp;TEXT(A1602,"00")&amp;TEXT(B1602,"00"))</f>
        <v>20190406</v>
      </c>
    </row>
    <row r="1603" spans="1:80" s="53" customFormat="1" ht="12.75" x14ac:dyDescent="0.2">
      <c r="A1603" s="46">
        <v>4</v>
      </c>
      <c r="B1603" s="46">
        <v>6</v>
      </c>
      <c r="C1603" s="46">
        <v>2019</v>
      </c>
      <c r="D1603" s="46" t="s">
        <v>658</v>
      </c>
      <c r="E1603" s="46" t="s">
        <v>195</v>
      </c>
      <c r="F1603" s="46" t="s">
        <v>1010</v>
      </c>
      <c r="G1603" s="46"/>
      <c r="H1603" s="46" t="s">
        <v>1011</v>
      </c>
      <c r="I1603" s="46"/>
      <c r="J1603" s="79">
        <v>43561</v>
      </c>
      <c r="K1603" s="46" t="s">
        <v>802</v>
      </c>
      <c r="L1603" s="46" t="s">
        <v>4</v>
      </c>
      <c r="M1603" s="46" t="s">
        <v>823</v>
      </c>
      <c r="N1603" s="49">
        <v>0</v>
      </c>
      <c r="O1603" s="49">
        <v>1</v>
      </c>
      <c r="P1603" s="46" t="s">
        <v>1415</v>
      </c>
      <c r="Q1603" s="46" t="s">
        <v>1017</v>
      </c>
      <c r="R1603" s="46" t="s">
        <v>376</v>
      </c>
      <c r="S1603" s="46"/>
      <c r="T1603" s="46"/>
      <c r="U1603" s="46"/>
      <c r="V1603" s="46"/>
      <c r="W1603" s="46"/>
      <c r="X1603" s="46"/>
      <c r="Y1603" s="46"/>
      <c r="Z1603" s="46"/>
      <c r="AA1603" s="46"/>
      <c r="AB1603" s="46"/>
      <c r="AC1603" s="46"/>
      <c r="AD1603" s="46"/>
      <c r="AE1603" s="50">
        <f>IF(L1603="W",1,0)</f>
        <v>0</v>
      </c>
      <c r="AF1603" s="50">
        <f>IF(L1603="T",1,0)</f>
        <v>0</v>
      </c>
      <c r="AG1603" s="50">
        <f>IF(L1603="L",1,0)</f>
        <v>1</v>
      </c>
      <c r="AH1603" s="46" t="s">
        <v>1379</v>
      </c>
      <c r="AI1603" s="46" t="s">
        <v>1380</v>
      </c>
      <c r="AJ1603" s="46" t="s">
        <v>376</v>
      </c>
      <c r="AK1603" s="46" t="s">
        <v>658</v>
      </c>
      <c r="AL1603" s="46" t="s">
        <v>1101</v>
      </c>
      <c r="AM1603" s="46" t="s">
        <v>1159</v>
      </c>
      <c r="AN1603" s="46" t="s">
        <v>376</v>
      </c>
      <c r="AO1603" s="46" t="s">
        <v>658</v>
      </c>
      <c r="AP1603" s="46"/>
      <c r="AQ1603" s="46">
        <v>2</v>
      </c>
      <c r="AR1603" s="46"/>
      <c r="AS1603" s="46">
        <v>1</v>
      </c>
      <c r="AT1603" s="46"/>
      <c r="AU1603" s="46" t="s">
        <v>376</v>
      </c>
      <c r="AV1603" s="46"/>
      <c r="AW1603" s="46" t="s">
        <v>30</v>
      </c>
      <c r="AX1603" s="46"/>
      <c r="AY1603" s="46" t="s">
        <v>30</v>
      </c>
      <c r="AZ1603" s="46"/>
      <c r="BA1603" s="46"/>
      <c r="BB1603" s="51"/>
      <c r="BC1603" s="46"/>
      <c r="BD1603" s="46"/>
      <c r="BE1603" s="46"/>
      <c r="BF1603" s="46">
        <v>1</v>
      </c>
      <c r="BG1603" s="46">
        <v>1</v>
      </c>
      <c r="BH1603" s="46">
        <v>1</v>
      </c>
      <c r="BI1603" s="46" t="s">
        <v>802</v>
      </c>
      <c r="BJ1603" s="46" t="s">
        <v>823</v>
      </c>
      <c r="BK1603" s="46">
        <v>2019</v>
      </c>
      <c r="BL1603" s="46" t="str">
        <f>BK1603&amp;BI1603</f>
        <v>2019Brighton &amp; Hove Albion</v>
      </c>
      <c r="BM1603" s="52" t="s">
        <v>1017</v>
      </c>
      <c r="BN1603" s="46"/>
      <c r="BO1603" s="46"/>
      <c r="BP1603" s="46"/>
      <c r="BQ1603" s="46"/>
      <c r="BR1603" s="46"/>
      <c r="BS1603" s="46"/>
      <c r="BT1603" s="46"/>
      <c r="BU1603" s="46"/>
      <c r="BV1603" s="46" t="s">
        <v>376</v>
      </c>
      <c r="BW1603" s="46" t="s">
        <v>376</v>
      </c>
      <c r="BX1603" s="46"/>
      <c r="BY1603" s="46"/>
      <c r="CB1603" s="93" t="str">
        <f>IF(OR(C1603="",A1603="",B1603=""),"",TEXT(C1603,"0000")&amp;TEXT(A1603,"00")&amp;TEXT(B1603,"00"))</f>
        <v>20190406</v>
      </c>
    </row>
    <row r="1604" spans="1:80" s="53" customFormat="1" ht="12.75" x14ac:dyDescent="0.2">
      <c r="A1604" s="46">
        <v>4</v>
      </c>
      <c r="B1604" s="46">
        <v>7</v>
      </c>
      <c r="C1604" s="46">
        <v>2019</v>
      </c>
      <c r="D1604" s="46" t="s">
        <v>658</v>
      </c>
      <c r="E1604" s="46" t="s">
        <v>195</v>
      </c>
      <c r="F1604" s="46" t="s">
        <v>1010</v>
      </c>
      <c r="G1604" s="46"/>
      <c r="H1604" s="46" t="s">
        <v>1011</v>
      </c>
      <c r="I1604" s="46"/>
      <c r="J1604" s="79">
        <v>43562</v>
      </c>
      <c r="K1604" s="46" t="s">
        <v>1357</v>
      </c>
      <c r="L1604" s="46" t="s">
        <v>3</v>
      </c>
      <c r="M1604" s="46" t="s">
        <v>1151</v>
      </c>
      <c r="N1604" s="49">
        <v>3</v>
      </c>
      <c r="O1604" s="49">
        <v>2</v>
      </c>
      <c r="P1604" s="46" t="s">
        <v>1415</v>
      </c>
      <c r="Q1604" s="46" t="s">
        <v>1017</v>
      </c>
      <c r="R1604" s="46" t="s">
        <v>376</v>
      </c>
      <c r="S1604" s="46" t="s">
        <v>1396</v>
      </c>
      <c r="T1604" s="46"/>
      <c r="U1604" s="46"/>
      <c r="V1604" s="46"/>
      <c r="W1604" s="46"/>
      <c r="X1604" s="46"/>
      <c r="Y1604" s="46"/>
      <c r="Z1604" s="46"/>
      <c r="AA1604" s="46"/>
      <c r="AB1604" s="46"/>
      <c r="AC1604" s="46"/>
      <c r="AD1604" s="46"/>
      <c r="AE1604" s="50">
        <f>IF(L1604="W",1,0)</f>
        <v>1</v>
      </c>
      <c r="AF1604" s="50">
        <f>IF(L1604="T",1,0)</f>
        <v>0</v>
      </c>
      <c r="AG1604" s="50">
        <f>IF(L1604="L",1,0)</f>
        <v>0</v>
      </c>
      <c r="AH1604" s="46" t="s">
        <v>1017</v>
      </c>
      <c r="AI1604" s="46" t="s">
        <v>1371</v>
      </c>
      <c r="AJ1604" s="46" t="s">
        <v>376</v>
      </c>
      <c r="AK1604" s="46" t="s">
        <v>658</v>
      </c>
      <c r="AL1604" s="46" t="s">
        <v>1111</v>
      </c>
      <c r="AM1604" s="46" t="s">
        <v>1126</v>
      </c>
      <c r="AN1604" s="46" t="s">
        <v>376</v>
      </c>
      <c r="AO1604" s="46" t="s">
        <v>658</v>
      </c>
      <c r="AP1604" s="46"/>
      <c r="AQ1604" s="46">
        <v>2</v>
      </c>
      <c r="AR1604" s="46"/>
      <c r="AS1604" s="46"/>
      <c r="AT1604" s="46"/>
      <c r="AU1604" s="46" t="s">
        <v>376</v>
      </c>
      <c r="AV1604" s="46"/>
      <c r="AW1604" s="46" t="s">
        <v>30</v>
      </c>
      <c r="AX1604" s="46"/>
      <c r="AY1604" s="46" t="s">
        <v>30</v>
      </c>
      <c r="AZ1604" s="46"/>
      <c r="BA1604" s="46"/>
      <c r="BB1604" s="51"/>
      <c r="BC1604" s="46"/>
      <c r="BD1604" s="46"/>
      <c r="BE1604" s="46"/>
      <c r="BF1604" s="46">
        <v>1</v>
      </c>
      <c r="BG1604" s="46">
        <v>1</v>
      </c>
      <c r="BH1604" s="46">
        <v>1</v>
      </c>
      <c r="BI1604" s="46" t="s">
        <v>1357</v>
      </c>
      <c r="BJ1604" s="46" t="s">
        <v>1151</v>
      </c>
      <c r="BK1604" s="46">
        <v>2019</v>
      </c>
      <c r="BL1604" s="46" t="str">
        <f>BK1604&amp;BI1604</f>
        <v>2019Watford</v>
      </c>
      <c r="BM1604" s="52" t="s">
        <v>1017</v>
      </c>
      <c r="BN1604" s="46"/>
      <c r="BO1604" s="46"/>
      <c r="BP1604" s="46"/>
      <c r="BQ1604" s="46"/>
      <c r="BR1604" s="46"/>
      <c r="BS1604" s="46"/>
      <c r="BT1604" s="46"/>
      <c r="BU1604" s="46"/>
      <c r="BV1604" s="46" t="s">
        <v>376</v>
      </c>
      <c r="BW1604" s="46" t="s">
        <v>376</v>
      </c>
      <c r="BX1604" s="46"/>
      <c r="BY1604" s="46"/>
      <c r="CB1604" s="93" t="str">
        <f>IF(OR(C1604="",A1604="",B1604=""),"",TEXT(C1604,"0000")&amp;TEXT(A1604,"00")&amp;TEXT(B1604,"00"))</f>
        <v>20190407</v>
      </c>
    </row>
    <row r="1605" spans="1:80" s="53" customFormat="1" ht="12.75" x14ac:dyDescent="0.2">
      <c r="A1605" s="46">
        <v>4</v>
      </c>
      <c r="B1605" s="46">
        <v>7</v>
      </c>
      <c r="C1605" s="46">
        <v>2019</v>
      </c>
      <c r="D1605" s="46" t="s">
        <v>658</v>
      </c>
      <c r="E1605" s="46" t="s">
        <v>195</v>
      </c>
      <c r="F1605" s="46" t="s">
        <v>1010</v>
      </c>
      <c r="G1605" s="46"/>
      <c r="H1605" s="46" t="s">
        <v>1011</v>
      </c>
      <c r="I1605" s="46"/>
      <c r="J1605" s="79">
        <v>43562</v>
      </c>
      <c r="K1605" s="46" t="s">
        <v>1151</v>
      </c>
      <c r="L1605" s="46" t="s">
        <v>4</v>
      </c>
      <c r="M1605" s="46" t="s">
        <v>1357</v>
      </c>
      <c r="N1605" s="49">
        <v>2</v>
      </c>
      <c r="O1605" s="49">
        <v>3</v>
      </c>
      <c r="P1605" s="46" t="s">
        <v>1415</v>
      </c>
      <c r="Q1605" s="46" t="s">
        <v>1017</v>
      </c>
      <c r="R1605" s="46" t="s">
        <v>376</v>
      </c>
      <c r="S1605" s="46" t="s">
        <v>1396</v>
      </c>
      <c r="T1605" s="46"/>
      <c r="U1605" s="46"/>
      <c r="V1605" s="46"/>
      <c r="W1605" s="46"/>
      <c r="X1605" s="46"/>
      <c r="Y1605" s="46"/>
      <c r="Z1605" s="46"/>
      <c r="AA1605" s="46"/>
      <c r="AB1605" s="46"/>
      <c r="AC1605" s="46"/>
      <c r="AD1605" s="46"/>
      <c r="AE1605" s="50">
        <f>IF(L1605="W",1,0)</f>
        <v>0</v>
      </c>
      <c r="AF1605" s="50">
        <f>IF(L1605="T",1,0)</f>
        <v>0</v>
      </c>
      <c r="AG1605" s="50">
        <f>IF(L1605="L",1,0)</f>
        <v>1</v>
      </c>
      <c r="AH1605" s="46" t="s">
        <v>1111</v>
      </c>
      <c r="AI1605" s="46" t="s">
        <v>1126</v>
      </c>
      <c r="AJ1605" s="46" t="s">
        <v>376</v>
      </c>
      <c r="AK1605" s="46" t="s">
        <v>658</v>
      </c>
      <c r="AL1605" s="46" t="s">
        <v>1017</v>
      </c>
      <c r="AM1605" s="46" t="s">
        <v>1371</v>
      </c>
      <c r="AN1605" s="46" t="s">
        <v>376</v>
      </c>
      <c r="AO1605" s="46" t="s">
        <v>658</v>
      </c>
      <c r="AP1605" s="46"/>
      <c r="AQ1605" s="46">
        <v>2</v>
      </c>
      <c r="AR1605" s="46"/>
      <c r="AS1605" s="46">
        <v>1</v>
      </c>
      <c r="AT1605" s="46"/>
      <c r="AU1605" s="46" t="s">
        <v>376</v>
      </c>
      <c r="AV1605" s="46"/>
      <c r="AW1605" s="46" t="s">
        <v>30</v>
      </c>
      <c r="AX1605" s="46"/>
      <c r="AY1605" s="46" t="s">
        <v>30</v>
      </c>
      <c r="AZ1605" s="46"/>
      <c r="BA1605" s="46"/>
      <c r="BB1605" s="51"/>
      <c r="BC1605" s="46"/>
      <c r="BD1605" s="46"/>
      <c r="BE1605" s="46"/>
      <c r="BF1605" s="46">
        <v>1</v>
      </c>
      <c r="BG1605" s="46">
        <v>1</v>
      </c>
      <c r="BH1605" s="46">
        <v>1</v>
      </c>
      <c r="BI1605" s="46" t="s">
        <v>1151</v>
      </c>
      <c r="BJ1605" s="46" t="s">
        <v>1357</v>
      </c>
      <c r="BK1605" s="46">
        <v>2019</v>
      </c>
      <c r="BL1605" s="46" t="str">
        <f>BK1605&amp;BI1605</f>
        <v>2019Wolverhampton Wanderers</v>
      </c>
      <c r="BM1605" s="52" t="s">
        <v>1017</v>
      </c>
      <c r="BN1605" s="46"/>
      <c r="BO1605" s="46"/>
      <c r="BP1605" s="46"/>
      <c r="BQ1605" s="46"/>
      <c r="BR1605" s="46"/>
      <c r="BS1605" s="46"/>
      <c r="BT1605" s="46"/>
      <c r="BU1605" s="46"/>
      <c r="BV1605" s="46" t="s">
        <v>376</v>
      </c>
      <c r="BW1605" s="46" t="s">
        <v>376</v>
      </c>
      <c r="BX1605" s="46"/>
      <c r="BY1605" s="46"/>
      <c r="CB1605" s="93" t="str">
        <f>IF(OR(C1605="",A1605="",B1605=""),"",TEXT(C1605,"0000")&amp;TEXT(A1605,"00")&amp;TEXT(B1605,"00"))</f>
        <v>20190407</v>
      </c>
    </row>
    <row r="1606" spans="1:80" s="46" customFormat="1" ht="12.95" customHeight="1" x14ac:dyDescent="0.2">
      <c r="A1606" s="46">
        <v>5</v>
      </c>
      <c r="B1606" s="46">
        <v>18</v>
      </c>
      <c r="C1606" s="46">
        <v>2019</v>
      </c>
      <c r="D1606" s="46" t="s">
        <v>658</v>
      </c>
      <c r="E1606" s="46" t="s">
        <v>195</v>
      </c>
      <c r="F1606" s="46" t="s">
        <v>1010</v>
      </c>
      <c r="H1606" s="46" t="s">
        <v>40</v>
      </c>
      <c r="J1606" s="79">
        <v>43603</v>
      </c>
      <c r="K1606" s="46" t="s">
        <v>823</v>
      </c>
      <c r="L1606" s="46" t="s">
        <v>3</v>
      </c>
      <c r="M1606" s="46" t="s">
        <v>1357</v>
      </c>
      <c r="N1606" s="49">
        <v>6</v>
      </c>
      <c r="O1606" s="49">
        <v>0</v>
      </c>
      <c r="P1606" s="46" t="s">
        <v>1415</v>
      </c>
      <c r="Q1606" s="46" t="s">
        <v>1017</v>
      </c>
      <c r="R1606" s="46" t="s">
        <v>376</v>
      </c>
      <c r="AE1606" s="50">
        <f>IF(L1606="W",1,0)</f>
        <v>1</v>
      </c>
      <c r="AF1606" s="50">
        <f>IF(L1606="T",1,0)</f>
        <v>0</v>
      </c>
      <c r="AG1606" s="50">
        <f>IF(L1606="L",1,0)</f>
        <v>0</v>
      </c>
      <c r="AH1606" s="46" t="s">
        <v>1101</v>
      </c>
      <c r="AI1606" s="46" t="s">
        <v>1159</v>
      </c>
      <c r="AJ1606" s="46" t="s">
        <v>376</v>
      </c>
      <c r="AK1606" s="46" t="s">
        <v>658</v>
      </c>
      <c r="AL1606" s="46" t="s">
        <v>1017</v>
      </c>
      <c r="AM1606" s="46" t="s">
        <v>1371</v>
      </c>
      <c r="AN1606" s="46" t="s">
        <v>376</v>
      </c>
      <c r="AO1606" s="46" t="s">
        <v>658</v>
      </c>
      <c r="AQ1606" s="46">
        <v>1</v>
      </c>
      <c r="AS1606" s="46" t="s">
        <v>1393</v>
      </c>
      <c r="AU1606" s="46" t="s">
        <v>376</v>
      </c>
      <c r="AW1606" s="46" t="s">
        <v>30</v>
      </c>
      <c r="AY1606" s="49" t="s">
        <v>30</v>
      </c>
      <c r="BB1606" s="51" t="s">
        <v>30</v>
      </c>
      <c r="BC1606" s="46" t="s">
        <v>30</v>
      </c>
      <c r="BF1606" s="46">
        <v>1</v>
      </c>
      <c r="BG1606" s="46">
        <v>1</v>
      </c>
      <c r="BH1606" s="46">
        <v>1</v>
      </c>
      <c r="BI1606" s="46" t="s">
        <v>823</v>
      </c>
      <c r="BJ1606" s="46" t="s">
        <v>1357</v>
      </c>
      <c r="BK1606" s="46">
        <v>2019</v>
      </c>
      <c r="BL1606" s="46" t="str">
        <f>BK1606&amp;BI1606</f>
        <v>2019Manchester City</v>
      </c>
      <c r="BM1606" s="52" t="s">
        <v>1017</v>
      </c>
      <c r="BV1606" s="46" t="s">
        <v>376</v>
      </c>
      <c r="BW1606" s="46" t="s">
        <v>376</v>
      </c>
      <c r="BZ1606" s="53"/>
      <c r="CA1606" s="53"/>
      <c r="CB1606" s="93" t="str">
        <f>IF(OR(C1606="",A1606="",B1606=""),"",TEXT(C1606,"0000")&amp;TEXT(A1606,"00")&amp;TEXT(B1606,"00"))</f>
        <v>20190518</v>
      </c>
    </row>
    <row r="1607" spans="1:80" s="46" customFormat="1" ht="12.95" customHeight="1" x14ac:dyDescent="0.2">
      <c r="A1607" s="46">
        <v>5</v>
      </c>
      <c r="B1607" s="46">
        <v>18</v>
      </c>
      <c r="C1607" s="46">
        <v>2019</v>
      </c>
      <c r="D1607" s="46" t="s">
        <v>658</v>
      </c>
      <c r="E1607" s="46" t="s">
        <v>195</v>
      </c>
      <c r="F1607" s="46" t="s">
        <v>1010</v>
      </c>
      <c r="H1607" s="46" t="s">
        <v>40</v>
      </c>
      <c r="J1607" s="79">
        <v>43603</v>
      </c>
      <c r="K1607" s="46" t="s">
        <v>1357</v>
      </c>
      <c r="L1607" s="46" t="s">
        <v>4</v>
      </c>
      <c r="M1607" s="46" t="s">
        <v>823</v>
      </c>
      <c r="N1607" s="49">
        <v>0</v>
      </c>
      <c r="O1607" s="49">
        <v>6</v>
      </c>
      <c r="P1607" s="46" t="s">
        <v>1415</v>
      </c>
      <c r="Q1607" s="46" t="s">
        <v>1017</v>
      </c>
      <c r="R1607" s="46" t="s">
        <v>376</v>
      </c>
      <c r="AE1607" s="50">
        <f>IF(L1607="W",1,0)</f>
        <v>0</v>
      </c>
      <c r="AF1607" s="50">
        <f>IF(L1607="T",1,0)</f>
        <v>0</v>
      </c>
      <c r="AG1607" s="50">
        <f>IF(L1607="L",1,0)</f>
        <v>1</v>
      </c>
      <c r="AH1607" s="46" t="s">
        <v>1017</v>
      </c>
      <c r="AI1607" s="46" t="s">
        <v>1371</v>
      </c>
      <c r="AJ1607" s="46" t="s">
        <v>376</v>
      </c>
      <c r="AK1607" s="46" t="s">
        <v>658</v>
      </c>
      <c r="AL1607" s="46" t="s">
        <v>1101</v>
      </c>
      <c r="AM1607" s="46" t="s">
        <v>1159</v>
      </c>
      <c r="AN1607" s="46" t="s">
        <v>376</v>
      </c>
      <c r="AO1607" s="46" t="s">
        <v>658</v>
      </c>
      <c r="AQ1607" s="46">
        <v>1</v>
      </c>
      <c r="AS1607" s="46">
        <v>1</v>
      </c>
      <c r="AU1607" s="46" t="s">
        <v>376</v>
      </c>
      <c r="AW1607" s="46" t="s">
        <v>30</v>
      </c>
      <c r="AY1607" s="46" t="s">
        <v>30</v>
      </c>
      <c r="BB1607" s="51"/>
      <c r="BC1607" s="46" t="s">
        <v>30</v>
      </c>
      <c r="BF1607" s="46">
        <v>1</v>
      </c>
      <c r="BG1607" s="46">
        <v>1</v>
      </c>
      <c r="BH1607" s="46">
        <v>1</v>
      </c>
      <c r="BI1607" s="46" t="s">
        <v>1357</v>
      </c>
      <c r="BJ1607" s="46" t="s">
        <v>823</v>
      </c>
      <c r="BK1607" s="46">
        <v>2019</v>
      </c>
      <c r="BL1607" s="46" t="str">
        <f>BK1607&amp;BI1607</f>
        <v>2019Watford</v>
      </c>
      <c r="BM1607" s="52" t="s">
        <v>1017</v>
      </c>
      <c r="BV1607" s="46" t="s">
        <v>376</v>
      </c>
      <c r="BW1607" s="46" t="s">
        <v>376</v>
      </c>
      <c r="BZ1607" s="53"/>
      <c r="CA1607" s="53"/>
      <c r="CB1607" s="93" t="str">
        <f>IF(OR(C1607="",A1607="",B1607=""),"",TEXT(C1607,"0000")&amp;TEXT(A1607,"00")&amp;TEXT(B1607,"00"))</f>
        <v>20190518</v>
      </c>
    </row>
    <row r="1608" spans="1:80" s="50" customFormat="1" ht="13.35" customHeight="1" x14ac:dyDescent="0.2">
      <c r="A1608" s="50">
        <v>1</v>
      </c>
      <c r="B1608" s="50">
        <v>7</v>
      </c>
      <c r="C1608" s="50">
        <v>2020</v>
      </c>
      <c r="D1608" s="50" t="s">
        <v>658</v>
      </c>
      <c r="E1608" s="80" t="s">
        <v>193</v>
      </c>
      <c r="F1608" s="80" t="s">
        <v>1327</v>
      </c>
      <c r="G1608" s="80"/>
      <c r="H1608" s="80" t="s">
        <v>1011</v>
      </c>
      <c r="I1608" s="80">
        <v>1</v>
      </c>
      <c r="J1608" s="81">
        <v>43837</v>
      </c>
      <c r="K1608" s="80" t="s">
        <v>821</v>
      </c>
      <c r="L1608" s="50" t="s">
        <v>4</v>
      </c>
      <c r="M1608" s="80" t="s">
        <v>823</v>
      </c>
      <c r="N1608" s="82">
        <v>1</v>
      </c>
      <c r="O1608" s="82">
        <v>3</v>
      </c>
      <c r="P1608" s="46" t="s">
        <v>1246</v>
      </c>
      <c r="Q1608" s="46" t="s">
        <v>1101</v>
      </c>
      <c r="R1608" s="46" t="s">
        <v>376</v>
      </c>
      <c r="S1608" s="80"/>
      <c r="T1608" s="80"/>
      <c r="U1608" s="80"/>
      <c r="AD1608" s="50" t="s">
        <v>1033</v>
      </c>
      <c r="AE1608" s="50">
        <f>IF(L1608="W",1,0)</f>
        <v>0</v>
      </c>
      <c r="AF1608" s="50">
        <f>IF(L1608="T",1,0)</f>
        <v>0</v>
      </c>
      <c r="AG1608" s="50">
        <f>IF(L1608="L",1,0)</f>
        <v>1</v>
      </c>
      <c r="AH1608" s="50" t="s">
        <v>1101</v>
      </c>
      <c r="AI1608" s="50" t="s">
        <v>1159</v>
      </c>
      <c r="AJ1608" s="50" t="s">
        <v>376</v>
      </c>
      <c r="AK1608" s="50" t="s">
        <v>658</v>
      </c>
      <c r="AL1608" s="50" t="s">
        <v>1101</v>
      </c>
      <c r="AM1608" s="50" t="s">
        <v>1159</v>
      </c>
      <c r="AN1608" s="50" t="s">
        <v>376</v>
      </c>
      <c r="AO1608" s="50" t="s">
        <v>658</v>
      </c>
      <c r="AQ1608" s="50">
        <v>2</v>
      </c>
      <c r="AU1608" s="50" t="s">
        <v>376</v>
      </c>
      <c r="AW1608" s="50" t="s">
        <v>30</v>
      </c>
      <c r="AZ1608" s="50" t="s">
        <v>30</v>
      </c>
      <c r="BB1608" s="83"/>
      <c r="BF1608" s="50">
        <v>1</v>
      </c>
      <c r="BG1608" s="50">
        <v>1</v>
      </c>
      <c r="BH1608" s="50">
        <v>1</v>
      </c>
      <c r="BI1608" s="50" t="s">
        <v>821</v>
      </c>
      <c r="BJ1608" s="50" t="s">
        <v>823</v>
      </c>
      <c r="BK1608" s="50">
        <v>2020</v>
      </c>
      <c r="BL1608" s="46" t="str">
        <f>BK1608&amp;BI1608</f>
        <v>2020Manchester United</v>
      </c>
      <c r="BM1608" s="52" t="s">
        <v>821</v>
      </c>
      <c r="BV1608" s="50" t="s">
        <v>376</v>
      </c>
      <c r="BW1608" s="50" t="s">
        <v>376</v>
      </c>
      <c r="BZ1608" s="53"/>
      <c r="CA1608" s="53"/>
      <c r="CB1608" s="93" t="str">
        <f>IF(OR(C1608="",A1608="",B1608=""),"",TEXT(C1608,"0000")&amp;TEXT(A1608,"00")&amp;TEXT(B1608,"00"))</f>
        <v>20200107</v>
      </c>
    </row>
    <row r="1609" spans="1:80" s="50" customFormat="1" ht="13.35" customHeight="1" x14ac:dyDescent="0.2">
      <c r="A1609" s="50">
        <v>1</v>
      </c>
      <c r="B1609" s="50">
        <v>7</v>
      </c>
      <c r="C1609" s="50">
        <v>2020</v>
      </c>
      <c r="D1609" s="50" t="s">
        <v>658</v>
      </c>
      <c r="E1609" s="80" t="s">
        <v>193</v>
      </c>
      <c r="F1609" s="80" t="s">
        <v>1327</v>
      </c>
      <c r="G1609" s="80"/>
      <c r="H1609" s="80" t="s">
        <v>1011</v>
      </c>
      <c r="I1609" s="80">
        <v>1</v>
      </c>
      <c r="J1609" s="81">
        <v>43837</v>
      </c>
      <c r="K1609" s="80" t="s">
        <v>823</v>
      </c>
      <c r="L1609" s="50" t="s">
        <v>3</v>
      </c>
      <c r="M1609" s="80" t="s">
        <v>821</v>
      </c>
      <c r="N1609" s="82">
        <v>3</v>
      </c>
      <c r="O1609" s="82">
        <v>1</v>
      </c>
      <c r="P1609" s="46" t="s">
        <v>1246</v>
      </c>
      <c r="Q1609" s="46" t="s">
        <v>1101</v>
      </c>
      <c r="R1609" s="46" t="s">
        <v>376</v>
      </c>
      <c r="S1609" s="80"/>
      <c r="T1609" s="80"/>
      <c r="U1609" s="80"/>
      <c r="AD1609" s="50" t="s">
        <v>1037</v>
      </c>
      <c r="AE1609" s="50">
        <f>IF(L1609="W",1,0)</f>
        <v>1</v>
      </c>
      <c r="AF1609" s="50">
        <f>IF(L1609="T",1,0)</f>
        <v>0</v>
      </c>
      <c r="AG1609" s="50">
        <f>IF(L1609="L",1,0)</f>
        <v>0</v>
      </c>
      <c r="AH1609" s="50" t="s">
        <v>1101</v>
      </c>
      <c r="AI1609" s="50" t="s">
        <v>1159</v>
      </c>
      <c r="AJ1609" s="50" t="s">
        <v>376</v>
      </c>
      <c r="AK1609" s="50" t="s">
        <v>658</v>
      </c>
      <c r="AL1609" s="50" t="s">
        <v>1101</v>
      </c>
      <c r="AM1609" s="50" t="s">
        <v>1159</v>
      </c>
      <c r="AN1609" s="50" t="s">
        <v>376</v>
      </c>
      <c r="AO1609" s="50" t="s">
        <v>658</v>
      </c>
      <c r="AQ1609" s="50">
        <v>2</v>
      </c>
      <c r="AU1609" s="50" t="s">
        <v>376</v>
      </c>
      <c r="AW1609" s="50" t="s">
        <v>30</v>
      </c>
      <c r="AZ1609" s="50" t="s">
        <v>30</v>
      </c>
      <c r="BB1609" s="83"/>
      <c r="BF1609" s="50">
        <v>1</v>
      </c>
      <c r="BG1609" s="50">
        <v>1</v>
      </c>
      <c r="BH1609" s="50">
        <v>1</v>
      </c>
      <c r="BI1609" s="50" t="s">
        <v>823</v>
      </c>
      <c r="BJ1609" s="50" t="s">
        <v>821</v>
      </c>
      <c r="BK1609" s="50">
        <v>2020</v>
      </c>
      <c r="BL1609" s="46" t="str">
        <f>BK1609&amp;BI1609</f>
        <v>2020Manchester City</v>
      </c>
      <c r="BM1609" s="52" t="s">
        <v>821</v>
      </c>
      <c r="BV1609" s="50" t="s">
        <v>376</v>
      </c>
      <c r="BW1609" s="50" t="s">
        <v>376</v>
      </c>
      <c r="BZ1609" s="53"/>
      <c r="CA1609" s="53"/>
      <c r="CB1609" s="93" t="str">
        <f>IF(OR(C1609="",A1609="",B1609=""),"",TEXT(C1609,"0000")&amp;TEXT(A1609,"00")&amp;TEXT(B1609,"00"))</f>
        <v>20200107</v>
      </c>
    </row>
    <row r="1610" spans="1:80" s="50" customFormat="1" ht="13.35" customHeight="1" x14ac:dyDescent="0.2">
      <c r="A1610" s="50">
        <v>1</v>
      </c>
      <c r="B1610" s="50">
        <v>8</v>
      </c>
      <c r="C1610" s="50">
        <v>2020</v>
      </c>
      <c r="D1610" s="50" t="s">
        <v>658</v>
      </c>
      <c r="E1610" s="80" t="s">
        <v>193</v>
      </c>
      <c r="F1610" s="80" t="s">
        <v>1327</v>
      </c>
      <c r="G1610" s="80"/>
      <c r="H1610" s="80" t="s">
        <v>1011</v>
      </c>
      <c r="I1610" s="80">
        <v>1</v>
      </c>
      <c r="J1610" s="81">
        <v>43838</v>
      </c>
      <c r="K1610" s="80" t="s">
        <v>1291</v>
      </c>
      <c r="L1610" s="50" t="s">
        <v>1014</v>
      </c>
      <c r="M1610" s="80" t="s">
        <v>806</v>
      </c>
      <c r="N1610" s="82">
        <v>1</v>
      </c>
      <c r="O1610" s="82">
        <v>1</v>
      </c>
      <c r="P1610" s="90" t="s">
        <v>1432</v>
      </c>
      <c r="Q1610" s="52" t="s">
        <v>1278</v>
      </c>
      <c r="R1610" s="52" t="s">
        <v>376</v>
      </c>
      <c r="S1610" s="80"/>
      <c r="T1610" s="80"/>
      <c r="U1610" s="80"/>
      <c r="AD1610" s="50" t="s">
        <v>1033</v>
      </c>
      <c r="AE1610" s="50">
        <f>IF(L1610="W",1,0)</f>
        <v>0</v>
      </c>
      <c r="AF1610" s="50">
        <f>IF(L1610="T",1,0)</f>
        <v>1</v>
      </c>
      <c r="AG1610" s="50">
        <f>IF(L1610="L",1,0)</f>
        <v>0</v>
      </c>
      <c r="AH1610" s="50" t="s">
        <v>1278</v>
      </c>
      <c r="AI1610" s="50" t="s">
        <v>1292</v>
      </c>
      <c r="AJ1610" s="50" t="s">
        <v>376</v>
      </c>
      <c r="AK1610" s="50" t="s">
        <v>658</v>
      </c>
      <c r="AL1610" s="50" t="s">
        <v>1111</v>
      </c>
      <c r="AM1610" s="50" t="s">
        <v>1126</v>
      </c>
      <c r="AN1610" s="50" t="s">
        <v>376</v>
      </c>
      <c r="AO1610" s="50" t="s">
        <v>658</v>
      </c>
      <c r="AQ1610" s="50">
        <v>2</v>
      </c>
      <c r="AU1610" s="50" t="s">
        <v>376</v>
      </c>
      <c r="AW1610" s="50" t="s">
        <v>30</v>
      </c>
      <c r="AZ1610" s="50" t="s">
        <v>30</v>
      </c>
      <c r="BB1610" s="83"/>
      <c r="BF1610" s="50">
        <v>1</v>
      </c>
      <c r="BG1610" s="50">
        <v>1</v>
      </c>
      <c r="BH1610" s="50">
        <v>1</v>
      </c>
      <c r="BI1610" s="50" t="s">
        <v>1291</v>
      </c>
      <c r="BJ1610" s="50" t="s">
        <v>806</v>
      </c>
      <c r="BK1610" s="50">
        <v>2020</v>
      </c>
      <c r="BL1610" s="46" t="str">
        <f>BK1610&amp;BI1610</f>
        <v>2020Leicester City</v>
      </c>
      <c r="BM1610" s="52" t="s">
        <v>1291</v>
      </c>
      <c r="BV1610" s="50" t="s">
        <v>376</v>
      </c>
      <c r="BW1610" s="50" t="s">
        <v>376</v>
      </c>
      <c r="BZ1610" s="53"/>
      <c r="CA1610" s="53"/>
      <c r="CB1610" s="93" t="str">
        <f>IF(OR(C1610="",A1610="",B1610=""),"",TEXT(C1610,"0000")&amp;TEXT(A1610,"00")&amp;TEXT(B1610,"00"))</f>
        <v>20200108</v>
      </c>
    </row>
    <row r="1611" spans="1:80" s="50" customFormat="1" ht="13.35" customHeight="1" x14ac:dyDescent="0.2">
      <c r="A1611" s="50">
        <v>1</v>
      </c>
      <c r="B1611" s="50">
        <v>8</v>
      </c>
      <c r="C1611" s="50">
        <v>2020</v>
      </c>
      <c r="D1611" s="50" t="s">
        <v>658</v>
      </c>
      <c r="E1611" s="80" t="s">
        <v>193</v>
      </c>
      <c r="F1611" s="80" t="s">
        <v>1327</v>
      </c>
      <c r="G1611" s="80"/>
      <c r="H1611" s="80" t="s">
        <v>1011</v>
      </c>
      <c r="I1611" s="80">
        <v>1</v>
      </c>
      <c r="J1611" s="81">
        <v>43838</v>
      </c>
      <c r="K1611" s="80" t="s">
        <v>806</v>
      </c>
      <c r="L1611" s="50" t="s">
        <v>1014</v>
      </c>
      <c r="M1611" s="80" t="s">
        <v>1291</v>
      </c>
      <c r="N1611" s="82">
        <v>1</v>
      </c>
      <c r="O1611" s="82">
        <v>1</v>
      </c>
      <c r="P1611" s="90" t="s">
        <v>1432</v>
      </c>
      <c r="Q1611" s="52" t="s">
        <v>1278</v>
      </c>
      <c r="R1611" s="52" t="s">
        <v>376</v>
      </c>
      <c r="S1611" s="80"/>
      <c r="T1611" s="80"/>
      <c r="U1611" s="80"/>
      <c r="AD1611" s="50" t="s">
        <v>1037</v>
      </c>
      <c r="AE1611" s="50">
        <f>IF(L1611="W",1,0)</f>
        <v>0</v>
      </c>
      <c r="AF1611" s="50">
        <f>IF(L1611="T",1,0)</f>
        <v>1</v>
      </c>
      <c r="AG1611" s="50">
        <f>IF(L1611="L",1,0)</f>
        <v>0</v>
      </c>
      <c r="AH1611" s="50" t="s">
        <v>1111</v>
      </c>
      <c r="AI1611" s="50" t="s">
        <v>1126</v>
      </c>
      <c r="AJ1611" s="50" t="s">
        <v>376</v>
      </c>
      <c r="AK1611" s="50" t="s">
        <v>658</v>
      </c>
      <c r="AL1611" s="50" t="s">
        <v>1278</v>
      </c>
      <c r="AM1611" s="50" t="s">
        <v>1292</v>
      </c>
      <c r="AN1611" s="50" t="s">
        <v>376</v>
      </c>
      <c r="AO1611" s="50" t="s">
        <v>658</v>
      </c>
      <c r="AQ1611" s="50">
        <v>2</v>
      </c>
      <c r="AU1611" s="50" t="s">
        <v>376</v>
      </c>
      <c r="AW1611" s="50" t="s">
        <v>30</v>
      </c>
      <c r="AZ1611" s="50" t="s">
        <v>30</v>
      </c>
      <c r="BB1611" s="83"/>
      <c r="BF1611" s="50">
        <v>1</v>
      </c>
      <c r="BG1611" s="50">
        <v>1</v>
      </c>
      <c r="BH1611" s="50">
        <v>1</v>
      </c>
      <c r="BI1611" s="50" t="s">
        <v>806</v>
      </c>
      <c r="BJ1611" s="50" t="s">
        <v>1291</v>
      </c>
      <c r="BK1611" s="50">
        <v>2020</v>
      </c>
      <c r="BL1611" s="46" t="str">
        <f>BK1611&amp;BI1611</f>
        <v>2020Aston Villa</v>
      </c>
      <c r="BM1611" s="52" t="s">
        <v>1291</v>
      </c>
      <c r="BV1611" s="50" t="s">
        <v>376</v>
      </c>
      <c r="BW1611" s="50" t="s">
        <v>376</v>
      </c>
      <c r="BZ1611" s="53"/>
      <c r="CA1611" s="53"/>
      <c r="CB1611" s="93" t="str">
        <f>IF(OR(C1611="",A1611="",B1611=""),"",TEXT(C1611,"0000")&amp;TEXT(A1611,"00")&amp;TEXT(B1611,"00"))</f>
        <v>20200108</v>
      </c>
    </row>
    <row r="1612" spans="1:80" s="50" customFormat="1" ht="13.35" customHeight="1" x14ac:dyDescent="0.2">
      <c r="A1612" s="50">
        <v>1</v>
      </c>
      <c r="B1612" s="50">
        <v>28</v>
      </c>
      <c r="C1612" s="50">
        <v>2020</v>
      </c>
      <c r="D1612" s="50" t="s">
        <v>658</v>
      </c>
      <c r="E1612" s="80" t="s">
        <v>193</v>
      </c>
      <c r="F1612" s="80" t="s">
        <v>1327</v>
      </c>
      <c r="G1612" s="80"/>
      <c r="H1612" s="80" t="s">
        <v>1011</v>
      </c>
      <c r="I1612" s="80">
        <v>2</v>
      </c>
      <c r="J1612" s="81">
        <v>43858</v>
      </c>
      <c r="K1612" s="80" t="s">
        <v>806</v>
      </c>
      <c r="L1612" s="50" t="s">
        <v>3</v>
      </c>
      <c r="M1612" s="80" t="s">
        <v>1291</v>
      </c>
      <c r="N1612" s="82">
        <v>2</v>
      </c>
      <c r="O1612" s="82">
        <v>1</v>
      </c>
      <c r="P1612" s="52" t="s">
        <v>1219</v>
      </c>
      <c r="Q1612" s="52" t="s">
        <v>1111</v>
      </c>
      <c r="R1612" s="66" t="s">
        <v>376</v>
      </c>
      <c r="S1612" s="80"/>
      <c r="T1612" s="80"/>
      <c r="U1612" s="80"/>
      <c r="AD1612" s="50" t="s">
        <v>1033</v>
      </c>
      <c r="AE1612" s="50">
        <f>IF(L1612="W",1,0)</f>
        <v>1</v>
      </c>
      <c r="AF1612" s="50">
        <f>IF(L1612="T",1,0)</f>
        <v>0</v>
      </c>
      <c r="AG1612" s="50">
        <f>IF(L1612="L",1,0)</f>
        <v>0</v>
      </c>
      <c r="AH1612" s="50" t="s">
        <v>1111</v>
      </c>
      <c r="AI1612" s="50" t="s">
        <v>1126</v>
      </c>
      <c r="AJ1612" s="50" t="s">
        <v>376</v>
      </c>
      <c r="AK1612" s="50" t="s">
        <v>658</v>
      </c>
      <c r="AL1612" s="50" t="s">
        <v>1278</v>
      </c>
      <c r="AM1612" s="50" t="s">
        <v>1292</v>
      </c>
      <c r="AN1612" s="50" t="s">
        <v>376</v>
      </c>
      <c r="AO1612" s="50" t="s">
        <v>658</v>
      </c>
      <c r="AQ1612" s="50">
        <v>2</v>
      </c>
      <c r="AU1612" s="50" t="s">
        <v>376</v>
      </c>
      <c r="AW1612" s="50" t="s">
        <v>30</v>
      </c>
      <c r="AZ1612" s="50" t="s">
        <v>30</v>
      </c>
      <c r="BB1612" s="83"/>
      <c r="BF1612" s="50">
        <v>1</v>
      </c>
      <c r="BG1612" s="50">
        <v>1</v>
      </c>
      <c r="BH1612" s="50">
        <v>1</v>
      </c>
      <c r="BI1612" s="50" t="s">
        <v>806</v>
      </c>
      <c r="BJ1612" s="50" t="s">
        <v>1291</v>
      </c>
      <c r="BK1612" s="50">
        <v>2020</v>
      </c>
      <c r="BL1612" s="46" t="str">
        <f>BK1612&amp;BI1612</f>
        <v>2020Aston Villa</v>
      </c>
      <c r="BM1612" s="52" t="s">
        <v>806</v>
      </c>
      <c r="BV1612" s="50" t="s">
        <v>376</v>
      </c>
      <c r="BW1612" s="50" t="s">
        <v>376</v>
      </c>
      <c r="BZ1612" s="53"/>
      <c r="CA1612" s="53"/>
      <c r="CB1612" s="93" t="str">
        <f>IF(OR(C1612="",A1612="",B1612=""),"",TEXT(C1612,"0000")&amp;TEXT(A1612,"00")&amp;TEXT(B1612,"00"))</f>
        <v>20200128</v>
      </c>
    </row>
    <row r="1613" spans="1:80" s="50" customFormat="1" ht="13.35" customHeight="1" x14ac:dyDescent="0.2">
      <c r="A1613" s="50">
        <v>1</v>
      </c>
      <c r="B1613" s="50">
        <v>28</v>
      </c>
      <c r="C1613" s="50">
        <v>2020</v>
      </c>
      <c r="D1613" s="50" t="s">
        <v>658</v>
      </c>
      <c r="E1613" s="80" t="s">
        <v>193</v>
      </c>
      <c r="F1613" s="80" t="s">
        <v>1327</v>
      </c>
      <c r="G1613" s="80"/>
      <c r="H1613" s="80" t="s">
        <v>1011</v>
      </c>
      <c r="I1613" s="80">
        <v>2</v>
      </c>
      <c r="J1613" s="81">
        <v>43858</v>
      </c>
      <c r="K1613" s="80" t="s">
        <v>1291</v>
      </c>
      <c r="L1613" s="50" t="s">
        <v>4</v>
      </c>
      <c r="M1613" s="80" t="s">
        <v>806</v>
      </c>
      <c r="N1613" s="82">
        <v>1</v>
      </c>
      <c r="O1613" s="82">
        <v>2</v>
      </c>
      <c r="P1613" s="46" t="s">
        <v>1219</v>
      </c>
      <c r="Q1613" s="46" t="s">
        <v>1111</v>
      </c>
      <c r="R1613" s="54" t="s">
        <v>376</v>
      </c>
      <c r="S1613" s="80"/>
      <c r="T1613" s="80"/>
      <c r="U1613" s="80"/>
      <c r="AD1613" s="50" t="s">
        <v>1037</v>
      </c>
      <c r="AE1613" s="50">
        <f>IF(L1613="W",1,0)</f>
        <v>0</v>
      </c>
      <c r="AF1613" s="50">
        <f>IF(L1613="T",1,0)</f>
        <v>0</v>
      </c>
      <c r="AG1613" s="50">
        <f>IF(L1613="L",1,0)</f>
        <v>1</v>
      </c>
      <c r="AH1613" s="50" t="s">
        <v>1278</v>
      </c>
      <c r="AI1613" s="50" t="s">
        <v>1292</v>
      </c>
      <c r="AJ1613" s="50" t="s">
        <v>376</v>
      </c>
      <c r="AK1613" s="50" t="s">
        <v>658</v>
      </c>
      <c r="AL1613" s="50" t="s">
        <v>1111</v>
      </c>
      <c r="AM1613" s="50" t="s">
        <v>1126</v>
      </c>
      <c r="AN1613" s="50" t="s">
        <v>376</v>
      </c>
      <c r="AO1613" s="50" t="s">
        <v>658</v>
      </c>
      <c r="AQ1613" s="50">
        <v>2</v>
      </c>
      <c r="AS1613" s="50">
        <v>1</v>
      </c>
      <c r="AU1613" s="50" t="s">
        <v>376</v>
      </c>
      <c r="AW1613" s="50" t="s">
        <v>30</v>
      </c>
      <c r="AZ1613" s="50" t="s">
        <v>30</v>
      </c>
      <c r="BB1613" s="83"/>
      <c r="BF1613" s="50">
        <v>1</v>
      </c>
      <c r="BG1613" s="50">
        <v>1</v>
      </c>
      <c r="BH1613" s="50">
        <v>1</v>
      </c>
      <c r="BI1613" s="50" t="s">
        <v>1291</v>
      </c>
      <c r="BJ1613" s="50" t="s">
        <v>806</v>
      </c>
      <c r="BK1613" s="50">
        <v>2020</v>
      </c>
      <c r="BL1613" s="46" t="str">
        <f>BK1613&amp;BI1613</f>
        <v>2020Leicester City</v>
      </c>
      <c r="BM1613" s="52" t="s">
        <v>806</v>
      </c>
      <c r="BV1613" s="50" t="s">
        <v>376</v>
      </c>
      <c r="BW1613" s="50" t="s">
        <v>376</v>
      </c>
      <c r="BZ1613" s="53"/>
      <c r="CA1613" s="53"/>
      <c r="CB1613" s="93" t="str">
        <f>IF(OR(C1613="",A1613="",B1613=""),"",TEXT(C1613,"0000")&amp;TEXT(A1613,"00")&amp;TEXT(B1613,"00"))</f>
        <v>20200128</v>
      </c>
    </row>
    <row r="1614" spans="1:80" s="50" customFormat="1" ht="13.35" customHeight="1" x14ac:dyDescent="0.2">
      <c r="A1614" s="50">
        <v>1</v>
      </c>
      <c r="B1614" s="50">
        <v>29</v>
      </c>
      <c r="C1614" s="50">
        <v>2020</v>
      </c>
      <c r="D1614" s="50" t="s">
        <v>658</v>
      </c>
      <c r="E1614" s="80" t="s">
        <v>193</v>
      </c>
      <c r="F1614" s="80" t="s">
        <v>1327</v>
      </c>
      <c r="G1614" s="80"/>
      <c r="H1614" s="80" t="s">
        <v>1011</v>
      </c>
      <c r="I1614" s="80">
        <v>2</v>
      </c>
      <c r="J1614" s="81">
        <v>43859</v>
      </c>
      <c r="K1614" s="80" t="s">
        <v>823</v>
      </c>
      <c r="L1614" s="50" t="s">
        <v>4</v>
      </c>
      <c r="M1614" s="80" t="s">
        <v>821</v>
      </c>
      <c r="N1614" s="82">
        <v>0</v>
      </c>
      <c r="O1614" s="82">
        <v>1</v>
      </c>
      <c r="P1614" s="46" t="s">
        <v>1420</v>
      </c>
      <c r="Q1614" s="46" t="s">
        <v>1101</v>
      </c>
      <c r="R1614" s="46" t="s">
        <v>376</v>
      </c>
      <c r="S1614" s="80"/>
      <c r="T1614" s="80"/>
      <c r="U1614" s="80"/>
      <c r="AD1614" s="50" t="s">
        <v>1033</v>
      </c>
      <c r="AE1614" s="50">
        <f>IF(L1614="W",1,0)</f>
        <v>0</v>
      </c>
      <c r="AF1614" s="50">
        <f>IF(L1614="T",1,0)</f>
        <v>0</v>
      </c>
      <c r="AG1614" s="50">
        <f>IF(L1614="L",1,0)</f>
        <v>1</v>
      </c>
      <c r="AH1614" s="50" t="s">
        <v>1101</v>
      </c>
      <c r="AI1614" s="50" t="s">
        <v>1159</v>
      </c>
      <c r="AJ1614" s="50" t="s">
        <v>376</v>
      </c>
      <c r="AK1614" s="50" t="s">
        <v>658</v>
      </c>
      <c r="AL1614" s="50" t="s">
        <v>1101</v>
      </c>
      <c r="AM1614" s="50" t="s">
        <v>1159</v>
      </c>
      <c r="AN1614" s="50" t="s">
        <v>376</v>
      </c>
      <c r="AO1614" s="50" t="s">
        <v>658</v>
      </c>
      <c r="AQ1614" s="50">
        <v>2</v>
      </c>
      <c r="AU1614" s="50" t="s">
        <v>376</v>
      </c>
      <c r="AW1614" s="50" t="s">
        <v>30</v>
      </c>
      <c r="AZ1614" s="50" t="s">
        <v>30</v>
      </c>
      <c r="BB1614" s="83"/>
      <c r="BF1614" s="50">
        <v>1</v>
      </c>
      <c r="BG1614" s="50">
        <v>1</v>
      </c>
      <c r="BH1614" s="50">
        <v>1</v>
      </c>
      <c r="BI1614" s="50" t="s">
        <v>823</v>
      </c>
      <c r="BJ1614" s="50" t="s">
        <v>821</v>
      </c>
      <c r="BK1614" s="50">
        <v>2020</v>
      </c>
      <c r="BL1614" s="46" t="str">
        <f>BK1614&amp;BI1614</f>
        <v>2020Manchester City</v>
      </c>
      <c r="BM1614" s="52" t="s">
        <v>823</v>
      </c>
      <c r="BV1614" s="50" t="s">
        <v>376</v>
      </c>
      <c r="BW1614" s="50" t="s">
        <v>376</v>
      </c>
      <c r="BZ1614" s="53"/>
      <c r="CA1614" s="53"/>
      <c r="CB1614" s="93" t="str">
        <f>IF(OR(C1614="",A1614="",B1614=""),"",TEXT(C1614,"0000")&amp;TEXT(A1614,"00")&amp;TEXT(B1614,"00"))</f>
        <v>20200129</v>
      </c>
    </row>
    <row r="1615" spans="1:80" s="50" customFormat="1" ht="13.35" customHeight="1" x14ac:dyDescent="0.2">
      <c r="A1615" s="50">
        <v>1</v>
      </c>
      <c r="B1615" s="50">
        <v>29</v>
      </c>
      <c r="C1615" s="50">
        <v>2020</v>
      </c>
      <c r="D1615" s="50" t="s">
        <v>658</v>
      </c>
      <c r="E1615" s="80" t="s">
        <v>193</v>
      </c>
      <c r="F1615" s="80" t="s">
        <v>1327</v>
      </c>
      <c r="G1615" s="80"/>
      <c r="H1615" s="80" t="s">
        <v>1011</v>
      </c>
      <c r="I1615" s="80">
        <v>2</v>
      </c>
      <c r="J1615" s="81">
        <v>43859</v>
      </c>
      <c r="K1615" s="80" t="s">
        <v>821</v>
      </c>
      <c r="L1615" s="50" t="s">
        <v>3</v>
      </c>
      <c r="M1615" s="80" t="s">
        <v>823</v>
      </c>
      <c r="N1615" s="82">
        <v>1</v>
      </c>
      <c r="O1615" s="82">
        <v>0</v>
      </c>
      <c r="P1615" s="46" t="s">
        <v>1420</v>
      </c>
      <c r="Q1615" s="46" t="s">
        <v>1101</v>
      </c>
      <c r="R1615" s="46" t="s">
        <v>376</v>
      </c>
      <c r="S1615" s="80"/>
      <c r="T1615" s="80"/>
      <c r="U1615" s="80"/>
      <c r="AD1615" s="50" t="s">
        <v>1037</v>
      </c>
      <c r="AE1615" s="50">
        <f>IF(L1615="W",1,0)</f>
        <v>1</v>
      </c>
      <c r="AF1615" s="50">
        <f>IF(L1615="T",1,0)</f>
        <v>0</v>
      </c>
      <c r="AG1615" s="50">
        <f>IF(L1615="L",1,0)</f>
        <v>0</v>
      </c>
      <c r="AH1615" s="50" t="s">
        <v>1101</v>
      </c>
      <c r="AI1615" s="50" t="s">
        <v>1159</v>
      </c>
      <c r="AJ1615" s="50" t="s">
        <v>376</v>
      </c>
      <c r="AK1615" s="50" t="s">
        <v>658</v>
      </c>
      <c r="AL1615" s="50" t="s">
        <v>1101</v>
      </c>
      <c r="AM1615" s="50" t="s">
        <v>1159</v>
      </c>
      <c r="AN1615" s="50" t="s">
        <v>376</v>
      </c>
      <c r="AO1615" s="50" t="s">
        <v>658</v>
      </c>
      <c r="AQ1615" s="50">
        <v>2</v>
      </c>
      <c r="AS1615" s="50">
        <v>1</v>
      </c>
      <c r="AU1615" s="50" t="s">
        <v>376</v>
      </c>
      <c r="AW1615" s="50" t="s">
        <v>30</v>
      </c>
      <c r="AZ1615" s="50" t="s">
        <v>30</v>
      </c>
      <c r="BB1615" s="83"/>
      <c r="BF1615" s="50">
        <v>1</v>
      </c>
      <c r="BG1615" s="50">
        <v>1</v>
      </c>
      <c r="BH1615" s="50">
        <v>1</v>
      </c>
      <c r="BI1615" s="50" t="s">
        <v>821</v>
      </c>
      <c r="BJ1615" s="50" t="s">
        <v>823</v>
      </c>
      <c r="BK1615" s="50">
        <v>2020</v>
      </c>
      <c r="BL1615" s="46" t="str">
        <f>BK1615&amp;BI1615</f>
        <v>2020Manchester United</v>
      </c>
      <c r="BM1615" s="52" t="s">
        <v>823</v>
      </c>
      <c r="BV1615" s="50" t="s">
        <v>376</v>
      </c>
      <c r="BW1615" s="50" t="s">
        <v>376</v>
      </c>
      <c r="BZ1615" s="53"/>
      <c r="CA1615" s="53"/>
      <c r="CB1615" s="93" t="str">
        <f>IF(OR(C1615="",A1615="",B1615=""),"",TEXT(C1615,"0000")&amp;TEXT(A1615,"00")&amp;TEXT(B1615,"00"))</f>
        <v>20200129</v>
      </c>
    </row>
    <row r="1616" spans="1:80" s="50" customFormat="1" ht="13.35" customHeight="1" x14ac:dyDescent="0.2">
      <c r="A1616" s="50">
        <v>3</v>
      </c>
      <c r="B1616" s="50">
        <v>1</v>
      </c>
      <c r="C1616" s="50">
        <v>2020</v>
      </c>
      <c r="D1616" s="50" t="s">
        <v>658</v>
      </c>
      <c r="E1616" s="80" t="s">
        <v>193</v>
      </c>
      <c r="F1616" s="80" t="s">
        <v>1327</v>
      </c>
      <c r="G1616" s="80"/>
      <c r="H1616" s="80" t="s">
        <v>40</v>
      </c>
      <c r="I1616" s="80"/>
      <c r="J1616" s="81">
        <v>43891</v>
      </c>
      <c r="K1616" s="80" t="s">
        <v>823</v>
      </c>
      <c r="L1616" s="50" t="s">
        <v>3</v>
      </c>
      <c r="M1616" s="80" t="s">
        <v>806</v>
      </c>
      <c r="N1616" s="82">
        <v>2</v>
      </c>
      <c r="O1616" s="82">
        <v>1</v>
      </c>
      <c r="P1616" s="80" t="s">
        <v>1415</v>
      </c>
      <c r="Q1616" s="80" t="s">
        <v>1017</v>
      </c>
      <c r="R1616" s="50" t="s">
        <v>376</v>
      </c>
      <c r="S1616" s="80"/>
      <c r="T1616" s="80"/>
      <c r="U1616" s="80"/>
      <c r="AE1616" s="50">
        <f>IF(L1616="W",1,0)</f>
        <v>1</v>
      </c>
      <c r="AF1616" s="50">
        <f>IF(L1616="T",1,0)</f>
        <v>0</v>
      </c>
      <c r="AG1616" s="50">
        <f>IF(L1616="L",1,0)</f>
        <v>0</v>
      </c>
      <c r="AH1616" s="50" t="s">
        <v>1101</v>
      </c>
      <c r="AI1616" s="50" t="s">
        <v>1159</v>
      </c>
      <c r="AJ1616" s="50" t="s">
        <v>376</v>
      </c>
      <c r="AK1616" s="50" t="s">
        <v>658</v>
      </c>
      <c r="AL1616" s="50" t="s">
        <v>1111</v>
      </c>
      <c r="AM1616" s="50" t="s">
        <v>1126</v>
      </c>
      <c r="AN1616" s="50" t="s">
        <v>376</v>
      </c>
      <c r="AO1616" s="50" t="s">
        <v>658</v>
      </c>
      <c r="AQ1616" s="50">
        <v>1</v>
      </c>
      <c r="AS1616" s="50" t="s">
        <v>1393</v>
      </c>
      <c r="AU1616" s="50" t="s">
        <v>376</v>
      </c>
      <c r="AW1616" s="50" t="s">
        <v>30</v>
      </c>
      <c r="AZ1616" s="84" t="s">
        <v>30</v>
      </c>
      <c r="BB1616" s="83" t="s">
        <v>30</v>
      </c>
      <c r="BC1616" s="50" t="s">
        <v>30</v>
      </c>
      <c r="BF1616" s="50">
        <v>1</v>
      </c>
      <c r="BG1616" s="50">
        <v>1</v>
      </c>
      <c r="BH1616" s="50">
        <v>1</v>
      </c>
      <c r="BI1616" s="50" t="s">
        <v>823</v>
      </c>
      <c r="BJ1616" s="50" t="s">
        <v>806</v>
      </c>
      <c r="BK1616" s="50">
        <v>2020</v>
      </c>
      <c r="BL1616" s="46" t="str">
        <f>BK1616&amp;BI1616</f>
        <v>2020Manchester City</v>
      </c>
      <c r="BM1616" s="52" t="s">
        <v>1017</v>
      </c>
      <c r="BV1616" s="50" t="s">
        <v>376</v>
      </c>
      <c r="BW1616" s="50" t="s">
        <v>376</v>
      </c>
      <c r="BZ1616" s="53"/>
      <c r="CA1616" s="53"/>
      <c r="CB1616" s="93" t="str">
        <f>IF(OR(C1616="",A1616="",B1616=""),"",TEXT(C1616,"0000")&amp;TEXT(A1616,"00")&amp;TEXT(B1616,"00"))</f>
        <v>20200301</v>
      </c>
    </row>
    <row r="1617" spans="1:80" s="50" customFormat="1" ht="13.35" customHeight="1" x14ac:dyDescent="0.2">
      <c r="A1617" s="50">
        <v>3</v>
      </c>
      <c r="B1617" s="50">
        <v>1</v>
      </c>
      <c r="C1617" s="50">
        <v>2020</v>
      </c>
      <c r="D1617" s="50" t="s">
        <v>658</v>
      </c>
      <c r="E1617" s="80" t="s">
        <v>193</v>
      </c>
      <c r="F1617" s="80" t="s">
        <v>1327</v>
      </c>
      <c r="G1617" s="80"/>
      <c r="H1617" s="80" t="s">
        <v>40</v>
      </c>
      <c r="I1617" s="80"/>
      <c r="J1617" s="81">
        <v>43891</v>
      </c>
      <c r="K1617" s="80" t="s">
        <v>806</v>
      </c>
      <c r="L1617" s="50" t="s">
        <v>4</v>
      </c>
      <c r="M1617" s="80" t="s">
        <v>823</v>
      </c>
      <c r="N1617" s="82">
        <v>1</v>
      </c>
      <c r="O1617" s="82">
        <v>2</v>
      </c>
      <c r="P1617" s="80" t="s">
        <v>1415</v>
      </c>
      <c r="Q1617" s="80" t="s">
        <v>1017</v>
      </c>
      <c r="R1617" s="50" t="s">
        <v>376</v>
      </c>
      <c r="S1617" s="80"/>
      <c r="T1617" s="80"/>
      <c r="U1617" s="80"/>
      <c r="AE1617" s="50">
        <f>IF(L1617="W",1,0)</f>
        <v>0</v>
      </c>
      <c r="AF1617" s="50">
        <f>IF(L1617="T",1,0)</f>
        <v>0</v>
      </c>
      <c r="AG1617" s="50">
        <f>IF(L1617="L",1,0)</f>
        <v>1</v>
      </c>
      <c r="AH1617" s="50" t="s">
        <v>1111</v>
      </c>
      <c r="AI1617" s="50" t="s">
        <v>1126</v>
      </c>
      <c r="AJ1617" s="50" t="s">
        <v>376</v>
      </c>
      <c r="AK1617" s="50" t="s">
        <v>658</v>
      </c>
      <c r="AL1617" s="50" t="s">
        <v>1101</v>
      </c>
      <c r="AM1617" s="50" t="s">
        <v>1159</v>
      </c>
      <c r="AN1617" s="50" t="s">
        <v>376</v>
      </c>
      <c r="AO1617" s="50" t="s">
        <v>658</v>
      </c>
      <c r="AQ1617" s="50">
        <v>1</v>
      </c>
      <c r="AS1617" s="50">
        <v>1</v>
      </c>
      <c r="AU1617" s="50" t="s">
        <v>376</v>
      </c>
      <c r="AW1617" s="50" t="s">
        <v>30</v>
      </c>
      <c r="AZ1617" s="50" t="s">
        <v>30</v>
      </c>
      <c r="BB1617" s="83"/>
      <c r="BC1617" s="50" t="s">
        <v>30</v>
      </c>
      <c r="BF1617" s="50">
        <v>1</v>
      </c>
      <c r="BG1617" s="50">
        <v>1</v>
      </c>
      <c r="BH1617" s="50">
        <v>1</v>
      </c>
      <c r="BI1617" s="50" t="s">
        <v>806</v>
      </c>
      <c r="BJ1617" s="50" t="s">
        <v>823</v>
      </c>
      <c r="BK1617" s="50">
        <v>2020</v>
      </c>
      <c r="BL1617" s="46" t="str">
        <f>BK1617&amp;BI1617</f>
        <v>2020Aston Villa</v>
      </c>
      <c r="BM1617" s="52" t="s">
        <v>1017</v>
      </c>
      <c r="BV1617" s="50" t="s">
        <v>376</v>
      </c>
      <c r="BW1617" s="50" t="s">
        <v>376</v>
      </c>
      <c r="BZ1617" s="53"/>
      <c r="CA1617" s="53"/>
      <c r="CB1617" s="93" t="str">
        <f>IF(OR(C1617="",A1617="",B1617=""),"",TEXT(C1617,"0000")&amp;TEXT(A1617,"00")&amp;TEXT(B1617,"00"))</f>
        <v>20200301</v>
      </c>
    </row>
    <row r="1618" spans="1:80" s="50" customFormat="1" ht="13.35" customHeight="1" x14ac:dyDescent="0.2">
      <c r="A1618" s="50">
        <v>7</v>
      </c>
      <c r="B1618" s="50">
        <v>18</v>
      </c>
      <c r="C1618" s="50">
        <v>2020</v>
      </c>
      <c r="D1618" s="50" t="s">
        <v>658</v>
      </c>
      <c r="E1618" s="80" t="s">
        <v>193</v>
      </c>
      <c r="F1618" s="80" t="s">
        <v>1010</v>
      </c>
      <c r="G1618" s="80"/>
      <c r="H1618" s="80" t="s">
        <v>1011</v>
      </c>
      <c r="I1618" s="80"/>
      <c r="J1618" s="81">
        <v>44030</v>
      </c>
      <c r="K1618" s="80" t="s">
        <v>587</v>
      </c>
      <c r="L1618" s="50" t="s">
        <v>3</v>
      </c>
      <c r="M1618" s="80" t="s">
        <v>823</v>
      </c>
      <c r="N1618" s="82">
        <v>2</v>
      </c>
      <c r="O1618" s="82">
        <v>0</v>
      </c>
      <c r="P1618" s="80" t="s">
        <v>1415</v>
      </c>
      <c r="Q1618" s="80" t="s">
        <v>1017</v>
      </c>
      <c r="R1618" s="50" t="s">
        <v>376</v>
      </c>
      <c r="S1618" s="80"/>
      <c r="T1618" s="80"/>
      <c r="U1618" s="80"/>
      <c r="AE1618" s="50">
        <f>IF(L1618="W",1,0)</f>
        <v>1</v>
      </c>
      <c r="AF1618" s="50">
        <f>IF(L1618="T",1,0)</f>
        <v>0</v>
      </c>
      <c r="AG1618" s="50">
        <f>IF(L1618="L",1,0)</f>
        <v>0</v>
      </c>
      <c r="AH1618" s="50" t="s">
        <v>1017</v>
      </c>
      <c r="AI1618" s="50" t="s">
        <v>1018</v>
      </c>
      <c r="AJ1618" s="50" t="s">
        <v>376</v>
      </c>
      <c r="AK1618" s="50" t="s">
        <v>658</v>
      </c>
      <c r="AL1618" s="50" t="s">
        <v>1101</v>
      </c>
      <c r="AM1618" s="50" t="s">
        <v>1159</v>
      </c>
      <c r="AN1618" s="50" t="s">
        <v>376</v>
      </c>
      <c r="AO1618" s="50" t="s">
        <v>658</v>
      </c>
      <c r="AQ1618" s="50">
        <v>2</v>
      </c>
      <c r="AU1618" s="50" t="s">
        <v>376</v>
      </c>
      <c r="AW1618" s="50" t="s">
        <v>30</v>
      </c>
      <c r="AY1618" s="50" t="s">
        <v>30</v>
      </c>
      <c r="BB1618" s="83"/>
      <c r="BF1618" s="50">
        <v>1</v>
      </c>
      <c r="BG1618" s="50">
        <v>1</v>
      </c>
      <c r="BH1618" s="50">
        <v>1</v>
      </c>
      <c r="BI1618" s="50" t="s">
        <v>587</v>
      </c>
      <c r="BJ1618" s="50" t="s">
        <v>823</v>
      </c>
      <c r="BK1618" s="50">
        <v>2020</v>
      </c>
      <c r="BL1618" s="46" t="str">
        <f>BK1618&amp;BI1618</f>
        <v>2020Arsenal</v>
      </c>
      <c r="BM1618" s="52" t="s">
        <v>1017</v>
      </c>
      <c r="BV1618" s="50" t="s">
        <v>376</v>
      </c>
      <c r="BW1618" s="50" t="s">
        <v>376</v>
      </c>
      <c r="BZ1618" s="53"/>
      <c r="CA1618" s="53"/>
      <c r="CB1618" s="93" t="str">
        <f>IF(OR(C1618="",A1618="",B1618=""),"",TEXT(C1618,"0000")&amp;TEXT(A1618,"00")&amp;TEXT(B1618,"00"))</f>
        <v>20200718</v>
      </c>
    </row>
    <row r="1619" spans="1:80" s="50" customFormat="1" ht="13.35" customHeight="1" x14ac:dyDescent="0.2">
      <c r="A1619" s="50">
        <v>7</v>
      </c>
      <c r="B1619" s="50">
        <v>18</v>
      </c>
      <c r="C1619" s="50">
        <v>2020</v>
      </c>
      <c r="D1619" s="50" t="s">
        <v>658</v>
      </c>
      <c r="E1619" s="80" t="s">
        <v>193</v>
      </c>
      <c r="F1619" s="80" t="s">
        <v>1010</v>
      </c>
      <c r="G1619" s="80"/>
      <c r="H1619" s="80" t="s">
        <v>1011</v>
      </c>
      <c r="I1619" s="80"/>
      <c r="J1619" s="81">
        <v>44030</v>
      </c>
      <c r="K1619" s="80" t="s">
        <v>823</v>
      </c>
      <c r="L1619" s="50" t="s">
        <v>4</v>
      </c>
      <c r="M1619" s="80" t="s">
        <v>587</v>
      </c>
      <c r="N1619" s="82">
        <v>0</v>
      </c>
      <c r="O1619" s="82">
        <v>2</v>
      </c>
      <c r="P1619" s="80" t="s">
        <v>1415</v>
      </c>
      <c r="Q1619" s="80" t="s">
        <v>1017</v>
      </c>
      <c r="R1619" s="50" t="s">
        <v>376</v>
      </c>
      <c r="S1619" s="80"/>
      <c r="T1619" s="80"/>
      <c r="U1619" s="80"/>
      <c r="AE1619" s="50">
        <f>IF(L1619="W",1,0)</f>
        <v>0</v>
      </c>
      <c r="AF1619" s="50">
        <f>IF(L1619="T",1,0)</f>
        <v>0</v>
      </c>
      <c r="AG1619" s="50">
        <f>IF(L1619="L",1,0)</f>
        <v>1</v>
      </c>
      <c r="AH1619" s="50" t="s">
        <v>1101</v>
      </c>
      <c r="AI1619" s="50" t="s">
        <v>1159</v>
      </c>
      <c r="AJ1619" s="50" t="s">
        <v>376</v>
      </c>
      <c r="AK1619" s="50" t="s">
        <v>658</v>
      </c>
      <c r="AL1619" s="50" t="s">
        <v>1017</v>
      </c>
      <c r="AM1619" s="50" t="s">
        <v>1018</v>
      </c>
      <c r="AN1619" s="50" t="s">
        <v>376</v>
      </c>
      <c r="AO1619" s="50" t="s">
        <v>658</v>
      </c>
      <c r="AQ1619" s="50">
        <v>2</v>
      </c>
      <c r="AS1619" s="50">
        <v>1</v>
      </c>
      <c r="AU1619" s="50" t="s">
        <v>376</v>
      </c>
      <c r="AW1619" s="50" t="s">
        <v>30</v>
      </c>
      <c r="AY1619" s="50" t="s">
        <v>30</v>
      </c>
      <c r="BB1619" s="83"/>
      <c r="BF1619" s="50">
        <v>1</v>
      </c>
      <c r="BG1619" s="50">
        <v>1</v>
      </c>
      <c r="BH1619" s="50">
        <v>1</v>
      </c>
      <c r="BI1619" s="50" t="s">
        <v>823</v>
      </c>
      <c r="BJ1619" s="50" t="s">
        <v>587</v>
      </c>
      <c r="BK1619" s="50">
        <v>2020</v>
      </c>
      <c r="BL1619" s="46" t="str">
        <f>BK1619&amp;BI1619</f>
        <v>2020Manchester City</v>
      </c>
      <c r="BM1619" s="52" t="s">
        <v>1017</v>
      </c>
      <c r="BV1619" s="50" t="s">
        <v>376</v>
      </c>
      <c r="BW1619" s="50" t="s">
        <v>376</v>
      </c>
      <c r="BZ1619" s="53"/>
      <c r="CA1619" s="53"/>
      <c r="CB1619" s="93" t="str">
        <f>IF(OR(C1619="",A1619="",B1619=""),"",TEXT(C1619,"0000")&amp;TEXT(A1619,"00")&amp;TEXT(B1619,"00"))</f>
        <v>20200718</v>
      </c>
    </row>
    <row r="1620" spans="1:80" s="50" customFormat="1" ht="13.35" customHeight="1" x14ac:dyDescent="0.2">
      <c r="A1620" s="50">
        <v>7</v>
      </c>
      <c r="B1620" s="50">
        <v>19</v>
      </c>
      <c r="C1620" s="50">
        <v>2020</v>
      </c>
      <c r="D1620" s="50" t="s">
        <v>658</v>
      </c>
      <c r="E1620" s="80" t="s">
        <v>193</v>
      </c>
      <c r="F1620" s="80" t="s">
        <v>1010</v>
      </c>
      <c r="G1620" s="80"/>
      <c r="H1620" s="80" t="s">
        <v>1011</v>
      </c>
      <c r="I1620" s="80"/>
      <c r="J1620" s="81">
        <v>44031</v>
      </c>
      <c r="K1620" s="80" t="s">
        <v>816</v>
      </c>
      <c r="L1620" s="50" t="s">
        <v>3</v>
      </c>
      <c r="M1620" s="80" t="s">
        <v>821</v>
      </c>
      <c r="N1620" s="82">
        <v>3</v>
      </c>
      <c r="O1620" s="82">
        <v>1</v>
      </c>
      <c r="P1620" s="80" t="s">
        <v>1415</v>
      </c>
      <c r="Q1620" s="80" t="s">
        <v>1017</v>
      </c>
      <c r="R1620" s="50" t="s">
        <v>376</v>
      </c>
      <c r="S1620" s="80"/>
      <c r="T1620" s="80"/>
      <c r="U1620" s="80"/>
      <c r="AE1620" s="50">
        <f>IF(L1620="W",1,0)</f>
        <v>1</v>
      </c>
      <c r="AF1620" s="50">
        <f>IF(L1620="T",1,0)</f>
        <v>0</v>
      </c>
      <c r="AG1620" s="50">
        <f>IF(L1620="L",1,0)</f>
        <v>0</v>
      </c>
      <c r="AH1620" s="50" t="s">
        <v>1017</v>
      </c>
      <c r="AI1620" s="50" t="s">
        <v>1018</v>
      </c>
      <c r="AJ1620" s="50" t="s">
        <v>376</v>
      </c>
      <c r="AK1620" s="50" t="s">
        <v>658</v>
      </c>
      <c r="AL1620" s="50" t="s">
        <v>1101</v>
      </c>
      <c r="AM1620" s="50" t="s">
        <v>1159</v>
      </c>
      <c r="AN1620" s="50" t="s">
        <v>376</v>
      </c>
      <c r="AO1620" s="50" t="s">
        <v>658</v>
      </c>
      <c r="AQ1620" s="50">
        <v>2</v>
      </c>
      <c r="AU1620" s="50" t="s">
        <v>376</v>
      </c>
      <c r="AW1620" s="50" t="s">
        <v>30</v>
      </c>
      <c r="AY1620" s="50" t="s">
        <v>30</v>
      </c>
      <c r="BB1620" s="83"/>
      <c r="BF1620" s="50">
        <v>1</v>
      </c>
      <c r="BG1620" s="50">
        <v>1</v>
      </c>
      <c r="BH1620" s="50">
        <v>1</v>
      </c>
      <c r="BI1620" s="50" t="s">
        <v>816</v>
      </c>
      <c r="BJ1620" s="50" t="s">
        <v>821</v>
      </c>
      <c r="BK1620" s="50">
        <v>2020</v>
      </c>
      <c r="BL1620" s="46" t="str">
        <f>BK1620&amp;BI1620</f>
        <v>2020Chelsea</v>
      </c>
      <c r="BM1620" s="52" t="s">
        <v>1017</v>
      </c>
      <c r="BV1620" s="50" t="s">
        <v>376</v>
      </c>
      <c r="BW1620" s="50" t="s">
        <v>376</v>
      </c>
      <c r="BZ1620" s="53"/>
      <c r="CA1620" s="53"/>
      <c r="CB1620" s="93" t="str">
        <f>IF(OR(C1620="",A1620="",B1620=""),"",TEXT(C1620,"0000")&amp;TEXT(A1620,"00")&amp;TEXT(B1620,"00"))</f>
        <v>20200719</v>
      </c>
    </row>
    <row r="1621" spans="1:80" s="50" customFormat="1" ht="13.35" customHeight="1" x14ac:dyDescent="0.2">
      <c r="A1621" s="50">
        <v>7</v>
      </c>
      <c r="B1621" s="50">
        <v>19</v>
      </c>
      <c r="C1621" s="50">
        <v>2020</v>
      </c>
      <c r="D1621" s="50" t="s">
        <v>658</v>
      </c>
      <c r="E1621" s="80" t="s">
        <v>193</v>
      </c>
      <c r="F1621" s="80" t="s">
        <v>1010</v>
      </c>
      <c r="G1621" s="80"/>
      <c r="H1621" s="80" t="s">
        <v>1011</v>
      </c>
      <c r="I1621" s="80"/>
      <c r="J1621" s="81">
        <v>44031</v>
      </c>
      <c r="K1621" s="80" t="s">
        <v>821</v>
      </c>
      <c r="L1621" s="50" t="s">
        <v>4</v>
      </c>
      <c r="M1621" s="80" t="s">
        <v>816</v>
      </c>
      <c r="N1621" s="82">
        <v>1</v>
      </c>
      <c r="O1621" s="82">
        <v>3</v>
      </c>
      <c r="P1621" s="80" t="s">
        <v>1415</v>
      </c>
      <c r="Q1621" s="80" t="s">
        <v>1017</v>
      </c>
      <c r="R1621" s="50" t="s">
        <v>376</v>
      </c>
      <c r="S1621" s="80"/>
      <c r="T1621" s="80"/>
      <c r="U1621" s="80"/>
      <c r="AE1621" s="50">
        <f>IF(L1621="W",1,0)</f>
        <v>0</v>
      </c>
      <c r="AF1621" s="50">
        <f>IF(L1621="T",1,0)</f>
        <v>0</v>
      </c>
      <c r="AG1621" s="50">
        <f>IF(L1621="L",1,0)</f>
        <v>1</v>
      </c>
      <c r="AH1621" s="50" t="s">
        <v>1101</v>
      </c>
      <c r="AI1621" s="50" t="s">
        <v>1159</v>
      </c>
      <c r="AJ1621" s="50" t="s">
        <v>376</v>
      </c>
      <c r="AK1621" s="50" t="s">
        <v>658</v>
      </c>
      <c r="AL1621" s="50" t="s">
        <v>1017</v>
      </c>
      <c r="AM1621" s="50" t="s">
        <v>1018</v>
      </c>
      <c r="AN1621" s="50" t="s">
        <v>376</v>
      </c>
      <c r="AO1621" s="50" t="s">
        <v>658</v>
      </c>
      <c r="AQ1621" s="50">
        <v>2</v>
      </c>
      <c r="AS1621" s="50">
        <v>1</v>
      </c>
      <c r="AU1621" s="50" t="s">
        <v>376</v>
      </c>
      <c r="AW1621" s="50" t="s">
        <v>30</v>
      </c>
      <c r="AY1621" s="50" t="s">
        <v>30</v>
      </c>
      <c r="BB1621" s="83"/>
      <c r="BF1621" s="50">
        <v>1</v>
      </c>
      <c r="BG1621" s="50">
        <v>1</v>
      </c>
      <c r="BH1621" s="50">
        <v>1</v>
      </c>
      <c r="BI1621" s="50" t="s">
        <v>821</v>
      </c>
      <c r="BJ1621" s="50" t="s">
        <v>816</v>
      </c>
      <c r="BK1621" s="50">
        <v>2020</v>
      </c>
      <c r="BL1621" s="46" t="str">
        <f>BK1621&amp;BI1621</f>
        <v>2020Manchester United</v>
      </c>
      <c r="BM1621" s="52" t="s">
        <v>1017</v>
      </c>
      <c r="BV1621" s="50" t="s">
        <v>376</v>
      </c>
      <c r="BW1621" s="50" t="s">
        <v>376</v>
      </c>
      <c r="BZ1621" s="53"/>
      <c r="CA1621" s="53"/>
      <c r="CB1621" s="93" t="str">
        <f>IF(OR(C1621="",A1621="",B1621=""),"",TEXT(C1621,"0000")&amp;TEXT(A1621,"00")&amp;TEXT(B1621,"00"))</f>
        <v>20200719</v>
      </c>
    </row>
    <row r="1622" spans="1:80" s="50" customFormat="1" ht="13.35" customHeight="1" x14ac:dyDescent="0.2">
      <c r="A1622" s="50">
        <v>8</v>
      </c>
      <c r="B1622" s="50">
        <v>1</v>
      </c>
      <c r="C1622" s="50">
        <v>2020</v>
      </c>
      <c r="D1622" s="50" t="s">
        <v>658</v>
      </c>
      <c r="E1622" s="80" t="s">
        <v>193</v>
      </c>
      <c r="F1622" s="80" t="s">
        <v>1010</v>
      </c>
      <c r="G1622" s="80"/>
      <c r="H1622" s="80" t="s">
        <v>40</v>
      </c>
      <c r="I1622" s="80"/>
      <c r="J1622" s="81">
        <v>44044</v>
      </c>
      <c r="K1622" s="80" t="s">
        <v>587</v>
      </c>
      <c r="L1622" s="50" t="s">
        <v>3</v>
      </c>
      <c r="M1622" s="80" t="s">
        <v>816</v>
      </c>
      <c r="N1622" s="82">
        <v>2</v>
      </c>
      <c r="O1622" s="82">
        <v>1</v>
      </c>
      <c r="P1622" s="80" t="s">
        <v>1415</v>
      </c>
      <c r="Q1622" s="80" t="s">
        <v>1017</v>
      </c>
      <c r="R1622" s="50" t="s">
        <v>376</v>
      </c>
      <c r="S1622" s="80"/>
      <c r="T1622" s="80"/>
      <c r="U1622" s="80"/>
      <c r="AE1622" s="50">
        <f>IF(L1622="W",1,0)</f>
        <v>1</v>
      </c>
      <c r="AF1622" s="50">
        <f>IF(L1622="T",1,0)</f>
        <v>0</v>
      </c>
      <c r="AG1622" s="50">
        <f>IF(L1622="L",1,0)</f>
        <v>0</v>
      </c>
      <c r="AH1622" s="50" t="s">
        <v>1017</v>
      </c>
      <c r="AI1622" s="50" t="s">
        <v>1018</v>
      </c>
      <c r="AJ1622" s="50" t="s">
        <v>376</v>
      </c>
      <c r="AK1622" s="50" t="s">
        <v>658</v>
      </c>
      <c r="AL1622" s="50" t="s">
        <v>1017</v>
      </c>
      <c r="AM1622" s="50" t="s">
        <v>1018</v>
      </c>
      <c r="AN1622" s="50" t="s">
        <v>376</v>
      </c>
      <c r="AO1622" s="50" t="s">
        <v>658</v>
      </c>
      <c r="AQ1622" s="50">
        <v>1</v>
      </c>
      <c r="AS1622" s="50" t="s">
        <v>1393</v>
      </c>
      <c r="AU1622" s="50" t="s">
        <v>376</v>
      </c>
      <c r="AW1622" s="50" t="s">
        <v>30</v>
      </c>
      <c r="AY1622" s="84" t="s">
        <v>30</v>
      </c>
      <c r="BB1622" s="83" t="s">
        <v>30</v>
      </c>
      <c r="BC1622" s="50" t="s">
        <v>30</v>
      </c>
      <c r="BF1622" s="50">
        <v>1</v>
      </c>
      <c r="BG1622" s="50">
        <v>1</v>
      </c>
      <c r="BH1622" s="50">
        <v>1</v>
      </c>
      <c r="BI1622" s="50" t="s">
        <v>587</v>
      </c>
      <c r="BJ1622" s="50" t="s">
        <v>816</v>
      </c>
      <c r="BK1622" s="50">
        <v>2020</v>
      </c>
      <c r="BL1622" s="46" t="str">
        <f>BK1622&amp;BI1622</f>
        <v>2020Arsenal</v>
      </c>
      <c r="BM1622" s="52" t="s">
        <v>1017</v>
      </c>
      <c r="BV1622" s="50" t="s">
        <v>376</v>
      </c>
      <c r="BW1622" s="50" t="s">
        <v>376</v>
      </c>
      <c r="BZ1622" s="53"/>
      <c r="CA1622" s="53"/>
      <c r="CB1622" s="93" t="str">
        <f>IF(OR(C1622="",A1622="",B1622=""),"",TEXT(C1622,"0000")&amp;TEXT(A1622,"00")&amp;TEXT(B1622,"00"))</f>
        <v>20200801</v>
      </c>
    </row>
    <row r="1623" spans="1:80" s="50" customFormat="1" ht="13.35" customHeight="1" x14ac:dyDescent="0.2">
      <c r="A1623" s="50">
        <v>8</v>
      </c>
      <c r="B1623" s="50">
        <v>1</v>
      </c>
      <c r="C1623" s="50">
        <v>2020</v>
      </c>
      <c r="D1623" s="50" t="s">
        <v>658</v>
      </c>
      <c r="E1623" s="80" t="s">
        <v>193</v>
      </c>
      <c r="F1623" s="80" t="s">
        <v>1010</v>
      </c>
      <c r="G1623" s="80"/>
      <c r="H1623" s="80" t="s">
        <v>40</v>
      </c>
      <c r="I1623" s="80"/>
      <c r="J1623" s="81">
        <v>44044</v>
      </c>
      <c r="K1623" s="80" t="s">
        <v>816</v>
      </c>
      <c r="L1623" s="50" t="s">
        <v>4</v>
      </c>
      <c r="M1623" s="80" t="s">
        <v>587</v>
      </c>
      <c r="N1623" s="82">
        <v>1</v>
      </c>
      <c r="O1623" s="82">
        <v>2</v>
      </c>
      <c r="P1623" s="80" t="s">
        <v>1415</v>
      </c>
      <c r="Q1623" s="80" t="s">
        <v>1017</v>
      </c>
      <c r="R1623" s="50" t="s">
        <v>376</v>
      </c>
      <c r="S1623" s="80"/>
      <c r="T1623" s="80"/>
      <c r="U1623" s="80"/>
      <c r="AE1623" s="50">
        <f>IF(L1623="W",1,0)</f>
        <v>0</v>
      </c>
      <c r="AF1623" s="50">
        <f>IF(L1623="T",1,0)</f>
        <v>0</v>
      </c>
      <c r="AG1623" s="50">
        <f>IF(L1623="L",1,0)</f>
        <v>1</v>
      </c>
      <c r="AH1623" s="50" t="s">
        <v>1017</v>
      </c>
      <c r="AI1623" s="50" t="s">
        <v>1018</v>
      </c>
      <c r="AJ1623" s="50" t="s">
        <v>376</v>
      </c>
      <c r="AK1623" s="50" t="s">
        <v>658</v>
      </c>
      <c r="AL1623" s="50" t="s">
        <v>1017</v>
      </c>
      <c r="AM1623" s="50" t="s">
        <v>1018</v>
      </c>
      <c r="AN1623" s="50" t="s">
        <v>376</v>
      </c>
      <c r="AO1623" s="50" t="s">
        <v>658</v>
      </c>
      <c r="AQ1623" s="50">
        <v>1</v>
      </c>
      <c r="AS1623" s="50">
        <v>1</v>
      </c>
      <c r="AU1623" s="50" t="s">
        <v>376</v>
      </c>
      <c r="AW1623" s="50" t="s">
        <v>30</v>
      </c>
      <c r="AY1623" s="50" t="s">
        <v>30</v>
      </c>
      <c r="BB1623" s="83"/>
      <c r="BC1623" s="50" t="s">
        <v>30</v>
      </c>
      <c r="BF1623" s="50">
        <v>1</v>
      </c>
      <c r="BG1623" s="50">
        <v>1</v>
      </c>
      <c r="BH1623" s="50">
        <v>1</v>
      </c>
      <c r="BI1623" s="50" t="s">
        <v>816</v>
      </c>
      <c r="BJ1623" s="50" t="s">
        <v>587</v>
      </c>
      <c r="BK1623" s="50">
        <v>2020</v>
      </c>
      <c r="BL1623" s="46" t="str">
        <f>BK1623&amp;BI1623</f>
        <v>2020Chelsea</v>
      </c>
      <c r="BM1623" s="52" t="s">
        <v>1017</v>
      </c>
      <c r="BV1623" s="50" t="s">
        <v>376</v>
      </c>
      <c r="BW1623" s="50" t="s">
        <v>376</v>
      </c>
      <c r="BZ1623" s="53"/>
      <c r="CA1623" s="53"/>
      <c r="CB1623" s="93" t="str">
        <f>IF(OR(C1623="",A1623="",B1623=""),"",TEXT(C1623,"0000")&amp;TEXT(A1623,"00")&amp;TEXT(B1623,"00"))</f>
        <v>20200801</v>
      </c>
    </row>
    <row r="1624" spans="1:80" s="50" customFormat="1" ht="13.35" customHeight="1" x14ac:dyDescent="0.2">
      <c r="A1624" s="50">
        <v>1</v>
      </c>
      <c r="B1624" s="50">
        <v>5</v>
      </c>
      <c r="C1624" s="50">
        <v>2021</v>
      </c>
      <c r="D1624" s="50" t="s">
        <v>658</v>
      </c>
      <c r="E1624" s="85" t="s">
        <v>190</v>
      </c>
      <c r="F1624" s="85" t="s">
        <v>1327</v>
      </c>
      <c r="G1624" s="85"/>
      <c r="H1624" s="80" t="s">
        <v>1011</v>
      </c>
      <c r="I1624" s="80"/>
      <c r="J1624" s="81">
        <v>44201</v>
      </c>
      <c r="K1624" s="80" t="s">
        <v>813</v>
      </c>
      <c r="L1624" s="50" t="s">
        <v>3</v>
      </c>
      <c r="M1624" s="80" t="s">
        <v>795</v>
      </c>
      <c r="N1624" s="82">
        <v>2</v>
      </c>
      <c r="O1624" s="82">
        <v>0</v>
      </c>
      <c r="P1624" s="91" t="s">
        <v>1430</v>
      </c>
      <c r="Q1624" s="91" t="s">
        <v>1017</v>
      </c>
      <c r="R1624" s="91" t="s">
        <v>376</v>
      </c>
      <c r="S1624" s="80"/>
      <c r="T1624" s="80"/>
      <c r="U1624" s="80"/>
      <c r="AD1624" s="50" t="s">
        <v>1033</v>
      </c>
      <c r="AE1624" s="50">
        <f>IF(L1624="W",1,0)</f>
        <v>1</v>
      </c>
      <c r="AF1624" s="50">
        <f>IF(L1624="T",1,0)</f>
        <v>0</v>
      </c>
      <c r="AG1624" s="50">
        <f>IF(L1624="L",1,0)</f>
        <v>0</v>
      </c>
      <c r="AH1624" s="50" t="s">
        <v>1017</v>
      </c>
      <c r="AI1624" s="50" t="s">
        <v>1018</v>
      </c>
      <c r="AJ1624" s="50" t="s">
        <v>376</v>
      </c>
      <c r="AK1624" s="50" t="s">
        <v>658</v>
      </c>
      <c r="AL1624" s="50" t="s">
        <v>1017</v>
      </c>
      <c r="AM1624" s="50" t="s">
        <v>1018</v>
      </c>
      <c r="AN1624" s="50" t="s">
        <v>376</v>
      </c>
      <c r="AO1624" s="50" t="s">
        <v>658</v>
      </c>
      <c r="AQ1624" s="50">
        <v>2</v>
      </c>
      <c r="AU1624" s="50" t="s">
        <v>376</v>
      </c>
      <c r="AW1624" s="50" t="s">
        <v>30</v>
      </c>
      <c r="AZ1624" s="50" t="s">
        <v>30</v>
      </c>
      <c r="BB1624" s="83"/>
      <c r="BF1624" s="50">
        <v>1</v>
      </c>
      <c r="BG1624" s="50">
        <v>1</v>
      </c>
      <c r="BH1624" s="50">
        <v>2</v>
      </c>
      <c r="BI1624" s="50" t="s">
        <v>813</v>
      </c>
      <c r="BJ1624" s="50" t="s">
        <v>795</v>
      </c>
      <c r="BK1624" s="50">
        <v>2021</v>
      </c>
      <c r="BL1624" s="46" t="str">
        <f>BK1624&amp;BI1624</f>
        <v>2021Tottenham Hotspur</v>
      </c>
      <c r="BM1624" s="52" t="s">
        <v>813</v>
      </c>
      <c r="BV1624" s="50" t="s">
        <v>376</v>
      </c>
      <c r="BW1624" s="50" t="s">
        <v>376</v>
      </c>
      <c r="BZ1624" s="53"/>
      <c r="CA1624" s="53"/>
      <c r="CB1624" s="93" t="str">
        <f>IF(OR(C1624="",A1624="",B1624=""),"",TEXT(C1624,"0000")&amp;TEXT(A1624,"00")&amp;TEXT(B1624,"00"))</f>
        <v>20210105</v>
      </c>
    </row>
    <row r="1625" spans="1:80" s="50" customFormat="1" ht="13.35" customHeight="1" x14ac:dyDescent="0.2">
      <c r="A1625" s="50">
        <v>1</v>
      </c>
      <c r="B1625" s="50">
        <v>5</v>
      </c>
      <c r="C1625" s="50">
        <v>2021</v>
      </c>
      <c r="D1625" s="50" t="s">
        <v>658</v>
      </c>
      <c r="E1625" s="85" t="s">
        <v>190</v>
      </c>
      <c r="F1625" s="85" t="s">
        <v>1327</v>
      </c>
      <c r="G1625" s="85"/>
      <c r="H1625" s="80" t="s">
        <v>1011</v>
      </c>
      <c r="I1625" s="80"/>
      <c r="J1625" s="81">
        <v>44201</v>
      </c>
      <c r="K1625" s="80" t="s">
        <v>795</v>
      </c>
      <c r="L1625" s="50" t="s">
        <v>4</v>
      </c>
      <c r="M1625" s="80" t="s">
        <v>813</v>
      </c>
      <c r="N1625" s="82">
        <v>0</v>
      </c>
      <c r="O1625" s="82">
        <v>2</v>
      </c>
      <c r="P1625" s="91" t="s">
        <v>1430</v>
      </c>
      <c r="Q1625" s="91" t="s">
        <v>1017</v>
      </c>
      <c r="R1625" s="91" t="s">
        <v>376</v>
      </c>
      <c r="S1625" s="80"/>
      <c r="T1625" s="80"/>
      <c r="U1625" s="80"/>
      <c r="AD1625" s="50" t="s">
        <v>1037</v>
      </c>
      <c r="AE1625" s="50">
        <f>IF(L1625="W",1,0)</f>
        <v>0</v>
      </c>
      <c r="AF1625" s="50">
        <f>IF(L1625="T",1,0)</f>
        <v>0</v>
      </c>
      <c r="AG1625" s="50">
        <f>IF(L1625="L",1,0)</f>
        <v>1</v>
      </c>
      <c r="AH1625" s="50" t="s">
        <v>1017</v>
      </c>
      <c r="AI1625" s="50" t="s">
        <v>1018</v>
      </c>
      <c r="AJ1625" s="50" t="s">
        <v>376</v>
      </c>
      <c r="AK1625" s="50" t="s">
        <v>658</v>
      </c>
      <c r="AL1625" s="50" t="s">
        <v>1017</v>
      </c>
      <c r="AM1625" s="50" t="s">
        <v>1018</v>
      </c>
      <c r="AN1625" s="50" t="s">
        <v>376</v>
      </c>
      <c r="AO1625" s="50" t="s">
        <v>658</v>
      </c>
      <c r="AQ1625" s="50">
        <v>2</v>
      </c>
      <c r="AS1625" s="50">
        <v>1</v>
      </c>
      <c r="AU1625" s="50" t="s">
        <v>376</v>
      </c>
      <c r="AW1625" s="50" t="s">
        <v>30</v>
      </c>
      <c r="AZ1625" s="50" t="s">
        <v>30</v>
      </c>
      <c r="BB1625" s="83"/>
      <c r="BF1625" s="50">
        <v>1</v>
      </c>
      <c r="BG1625" s="50">
        <v>2</v>
      </c>
      <c r="BH1625" s="50">
        <v>1</v>
      </c>
      <c r="BI1625" s="50" t="s">
        <v>795</v>
      </c>
      <c r="BJ1625" s="50" t="s">
        <v>813</v>
      </c>
      <c r="BK1625" s="50">
        <v>2021</v>
      </c>
      <c r="BL1625" s="46" t="str">
        <f>BK1625&amp;BI1625</f>
        <v>2021Brentford</v>
      </c>
      <c r="BM1625" s="52" t="s">
        <v>813</v>
      </c>
      <c r="BV1625" s="50" t="s">
        <v>376</v>
      </c>
      <c r="BW1625" s="50" t="s">
        <v>376</v>
      </c>
      <c r="BZ1625" s="53"/>
      <c r="CA1625" s="53"/>
      <c r="CB1625" s="93" t="str">
        <f>IF(OR(C1625="",A1625="",B1625=""),"",TEXT(C1625,"0000")&amp;TEXT(A1625,"00")&amp;TEXT(B1625,"00"))</f>
        <v>20210105</v>
      </c>
    </row>
    <row r="1626" spans="1:80" s="50" customFormat="1" ht="13.35" customHeight="1" x14ac:dyDescent="0.2">
      <c r="A1626" s="50">
        <v>1</v>
      </c>
      <c r="B1626" s="50">
        <v>6</v>
      </c>
      <c r="C1626" s="50">
        <v>2021</v>
      </c>
      <c r="D1626" s="50" t="s">
        <v>658</v>
      </c>
      <c r="E1626" s="85" t="s">
        <v>190</v>
      </c>
      <c r="F1626" s="85" t="s">
        <v>1327</v>
      </c>
      <c r="G1626" s="85"/>
      <c r="H1626" s="80" t="s">
        <v>1011</v>
      </c>
      <c r="I1626" s="80"/>
      <c r="J1626" s="81">
        <v>44202</v>
      </c>
      <c r="K1626" s="80" t="s">
        <v>821</v>
      </c>
      <c r="L1626" s="50" t="s">
        <v>4</v>
      </c>
      <c r="M1626" s="80" t="s">
        <v>823</v>
      </c>
      <c r="N1626" s="82">
        <v>0</v>
      </c>
      <c r="O1626" s="82">
        <v>2</v>
      </c>
      <c r="P1626" s="46" t="s">
        <v>1246</v>
      </c>
      <c r="Q1626" s="46" t="s">
        <v>1101</v>
      </c>
      <c r="R1626" s="46" t="s">
        <v>376</v>
      </c>
      <c r="S1626" s="80"/>
      <c r="T1626" s="80"/>
      <c r="U1626" s="80"/>
      <c r="AD1626" s="50" t="s">
        <v>1033</v>
      </c>
      <c r="AE1626" s="50">
        <f>IF(L1626="W",1,0)</f>
        <v>0</v>
      </c>
      <c r="AF1626" s="50">
        <f>IF(L1626="T",1,0)</f>
        <v>0</v>
      </c>
      <c r="AG1626" s="50">
        <f>IF(L1626="L",1,0)</f>
        <v>1</v>
      </c>
      <c r="AH1626" s="50" t="s">
        <v>1101</v>
      </c>
      <c r="AI1626" s="50" t="s">
        <v>1159</v>
      </c>
      <c r="AJ1626" s="50" t="s">
        <v>376</v>
      </c>
      <c r="AK1626" s="50" t="s">
        <v>658</v>
      </c>
      <c r="AL1626" s="50" t="s">
        <v>1101</v>
      </c>
      <c r="AM1626" s="50" t="s">
        <v>1159</v>
      </c>
      <c r="AN1626" s="50" t="s">
        <v>376</v>
      </c>
      <c r="AO1626" s="50" t="s">
        <v>658</v>
      </c>
      <c r="AQ1626" s="50">
        <v>2</v>
      </c>
      <c r="AS1626" s="50">
        <v>1</v>
      </c>
      <c r="AU1626" s="50" t="s">
        <v>376</v>
      </c>
      <c r="AW1626" s="50" t="s">
        <v>30</v>
      </c>
      <c r="AZ1626" s="50" t="s">
        <v>30</v>
      </c>
      <c r="BB1626" s="83"/>
      <c r="BF1626" s="50">
        <v>1</v>
      </c>
      <c r="BG1626" s="50">
        <v>1</v>
      </c>
      <c r="BH1626" s="50">
        <v>1</v>
      </c>
      <c r="BI1626" s="50" t="s">
        <v>821</v>
      </c>
      <c r="BJ1626" s="50" t="s">
        <v>823</v>
      </c>
      <c r="BK1626" s="50">
        <v>2021</v>
      </c>
      <c r="BL1626" s="46" t="str">
        <f>BK1626&amp;BI1626</f>
        <v>2021Manchester United</v>
      </c>
      <c r="BM1626" s="52" t="s">
        <v>821</v>
      </c>
      <c r="BV1626" s="50" t="s">
        <v>376</v>
      </c>
      <c r="BW1626" s="50" t="s">
        <v>376</v>
      </c>
      <c r="BZ1626" s="53"/>
      <c r="CA1626" s="53"/>
      <c r="CB1626" s="93" t="str">
        <f>IF(OR(C1626="",A1626="",B1626=""),"",TEXT(C1626,"0000")&amp;TEXT(A1626,"00")&amp;TEXT(B1626,"00"))</f>
        <v>20210106</v>
      </c>
    </row>
    <row r="1627" spans="1:80" s="50" customFormat="1" ht="13.35" customHeight="1" x14ac:dyDescent="0.2">
      <c r="A1627" s="50">
        <v>1</v>
      </c>
      <c r="B1627" s="50">
        <v>6</v>
      </c>
      <c r="C1627" s="50">
        <v>2021</v>
      </c>
      <c r="D1627" s="50" t="s">
        <v>658</v>
      </c>
      <c r="E1627" s="85" t="s">
        <v>190</v>
      </c>
      <c r="F1627" s="85" t="s">
        <v>1327</v>
      </c>
      <c r="G1627" s="85"/>
      <c r="H1627" s="80" t="s">
        <v>1011</v>
      </c>
      <c r="I1627" s="80"/>
      <c r="J1627" s="81">
        <v>44202</v>
      </c>
      <c r="K1627" s="80" t="s">
        <v>823</v>
      </c>
      <c r="L1627" s="50" t="s">
        <v>3</v>
      </c>
      <c r="M1627" s="80" t="s">
        <v>821</v>
      </c>
      <c r="N1627" s="82">
        <v>2</v>
      </c>
      <c r="O1627" s="82">
        <v>0</v>
      </c>
      <c r="P1627" s="46" t="s">
        <v>1246</v>
      </c>
      <c r="Q1627" s="46" t="s">
        <v>1101</v>
      </c>
      <c r="R1627" s="46" t="s">
        <v>376</v>
      </c>
      <c r="S1627" s="80"/>
      <c r="T1627" s="80"/>
      <c r="U1627" s="80"/>
      <c r="AD1627" s="50" t="s">
        <v>1037</v>
      </c>
      <c r="AE1627" s="50">
        <f>IF(L1627="W",1,0)</f>
        <v>1</v>
      </c>
      <c r="AF1627" s="50">
        <f>IF(L1627="T",1,0)</f>
        <v>0</v>
      </c>
      <c r="AG1627" s="50">
        <f>IF(L1627="L",1,0)</f>
        <v>0</v>
      </c>
      <c r="AH1627" s="50" t="s">
        <v>1101</v>
      </c>
      <c r="AI1627" s="50" t="s">
        <v>1159</v>
      </c>
      <c r="AJ1627" s="50" t="s">
        <v>376</v>
      </c>
      <c r="AK1627" s="50" t="s">
        <v>658</v>
      </c>
      <c r="AL1627" s="50" t="s">
        <v>1101</v>
      </c>
      <c r="AM1627" s="50" t="s">
        <v>1159</v>
      </c>
      <c r="AN1627" s="50" t="s">
        <v>376</v>
      </c>
      <c r="AO1627" s="50" t="s">
        <v>658</v>
      </c>
      <c r="AQ1627" s="50">
        <v>2</v>
      </c>
      <c r="AU1627" s="50" t="s">
        <v>376</v>
      </c>
      <c r="AW1627" s="50" t="s">
        <v>30</v>
      </c>
      <c r="AZ1627" s="50" t="s">
        <v>30</v>
      </c>
      <c r="BB1627" s="83"/>
      <c r="BF1627" s="50">
        <v>1</v>
      </c>
      <c r="BG1627" s="50">
        <v>1</v>
      </c>
      <c r="BH1627" s="50">
        <v>1</v>
      </c>
      <c r="BI1627" s="50" t="s">
        <v>823</v>
      </c>
      <c r="BJ1627" s="50" t="s">
        <v>821</v>
      </c>
      <c r="BK1627" s="50">
        <v>2021</v>
      </c>
      <c r="BL1627" s="46" t="str">
        <f>BK1627&amp;BI1627</f>
        <v>2021Manchester City</v>
      </c>
      <c r="BM1627" s="52" t="s">
        <v>821</v>
      </c>
      <c r="BV1627" s="50" t="s">
        <v>376</v>
      </c>
      <c r="BW1627" s="50" t="s">
        <v>376</v>
      </c>
      <c r="BZ1627" s="53"/>
      <c r="CA1627" s="53"/>
      <c r="CB1627" s="93" t="str">
        <f>IF(OR(C1627="",A1627="",B1627=""),"",TEXT(C1627,"0000")&amp;TEXT(A1627,"00")&amp;TEXT(B1627,"00"))</f>
        <v>20210106</v>
      </c>
    </row>
    <row r="1628" spans="1:80" s="50" customFormat="1" ht="13.35" customHeight="1" x14ac:dyDescent="0.2">
      <c r="A1628" s="50">
        <v>4</v>
      </c>
      <c r="B1628" s="50">
        <v>17</v>
      </c>
      <c r="C1628" s="50">
        <v>2021</v>
      </c>
      <c r="D1628" s="50" t="s">
        <v>658</v>
      </c>
      <c r="E1628" s="85" t="s">
        <v>190</v>
      </c>
      <c r="F1628" s="85" t="s">
        <v>1010</v>
      </c>
      <c r="G1628" s="85"/>
      <c r="H1628" s="80" t="s">
        <v>1011</v>
      </c>
      <c r="I1628" s="80"/>
      <c r="J1628" s="81">
        <v>44303</v>
      </c>
      <c r="K1628" s="80" t="s">
        <v>816</v>
      </c>
      <c r="L1628" s="50" t="s">
        <v>3</v>
      </c>
      <c r="M1628" s="80" t="s">
        <v>823</v>
      </c>
      <c r="N1628" s="82">
        <v>1</v>
      </c>
      <c r="O1628" s="82">
        <v>0</v>
      </c>
      <c r="P1628" s="80" t="s">
        <v>1415</v>
      </c>
      <c r="Q1628" s="80" t="s">
        <v>1017</v>
      </c>
      <c r="R1628" s="50" t="s">
        <v>376</v>
      </c>
      <c r="S1628" s="80"/>
      <c r="T1628" s="80"/>
      <c r="U1628" s="80"/>
      <c r="AE1628" s="50">
        <f>IF(L1628="W",1,0)</f>
        <v>1</v>
      </c>
      <c r="AF1628" s="50">
        <f>IF(L1628="T",1,0)</f>
        <v>0</v>
      </c>
      <c r="AG1628" s="50">
        <f>IF(L1628="L",1,0)</f>
        <v>0</v>
      </c>
      <c r="AH1628" s="50" t="s">
        <v>1017</v>
      </c>
      <c r="AI1628" s="50" t="s">
        <v>1018</v>
      </c>
      <c r="AJ1628" s="50" t="s">
        <v>376</v>
      </c>
      <c r="AK1628" s="50" t="s">
        <v>658</v>
      </c>
      <c r="AL1628" s="50" t="s">
        <v>1101</v>
      </c>
      <c r="AM1628" s="50" t="s">
        <v>1159</v>
      </c>
      <c r="AN1628" s="50" t="s">
        <v>376</v>
      </c>
      <c r="AO1628" s="50" t="s">
        <v>658</v>
      </c>
      <c r="AQ1628" s="50">
        <v>2</v>
      </c>
      <c r="AU1628" s="50" t="s">
        <v>376</v>
      </c>
      <c r="AW1628" s="50" t="s">
        <v>30</v>
      </c>
      <c r="AY1628" s="50" t="s">
        <v>30</v>
      </c>
      <c r="BB1628" s="83"/>
      <c r="BF1628" s="50">
        <v>1</v>
      </c>
      <c r="BG1628" s="50">
        <v>1</v>
      </c>
      <c r="BH1628" s="50">
        <v>1</v>
      </c>
      <c r="BI1628" s="50" t="s">
        <v>816</v>
      </c>
      <c r="BJ1628" s="50" t="s">
        <v>823</v>
      </c>
      <c r="BK1628" s="50">
        <v>2021</v>
      </c>
      <c r="BL1628" s="46" t="str">
        <f>BK1628&amp;BI1628</f>
        <v>2021Chelsea</v>
      </c>
      <c r="BM1628" s="52" t="s">
        <v>1017</v>
      </c>
      <c r="BV1628" s="50" t="s">
        <v>376</v>
      </c>
      <c r="BW1628" s="50" t="s">
        <v>376</v>
      </c>
      <c r="BZ1628" s="53"/>
      <c r="CA1628" s="53"/>
      <c r="CB1628" s="93" t="str">
        <f>IF(OR(C1628="",A1628="",B1628=""),"",TEXT(C1628,"0000")&amp;TEXT(A1628,"00")&amp;TEXT(B1628,"00"))</f>
        <v>20210417</v>
      </c>
    </row>
    <row r="1629" spans="1:80" s="50" customFormat="1" ht="13.35" customHeight="1" x14ac:dyDescent="0.2">
      <c r="A1629" s="50">
        <v>4</v>
      </c>
      <c r="B1629" s="50">
        <v>17</v>
      </c>
      <c r="C1629" s="50">
        <v>2021</v>
      </c>
      <c r="D1629" s="50" t="s">
        <v>658</v>
      </c>
      <c r="E1629" s="85" t="s">
        <v>190</v>
      </c>
      <c r="F1629" s="85" t="s">
        <v>1010</v>
      </c>
      <c r="G1629" s="85"/>
      <c r="H1629" s="80" t="s">
        <v>1011</v>
      </c>
      <c r="I1629" s="80"/>
      <c r="J1629" s="81">
        <v>44303</v>
      </c>
      <c r="K1629" s="80" t="s">
        <v>823</v>
      </c>
      <c r="L1629" s="50" t="s">
        <v>4</v>
      </c>
      <c r="M1629" s="80" t="s">
        <v>816</v>
      </c>
      <c r="N1629" s="82">
        <v>0</v>
      </c>
      <c r="O1629" s="82">
        <v>1</v>
      </c>
      <c r="P1629" s="80" t="s">
        <v>1415</v>
      </c>
      <c r="Q1629" s="80" t="s">
        <v>1017</v>
      </c>
      <c r="R1629" s="50" t="s">
        <v>376</v>
      </c>
      <c r="S1629" s="80"/>
      <c r="T1629" s="80"/>
      <c r="U1629" s="80"/>
      <c r="AE1629" s="50">
        <f>IF(L1629="W",1,0)</f>
        <v>0</v>
      </c>
      <c r="AF1629" s="50">
        <f>IF(L1629="T",1,0)</f>
        <v>0</v>
      </c>
      <c r="AG1629" s="50">
        <f>IF(L1629="L",1,0)</f>
        <v>1</v>
      </c>
      <c r="AH1629" s="50" t="s">
        <v>1101</v>
      </c>
      <c r="AI1629" s="50" t="s">
        <v>1159</v>
      </c>
      <c r="AJ1629" s="50" t="s">
        <v>376</v>
      </c>
      <c r="AK1629" s="50" t="s">
        <v>658</v>
      </c>
      <c r="AL1629" s="50" t="s">
        <v>1017</v>
      </c>
      <c r="AM1629" s="50" t="s">
        <v>1018</v>
      </c>
      <c r="AN1629" s="50" t="s">
        <v>376</v>
      </c>
      <c r="AO1629" s="50" t="s">
        <v>658</v>
      </c>
      <c r="AQ1629" s="50">
        <v>2</v>
      </c>
      <c r="AS1629" s="50">
        <v>1</v>
      </c>
      <c r="AU1629" s="50" t="s">
        <v>376</v>
      </c>
      <c r="AW1629" s="50" t="s">
        <v>30</v>
      </c>
      <c r="AY1629" s="50" t="s">
        <v>30</v>
      </c>
      <c r="BB1629" s="83"/>
      <c r="BF1629" s="50">
        <v>1</v>
      </c>
      <c r="BG1629" s="50">
        <v>1</v>
      </c>
      <c r="BH1629" s="50">
        <v>1</v>
      </c>
      <c r="BI1629" s="50" t="s">
        <v>823</v>
      </c>
      <c r="BJ1629" s="50" t="s">
        <v>816</v>
      </c>
      <c r="BK1629" s="50">
        <v>2021</v>
      </c>
      <c r="BL1629" s="46" t="str">
        <f>BK1629&amp;BI1629</f>
        <v>2021Manchester City</v>
      </c>
      <c r="BM1629" s="52" t="s">
        <v>1017</v>
      </c>
      <c r="BV1629" s="50" t="s">
        <v>376</v>
      </c>
      <c r="BW1629" s="50" t="s">
        <v>376</v>
      </c>
      <c r="BZ1629" s="53"/>
      <c r="CA1629" s="53"/>
      <c r="CB1629" s="93" t="str">
        <f>IF(OR(C1629="",A1629="",B1629=""),"",TEXT(C1629,"0000")&amp;TEXT(A1629,"00")&amp;TEXT(B1629,"00"))</f>
        <v>20210417</v>
      </c>
    </row>
    <row r="1630" spans="1:80" s="50" customFormat="1" ht="13.35" customHeight="1" x14ac:dyDescent="0.2">
      <c r="A1630" s="50">
        <v>4</v>
      </c>
      <c r="B1630" s="50">
        <v>18</v>
      </c>
      <c r="C1630" s="50">
        <v>2021</v>
      </c>
      <c r="D1630" s="50" t="s">
        <v>658</v>
      </c>
      <c r="E1630" s="85" t="s">
        <v>190</v>
      </c>
      <c r="F1630" s="85" t="s">
        <v>1010</v>
      </c>
      <c r="G1630" s="85"/>
      <c r="H1630" s="80" t="s">
        <v>1011</v>
      </c>
      <c r="I1630" s="80"/>
      <c r="J1630" s="81">
        <v>44304</v>
      </c>
      <c r="K1630" s="80" t="s">
        <v>1291</v>
      </c>
      <c r="L1630" s="50" t="s">
        <v>3</v>
      </c>
      <c r="M1630" s="80" t="s">
        <v>629</v>
      </c>
      <c r="N1630" s="82">
        <v>1</v>
      </c>
      <c r="O1630" s="82">
        <v>0</v>
      </c>
      <c r="P1630" s="80" t="s">
        <v>1415</v>
      </c>
      <c r="Q1630" s="80" t="s">
        <v>1017</v>
      </c>
      <c r="R1630" s="50" t="s">
        <v>376</v>
      </c>
      <c r="S1630" s="80"/>
      <c r="T1630" s="80"/>
      <c r="U1630" s="80"/>
      <c r="AE1630" s="50">
        <f>IF(L1630="W",1,0)</f>
        <v>1</v>
      </c>
      <c r="AF1630" s="50">
        <f>IF(L1630="T",1,0)</f>
        <v>0</v>
      </c>
      <c r="AG1630" s="50">
        <f>IF(L1630="L",1,0)</f>
        <v>0</v>
      </c>
      <c r="AH1630" s="50" t="s">
        <v>1278</v>
      </c>
      <c r="AI1630" s="50" t="s">
        <v>1292</v>
      </c>
      <c r="AJ1630" s="50" t="s">
        <v>376</v>
      </c>
      <c r="AK1630" s="50" t="s">
        <v>658</v>
      </c>
      <c r="AL1630" s="50" t="s">
        <v>629</v>
      </c>
      <c r="AM1630" s="50" t="s">
        <v>1199</v>
      </c>
      <c r="AN1630" s="50" t="s">
        <v>376</v>
      </c>
      <c r="AO1630" s="50" t="s">
        <v>658</v>
      </c>
      <c r="AQ1630" s="50">
        <v>2</v>
      </c>
      <c r="AU1630" s="50" t="s">
        <v>376</v>
      </c>
      <c r="AW1630" s="50" t="s">
        <v>30</v>
      </c>
      <c r="AY1630" s="50" t="s">
        <v>30</v>
      </c>
      <c r="BB1630" s="83"/>
      <c r="BF1630" s="50">
        <v>1</v>
      </c>
      <c r="BG1630" s="50">
        <v>1</v>
      </c>
      <c r="BH1630" s="50">
        <v>1</v>
      </c>
      <c r="BI1630" s="50" t="s">
        <v>1291</v>
      </c>
      <c r="BJ1630" s="50" t="s">
        <v>629</v>
      </c>
      <c r="BK1630" s="50">
        <v>2021</v>
      </c>
      <c r="BL1630" s="46" t="str">
        <f>BK1630&amp;BI1630</f>
        <v>2021Leicester City</v>
      </c>
      <c r="BM1630" s="52" t="s">
        <v>1017</v>
      </c>
      <c r="BV1630" s="50" t="s">
        <v>376</v>
      </c>
      <c r="BW1630" s="50" t="s">
        <v>376</v>
      </c>
      <c r="BZ1630" s="53"/>
      <c r="CA1630" s="53"/>
      <c r="CB1630" s="93" t="str">
        <f>IF(OR(C1630="",A1630="",B1630=""),"",TEXT(C1630,"0000")&amp;TEXT(A1630,"00")&amp;TEXT(B1630,"00"))</f>
        <v>20210418</v>
      </c>
    </row>
    <row r="1631" spans="1:80" s="50" customFormat="1" ht="13.35" customHeight="1" x14ac:dyDescent="0.2">
      <c r="A1631" s="50">
        <v>4</v>
      </c>
      <c r="B1631" s="50">
        <v>18</v>
      </c>
      <c r="C1631" s="50">
        <v>2021</v>
      </c>
      <c r="D1631" s="50" t="s">
        <v>658</v>
      </c>
      <c r="E1631" s="85" t="s">
        <v>190</v>
      </c>
      <c r="F1631" s="85" t="s">
        <v>1010</v>
      </c>
      <c r="G1631" s="85"/>
      <c r="H1631" s="80" t="s">
        <v>1011</v>
      </c>
      <c r="I1631" s="80"/>
      <c r="J1631" s="81">
        <v>44304</v>
      </c>
      <c r="K1631" s="80" t="s">
        <v>629</v>
      </c>
      <c r="L1631" s="50" t="s">
        <v>4</v>
      </c>
      <c r="M1631" s="80" t="s">
        <v>1291</v>
      </c>
      <c r="N1631" s="82">
        <v>0</v>
      </c>
      <c r="O1631" s="82">
        <v>1</v>
      </c>
      <c r="P1631" s="80" t="s">
        <v>1415</v>
      </c>
      <c r="Q1631" s="80" t="s">
        <v>1017</v>
      </c>
      <c r="R1631" s="50" t="s">
        <v>376</v>
      </c>
      <c r="S1631" s="80"/>
      <c r="T1631" s="80"/>
      <c r="U1631" s="80"/>
      <c r="AE1631" s="50">
        <f>IF(L1631="W",1,0)</f>
        <v>0</v>
      </c>
      <c r="AF1631" s="50">
        <f>IF(L1631="T",1,0)</f>
        <v>0</v>
      </c>
      <c r="AG1631" s="50">
        <f>IF(L1631="L",1,0)</f>
        <v>1</v>
      </c>
      <c r="AH1631" s="50" t="s">
        <v>629</v>
      </c>
      <c r="AI1631" s="50" t="s">
        <v>1199</v>
      </c>
      <c r="AJ1631" s="50" t="s">
        <v>376</v>
      </c>
      <c r="AK1631" s="50" t="s">
        <v>658</v>
      </c>
      <c r="AL1631" s="50" t="s">
        <v>1278</v>
      </c>
      <c r="AM1631" s="50" t="s">
        <v>1292</v>
      </c>
      <c r="AN1631" s="50" t="s">
        <v>376</v>
      </c>
      <c r="AO1631" s="50" t="s">
        <v>658</v>
      </c>
      <c r="AQ1631" s="50">
        <v>2</v>
      </c>
      <c r="AS1631" s="50">
        <v>1</v>
      </c>
      <c r="AU1631" s="50" t="s">
        <v>376</v>
      </c>
      <c r="AW1631" s="50" t="s">
        <v>30</v>
      </c>
      <c r="AY1631" s="50" t="s">
        <v>30</v>
      </c>
      <c r="BB1631" s="83"/>
      <c r="BF1631" s="50">
        <v>1</v>
      </c>
      <c r="BG1631" s="50">
        <v>1</v>
      </c>
      <c r="BH1631" s="50">
        <v>1</v>
      </c>
      <c r="BI1631" s="50" t="s">
        <v>629</v>
      </c>
      <c r="BJ1631" s="50" t="s">
        <v>1291</v>
      </c>
      <c r="BK1631" s="50">
        <v>2021</v>
      </c>
      <c r="BL1631" s="46" t="str">
        <f>BK1631&amp;BI1631</f>
        <v>2021Southampton</v>
      </c>
      <c r="BM1631" s="52" t="s">
        <v>1017</v>
      </c>
      <c r="BV1631" s="50" t="s">
        <v>376</v>
      </c>
      <c r="BW1631" s="50" t="s">
        <v>376</v>
      </c>
      <c r="BZ1631" s="53"/>
      <c r="CA1631" s="53"/>
      <c r="CB1631" s="93" t="str">
        <f>IF(OR(C1631="",A1631="",B1631=""),"",TEXT(C1631,"0000")&amp;TEXT(A1631,"00")&amp;TEXT(B1631,"00"))</f>
        <v>20210418</v>
      </c>
    </row>
    <row r="1632" spans="1:80" s="50" customFormat="1" ht="13.35" customHeight="1" x14ac:dyDescent="0.2">
      <c r="A1632" s="50">
        <v>4</v>
      </c>
      <c r="B1632" s="50">
        <v>25</v>
      </c>
      <c r="C1632" s="50">
        <v>2021</v>
      </c>
      <c r="D1632" s="50" t="s">
        <v>658</v>
      </c>
      <c r="E1632" s="85" t="s">
        <v>190</v>
      </c>
      <c r="F1632" s="85" t="s">
        <v>1327</v>
      </c>
      <c r="G1632" s="85"/>
      <c r="H1632" s="80" t="s">
        <v>40</v>
      </c>
      <c r="I1632" s="80"/>
      <c r="J1632" s="81">
        <v>44311</v>
      </c>
      <c r="K1632" s="80" t="s">
        <v>823</v>
      </c>
      <c r="L1632" s="50" t="s">
        <v>3</v>
      </c>
      <c r="M1632" s="80" t="s">
        <v>813</v>
      </c>
      <c r="N1632" s="82">
        <v>1</v>
      </c>
      <c r="O1632" s="82">
        <v>0</v>
      </c>
      <c r="P1632" s="80" t="s">
        <v>1415</v>
      </c>
      <c r="Q1632" s="80" t="s">
        <v>1017</v>
      </c>
      <c r="R1632" s="50" t="s">
        <v>376</v>
      </c>
      <c r="S1632" s="80"/>
      <c r="T1632" s="80"/>
      <c r="U1632" s="80"/>
      <c r="AE1632" s="50">
        <f>IF(L1632="W",1,0)</f>
        <v>1</v>
      </c>
      <c r="AF1632" s="50">
        <f>IF(L1632="T",1,0)</f>
        <v>0</v>
      </c>
      <c r="AG1632" s="50">
        <f>IF(L1632="L",1,0)</f>
        <v>0</v>
      </c>
      <c r="AH1632" s="50" t="s">
        <v>1101</v>
      </c>
      <c r="AI1632" s="50" t="s">
        <v>1159</v>
      </c>
      <c r="AJ1632" s="50" t="s">
        <v>376</v>
      </c>
      <c r="AK1632" s="50" t="s">
        <v>658</v>
      </c>
      <c r="AL1632" s="50" t="s">
        <v>1017</v>
      </c>
      <c r="AM1632" s="50" t="s">
        <v>1018</v>
      </c>
      <c r="AN1632" s="50" t="s">
        <v>376</v>
      </c>
      <c r="AO1632" s="50" t="s">
        <v>658</v>
      </c>
      <c r="AQ1632" s="50">
        <v>1</v>
      </c>
      <c r="AS1632" s="50" t="s">
        <v>1393</v>
      </c>
      <c r="AU1632" s="50" t="s">
        <v>376</v>
      </c>
      <c r="AW1632" s="50" t="s">
        <v>30</v>
      </c>
      <c r="AZ1632" s="84" t="s">
        <v>30</v>
      </c>
      <c r="BB1632" s="83" t="s">
        <v>30</v>
      </c>
      <c r="BC1632" s="50" t="s">
        <v>30</v>
      </c>
      <c r="BF1632" s="50">
        <v>1</v>
      </c>
      <c r="BG1632" s="50">
        <v>1</v>
      </c>
      <c r="BH1632" s="50">
        <v>1</v>
      </c>
      <c r="BI1632" s="50" t="s">
        <v>823</v>
      </c>
      <c r="BJ1632" s="50" t="s">
        <v>813</v>
      </c>
      <c r="BK1632" s="50">
        <v>2021</v>
      </c>
      <c r="BL1632" s="46" t="str">
        <f>BK1632&amp;BI1632</f>
        <v>2021Manchester City</v>
      </c>
      <c r="BM1632" s="52" t="s">
        <v>1017</v>
      </c>
      <c r="BV1632" s="50" t="s">
        <v>376</v>
      </c>
      <c r="BW1632" s="50" t="s">
        <v>376</v>
      </c>
      <c r="BZ1632" s="53"/>
      <c r="CA1632" s="53"/>
      <c r="CB1632" s="93" t="str">
        <f>IF(OR(C1632="",A1632="",B1632=""),"",TEXT(C1632,"0000")&amp;TEXT(A1632,"00")&amp;TEXT(B1632,"00"))</f>
        <v>20210425</v>
      </c>
    </row>
    <row r="1633" spans="1:80" s="50" customFormat="1" ht="13.35" customHeight="1" x14ac:dyDescent="0.2">
      <c r="A1633" s="50">
        <v>4</v>
      </c>
      <c r="B1633" s="50">
        <v>25</v>
      </c>
      <c r="C1633" s="50">
        <v>2021</v>
      </c>
      <c r="D1633" s="50" t="s">
        <v>658</v>
      </c>
      <c r="E1633" s="85" t="s">
        <v>190</v>
      </c>
      <c r="F1633" s="85" t="s">
        <v>1327</v>
      </c>
      <c r="G1633" s="85"/>
      <c r="H1633" s="80" t="s">
        <v>40</v>
      </c>
      <c r="I1633" s="80"/>
      <c r="J1633" s="81">
        <v>44311</v>
      </c>
      <c r="K1633" s="80" t="s">
        <v>813</v>
      </c>
      <c r="L1633" s="50" t="s">
        <v>4</v>
      </c>
      <c r="M1633" s="80" t="s">
        <v>823</v>
      </c>
      <c r="N1633" s="82">
        <v>0</v>
      </c>
      <c r="O1633" s="82">
        <v>1</v>
      </c>
      <c r="P1633" s="80" t="s">
        <v>1415</v>
      </c>
      <c r="Q1633" s="80" t="s">
        <v>1017</v>
      </c>
      <c r="R1633" s="50" t="s">
        <v>376</v>
      </c>
      <c r="S1633" s="80"/>
      <c r="T1633" s="80"/>
      <c r="U1633" s="80"/>
      <c r="AE1633" s="50">
        <f>IF(L1633="W",1,0)</f>
        <v>0</v>
      </c>
      <c r="AF1633" s="50">
        <f>IF(L1633="T",1,0)</f>
        <v>0</v>
      </c>
      <c r="AG1633" s="50">
        <f>IF(L1633="L",1,0)</f>
        <v>1</v>
      </c>
      <c r="AH1633" s="50" t="s">
        <v>1017</v>
      </c>
      <c r="AI1633" s="50" t="s">
        <v>1018</v>
      </c>
      <c r="AJ1633" s="50" t="s">
        <v>376</v>
      </c>
      <c r="AK1633" s="50" t="s">
        <v>658</v>
      </c>
      <c r="AL1633" s="50" t="s">
        <v>1101</v>
      </c>
      <c r="AM1633" s="50" t="s">
        <v>1159</v>
      </c>
      <c r="AN1633" s="50" t="s">
        <v>376</v>
      </c>
      <c r="AO1633" s="50" t="s">
        <v>658</v>
      </c>
      <c r="AQ1633" s="50">
        <v>1</v>
      </c>
      <c r="AS1633" s="50">
        <v>1</v>
      </c>
      <c r="AU1633" s="50" t="s">
        <v>376</v>
      </c>
      <c r="AW1633" s="50" t="s">
        <v>30</v>
      </c>
      <c r="AZ1633" s="50" t="s">
        <v>30</v>
      </c>
      <c r="BB1633" s="83"/>
      <c r="BC1633" s="50" t="s">
        <v>30</v>
      </c>
      <c r="BF1633" s="50">
        <v>1</v>
      </c>
      <c r="BG1633" s="50">
        <v>1</v>
      </c>
      <c r="BH1633" s="50">
        <v>1</v>
      </c>
      <c r="BI1633" s="50" t="s">
        <v>813</v>
      </c>
      <c r="BJ1633" s="50" t="s">
        <v>823</v>
      </c>
      <c r="BK1633" s="50">
        <v>2021</v>
      </c>
      <c r="BL1633" s="46" t="str">
        <f>BK1633&amp;BI1633</f>
        <v>2021Tottenham Hotspur</v>
      </c>
      <c r="BM1633" s="52" t="s">
        <v>1017</v>
      </c>
      <c r="BV1633" s="50" t="s">
        <v>376</v>
      </c>
      <c r="BW1633" s="50" t="s">
        <v>376</v>
      </c>
      <c r="BZ1633" s="53"/>
      <c r="CA1633" s="53"/>
      <c r="CB1633" s="93" t="str">
        <f>IF(OR(C1633="",A1633="",B1633=""),"",TEXT(C1633,"0000")&amp;TEXT(A1633,"00")&amp;TEXT(B1633,"00"))</f>
        <v>20210425</v>
      </c>
    </row>
    <row r="1634" spans="1:80" s="50" customFormat="1" ht="13.35" customHeight="1" x14ac:dyDescent="0.2">
      <c r="A1634" s="50">
        <v>5</v>
      </c>
      <c r="B1634" s="50">
        <v>15</v>
      </c>
      <c r="C1634" s="50">
        <v>2021</v>
      </c>
      <c r="D1634" s="50" t="s">
        <v>658</v>
      </c>
      <c r="E1634" s="85" t="s">
        <v>190</v>
      </c>
      <c r="F1634" s="85" t="s">
        <v>1010</v>
      </c>
      <c r="G1634" s="85"/>
      <c r="H1634" s="80" t="s">
        <v>40</v>
      </c>
      <c r="I1634" s="80"/>
      <c r="J1634" s="81">
        <v>44331</v>
      </c>
      <c r="K1634" s="80" t="s">
        <v>1291</v>
      </c>
      <c r="L1634" s="50" t="s">
        <v>3</v>
      </c>
      <c r="M1634" s="80" t="s">
        <v>816</v>
      </c>
      <c r="N1634" s="82">
        <v>1</v>
      </c>
      <c r="O1634" s="82">
        <v>0</v>
      </c>
      <c r="P1634" s="80" t="s">
        <v>1415</v>
      </c>
      <c r="Q1634" s="80" t="s">
        <v>1017</v>
      </c>
      <c r="R1634" s="50" t="s">
        <v>376</v>
      </c>
      <c r="S1634" s="80"/>
      <c r="T1634" s="80"/>
      <c r="U1634" s="80"/>
      <c r="AE1634" s="50">
        <f>IF(L1634="W",1,0)</f>
        <v>1</v>
      </c>
      <c r="AF1634" s="50">
        <f>IF(L1634="T",1,0)</f>
        <v>0</v>
      </c>
      <c r="AG1634" s="50">
        <f>IF(L1634="L",1,0)</f>
        <v>0</v>
      </c>
      <c r="AH1634" s="50" t="s">
        <v>1278</v>
      </c>
      <c r="AI1634" s="50" t="s">
        <v>1292</v>
      </c>
      <c r="AJ1634" s="50" t="s">
        <v>376</v>
      </c>
      <c r="AK1634" s="50" t="s">
        <v>658</v>
      </c>
      <c r="AL1634" s="50" t="s">
        <v>1017</v>
      </c>
      <c r="AM1634" s="50" t="s">
        <v>1018</v>
      </c>
      <c r="AN1634" s="50" t="s">
        <v>376</v>
      </c>
      <c r="AO1634" s="50" t="s">
        <v>658</v>
      </c>
      <c r="AQ1634" s="50">
        <v>1</v>
      </c>
      <c r="AS1634" s="50" t="s">
        <v>1393</v>
      </c>
      <c r="AU1634" s="50" t="s">
        <v>376</v>
      </c>
      <c r="AW1634" s="50" t="s">
        <v>30</v>
      </c>
      <c r="AY1634" s="84" t="s">
        <v>30</v>
      </c>
      <c r="BB1634" s="83" t="s">
        <v>30</v>
      </c>
      <c r="BC1634" s="50" t="s">
        <v>30</v>
      </c>
      <c r="BF1634" s="50">
        <v>1</v>
      </c>
      <c r="BG1634" s="50">
        <v>1</v>
      </c>
      <c r="BH1634" s="50">
        <v>1</v>
      </c>
      <c r="BI1634" s="50" t="s">
        <v>1291</v>
      </c>
      <c r="BJ1634" s="50" t="s">
        <v>816</v>
      </c>
      <c r="BK1634" s="50">
        <v>2021</v>
      </c>
      <c r="BL1634" s="46" t="str">
        <f>BK1634&amp;BI1634</f>
        <v>2021Leicester City</v>
      </c>
      <c r="BM1634" s="52" t="s">
        <v>1017</v>
      </c>
      <c r="BV1634" s="50" t="s">
        <v>376</v>
      </c>
      <c r="BW1634" s="50" t="s">
        <v>376</v>
      </c>
      <c r="BZ1634" s="53"/>
      <c r="CA1634" s="53"/>
      <c r="CB1634" s="93" t="str">
        <f>IF(OR(C1634="",A1634="",B1634=""),"",TEXT(C1634,"0000")&amp;TEXT(A1634,"00")&amp;TEXT(B1634,"00"))</f>
        <v>20210515</v>
      </c>
    </row>
    <row r="1635" spans="1:80" s="50" customFormat="1" ht="13.35" customHeight="1" x14ac:dyDescent="0.2">
      <c r="A1635" s="50">
        <v>5</v>
      </c>
      <c r="B1635" s="50">
        <v>15</v>
      </c>
      <c r="C1635" s="50">
        <v>2021</v>
      </c>
      <c r="D1635" s="50" t="s">
        <v>658</v>
      </c>
      <c r="E1635" s="85" t="s">
        <v>190</v>
      </c>
      <c r="F1635" s="85" t="s">
        <v>1010</v>
      </c>
      <c r="G1635" s="85"/>
      <c r="H1635" s="80" t="s">
        <v>40</v>
      </c>
      <c r="I1635" s="80"/>
      <c r="J1635" s="81">
        <v>44331</v>
      </c>
      <c r="K1635" s="80" t="s">
        <v>816</v>
      </c>
      <c r="L1635" s="50" t="s">
        <v>4</v>
      </c>
      <c r="M1635" s="80" t="s">
        <v>1291</v>
      </c>
      <c r="N1635" s="82">
        <v>0</v>
      </c>
      <c r="O1635" s="82">
        <v>1</v>
      </c>
      <c r="P1635" s="80" t="s">
        <v>1415</v>
      </c>
      <c r="Q1635" s="80" t="s">
        <v>1017</v>
      </c>
      <c r="R1635" s="50" t="s">
        <v>376</v>
      </c>
      <c r="S1635" s="80"/>
      <c r="T1635" s="80"/>
      <c r="U1635" s="80"/>
      <c r="AE1635" s="50">
        <f>IF(L1635="W",1,0)</f>
        <v>0</v>
      </c>
      <c r="AF1635" s="50">
        <f>IF(L1635="T",1,0)</f>
        <v>0</v>
      </c>
      <c r="AG1635" s="50">
        <f>IF(L1635="L",1,0)</f>
        <v>1</v>
      </c>
      <c r="AH1635" s="50" t="s">
        <v>1017</v>
      </c>
      <c r="AI1635" s="50" t="s">
        <v>1018</v>
      </c>
      <c r="AJ1635" s="50" t="s">
        <v>376</v>
      </c>
      <c r="AK1635" s="50" t="s">
        <v>658</v>
      </c>
      <c r="AL1635" s="50" t="s">
        <v>1278</v>
      </c>
      <c r="AM1635" s="50" t="s">
        <v>1292</v>
      </c>
      <c r="AN1635" s="50" t="s">
        <v>376</v>
      </c>
      <c r="AO1635" s="50" t="s">
        <v>658</v>
      </c>
      <c r="AQ1635" s="50">
        <v>1</v>
      </c>
      <c r="AS1635" s="50">
        <v>1</v>
      </c>
      <c r="AU1635" s="50" t="s">
        <v>376</v>
      </c>
      <c r="AW1635" s="50" t="s">
        <v>30</v>
      </c>
      <c r="AY1635" s="50" t="s">
        <v>30</v>
      </c>
      <c r="BB1635" s="83"/>
      <c r="BC1635" s="50" t="s">
        <v>30</v>
      </c>
      <c r="BF1635" s="50">
        <v>1</v>
      </c>
      <c r="BG1635" s="50">
        <v>1</v>
      </c>
      <c r="BH1635" s="50">
        <v>1</v>
      </c>
      <c r="BI1635" s="50" t="s">
        <v>816</v>
      </c>
      <c r="BJ1635" s="50" t="s">
        <v>1291</v>
      </c>
      <c r="BK1635" s="50">
        <v>2021</v>
      </c>
      <c r="BL1635" s="46" t="str">
        <f>BK1635&amp;BI1635</f>
        <v>2021Chelsea</v>
      </c>
      <c r="BM1635" s="52" t="s">
        <v>1017</v>
      </c>
      <c r="BV1635" s="50" t="s">
        <v>376</v>
      </c>
      <c r="BW1635" s="50" t="s">
        <v>376</v>
      </c>
      <c r="BZ1635" s="53"/>
      <c r="CA1635" s="53"/>
      <c r="CB1635" s="93" t="str">
        <f>IF(OR(C1635="",A1635="",B1635=""),"",TEXT(C1635,"0000")&amp;TEXT(A1635,"00")&amp;TEXT(B1635,"00"))</f>
        <v>20210515</v>
      </c>
    </row>
    <row r="1636" spans="1:80" s="46" customFormat="1" ht="13.35" customHeight="1" x14ac:dyDescent="0.2">
      <c r="A1636" s="46">
        <v>1</v>
      </c>
      <c r="B1636" s="46">
        <v>5</v>
      </c>
      <c r="C1636" s="46">
        <v>2022</v>
      </c>
      <c r="D1636" s="46" t="s">
        <v>658</v>
      </c>
      <c r="E1636" s="46" t="s">
        <v>185</v>
      </c>
      <c r="F1636" s="46" t="s">
        <v>1327</v>
      </c>
      <c r="H1636" s="46" t="s">
        <v>1011</v>
      </c>
      <c r="I1636" s="46">
        <v>1</v>
      </c>
      <c r="J1636" s="64">
        <v>44566</v>
      </c>
      <c r="K1636" s="46" t="s">
        <v>816</v>
      </c>
      <c r="L1636" s="46" t="s">
        <v>3</v>
      </c>
      <c r="M1636" s="46" t="s">
        <v>813</v>
      </c>
      <c r="N1636" s="49">
        <v>2</v>
      </c>
      <c r="O1636" s="49">
        <v>0</v>
      </c>
      <c r="P1636" s="46" t="s">
        <v>1234</v>
      </c>
      <c r="Q1636" s="46" t="s">
        <v>1017</v>
      </c>
      <c r="R1636" s="46" t="s">
        <v>376</v>
      </c>
      <c r="AA1636" s="77">
        <v>2</v>
      </c>
      <c r="AB1636" s="77">
        <v>0</v>
      </c>
      <c r="AC1636" s="78">
        <v>0</v>
      </c>
      <c r="AD1636" s="46" t="s">
        <v>1033</v>
      </c>
      <c r="AE1636" s="50">
        <v>1</v>
      </c>
      <c r="AF1636" s="50">
        <v>0</v>
      </c>
      <c r="AG1636" s="50">
        <v>0</v>
      </c>
      <c r="AH1636" s="46" t="s">
        <v>1017</v>
      </c>
      <c r="AI1636" s="46" t="s">
        <v>1018</v>
      </c>
      <c r="AJ1636" s="46" t="s">
        <v>376</v>
      </c>
      <c r="AK1636" s="46" t="s">
        <v>658</v>
      </c>
      <c r="AL1636" s="46" t="s">
        <v>1017</v>
      </c>
      <c r="AM1636" s="46" t="s">
        <v>1018</v>
      </c>
      <c r="AN1636" s="46" t="s">
        <v>376</v>
      </c>
      <c r="AO1636" s="46" t="s">
        <v>658</v>
      </c>
      <c r="AQ1636" s="46">
        <v>2</v>
      </c>
      <c r="AU1636" s="46" t="s">
        <v>376</v>
      </c>
      <c r="AW1636" s="46" t="s">
        <v>30</v>
      </c>
      <c r="AZ1636" s="46" t="s">
        <v>30</v>
      </c>
      <c r="BB1636" s="51"/>
      <c r="BF1636" s="46">
        <v>1</v>
      </c>
      <c r="BG1636" s="46">
        <v>1</v>
      </c>
      <c r="BH1636" s="46">
        <v>1</v>
      </c>
      <c r="BI1636" s="46" t="s">
        <v>816</v>
      </c>
      <c r="BJ1636" s="46" t="s">
        <v>813</v>
      </c>
      <c r="BK1636" s="46">
        <v>2022</v>
      </c>
      <c r="BL1636" s="46" t="str">
        <f>BK1636&amp;BI1636</f>
        <v>2022Chelsea</v>
      </c>
      <c r="BM1636" s="52" t="s">
        <v>816</v>
      </c>
      <c r="BV1636" s="46" t="s">
        <v>376</v>
      </c>
      <c r="BW1636" s="46" t="s">
        <v>376</v>
      </c>
      <c r="BZ1636" s="53"/>
      <c r="CA1636" s="53"/>
      <c r="CB1636" s="93" t="str">
        <f>IF(OR(C1636="",A1636="",B1636=""),"",TEXT(C1636,"0000")&amp;TEXT(A1636,"00")&amp;TEXT(B1636,"00"))</f>
        <v>20220105</v>
      </c>
    </row>
    <row r="1637" spans="1:80" s="46" customFormat="1" ht="13.35" customHeight="1" x14ac:dyDescent="0.2">
      <c r="A1637" s="46">
        <v>1</v>
      </c>
      <c r="B1637" s="46">
        <v>5</v>
      </c>
      <c r="C1637" s="46">
        <v>2022</v>
      </c>
      <c r="D1637" s="46" t="s">
        <v>658</v>
      </c>
      <c r="E1637" s="46" t="s">
        <v>185</v>
      </c>
      <c r="F1637" s="46" t="s">
        <v>1327</v>
      </c>
      <c r="H1637" s="46" t="s">
        <v>1011</v>
      </c>
      <c r="I1637" s="46">
        <v>1</v>
      </c>
      <c r="J1637" s="64">
        <v>44566</v>
      </c>
      <c r="K1637" s="46" t="s">
        <v>813</v>
      </c>
      <c r="L1637" s="46" t="s">
        <v>4</v>
      </c>
      <c r="M1637" s="46" t="s">
        <v>816</v>
      </c>
      <c r="N1637" s="49">
        <v>0</v>
      </c>
      <c r="O1637" s="49">
        <v>2</v>
      </c>
      <c r="P1637" s="46" t="s">
        <v>1234</v>
      </c>
      <c r="Q1637" s="46" t="s">
        <v>1017</v>
      </c>
      <c r="R1637" s="46" t="s">
        <v>376</v>
      </c>
      <c r="AA1637" s="77">
        <v>0</v>
      </c>
      <c r="AB1637" s="77">
        <v>2</v>
      </c>
      <c r="AC1637" s="78">
        <v>0</v>
      </c>
      <c r="AD1637" s="46" t="s">
        <v>1037</v>
      </c>
      <c r="AE1637" s="50">
        <v>0</v>
      </c>
      <c r="AF1637" s="50">
        <v>0</v>
      </c>
      <c r="AG1637" s="50">
        <v>1</v>
      </c>
      <c r="AH1637" s="46" t="s">
        <v>1017</v>
      </c>
      <c r="AI1637" s="46" t="s">
        <v>1018</v>
      </c>
      <c r="AJ1637" s="46" t="s">
        <v>376</v>
      </c>
      <c r="AK1637" s="46" t="s">
        <v>658</v>
      </c>
      <c r="AL1637" s="46" t="s">
        <v>1017</v>
      </c>
      <c r="AM1637" s="46" t="s">
        <v>1018</v>
      </c>
      <c r="AN1637" s="46" t="s">
        <v>376</v>
      </c>
      <c r="AO1637" s="46" t="s">
        <v>658</v>
      </c>
      <c r="AQ1637" s="46">
        <v>2</v>
      </c>
      <c r="AU1637" s="46" t="s">
        <v>376</v>
      </c>
      <c r="AW1637" s="46" t="s">
        <v>30</v>
      </c>
      <c r="AZ1637" s="46" t="s">
        <v>30</v>
      </c>
      <c r="BB1637" s="51"/>
      <c r="BF1637" s="46">
        <v>1</v>
      </c>
      <c r="BG1637" s="46">
        <v>1</v>
      </c>
      <c r="BH1637" s="46">
        <v>1</v>
      </c>
      <c r="BI1637" s="46" t="s">
        <v>813</v>
      </c>
      <c r="BJ1637" s="46" t="s">
        <v>816</v>
      </c>
      <c r="BK1637" s="46">
        <v>2022</v>
      </c>
      <c r="BL1637" s="46" t="str">
        <f>BK1637&amp;BI1637</f>
        <v>2022Tottenham Hotspur</v>
      </c>
      <c r="BM1637" s="52" t="s">
        <v>816</v>
      </c>
      <c r="BV1637" s="46" t="s">
        <v>376</v>
      </c>
      <c r="BW1637" s="46" t="s">
        <v>376</v>
      </c>
      <c r="BZ1637" s="53"/>
      <c r="CA1637" s="53"/>
      <c r="CB1637" s="93" t="str">
        <f>IF(OR(C1637="",A1637="",B1637=""),"",TEXT(C1637,"0000")&amp;TEXT(A1637,"00")&amp;TEXT(B1637,"00"))</f>
        <v>20220105</v>
      </c>
    </row>
    <row r="1638" spans="1:80" s="46" customFormat="1" ht="13.35" customHeight="1" x14ac:dyDescent="0.2">
      <c r="A1638" s="46">
        <v>1</v>
      </c>
      <c r="B1638" s="46">
        <v>12</v>
      </c>
      <c r="C1638" s="46">
        <v>2022</v>
      </c>
      <c r="D1638" s="46" t="s">
        <v>658</v>
      </c>
      <c r="E1638" s="46" t="s">
        <v>185</v>
      </c>
      <c r="F1638" s="46" t="s">
        <v>1327</v>
      </c>
      <c r="H1638" s="46" t="s">
        <v>1011</v>
      </c>
      <c r="I1638" s="46">
        <v>2</v>
      </c>
      <c r="J1638" s="64">
        <v>44573</v>
      </c>
      <c r="K1638" s="46" t="s">
        <v>813</v>
      </c>
      <c r="L1638" s="46" t="s">
        <v>4</v>
      </c>
      <c r="M1638" s="46" t="s">
        <v>816</v>
      </c>
      <c r="N1638" s="49">
        <v>0</v>
      </c>
      <c r="O1638" s="49">
        <v>1</v>
      </c>
      <c r="P1638" s="91" t="s">
        <v>1430</v>
      </c>
      <c r="Q1638" s="91" t="s">
        <v>1017</v>
      </c>
      <c r="R1638" s="91" t="s">
        <v>376</v>
      </c>
      <c r="AA1638" s="77">
        <v>0</v>
      </c>
      <c r="AB1638" s="77">
        <v>3</v>
      </c>
      <c r="AC1638" s="78">
        <v>0</v>
      </c>
      <c r="AD1638" s="46" t="s">
        <v>1033</v>
      </c>
      <c r="AE1638" s="50">
        <v>0</v>
      </c>
      <c r="AF1638" s="50">
        <v>0</v>
      </c>
      <c r="AG1638" s="50">
        <v>1</v>
      </c>
      <c r="AH1638" s="46" t="s">
        <v>1017</v>
      </c>
      <c r="AI1638" s="46" t="s">
        <v>1018</v>
      </c>
      <c r="AJ1638" s="46" t="s">
        <v>376</v>
      </c>
      <c r="AK1638" s="46" t="s">
        <v>658</v>
      </c>
      <c r="AL1638" s="46" t="s">
        <v>1017</v>
      </c>
      <c r="AM1638" s="46" t="s">
        <v>1018</v>
      </c>
      <c r="AN1638" s="46" t="s">
        <v>376</v>
      </c>
      <c r="AO1638" s="46" t="s">
        <v>658</v>
      </c>
      <c r="AQ1638" s="46">
        <v>2</v>
      </c>
      <c r="AU1638" s="46" t="s">
        <v>376</v>
      </c>
      <c r="AW1638" s="46" t="s">
        <v>30</v>
      </c>
      <c r="AZ1638" s="46" t="s">
        <v>30</v>
      </c>
      <c r="BB1638" s="51"/>
      <c r="BF1638" s="46">
        <v>1</v>
      </c>
      <c r="BG1638" s="46">
        <v>1</v>
      </c>
      <c r="BH1638" s="46">
        <v>1</v>
      </c>
      <c r="BI1638" s="46" t="s">
        <v>813</v>
      </c>
      <c r="BJ1638" s="46" t="s">
        <v>816</v>
      </c>
      <c r="BK1638" s="46">
        <v>2022</v>
      </c>
      <c r="BL1638" s="46" t="str">
        <f>BK1638&amp;BI1638</f>
        <v>2022Tottenham Hotspur</v>
      </c>
      <c r="BM1638" s="52" t="s">
        <v>813</v>
      </c>
      <c r="BV1638" s="46" t="s">
        <v>376</v>
      </c>
      <c r="BW1638" s="46" t="s">
        <v>376</v>
      </c>
      <c r="BZ1638" s="53"/>
      <c r="CA1638" s="53"/>
      <c r="CB1638" s="93" t="str">
        <f>IF(OR(C1638="",A1638="",B1638=""),"",TEXT(C1638,"0000")&amp;TEXT(A1638,"00")&amp;TEXT(B1638,"00"))</f>
        <v>20220112</v>
      </c>
    </row>
    <row r="1639" spans="1:80" s="46" customFormat="1" ht="13.35" customHeight="1" x14ac:dyDescent="0.2">
      <c r="A1639" s="46">
        <v>1</v>
      </c>
      <c r="B1639" s="46">
        <v>12</v>
      </c>
      <c r="C1639" s="46">
        <v>2022</v>
      </c>
      <c r="D1639" s="46" t="s">
        <v>658</v>
      </c>
      <c r="E1639" s="46" t="s">
        <v>185</v>
      </c>
      <c r="F1639" s="46" t="s">
        <v>1327</v>
      </c>
      <c r="H1639" s="46" t="s">
        <v>1011</v>
      </c>
      <c r="I1639" s="46">
        <v>2</v>
      </c>
      <c r="J1639" s="64">
        <v>44573</v>
      </c>
      <c r="K1639" s="46" t="s">
        <v>816</v>
      </c>
      <c r="L1639" s="46" t="s">
        <v>3</v>
      </c>
      <c r="M1639" s="46" t="s">
        <v>813</v>
      </c>
      <c r="N1639" s="49">
        <v>1</v>
      </c>
      <c r="O1639" s="49">
        <v>0</v>
      </c>
      <c r="P1639" s="91" t="s">
        <v>1430</v>
      </c>
      <c r="Q1639" s="91" t="s">
        <v>1017</v>
      </c>
      <c r="R1639" s="91" t="s">
        <v>376</v>
      </c>
      <c r="S1639" s="35"/>
      <c r="AA1639" s="77">
        <v>3</v>
      </c>
      <c r="AB1639" s="77">
        <v>0</v>
      </c>
      <c r="AC1639" s="78">
        <v>1</v>
      </c>
      <c r="AD1639" s="46" t="s">
        <v>1037</v>
      </c>
      <c r="AE1639" s="50">
        <v>1</v>
      </c>
      <c r="AF1639" s="50">
        <v>0</v>
      </c>
      <c r="AG1639" s="50">
        <v>0</v>
      </c>
      <c r="AH1639" s="46" t="s">
        <v>1017</v>
      </c>
      <c r="AI1639" s="46" t="s">
        <v>1018</v>
      </c>
      <c r="AJ1639" s="46" t="s">
        <v>376</v>
      </c>
      <c r="AK1639" s="46" t="s">
        <v>658</v>
      </c>
      <c r="AL1639" s="46" t="s">
        <v>1017</v>
      </c>
      <c r="AM1639" s="46" t="s">
        <v>1018</v>
      </c>
      <c r="AN1639" s="46" t="s">
        <v>376</v>
      </c>
      <c r="AO1639" s="46" t="s">
        <v>658</v>
      </c>
      <c r="AQ1639" s="46">
        <v>2</v>
      </c>
      <c r="AU1639" s="46" t="s">
        <v>376</v>
      </c>
      <c r="AW1639" s="46" t="s">
        <v>30</v>
      </c>
      <c r="AZ1639" s="46" t="s">
        <v>30</v>
      </c>
      <c r="BB1639" s="51"/>
      <c r="BF1639" s="46">
        <v>1</v>
      </c>
      <c r="BG1639" s="46">
        <v>1</v>
      </c>
      <c r="BH1639" s="46">
        <v>1</v>
      </c>
      <c r="BI1639" s="46" t="s">
        <v>816</v>
      </c>
      <c r="BJ1639" s="46" t="s">
        <v>813</v>
      </c>
      <c r="BK1639" s="46">
        <v>2022</v>
      </c>
      <c r="BL1639" s="46" t="str">
        <f>BK1639&amp;BI1639</f>
        <v>2022Chelsea</v>
      </c>
      <c r="BM1639" s="52" t="s">
        <v>813</v>
      </c>
      <c r="BV1639" s="46" t="s">
        <v>376</v>
      </c>
      <c r="BW1639" s="46" t="s">
        <v>376</v>
      </c>
      <c r="BZ1639" s="53"/>
      <c r="CA1639" s="53"/>
      <c r="CB1639" s="93" t="str">
        <f>IF(OR(C1639="",A1639="",B1639=""),"",TEXT(C1639,"0000")&amp;TEXT(A1639,"00")&amp;TEXT(B1639,"00"))</f>
        <v>20220112</v>
      </c>
    </row>
    <row r="1640" spans="1:80" s="46" customFormat="1" ht="13.35" customHeight="1" x14ac:dyDescent="0.2">
      <c r="A1640" s="46">
        <v>1</v>
      </c>
      <c r="B1640" s="46">
        <v>13</v>
      </c>
      <c r="C1640" s="46">
        <v>2022</v>
      </c>
      <c r="D1640" s="46" t="s">
        <v>658</v>
      </c>
      <c r="E1640" s="46" t="s">
        <v>185</v>
      </c>
      <c r="F1640" s="46" t="s">
        <v>1327</v>
      </c>
      <c r="H1640" s="46" t="s">
        <v>1011</v>
      </c>
      <c r="I1640" s="46">
        <v>1</v>
      </c>
      <c r="J1640" s="64">
        <v>44574</v>
      </c>
      <c r="K1640" s="46" t="s">
        <v>588</v>
      </c>
      <c r="L1640" s="46" t="s">
        <v>1014</v>
      </c>
      <c r="M1640" s="46" t="s">
        <v>587</v>
      </c>
      <c r="N1640" s="49">
        <v>0</v>
      </c>
      <c r="O1640" s="49">
        <v>0</v>
      </c>
      <c r="P1640" s="46" t="s">
        <v>1141</v>
      </c>
      <c r="Q1640" s="46" t="s">
        <v>588</v>
      </c>
      <c r="R1640" s="46" t="s">
        <v>376</v>
      </c>
      <c r="S1640" s="35"/>
      <c r="AA1640" s="77">
        <v>0</v>
      </c>
      <c r="AB1640" s="77">
        <v>0</v>
      </c>
      <c r="AC1640" s="78">
        <v>0</v>
      </c>
      <c r="AD1640" s="46" t="s">
        <v>1033</v>
      </c>
      <c r="AE1640" s="50">
        <v>0</v>
      </c>
      <c r="AF1640" s="50">
        <v>1</v>
      </c>
      <c r="AG1640" s="50">
        <v>0</v>
      </c>
      <c r="AH1640" s="46" t="s">
        <v>588</v>
      </c>
      <c r="AI1640" s="46" t="s">
        <v>1175</v>
      </c>
      <c r="AJ1640" s="46" t="s">
        <v>376</v>
      </c>
      <c r="AK1640" s="46" t="s">
        <v>658</v>
      </c>
      <c r="AL1640" s="46" t="s">
        <v>1017</v>
      </c>
      <c r="AM1640" s="46" t="s">
        <v>1018</v>
      </c>
      <c r="AN1640" s="46" t="s">
        <v>376</v>
      </c>
      <c r="AO1640" s="46" t="s">
        <v>658</v>
      </c>
      <c r="AQ1640" s="46">
        <v>2</v>
      </c>
      <c r="AU1640" s="46" t="s">
        <v>376</v>
      </c>
      <c r="AW1640" s="46" t="s">
        <v>30</v>
      </c>
      <c r="AZ1640" s="46" t="s">
        <v>30</v>
      </c>
      <c r="BB1640" s="51"/>
      <c r="BF1640" s="46">
        <v>1</v>
      </c>
      <c r="BG1640" s="46">
        <v>1</v>
      </c>
      <c r="BH1640" s="46">
        <v>1</v>
      </c>
      <c r="BI1640" s="46" t="s">
        <v>588</v>
      </c>
      <c r="BJ1640" s="46" t="s">
        <v>587</v>
      </c>
      <c r="BK1640" s="46">
        <v>2022</v>
      </c>
      <c r="BL1640" s="46" t="str">
        <f>BK1640&amp;BI1640</f>
        <v>2022Liverpool</v>
      </c>
      <c r="BM1640" s="52" t="s">
        <v>588</v>
      </c>
      <c r="BV1640" s="46" t="s">
        <v>376</v>
      </c>
      <c r="BW1640" s="46" t="s">
        <v>376</v>
      </c>
      <c r="BZ1640" s="53"/>
      <c r="CA1640" s="53"/>
      <c r="CB1640" s="93" t="str">
        <f>IF(OR(C1640="",A1640="",B1640=""),"",TEXT(C1640,"0000")&amp;TEXT(A1640,"00")&amp;TEXT(B1640,"00"))</f>
        <v>20220113</v>
      </c>
    </row>
    <row r="1641" spans="1:80" s="46" customFormat="1" ht="13.35" customHeight="1" x14ac:dyDescent="0.2">
      <c r="A1641" s="46">
        <v>1</v>
      </c>
      <c r="B1641" s="46">
        <v>13</v>
      </c>
      <c r="C1641" s="46">
        <v>2022</v>
      </c>
      <c r="D1641" s="46" t="s">
        <v>658</v>
      </c>
      <c r="E1641" s="46" t="s">
        <v>185</v>
      </c>
      <c r="F1641" s="46" t="s">
        <v>1327</v>
      </c>
      <c r="H1641" s="46" t="s">
        <v>1011</v>
      </c>
      <c r="I1641" s="46">
        <v>1</v>
      </c>
      <c r="J1641" s="64">
        <v>44574</v>
      </c>
      <c r="K1641" s="46" t="s">
        <v>587</v>
      </c>
      <c r="L1641" s="46" t="s">
        <v>1014</v>
      </c>
      <c r="M1641" s="46" t="s">
        <v>588</v>
      </c>
      <c r="N1641" s="49">
        <v>0</v>
      </c>
      <c r="O1641" s="49">
        <v>0</v>
      </c>
      <c r="P1641" s="46" t="s">
        <v>1141</v>
      </c>
      <c r="Q1641" s="46" t="s">
        <v>588</v>
      </c>
      <c r="R1641" s="46" t="s">
        <v>376</v>
      </c>
      <c r="S1641" s="35"/>
      <c r="AA1641" s="77">
        <v>0</v>
      </c>
      <c r="AB1641" s="77">
        <v>0</v>
      </c>
      <c r="AC1641" s="78">
        <v>0</v>
      </c>
      <c r="AD1641" s="46" t="s">
        <v>1037</v>
      </c>
      <c r="AE1641" s="50">
        <v>0</v>
      </c>
      <c r="AF1641" s="50">
        <v>1</v>
      </c>
      <c r="AG1641" s="50">
        <v>0</v>
      </c>
      <c r="AH1641" s="46" t="s">
        <v>1017</v>
      </c>
      <c r="AI1641" s="46" t="s">
        <v>1018</v>
      </c>
      <c r="AJ1641" s="46" t="s">
        <v>376</v>
      </c>
      <c r="AK1641" s="46" t="s">
        <v>658</v>
      </c>
      <c r="AL1641" s="46" t="s">
        <v>588</v>
      </c>
      <c r="AM1641" s="46" t="s">
        <v>1175</v>
      </c>
      <c r="AN1641" s="46" t="s">
        <v>376</v>
      </c>
      <c r="AO1641" s="46" t="s">
        <v>658</v>
      </c>
      <c r="AQ1641" s="46">
        <v>2</v>
      </c>
      <c r="AU1641" s="46" t="s">
        <v>376</v>
      </c>
      <c r="AW1641" s="46" t="s">
        <v>30</v>
      </c>
      <c r="AZ1641" s="46" t="s">
        <v>30</v>
      </c>
      <c r="BB1641" s="51"/>
      <c r="BF1641" s="46">
        <v>1</v>
      </c>
      <c r="BG1641" s="46">
        <v>1</v>
      </c>
      <c r="BH1641" s="46">
        <v>1</v>
      </c>
      <c r="BI1641" s="46" t="s">
        <v>587</v>
      </c>
      <c r="BJ1641" s="46" t="s">
        <v>588</v>
      </c>
      <c r="BK1641" s="46">
        <v>2022</v>
      </c>
      <c r="BL1641" s="46" t="str">
        <f>BK1641&amp;BI1641</f>
        <v>2022Arsenal</v>
      </c>
      <c r="BM1641" s="52" t="s">
        <v>588</v>
      </c>
      <c r="BV1641" s="46" t="s">
        <v>376</v>
      </c>
      <c r="BW1641" s="46" t="s">
        <v>376</v>
      </c>
      <c r="BZ1641" s="53"/>
      <c r="CA1641" s="53"/>
      <c r="CB1641" s="93" t="str">
        <f>IF(OR(C1641="",A1641="",B1641=""),"",TEXT(C1641,"0000")&amp;TEXT(A1641,"00")&amp;TEXT(B1641,"00"))</f>
        <v>20220113</v>
      </c>
    </row>
    <row r="1642" spans="1:80" s="46" customFormat="1" ht="13.35" customHeight="1" x14ac:dyDescent="0.2">
      <c r="A1642" s="46">
        <v>1</v>
      </c>
      <c r="B1642" s="46">
        <v>20</v>
      </c>
      <c r="C1642" s="46">
        <v>2022</v>
      </c>
      <c r="D1642" s="46" t="s">
        <v>658</v>
      </c>
      <c r="E1642" s="46" t="s">
        <v>185</v>
      </c>
      <c r="F1642" s="46" t="s">
        <v>1327</v>
      </c>
      <c r="H1642" s="46" t="s">
        <v>1011</v>
      </c>
      <c r="I1642" s="46">
        <v>2</v>
      </c>
      <c r="J1642" s="64">
        <v>44581</v>
      </c>
      <c r="K1642" s="46" t="s">
        <v>587</v>
      </c>
      <c r="L1642" s="46" t="s">
        <v>4</v>
      </c>
      <c r="M1642" s="46" t="s">
        <v>588</v>
      </c>
      <c r="N1642" s="49">
        <v>0</v>
      </c>
      <c r="O1642" s="49">
        <v>2</v>
      </c>
      <c r="P1642" s="46" t="s">
        <v>1414</v>
      </c>
      <c r="Q1642" s="46" t="s">
        <v>1017</v>
      </c>
      <c r="R1642" s="46" t="s">
        <v>376</v>
      </c>
      <c r="AA1642" s="77">
        <v>0</v>
      </c>
      <c r="AB1642" s="77">
        <v>2</v>
      </c>
      <c r="AC1642" s="78">
        <v>0</v>
      </c>
      <c r="AD1642" s="46" t="s">
        <v>1033</v>
      </c>
      <c r="AE1642" s="50">
        <v>0</v>
      </c>
      <c r="AF1642" s="50">
        <v>0</v>
      </c>
      <c r="AG1642" s="50">
        <v>1</v>
      </c>
      <c r="AH1642" s="46" t="s">
        <v>1017</v>
      </c>
      <c r="AI1642" s="46" t="s">
        <v>1018</v>
      </c>
      <c r="AJ1642" s="46" t="s">
        <v>376</v>
      </c>
      <c r="AK1642" s="46" t="s">
        <v>658</v>
      </c>
      <c r="AL1642" s="46" t="s">
        <v>588</v>
      </c>
      <c r="AM1642" s="46" t="s">
        <v>1175</v>
      </c>
      <c r="AN1642" s="46" t="s">
        <v>376</v>
      </c>
      <c r="AO1642" s="46" t="s">
        <v>658</v>
      </c>
      <c r="AQ1642" s="46">
        <v>2</v>
      </c>
      <c r="AU1642" s="46" t="s">
        <v>376</v>
      </c>
      <c r="AW1642" s="46" t="s">
        <v>30</v>
      </c>
      <c r="AZ1642" s="46" t="s">
        <v>30</v>
      </c>
      <c r="BB1642" s="51"/>
      <c r="BF1642" s="46">
        <v>1</v>
      </c>
      <c r="BG1642" s="46">
        <v>1</v>
      </c>
      <c r="BH1642" s="46">
        <v>1</v>
      </c>
      <c r="BI1642" s="46" t="s">
        <v>587</v>
      </c>
      <c r="BJ1642" s="46" t="s">
        <v>588</v>
      </c>
      <c r="BK1642" s="46">
        <v>2022</v>
      </c>
      <c r="BL1642" s="46" t="str">
        <f>BK1642&amp;BI1642</f>
        <v>2022Arsenal</v>
      </c>
      <c r="BM1642" s="52" t="s">
        <v>587</v>
      </c>
      <c r="BV1642" s="46" t="s">
        <v>376</v>
      </c>
      <c r="BW1642" s="46" t="s">
        <v>376</v>
      </c>
      <c r="BZ1642" s="53"/>
      <c r="CA1642" s="53"/>
      <c r="CB1642" s="93" t="str">
        <f>IF(OR(C1642="",A1642="",B1642=""),"",TEXT(C1642,"0000")&amp;TEXT(A1642,"00")&amp;TEXT(B1642,"00"))</f>
        <v>20220120</v>
      </c>
    </row>
    <row r="1643" spans="1:80" s="46" customFormat="1" ht="13.35" customHeight="1" x14ac:dyDescent="0.2">
      <c r="A1643" s="46">
        <v>1</v>
      </c>
      <c r="B1643" s="46">
        <v>20</v>
      </c>
      <c r="C1643" s="46">
        <v>2022</v>
      </c>
      <c r="D1643" s="46" t="s">
        <v>658</v>
      </c>
      <c r="E1643" s="46" t="s">
        <v>185</v>
      </c>
      <c r="F1643" s="46" t="s">
        <v>1327</v>
      </c>
      <c r="H1643" s="46" t="s">
        <v>1011</v>
      </c>
      <c r="I1643" s="46">
        <v>2</v>
      </c>
      <c r="J1643" s="64">
        <v>44581</v>
      </c>
      <c r="K1643" s="46" t="s">
        <v>588</v>
      </c>
      <c r="L1643" s="46" t="s">
        <v>3</v>
      </c>
      <c r="M1643" s="46" t="s">
        <v>587</v>
      </c>
      <c r="N1643" s="49">
        <v>2</v>
      </c>
      <c r="O1643" s="49">
        <v>0</v>
      </c>
      <c r="P1643" s="46" t="s">
        <v>1414</v>
      </c>
      <c r="Q1643" s="46" t="s">
        <v>1017</v>
      </c>
      <c r="R1643" s="46" t="s">
        <v>376</v>
      </c>
      <c r="AA1643" s="77">
        <v>2</v>
      </c>
      <c r="AB1643" s="77">
        <v>0</v>
      </c>
      <c r="AC1643" s="78">
        <v>2</v>
      </c>
      <c r="AD1643" s="46" t="s">
        <v>1037</v>
      </c>
      <c r="AE1643" s="50">
        <v>1</v>
      </c>
      <c r="AF1643" s="50">
        <v>0</v>
      </c>
      <c r="AG1643" s="50">
        <v>0</v>
      </c>
      <c r="AH1643" s="46" t="s">
        <v>588</v>
      </c>
      <c r="AI1643" s="46" t="s">
        <v>1175</v>
      </c>
      <c r="AJ1643" s="46" t="s">
        <v>376</v>
      </c>
      <c r="AK1643" s="46" t="s">
        <v>658</v>
      </c>
      <c r="AL1643" s="46" t="s">
        <v>1017</v>
      </c>
      <c r="AM1643" s="46" t="s">
        <v>1018</v>
      </c>
      <c r="AN1643" s="46" t="s">
        <v>376</v>
      </c>
      <c r="AO1643" s="46" t="s">
        <v>658</v>
      </c>
      <c r="AQ1643" s="46">
        <v>2</v>
      </c>
      <c r="AU1643" s="46" t="s">
        <v>376</v>
      </c>
      <c r="AW1643" s="46" t="s">
        <v>30</v>
      </c>
      <c r="AZ1643" s="46" t="s">
        <v>30</v>
      </c>
      <c r="BB1643" s="51"/>
      <c r="BF1643" s="46">
        <v>1</v>
      </c>
      <c r="BG1643" s="46">
        <v>1</v>
      </c>
      <c r="BH1643" s="46">
        <v>1</v>
      </c>
      <c r="BI1643" s="46" t="s">
        <v>588</v>
      </c>
      <c r="BJ1643" s="46" t="s">
        <v>587</v>
      </c>
      <c r="BK1643" s="46">
        <v>2022</v>
      </c>
      <c r="BL1643" s="46" t="str">
        <f>BK1643&amp;BI1643</f>
        <v>2022Liverpool</v>
      </c>
      <c r="BM1643" s="52" t="s">
        <v>587</v>
      </c>
      <c r="BV1643" s="46" t="s">
        <v>376</v>
      </c>
      <c r="BW1643" s="46" t="s">
        <v>376</v>
      </c>
      <c r="BZ1643" s="53"/>
      <c r="CA1643" s="53"/>
      <c r="CB1643" s="93" t="str">
        <f>IF(OR(C1643="",A1643="",B1643=""),"",TEXT(C1643,"0000")&amp;TEXT(A1643,"00")&amp;TEXT(B1643,"00"))</f>
        <v>20220120</v>
      </c>
    </row>
    <row r="1644" spans="1:80" s="46" customFormat="1" ht="13.35" customHeight="1" x14ac:dyDescent="0.2">
      <c r="A1644" s="46">
        <v>2</v>
      </c>
      <c r="B1644" s="46">
        <v>27</v>
      </c>
      <c r="C1644" s="46">
        <v>2022</v>
      </c>
      <c r="D1644" s="46" t="s">
        <v>658</v>
      </c>
      <c r="E1644" s="46" t="s">
        <v>185</v>
      </c>
      <c r="F1644" s="46" t="s">
        <v>1327</v>
      </c>
      <c r="H1644" s="46" t="s">
        <v>40</v>
      </c>
      <c r="J1644" s="64">
        <v>44619</v>
      </c>
      <c r="K1644" s="46" t="s">
        <v>588</v>
      </c>
      <c r="L1644" s="46" t="s">
        <v>3</v>
      </c>
      <c r="M1644" s="46" t="s">
        <v>816</v>
      </c>
      <c r="N1644" s="49">
        <v>0</v>
      </c>
      <c r="O1644" s="49">
        <v>0</v>
      </c>
      <c r="P1644" s="86" t="s">
        <v>1415</v>
      </c>
      <c r="Q1644" s="86" t="s">
        <v>1017</v>
      </c>
      <c r="R1644" s="86" t="s">
        <v>376</v>
      </c>
      <c r="S1644" s="46" t="s">
        <v>1390</v>
      </c>
      <c r="T1644" s="46">
        <v>11</v>
      </c>
      <c r="U1644" s="46">
        <v>10</v>
      </c>
      <c r="AE1644" s="50">
        <v>1</v>
      </c>
      <c r="AF1644" s="50">
        <v>0</v>
      </c>
      <c r="AG1644" s="50">
        <v>0</v>
      </c>
      <c r="AH1644" s="46" t="s">
        <v>588</v>
      </c>
      <c r="AI1644" s="46" t="s">
        <v>1175</v>
      </c>
      <c r="AJ1644" s="46" t="s">
        <v>376</v>
      </c>
      <c r="AK1644" s="46" t="s">
        <v>658</v>
      </c>
      <c r="AL1644" s="46" t="s">
        <v>1017</v>
      </c>
      <c r="AM1644" s="46" t="s">
        <v>1018</v>
      </c>
      <c r="AN1644" s="46" t="s">
        <v>376</v>
      </c>
      <c r="AO1644" s="46" t="s">
        <v>658</v>
      </c>
      <c r="AQ1644" s="46">
        <v>1</v>
      </c>
      <c r="AU1644" s="46" t="s">
        <v>376</v>
      </c>
      <c r="AW1644" s="46" t="s">
        <v>30</v>
      </c>
      <c r="AZ1644" s="46" t="s">
        <v>30</v>
      </c>
      <c r="BB1644" s="51" t="s">
        <v>30</v>
      </c>
      <c r="BC1644" s="46" t="s">
        <v>30</v>
      </c>
      <c r="BF1644" s="46">
        <v>1</v>
      </c>
      <c r="BG1644" s="46">
        <v>1</v>
      </c>
      <c r="BH1644" s="46">
        <v>1</v>
      </c>
      <c r="BI1644" s="46" t="s">
        <v>588</v>
      </c>
      <c r="BJ1644" s="46" t="s">
        <v>816</v>
      </c>
      <c r="BK1644" s="46">
        <v>2022</v>
      </c>
      <c r="BL1644" s="46" t="str">
        <f>BK1644&amp;BI1644</f>
        <v>2022Liverpool</v>
      </c>
      <c r="BM1644" s="52" t="s">
        <v>1017</v>
      </c>
      <c r="BV1644" s="46" t="s">
        <v>376</v>
      </c>
      <c r="BW1644" s="46" t="s">
        <v>376</v>
      </c>
      <c r="BZ1644" s="53"/>
      <c r="CA1644" s="53"/>
      <c r="CB1644" s="93" t="str">
        <f>IF(OR(C1644="",A1644="",B1644=""),"",TEXT(C1644,"0000")&amp;TEXT(A1644,"00")&amp;TEXT(B1644,"00"))</f>
        <v>20220227</v>
      </c>
    </row>
    <row r="1645" spans="1:80" s="46" customFormat="1" ht="13.35" customHeight="1" x14ac:dyDescent="0.2">
      <c r="A1645" s="46">
        <v>2</v>
      </c>
      <c r="B1645" s="46">
        <v>27</v>
      </c>
      <c r="C1645" s="46">
        <v>2022</v>
      </c>
      <c r="D1645" s="46" t="s">
        <v>658</v>
      </c>
      <c r="E1645" s="46" t="s">
        <v>185</v>
      </c>
      <c r="F1645" s="46" t="s">
        <v>1327</v>
      </c>
      <c r="H1645" s="46" t="s">
        <v>40</v>
      </c>
      <c r="J1645" s="64">
        <v>44619</v>
      </c>
      <c r="K1645" s="46" t="s">
        <v>816</v>
      </c>
      <c r="L1645" s="46" t="s">
        <v>4</v>
      </c>
      <c r="M1645" s="46" t="s">
        <v>588</v>
      </c>
      <c r="N1645" s="49">
        <v>0</v>
      </c>
      <c r="O1645" s="49">
        <v>0</v>
      </c>
      <c r="P1645" s="86" t="s">
        <v>1415</v>
      </c>
      <c r="Q1645" s="86" t="s">
        <v>1017</v>
      </c>
      <c r="R1645" s="86" t="s">
        <v>376</v>
      </c>
      <c r="S1645" s="46" t="s">
        <v>1390</v>
      </c>
      <c r="T1645" s="46">
        <v>10</v>
      </c>
      <c r="U1645" s="46">
        <v>11</v>
      </c>
      <c r="AE1645" s="50">
        <v>0</v>
      </c>
      <c r="AF1645" s="50">
        <v>0</v>
      </c>
      <c r="AG1645" s="50">
        <v>1</v>
      </c>
      <c r="AH1645" s="46" t="s">
        <v>1017</v>
      </c>
      <c r="AI1645" s="46" t="s">
        <v>1018</v>
      </c>
      <c r="AJ1645" s="46" t="s">
        <v>376</v>
      </c>
      <c r="AK1645" s="46" t="s">
        <v>658</v>
      </c>
      <c r="AL1645" s="46" t="s">
        <v>588</v>
      </c>
      <c r="AM1645" s="46" t="s">
        <v>1175</v>
      </c>
      <c r="AN1645" s="46" t="s">
        <v>376</v>
      </c>
      <c r="AO1645" s="46" t="s">
        <v>658</v>
      </c>
      <c r="AQ1645" s="46">
        <v>1</v>
      </c>
      <c r="AU1645" s="46" t="s">
        <v>376</v>
      </c>
      <c r="AW1645" s="46" t="s">
        <v>30</v>
      </c>
      <c r="AZ1645" s="46" t="s">
        <v>30</v>
      </c>
      <c r="BB1645" s="51"/>
      <c r="BC1645" s="46" t="s">
        <v>30</v>
      </c>
      <c r="BF1645" s="46">
        <v>1</v>
      </c>
      <c r="BG1645" s="46">
        <v>1</v>
      </c>
      <c r="BH1645" s="46">
        <v>1</v>
      </c>
      <c r="BI1645" s="46" t="s">
        <v>816</v>
      </c>
      <c r="BJ1645" s="46" t="s">
        <v>588</v>
      </c>
      <c r="BK1645" s="46">
        <v>2022</v>
      </c>
      <c r="BL1645" s="46" t="str">
        <f>BK1645&amp;BI1645</f>
        <v>2022Chelsea</v>
      </c>
      <c r="BM1645" s="52" t="s">
        <v>1017</v>
      </c>
      <c r="BV1645" s="46" t="s">
        <v>376</v>
      </c>
      <c r="BW1645" s="46" t="s">
        <v>376</v>
      </c>
      <c r="BZ1645" s="53"/>
      <c r="CA1645" s="53"/>
      <c r="CB1645" s="93" t="str">
        <f>IF(OR(C1645="",A1645="",B1645=""),"",TEXT(C1645,"0000")&amp;TEXT(A1645,"00")&amp;TEXT(B1645,"00"))</f>
        <v>20220227</v>
      </c>
    </row>
    <row r="1646" spans="1:80" s="46" customFormat="1" ht="13.35" customHeight="1" x14ac:dyDescent="0.2">
      <c r="A1646" s="46">
        <v>4</v>
      </c>
      <c r="B1646" s="46">
        <v>16</v>
      </c>
      <c r="C1646" s="46">
        <v>2022</v>
      </c>
      <c r="D1646" s="46" t="s">
        <v>658</v>
      </c>
      <c r="E1646" s="46" t="s">
        <v>185</v>
      </c>
      <c r="F1646" s="46" t="s">
        <v>1010</v>
      </c>
      <c r="H1646" s="46" t="s">
        <v>1011</v>
      </c>
      <c r="J1646" s="64">
        <v>44667</v>
      </c>
      <c r="K1646" s="46" t="s">
        <v>588</v>
      </c>
      <c r="L1646" s="46" t="s">
        <v>3</v>
      </c>
      <c r="M1646" s="46" t="s">
        <v>823</v>
      </c>
      <c r="N1646" s="49">
        <v>3</v>
      </c>
      <c r="O1646" s="49">
        <v>2</v>
      </c>
      <c r="P1646" s="86" t="s">
        <v>1415</v>
      </c>
      <c r="Q1646" s="86" t="s">
        <v>1017</v>
      </c>
      <c r="R1646" s="86" t="s">
        <v>376</v>
      </c>
      <c r="AE1646" s="50">
        <v>1</v>
      </c>
      <c r="AF1646" s="50">
        <v>0</v>
      </c>
      <c r="AG1646" s="50">
        <v>0</v>
      </c>
      <c r="AH1646" s="46" t="s">
        <v>588</v>
      </c>
      <c r="AI1646" s="46" t="s">
        <v>1175</v>
      </c>
      <c r="AJ1646" s="46" t="s">
        <v>376</v>
      </c>
      <c r="AK1646" s="46" t="s">
        <v>658</v>
      </c>
      <c r="AL1646" s="46" t="s">
        <v>1101</v>
      </c>
      <c r="AM1646" s="46" t="s">
        <v>1159</v>
      </c>
      <c r="AN1646" s="46" t="s">
        <v>376</v>
      </c>
      <c r="AO1646" s="46" t="s">
        <v>658</v>
      </c>
      <c r="AQ1646" s="46">
        <v>2</v>
      </c>
      <c r="AU1646" s="46" t="s">
        <v>376</v>
      </c>
      <c r="AW1646" s="46" t="s">
        <v>30</v>
      </c>
      <c r="AY1646" s="46" t="s">
        <v>30</v>
      </c>
      <c r="BB1646" s="51"/>
      <c r="BF1646" s="46">
        <v>1</v>
      </c>
      <c r="BG1646" s="46">
        <v>1</v>
      </c>
      <c r="BH1646" s="46">
        <v>1</v>
      </c>
      <c r="BI1646" s="46" t="s">
        <v>588</v>
      </c>
      <c r="BJ1646" s="46" t="s">
        <v>823</v>
      </c>
      <c r="BK1646" s="46">
        <v>2022</v>
      </c>
      <c r="BL1646" s="46" t="str">
        <f>BK1646&amp;BI1646</f>
        <v>2022Liverpool</v>
      </c>
      <c r="BM1646" s="52" t="s">
        <v>1017</v>
      </c>
      <c r="BV1646" s="46" t="s">
        <v>376</v>
      </c>
      <c r="BW1646" s="46" t="s">
        <v>376</v>
      </c>
      <c r="BZ1646" s="53"/>
      <c r="CA1646" s="53"/>
      <c r="CB1646" s="93" t="str">
        <f>IF(OR(C1646="",A1646="",B1646=""),"",TEXT(C1646,"0000")&amp;TEXT(A1646,"00")&amp;TEXT(B1646,"00"))</f>
        <v>20220416</v>
      </c>
    </row>
    <row r="1647" spans="1:80" s="46" customFormat="1" ht="13.35" customHeight="1" x14ac:dyDescent="0.2">
      <c r="A1647" s="46">
        <v>4</v>
      </c>
      <c r="B1647" s="46">
        <v>16</v>
      </c>
      <c r="C1647" s="46">
        <v>2022</v>
      </c>
      <c r="D1647" s="46" t="s">
        <v>658</v>
      </c>
      <c r="E1647" s="46" t="s">
        <v>185</v>
      </c>
      <c r="F1647" s="46" t="s">
        <v>1010</v>
      </c>
      <c r="H1647" s="46" t="s">
        <v>1011</v>
      </c>
      <c r="J1647" s="64">
        <v>44667</v>
      </c>
      <c r="K1647" s="46" t="s">
        <v>823</v>
      </c>
      <c r="L1647" s="46" t="s">
        <v>4</v>
      </c>
      <c r="M1647" s="46" t="s">
        <v>588</v>
      </c>
      <c r="N1647" s="49">
        <v>2</v>
      </c>
      <c r="O1647" s="49">
        <v>3</v>
      </c>
      <c r="P1647" s="86" t="s">
        <v>1415</v>
      </c>
      <c r="Q1647" s="86" t="s">
        <v>1017</v>
      </c>
      <c r="R1647" s="86" t="s">
        <v>376</v>
      </c>
      <c r="AE1647" s="50">
        <v>0</v>
      </c>
      <c r="AF1647" s="50">
        <v>0</v>
      </c>
      <c r="AG1647" s="50">
        <v>1</v>
      </c>
      <c r="AH1647" s="46" t="s">
        <v>1101</v>
      </c>
      <c r="AI1647" s="46" t="s">
        <v>1159</v>
      </c>
      <c r="AJ1647" s="46" t="s">
        <v>376</v>
      </c>
      <c r="AK1647" s="46" t="s">
        <v>658</v>
      </c>
      <c r="AL1647" s="46" t="s">
        <v>588</v>
      </c>
      <c r="AM1647" s="46" t="s">
        <v>1175</v>
      </c>
      <c r="AN1647" s="46" t="s">
        <v>376</v>
      </c>
      <c r="AO1647" s="46" t="s">
        <v>658</v>
      </c>
      <c r="AQ1647" s="46">
        <v>2</v>
      </c>
      <c r="AU1647" s="46" t="s">
        <v>376</v>
      </c>
      <c r="AW1647" s="46" t="s">
        <v>30</v>
      </c>
      <c r="AY1647" s="46" t="s">
        <v>30</v>
      </c>
      <c r="BB1647" s="51"/>
      <c r="BF1647" s="46">
        <v>1</v>
      </c>
      <c r="BG1647" s="46">
        <v>1</v>
      </c>
      <c r="BH1647" s="46">
        <v>1</v>
      </c>
      <c r="BI1647" s="46" t="s">
        <v>823</v>
      </c>
      <c r="BJ1647" s="46" t="s">
        <v>588</v>
      </c>
      <c r="BK1647" s="46">
        <v>2022</v>
      </c>
      <c r="BL1647" s="46" t="str">
        <f>BK1647&amp;BI1647</f>
        <v>2022Manchester City</v>
      </c>
      <c r="BM1647" s="52" t="s">
        <v>1017</v>
      </c>
      <c r="BV1647" s="46" t="s">
        <v>376</v>
      </c>
      <c r="BW1647" s="46" t="s">
        <v>376</v>
      </c>
      <c r="BZ1647" s="53"/>
      <c r="CA1647" s="53"/>
      <c r="CB1647" s="93" t="str">
        <f>IF(OR(C1647="",A1647="",B1647=""),"",TEXT(C1647,"0000")&amp;TEXT(A1647,"00")&amp;TEXT(B1647,"00"))</f>
        <v>20220416</v>
      </c>
    </row>
    <row r="1648" spans="1:80" s="46" customFormat="1" ht="13.35" customHeight="1" x14ac:dyDescent="0.2">
      <c r="A1648" s="46">
        <v>4</v>
      </c>
      <c r="B1648" s="46">
        <v>17</v>
      </c>
      <c r="C1648" s="46">
        <v>2022</v>
      </c>
      <c r="D1648" s="46" t="s">
        <v>658</v>
      </c>
      <c r="E1648" s="46" t="s">
        <v>185</v>
      </c>
      <c r="F1648" s="46" t="s">
        <v>1010</v>
      </c>
      <c r="H1648" s="46" t="s">
        <v>1011</v>
      </c>
      <c r="J1648" s="64">
        <v>44668</v>
      </c>
      <c r="K1648" s="46" t="s">
        <v>816</v>
      </c>
      <c r="L1648" s="46" t="s">
        <v>3</v>
      </c>
      <c r="M1648" s="46" t="s">
        <v>798</v>
      </c>
      <c r="N1648" s="49">
        <v>2</v>
      </c>
      <c r="O1648" s="49">
        <v>0</v>
      </c>
      <c r="P1648" s="86" t="s">
        <v>1415</v>
      </c>
      <c r="Q1648" s="86" t="s">
        <v>1017</v>
      </c>
      <c r="R1648" s="86" t="s">
        <v>376</v>
      </c>
      <c r="AE1648" s="50">
        <v>1</v>
      </c>
      <c r="AF1648" s="50">
        <v>0</v>
      </c>
      <c r="AG1648" s="50">
        <v>0</v>
      </c>
      <c r="AH1648" s="46" t="s">
        <v>1017</v>
      </c>
      <c r="AI1648" s="46" t="s">
        <v>1018</v>
      </c>
      <c r="AJ1648" s="46" t="s">
        <v>376</v>
      </c>
      <c r="AK1648" s="46" t="s">
        <v>658</v>
      </c>
      <c r="AL1648" s="46" t="s">
        <v>1017</v>
      </c>
      <c r="AM1648" s="46" t="s">
        <v>1018</v>
      </c>
      <c r="AN1648" s="46" t="s">
        <v>376</v>
      </c>
      <c r="AO1648" s="46" t="s">
        <v>658</v>
      </c>
      <c r="AQ1648" s="46">
        <v>2</v>
      </c>
      <c r="AU1648" s="46" t="s">
        <v>376</v>
      </c>
      <c r="AW1648" s="46" t="s">
        <v>30</v>
      </c>
      <c r="AY1648" s="46" t="s">
        <v>30</v>
      </c>
      <c r="BB1648" s="51"/>
      <c r="BF1648" s="46">
        <v>1</v>
      </c>
      <c r="BG1648" s="46">
        <v>1</v>
      </c>
      <c r="BH1648" s="46">
        <v>1</v>
      </c>
      <c r="BI1648" s="46" t="s">
        <v>816</v>
      </c>
      <c r="BJ1648" s="46" t="s">
        <v>798</v>
      </c>
      <c r="BK1648" s="46">
        <v>2022</v>
      </c>
      <c r="BL1648" s="46" t="str">
        <f>BK1648&amp;BI1648</f>
        <v>2022Chelsea</v>
      </c>
      <c r="BM1648" s="52" t="s">
        <v>1017</v>
      </c>
      <c r="BV1648" s="46" t="s">
        <v>376</v>
      </c>
      <c r="BW1648" s="46" t="s">
        <v>376</v>
      </c>
      <c r="BZ1648" s="53"/>
      <c r="CA1648" s="53"/>
      <c r="CB1648" s="93" t="str">
        <f>IF(OR(C1648="",A1648="",B1648=""),"",TEXT(C1648,"0000")&amp;TEXT(A1648,"00")&amp;TEXT(B1648,"00"))</f>
        <v>20220417</v>
      </c>
    </row>
    <row r="1649" spans="1:80" s="46" customFormat="1" ht="13.35" customHeight="1" x14ac:dyDescent="0.2">
      <c r="A1649" s="46">
        <v>4</v>
      </c>
      <c r="B1649" s="46">
        <v>17</v>
      </c>
      <c r="C1649" s="46">
        <v>2022</v>
      </c>
      <c r="D1649" s="46" t="s">
        <v>658</v>
      </c>
      <c r="E1649" s="46" t="s">
        <v>185</v>
      </c>
      <c r="F1649" s="46" t="s">
        <v>1010</v>
      </c>
      <c r="H1649" s="46" t="s">
        <v>1011</v>
      </c>
      <c r="J1649" s="64">
        <v>44668</v>
      </c>
      <c r="K1649" s="46" t="s">
        <v>798</v>
      </c>
      <c r="L1649" s="46" t="s">
        <v>4</v>
      </c>
      <c r="M1649" s="46" t="s">
        <v>816</v>
      </c>
      <c r="N1649" s="49">
        <v>0</v>
      </c>
      <c r="O1649" s="49">
        <v>2</v>
      </c>
      <c r="P1649" s="86" t="s">
        <v>1415</v>
      </c>
      <c r="Q1649" s="86" t="s">
        <v>1017</v>
      </c>
      <c r="R1649" s="86" t="s">
        <v>376</v>
      </c>
      <c r="AE1649" s="50">
        <v>0</v>
      </c>
      <c r="AF1649" s="50">
        <v>0</v>
      </c>
      <c r="AG1649" s="50">
        <v>1</v>
      </c>
      <c r="AH1649" s="46" t="s">
        <v>1017</v>
      </c>
      <c r="AI1649" s="46" t="s">
        <v>1018</v>
      </c>
      <c r="AJ1649" s="46" t="s">
        <v>376</v>
      </c>
      <c r="AK1649" s="46" t="s">
        <v>658</v>
      </c>
      <c r="AL1649" s="46" t="s">
        <v>1017</v>
      </c>
      <c r="AM1649" s="46" t="s">
        <v>1018</v>
      </c>
      <c r="AN1649" s="46" t="s">
        <v>376</v>
      </c>
      <c r="AO1649" s="46" t="s">
        <v>658</v>
      </c>
      <c r="AQ1649" s="46">
        <v>2</v>
      </c>
      <c r="AU1649" s="46" t="s">
        <v>376</v>
      </c>
      <c r="AW1649" s="46" t="s">
        <v>30</v>
      </c>
      <c r="AY1649" s="46" t="s">
        <v>30</v>
      </c>
      <c r="BB1649" s="51"/>
      <c r="BF1649" s="46">
        <v>1</v>
      </c>
      <c r="BG1649" s="46">
        <v>1</v>
      </c>
      <c r="BH1649" s="46">
        <v>1</v>
      </c>
      <c r="BI1649" s="46" t="s">
        <v>798</v>
      </c>
      <c r="BJ1649" s="46" t="s">
        <v>816</v>
      </c>
      <c r="BK1649" s="46">
        <v>2022</v>
      </c>
      <c r="BL1649" s="46" t="str">
        <f>BK1649&amp;BI1649</f>
        <v>2022Crystal Palace</v>
      </c>
      <c r="BM1649" s="52" t="s">
        <v>1017</v>
      </c>
      <c r="BV1649" s="46" t="s">
        <v>376</v>
      </c>
      <c r="BW1649" s="46" t="s">
        <v>376</v>
      </c>
      <c r="BZ1649" s="53"/>
      <c r="CA1649" s="53"/>
      <c r="CB1649" s="93" t="str">
        <f>IF(OR(C1649="",A1649="",B1649=""),"",TEXT(C1649,"0000")&amp;TEXT(A1649,"00")&amp;TEXT(B1649,"00"))</f>
        <v>20220417</v>
      </c>
    </row>
    <row r="1650" spans="1:80" s="46" customFormat="1" ht="13.35" customHeight="1" x14ac:dyDescent="0.2">
      <c r="A1650" s="46">
        <v>5</v>
      </c>
      <c r="B1650" s="46">
        <v>14</v>
      </c>
      <c r="C1650" s="46">
        <v>2022</v>
      </c>
      <c r="D1650" s="46" t="s">
        <v>658</v>
      </c>
      <c r="E1650" s="46" t="s">
        <v>185</v>
      </c>
      <c r="F1650" s="46" t="s">
        <v>1010</v>
      </c>
      <c r="H1650" s="46" t="s">
        <v>40</v>
      </c>
      <c r="J1650" s="64">
        <v>44695</v>
      </c>
      <c r="K1650" s="46" t="s">
        <v>588</v>
      </c>
      <c r="L1650" s="46" t="s">
        <v>3</v>
      </c>
      <c r="M1650" s="46" t="s">
        <v>816</v>
      </c>
      <c r="N1650" s="49">
        <v>0</v>
      </c>
      <c r="O1650" s="49">
        <v>0</v>
      </c>
      <c r="P1650" s="86" t="s">
        <v>1415</v>
      </c>
      <c r="Q1650" s="86" t="s">
        <v>1017</v>
      </c>
      <c r="R1650" s="86" t="s">
        <v>376</v>
      </c>
      <c r="S1650" s="46" t="s">
        <v>1390</v>
      </c>
      <c r="T1650" s="46">
        <v>6</v>
      </c>
      <c r="U1650" s="46">
        <v>5</v>
      </c>
      <c r="AE1650" s="50">
        <v>1</v>
      </c>
      <c r="AF1650" s="50">
        <v>0</v>
      </c>
      <c r="AG1650" s="50">
        <v>0</v>
      </c>
      <c r="AH1650" s="46" t="s">
        <v>588</v>
      </c>
      <c r="AI1650" s="46" t="s">
        <v>1175</v>
      </c>
      <c r="AJ1650" s="46" t="s">
        <v>376</v>
      </c>
      <c r="AK1650" s="46" t="s">
        <v>658</v>
      </c>
      <c r="AL1650" s="46" t="s">
        <v>1017</v>
      </c>
      <c r="AM1650" s="46" t="s">
        <v>1018</v>
      </c>
      <c r="AN1650" s="46" t="s">
        <v>376</v>
      </c>
      <c r="AO1650" s="46" t="s">
        <v>658</v>
      </c>
      <c r="AQ1650" s="46">
        <v>1</v>
      </c>
      <c r="AU1650" s="46" t="s">
        <v>376</v>
      </c>
      <c r="AW1650" s="46" t="s">
        <v>30</v>
      </c>
      <c r="AY1650" s="46" t="s">
        <v>30</v>
      </c>
      <c r="BB1650" s="51" t="s">
        <v>30</v>
      </c>
      <c r="BC1650" s="46" t="s">
        <v>30</v>
      </c>
      <c r="BF1650" s="46">
        <v>1</v>
      </c>
      <c r="BG1650" s="46">
        <v>1</v>
      </c>
      <c r="BH1650" s="46">
        <v>1</v>
      </c>
      <c r="BI1650" s="46" t="s">
        <v>588</v>
      </c>
      <c r="BJ1650" s="46" t="s">
        <v>816</v>
      </c>
      <c r="BK1650" s="46">
        <v>2022</v>
      </c>
      <c r="BL1650" s="46" t="str">
        <f>BK1650&amp;BI1650</f>
        <v>2022Liverpool</v>
      </c>
      <c r="BM1650" s="52" t="s">
        <v>1017</v>
      </c>
      <c r="BV1650" s="46" t="s">
        <v>376</v>
      </c>
      <c r="BW1650" s="46" t="s">
        <v>376</v>
      </c>
      <c r="BZ1650" s="53"/>
      <c r="CA1650" s="53"/>
      <c r="CB1650" s="93" t="str">
        <f>IF(OR(C1650="",A1650="",B1650=""),"",TEXT(C1650,"0000")&amp;TEXT(A1650,"00")&amp;TEXT(B1650,"00"))</f>
        <v>20220514</v>
      </c>
    </row>
    <row r="1651" spans="1:80" s="46" customFormat="1" ht="13.35" customHeight="1" x14ac:dyDescent="0.2">
      <c r="A1651" s="46">
        <v>5</v>
      </c>
      <c r="B1651" s="46">
        <v>14</v>
      </c>
      <c r="C1651" s="46">
        <v>2022</v>
      </c>
      <c r="D1651" s="46" t="s">
        <v>658</v>
      </c>
      <c r="E1651" s="46" t="s">
        <v>185</v>
      </c>
      <c r="F1651" s="46" t="s">
        <v>1010</v>
      </c>
      <c r="H1651" s="46" t="s">
        <v>40</v>
      </c>
      <c r="J1651" s="64">
        <v>44695</v>
      </c>
      <c r="K1651" s="46" t="s">
        <v>816</v>
      </c>
      <c r="L1651" s="46" t="s">
        <v>4</v>
      </c>
      <c r="M1651" s="46" t="s">
        <v>588</v>
      </c>
      <c r="N1651" s="49">
        <v>0</v>
      </c>
      <c r="O1651" s="49">
        <v>0</v>
      </c>
      <c r="P1651" s="86" t="s">
        <v>1415</v>
      </c>
      <c r="Q1651" s="86" t="s">
        <v>1017</v>
      </c>
      <c r="R1651" s="86" t="s">
        <v>376</v>
      </c>
      <c r="S1651" s="46" t="s">
        <v>1390</v>
      </c>
      <c r="T1651" s="46">
        <v>5</v>
      </c>
      <c r="U1651" s="46">
        <v>6</v>
      </c>
      <c r="AE1651" s="50">
        <v>0</v>
      </c>
      <c r="AF1651" s="50">
        <v>0</v>
      </c>
      <c r="AG1651" s="50">
        <v>1</v>
      </c>
      <c r="AH1651" s="46" t="s">
        <v>1017</v>
      </c>
      <c r="AI1651" s="46" t="s">
        <v>1018</v>
      </c>
      <c r="AJ1651" s="46" t="s">
        <v>376</v>
      </c>
      <c r="AK1651" s="46" t="s">
        <v>658</v>
      </c>
      <c r="AL1651" s="46" t="s">
        <v>588</v>
      </c>
      <c r="AM1651" s="46" t="s">
        <v>1175</v>
      </c>
      <c r="AN1651" s="46" t="s">
        <v>376</v>
      </c>
      <c r="AO1651" s="46" t="s">
        <v>658</v>
      </c>
      <c r="AQ1651" s="46">
        <v>1</v>
      </c>
      <c r="AU1651" s="46" t="s">
        <v>376</v>
      </c>
      <c r="AW1651" s="46" t="s">
        <v>30</v>
      </c>
      <c r="AY1651" s="46" t="s">
        <v>30</v>
      </c>
      <c r="BB1651" s="51"/>
      <c r="BC1651" s="46" t="s">
        <v>30</v>
      </c>
      <c r="BF1651" s="46">
        <v>1</v>
      </c>
      <c r="BG1651" s="46">
        <v>1</v>
      </c>
      <c r="BH1651" s="46">
        <v>1</v>
      </c>
      <c r="BI1651" s="46" t="s">
        <v>816</v>
      </c>
      <c r="BJ1651" s="46" t="s">
        <v>588</v>
      </c>
      <c r="BK1651" s="46">
        <v>2022</v>
      </c>
      <c r="BL1651" s="46" t="str">
        <f>BK1651&amp;BI1651</f>
        <v>2022Chelsea</v>
      </c>
      <c r="BM1651" s="52" t="s">
        <v>1017</v>
      </c>
      <c r="BV1651" s="46" t="s">
        <v>376</v>
      </c>
      <c r="BW1651" s="46" t="s">
        <v>376</v>
      </c>
      <c r="BZ1651" s="53"/>
      <c r="CA1651" s="53"/>
      <c r="CB1651" s="93" t="str">
        <f>IF(OR(C1651="",A1651="",B1651=""),"",TEXT(C1651,"0000")&amp;TEXT(A1651,"00")&amp;TEXT(B1651,"00"))</f>
        <v>20220514</v>
      </c>
    </row>
    <row r="1652" spans="1:80" s="50" customFormat="1" ht="13.35" customHeight="1" x14ac:dyDescent="0.2">
      <c r="A1652" s="46">
        <v>1</v>
      </c>
      <c r="B1652" s="46">
        <v>24</v>
      </c>
      <c r="C1652" s="46">
        <v>2023</v>
      </c>
      <c r="D1652" s="46" t="s">
        <v>658</v>
      </c>
      <c r="E1652" s="46" t="s">
        <v>183</v>
      </c>
      <c r="F1652" s="46" t="s">
        <v>1327</v>
      </c>
      <c r="G1652" s="46"/>
      <c r="H1652" s="46" t="s">
        <v>1011</v>
      </c>
      <c r="I1652" s="46">
        <v>1</v>
      </c>
      <c r="J1652" s="64">
        <v>44950</v>
      </c>
      <c r="K1652" s="46" t="s">
        <v>629</v>
      </c>
      <c r="L1652" s="46" t="s">
        <v>4</v>
      </c>
      <c r="M1652" s="46" t="s">
        <v>805</v>
      </c>
      <c r="N1652" s="49">
        <v>0</v>
      </c>
      <c r="O1652" s="49">
        <v>1</v>
      </c>
      <c r="P1652" s="46" t="s">
        <v>1425</v>
      </c>
      <c r="Q1652" s="46" t="s">
        <v>629</v>
      </c>
      <c r="R1652" s="46" t="s">
        <v>376</v>
      </c>
      <c r="S1652" s="46"/>
      <c r="T1652" s="46"/>
      <c r="U1652" s="46"/>
      <c r="V1652" s="46"/>
      <c r="W1652" s="46"/>
      <c r="X1652" s="46"/>
      <c r="Y1652" s="46"/>
      <c r="Z1652" s="46"/>
      <c r="AA1652" s="46">
        <v>0</v>
      </c>
      <c r="AB1652" s="46">
        <v>1</v>
      </c>
      <c r="AC1652" s="46"/>
      <c r="AD1652" s="46" t="s">
        <v>1033</v>
      </c>
      <c r="AE1652" s="46">
        <v>0</v>
      </c>
      <c r="AF1652" s="46">
        <v>0</v>
      </c>
      <c r="AG1652" s="46">
        <v>1</v>
      </c>
      <c r="AH1652" s="46" t="s">
        <v>629</v>
      </c>
      <c r="AI1652" s="46" t="s">
        <v>1199</v>
      </c>
      <c r="AJ1652" s="46" t="s">
        <v>376</v>
      </c>
      <c r="AK1652" s="46" t="s">
        <v>658</v>
      </c>
      <c r="AL1652" s="46" t="s">
        <v>1227</v>
      </c>
      <c r="AM1652" s="46" t="s">
        <v>1164</v>
      </c>
      <c r="AN1652" s="46" t="s">
        <v>376</v>
      </c>
      <c r="AO1652" s="46" t="s">
        <v>658</v>
      </c>
      <c r="AP1652" s="46"/>
      <c r="AQ1652" s="46">
        <v>2</v>
      </c>
      <c r="AR1652" s="46"/>
      <c r="AS1652" s="46"/>
      <c r="AT1652" s="46"/>
      <c r="AU1652" s="46" t="s">
        <v>376</v>
      </c>
      <c r="AV1652" s="46"/>
      <c r="AW1652" s="46" t="s">
        <v>30</v>
      </c>
      <c r="AX1652" s="46"/>
      <c r="AY1652" s="46"/>
      <c r="AZ1652" s="46" t="s">
        <v>30</v>
      </c>
      <c r="BA1652" s="46"/>
      <c r="BB1652" s="51"/>
      <c r="BC1652" s="46"/>
      <c r="BD1652" s="46"/>
      <c r="BE1652" s="46"/>
      <c r="BF1652" s="46">
        <v>1</v>
      </c>
      <c r="BG1652" s="46">
        <v>1</v>
      </c>
      <c r="BH1652" s="46">
        <v>1</v>
      </c>
      <c r="BI1652" s="46" t="s">
        <v>629</v>
      </c>
      <c r="BJ1652" s="46" t="s">
        <v>805</v>
      </c>
      <c r="BK1652" s="46">
        <v>2023</v>
      </c>
      <c r="BL1652" s="46" t="str">
        <f>BK1652&amp;BI1652</f>
        <v>2023Southampton</v>
      </c>
      <c r="BM1652" s="46" t="s">
        <v>629</v>
      </c>
      <c r="BN1652" s="46"/>
      <c r="BO1652" s="46"/>
      <c r="BP1652" s="46"/>
      <c r="BQ1652" s="46"/>
      <c r="BR1652" s="46"/>
      <c r="BS1652" s="46"/>
      <c r="BT1652" s="46"/>
      <c r="BU1652" s="46"/>
      <c r="BV1652" s="46" t="s">
        <v>376</v>
      </c>
      <c r="BW1652" s="46" t="s">
        <v>376</v>
      </c>
      <c r="BX1652" s="46"/>
      <c r="BY1652" s="46"/>
      <c r="BZ1652" s="53"/>
      <c r="CA1652" s="53"/>
      <c r="CB1652" s="93" t="str">
        <f>IF(OR(C1652="",A1652="",B1652=""),"",TEXT(C1652,"0000")&amp;TEXT(A1652,"00")&amp;TEXT(B1652,"00"))</f>
        <v>20230124</v>
      </c>
    </row>
    <row r="1653" spans="1:80" s="50" customFormat="1" ht="13.35" customHeight="1" x14ac:dyDescent="0.2">
      <c r="A1653" s="46">
        <v>1</v>
      </c>
      <c r="B1653" s="46">
        <v>24</v>
      </c>
      <c r="C1653" s="46">
        <v>2023</v>
      </c>
      <c r="D1653" s="46" t="s">
        <v>658</v>
      </c>
      <c r="E1653" s="46" t="s">
        <v>183</v>
      </c>
      <c r="F1653" s="46" t="s">
        <v>1327</v>
      </c>
      <c r="G1653" s="46"/>
      <c r="H1653" s="46" t="s">
        <v>1011</v>
      </c>
      <c r="I1653" s="46">
        <v>1</v>
      </c>
      <c r="J1653" s="64">
        <v>44950</v>
      </c>
      <c r="K1653" s="46" t="s">
        <v>805</v>
      </c>
      <c r="L1653" s="46" t="s">
        <v>3</v>
      </c>
      <c r="M1653" s="46" t="s">
        <v>629</v>
      </c>
      <c r="N1653" s="49">
        <v>1</v>
      </c>
      <c r="O1653" s="49">
        <v>0</v>
      </c>
      <c r="P1653" s="46" t="s">
        <v>1425</v>
      </c>
      <c r="Q1653" s="46" t="s">
        <v>629</v>
      </c>
      <c r="R1653" s="46" t="s">
        <v>376</v>
      </c>
      <c r="S1653" s="46"/>
      <c r="T1653" s="46"/>
      <c r="U1653" s="46"/>
      <c r="V1653" s="46"/>
      <c r="W1653" s="46"/>
      <c r="X1653" s="46"/>
      <c r="Y1653" s="46"/>
      <c r="Z1653" s="46"/>
      <c r="AA1653" s="46">
        <v>1</v>
      </c>
      <c r="AB1653" s="46">
        <v>0</v>
      </c>
      <c r="AC1653" s="46"/>
      <c r="AD1653" s="46" t="s">
        <v>1037</v>
      </c>
      <c r="AE1653" s="46">
        <v>1</v>
      </c>
      <c r="AF1653" s="46">
        <v>0</v>
      </c>
      <c r="AG1653" s="46">
        <v>0</v>
      </c>
      <c r="AH1653" s="46" t="s">
        <v>1227</v>
      </c>
      <c r="AI1653" s="46" t="s">
        <v>1164</v>
      </c>
      <c r="AJ1653" s="46" t="s">
        <v>376</v>
      </c>
      <c r="AK1653" s="46" t="s">
        <v>658</v>
      </c>
      <c r="AL1653" s="46" t="s">
        <v>629</v>
      </c>
      <c r="AM1653" s="46" t="s">
        <v>1199</v>
      </c>
      <c r="AN1653" s="46" t="s">
        <v>376</v>
      </c>
      <c r="AO1653" s="46" t="s">
        <v>658</v>
      </c>
      <c r="AP1653" s="46"/>
      <c r="AQ1653" s="46">
        <v>2</v>
      </c>
      <c r="AR1653" s="46"/>
      <c r="AS1653" s="46"/>
      <c r="AT1653" s="46"/>
      <c r="AU1653" s="46" t="s">
        <v>376</v>
      </c>
      <c r="AV1653" s="46"/>
      <c r="AW1653" s="46" t="s">
        <v>30</v>
      </c>
      <c r="AX1653" s="46"/>
      <c r="AY1653" s="46"/>
      <c r="AZ1653" s="46" t="s">
        <v>30</v>
      </c>
      <c r="BA1653" s="46"/>
      <c r="BB1653" s="51"/>
      <c r="BC1653" s="46"/>
      <c r="BD1653" s="46"/>
      <c r="BE1653" s="46"/>
      <c r="BF1653" s="46">
        <v>1</v>
      </c>
      <c r="BG1653" s="46">
        <v>1</v>
      </c>
      <c r="BH1653" s="46">
        <v>1</v>
      </c>
      <c r="BI1653" s="46" t="s">
        <v>805</v>
      </c>
      <c r="BJ1653" s="46" t="s">
        <v>629</v>
      </c>
      <c r="BK1653" s="46">
        <v>2023</v>
      </c>
      <c r="BL1653" s="46" t="str">
        <f>BK1653&amp;BI1653</f>
        <v>2023Newcastle United</v>
      </c>
      <c r="BM1653" s="46" t="s">
        <v>629</v>
      </c>
      <c r="BN1653" s="46"/>
      <c r="BO1653" s="46"/>
      <c r="BP1653" s="46"/>
      <c r="BQ1653" s="46"/>
      <c r="BR1653" s="46"/>
      <c r="BS1653" s="46"/>
      <c r="BT1653" s="46"/>
      <c r="BU1653" s="46"/>
      <c r="BV1653" s="46" t="s">
        <v>376</v>
      </c>
      <c r="BW1653" s="46" t="s">
        <v>376</v>
      </c>
      <c r="BX1653" s="46"/>
      <c r="BY1653" s="46"/>
      <c r="BZ1653" s="53"/>
      <c r="CA1653" s="53"/>
      <c r="CB1653" s="93" t="str">
        <f>IF(OR(C1653="",A1653="",B1653=""),"",TEXT(C1653,"0000")&amp;TEXT(A1653,"00")&amp;TEXT(B1653,"00"))</f>
        <v>20230124</v>
      </c>
    </row>
    <row r="1654" spans="1:80" s="50" customFormat="1" ht="13.35" customHeight="1" x14ac:dyDescent="0.2">
      <c r="A1654" s="46">
        <v>1</v>
      </c>
      <c r="B1654" s="46">
        <v>25</v>
      </c>
      <c r="C1654" s="46">
        <v>2023</v>
      </c>
      <c r="D1654" s="46" t="s">
        <v>658</v>
      </c>
      <c r="E1654" s="46" t="s">
        <v>183</v>
      </c>
      <c r="F1654" s="46" t="s">
        <v>1327</v>
      </c>
      <c r="G1654" s="46"/>
      <c r="H1654" s="46" t="s">
        <v>1011</v>
      </c>
      <c r="I1654" s="46">
        <v>1</v>
      </c>
      <c r="J1654" s="64">
        <v>44951</v>
      </c>
      <c r="K1654" s="46" t="s">
        <v>1072</v>
      </c>
      <c r="L1654" s="46" t="s">
        <v>4</v>
      </c>
      <c r="M1654" s="46" t="s">
        <v>821</v>
      </c>
      <c r="N1654" s="49">
        <v>0</v>
      </c>
      <c r="O1654" s="49">
        <v>3</v>
      </c>
      <c r="P1654" s="46" t="s">
        <v>1135</v>
      </c>
      <c r="Q1654" s="46" t="s">
        <v>1073</v>
      </c>
      <c r="R1654" s="46" t="s">
        <v>376</v>
      </c>
      <c r="S1654" s="46"/>
      <c r="T1654" s="46"/>
      <c r="U1654" s="46"/>
      <c r="V1654" s="46"/>
      <c r="W1654" s="46"/>
      <c r="X1654" s="46"/>
      <c r="Y1654" s="46"/>
      <c r="Z1654" s="46"/>
      <c r="AA1654" s="46">
        <v>0</v>
      </c>
      <c r="AB1654" s="46">
        <v>3</v>
      </c>
      <c r="AC1654" s="46"/>
      <c r="AD1654" s="46" t="s">
        <v>1033</v>
      </c>
      <c r="AE1654" s="46">
        <v>0</v>
      </c>
      <c r="AF1654" s="46">
        <v>0</v>
      </c>
      <c r="AG1654" s="46">
        <v>1</v>
      </c>
      <c r="AH1654" s="46" t="s">
        <v>1073</v>
      </c>
      <c r="AI1654" s="46" t="s">
        <v>1074</v>
      </c>
      <c r="AJ1654" s="46" t="s">
        <v>376</v>
      </c>
      <c r="AK1654" s="46" t="s">
        <v>658</v>
      </c>
      <c r="AL1654" s="46" t="s">
        <v>1101</v>
      </c>
      <c r="AM1654" s="46" t="s">
        <v>1159</v>
      </c>
      <c r="AN1654" s="46" t="s">
        <v>376</v>
      </c>
      <c r="AO1654" s="46" t="s">
        <v>658</v>
      </c>
      <c r="AP1654" s="46"/>
      <c r="AQ1654" s="46">
        <v>2</v>
      </c>
      <c r="AR1654" s="46"/>
      <c r="AS1654" s="46"/>
      <c r="AT1654" s="46"/>
      <c r="AU1654" s="46" t="s">
        <v>376</v>
      </c>
      <c r="AV1654" s="46"/>
      <c r="AW1654" s="46" t="s">
        <v>30</v>
      </c>
      <c r="AX1654" s="46"/>
      <c r="AY1654" s="46"/>
      <c r="AZ1654" s="46" t="s">
        <v>30</v>
      </c>
      <c r="BA1654" s="46"/>
      <c r="BB1654" s="51"/>
      <c r="BC1654" s="46"/>
      <c r="BD1654" s="46"/>
      <c r="BE1654" s="46"/>
      <c r="BF1654" s="46">
        <v>1</v>
      </c>
      <c r="BG1654" s="46">
        <v>1</v>
      </c>
      <c r="BH1654" s="46">
        <v>1</v>
      </c>
      <c r="BI1654" s="46" t="s">
        <v>1072</v>
      </c>
      <c r="BJ1654" s="46" t="s">
        <v>821</v>
      </c>
      <c r="BK1654" s="46">
        <v>2023</v>
      </c>
      <c r="BL1654" s="46" t="str">
        <f>BK1654&amp;BI1654</f>
        <v>2023Nottingham Forest</v>
      </c>
      <c r="BM1654" s="46" t="s">
        <v>1072</v>
      </c>
      <c r="BN1654" s="46"/>
      <c r="BO1654" s="46"/>
      <c r="BP1654" s="46"/>
      <c r="BQ1654" s="46"/>
      <c r="BR1654" s="46"/>
      <c r="BS1654" s="46"/>
      <c r="BT1654" s="46"/>
      <c r="BU1654" s="46"/>
      <c r="BV1654" s="46" t="s">
        <v>376</v>
      </c>
      <c r="BW1654" s="46" t="s">
        <v>376</v>
      </c>
      <c r="BX1654" s="46"/>
      <c r="BY1654" s="46"/>
      <c r="BZ1654" s="53"/>
      <c r="CA1654" s="53"/>
      <c r="CB1654" s="93" t="str">
        <f>IF(OR(C1654="",A1654="",B1654=""),"",TEXT(C1654,"0000")&amp;TEXT(A1654,"00")&amp;TEXT(B1654,"00"))</f>
        <v>20230125</v>
      </c>
    </row>
    <row r="1655" spans="1:80" s="50" customFormat="1" ht="13.35" customHeight="1" x14ac:dyDescent="0.2">
      <c r="A1655" s="46">
        <v>1</v>
      </c>
      <c r="B1655" s="46">
        <v>25</v>
      </c>
      <c r="C1655" s="46">
        <v>2023</v>
      </c>
      <c r="D1655" s="46" t="s">
        <v>658</v>
      </c>
      <c r="E1655" s="46" t="s">
        <v>183</v>
      </c>
      <c r="F1655" s="46" t="s">
        <v>1327</v>
      </c>
      <c r="G1655" s="46"/>
      <c r="H1655" s="46" t="s">
        <v>1011</v>
      </c>
      <c r="I1655" s="46">
        <v>1</v>
      </c>
      <c r="J1655" s="64">
        <v>44951</v>
      </c>
      <c r="K1655" s="46" t="s">
        <v>821</v>
      </c>
      <c r="L1655" s="46" t="s">
        <v>3</v>
      </c>
      <c r="M1655" s="46" t="s">
        <v>1072</v>
      </c>
      <c r="N1655" s="49">
        <v>3</v>
      </c>
      <c r="O1655" s="49">
        <v>0</v>
      </c>
      <c r="P1655" s="46" t="s">
        <v>1135</v>
      </c>
      <c r="Q1655" s="46" t="s">
        <v>1073</v>
      </c>
      <c r="R1655" s="46" t="s">
        <v>376</v>
      </c>
      <c r="S1655" s="46"/>
      <c r="T1655" s="46"/>
      <c r="U1655" s="46"/>
      <c r="V1655" s="46"/>
      <c r="W1655" s="46"/>
      <c r="X1655" s="46"/>
      <c r="Y1655" s="46"/>
      <c r="Z1655" s="46"/>
      <c r="AA1655" s="46">
        <v>3</v>
      </c>
      <c r="AB1655" s="46">
        <v>0</v>
      </c>
      <c r="AC1655" s="46"/>
      <c r="AD1655" s="46" t="s">
        <v>1037</v>
      </c>
      <c r="AE1655" s="46">
        <v>1</v>
      </c>
      <c r="AF1655" s="46">
        <v>0</v>
      </c>
      <c r="AG1655" s="46">
        <v>0</v>
      </c>
      <c r="AH1655" s="46" t="s">
        <v>1101</v>
      </c>
      <c r="AI1655" s="46" t="s">
        <v>1159</v>
      </c>
      <c r="AJ1655" s="46" t="s">
        <v>376</v>
      </c>
      <c r="AK1655" s="46" t="s">
        <v>658</v>
      </c>
      <c r="AL1655" s="46" t="s">
        <v>1073</v>
      </c>
      <c r="AM1655" s="46" t="s">
        <v>1074</v>
      </c>
      <c r="AN1655" s="46" t="s">
        <v>376</v>
      </c>
      <c r="AO1655" s="46" t="s">
        <v>658</v>
      </c>
      <c r="AP1655" s="46"/>
      <c r="AQ1655" s="46">
        <v>2</v>
      </c>
      <c r="AR1655" s="46"/>
      <c r="AS1655" s="46"/>
      <c r="AT1655" s="46"/>
      <c r="AU1655" s="46" t="s">
        <v>376</v>
      </c>
      <c r="AV1655" s="46"/>
      <c r="AW1655" s="46" t="s">
        <v>30</v>
      </c>
      <c r="AX1655" s="46"/>
      <c r="AY1655" s="46"/>
      <c r="AZ1655" s="46" t="s">
        <v>30</v>
      </c>
      <c r="BA1655" s="46"/>
      <c r="BB1655" s="51"/>
      <c r="BC1655" s="46"/>
      <c r="BD1655" s="46"/>
      <c r="BE1655" s="46"/>
      <c r="BF1655" s="46">
        <v>1</v>
      </c>
      <c r="BG1655" s="46">
        <v>1</v>
      </c>
      <c r="BH1655" s="46">
        <v>1</v>
      </c>
      <c r="BI1655" s="46" t="s">
        <v>821</v>
      </c>
      <c r="BJ1655" s="46" t="s">
        <v>1072</v>
      </c>
      <c r="BK1655" s="46">
        <v>2023</v>
      </c>
      <c r="BL1655" s="46" t="str">
        <f>BK1655&amp;BI1655</f>
        <v>2023Manchester United</v>
      </c>
      <c r="BM1655" s="46" t="s">
        <v>1072</v>
      </c>
      <c r="BN1655" s="46"/>
      <c r="BO1655" s="46"/>
      <c r="BP1655" s="46"/>
      <c r="BQ1655" s="46"/>
      <c r="BR1655" s="46"/>
      <c r="BS1655" s="46"/>
      <c r="BT1655" s="46"/>
      <c r="BU1655" s="46"/>
      <c r="BV1655" s="46" t="s">
        <v>376</v>
      </c>
      <c r="BW1655" s="46" t="s">
        <v>376</v>
      </c>
      <c r="BX1655" s="46"/>
      <c r="BY1655" s="46"/>
      <c r="BZ1655" s="53"/>
      <c r="CA1655" s="53"/>
      <c r="CB1655" s="93" t="str">
        <f>IF(OR(C1655="",A1655="",B1655=""),"",TEXT(C1655,"0000")&amp;TEXT(A1655,"00")&amp;TEXT(B1655,"00"))</f>
        <v>20230125</v>
      </c>
    </row>
    <row r="1656" spans="1:80" s="50" customFormat="1" ht="13.35" customHeight="1" x14ac:dyDescent="0.2">
      <c r="A1656" s="46">
        <v>1</v>
      </c>
      <c r="B1656" s="46">
        <v>31</v>
      </c>
      <c r="C1656" s="46">
        <v>2023</v>
      </c>
      <c r="D1656" s="46" t="s">
        <v>658</v>
      </c>
      <c r="E1656" s="46" t="s">
        <v>183</v>
      </c>
      <c r="F1656" s="46" t="s">
        <v>1327</v>
      </c>
      <c r="G1656" s="46"/>
      <c r="H1656" s="46" t="s">
        <v>1011</v>
      </c>
      <c r="I1656" s="46">
        <v>2</v>
      </c>
      <c r="J1656" s="64">
        <v>44957</v>
      </c>
      <c r="K1656" s="46" t="s">
        <v>805</v>
      </c>
      <c r="L1656" s="46" t="s">
        <v>3</v>
      </c>
      <c r="M1656" s="46" t="s">
        <v>629</v>
      </c>
      <c r="N1656" s="49">
        <v>2</v>
      </c>
      <c r="O1656" s="49">
        <v>1</v>
      </c>
      <c r="P1656" s="46" t="s">
        <v>1368</v>
      </c>
      <c r="Q1656" s="46" t="s">
        <v>1227</v>
      </c>
      <c r="R1656" s="46" t="s">
        <v>376</v>
      </c>
      <c r="S1656" s="46"/>
      <c r="T1656" s="46"/>
      <c r="U1656" s="46"/>
      <c r="V1656" s="46"/>
      <c r="W1656" s="46"/>
      <c r="X1656" s="46"/>
      <c r="Y1656" s="46"/>
      <c r="Z1656" s="46"/>
      <c r="AA1656" s="46">
        <v>3</v>
      </c>
      <c r="AB1656" s="46">
        <v>1</v>
      </c>
      <c r="AC1656" s="46"/>
      <c r="AD1656" s="46" t="s">
        <v>1033</v>
      </c>
      <c r="AE1656" s="46">
        <v>1</v>
      </c>
      <c r="AF1656" s="46">
        <v>0</v>
      </c>
      <c r="AG1656" s="46">
        <v>0</v>
      </c>
      <c r="AH1656" s="46" t="s">
        <v>1227</v>
      </c>
      <c r="AI1656" s="46" t="s">
        <v>1164</v>
      </c>
      <c r="AJ1656" s="46" t="s">
        <v>376</v>
      </c>
      <c r="AK1656" s="46" t="s">
        <v>658</v>
      </c>
      <c r="AL1656" s="46" t="s">
        <v>629</v>
      </c>
      <c r="AM1656" s="46" t="s">
        <v>1199</v>
      </c>
      <c r="AN1656" s="46" t="s">
        <v>376</v>
      </c>
      <c r="AO1656" s="46" t="s">
        <v>658</v>
      </c>
      <c r="AP1656" s="46"/>
      <c r="AQ1656" s="46">
        <v>2</v>
      </c>
      <c r="AR1656" s="46"/>
      <c r="AS1656" s="46"/>
      <c r="AT1656" s="46"/>
      <c r="AU1656" s="46" t="s">
        <v>376</v>
      </c>
      <c r="AV1656" s="46"/>
      <c r="AW1656" s="46" t="s">
        <v>30</v>
      </c>
      <c r="AX1656" s="46"/>
      <c r="AY1656" s="46"/>
      <c r="AZ1656" s="46" t="s">
        <v>30</v>
      </c>
      <c r="BA1656" s="46"/>
      <c r="BB1656" s="51"/>
      <c r="BC1656" s="46"/>
      <c r="BD1656" s="46"/>
      <c r="BE1656" s="46"/>
      <c r="BF1656" s="46">
        <v>1</v>
      </c>
      <c r="BG1656" s="46">
        <v>1</v>
      </c>
      <c r="BH1656" s="46">
        <v>1</v>
      </c>
      <c r="BI1656" s="46" t="s">
        <v>805</v>
      </c>
      <c r="BJ1656" s="46" t="s">
        <v>629</v>
      </c>
      <c r="BK1656" s="46">
        <v>2023</v>
      </c>
      <c r="BL1656" s="46" t="str">
        <f>BK1656&amp;BI1656</f>
        <v>2023Newcastle United</v>
      </c>
      <c r="BM1656" s="46" t="s">
        <v>805</v>
      </c>
      <c r="BN1656" s="46"/>
      <c r="BO1656" s="46"/>
      <c r="BP1656" s="46"/>
      <c r="BQ1656" s="46"/>
      <c r="BR1656" s="46"/>
      <c r="BS1656" s="46"/>
      <c r="BT1656" s="46"/>
      <c r="BU1656" s="46"/>
      <c r="BV1656" s="46" t="s">
        <v>376</v>
      </c>
      <c r="BW1656" s="46" t="s">
        <v>376</v>
      </c>
      <c r="BX1656" s="46"/>
      <c r="BY1656" s="46"/>
      <c r="BZ1656" s="53"/>
      <c r="CA1656" s="53"/>
      <c r="CB1656" s="93" t="str">
        <f>IF(OR(C1656="",A1656="",B1656=""),"",TEXT(C1656,"0000")&amp;TEXT(A1656,"00")&amp;TEXT(B1656,"00"))</f>
        <v>20230131</v>
      </c>
    </row>
    <row r="1657" spans="1:80" s="50" customFormat="1" ht="13.35" customHeight="1" x14ac:dyDescent="0.2">
      <c r="A1657" s="46">
        <v>1</v>
      </c>
      <c r="B1657" s="46">
        <v>31</v>
      </c>
      <c r="C1657" s="46">
        <v>2023</v>
      </c>
      <c r="D1657" s="46" t="s">
        <v>658</v>
      </c>
      <c r="E1657" s="46" t="s">
        <v>183</v>
      </c>
      <c r="F1657" s="46" t="s">
        <v>1327</v>
      </c>
      <c r="G1657" s="46"/>
      <c r="H1657" s="46" t="s">
        <v>1011</v>
      </c>
      <c r="I1657" s="46">
        <v>2</v>
      </c>
      <c r="J1657" s="64">
        <v>44957</v>
      </c>
      <c r="K1657" s="46" t="s">
        <v>629</v>
      </c>
      <c r="L1657" s="46" t="s">
        <v>4</v>
      </c>
      <c r="M1657" s="46" t="s">
        <v>805</v>
      </c>
      <c r="N1657" s="49">
        <v>1</v>
      </c>
      <c r="O1657" s="49">
        <v>2</v>
      </c>
      <c r="P1657" s="46" t="s">
        <v>1368</v>
      </c>
      <c r="Q1657" s="46" t="s">
        <v>1227</v>
      </c>
      <c r="R1657" s="46" t="s">
        <v>376</v>
      </c>
      <c r="S1657" s="46"/>
      <c r="T1657" s="46"/>
      <c r="U1657" s="46"/>
      <c r="V1657" s="46"/>
      <c r="W1657" s="46"/>
      <c r="X1657" s="46"/>
      <c r="Y1657" s="46"/>
      <c r="Z1657" s="46"/>
      <c r="AA1657" s="46">
        <v>1</v>
      </c>
      <c r="AB1657" s="46">
        <v>3</v>
      </c>
      <c r="AC1657" s="46"/>
      <c r="AD1657" s="46" t="s">
        <v>1037</v>
      </c>
      <c r="AE1657" s="46">
        <v>0</v>
      </c>
      <c r="AF1657" s="46">
        <v>0</v>
      </c>
      <c r="AG1657" s="46">
        <v>1</v>
      </c>
      <c r="AH1657" s="46" t="s">
        <v>629</v>
      </c>
      <c r="AI1657" s="46" t="s">
        <v>1199</v>
      </c>
      <c r="AJ1657" s="46" t="s">
        <v>376</v>
      </c>
      <c r="AK1657" s="46" t="s">
        <v>658</v>
      </c>
      <c r="AL1657" s="46" t="s">
        <v>1227</v>
      </c>
      <c r="AM1657" s="46" t="s">
        <v>1164</v>
      </c>
      <c r="AN1657" s="46" t="s">
        <v>376</v>
      </c>
      <c r="AO1657" s="46" t="s">
        <v>658</v>
      </c>
      <c r="AP1657" s="46"/>
      <c r="AQ1657" s="46">
        <v>2</v>
      </c>
      <c r="AR1657" s="46"/>
      <c r="AS1657" s="46"/>
      <c r="AT1657" s="46"/>
      <c r="AU1657" s="46" t="s">
        <v>376</v>
      </c>
      <c r="AV1657" s="46"/>
      <c r="AW1657" s="46" t="s">
        <v>30</v>
      </c>
      <c r="AX1657" s="46"/>
      <c r="AY1657" s="46"/>
      <c r="AZ1657" s="46" t="s">
        <v>30</v>
      </c>
      <c r="BA1657" s="46"/>
      <c r="BB1657" s="51"/>
      <c r="BC1657" s="46"/>
      <c r="BD1657" s="46"/>
      <c r="BE1657" s="46"/>
      <c r="BF1657" s="46">
        <v>1</v>
      </c>
      <c r="BG1657" s="46">
        <v>1</v>
      </c>
      <c r="BH1657" s="46">
        <v>1</v>
      </c>
      <c r="BI1657" s="46" t="s">
        <v>629</v>
      </c>
      <c r="BJ1657" s="46" t="s">
        <v>805</v>
      </c>
      <c r="BK1657" s="46">
        <v>2023</v>
      </c>
      <c r="BL1657" s="46" t="str">
        <f>BK1657&amp;BI1657</f>
        <v>2023Southampton</v>
      </c>
      <c r="BM1657" s="46" t="s">
        <v>805</v>
      </c>
      <c r="BN1657" s="46"/>
      <c r="BO1657" s="46"/>
      <c r="BP1657" s="46"/>
      <c r="BQ1657" s="46"/>
      <c r="BR1657" s="46"/>
      <c r="BS1657" s="46"/>
      <c r="BT1657" s="46"/>
      <c r="BU1657" s="46"/>
      <c r="BV1657" s="46" t="s">
        <v>376</v>
      </c>
      <c r="BW1657" s="46" t="s">
        <v>376</v>
      </c>
      <c r="BX1657" s="46"/>
      <c r="BY1657" s="46"/>
      <c r="BZ1657" s="53"/>
      <c r="CA1657" s="53"/>
      <c r="CB1657" s="93" t="str">
        <f>IF(OR(C1657="",A1657="",B1657=""),"",TEXT(C1657,"0000")&amp;TEXT(A1657,"00")&amp;TEXT(B1657,"00"))</f>
        <v>20230131</v>
      </c>
    </row>
    <row r="1658" spans="1:80" s="50" customFormat="1" ht="13.35" customHeight="1" x14ac:dyDescent="0.2">
      <c r="A1658" s="46">
        <v>2</v>
      </c>
      <c r="B1658" s="46">
        <v>1</v>
      </c>
      <c r="C1658" s="46">
        <v>2023</v>
      </c>
      <c r="D1658" s="46" t="s">
        <v>658</v>
      </c>
      <c r="E1658" s="46" t="s">
        <v>183</v>
      </c>
      <c r="F1658" s="46" t="s">
        <v>1327</v>
      </c>
      <c r="G1658" s="46"/>
      <c r="H1658" s="46" t="s">
        <v>1011</v>
      </c>
      <c r="I1658" s="46">
        <v>2</v>
      </c>
      <c r="J1658" s="64">
        <v>44958</v>
      </c>
      <c r="K1658" s="46" t="s">
        <v>821</v>
      </c>
      <c r="L1658" s="46" t="s">
        <v>3</v>
      </c>
      <c r="M1658" s="46" t="s">
        <v>1072</v>
      </c>
      <c r="N1658" s="49">
        <v>2</v>
      </c>
      <c r="O1658" s="49">
        <v>0</v>
      </c>
      <c r="P1658" s="46" t="s">
        <v>1246</v>
      </c>
      <c r="Q1658" s="46" t="s">
        <v>1101</v>
      </c>
      <c r="R1658" s="46" t="s">
        <v>376</v>
      </c>
      <c r="S1658" s="46"/>
      <c r="T1658" s="46"/>
      <c r="U1658" s="46"/>
      <c r="V1658" s="46"/>
      <c r="W1658" s="46"/>
      <c r="X1658" s="46"/>
      <c r="Y1658" s="46"/>
      <c r="Z1658" s="46"/>
      <c r="AA1658" s="46">
        <v>5</v>
      </c>
      <c r="AB1658" s="46">
        <v>0</v>
      </c>
      <c r="AC1658" s="46"/>
      <c r="AD1658" s="46" t="s">
        <v>1033</v>
      </c>
      <c r="AE1658" s="46">
        <v>1</v>
      </c>
      <c r="AF1658" s="46">
        <v>0</v>
      </c>
      <c r="AG1658" s="46">
        <v>0</v>
      </c>
      <c r="AH1658" s="46" t="s">
        <v>1101</v>
      </c>
      <c r="AI1658" s="46" t="s">
        <v>1159</v>
      </c>
      <c r="AJ1658" s="46" t="s">
        <v>376</v>
      </c>
      <c r="AK1658" s="46" t="s">
        <v>658</v>
      </c>
      <c r="AL1658" s="46" t="s">
        <v>1073</v>
      </c>
      <c r="AM1658" s="46" t="s">
        <v>1074</v>
      </c>
      <c r="AN1658" s="46" t="s">
        <v>376</v>
      </c>
      <c r="AO1658" s="46" t="s">
        <v>658</v>
      </c>
      <c r="AP1658" s="46"/>
      <c r="AQ1658" s="46">
        <v>2</v>
      </c>
      <c r="AR1658" s="46"/>
      <c r="AS1658" s="46"/>
      <c r="AT1658" s="46"/>
      <c r="AU1658" s="46" t="s">
        <v>376</v>
      </c>
      <c r="AV1658" s="46"/>
      <c r="AW1658" s="46" t="s">
        <v>30</v>
      </c>
      <c r="AX1658" s="46"/>
      <c r="AY1658" s="46"/>
      <c r="AZ1658" s="46" t="s">
        <v>30</v>
      </c>
      <c r="BA1658" s="46"/>
      <c r="BB1658" s="51"/>
      <c r="BC1658" s="46"/>
      <c r="BD1658" s="46"/>
      <c r="BE1658" s="46"/>
      <c r="BF1658" s="46">
        <v>1</v>
      </c>
      <c r="BG1658" s="46">
        <v>1</v>
      </c>
      <c r="BH1658" s="46">
        <v>1</v>
      </c>
      <c r="BI1658" s="46" t="s">
        <v>821</v>
      </c>
      <c r="BJ1658" s="46" t="s">
        <v>1072</v>
      </c>
      <c r="BK1658" s="46">
        <v>2023</v>
      </c>
      <c r="BL1658" s="46" t="str">
        <f>BK1658&amp;BI1658</f>
        <v>2023Manchester United</v>
      </c>
      <c r="BM1658" s="46" t="s">
        <v>821</v>
      </c>
      <c r="BN1658" s="46"/>
      <c r="BO1658" s="46"/>
      <c r="BP1658" s="46"/>
      <c r="BQ1658" s="46"/>
      <c r="BR1658" s="46"/>
      <c r="BS1658" s="46"/>
      <c r="BT1658" s="46"/>
      <c r="BU1658" s="46"/>
      <c r="BV1658" s="46" t="s">
        <v>376</v>
      </c>
      <c r="BW1658" s="46" t="s">
        <v>376</v>
      </c>
      <c r="BX1658" s="46"/>
      <c r="BY1658" s="46"/>
      <c r="BZ1658" s="53"/>
      <c r="CA1658" s="53"/>
      <c r="CB1658" s="93" t="str">
        <f>IF(OR(C1658="",A1658="",B1658=""),"",TEXT(C1658,"0000")&amp;TEXT(A1658,"00")&amp;TEXT(B1658,"00"))</f>
        <v>20230201</v>
      </c>
    </row>
    <row r="1659" spans="1:80" s="50" customFormat="1" ht="13.35" customHeight="1" x14ac:dyDescent="0.2">
      <c r="A1659" s="46">
        <v>2</v>
      </c>
      <c r="B1659" s="46">
        <v>1</v>
      </c>
      <c r="C1659" s="46">
        <v>2023</v>
      </c>
      <c r="D1659" s="46" t="s">
        <v>658</v>
      </c>
      <c r="E1659" s="46" t="s">
        <v>183</v>
      </c>
      <c r="F1659" s="46" t="s">
        <v>1327</v>
      </c>
      <c r="G1659" s="46"/>
      <c r="H1659" s="46" t="s">
        <v>1011</v>
      </c>
      <c r="I1659" s="46">
        <v>2</v>
      </c>
      <c r="J1659" s="64">
        <v>44958</v>
      </c>
      <c r="K1659" s="46" t="s">
        <v>1072</v>
      </c>
      <c r="L1659" s="46" t="s">
        <v>4</v>
      </c>
      <c r="M1659" s="46" t="s">
        <v>821</v>
      </c>
      <c r="N1659" s="49">
        <v>0</v>
      </c>
      <c r="O1659" s="49">
        <v>2</v>
      </c>
      <c r="P1659" s="46" t="s">
        <v>1246</v>
      </c>
      <c r="Q1659" s="46" t="s">
        <v>1101</v>
      </c>
      <c r="R1659" s="46" t="s">
        <v>376</v>
      </c>
      <c r="S1659" s="46"/>
      <c r="T1659" s="46"/>
      <c r="U1659" s="46"/>
      <c r="V1659" s="46"/>
      <c r="W1659" s="46"/>
      <c r="X1659" s="46"/>
      <c r="Y1659" s="46"/>
      <c r="Z1659" s="46"/>
      <c r="AA1659" s="46">
        <v>0</v>
      </c>
      <c r="AB1659" s="46">
        <v>5</v>
      </c>
      <c r="AC1659" s="46"/>
      <c r="AD1659" s="46" t="s">
        <v>1037</v>
      </c>
      <c r="AE1659" s="46">
        <v>0</v>
      </c>
      <c r="AF1659" s="46">
        <v>0</v>
      </c>
      <c r="AG1659" s="46">
        <v>1</v>
      </c>
      <c r="AH1659" s="46" t="s">
        <v>1073</v>
      </c>
      <c r="AI1659" s="46" t="s">
        <v>1074</v>
      </c>
      <c r="AJ1659" s="46" t="s">
        <v>376</v>
      </c>
      <c r="AK1659" s="46" t="s">
        <v>658</v>
      </c>
      <c r="AL1659" s="46" t="s">
        <v>1101</v>
      </c>
      <c r="AM1659" s="46" t="s">
        <v>1159</v>
      </c>
      <c r="AN1659" s="46" t="s">
        <v>376</v>
      </c>
      <c r="AO1659" s="46" t="s">
        <v>658</v>
      </c>
      <c r="AP1659" s="46"/>
      <c r="AQ1659" s="46">
        <v>2</v>
      </c>
      <c r="AR1659" s="46"/>
      <c r="AS1659" s="46"/>
      <c r="AT1659" s="46"/>
      <c r="AU1659" s="46" t="s">
        <v>376</v>
      </c>
      <c r="AV1659" s="46"/>
      <c r="AW1659" s="46" t="s">
        <v>30</v>
      </c>
      <c r="AX1659" s="46"/>
      <c r="AY1659" s="46"/>
      <c r="AZ1659" s="46" t="s">
        <v>30</v>
      </c>
      <c r="BA1659" s="46"/>
      <c r="BB1659" s="51"/>
      <c r="BC1659" s="46"/>
      <c r="BD1659" s="46"/>
      <c r="BE1659" s="46"/>
      <c r="BF1659" s="46">
        <v>1</v>
      </c>
      <c r="BG1659" s="46">
        <v>1</v>
      </c>
      <c r="BH1659" s="46">
        <v>1</v>
      </c>
      <c r="BI1659" s="46" t="s">
        <v>1072</v>
      </c>
      <c r="BJ1659" s="46" t="s">
        <v>821</v>
      </c>
      <c r="BK1659" s="46">
        <v>2023</v>
      </c>
      <c r="BL1659" s="46" t="str">
        <f>BK1659&amp;BI1659</f>
        <v>2023Nottingham Forest</v>
      </c>
      <c r="BM1659" s="46" t="s">
        <v>821</v>
      </c>
      <c r="BN1659" s="46"/>
      <c r="BO1659" s="46"/>
      <c r="BP1659" s="46"/>
      <c r="BQ1659" s="46"/>
      <c r="BR1659" s="46"/>
      <c r="BS1659" s="46"/>
      <c r="BT1659" s="46"/>
      <c r="BU1659" s="46"/>
      <c r="BV1659" s="46" t="s">
        <v>376</v>
      </c>
      <c r="BW1659" s="46" t="s">
        <v>376</v>
      </c>
      <c r="BX1659" s="46"/>
      <c r="BY1659" s="46"/>
      <c r="BZ1659" s="53"/>
      <c r="CA1659" s="53"/>
      <c r="CB1659" s="93" t="str">
        <f>IF(OR(C1659="",A1659="",B1659=""),"",TEXT(C1659,"0000")&amp;TEXT(A1659,"00")&amp;TEXT(B1659,"00"))</f>
        <v>20230201</v>
      </c>
    </row>
    <row r="1660" spans="1:80" s="50" customFormat="1" ht="13.35" customHeight="1" x14ac:dyDescent="0.2">
      <c r="A1660" s="46">
        <v>2</v>
      </c>
      <c r="B1660" s="46">
        <v>26</v>
      </c>
      <c r="C1660" s="46">
        <v>2023</v>
      </c>
      <c r="D1660" s="46" t="s">
        <v>658</v>
      </c>
      <c r="E1660" s="46" t="s">
        <v>183</v>
      </c>
      <c r="F1660" s="46" t="s">
        <v>1327</v>
      </c>
      <c r="G1660" s="46"/>
      <c r="H1660" s="46" t="s">
        <v>40</v>
      </c>
      <c r="I1660" s="46"/>
      <c r="J1660" s="64">
        <v>44983</v>
      </c>
      <c r="K1660" s="46" t="s">
        <v>821</v>
      </c>
      <c r="L1660" s="46" t="s">
        <v>3</v>
      </c>
      <c r="M1660" s="46" t="s">
        <v>805</v>
      </c>
      <c r="N1660" s="49">
        <v>2</v>
      </c>
      <c r="O1660" s="49">
        <v>0</v>
      </c>
      <c r="P1660" s="46" t="s">
        <v>1415</v>
      </c>
      <c r="Q1660" s="46" t="s">
        <v>1017</v>
      </c>
      <c r="R1660" s="46" t="s">
        <v>376</v>
      </c>
      <c r="S1660" s="46"/>
      <c r="T1660" s="46"/>
      <c r="U1660" s="46"/>
      <c r="V1660" s="46"/>
      <c r="W1660" s="46"/>
      <c r="X1660" s="46"/>
      <c r="Y1660" s="46"/>
      <c r="Z1660" s="46"/>
      <c r="AA1660" s="46"/>
      <c r="AB1660" s="46"/>
      <c r="AC1660" s="46"/>
      <c r="AD1660" s="46"/>
      <c r="AE1660" s="46">
        <v>1</v>
      </c>
      <c r="AF1660" s="46">
        <v>0</v>
      </c>
      <c r="AG1660" s="46">
        <v>0</v>
      </c>
      <c r="AH1660" s="46" t="s">
        <v>1101</v>
      </c>
      <c r="AI1660" s="46" t="s">
        <v>1159</v>
      </c>
      <c r="AJ1660" s="46" t="s">
        <v>376</v>
      </c>
      <c r="AK1660" s="46" t="s">
        <v>658</v>
      </c>
      <c r="AL1660" s="46" t="s">
        <v>1227</v>
      </c>
      <c r="AM1660" s="46" t="s">
        <v>1164</v>
      </c>
      <c r="AN1660" s="46" t="s">
        <v>376</v>
      </c>
      <c r="AO1660" s="46" t="s">
        <v>658</v>
      </c>
      <c r="AP1660" s="46"/>
      <c r="AQ1660" s="46">
        <v>1</v>
      </c>
      <c r="AR1660" s="46"/>
      <c r="AS1660" s="46"/>
      <c r="AT1660" s="46"/>
      <c r="AU1660" s="46" t="s">
        <v>376</v>
      </c>
      <c r="AV1660" s="46"/>
      <c r="AW1660" s="46" t="s">
        <v>30</v>
      </c>
      <c r="AX1660" s="46"/>
      <c r="AY1660" s="46"/>
      <c r="AZ1660" s="46" t="s">
        <v>30</v>
      </c>
      <c r="BA1660" s="46"/>
      <c r="BB1660" s="51" t="s">
        <v>30</v>
      </c>
      <c r="BC1660" s="46" t="s">
        <v>30</v>
      </c>
      <c r="BD1660" s="46"/>
      <c r="BE1660" s="46"/>
      <c r="BF1660" s="46">
        <v>1</v>
      </c>
      <c r="BG1660" s="46">
        <v>1</v>
      </c>
      <c r="BH1660" s="46">
        <v>1</v>
      </c>
      <c r="BI1660" s="46" t="s">
        <v>821</v>
      </c>
      <c r="BJ1660" s="46" t="s">
        <v>805</v>
      </c>
      <c r="BK1660" s="46">
        <v>2023</v>
      </c>
      <c r="BL1660" s="46" t="str">
        <f>BK1660&amp;BI1660</f>
        <v>2023Manchester United</v>
      </c>
      <c r="BM1660" s="46" t="s">
        <v>1017</v>
      </c>
      <c r="BN1660" s="46"/>
      <c r="BO1660" s="46"/>
      <c r="BP1660" s="46"/>
      <c r="BQ1660" s="46"/>
      <c r="BR1660" s="46"/>
      <c r="BS1660" s="46"/>
      <c r="BT1660" s="46"/>
      <c r="BU1660" s="46"/>
      <c r="BV1660" s="46" t="s">
        <v>376</v>
      </c>
      <c r="BW1660" s="46" t="s">
        <v>376</v>
      </c>
      <c r="BX1660" s="46"/>
      <c r="BY1660" s="46"/>
      <c r="BZ1660" s="53"/>
      <c r="CA1660" s="53"/>
      <c r="CB1660" s="93" t="str">
        <f>IF(OR(C1660="",A1660="",B1660=""),"",TEXT(C1660,"0000")&amp;TEXT(A1660,"00")&amp;TEXT(B1660,"00"))</f>
        <v>20230226</v>
      </c>
    </row>
    <row r="1661" spans="1:80" s="50" customFormat="1" ht="13.35" customHeight="1" x14ac:dyDescent="0.2">
      <c r="A1661" s="46">
        <v>2</v>
      </c>
      <c r="B1661" s="46">
        <v>26</v>
      </c>
      <c r="C1661" s="46">
        <v>2023</v>
      </c>
      <c r="D1661" s="46" t="s">
        <v>658</v>
      </c>
      <c r="E1661" s="46" t="s">
        <v>183</v>
      </c>
      <c r="F1661" s="46" t="s">
        <v>1327</v>
      </c>
      <c r="G1661" s="46"/>
      <c r="H1661" s="46" t="s">
        <v>40</v>
      </c>
      <c r="I1661" s="46"/>
      <c r="J1661" s="64">
        <v>44983</v>
      </c>
      <c r="K1661" s="46" t="s">
        <v>805</v>
      </c>
      <c r="L1661" s="46" t="s">
        <v>4</v>
      </c>
      <c r="M1661" s="46" t="s">
        <v>821</v>
      </c>
      <c r="N1661" s="49">
        <v>0</v>
      </c>
      <c r="O1661" s="49">
        <v>2</v>
      </c>
      <c r="P1661" s="46" t="s">
        <v>1415</v>
      </c>
      <c r="Q1661" s="46" t="s">
        <v>1017</v>
      </c>
      <c r="R1661" s="46" t="s">
        <v>376</v>
      </c>
      <c r="S1661" s="46"/>
      <c r="T1661" s="46"/>
      <c r="U1661" s="46"/>
      <c r="V1661" s="46"/>
      <c r="W1661" s="46"/>
      <c r="X1661" s="46"/>
      <c r="Y1661" s="46"/>
      <c r="Z1661" s="46"/>
      <c r="AA1661" s="46"/>
      <c r="AB1661" s="46"/>
      <c r="AC1661" s="46"/>
      <c r="AD1661" s="46"/>
      <c r="AE1661" s="46">
        <v>0</v>
      </c>
      <c r="AF1661" s="46">
        <v>0</v>
      </c>
      <c r="AG1661" s="46">
        <v>1</v>
      </c>
      <c r="AH1661" s="46" t="s">
        <v>1227</v>
      </c>
      <c r="AI1661" s="46" t="s">
        <v>1164</v>
      </c>
      <c r="AJ1661" s="46" t="s">
        <v>376</v>
      </c>
      <c r="AK1661" s="46" t="s">
        <v>658</v>
      </c>
      <c r="AL1661" s="46" t="s">
        <v>1101</v>
      </c>
      <c r="AM1661" s="46" t="s">
        <v>1159</v>
      </c>
      <c r="AN1661" s="46" t="s">
        <v>376</v>
      </c>
      <c r="AO1661" s="46" t="s">
        <v>658</v>
      </c>
      <c r="AP1661" s="46"/>
      <c r="AQ1661" s="46">
        <v>1</v>
      </c>
      <c r="AR1661" s="46"/>
      <c r="AS1661" s="46"/>
      <c r="AT1661" s="46"/>
      <c r="AU1661" s="46" t="s">
        <v>376</v>
      </c>
      <c r="AV1661" s="46"/>
      <c r="AW1661" s="46" t="s">
        <v>30</v>
      </c>
      <c r="AX1661" s="46"/>
      <c r="AY1661" s="46"/>
      <c r="AZ1661" s="46" t="s">
        <v>30</v>
      </c>
      <c r="BA1661" s="46"/>
      <c r="BB1661" s="51"/>
      <c r="BC1661" s="46" t="s">
        <v>30</v>
      </c>
      <c r="BD1661" s="46"/>
      <c r="BE1661" s="46"/>
      <c r="BF1661" s="46">
        <v>1</v>
      </c>
      <c r="BG1661" s="46">
        <v>1</v>
      </c>
      <c r="BH1661" s="46">
        <v>1</v>
      </c>
      <c r="BI1661" s="46" t="s">
        <v>805</v>
      </c>
      <c r="BJ1661" s="46" t="s">
        <v>821</v>
      </c>
      <c r="BK1661" s="46">
        <v>2023</v>
      </c>
      <c r="BL1661" s="46" t="str">
        <f>BK1661&amp;BI1661</f>
        <v>2023Newcastle United</v>
      </c>
      <c r="BM1661" s="46" t="s">
        <v>1017</v>
      </c>
      <c r="BN1661" s="46"/>
      <c r="BO1661" s="46"/>
      <c r="BP1661" s="46"/>
      <c r="BQ1661" s="46"/>
      <c r="BR1661" s="46"/>
      <c r="BS1661" s="46"/>
      <c r="BT1661" s="46"/>
      <c r="BU1661" s="46"/>
      <c r="BV1661" s="46" t="s">
        <v>376</v>
      </c>
      <c r="BW1661" s="46" t="s">
        <v>376</v>
      </c>
      <c r="BX1661" s="46"/>
      <c r="BY1661" s="46"/>
      <c r="BZ1661" s="53"/>
      <c r="CA1661" s="53"/>
      <c r="CB1661" s="93" t="str">
        <f>IF(OR(C1661="",A1661="",B1661=""),"",TEXT(C1661,"0000")&amp;TEXT(A1661,"00")&amp;TEXT(B1661,"00"))</f>
        <v>20230226</v>
      </c>
    </row>
    <row r="1662" spans="1:80" s="50" customFormat="1" ht="13.35" customHeight="1" x14ac:dyDescent="0.2">
      <c r="A1662" s="46">
        <v>4</v>
      </c>
      <c r="B1662" s="46">
        <v>22</v>
      </c>
      <c r="C1662" s="46">
        <v>2023</v>
      </c>
      <c r="D1662" s="46" t="s">
        <v>658</v>
      </c>
      <c r="E1662" s="46" t="s">
        <v>183</v>
      </c>
      <c r="F1662" s="46" t="s">
        <v>1010</v>
      </c>
      <c r="G1662" s="46"/>
      <c r="H1662" s="46" t="s">
        <v>1011</v>
      </c>
      <c r="I1662" s="46"/>
      <c r="J1662" s="64">
        <v>45038</v>
      </c>
      <c r="K1662" s="46" t="s">
        <v>823</v>
      </c>
      <c r="L1662" s="46" t="s">
        <v>3</v>
      </c>
      <c r="M1662" s="46" t="s">
        <v>1207</v>
      </c>
      <c r="N1662" s="49">
        <v>3</v>
      </c>
      <c r="O1662" s="49">
        <v>0</v>
      </c>
      <c r="P1662" s="46" t="s">
        <v>1415</v>
      </c>
      <c r="Q1662" s="46" t="s">
        <v>1017</v>
      </c>
      <c r="R1662" s="46" t="s">
        <v>376</v>
      </c>
      <c r="S1662" s="46"/>
      <c r="T1662" s="46"/>
      <c r="U1662" s="46"/>
      <c r="V1662" s="46"/>
      <c r="W1662" s="46"/>
      <c r="X1662" s="46"/>
      <c r="Y1662" s="46"/>
      <c r="Z1662" s="46"/>
      <c r="AA1662" s="46"/>
      <c r="AB1662" s="46"/>
      <c r="AC1662" s="46"/>
      <c r="AD1662" s="46"/>
      <c r="AE1662" s="46">
        <v>1</v>
      </c>
      <c r="AF1662" s="46">
        <v>0</v>
      </c>
      <c r="AG1662" s="46">
        <v>0</v>
      </c>
      <c r="AH1662" s="46" t="s">
        <v>1101</v>
      </c>
      <c r="AI1662" s="46" t="s">
        <v>1159</v>
      </c>
      <c r="AJ1662" s="46" t="s">
        <v>376</v>
      </c>
      <c r="AK1662" s="46" t="s">
        <v>658</v>
      </c>
      <c r="AL1662" s="46" t="s">
        <v>1097</v>
      </c>
      <c r="AM1662" s="46" t="s">
        <v>1098</v>
      </c>
      <c r="AN1662" s="46" t="s">
        <v>376</v>
      </c>
      <c r="AO1662" s="46" t="s">
        <v>658</v>
      </c>
      <c r="AP1662" s="46"/>
      <c r="AQ1662" s="46">
        <v>2</v>
      </c>
      <c r="AR1662" s="46"/>
      <c r="AS1662" s="46"/>
      <c r="AT1662" s="46"/>
      <c r="AU1662" s="46" t="s">
        <v>376</v>
      </c>
      <c r="AV1662" s="46"/>
      <c r="AW1662" s="46" t="s">
        <v>30</v>
      </c>
      <c r="AX1662" s="46"/>
      <c r="AY1662" s="46" t="s">
        <v>30</v>
      </c>
      <c r="AZ1662" s="46"/>
      <c r="BA1662" s="46"/>
      <c r="BB1662" s="51"/>
      <c r="BC1662" s="46"/>
      <c r="BD1662" s="46"/>
      <c r="BE1662" s="46"/>
      <c r="BF1662" s="46">
        <v>1</v>
      </c>
      <c r="BG1662" s="46">
        <v>1</v>
      </c>
      <c r="BH1662" s="46">
        <v>2</v>
      </c>
      <c r="BI1662" s="46" t="s">
        <v>823</v>
      </c>
      <c r="BJ1662" s="46" t="s">
        <v>1207</v>
      </c>
      <c r="BK1662" s="46">
        <v>2023</v>
      </c>
      <c r="BL1662" s="46" t="str">
        <f>BK1662&amp;BI1662</f>
        <v>2023Manchester City</v>
      </c>
      <c r="BM1662" s="46" t="s">
        <v>1017</v>
      </c>
      <c r="BN1662" s="46"/>
      <c r="BO1662" s="46"/>
      <c r="BP1662" s="46"/>
      <c r="BQ1662" s="46"/>
      <c r="BR1662" s="46"/>
      <c r="BS1662" s="46"/>
      <c r="BT1662" s="46"/>
      <c r="BU1662" s="46"/>
      <c r="BV1662" s="46" t="s">
        <v>376</v>
      </c>
      <c r="BW1662" s="46" t="s">
        <v>376</v>
      </c>
      <c r="BX1662" s="46"/>
      <c r="BY1662" s="46"/>
      <c r="BZ1662" s="53"/>
      <c r="CA1662" s="53"/>
      <c r="CB1662" s="93" t="str">
        <f>IF(OR(C1662="",A1662="",B1662=""),"",TEXT(C1662,"0000")&amp;TEXT(A1662,"00")&amp;TEXT(B1662,"00"))</f>
        <v>20230422</v>
      </c>
    </row>
    <row r="1663" spans="1:80" s="50" customFormat="1" ht="13.35" customHeight="1" x14ac:dyDescent="0.2">
      <c r="A1663" s="46">
        <v>4</v>
      </c>
      <c r="B1663" s="46">
        <v>22</v>
      </c>
      <c r="C1663" s="46">
        <v>2023</v>
      </c>
      <c r="D1663" s="46" t="s">
        <v>658</v>
      </c>
      <c r="E1663" s="46" t="s">
        <v>183</v>
      </c>
      <c r="F1663" s="46" t="s">
        <v>1010</v>
      </c>
      <c r="G1663" s="46"/>
      <c r="H1663" s="46" t="s">
        <v>1011</v>
      </c>
      <c r="I1663" s="46"/>
      <c r="J1663" s="64">
        <v>45038</v>
      </c>
      <c r="K1663" s="46" t="s">
        <v>1207</v>
      </c>
      <c r="L1663" s="46" t="s">
        <v>4</v>
      </c>
      <c r="M1663" s="46" t="s">
        <v>823</v>
      </c>
      <c r="N1663" s="49">
        <v>0</v>
      </c>
      <c r="O1663" s="49">
        <v>3</v>
      </c>
      <c r="P1663" s="46" t="s">
        <v>1415</v>
      </c>
      <c r="Q1663" s="46" t="s">
        <v>1017</v>
      </c>
      <c r="R1663" s="46" t="s">
        <v>376</v>
      </c>
      <c r="S1663" s="46"/>
      <c r="T1663" s="46"/>
      <c r="U1663" s="46"/>
      <c r="V1663" s="46"/>
      <c r="W1663" s="46"/>
      <c r="X1663" s="46"/>
      <c r="Y1663" s="46"/>
      <c r="Z1663" s="46"/>
      <c r="AA1663" s="46"/>
      <c r="AB1663" s="46"/>
      <c r="AC1663" s="46"/>
      <c r="AD1663" s="46"/>
      <c r="AE1663" s="46">
        <v>0</v>
      </c>
      <c r="AF1663" s="46">
        <v>0</v>
      </c>
      <c r="AG1663" s="46">
        <v>1</v>
      </c>
      <c r="AH1663" s="46" t="s">
        <v>1097</v>
      </c>
      <c r="AI1663" s="46" t="s">
        <v>1098</v>
      </c>
      <c r="AJ1663" s="46" t="s">
        <v>376</v>
      </c>
      <c r="AK1663" s="46" t="s">
        <v>658</v>
      </c>
      <c r="AL1663" s="46" t="s">
        <v>1101</v>
      </c>
      <c r="AM1663" s="46" t="s">
        <v>1159</v>
      </c>
      <c r="AN1663" s="46" t="s">
        <v>376</v>
      </c>
      <c r="AO1663" s="46" t="s">
        <v>658</v>
      </c>
      <c r="AP1663" s="46"/>
      <c r="AQ1663" s="46">
        <v>2</v>
      </c>
      <c r="AR1663" s="46"/>
      <c r="AS1663" s="46"/>
      <c r="AT1663" s="46"/>
      <c r="AU1663" s="46" t="s">
        <v>376</v>
      </c>
      <c r="AV1663" s="46"/>
      <c r="AW1663" s="46" t="s">
        <v>30</v>
      </c>
      <c r="AX1663" s="46"/>
      <c r="AY1663" s="46" t="s">
        <v>30</v>
      </c>
      <c r="AZ1663" s="46"/>
      <c r="BA1663" s="46"/>
      <c r="BB1663" s="51"/>
      <c r="BC1663" s="46"/>
      <c r="BD1663" s="46"/>
      <c r="BE1663" s="46"/>
      <c r="BF1663" s="46">
        <v>1</v>
      </c>
      <c r="BG1663" s="46">
        <v>2</v>
      </c>
      <c r="BH1663" s="46">
        <v>1</v>
      </c>
      <c r="BI1663" s="46" t="s">
        <v>1207</v>
      </c>
      <c r="BJ1663" s="46" t="s">
        <v>823</v>
      </c>
      <c r="BK1663" s="46">
        <v>2023</v>
      </c>
      <c r="BL1663" s="46" t="str">
        <f>BK1663&amp;BI1663</f>
        <v>2023Sheffield United</v>
      </c>
      <c r="BM1663" s="46" t="s">
        <v>1017</v>
      </c>
      <c r="BN1663" s="46"/>
      <c r="BO1663" s="46"/>
      <c r="BP1663" s="46"/>
      <c r="BQ1663" s="46"/>
      <c r="BR1663" s="46"/>
      <c r="BS1663" s="46"/>
      <c r="BT1663" s="46"/>
      <c r="BU1663" s="46"/>
      <c r="BV1663" s="46" t="s">
        <v>376</v>
      </c>
      <c r="BW1663" s="46" t="s">
        <v>376</v>
      </c>
      <c r="BX1663" s="46"/>
      <c r="BY1663" s="46"/>
      <c r="BZ1663" s="53"/>
      <c r="CA1663" s="53"/>
      <c r="CB1663" s="93" t="str">
        <f>IF(OR(C1663="",A1663="",B1663=""),"",TEXT(C1663,"0000")&amp;TEXT(A1663,"00")&amp;TEXT(B1663,"00"))</f>
        <v>20230422</v>
      </c>
    </row>
    <row r="1664" spans="1:80" s="50" customFormat="1" ht="13.35" customHeight="1" x14ac:dyDescent="0.2">
      <c r="A1664" s="46">
        <v>4</v>
      </c>
      <c r="B1664" s="46">
        <v>23</v>
      </c>
      <c r="C1664" s="46">
        <v>2023</v>
      </c>
      <c r="D1664" s="46" t="s">
        <v>658</v>
      </c>
      <c r="E1664" s="46" t="s">
        <v>183</v>
      </c>
      <c r="F1664" s="46" t="s">
        <v>1010</v>
      </c>
      <c r="G1664" s="46"/>
      <c r="H1664" s="46" t="s">
        <v>1011</v>
      </c>
      <c r="I1664" s="46"/>
      <c r="J1664" s="64">
        <v>45039</v>
      </c>
      <c r="K1664" s="46" t="s">
        <v>821</v>
      </c>
      <c r="L1664" s="46" t="s">
        <v>3</v>
      </c>
      <c r="M1664" s="46" t="s">
        <v>802</v>
      </c>
      <c r="N1664" s="49">
        <v>0</v>
      </c>
      <c r="O1664" s="49">
        <v>0</v>
      </c>
      <c r="P1664" s="46" t="s">
        <v>1415</v>
      </c>
      <c r="Q1664" s="46" t="s">
        <v>1017</v>
      </c>
      <c r="R1664" s="46" t="s">
        <v>376</v>
      </c>
      <c r="S1664" s="46" t="s">
        <v>1390</v>
      </c>
      <c r="T1664" s="46">
        <v>7</v>
      </c>
      <c r="U1664" s="46">
        <v>6</v>
      </c>
      <c r="V1664" s="46"/>
      <c r="W1664" s="46"/>
      <c r="X1664" s="46"/>
      <c r="Y1664" s="46"/>
      <c r="Z1664" s="46"/>
      <c r="AA1664" s="46"/>
      <c r="AB1664" s="46"/>
      <c r="AC1664" s="46"/>
      <c r="AD1664" s="46"/>
      <c r="AE1664" s="46">
        <v>1</v>
      </c>
      <c r="AF1664" s="46">
        <v>0</v>
      </c>
      <c r="AG1664" s="46">
        <v>0</v>
      </c>
      <c r="AH1664" s="46" t="s">
        <v>1101</v>
      </c>
      <c r="AI1664" s="46" t="s">
        <v>1159</v>
      </c>
      <c r="AJ1664" s="46" t="s">
        <v>376</v>
      </c>
      <c r="AK1664" s="46" t="s">
        <v>658</v>
      </c>
      <c r="AL1664" s="46" t="s">
        <v>1379</v>
      </c>
      <c r="AM1664" s="46" t="s">
        <v>1380</v>
      </c>
      <c r="AN1664" s="46" t="s">
        <v>376</v>
      </c>
      <c r="AO1664" s="46" t="s">
        <v>658</v>
      </c>
      <c r="AP1664" s="46"/>
      <c r="AQ1664" s="46">
        <v>2</v>
      </c>
      <c r="AR1664" s="46"/>
      <c r="AS1664" s="46"/>
      <c r="AT1664" s="46"/>
      <c r="AU1664" s="46" t="s">
        <v>376</v>
      </c>
      <c r="AV1664" s="46"/>
      <c r="AW1664" s="46" t="s">
        <v>30</v>
      </c>
      <c r="AX1664" s="46"/>
      <c r="AY1664" s="46" t="s">
        <v>30</v>
      </c>
      <c r="AZ1664" s="46"/>
      <c r="BA1664" s="46"/>
      <c r="BB1664" s="51"/>
      <c r="BC1664" s="46"/>
      <c r="BD1664" s="46"/>
      <c r="BE1664" s="46"/>
      <c r="BF1664" s="46">
        <v>1</v>
      </c>
      <c r="BG1664" s="46">
        <v>1</v>
      </c>
      <c r="BH1664" s="46">
        <v>1</v>
      </c>
      <c r="BI1664" s="46" t="s">
        <v>821</v>
      </c>
      <c r="BJ1664" s="46" t="s">
        <v>802</v>
      </c>
      <c r="BK1664" s="46">
        <v>2023</v>
      </c>
      <c r="BL1664" s="46" t="str">
        <f>BK1664&amp;BI1664</f>
        <v>2023Manchester United</v>
      </c>
      <c r="BM1664" s="46" t="s">
        <v>1017</v>
      </c>
      <c r="BN1664" s="46"/>
      <c r="BO1664" s="46"/>
      <c r="BP1664" s="46"/>
      <c r="BQ1664" s="46"/>
      <c r="BR1664" s="46"/>
      <c r="BS1664" s="46"/>
      <c r="BT1664" s="46"/>
      <c r="BU1664" s="46"/>
      <c r="BV1664" s="46" t="s">
        <v>376</v>
      </c>
      <c r="BW1664" s="46" t="s">
        <v>376</v>
      </c>
      <c r="BX1664" s="46"/>
      <c r="BY1664" s="46"/>
      <c r="BZ1664" s="53"/>
      <c r="CA1664" s="53"/>
      <c r="CB1664" s="93" t="str">
        <f>IF(OR(C1664="",A1664="",B1664=""),"",TEXT(C1664,"0000")&amp;TEXT(A1664,"00")&amp;TEXT(B1664,"00"))</f>
        <v>20230423</v>
      </c>
    </row>
    <row r="1665" spans="1:80" s="50" customFormat="1" ht="13.35" customHeight="1" x14ac:dyDescent="0.2">
      <c r="A1665" s="46">
        <v>4</v>
      </c>
      <c r="B1665" s="46">
        <v>23</v>
      </c>
      <c r="C1665" s="46">
        <v>2023</v>
      </c>
      <c r="D1665" s="46" t="s">
        <v>658</v>
      </c>
      <c r="E1665" s="46" t="s">
        <v>183</v>
      </c>
      <c r="F1665" s="46" t="s">
        <v>1010</v>
      </c>
      <c r="G1665" s="46"/>
      <c r="H1665" s="46" t="s">
        <v>1011</v>
      </c>
      <c r="I1665" s="46"/>
      <c r="J1665" s="64">
        <v>45039</v>
      </c>
      <c r="K1665" s="46" t="s">
        <v>802</v>
      </c>
      <c r="L1665" s="46" t="s">
        <v>4</v>
      </c>
      <c r="M1665" s="46" t="s">
        <v>821</v>
      </c>
      <c r="N1665" s="49">
        <v>0</v>
      </c>
      <c r="O1665" s="49">
        <v>0</v>
      </c>
      <c r="P1665" s="46" t="s">
        <v>1415</v>
      </c>
      <c r="Q1665" s="46" t="s">
        <v>1017</v>
      </c>
      <c r="R1665" s="46" t="s">
        <v>376</v>
      </c>
      <c r="S1665" s="46" t="s">
        <v>1390</v>
      </c>
      <c r="T1665" s="46">
        <v>6</v>
      </c>
      <c r="U1665" s="46">
        <v>7</v>
      </c>
      <c r="V1665" s="46"/>
      <c r="W1665" s="46"/>
      <c r="X1665" s="46"/>
      <c r="Y1665" s="46"/>
      <c r="Z1665" s="46"/>
      <c r="AA1665" s="46"/>
      <c r="AB1665" s="46"/>
      <c r="AC1665" s="46"/>
      <c r="AD1665" s="46"/>
      <c r="AE1665" s="46">
        <v>0</v>
      </c>
      <c r="AF1665" s="46">
        <v>0</v>
      </c>
      <c r="AG1665" s="46">
        <v>1</v>
      </c>
      <c r="AH1665" s="46" t="s">
        <v>1379</v>
      </c>
      <c r="AI1665" s="46" t="s">
        <v>1380</v>
      </c>
      <c r="AJ1665" s="46" t="s">
        <v>376</v>
      </c>
      <c r="AK1665" s="46" t="s">
        <v>658</v>
      </c>
      <c r="AL1665" s="46" t="s">
        <v>1101</v>
      </c>
      <c r="AM1665" s="46" t="s">
        <v>1159</v>
      </c>
      <c r="AN1665" s="46" t="s">
        <v>376</v>
      </c>
      <c r="AO1665" s="46" t="s">
        <v>658</v>
      </c>
      <c r="AP1665" s="46"/>
      <c r="AQ1665" s="46">
        <v>2</v>
      </c>
      <c r="AR1665" s="46"/>
      <c r="AS1665" s="46"/>
      <c r="AT1665" s="46"/>
      <c r="AU1665" s="46" t="s">
        <v>376</v>
      </c>
      <c r="AV1665" s="46"/>
      <c r="AW1665" s="46" t="s">
        <v>30</v>
      </c>
      <c r="AX1665" s="46"/>
      <c r="AY1665" s="46" t="s">
        <v>30</v>
      </c>
      <c r="AZ1665" s="46"/>
      <c r="BA1665" s="46"/>
      <c r="BB1665" s="51"/>
      <c r="BC1665" s="46"/>
      <c r="BD1665" s="46"/>
      <c r="BE1665" s="46"/>
      <c r="BF1665" s="46">
        <v>1</v>
      </c>
      <c r="BG1665" s="46">
        <v>1</v>
      </c>
      <c r="BH1665" s="46">
        <v>1</v>
      </c>
      <c r="BI1665" s="46" t="s">
        <v>802</v>
      </c>
      <c r="BJ1665" s="46" t="s">
        <v>821</v>
      </c>
      <c r="BK1665" s="46">
        <v>2023</v>
      </c>
      <c r="BL1665" s="46" t="str">
        <f>BK1665&amp;BI1665</f>
        <v>2023Brighton &amp; Hove Albion</v>
      </c>
      <c r="BM1665" s="46" t="s">
        <v>1017</v>
      </c>
      <c r="BN1665" s="46"/>
      <c r="BO1665" s="46"/>
      <c r="BP1665" s="46"/>
      <c r="BQ1665" s="46"/>
      <c r="BR1665" s="46"/>
      <c r="BS1665" s="46"/>
      <c r="BT1665" s="46"/>
      <c r="BU1665" s="46"/>
      <c r="BV1665" s="46" t="s">
        <v>376</v>
      </c>
      <c r="BW1665" s="46" t="s">
        <v>376</v>
      </c>
      <c r="BX1665" s="46"/>
      <c r="BY1665" s="46"/>
      <c r="BZ1665" s="53"/>
      <c r="CA1665" s="53"/>
      <c r="CB1665" s="93" t="str">
        <f>IF(OR(C1665="",A1665="",B1665=""),"",TEXT(C1665,"0000")&amp;TEXT(A1665,"00")&amp;TEXT(B1665,"00"))</f>
        <v>20230423</v>
      </c>
    </row>
    <row r="1666" spans="1:80" s="50" customFormat="1" ht="13.35" customHeight="1" x14ac:dyDescent="0.2">
      <c r="A1666" s="46">
        <v>6</v>
      </c>
      <c r="B1666" s="46">
        <v>3</v>
      </c>
      <c r="C1666" s="46">
        <v>2023</v>
      </c>
      <c r="D1666" s="46" t="s">
        <v>658</v>
      </c>
      <c r="E1666" s="46" t="s">
        <v>183</v>
      </c>
      <c r="F1666" s="46" t="s">
        <v>1010</v>
      </c>
      <c r="G1666" s="46"/>
      <c r="H1666" s="46" t="s">
        <v>40</v>
      </c>
      <c r="I1666" s="46"/>
      <c r="J1666" s="64">
        <v>45080</v>
      </c>
      <c r="K1666" s="46" t="s">
        <v>823</v>
      </c>
      <c r="L1666" s="46" t="s">
        <v>3</v>
      </c>
      <c r="M1666" s="46" t="s">
        <v>821</v>
      </c>
      <c r="N1666" s="49">
        <v>2</v>
      </c>
      <c r="O1666" s="49">
        <v>1</v>
      </c>
      <c r="P1666" s="46" t="s">
        <v>1415</v>
      </c>
      <c r="Q1666" s="46" t="s">
        <v>1017</v>
      </c>
      <c r="R1666" s="46" t="s">
        <v>376</v>
      </c>
      <c r="S1666" s="46"/>
      <c r="T1666" s="46"/>
      <c r="U1666" s="46"/>
      <c r="V1666" s="46"/>
      <c r="W1666" s="46"/>
      <c r="X1666" s="46"/>
      <c r="Y1666" s="46"/>
      <c r="Z1666" s="46"/>
      <c r="AA1666" s="46"/>
      <c r="AB1666" s="46"/>
      <c r="AC1666" s="46"/>
      <c r="AD1666" s="46"/>
      <c r="AE1666" s="46">
        <v>1</v>
      </c>
      <c r="AF1666" s="46">
        <v>0</v>
      </c>
      <c r="AG1666" s="46">
        <v>0</v>
      </c>
      <c r="AH1666" s="46" t="s">
        <v>1101</v>
      </c>
      <c r="AI1666" s="46" t="s">
        <v>1159</v>
      </c>
      <c r="AJ1666" s="46" t="s">
        <v>376</v>
      </c>
      <c r="AK1666" s="46" t="s">
        <v>658</v>
      </c>
      <c r="AL1666" s="46" t="s">
        <v>1101</v>
      </c>
      <c r="AM1666" s="46" t="s">
        <v>1159</v>
      </c>
      <c r="AN1666" s="46" t="s">
        <v>376</v>
      </c>
      <c r="AO1666" s="46" t="s">
        <v>658</v>
      </c>
      <c r="AP1666" s="46"/>
      <c r="AQ1666" s="46">
        <v>1</v>
      </c>
      <c r="AR1666" s="46"/>
      <c r="AS1666" s="46"/>
      <c r="AT1666" s="46"/>
      <c r="AU1666" s="46" t="s">
        <v>376</v>
      </c>
      <c r="AV1666" s="46"/>
      <c r="AW1666" s="46" t="s">
        <v>30</v>
      </c>
      <c r="AX1666" s="46"/>
      <c r="AY1666" s="46" t="s">
        <v>30</v>
      </c>
      <c r="AZ1666" s="46"/>
      <c r="BA1666" s="46"/>
      <c r="BB1666" s="51" t="s">
        <v>30</v>
      </c>
      <c r="BC1666" s="46" t="s">
        <v>30</v>
      </c>
      <c r="BD1666" s="46"/>
      <c r="BE1666" s="46"/>
      <c r="BF1666" s="46">
        <v>1</v>
      </c>
      <c r="BG1666" s="46">
        <v>1</v>
      </c>
      <c r="BH1666" s="46">
        <v>1</v>
      </c>
      <c r="BI1666" s="46" t="s">
        <v>823</v>
      </c>
      <c r="BJ1666" s="46" t="s">
        <v>821</v>
      </c>
      <c r="BK1666" s="46">
        <v>2023</v>
      </c>
      <c r="BL1666" s="46" t="str">
        <f>BK1666&amp;BI1666</f>
        <v>2023Manchester City</v>
      </c>
      <c r="BM1666" s="46" t="s">
        <v>1017</v>
      </c>
      <c r="BN1666" s="46"/>
      <c r="BO1666" s="46"/>
      <c r="BP1666" s="46"/>
      <c r="BQ1666" s="46"/>
      <c r="BR1666" s="46"/>
      <c r="BS1666" s="46"/>
      <c r="BT1666" s="46"/>
      <c r="BU1666" s="46"/>
      <c r="BV1666" s="46" t="s">
        <v>376</v>
      </c>
      <c r="BW1666" s="46" t="s">
        <v>376</v>
      </c>
      <c r="BX1666" s="46"/>
      <c r="BY1666" s="46"/>
      <c r="BZ1666" s="53"/>
      <c r="CA1666" s="53"/>
      <c r="CB1666" s="93" t="str">
        <f>IF(OR(C1666="",A1666="",B1666=""),"",TEXT(C1666,"0000")&amp;TEXT(A1666,"00")&amp;TEXT(B1666,"00"))</f>
        <v>20230603</v>
      </c>
    </row>
    <row r="1667" spans="1:80" s="50" customFormat="1" ht="13.35" customHeight="1" x14ac:dyDescent="0.2">
      <c r="A1667" s="46">
        <v>6</v>
      </c>
      <c r="B1667" s="46">
        <v>3</v>
      </c>
      <c r="C1667" s="46">
        <v>2023</v>
      </c>
      <c r="D1667" s="46" t="s">
        <v>658</v>
      </c>
      <c r="E1667" s="46" t="s">
        <v>183</v>
      </c>
      <c r="F1667" s="46" t="s">
        <v>1010</v>
      </c>
      <c r="G1667" s="46"/>
      <c r="H1667" s="46" t="s">
        <v>40</v>
      </c>
      <c r="I1667" s="46"/>
      <c r="J1667" s="64">
        <v>45080</v>
      </c>
      <c r="K1667" s="46" t="s">
        <v>821</v>
      </c>
      <c r="L1667" s="46" t="s">
        <v>4</v>
      </c>
      <c r="M1667" s="46" t="s">
        <v>823</v>
      </c>
      <c r="N1667" s="49">
        <v>1</v>
      </c>
      <c r="O1667" s="49">
        <v>2</v>
      </c>
      <c r="P1667" s="46" t="s">
        <v>1415</v>
      </c>
      <c r="Q1667" s="46" t="s">
        <v>1017</v>
      </c>
      <c r="R1667" s="46" t="s">
        <v>376</v>
      </c>
      <c r="S1667" s="46"/>
      <c r="T1667" s="46"/>
      <c r="U1667" s="46"/>
      <c r="V1667" s="46"/>
      <c r="W1667" s="46"/>
      <c r="X1667" s="46"/>
      <c r="Y1667" s="46"/>
      <c r="Z1667" s="46"/>
      <c r="AA1667" s="46"/>
      <c r="AB1667" s="46"/>
      <c r="AC1667" s="46"/>
      <c r="AD1667" s="46"/>
      <c r="AE1667" s="46">
        <v>0</v>
      </c>
      <c r="AF1667" s="46">
        <v>0</v>
      </c>
      <c r="AG1667" s="46">
        <v>1</v>
      </c>
      <c r="AH1667" s="46" t="s">
        <v>1101</v>
      </c>
      <c r="AI1667" s="46" t="s">
        <v>1159</v>
      </c>
      <c r="AJ1667" s="46" t="s">
        <v>376</v>
      </c>
      <c r="AK1667" s="46" t="s">
        <v>658</v>
      </c>
      <c r="AL1667" s="46" t="s">
        <v>1101</v>
      </c>
      <c r="AM1667" s="46" t="s">
        <v>1159</v>
      </c>
      <c r="AN1667" s="46" t="s">
        <v>376</v>
      </c>
      <c r="AO1667" s="46" t="s">
        <v>658</v>
      </c>
      <c r="AP1667" s="46"/>
      <c r="AQ1667" s="46">
        <v>1</v>
      </c>
      <c r="AR1667" s="46"/>
      <c r="AS1667" s="46"/>
      <c r="AT1667" s="46"/>
      <c r="AU1667" s="46" t="s">
        <v>376</v>
      </c>
      <c r="AV1667" s="46"/>
      <c r="AW1667" s="46" t="s">
        <v>30</v>
      </c>
      <c r="AX1667" s="46"/>
      <c r="AY1667" s="46" t="s">
        <v>30</v>
      </c>
      <c r="AZ1667" s="46"/>
      <c r="BA1667" s="46"/>
      <c r="BB1667" s="51"/>
      <c r="BC1667" s="46" t="s">
        <v>30</v>
      </c>
      <c r="BD1667" s="46"/>
      <c r="BE1667" s="46"/>
      <c r="BF1667" s="46">
        <v>1</v>
      </c>
      <c r="BG1667" s="46">
        <v>1</v>
      </c>
      <c r="BH1667" s="46">
        <v>1</v>
      </c>
      <c r="BI1667" s="46" t="s">
        <v>821</v>
      </c>
      <c r="BJ1667" s="46" t="s">
        <v>823</v>
      </c>
      <c r="BK1667" s="46">
        <v>2023</v>
      </c>
      <c r="BL1667" s="46" t="str">
        <f>BK1667&amp;BI1667</f>
        <v>2023Manchester United</v>
      </c>
      <c r="BM1667" s="46" t="s">
        <v>1017</v>
      </c>
      <c r="BN1667" s="46"/>
      <c r="BO1667" s="46"/>
      <c r="BP1667" s="46"/>
      <c r="BQ1667" s="46"/>
      <c r="BR1667" s="46"/>
      <c r="BS1667" s="46"/>
      <c r="BT1667" s="46"/>
      <c r="BU1667" s="46"/>
      <c r="BV1667" s="46" t="s">
        <v>376</v>
      </c>
      <c r="BW1667" s="46" t="s">
        <v>376</v>
      </c>
      <c r="BX1667" s="46"/>
      <c r="BY1667" s="46"/>
      <c r="BZ1667" s="53"/>
      <c r="CA1667" s="53"/>
      <c r="CB1667" s="93" t="str">
        <f t="shared" ref="CB1667:CB1715" si="0">IF(OR(C1667="",A1667="",B1667=""),"",TEXT(C1667,"0000")&amp;TEXT(A1667,"00")&amp;TEXT(B1667,"00"))</f>
        <v>20230603</v>
      </c>
    </row>
    <row r="1668" spans="1:80" s="50" customFormat="1" ht="13.35" customHeight="1" x14ac:dyDescent="0.2">
      <c r="A1668" s="50">
        <f>MONTH(J1668)</f>
        <v>1</v>
      </c>
      <c r="B1668" s="46">
        <f>DAY(J1668)</f>
        <v>9</v>
      </c>
      <c r="C1668" s="46">
        <v>2024</v>
      </c>
      <c r="D1668" s="46" t="s">
        <v>658</v>
      </c>
      <c r="E1668" s="46" t="s">
        <v>182</v>
      </c>
      <c r="F1668" s="46" t="s">
        <v>1327</v>
      </c>
      <c r="G1668" s="46"/>
      <c r="H1668" s="46" t="s">
        <v>1011</v>
      </c>
      <c r="I1668" s="46">
        <v>1</v>
      </c>
      <c r="J1668" s="64">
        <v>45300</v>
      </c>
      <c r="K1668" s="46" t="s">
        <v>1366</v>
      </c>
      <c r="L1668" s="46" t="s">
        <v>3</v>
      </c>
      <c r="M1668" s="46" t="s">
        <v>816</v>
      </c>
      <c r="N1668" s="49">
        <v>1</v>
      </c>
      <c r="O1668" s="49">
        <v>0</v>
      </c>
      <c r="P1668" s="52" t="s">
        <v>1403</v>
      </c>
      <c r="Q1668" s="52" t="s">
        <v>1366</v>
      </c>
      <c r="R1668" s="46" t="s">
        <v>376</v>
      </c>
      <c r="S1668" s="46"/>
      <c r="T1668" s="46"/>
      <c r="U1668" s="46"/>
      <c r="V1668" s="46"/>
      <c r="W1668" s="46"/>
      <c r="X1668" s="46"/>
      <c r="Y1668" s="46"/>
      <c r="Z1668" s="46"/>
      <c r="AA1668" s="46"/>
      <c r="AB1668" s="46"/>
      <c r="AC1668" s="46"/>
      <c r="AD1668" s="46" t="s">
        <v>1033</v>
      </c>
      <c r="AE1668" s="46">
        <v>0</v>
      </c>
      <c r="AF1668" s="46">
        <v>0</v>
      </c>
      <c r="AG1668" s="46">
        <v>1</v>
      </c>
      <c r="AH1668" s="46"/>
      <c r="AI1668" s="46"/>
      <c r="AJ1668" s="46"/>
      <c r="AK1668" s="46"/>
      <c r="AL1668" s="46"/>
      <c r="AM1668" s="46"/>
      <c r="AN1668" s="46"/>
      <c r="AO1668" s="46" t="s">
        <v>658</v>
      </c>
      <c r="AP1668" s="46"/>
      <c r="AQ1668" s="46">
        <v>2</v>
      </c>
      <c r="AR1668" s="46"/>
      <c r="AS1668" s="46"/>
      <c r="AT1668" s="46"/>
      <c r="AU1668" s="46" t="s">
        <v>376</v>
      </c>
      <c r="AV1668" s="46"/>
      <c r="AW1668" s="46" t="s">
        <v>30</v>
      </c>
      <c r="AX1668" s="46"/>
      <c r="AY1668" s="46"/>
      <c r="AZ1668" s="46" t="s">
        <v>30</v>
      </c>
      <c r="BA1668" s="46"/>
      <c r="BB1668" s="51"/>
      <c r="BC1668" s="46"/>
      <c r="BD1668" s="46"/>
      <c r="BE1668" s="46"/>
      <c r="BF1668" s="46">
        <v>1</v>
      </c>
      <c r="BG1668" s="46">
        <v>2</v>
      </c>
      <c r="BH1668" s="46">
        <v>1</v>
      </c>
      <c r="BI1668" s="46" t="s">
        <v>1366</v>
      </c>
      <c r="BJ1668" s="46" t="s">
        <v>816</v>
      </c>
      <c r="BK1668" s="46">
        <v>2024</v>
      </c>
      <c r="BL1668" s="46" t="str">
        <f>BK1668&amp;BI1668</f>
        <v>2024Middlesbrough</v>
      </c>
      <c r="BM1668" s="46" t="s">
        <v>1366</v>
      </c>
      <c r="BN1668" s="46"/>
      <c r="BO1668" s="46"/>
      <c r="BP1668" s="46"/>
      <c r="BQ1668" s="46"/>
      <c r="BR1668" s="46"/>
      <c r="BS1668" s="46"/>
      <c r="BT1668" s="46"/>
      <c r="BU1668" s="46"/>
      <c r="BV1668" s="46" t="s">
        <v>376</v>
      </c>
      <c r="BW1668" s="46" t="s">
        <v>376</v>
      </c>
      <c r="BX1668" s="46"/>
      <c r="BY1668" s="46"/>
      <c r="BZ1668" s="46"/>
      <c r="CA1668" s="46"/>
      <c r="CB1668" s="93" t="str">
        <f t="shared" si="0"/>
        <v>20240109</v>
      </c>
    </row>
    <row r="1669" spans="1:80" s="50" customFormat="1" ht="13.35" customHeight="1" x14ac:dyDescent="0.2">
      <c r="A1669" s="50">
        <f t="shared" ref="A1669:A1715" si="1">MONTH(J1669)</f>
        <v>1</v>
      </c>
      <c r="B1669" s="46">
        <f t="shared" ref="B1669:B1715" si="2">DAY(J1669)</f>
        <v>9</v>
      </c>
      <c r="C1669" s="46">
        <v>2024</v>
      </c>
      <c r="D1669" s="46" t="s">
        <v>658</v>
      </c>
      <c r="E1669" s="46" t="s">
        <v>182</v>
      </c>
      <c r="F1669" s="46" t="s">
        <v>1327</v>
      </c>
      <c r="G1669" s="46"/>
      <c r="H1669" s="46" t="s">
        <v>1011</v>
      </c>
      <c r="I1669" s="46">
        <v>1</v>
      </c>
      <c r="J1669" s="64">
        <v>45300</v>
      </c>
      <c r="K1669" s="46" t="s">
        <v>816</v>
      </c>
      <c r="L1669" s="46" t="s">
        <v>4</v>
      </c>
      <c r="M1669" s="46" t="s">
        <v>1366</v>
      </c>
      <c r="N1669" s="49">
        <v>0</v>
      </c>
      <c r="O1669" s="49">
        <v>1</v>
      </c>
      <c r="P1669" s="52" t="s">
        <v>1403</v>
      </c>
      <c r="Q1669" s="52" t="s">
        <v>1366</v>
      </c>
      <c r="R1669" s="46" t="s">
        <v>376</v>
      </c>
      <c r="S1669" s="46"/>
      <c r="T1669" s="46"/>
      <c r="U1669" s="46"/>
      <c r="V1669" s="46"/>
      <c r="W1669" s="46"/>
      <c r="X1669" s="46"/>
      <c r="Y1669" s="46"/>
      <c r="Z1669" s="46"/>
      <c r="AA1669" s="46"/>
      <c r="AB1669" s="46"/>
      <c r="AC1669" s="46"/>
      <c r="AD1669" s="46" t="s">
        <v>1037</v>
      </c>
      <c r="AE1669" s="46">
        <v>1</v>
      </c>
      <c r="AF1669" s="46">
        <v>0</v>
      </c>
      <c r="AG1669" s="46">
        <v>0</v>
      </c>
      <c r="AH1669" s="46"/>
      <c r="AI1669" s="46"/>
      <c r="AJ1669" s="46"/>
      <c r="AK1669" s="46"/>
      <c r="AL1669" s="46"/>
      <c r="AM1669" s="46"/>
      <c r="AN1669" s="46"/>
      <c r="AO1669" s="46" t="s">
        <v>658</v>
      </c>
      <c r="AP1669" s="46"/>
      <c r="AQ1669" s="46">
        <v>2</v>
      </c>
      <c r="AR1669" s="46"/>
      <c r="AS1669" s="46"/>
      <c r="AT1669" s="46"/>
      <c r="AU1669" s="46" t="s">
        <v>376</v>
      </c>
      <c r="AV1669" s="46"/>
      <c r="AW1669" s="46" t="s">
        <v>30</v>
      </c>
      <c r="AX1669" s="46"/>
      <c r="AY1669" s="46"/>
      <c r="AZ1669" s="46" t="s">
        <v>30</v>
      </c>
      <c r="BA1669" s="46"/>
      <c r="BB1669" s="51"/>
      <c r="BC1669" s="46"/>
      <c r="BD1669" s="46"/>
      <c r="BE1669" s="46"/>
      <c r="BF1669" s="46">
        <v>1</v>
      </c>
      <c r="BG1669" s="46">
        <v>1</v>
      </c>
      <c r="BH1669" s="46">
        <v>2</v>
      </c>
      <c r="BI1669" s="46" t="s">
        <v>816</v>
      </c>
      <c r="BJ1669" s="46" t="s">
        <v>1366</v>
      </c>
      <c r="BK1669" s="46">
        <v>2024</v>
      </c>
      <c r="BL1669" s="46" t="str">
        <f>BK1669&amp;BI1669</f>
        <v>2024Chelsea</v>
      </c>
      <c r="BM1669" s="46" t="s">
        <v>1366</v>
      </c>
      <c r="BN1669" s="46"/>
      <c r="BO1669" s="46"/>
      <c r="BP1669" s="46"/>
      <c r="BQ1669" s="46"/>
      <c r="BR1669" s="46"/>
      <c r="BS1669" s="46"/>
      <c r="BT1669" s="46"/>
      <c r="BU1669" s="46"/>
      <c r="BV1669" s="46" t="s">
        <v>376</v>
      </c>
      <c r="BW1669" s="46" t="s">
        <v>376</v>
      </c>
      <c r="BX1669" s="46"/>
      <c r="BY1669" s="46"/>
      <c r="BZ1669" s="46"/>
      <c r="CA1669" s="46"/>
      <c r="CB1669" s="93" t="str">
        <f t="shared" si="0"/>
        <v>20240109</v>
      </c>
    </row>
    <row r="1670" spans="1:80" s="50" customFormat="1" ht="13.35" customHeight="1" x14ac:dyDescent="0.2">
      <c r="A1670" s="50">
        <f t="shared" si="1"/>
        <v>1</v>
      </c>
      <c r="B1670" s="46">
        <f t="shared" si="2"/>
        <v>10</v>
      </c>
      <c r="C1670" s="46">
        <v>2024</v>
      </c>
      <c r="D1670" s="46" t="s">
        <v>658</v>
      </c>
      <c r="E1670" s="46" t="s">
        <v>182</v>
      </c>
      <c r="F1670" s="46" t="s">
        <v>1327</v>
      </c>
      <c r="G1670" s="46"/>
      <c r="H1670" s="46" t="s">
        <v>1011</v>
      </c>
      <c r="I1670" s="46">
        <v>1</v>
      </c>
      <c r="J1670" s="64">
        <v>45301</v>
      </c>
      <c r="K1670" s="46" t="s">
        <v>588</v>
      </c>
      <c r="L1670" s="46" t="s">
        <v>3</v>
      </c>
      <c r="M1670" s="46" t="s">
        <v>589</v>
      </c>
      <c r="N1670" s="49">
        <v>2</v>
      </c>
      <c r="O1670" s="49">
        <v>1</v>
      </c>
      <c r="P1670" s="46" t="s">
        <v>1141</v>
      </c>
      <c r="Q1670" s="46" t="s">
        <v>588</v>
      </c>
      <c r="R1670" s="46" t="s">
        <v>376</v>
      </c>
      <c r="S1670" s="46"/>
      <c r="T1670" s="46"/>
      <c r="U1670" s="46"/>
      <c r="V1670" s="46"/>
      <c r="W1670" s="46"/>
      <c r="X1670" s="46"/>
      <c r="Y1670" s="46"/>
      <c r="Z1670" s="46"/>
      <c r="AA1670" s="46"/>
      <c r="AB1670" s="46"/>
      <c r="AC1670" s="46"/>
      <c r="AD1670" s="46" t="s">
        <v>1033</v>
      </c>
      <c r="AE1670" s="46">
        <v>0</v>
      </c>
      <c r="AF1670" s="46">
        <v>0</v>
      </c>
      <c r="AG1670" s="46">
        <v>1</v>
      </c>
      <c r="AH1670" s="46"/>
      <c r="AI1670" s="46"/>
      <c r="AJ1670" s="46"/>
      <c r="AK1670" s="46"/>
      <c r="AL1670" s="46"/>
      <c r="AM1670" s="46"/>
      <c r="AN1670" s="46"/>
      <c r="AO1670" s="46" t="s">
        <v>658</v>
      </c>
      <c r="AP1670" s="46"/>
      <c r="AQ1670" s="46">
        <v>2</v>
      </c>
      <c r="AR1670" s="46"/>
      <c r="AS1670" s="46"/>
      <c r="AT1670" s="46"/>
      <c r="AU1670" s="46" t="s">
        <v>376</v>
      </c>
      <c r="AV1670" s="46"/>
      <c r="AW1670" s="46" t="s">
        <v>30</v>
      </c>
      <c r="AX1670" s="46"/>
      <c r="AY1670" s="46"/>
      <c r="AZ1670" s="46" t="s">
        <v>30</v>
      </c>
      <c r="BA1670" s="46"/>
      <c r="BB1670" s="51"/>
      <c r="BC1670" s="46"/>
      <c r="BD1670" s="46"/>
      <c r="BE1670" s="46"/>
      <c r="BF1670" s="46">
        <v>1</v>
      </c>
      <c r="BG1670" s="46">
        <v>1</v>
      </c>
      <c r="BH1670" s="46">
        <v>1</v>
      </c>
      <c r="BI1670" s="46" t="s">
        <v>588</v>
      </c>
      <c r="BJ1670" s="46" t="s">
        <v>589</v>
      </c>
      <c r="BK1670" s="46">
        <v>2024</v>
      </c>
      <c r="BL1670" s="46" t="str">
        <f>BK1670&amp;BI1670</f>
        <v>2024Liverpool</v>
      </c>
      <c r="BM1670" s="46" t="s">
        <v>588</v>
      </c>
      <c r="BN1670" s="46"/>
      <c r="BO1670" s="46"/>
      <c r="BP1670" s="46"/>
      <c r="BQ1670" s="46"/>
      <c r="BR1670" s="46"/>
      <c r="BS1670" s="46"/>
      <c r="BT1670" s="46"/>
      <c r="BU1670" s="46"/>
      <c r="BV1670" s="46" t="s">
        <v>376</v>
      </c>
      <c r="BW1670" s="46" t="s">
        <v>376</v>
      </c>
      <c r="BX1670" s="46"/>
      <c r="BY1670" s="46"/>
      <c r="BZ1670" s="46"/>
      <c r="CA1670" s="46"/>
      <c r="CB1670" s="93" t="str">
        <f t="shared" si="0"/>
        <v>20240110</v>
      </c>
    </row>
    <row r="1671" spans="1:80" s="50" customFormat="1" ht="13.35" customHeight="1" x14ac:dyDescent="0.2">
      <c r="A1671" s="50">
        <f t="shared" si="1"/>
        <v>1</v>
      </c>
      <c r="B1671" s="46">
        <f t="shared" si="2"/>
        <v>10</v>
      </c>
      <c r="C1671" s="46">
        <v>2024</v>
      </c>
      <c r="D1671" s="46" t="s">
        <v>658</v>
      </c>
      <c r="E1671" s="46" t="s">
        <v>182</v>
      </c>
      <c r="F1671" s="46" t="s">
        <v>1327</v>
      </c>
      <c r="G1671" s="46"/>
      <c r="H1671" s="46" t="s">
        <v>1011</v>
      </c>
      <c r="I1671" s="46">
        <v>1</v>
      </c>
      <c r="J1671" s="64">
        <v>45301</v>
      </c>
      <c r="K1671" s="46" t="s">
        <v>589</v>
      </c>
      <c r="L1671" s="46" t="s">
        <v>4</v>
      </c>
      <c r="M1671" s="46" t="s">
        <v>588</v>
      </c>
      <c r="N1671" s="49">
        <v>1</v>
      </c>
      <c r="O1671" s="49">
        <v>2</v>
      </c>
      <c r="P1671" s="46" t="s">
        <v>1141</v>
      </c>
      <c r="Q1671" s="46" t="s">
        <v>588</v>
      </c>
      <c r="R1671" s="46" t="s">
        <v>376</v>
      </c>
      <c r="S1671" s="46"/>
      <c r="T1671" s="46"/>
      <c r="U1671" s="46"/>
      <c r="V1671" s="46"/>
      <c r="W1671" s="46"/>
      <c r="X1671" s="46"/>
      <c r="Y1671" s="46"/>
      <c r="Z1671" s="46"/>
      <c r="AA1671" s="46"/>
      <c r="AB1671" s="46"/>
      <c r="AC1671" s="46"/>
      <c r="AD1671" s="46" t="s">
        <v>1037</v>
      </c>
      <c r="AE1671" s="46">
        <v>1</v>
      </c>
      <c r="AF1671" s="46">
        <v>0</v>
      </c>
      <c r="AG1671" s="46">
        <v>0</v>
      </c>
      <c r="AH1671" s="46"/>
      <c r="AI1671" s="46"/>
      <c r="AJ1671" s="46"/>
      <c r="AK1671" s="46"/>
      <c r="AL1671" s="46"/>
      <c r="AM1671" s="46"/>
      <c r="AN1671" s="46"/>
      <c r="AO1671" s="46" t="s">
        <v>658</v>
      </c>
      <c r="AP1671" s="46"/>
      <c r="AQ1671" s="46">
        <v>2</v>
      </c>
      <c r="AR1671" s="46"/>
      <c r="AS1671" s="46"/>
      <c r="AT1671" s="46"/>
      <c r="AU1671" s="46" t="s">
        <v>376</v>
      </c>
      <c r="AV1671" s="46"/>
      <c r="AW1671" s="46" t="s">
        <v>30</v>
      </c>
      <c r="AX1671" s="46"/>
      <c r="AY1671" s="46"/>
      <c r="AZ1671" s="46" t="s">
        <v>30</v>
      </c>
      <c r="BA1671" s="46"/>
      <c r="BB1671" s="51"/>
      <c r="BC1671" s="46"/>
      <c r="BD1671" s="46"/>
      <c r="BE1671" s="46"/>
      <c r="BF1671" s="46">
        <v>1</v>
      </c>
      <c r="BG1671" s="46">
        <v>1</v>
      </c>
      <c r="BH1671" s="46">
        <v>1</v>
      </c>
      <c r="BI1671" s="46" t="s">
        <v>589</v>
      </c>
      <c r="BJ1671" s="46" t="s">
        <v>588</v>
      </c>
      <c r="BK1671" s="46">
        <v>2024</v>
      </c>
      <c r="BL1671" s="46" t="str">
        <f>BK1671&amp;BI1671</f>
        <v>2024Fulham</v>
      </c>
      <c r="BM1671" s="46" t="s">
        <v>588</v>
      </c>
      <c r="BN1671" s="46"/>
      <c r="BO1671" s="46"/>
      <c r="BP1671" s="46"/>
      <c r="BQ1671" s="46"/>
      <c r="BR1671" s="46"/>
      <c r="BS1671" s="46"/>
      <c r="BT1671" s="46"/>
      <c r="BU1671" s="46"/>
      <c r="BV1671" s="46" t="s">
        <v>376</v>
      </c>
      <c r="BW1671" s="46" t="s">
        <v>376</v>
      </c>
      <c r="BX1671" s="46"/>
      <c r="BY1671" s="46"/>
      <c r="BZ1671" s="46"/>
      <c r="CA1671" s="46"/>
      <c r="CB1671" s="93" t="str">
        <f t="shared" si="0"/>
        <v>20240110</v>
      </c>
    </row>
    <row r="1672" spans="1:80" s="50" customFormat="1" ht="13.35" customHeight="1" x14ac:dyDescent="0.2">
      <c r="A1672" s="50">
        <f t="shared" si="1"/>
        <v>1</v>
      </c>
      <c r="B1672" s="46">
        <f t="shared" si="2"/>
        <v>23</v>
      </c>
      <c r="C1672" s="46">
        <v>2024</v>
      </c>
      <c r="D1672" s="46" t="s">
        <v>658</v>
      </c>
      <c r="E1672" s="46" t="s">
        <v>182</v>
      </c>
      <c r="F1672" s="46" t="s">
        <v>1327</v>
      </c>
      <c r="G1672" s="46"/>
      <c r="H1672" s="46" t="s">
        <v>1011</v>
      </c>
      <c r="I1672" s="46">
        <v>2</v>
      </c>
      <c r="J1672" s="64">
        <v>45314</v>
      </c>
      <c r="K1672" s="46" t="s">
        <v>816</v>
      </c>
      <c r="L1672" s="46" t="s">
        <v>3</v>
      </c>
      <c r="M1672" s="46" t="s">
        <v>1366</v>
      </c>
      <c r="N1672" s="49">
        <v>6</v>
      </c>
      <c r="O1672" s="49">
        <v>1</v>
      </c>
      <c r="P1672" s="46" t="s">
        <v>1234</v>
      </c>
      <c r="Q1672" s="46" t="s">
        <v>1017</v>
      </c>
      <c r="R1672" s="46" t="s">
        <v>376</v>
      </c>
      <c r="S1672" s="46"/>
      <c r="T1672" s="46"/>
      <c r="U1672" s="46"/>
      <c r="V1672" s="46"/>
      <c r="W1672" s="46"/>
      <c r="X1672" s="46"/>
      <c r="Y1672" s="46"/>
      <c r="Z1672" s="46"/>
      <c r="AA1672" s="46"/>
      <c r="AB1672" s="46"/>
      <c r="AC1672" s="46"/>
      <c r="AD1672" s="46" t="s">
        <v>1033</v>
      </c>
      <c r="AE1672" s="46">
        <v>1</v>
      </c>
      <c r="AF1672" s="46">
        <v>0</v>
      </c>
      <c r="AG1672" s="46">
        <v>0</v>
      </c>
      <c r="AH1672" s="46"/>
      <c r="AI1672" s="46"/>
      <c r="AJ1672" s="46"/>
      <c r="AK1672" s="46"/>
      <c r="AL1672" s="46"/>
      <c r="AM1672" s="46"/>
      <c r="AN1672" s="46"/>
      <c r="AO1672" s="46" t="s">
        <v>658</v>
      </c>
      <c r="AP1672" s="46"/>
      <c r="AQ1672" s="46">
        <v>2</v>
      </c>
      <c r="AR1672" s="46"/>
      <c r="AS1672" s="46"/>
      <c r="AT1672" s="46"/>
      <c r="AU1672" s="46" t="s">
        <v>376</v>
      </c>
      <c r="AV1672" s="46"/>
      <c r="AW1672" s="46" t="s">
        <v>30</v>
      </c>
      <c r="AX1672" s="46"/>
      <c r="AY1672" s="46"/>
      <c r="AZ1672" s="46" t="s">
        <v>30</v>
      </c>
      <c r="BA1672" s="46"/>
      <c r="BB1672" s="51"/>
      <c r="BC1672" s="46"/>
      <c r="BD1672" s="46"/>
      <c r="BE1672" s="46"/>
      <c r="BF1672" s="46">
        <v>1</v>
      </c>
      <c r="BG1672" s="46">
        <v>1</v>
      </c>
      <c r="BH1672" s="46">
        <v>2</v>
      </c>
      <c r="BI1672" s="46" t="s">
        <v>816</v>
      </c>
      <c r="BJ1672" s="46" t="s">
        <v>1366</v>
      </c>
      <c r="BK1672" s="46">
        <v>2024</v>
      </c>
      <c r="BL1672" s="46" t="str">
        <f>BK1672&amp;BI1672</f>
        <v>2024Chelsea</v>
      </c>
      <c r="BM1672" s="46" t="s">
        <v>816</v>
      </c>
      <c r="BN1672" s="46"/>
      <c r="BO1672" s="46"/>
      <c r="BP1672" s="46"/>
      <c r="BQ1672" s="46"/>
      <c r="BR1672" s="46"/>
      <c r="BS1672" s="46"/>
      <c r="BT1672" s="46"/>
      <c r="BU1672" s="46"/>
      <c r="BV1672" s="46" t="s">
        <v>376</v>
      </c>
      <c r="BW1672" s="46" t="s">
        <v>376</v>
      </c>
      <c r="BX1672" s="46"/>
      <c r="BY1672" s="46"/>
      <c r="BZ1672" s="46"/>
      <c r="CA1672" s="46"/>
      <c r="CB1672" s="93" t="str">
        <f t="shared" si="0"/>
        <v>20240123</v>
      </c>
    </row>
    <row r="1673" spans="1:80" s="50" customFormat="1" ht="13.35" customHeight="1" x14ac:dyDescent="0.2">
      <c r="A1673" s="50">
        <f t="shared" si="1"/>
        <v>1</v>
      </c>
      <c r="B1673" s="46">
        <f t="shared" si="2"/>
        <v>23</v>
      </c>
      <c r="C1673" s="46">
        <v>2024</v>
      </c>
      <c r="D1673" s="46" t="s">
        <v>658</v>
      </c>
      <c r="E1673" s="46" t="s">
        <v>182</v>
      </c>
      <c r="F1673" s="46" t="s">
        <v>1327</v>
      </c>
      <c r="G1673" s="46"/>
      <c r="H1673" s="46" t="s">
        <v>1011</v>
      </c>
      <c r="I1673" s="46">
        <v>2</v>
      </c>
      <c r="J1673" s="64">
        <v>45314</v>
      </c>
      <c r="K1673" s="46" t="s">
        <v>1366</v>
      </c>
      <c r="L1673" s="46" t="s">
        <v>4</v>
      </c>
      <c r="M1673" s="46" t="s">
        <v>816</v>
      </c>
      <c r="N1673" s="49">
        <v>1</v>
      </c>
      <c r="O1673" s="49">
        <v>6</v>
      </c>
      <c r="P1673" s="46" t="s">
        <v>1234</v>
      </c>
      <c r="Q1673" s="46" t="s">
        <v>1017</v>
      </c>
      <c r="R1673" s="46" t="s">
        <v>376</v>
      </c>
      <c r="S1673" s="46"/>
      <c r="T1673" s="46"/>
      <c r="U1673" s="46"/>
      <c r="V1673" s="46"/>
      <c r="W1673" s="46"/>
      <c r="X1673" s="46"/>
      <c r="Y1673" s="46"/>
      <c r="Z1673" s="46"/>
      <c r="AA1673" s="46"/>
      <c r="AB1673" s="46"/>
      <c r="AC1673" s="46"/>
      <c r="AD1673" s="46" t="s">
        <v>1037</v>
      </c>
      <c r="AE1673" s="46">
        <v>0</v>
      </c>
      <c r="AF1673" s="46">
        <v>0</v>
      </c>
      <c r="AG1673" s="46">
        <v>1</v>
      </c>
      <c r="AH1673" s="46"/>
      <c r="AI1673" s="46"/>
      <c r="AJ1673" s="46"/>
      <c r="AK1673" s="46"/>
      <c r="AL1673" s="46"/>
      <c r="AM1673" s="46"/>
      <c r="AN1673" s="46"/>
      <c r="AO1673" s="46" t="s">
        <v>658</v>
      </c>
      <c r="AP1673" s="46"/>
      <c r="AQ1673" s="46">
        <v>2</v>
      </c>
      <c r="AR1673" s="46"/>
      <c r="AS1673" s="46"/>
      <c r="AT1673" s="46"/>
      <c r="AU1673" s="46" t="s">
        <v>376</v>
      </c>
      <c r="AV1673" s="46"/>
      <c r="AW1673" s="46" t="s">
        <v>30</v>
      </c>
      <c r="AX1673" s="46"/>
      <c r="AY1673" s="46"/>
      <c r="AZ1673" s="46" t="s">
        <v>30</v>
      </c>
      <c r="BA1673" s="46"/>
      <c r="BB1673" s="51"/>
      <c r="BC1673" s="46"/>
      <c r="BD1673" s="46"/>
      <c r="BE1673" s="46"/>
      <c r="BF1673" s="46">
        <v>1</v>
      </c>
      <c r="BG1673" s="46">
        <v>2</v>
      </c>
      <c r="BH1673" s="46">
        <v>1</v>
      </c>
      <c r="BI1673" s="46" t="s">
        <v>1366</v>
      </c>
      <c r="BJ1673" s="46" t="s">
        <v>816</v>
      </c>
      <c r="BK1673" s="46">
        <v>2024</v>
      </c>
      <c r="BL1673" s="46" t="str">
        <f>BK1673&amp;BI1673</f>
        <v>2024Middlesbrough</v>
      </c>
      <c r="BM1673" s="46" t="s">
        <v>816</v>
      </c>
      <c r="BN1673" s="46"/>
      <c r="BO1673" s="46"/>
      <c r="BP1673" s="46"/>
      <c r="BQ1673" s="46"/>
      <c r="BR1673" s="46"/>
      <c r="BS1673" s="46"/>
      <c r="BT1673" s="46"/>
      <c r="BU1673" s="46"/>
      <c r="BV1673" s="46" t="s">
        <v>376</v>
      </c>
      <c r="BW1673" s="46" t="s">
        <v>376</v>
      </c>
      <c r="BX1673" s="46"/>
      <c r="BY1673" s="46"/>
      <c r="BZ1673" s="46"/>
      <c r="CA1673" s="46"/>
      <c r="CB1673" s="93" t="str">
        <f t="shared" si="0"/>
        <v>20240123</v>
      </c>
    </row>
    <row r="1674" spans="1:80" s="50" customFormat="1" ht="13.35" customHeight="1" x14ac:dyDescent="0.2">
      <c r="A1674" s="50">
        <f t="shared" si="1"/>
        <v>1</v>
      </c>
      <c r="B1674" s="46">
        <f t="shared" si="2"/>
        <v>24</v>
      </c>
      <c r="C1674" s="46">
        <v>2024</v>
      </c>
      <c r="D1674" s="46" t="s">
        <v>658</v>
      </c>
      <c r="E1674" s="46" t="s">
        <v>182</v>
      </c>
      <c r="F1674" s="46" t="s">
        <v>1327</v>
      </c>
      <c r="G1674" s="46"/>
      <c r="H1674" s="46" t="s">
        <v>1011</v>
      </c>
      <c r="I1674" s="46">
        <v>2</v>
      </c>
      <c r="J1674" s="64">
        <v>45315</v>
      </c>
      <c r="K1674" s="46" t="s">
        <v>589</v>
      </c>
      <c r="L1674" s="46" t="s">
        <v>1014</v>
      </c>
      <c r="M1674" s="46" t="s">
        <v>588</v>
      </c>
      <c r="N1674" s="49">
        <v>1</v>
      </c>
      <c r="O1674" s="49">
        <v>1</v>
      </c>
      <c r="P1674" s="46" t="s">
        <v>1431</v>
      </c>
      <c r="Q1674" s="46" t="s">
        <v>1017</v>
      </c>
      <c r="R1674" s="46" t="s">
        <v>376</v>
      </c>
      <c r="S1674" s="46"/>
      <c r="T1674" s="46"/>
      <c r="U1674" s="46"/>
      <c r="V1674" s="46"/>
      <c r="W1674" s="46"/>
      <c r="X1674" s="46"/>
      <c r="Y1674" s="46"/>
      <c r="Z1674" s="46"/>
      <c r="AA1674" s="46"/>
      <c r="AB1674" s="46"/>
      <c r="AC1674" s="46"/>
      <c r="AD1674" s="46" t="s">
        <v>1033</v>
      </c>
      <c r="AE1674" s="46">
        <v>1</v>
      </c>
      <c r="AF1674" s="46">
        <v>0</v>
      </c>
      <c r="AG1674" s="46">
        <v>0</v>
      </c>
      <c r="AH1674" s="46"/>
      <c r="AI1674" s="46"/>
      <c r="AJ1674" s="46"/>
      <c r="AK1674" s="46"/>
      <c r="AL1674" s="46"/>
      <c r="AM1674" s="46"/>
      <c r="AN1674" s="46"/>
      <c r="AO1674" s="46" t="s">
        <v>658</v>
      </c>
      <c r="AP1674" s="46"/>
      <c r="AQ1674" s="46">
        <v>2</v>
      </c>
      <c r="AR1674" s="46"/>
      <c r="AS1674" s="46"/>
      <c r="AT1674" s="46"/>
      <c r="AU1674" s="46" t="s">
        <v>376</v>
      </c>
      <c r="AV1674" s="46"/>
      <c r="AW1674" s="46" t="s">
        <v>30</v>
      </c>
      <c r="AX1674" s="46"/>
      <c r="AY1674" s="46"/>
      <c r="AZ1674" s="46" t="s">
        <v>30</v>
      </c>
      <c r="BA1674" s="46"/>
      <c r="BB1674" s="51"/>
      <c r="BC1674" s="46"/>
      <c r="BD1674" s="46"/>
      <c r="BE1674" s="46"/>
      <c r="BF1674" s="46">
        <v>1</v>
      </c>
      <c r="BG1674" s="46">
        <v>1</v>
      </c>
      <c r="BH1674" s="46">
        <v>1</v>
      </c>
      <c r="BI1674" s="46" t="s">
        <v>589</v>
      </c>
      <c r="BJ1674" s="46" t="s">
        <v>588</v>
      </c>
      <c r="BK1674" s="46">
        <v>2024</v>
      </c>
      <c r="BL1674" s="46" t="str">
        <f>BK1674&amp;BI1674</f>
        <v>2024Fulham</v>
      </c>
      <c r="BM1674" s="46" t="s">
        <v>589</v>
      </c>
      <c r="BN1674" s="46"/>
      <c r="BO1674" s="46"/>
      <c r="BP1674" s="46"/>
      <c r="BQ1674" s="46"/>
      <c r="BR1674" s="46"/>
      <c r="BS1674" s="46"/>
      <c r="BT1674" s="46"/>
      <c r="BU1674" s="46"/>
      <c r="BV1674" s="46" t="s">
        <v>376</v>
      </c>
      <c r="BW1674" s="46" t="s">
        <v>376</v>
      </c>
      <c r="BX1674" s="46"/>
      <c r="BY1674" s="46"/>
      <c r="BZ1674" s="46"/>
      <c r="CA1674" s="46"/>
      <c r="CB1674" s="93" t="str">
        <f t="shared" si="0"/>
        <v>20240124</v>
      </c>
    </row>
    <row r="1675" spans="1:80" s="50" customFormat="1" ht="13.35" customHeight="1" x14ac:dyDescent="0.2">
      <c r="A1675" s="50">
        <f t="shared" si="1"/>
        <v>1</v>
      </c>
      <c r="B1675" s="46">
        <f t="shared" si="2"/>
        <v>24</v>
      </c>
      <c r="C1675" s="46">
        <v>2024</v>
      </c>
      <c r="D1675" s="46" t="s">
        <v>658</v>
      </c>
      <c r="E1675" s="46" t="s">
        <v>182</v>
      </c>
      <c r="F1675" s="46" t="s">
        <v>1327</v>
      </c>
      <c r="G1675" s="46"/>
      <c r="H1675" s="46" t="s">
        <v>1011</v>
      </c>
      <c r="I1675" s="46">
        <v>2</v>
      </c>
      <c r="J1675" s="64">
        <v>45315</v>
      </c>
      <c r="K1675" s="46" t="s">
        <v>588</v>
      </c>
      <c r="L1675" s="46" t="s">
        <v>1014</v>
      </c>
      <c r="M1675" s="46" t="s">
        <v>589</v>
      </c>
      <c r="N1675" s="49">
        <v>1</v>
      </c>
      <c r="O1675" s="49">
        <v>1</v>
      </c>
      <c r="P1675" s="46" t="s">
        <v>1431</v>
      </c>
      <c r="Q1675" s="46" t="s">
        <v>1017</v>
      </c>
      <c r="R1675" s="46" t="s">
        <v>376</v>
      </c>
      <c r="S1675" s="46"/>
      <c r="T1675" s="46"/>
      <c r="U1675" s="46"/>
      <c r="V1675" s="46"/>
      <c r="W1675" s="46"/>
      <c r="X1675" s="46"/>
      <c r="Y1675" s="46"/>
      <c r="Z1675" s="46"/>
      <c r="AA1675" s="46"/>
      <c r="AB1675" s="46"/>
      <c r="AC1675" s="46"/>
      <c r="AD1675" s="46" t="s">
        <v>1037</v>
      </c>
      <c r="AE1675" s="46">
        <v>0</v>
      </c>
      <c r="AF1675" s="46">
        <v>0</v>
      </c>
      <c r="AG1675" s="46">
        <v>1</v>
      </c>
      <c r="AH1675" s="46"/>
      <c r="AI1675" s="46"/>
      <c r="AJ1675" s="46"/>
      <c r="AK1675" s="46"/>
      <c r="AL1675" s="46"/>
      <c r="AM1675" s="46"/>
      <c r="AN1675" s="46"/>
      <c r="AO1675" s="46" t="s">
        <v>658</v>
      </c>
      <c r="AP1675" s="46"/>
      <c r="AQ1675" s="46">
        <v>2</v>
      </c>
      <c r="AR1675" s="46"/>
      <c r="AS1675" s="46"/>
      <c r="AT1675" s="46"/>
      <c r="AU1675" s="46" t="s">
        <v>376</v>
      </c>
      <c r="AV1675" s="46"/>
      <c r="AW1675" s="46" t="s">
        <v>30</v>
      </c>
      <c r="AX1675" s="46"/>
      <c r="AY1675" s="46"/>
      <c r="AZ1675" s="46" t="s">
        <v>30</v>
      </c>
      <c r="BA1675" s="46"/>
      <c r="BB1675" s="51"/>
      <c r="BC1675" s="46"/>
      <c r="BD1675" s="46"/>
      <c r="BE1675" s="46"/>
      <c r="BF1675" s="46">
        <v>1</v>
      </c>
      <c r="BG1675" s="46">
        <v>1</v>
      </c>
      <c r="BH1675" s="46">
        <v>1</v>
      </c>
      <c r="BI1675" s="46" t="s">
        <v>588</v>
      </c>
      <c r="BJ1675" s="46" t="s">
        <v>589</v>
      </c>
      <c r="BK1675" s="46">
        <v>2024</v>
      </c>
      <c r="BL1675" s="46" t="str">
        <f>BK1675&amp;BI1675</f>
        <v>2024Liverpool</v>
      </c>
      <c r="BM1675" s="46" t="s">
        <v>589</v>
      </c>
      <c r="BN1675" s="46"/>
      <c r="BO1675" s="46"/>
      <c r="BP1675" s="46"/>
      <c r="BQ1675" s="46"/>
      <c r="BR1675" s="46"/>
      <c r="BS1675" s="46"/>
      <c r="BT1675" s="46"/>
      <c r="BU1675" s="46"/>
      <c r="BV1675" s="46" t="s">
        <v>376</v>
      </c>
      <c r="BW1675" s="46" t="s">
        <v>376</v>
      </c>
      <c r="BX1675" s="46"/>
      <c r="BY1675" s="46"/>
      <c r="BZ1675" s="46"/>
      <c r="CA1675" s="46"/>
      <c r="CB1675" s="93" t="str">
        <f t="shared" si="0"/>
        <v>20240124</v>
      </c>
    </row>
    <row r="1676" spans="1:80" s="50" customFormat="1" ht="13.35" customHeight="1" x14ac:dyDescent="0.2">
      <c r="A1676" s="50">
        <f t="shared" si="1"/>
        <v>2</v>
      </c>
      <c r="B1676" s="46">
        <f t="shared" si="2"/>
        <v>25</v>
      </c>
      <c r="C1676" s="46">
        <v>2024</v>
      </c>
      <c r="D1676" s="46" t="s">
        <v>658</v>
      </c>
      <c r="E1676" s="46" t="s">
        <v>182</v>
      </c>
      <c r="F1676" s="46" t="s">
        <v>1327</v>
      </c>
      <c r="G1676" s="46"/>
      <c r="H1676" s="46" t="s">
        <v>40</v>
      </c>
      <c r="I1676" s="46"/>
      <c r="J1676" s="64">
        <v>45347</v>
      </c>
      <c r="K1676" s="46" t="s">
        <v>816</v>
      </c>
      <c r="L1676" s="46" t="s">
        <v>4</v>
      </c>
      <c r="M1676" s="46" t="s">
        <v>588</v>
      </c>
      <c r="N1676" s="49">
        <v>0</v>
      </c>
      <c r="O1676" s="49">
        <v>1</v>
      </c>
      <c r="P1676" s="46" t="s">
        <v>1415</v>
      </c>
      <c r="Q1676" s="46" t="s">
        <v>1017</v>
      </c>
      <c r="R1676" s="46" t="s">
        <v>376</v>
      </c>
      <c r="S1676" s="46" t="s">
        <v>1396</v>
      </c>
      <c r="T1676" s="46"/>
      <c r="U1676" s="46"/>
      <c r="V1676" s="46"/>
      <c r="W1676" s="46"/>
      <c r="X1676" s="46"/>
      <c r="Y1676" s="46"/>
      <c r="Z1676" s="46"/>
      <c r="AA1676" s="46"/>
      <c r="AB1676" s="46"/>
      <c r="AC1676" s="46"/>
      <c r="AD1676" s="46"/>
      <c r="AE1676" s="46">
        <v>1</v>
      </c>
      <c r="AF1676" s="46">
        <v>0</v>
      </c>
      <c r="AG1676" s="46">
        <v>0</v>
      </c>
      <c r="AH1676" s="46"/>
      <c r="AI1676" s="46"/>
      <c r="AJ1676" s="46"/>
      <c r="AK1676" s="46"/>
      <c r="AL1676" s="46"/>
      <c r="AM1676" s="46"/>
      <c r="AN1676" s="46"/>
      <c r="AO1676" s="46" t="s">
        <v>658</v>
      </c>
      <c r="AP1676" s="46"/>
      <c r="AQ1676" s="46">
        <v>1</v>
      </c>
      <c r="AR1676" s="46"/>
      <c r="AS1676" s="46"/>
      <c r="AT1676" s="46"/>
      <c r="AU1676" s="46" t="s">
        <v>376</v>
      </c>
      <c r="AV1676" s="46"/>
      <c r="AW1676" s="46" t="s">
        <v>30</v>
      </c>
      <c r="AX1676" s="46"/>
      <c r="AY1676" s="46"/>
      <c r="AZ1676" s="46" t="s">
        <v>30</v>
      </c>
      <c r="BA1676" s="46"/>
      <c r="BB1676" s="51"/>
      <c r="BC1676" s="46" t="s">
        <v>30</v>
      </c>
      <c r="BD1676" s="46"/>
      <c r="BE1676" s="46"/>
      <c r="BF1676" s="46">
        <v>1</v>
      </c>
      <c r="BG1676" s="46">
        <v>1</v>
      </c>
      <c r="BH1676" s="46">
        <v>1</v>
      </c>
      <c r="BI1676" s="46" t="s">
        <v>816</v>
      </c>
      <c r="BJ1676" s="46" t="s">
        <v>588</v>
      </c>
      <c r="BK1676" s="46">
        <v>2024</v>
      </c>
      <c r="BL1676" s="46" t="str">
        <f>BK1676&amp;BI1676</f>
        <v>2024Chelsea</v>
      </c>
      <c r="BM1676" s="46" t="s">
        <v>1017</v>
      </c>
      <c r="BN1676" s="46"/>
      <c r="BO1676" s="46"/>
      <c r="BP1676" s="46"/>
      <c r="BQ1676" s="46"/>
      <c r="BR1676" s="46"/>
      <c r="BS1676" s="46"/>
      <c r="BT1676" s="46"/>
      <c r="BU1676" s="46"/>
      <c r="BV1676" s="46" t="s">
        <v>376</v>
      </c>
      <c r="BW1676" s="46" t="s">
        <v>376</v>
      </c>
      <c r="BX1676" s="46"/>
      <c r="BY1676" s="46"/>
      <c r="BZ1676" s="46"/>
      <c r="CA1676" s="46"/>
      <c r="CB1676" s="93" t="str">
        <f t="shared" si="0"/>
        <v>20240225</v>
      </c>
    </row>
    <row r="1677" spans="1:80" s="50" customFormat="1" ht="13.35" customHeight="1" x14ac:dyDescent="0.2">
      <c r="A1677" s="50">
        <f t="shared" si="1"/>
        <v>2</v>
      </c>
      <c r="B1677" s="46">
        <f t="shared" si="2"/>
        <v>25</v>
      </c>
      <c r="C1677" s="46">
        <v>2024</v>
      </c>
      <c r="D1677" s="46" t="s">
        <v>658</v>
      </c>
      <c r="E1677" s="46" t="s">
        <v>182</v>
      </c>
      <c r="F1677" s="46" t="s">
        <v>1327</v>
      </c>
      <c r="G1677" s="46"/>
      <c r="H1677" s="46" t="s">
        <v>40</v>
      </c>
      <c r="I1677" s="46"/>
      <c r="J1677" s="64">
        <v>45347</v>
      </c>
      <c r="K1677" s="46" t="s">
        <v>588</v>
      </c>
      <c r="L1677" s="46" t="s">
        <v>3</v>
      </c>
      <c r="M1677" s="46" t="s">
        <v>816</v>
      </c>
      <c r="N1677" s="49">
        <v>1</v>
      </c>
      <c r="O1677" s="49">
        <v>0</v>
      </c>
      <c r="P1677" s="46" t="s">
        <v>1415</v>
      </c>
      <c r="Q1677" s="46" t="s">
        <v>1017</v>
      </c>
      <c r="R1677" s="46" t="s">
        <v>376</v>
      </c>
      <c r="S1677" s="46" t="s">
        <v>1396</v>
      </c>
      <c r="T1677" s="46"/>
      <c r="U1677" s="46"/>
      <c r="V1677" s="46"/>
      <c r="W1677" s="46"/>
      <c r="X1677" s="46"/>
      <c r="Y1677" s="46"/>
      <c r="Z1677" s="46"/>
      <c r="AA1677" s="46"/>
      <c r="AB1677" s="46"/>
      <c r="AC1677" s="46"/>
      <c r="AD1677" s="46"/>
      <c r="AE1677" s="46">
        <v>0</v>
      </c>
      <c r="AF1677" s="46">
        <v>0</v>
      </c>
      <c r="AG1677" s="46">
        <v>1</v>
      </c>
      <c r="AH1677" s="46"/>
      <c r="AI1677" s="46"/>
      <c r="AJ1677" s="46"/>
      <c r="AK1677" s="46"/>
      <c r="AL1677" s="46"/>
      <c r="AM1677" s="46"/>
      <c r="AN1677" s="46"/>
      <c r="AO1677" s="46" t="s">
        <v>658</v>
      </c>
      <c r="AP1677" s="46"/>
      <c r="AQ1677" s="46">
        <v>1</v>
      </c>
      <c r="AR1677" s="46"/>
      <c r="AS1677" s="46"/>
      <c r="AT1677" s="46"/>
      <c r="AU1677" s="46" t="s">
        <v>376</v>
      </c>
      <c r="AV1677" s="46"/>
      <c r="AW1677" s="46" t="s">
        <v>30</v>
      </c>
      <c r="AX1677" s="46"/>
      <c r="AY1677" s="46"/>
      <c r="AZ1677" s="46" t="s">
        <v>30</v>
      </c>
      <c r="BA1677" s="46"/>
      <c r="BB1677" s="51" t="s">
        <v>30</v>
      </c>
      <c r="BC1677" s="46" t="s">
        <v>30</v>
      </c>
      <c r="BD1677" s="46"/>
      <c r="BE1677" s="46"/>
      <c r="BF1677" s="46">
        <v>1</v>
      </c>
      <c r="BG1677" s="46">
        <v>1</v>
      </c>
      <c r="BH1677" s="46">
        <v>1</v>
      </c>
      <c r="BI1677" s="46" t="s">
        <v>588</v>
      </c>
      <c r="BJ1677" s="46" t="s">
        <v>816</v>
      </c>
      <c r="BK1677" s="46">
        <v>2024</v>
      </c>
      <c r="BL1677" s="46" t="str">
        <f>BK1677&amp;BI1677</f>
        <v>2024Liverpool</v>
      </c>
      <c r="BM1677" s="46" t="s">
        <v>1017</v>
      </c>
      <c r="BN1677" s="46"/>
      <c r="BO1677" s="46"/>
      <c r="BP1677" s="46"/>
      <c r="BQ1677" s="46"/>
      <c r="BR1677" s="46"/>
      <c r="BS1677" s="46"/>
      <c r="BT1677" s="46"/>
      <c r="BU1677" s="46"/>
      <c r="BV1677" s="46" t="s">
        <v>376</v>
      </c>
      <c r="BW1677" s="46" t="s">
        <v>376</v>
      </c>
      <c r="BX1677" s="46"/>
      <c r="BY1677" s="46"/>
      <c r="BZ1677" s="46"/>
      <c r="CA1677" s="46"/>
      <c r="CB1677" s="93" t="str">
        <f t="shared" si="0"/>
        <v>20240225</v>
      </c>
    </row>
    <row r="1678" spans="1:80" s="50" customFormat="1" ht="13.35" customHeight="1" x14ac:dyDescent="0.2">
      <c r="A1678" s="50">
        <f t="shared" si="1"/>
        <v>4</v>
      </c>
      <c r="B1678" s="46">
        <f t="shared" si="2"/>
        <v>20</v>
      </c>
      <c r="C1678" s="46">
        <v>2024</v>
      </c>
      <c r="D1678" s="46" t="s">
        <v>658</v>
      </c>
      <c r="E1678" s="46" t="s">
        <v>182</v>
      </c>
      <c r="F1678" s="46" t="s">
        <v>1010</v>
      </c>
      <c r="G1678" s="46"/>
      <c r="H1678" s="46" t="s">
        <v>1011</v>
      </c>
      <c r="I1678" s="46"/>
      <c r="J1678" s="64">
        <v>45402</v>
      </c>
      <c r="K1678" s="46" t="s">
        <v>823</v>
      </c>
      <c r="L1678" s="46" t="s">
        <v>3</v>
      </c>
      <c r="M1678" s="46" t="s">
        <v>816</v>
      </c>
      <c r="N1678" s="49">
        <v>1</v>
      </c>
      <c r="O1678" s="49">
        <v>0</v>
      </c>
      <c r="P1678" s="46" t="s">
        <v>1415</v>
      </c>
      <c r="Q1678" s="46" t="s">
        <v>1017</v>
      </c>
      <c r="R1678" s="46" t="s">
        <v>376</v>
      </c>
      <c r="S1678" s="46"/>
      <c r="T1678" s="46"/>
      <c r="U1678" s="46"/>
      <c r="V1678" s="46"/>
      <c r="W1678" s="46"/>
      <c r="X1678" s="46"/>
      <c r="Y1678" s="46"/>
      <c r="Z1678" s="46"/>
      <c r="AA1678" s="46"/>
      <c r="AB1678" s="46"/>
      <c r="AC1678" s="46"/>
      <c r="AD1678" s="46"/>
      <c r="AE1678" s="46">
        <v>1</v>
      </c>
      <c r="AF1678" s="46">
        <v>0</v>
      </c>
      <c r="AG1678" s="46">
        <v>0</v>
      </c>
      <c r="AH1678" s="46"/>
      <c r="AI1678" s="46"/>
      <c r="AJ1678" s="46"/>
      <c r="AK1678" s="46"/>
      <c r="AL1678" s="46"/>
      <c r="AM1678" s="46"/>
      <c r="AN1678" s="46"/>
      <c r="AO1678" s="46" t="s">
        <v>658</v>
      </c>
      <c r="AP1678" s="46"/>
      <c r="AQ1678" s="46">
        <v>2</v>
      </c>
      <c r="AR1678" s="46"/>
      <c r="AS1678" s="46"/>
      <c r="AT1678" s="46"/>
      <c r="AU1678" s="46" t="s">
        <v>376</v>
      </c>
      <c r="AV1678" s="46"/>
      <c r="AW1678" s="46" t="s">
        <v>30</v>
      </c>
      <c r="AX1678" s="46"/>
      <c r="AY1678" s="46" t="s">
        <v>30</v>
      </c>
      <c r="AZ1678" s="46"/>
      <c r="BA1678" s="46"/>
      <c r="BB1678" s="51"/>
      <c r="BC1678" s="46"/>
      <c r="BD1678" s="46"/>
      <c r="BE1678" s="46"/>
      <c r="BF1678" s="46">
        <v>1</v>
      </c>
      <c r="BG1678" s="46">
        <v>1</v>
      </c>
      <c r="BH1678" s="46">
        <v>1</v>
      </c>
      <c r="BI1678" s="46" t="s">
        <v>823</v>
      </c>
      <c r="BJ1678" s="46" t="s">
        <v>816</v>
      </c>
      <c r="BK1678" s="46">
        <v>2024</v>
      </c>
      <c r="BL1678" s="46" t="str">
        <f>BK1678&amp;BI1678</f>
        <v>2024Manchester City</v>
      </c>
      <c r="BM1678" s="46" t="s">
        <v>1017</v>
      </c>
      <c r="BN1678" s="46"/>
      <c r="BO1678" s="46"/>
      <c r="BP1678" s="46"/>
      <c r="BQ1678" s="46"/>
      <c r="BR1678" s="46"/>
      <c r="BS1678" s="46"/>
      <c r="BT1678" s="46"/>
      <c r="BU1678" s="46"/>
      <c r="BV1678" s="46" t="s">
        <v>376</v>
      </c>
      <c r="BW1678" s="46" t="s">
        <v>376</v>
      </c>
      <c r="BX1678" s="46"/>
      <c r="BY1678" s="46"/>
      <c r="BZ1678" s="46"/>
      <c r="CA1678" s="46"/>
      <c r="CB1678" s="93" t="str">
        <f t="shared" si="0"/>
        <v>20240420</v>
      </c>
    </row>
    <row r="1679" spans="1:80" s="50" customFormat="1" ht="13.35" customHeight="1" x14ac:dyDescent="0.2">
      <c r="A1679" s="50">
        <f t="shared" si="1"/>
        <v>4</v>
      </c>
      <c r="B1679" s="46">
        <f t="shared" si="2"/>
        <v>20</v>
      </c>
      <c r="C1679" s="46">
        <v>2024</v>
      </c>
      <c r="D1679" s="46" t="s">
        <v>658</v>
      </c>
      <c r="E1679" s="46" t="s">
        <v>182</v>
      </c>
      <c r="F1679" s="46" t="s">
        <v>1010</v>
      </c>
      <c r="G1679" s="46"/>
      <c r="H1679" s="46" t="s">
        <v>1011</v>
      </c>
      <c r="I1679" s="46"/>
      <c r="J1679" s="64">
        <v>45402</v>
      </c>
      <c r="K1679" s="46" t="s">
        <v>816</v>
      </c>
      <c r="L1679" s="46" t="s">
        <v>4</v>
      </c>
      <c r="M1679" s="46" t="s">
        <v>823</v>
      </c>
      <c r="N1679" s="49">
        <v>0</v>
      </c>
      <c r="O1679" s="49">
        <v>1</v>
      </c>
      <c r="P1679" s="46" t="s">
        <v>1415</v>
      </c>
      <c r="Q1679" s="46" t="s">
        <v>1017</v>
      </c>
      <c r="R1679" s="46" t="s">
        <v>376</v>
      </c>
      <c r="S1679" s="46"/>
      <c r="T1679" s="46"/>
      <c r="U1679" s="46"/>
      <c r="V1679" s="46"/>
      <c r="W1679" s="46"/>
      <c r="X1679" s="46"/>
      <c r="Y1679" s="46"/>
      <c r="Z1679" s="46"/>
      <c r="AA1679" s="46"/>
      <c r="AB1679" s="46"/>
      <c r="AC1679" s="46"/>
      <c r="AD1679" s="46"/>
      <c r="AE1679" s="46">
        <v>0</v>
      </c>
      <c r="AF1679" s="46">
        <v>0</v>
      </c>
      <c r="AG1679" s="46">
        <v>1</v>
      </c>
      <c r="AH1679" s="46"/>
      <c r="AI1679" s="46"/>
      <c r="AJ1679" s="46"/>
      <c r="AK1679" s="46"/>
      <c r="AL1679" s="46"/>
      <c r="AM1679" s="46"/>
      <c r="AN1679" s="46"/>
      <c r="AO1679" s="46" t="s">
        <v>658</v>
      </c>
      <c r="AP1679" s="46"/>
      <c r="AQ1679" s="46">
        <v>2</v>
      </c>
      <c r="AR1679" s="46"/>
      <c r="AS1679" s="46"/>
      <c r="AT1679" s="46"/>
      <c r="AU1679" s="46" t="s">
        <v>376</v>
      </c>
      <c r="AV1679" s="46"/>
      <c r="AW1679" s="46" t="s">
        <v>30</v>
      </c>
      <c r="AX1679" s="46"/>
      <c r="AY1679" s="46" t="s">
        <v>30</v>
      </c>
      <c r="AZ1679" s="46"/>
      <c r="BA1679" s="46"/>
      <c r="BB1679" s="51"/>
      <c r="BC1679" s="46"/>
      <c r="BD1679" s="46"/>
      <c r="BE1679" s="46"/>
      <c r="BF1679" s="46">
        <v>1</v>
      </c>
      <c r="BG1679" s="46">
        <v>1</v>
      </c>
      <c r="BH1679" s="46">
        <v>1</v>
      </c>
      <c r="BI1679" s="46" t="s">
        <v>816</v>
      </c>
      <c r="BJ1679" s="46" t="s">
        <v>823</v>
      </c>
      <c r="BK1679" s="46">
        <v>2024</v>
      </c>
      <c r="BL1679" s="46" t="str">
        <f>BK1679&amp;BI1679</f>
        <v>2024Chelsea</v>
      </c>
      <c r="BM1679" s="46" t="s">
        <v>1017</v>
      </c>
      <c r="BN1679" s="46"/>
      <c r="BO1679" s="46"/>
      <c r="BP1679" s="46"/>
      <c r="BQ1679" s="46"/>
      <c r="BR1679" s="46"/>
      <c r="BS1679" s="46"/>
      <c r="BT1679" s="46"/>
      <c r="BU1679" s="46"/>
      <c r="BV1679" s="46" t="s">
        <v>376</v>
      </c>
      <c r="BW1679" s="46" t="s">
        <v>376</v>
      </c>
      <c r="BX1679" s="46"/>
      <c r="BY1679" s="46"/>
      <c r="BZ1679" s="46"/>
      <c r="CA1679" s="46"/>
      <c r="CB1679" s="93" t="str">
        <f t="shared" si="0"/>
        <v>20240420</v>
      </c>
    </row>
    <row r="1680" spans="1:80" s="50" customFormat="1" ht="13.35" customHeight="1" x14ac:dyDescent="0.2">
      <c r="A1680" s="50">
        <f t="shared" si="1"/>
        <v>4</v>
      </c>
      <c r="B1680" s="46">
        <f t="shared" si="2"/>
        <v>21</v>
      </c>
      <c r="C1680" s="46">
        <v>2024</v>
      </c>
      <c r="D1680" s="46" t="s">
        <v>658</v>
      </c>
      <c r="E1680" s="46" t="s">
        <v>182</v>
      </c>
      <c r="F1680" s="46" t="s">
        <v>1010</v>
      </c>
      <c r="G1680" s="46"/>
      <c r="H1680" s="46" t="s">
        <v>1011</v>
      </c>
      <c r="I1680" s="46"/>
      <c r="J1680" s="64">
        <v>45403</v>
      </c>
      <c r="K1680" s="46" t="s">
        <v>1377</v>
      </c>
      <c r="L1680" s="46" t="s">
        <v>4</v>
      </c>
      <c r="M1680" s="46" t="s">
        <v>821</v>
      </c>
      <c r="N1680" s="49">
        <v>3</v>
      </c>
      <c r="O1680" s="49">
        <v>3</v>
      </c>
      <c r="P1680" s="46" t="s">
        <v>1415</v>
      </c>
      <c r="Q1680" s="46" t="s">
        <v>1017</v>
      </c>
      <c r="R1680" s="46" t="s">
        <v>376</v>
      </c>
      <c r="S1680" s="46" t="s">
        <v>1390</v>
      </c>
      <c r="T1680" s="46">
        <v>2</v>
      </c>
      <c r="U1680" s="46">
        <v>4</v>
      </c>
      <c r="V1680" s="46"/>
      <c r="W1680" s="46"/>
      <c r="X1680" s="46"/>
      <c r="Y1680" s="46"/>
      <c r="Z1680" s="46"/>
      <c r="AA1680" s="46"/>
      <c r="AB1680" s="46"/>
      <c r="AC1680" s="46"/>
      <c r="AD1680" s="46"/>
      <c r="AE1680" s="46">
        <v>1</v>
      </c>
      <c r="AF1680" s="46">
        <v>0</v>
      </c>
      <c r="AG1680" s="46">
        <v>0</v>
      </c>
      <c r="AH1680" s="46"/>
      <c r="AI1680" s="46"/>
      <c r="AJ1680" s="46"/>
      <c r="AK1680" s="46"/>
      <c r="AL1680" s="46"/>
      <c r="AM1680" s="46"/>
      <c r="AN1680" s="46"/>
      <c r="AO1680" s="46" t="s">
        <v>658</v>
      </c>
      <c r="AP1680" s="46"/>
      <c r="AQ1680" s="46">
        <v>2</v>
      </c>
      <c r="AR1680" s="46"/>
      <c r="AS1680" s="46"/>
      <c r="AT1680" s="46"/>
      <c r="AU1680" s="46" t="s">
        <v>376</v>
      </c>
      <c r="AV1680" s="46"/>
      <c r="AW1680" s="46" t="s">
        <v>30</v>
      </c>
      <c r="AX1680" s="46"/>
      <c r="AY1680" s="46" t="s">
        <v>30</v>
      </c>
      <c r="AZ1680" s="46"/>
      <c r="BA1680" s="46"/>
      <c r="BB1680" s="51"/>
      <c r="BC1680" s="46"/>
      <c r="BD1680" s="46"/>
      <c r="BE1680" s="46"/>
      <c r="BF1680" s="46">
        <v>1</v>
      </c>
      <c r="BG1680" s="46">
        <v>2</v>
      </c>
      <c r="BH1680" s="46">
        <v>1</v>
      </c>
      <c r="BI1680" s="46" t="s">
        <v>1377</v>
      </c>
      <c r="BJ1680" s="46" t="s">
        <v>821</v>
      </c>
      <c r="BK1680" s="46">
        <v>2024</v>
      </c>
      <c r="BL1680" s="46" t="str">
        <f>BK1680&amp;BI1680</f>
        <v>2024Coventry City</v>
      </c>
      <c r="BM1680" s="46" t="s">
        <v>1017</v>
      </c>
      <c r="BN1680" s="46"/>
      <c r="BO1680" s="46"/>
      <c r="BP1680" s="46"/>
      <c r="BQ1680" s="46"/>
      <c r="BR1680" s="46"/>
      <c r="BS1680" s="46"/>
      <c r="BT1680" s="46"/>
      <c r="BU1680" s="46"/>
      <c r="BV1680" s="46" t="s">
        <v>376</v>
      </c>
      <c r="BW1680" s="46" t="s">
        <v>376</v>
      </c>
      <c r="BX1680" s="46"/>
      <c r="BY1680" s="46"/>
      <c r="BZ1680" s="46"/>
      <c r="CA1680" s="46"/>
      <c r="CB1680" s="93" t="str">
        <f t="shared" si="0"/>
        <v>20240421</v>
      </c>
    </row>
    <row r="1681" spans="1:80" s="50" customFormat="1" ht="13.35" customHeight="1" x14ac:dyDescent="0.2">
      <c r="A1681" s="50">
        <f t="shared" si="1"/>
        <v>4</v>
      </c>
      <c r="B1681" s="46">
        <f t="shared" si="2"/>
        <v>21</v>
      </c>
      <c r="C1681" s="46">
        <v>2024</v>
      </c>
      <c r="D1681" s="46" t="s">
        <v>658</v>
      </c>
      <c r="E1681" s="46" t="s">
        <v>182</v>
      </c>
      <c r="F1681" s="46" t="s">
        <v>1010</v>
      </c>
      <c r="G1681" s="46"/>
      <c r="H1681" s="46" t="s">
        <v>1011</v>
      </c>
      <c r="I1681" s="46"/>
      <c r="J1681" s="64">
        <v>45403</v>
      </c>
      <c r="K1681" s="46" t="s">
        <v>821</v>
      </c>
      <c r="L1681" s="46" t="s">
        <v>3</v>
      </c>
      <c r="M1681" s="46" t="s">
        <v>1377</v>
      </c>
      <c r="N1681" s="49">
        <v>3</v>
      </c>
      <c r="O1681" s="49">
        <v>3</v>
      </c>
      <c r="P1681" s="46" t="s">
        <v>1415</v>
      </c>
      <c r="Q1681" s="46" t="s">
        <v>1017</v>
      </c>
      <c r="R1681" s="46" t="s">
        <v>376</v>
      </c>
      <c r="S1681" s="46" t="s">
        <v>1390</v>
      </c>
      <c r="T1681" s="46">
        <v>4</v>
      </c>
      <c r="U1681" s="46">
        <v>2</v>
      </c>
      <c r="V1681" s="46"/>
      <c r="W1681" s="46"/>
      <c r="X1681" s="46"/>
      <c r="Y1681" s="46"/>
      <c r="Z1681" s="46"/>
      <c r="AA1681" s="46"/>
      <c r="AB1681" s="46"/>
      <c r="AC1681" s="46"/>
      <c r="AD1681" s="46"/>
      <c r="AE1681" s="46">
        <v>0</v>
      </c>
      <c r="AF1681" s="46">
        <v>0</v>
      </c>
      <c r="AG1681" s="46">
        <v>1</v>
      </c>
      <c r="AH1681" s="46"/>
      <c r="AI1681" s="46"/>
      <c r="AJ1681" s="46"/>
      <c r="AK1681" s="46"/>
      <c r="AL1681" s="46"/>
      <c r="AM1681" s="46"/>
      <c r="AN1681" s="46"/>
      <c r="AO1681" s="46" t="s">
        <v>658</v>
      </c>
      <c r="AP1681" s="46"/>
      <c r="AQ1681" s="46">
        <v>2</v>
      </c>
      <c r="AR1681" s="46"/>
      <c r="AS1681" s="46"/>
      <c r="AT1681" s="46"/>
      <c r="AU1681" s="46" t="s">
        <v>376</v>
      </c>
      <c r="AV1681" s="46"/>
      <c r="AW1681" s="46" t="s">
        <v>30</v>
      </c>
      <c r="AX1681" s="46"/>
      <c r="AY1681" s="46" t="s">
        <v>30</v>
      </c>
      <c r="AZ1681" s="46"/>
      <c r="BA1681" s="46"/>
      <c r="BB1681" s="51"/>
      <c r="BC1681" s="46"/>
      <c r="BD1681" s="46"/>
      <c r="BE1681" s="46"/>
      <c r="BF1681" s="46">
        <v>1</v>
      </c>
      <c r="BG1681" s="46">
        <v>1</v>
      </c>
      <c r="BH1681" s="46">
        <v>2</v>
      </c>
      <c r="BI1681" s="46" t="s">
        <v>821</v>
      </c>
      <c r="BJ1681" s="46" t="s">
        <v>1377</v>
      </c>
      <c r="BK1681" s="46">
        <v>2024</v>
      </c>
      <c r="BL1681" s="46" t="str">
        <f>BK1681&amp;BI1681</f>
        <v>2024Manchester United</v>
      </c>
      <c r="BM1681" s="46" t="s">
        <v>1017</v>
      </c>
      <c r="BN1681" s="46"/>
      <c r="BO1681" s="46"/>
      <c r="BP1681" s="46"/>
      <c r="BQ1681" s="46"/>
      <c r="BR1681" s="46"/>
      <c r="BS1681" s="46"/>
      <c r="BT1681" s="46"/>
      <c r="BU1681" s="46"/>
      <c r="BV1681" s="46" t="s">
        <v>376</v>
      </c>
      <c r="BW1681" s="46" t="s">
        <v>376</v>
      </c>
      <c r="BX1681" s="46"/>
      <c r="BY1681" s="46"/>
      <c r="BZ1681" s="46"/>
      <c r="CA1681" s="46"/>
      <c r="CB1681" s="93" t="str">
        <f t="shared" si="0"/>
        <v>20240421</v>
      </c>
    </row>
    <row r="1682" spans="1:80" s="50" customFormat="1" ht="13.35" customHeight="1" x14ac:dyDescent="0.2">
      <c r="A1682" s="50">
        <f t="shared" si="1"/>
        <v>5</v>
      </c>
      <c r="B1682" s="46">
        <f t="shared" si="2"/>
        <v>25</v>
      </c>
      <c r="C1682" s="46">
        <v>2024</v>
      </c>
      <c r="D1682" s="46" t="s">
        <v>658</v>
      </c>
      <c r="E1682" s="46" t="s">
        <v>182</v>
      </c>
      <c r="F1682" s="46" t="s">
        <v>1010</v>
      </c>
      <c r="G1682" s="46"/>
      <c r="H1682" s="46" t="s">
        <v>40</v>
      </c>
      <c r="I1682" s="46"/>
      <c r="J1682" s="64">
        <v>45437</v>
      </c>
      <c r="K1682" s="46" t="s">
        <v>823</v>
      </c>
      <c r="L1682" s="46" t="s">
        <v>4</v>
      </c>
      <c r="M1682" s="46" t="s">
        <v>821</v>
      </c>
      <c r="N1682" s="49">
        <v>1</v>
      </c>
      <c r="O1682" s="49">
        <v>2</v>
      </c>
      <c r="P1682" s="46" t="s">
        <v>1415</v>
      </c>
      <c r="Q1682" s="46" t="s">
        <v>1017</v>
      </c>
      <c r="R1682" s="46" t="s">
        <v>376</v>
      </c>
      <c r="S1682" s="46"/>
      <c r="T1682" s="46"/>
      <c r="U1682" s="46"/>
      <c r="V1682" s="46"/>
      <c r="W1682" s="46"/>
      <c r="X1682" s="46"/>
      <c r="Y1682" s="46"/>
      <c r="Z1682" s="46"/>
      <c r="AA1682" s="46"/>
      <c r="AB1682" s="46"/>
      <c r="AC1682" s="46"/>
      <c r="AD1682" s="46"/>
      <c r="AE1682" s="46">
        <v>1</v>
      </c>
      <c r="AF1682" s="46">
        <v>0</v>
      </c>
      <c r="AG1682" s="46">
        <v>0</v>
      </c>
      <c r="AH1682" s="46"/>
      <c r="AI1682" s="46"/>
      <c r="AJ1682" s="46"/>
      <c r="AK1682" s="46"/>
      <c r="AL1682" s="46"/>
      <c r="AM1682" s="46"/>
      <c r="AN1682" s="46"/>
      <c r="AO1682" s="46" t="s">
        <v>658</v>
      </c>
      <c r="AP1682" s="46"/>
      <c r="AQ1682" s="46">
        <v>1</v>
      </c>
      <c r="AR1682" s="46"/>
      <c r="AS1682" s="46"/>
      <c r="AT1682" s="46"/>
      <c r="AU1682" s="46" t="s">
        <v>376</v>
      </c>
      <c r="AV1682" s="46"/>
      <c r="AW1682" s="46" t="s">
        <v>30</v>
      </c>
      <c r="AX1682" s="46"/>
      <c r="AY1682" s="46" t="s">
        <v>30</v>
      </c>
      <c r="AZ1682" s="46"/>
      <c r="BA1682" s="46"/>
      <c r="BB1682" s="51"/>
      <c r="BC1682" s="46" t="s">
        <v>30</v>
      </c>
      <c r="BD1682" s="46"/>
      <c r="BE1682" s="46"/>
      <c r="BF1682" s="46">
        <v>1</v>
      </c>
      <c r="BG1682" s="46">
        <v>1</v>
      </c>
      <c r="BH1682" s="46">
        <v>1</v>
      </c>
      <c r="BI1682" s="46" t="s">
        <v>823</v>
      </c>
      <c r="BJ1682" s="46" t="s">
        <v>821</v>
      </c>
      <c r="BK1682" s="46">
        <v>2024</v>
      </c>
      <c r="BL1682" s="46" t="str">
        <f>BK1682&amp;BI1682</f>
        <v>2024Manchester City</v>
      </c>
      <c r="BM1682" s="46" t="s">
        <v>1017</v>
      </c>
      <c r="BN1682" s="46"/>
      <c r="BO1682" s="46"/>
      <c r="BP1682" s="46"/>
      <c r="BQ1682" s="46"/>
      <c r="BR1682" s="46"/>
      <c r="BS1682" s="46"/>
      <c r="BT1682" s="46"/>
      <c r="BU1682" s="46"/>
      <c r="BV1682" s="46" t="s">
        <v>376</v>
      </c>
      <c r="BW1682" s="46" t="s">
        <v>376</v>
      </c>
      <c r="BX1682" s="46"/>
      <c r="BY1682" s="46"/>
      <c r="BZ1682" s="46"/>
      <c r="CA1682" s="46"/>
      <c r="CB1682" s="93" t="str">
        <f t="shared" si="0"/>
        <v>20240525</v>
      </c>
    </row>
    <row r="1683" spans="1:80" s="50" customFormat="1" ht="13.35" customHeight="1" x14ac:dyDescent="0.2">
      <c r="A1683" s="50">
        <f t="shared" si="1"/>
        <v>5</v>
      </c>
      <c r="B1683" s="46">
        <f t="shared" si="2"/>
        <v>25</v>
      </c>
      <c r="C1683" s="46">
        <v>2024</v>
      </c>
      <c r="D1683" s="46" t="s">
        <v>658</v>
      </c>
      <c r="E1683" s="46" t="s">
        <v>182</v>
      </c>
      <c r="F1683" s="46" t="s">
        <v>1010</v>
      </c>
      <c r="G1683" s="46"/>
      <c r="H1683" s="46" t="s">
        <v>40</v>
      </c>
      <c r="I1683" s="46"/>
      <c r="J1683" s="64">
        <v>45437</v>
      </c>
      <c r="K1683" s="46" t="s">
        <v>821</v>
      </c>
      <c r="L1683" s="46" t="s">
        <v>3</v>
      </c>
      <c r="M1683" s="46" t="s">
        <v>823</v>
      </c>
      <c r="N1683" s="49">
        <v>2</v>
      </c>
      <c r="O1683" s="49">
        <v>1</v>
      </c>
      <c r="P1683" s="46" t="s">
        <v>1415</v>
      </c>
      <c r="Q1683" s="46" t="s">
        <v>1017</v>
      </c>
      <c r="R1683" s="46" t="s">
        <v>376</v>
      </c>
      <c r="S1683" s="46"/>
      <c r="T1683" s="46"/>
      <c r="U1683" s="46"/>
      <c r="V1683" s="46"/>
      <c r="W1683" s="46"/>
      <c r="X1683" s="46"/>
      <c r="Y1683" s="46"/>
      <c r="Z1683" s="46"/>
      <c r="AA1683" s="46"/>
      <c r="AB1683" s="46"/>
      <c r="AC1683" s="46"/>
      <c r="AD1683" s="46"/>
      <c r="AE1683" s="46">
        <v>0</v>
      </c>
      <c r="AF1683" s="46">
        <v>0</v>
      </c>
      <c r="AG1683" s="46">
        <v>1</v>
      </c>
      <c r="AH1683" s="46"/>
      <c r="AI1683" s="46"/>
      <c r="AJ1683" s="46"/>
      <c r="AK1683" s="46"/>
      <c r="AL1683" s="46"/>
      <c r="AM1683" s="46"/>
      <c r="AN1683" s="46"/>
      <c r="AO1683" s="46" t="s">
        <v>658</v>
      </c>
      <c r="AP1683" s="46"/>
      <c r="AQ1683" s="46">
        <v>1</v>
      </c>
      <c r="AR1683" s="46"/>
      <c r="AS1683" s="46"/>
      <c r="AT1683" s="46"/>
      <c r="AU1683" s="46" t="s">
        <v>376</v>
      </c>
      <c r="AV1683" s="46"/>
      <c r="AW1683" s="46" t="s">
        <v>30</v>
      </c>
      <c r="AX1683" s="46"/>
      <c r="AY1683" s="46" t="s">
        <v>30</v>
      </c>
      <c r="AZ1683" s="46"/>
      <c r="BA1683" s="46"/>
      <c r="BB1683" s="51" t="s">
        <v>30</v>
      </c>
      <c r="BC1683" s="46" t="s">
        <v>30</v>
      </c>
      <c r="BD1683" s="46"/>
      <c r="BE1683" s="46"/>
      <c r="BF1683" s="46">
        <v>1</v>
      </c>
      <c r="BG1683" s="46">
        <v>1</v>
      </c>
      <c r="BH1683" s="46">
        <v>1</v>
      </c>
      <c r="BI1683" s="46" t="s">
        <v>821</v>
      </c>
      <c r="BJ1683" s="46" t="s">
        <v>823</v>
      </c>
      <c r="BK1683" s="46">
        <v>2024</v>
      </c>
      <c r="BL1683" s="46" t="str">
        <f>BK1683&amp;BI1683</f>
        <v>2024Manchester United</v>
      </c>
      <c r="BM1683" s="46" t="s">
        <v>1017</v>
      </c>
      <c r="BN1683" s="46"/>
      <c r="BO1683" s="46"/>
      <c r="BP1683" s="46"/>
      <c r="BQ1683" s="46"/>
      <c r="BR1683" s="46"/>
      <c r="BS1683" s="46"/>
      <c r="BT1683" s="46"/>
      <c r="BU1683" s="46"/>
      <c r="BV1683" s="46" t="s">
        <v>376</v>
      </c>
      <c r="BW1683" s="46" t="s">
        <v>376</v>
      </c>
      <c r="BX1683" s="46"/>
      <c r="BY1683" s="46"/>
      <c r="BZ1683" s="46"/>
      <c r="CA1683" s="46"/>
      <c r="CB1683" s="93" t="str">
        <f t="shared" si="0"/>
        <v>20240525</v>
      </c>
    </row>
    <row r="1684" spans="1:80" s="50" customFormat="1" ht="13.35" customHeight="1" x14ac:dyDescent="0.2">
      <c r="A1684" s="50">
        <f t="shared" si="1"/>
        <v>1</v>
      </c>
      <c r="B1684" s="46">
        <f t="shared" si="2"/>
        <v>7</v>
      </c>
      <c r="C1684" s="46">
        <v>2025</v>
      </c>
      <c r="D1684" s="46" t="s">
        <v>658</v>
      </c>
      <c r="E1684" s="46" t="s">
        <v>180</v>
      </c>
      <c r="F1684" s="46" t="s">
        <v>1327</v>
      </c>
      <c r="G1684" s="46"/>
      <c r="H1684" s="46" t="s">
        <v>1011</v>
      </c>
      <c r="I1684" s="46">
        <v>1</v>
      </c>
      <c r="J1684" s="64">
        <v>45664</v>
      </c>
      <c r="K1684" s="46" t="s">
        <v>587</v>
      </c>
      <c r="L1684" s="46" t="s">
        <v>4</v>
      </c>
      <c r="M1684" s="46" t="s">
        <v>805</v>
      </c>
      <c r="N1684" s="49">
        <v>0</v>
      </c>
      <c r="O1684" s="49">
        <v>2</v>
      </c>
      <c r="P1684" s="46" t="s">
        <v>1414</v>
      </c>
      <c r="Q1684" s="46" t="s">
        <v>1017</v>
      </c>
      <c r="R1684" s="46" t="s">
        <v>376</v>
      </c>
      <c r="S1684" s="46"/>
      <c r="T1684" s="46"/>
      <c r="U1684" s="46"/>
      <c r="V1684" s="46"/>
      <c r="W1684" s="46"/>
      <c r="X1684" s="46"/>
      <c r="Y1684" s="46"/>
      <c r="Z1684" s="46"/>
      <c r="AA1684" s="46"/>
      <c r="AB1684" s="46"/>
      <c r="AC1684" s="46"/>
      <c r="AD1684" s="46" t="s">
        <v>1033</v>
      </c>
      <c r="AE1684" s="46">
        <v>0</v>
      </c>
      <c r="AF1684" s="46">
        <v>0</v>
      </c>
      <c r="AG1684" s="46">
        <v>1</v>
      </c>
      <c r="AH1684" s="46"/>
      <c r="AI1684" s="46"/>
      <c r="AJ1684" s="46"/>
      <c r="AK1684" s="46"/>
      <c r="AL1684" s="46"/>
      <c r="AM1684" s="46"/>
      <c r="AN1684" s="46"/>
      <c r="AO1684" s="46" t="s">
        <v>658</v>
      </c>
      <c r="AP1684" s="46"/>
      <c r="AQ1684" s="46">
        <v>2</v>
      </c>
      <c r="AR1684" s="46"/>
      <c r="AS1684" s="46"/>
      <c r="AT1684" s="46"/>
      <c r="AU1684" s="46" t="s">
        <v>376</v>
      </c>
      <c r="AV1684" s="46"/>
      <c r="AW1684" s="46" t="s">
        <v>30</v>
      </c>
      <c r="AX1684" s="46"/>
      <c r="AY1684" s="46"/>
      <c r="AZ1684" s="46" t="s">
        <v>30</v>
      </c>
      <c r="BA1684" s="46"/>
      <c r="BB1684" s="51"/>
      <c r="BC1684" s="46"/>
      <c r="BD1684" s="46"/>
      <c r="BE1684" s="46"/>
      <c r="BF1684" s="46">
        <v>1</v>
      </c>
      <c r="BG1684" s="46">
        <v>1</v>
      </c>
      <c r="BH1684" s="46">
        <v>1</v>
      </c>
      <c r="BI1684" s="46" t="s">
        <v>587</v>
      </c>
      <c r="BJ1684" s="46" t="s">
        <v>805</v>
      </c>
      <c r="BK1684" s="46">
        <v>2025</v>
      </c>
      <c r="BL1684" s="46" t="str">
        <f>BK1684&amp;BI1684</f>
        <v>2025Arsenal</v>
      </c>
      <c r="BM1684" s="46" t="s">
        <v>587</v>
      </c>
      <c r="BN1684" s="46"/>
      <c r="BO1684" s="46"/>
      <c r="BP1684" s="46"/>
      <c r="BQ1684" s="46"/>
      <c r="BR1684" s="46"/>
      <c r="BS1684" s="46"/>
      <c r="BT1684" s="46"/>
      <c r="BU1684" s="46"/>
      <c r="BV1684" s="46" t="s">
        <v>376</v>
      </c>
      <c r="BW1684" s="46" t="s">
        <v>376</v>
      </c>
      <c r="BX1684" s="46"/>
      <c r="BY1684" s="46"/>
      <c r="BZ1684" s="46"/>
      <c r="CA1684" s="46"/>
      <c r="CB1684" s="93" t="str">
        <f t="shared" si="0"/>
        <v>20250107</v>
      </c>
    </row>
    <row r="1685" spans="1:80" s="50" customFormat="1" ht="13.35" customHeight="1" x14ac:dyDescent="0.2">
      <c r="A1685" s="50">
        <f t="shared" si="1"/>
        <v>1</v>
      </c>
      <c r="B1685" s="46">
        <f t="shared" si="2"/>
        <v>7</v>
      </c>
      <c r="C1685" s="46">
        <v>2025</v>
      </c>
      <c r="D1685" s="46" t="s">
        <v>658</v>
      </c>
      <c r="E1685" s="46" t="s">
        <v>180</v>
      </c>
      <c r="F1685" s="46" t="s">
        <v>1327</v>
      </c>
      <c r="G1685" s="46"/>
      <c r="H1685" s="46" t="s">
        <v>1011</v>
      </c>
      <c r="I1685" s="46">
        <v>1</v>
      </c>
      <c r="J1685" s="64">
        <v>45664</v>
      </c>
      <c r="K1685" s="46" t="s">
        <v>805</v>
      </c>
      <c r="L1685" s="46" t="s">
        <v>3</v>
      </c>
      <c r="M1685" s="46" t="s">
        <v>587</v>
      </c>
      <c r="N1685" s="49">
        <v>2</v>
      </c>
      <c r="O1685" s="49">
        <v>0</v>
      </c>
      <c r="P1685" s="46" t="s">
        <v>1414</v>
      </c>
      <c r="Q1685" s="46" t="s">
        <v>1017</v>
      </c>
      <c r="R1685" s="46" t="s">
        <v>376</v>
      </c>
      <c r="S1685" s="46"/>
      <c r="T1685" s="46"/>
      <c r="U1685" s="46"/>
      <c r="V1685" s="46"/>
      <c r="W1685" s="46"/>
      <c r="X1685" s="46"/>
      <c r="Y1685" s="46"/>
      <c r="Z1685" s="46"/>
      <c r="AA1685" s="46"/>
      <c r="AB1685" s="46"/>
      <c r="AC1685" s="46"/>
      <c r="AD1685" s="46" t="s">
        <v>1037</v>
      </c>
      <c r="AE1685" s="46">
        <v>1</v>
      </c>
      <c r="AF1685" s="46">
        <v>0</v>
      </c>
      <c r="AG1685" s="46">
        <v>0</v>
      </c>
      <c r="AH1685" s="46"/>
      <c r="AI1685" s="46"/>
      <c r="AJ1685" s="46"/>
      <c r="AK1685" s="46"/>
      <c r="AL1685" s="46"/>
      <c r="AM1685" s="46"/>
      <c r="AN1685" s="46"/>
      <c r="AO1685" s="46" t="s">
        <v>658</v>
      </c>
      <c r="AP1685" s="46"/>
      <c r="AQ1685" s="46">
        <v>2</v>
      </c>
      <c r="AR1685" s="46"/>
      <c r="AS1685" s="46"/>
      <c r="AT1685" s="46"/>
      <c r="AU1685" s="46" t="s">
        <v>376</v>
      </c>
      <c r="AV1685" s="46"/>
      <c r="AW1685" s="46" t="s">
        <v>30</v>
      </c>
      <c r="AX1685" s="46"/>
      <c r="AY1685" s="46"/>
      <c r="AZ1685" s="46" t="s">
        <v>30</v>
      </c>
      <c r="BA1685" s="46"/>
      <c r="BB1685" s="51"/>
      <c r="BC1685" s="46"/>
      <c r="BD1685" s="46"/>
      <c r="BE1685" s="46"/>
      <c r="BF1685" s="46">
        <v>1</v>
      </c>
      <c r="BG1685" s="46">
        <v>1</v>
      </c>
      <c r="BH1685" s="46">
        <v>1</v>
      </c>
      <c r="BI1685" s="46" t="s">
        <v>805</v>
      </c>
      <c r="BJ1685" s="46" t="s">
        <v>587</v>
      </c>
      <c r="BK1685" s="46">
        <v>2025</v>
      </c>
      <c r="BL1685" s="46" t="str">
        <f>BK1685&amp;BI1685</f>
        <v>2025Newcastle United</v>
      </c>
      <c r="BM1685" s="46" t="s">
        <v>587</v>
      </c>
      <c r="BN1685" s="46"/>
      <c r="BO1685" s="46"/>
      <c r="BP1685" s="46"/>
      <c r="BQ1685" s="46"/>
      <c r="BR1685" s="46"/>
      <c r="BS1685" s="46"/>
      <c r="BT1685" s="46"/>
      <c r="BU1685" s="46"/>
      <c r="BV1685" s="46" t="s">
        <v>376</v>
      </c>
      <c r="BW1685" s="46" t="s">
        <v>376</v>
      </c>
      <c r="BX1685" s="46"/>
      <c r="BY1685" s="46"/>
      <c r="BZ1685" s="46"/>
      <c r="CA1685" s="46"/>
      <c r="CB1685" s="93" t="str">
        <f t="shared" si="0"/>
        <v>20250107</v>
      </c>
    </row>
    <row r="1686" spans="1:80" s="50" customFormat="1" ht="13.35" customHeight="1" x14ac:dyDescent="0.2">
      <c r="A1686" s="50">
        <f t="shared" si="1"/>
        <v>1</v>
      </c>
      <c r="B1686" s="46">
        <f t="shared" si="2"/>
        <v>8</v>
      </c>
      <c r="C1686" s="46">
        <v>2025</v>
      </c>
      <c r="D1686" s="46" t="s">
        <v>658</v>
      </c>
      <c r="E1686" s="46" t="s">
        <v>180</v>
      </c>
      <c r="F1686" s="46" t="s">
        <v>1327</v>
      </c>
      <c r="G1686" s="46"/>
      <c r="H1686" s="46" t="s">
        <v>1011</v>
      </c>
      <c r="I1686" s="46">
        <v>1</v>
      </c>
      <c r="J1686" s="64">
        <v>45665</v>
      </c>
      <c r="K1686" s="46" t="s">
        <v>813</v>
      </c>
      <c r="L1686" s="46" t="s">
        <v>3</v>
      </c>
      <c r="M1686" s="46" t="s">
        <v>588</v>
      </c>
      <c r="N1686" s="49">
        <v>1</v>
      </c>
      <c r="O1686" s="49">
        <v>0</v>
      </c>
      <c r="P1686" s="91" t="s">
        <v>1430</v>
      </c>
      <c r="Q1686" s="91" t="s">
        <v>1017</v>
      </c>
      <c r="R1686" s="91" t="s">
        <v>376</v>
      </c>
      <c r="S1686" s="46"/>
      <c r="T1686" s="46"/>
      <c r="U1686" s="46"/>
      <c r="V1686" s="46"/>
      <c r="W1686" s="46"/>
      <c r="X1686" s="46"/>
      <c r="Y1686" s="46"/>
      <c r="Z1686" s="46"/>
      <c r="AA1686" s="46"/>
      <c r="AB1686" s="46"/>
      <c r="AC1686" s="46"/>
      <c r="AD1686" s="46" t="s">
        <v>1033</v>
      </c>
      <c r="AE1686" s="46">
        <v>0</v>
      </c>
      <c r="AF1686" s="46">
        <v>0</v>
      </c>
      <c r="AG1686" s="46">
        <v>1</v>
      </c>
      <c r="AH1686" s="46"/>
      <c r="AI1686" s="46"/>
      <c r="AJ1686" s="46"/>
      <c r="AK1686" s="46"/>
      <c r="AL1686" s="46"/>
      <c r="AM1686" s="46"/>
      <c r="AN1686" s="46"/>
      <c r="AO1686" s="46" t="s">
        <v>658</v>
      </c>
      <c r="AP1686" s="46"/>
      <c r="AQ1686" s="46">
        <v>2</v>
      </c>
      <c r="AR1686" s="46"/>
      <c r="AS1686" s="46"/>
      <c r="AT1686" s="46"/>
      <c r="AU1686" s="46" t="s">
        <v>376</v>
      </c>
      <c r="AV1686" s="46"/>
      <c r="AW1686" s="46" t="s">
        <v>30</v>
      </c>
      <c r="AX1686" s="46"/>
      <c r="AY1686" s="46"/>
      <c r="AZ1686" s="46" t="s">
        <v>30</v>
      </c>
      <c r="BA1686" s="46"/>
      <c r="BB1686" s="51"/>
      <c r="BC1686" s="46"/>
      <c r="BD1686" s="46"/>
      <c r="BE1686" s="46"/>
      <c r="BF1686" s="46">
        <v>1</v>
      </c>
      <c r="BG1686" s="46">
        <v>1</v>
      </c>
      <c r="BH1686" s="46">
        <v>1</v>
      </c>
      <c r="BI1686" s="46" t="s">
        <v>813</v>
      </c>
      <c r="BJ1686" s="46" t="s">
        <v>588</v>
      </c>
      <c r="BK1686" s="46">
        <v>2025</v>
      </c>
      <c r="BL1686" s="46" t="str">
        <f>BK1686&amp;BI1686</f>
        <v>2025Tottenham Hotspur</v>
      </c>
      <c r="BM1686" s="46" t="s">
        <v>813</v>
      </c>
      <c r="BN1686" s="46"/>
      <c r="BO1686" s="46"/>
      <c r="BP1686" s="46"/>
      <c r="BQ1686" s="46"/>
      <c r="BR1686" s="46"/>
      <c r="BS1686" s="46"/>
      <c r="BT1686" s="46"/>
      <c r="BU1686" s="46"/>
      <c r="BV1686" s="46" t="s">
        <v>376</v>
      </c>
      <c r="BW1686" s="46" t="s">
        <v>376</v>
      </c>
      <c r="BX1686" s="46"/>
      <c r="BY1686" s="46"/>
      <c r="BZ1686" s="46"/>
      <c r="CA1686" s="46"/>
      <c r="CB1686" s="93" t="str">
        <f t="shared" si="0"/>
        <v>20250108</v>
      </c>
    </row>
    <row r="1687" spans="1:80" s="50" customFormat="1" ht="13.35" customHeight="1" x14ac:dyDescent="0.2">
      <c r="A1687" s="50">
        <f t="shared" si="1"/>
        <v>1</v>
      </c>
      <c r="B1687" s="46">
        <f t="shared" si="2"/>
        <v>8</v>
      </c>
      <c r="C1687" s="46">
        <v>2025</v>
      </c>
      <c r="D1687" s="46" t="s">
        <v>658</v>
      </c>
      <c r="E1687" s="46" t="s">
        <v>180</v>
      </c>
      <c r="F1687" s="46" t="s">
        <v>1327</v>
      </c>
      <c r="G1687" s="46"/>
      <c r="H1687" s="46" t="s">
        <v>1011</v>
      </c>
      <c r="I1687" s="46">
        <v>1</v>
      </c>
      <c r="J1687" s="64">
        <v>45665</v>
      </c>
      <c r="K1687" s="46" t="s">
        <v>588</v>
      </c>
      <c r="L1687" s="46" t="s">
        <v>4</v>
      </c>
      <c r="M1687" s="46" t="s">
        <v>813</v>
      </c>
      <c r="N1687" s="49">
        <v>0</v>
      </c>
      <c r="O1687" s="49">
        <v>1</v>
      </c>
      <c r="P1687" s="91" t="s">
        <v>1430</v>
      </c>
      <c r="Q1687" s="91" t="s">
        <v>1017</v>
      </c>
      <c r="R1687" s="91" t="s">
        <v>376</v>
      </c>
      <c r="S1687" s="46"/>
      <c r="T1687" s="46"/>
      <c r="U1687" s="46"/>
      <c r="V1687" s="46"/>
      <c r="W1687" s="46"/>
      <c r="X1687" s="46"/>
      <c r="Y1687" s="46"/>
      <c r="Z1687" s="46"/>
      <c r="AA1687" s="46"/>
      <c r="AB1687" s="46"/>
      <c r="AC1687" s="46"/>
      <c r="AD1687" s="46" t="s">
        <v>1037</v>
      </c>
      <c r="AE1687" s="46">
        <v>1</v>
      </c>
      <c r="AF1687" s="46">
        <v>0</v>
      </c>
      <c r="AG1687" s="46">
        <v>0</v>
      </c>
      <c r="AH1687" s="46"/>
      <c r="AI1687" s="46"/>
      <c r="AJ1687" s="46"/>
      <c r="AK1687" s="46"/>
      <c r="AL1687" s="46"/>
      <c r="AM1687" s="46"/>
      <c r="AN1687" s="46"/>
      <c r="AO1687" s="46" t="s">
        <v>658</v>
      </c>
      <c r="AP1687" s="46"/>
      <c r="AQ1687" s="46">
        <v>2</v>
      </c>
      <c r="AR1687" s="46"/>
      <c r="AS1687" s="46"/>
      <c r="AT1687" s="46"/>
      <c r="AU1687" s="46" t="s">
        <v>376</v>
      </c>
      <c r="AV1687" s="46"/>
      <c r="AW1687" s="46" t="s">
        <v>30</v>
      </c>
      <c r="AX1687" s="46"/>
      <c r="AY1687" s="46"/>
      <c r="AZ1687" s="46" t="s">
        <v>30</v>
      </c>
      <c r="BA1687" s="46"/>
      <c r="BB1687" s="51"/>
      <c r="BC1687" s="46"/>
      <c r="BD1687" s="46"/>
      <c r="BE1687" s="46"/>
      <c r="BF1687" s="46">
        <v>1</v>
      </c>
      <c r="BG1687" s="46">
        <v>1</v>
      </c>
      <c r="BH1687" s="46">
        <v>1</v>
      </c>
      <c r="BI1687" s="46" t="s">
        <v>588</v>
      </c>
      <c r="BJ1687" s="46" t="s">
        <v>813</v>
      </c>
      <c r="BK1687" s="46">
        <v>2025</v>
      </c>
      <c r="BL1687" s="46" t="str">
        <f>BK1687&amp;BI1687</f>
        <v>2025Liverpool</v>
      </c>
      <c r="BM1687" s="46" t="s">
        <v>813</v>
      </c>
      <c r="BN1687" s="46"/>
      <c r="BO1687" s="46"/>
      <c r="BP1687" s="46"/>
      <c r="BQ1687" s="46"/>
      <c r="BR1687" s="46"/>
      <c r="BS1687" s="46"/>
      <c r="BT1687" s="46"/>
      <c r="BU1687" s="46"/>
      <c r="BV1687" s="46" t="s">
        <v>376</v>
      </c>
      <c r="BW1687" s="46" t="s">
        <v>376</v>
      </c>
      <c r="BX1687" s="46"/>
      <c r="BY1687" s="46"/>
      <c r="BZ1687" s="46"/>
      <c r="CA1687" s="46"/>
      <c r="CB1687" s="93" t="str">
        <f t="shared" si="0"/>
        <v>20250108</v>
      </c>
    </row>
    <row r="1688" spans="1:80" s="50" customFormat="1" ht="13.35" customHeight="1" x14ac:dyDescent="0.2">
      <c r="A1688" s="50">
        <f t="shared" si="1"/>
        <v>2</v>
      </c>
      <c r="B1688" s="46">
        <f t="shared" si="2"/>
        <v>5</v>
      </c>
      <c r="C1688" s="46">
        <v>2025</v>
      </c>
      <c r="D1688" s="46" t="s">
        <v>658</v>
      </c>
      <c r="E1688" s="46" t="s">
        <v>180</v>
      </c>
      <c r="F1688" s="46" t="s">
        <v>1327</v>
      </c>
      <c r="G1688" s="46"/>
      <c r="H1688" s="46" t="s">
        <v>1011</v>
      </c>
      <c r="I1688" s="46">
        <v>2</v>
      </c>
      <c r="J1688" s="64">
        <v>45693</v>
      </c>
      <c r="K1688" s="46" t="s">
        <v>805</v>
      </c>
      <c r="L1688" s="46" t="s">
        <v>3</v>
      </c>
      <c r="M1688" s="46" t="s">
        <v>587</v>
      </c>
      <c r="N1688" s="49">
        <v>2</v>
      </c>
      <c r="O1688" s="49">
        <v>0</v>
      </c>
      <c r="P1688" s="46" t="s">
        <v>1368</v>
      </c>
      <c r="Q1688" s="46" t="s">
        <v>1227</v>
      </c>
      <c r="R1688" s="46" t="s">
        <v>376</v>
      </c>
      <c r="S1688" s="46"/>
      <c r="T1688" s="46"/>
      <c r="U1688" s="46"/>
      <c r="V1688" s="46"/>
      <c r="W1688" s="46"/>
      <c r="X1688" s="46"/>
      <c r="Y1688" s="46"/>
      <c r="Z1688" s="46"/>
      <c r="AA1688" s="46"/>
      <c r="AB1688" s="46"/>
      <c r="AC1688" s="46"/>
      <c r="AD1688" s="46" t="s">
        <v>1033</v>
      </c>
      <c r="AE1688" s="46">
        <v>1</v>
      </c>
      <c r="AF1688" s="46">
        <v>0</v>
      </c>
      <c r="AG1688" s="46">
        <v>0</v>
      </c>
      <c r="AH1688" s="46"/>
      <c r="AI1688" s="46"/>
      <c r="AJ1688" s="46"/>
      <c r="AK1688" s="46"/>
      <c r="AL1688" s="46"/>
      <c r="AM1688" s="46"/>
      <c r="AN1688" s="46"/>
      <c r="AO1688" s="46" t="s">
        <v>658</v>
      </c>
      <c r="AP1688" s="46"/>
      <c r="AQ1688" s="46">
        <v>2</v>
      </c>
      <c r="AR1688" s="46"/>
      <c r="AS1688" s="46"/>
      <c r="AT1688" s="46"/>
      <c r="AU1688" s="46" t="s">
        <v>376</v>
      </c>
      <c r="AV1688" s="46"/>
      <c r="AW1688" s="46" t="s">
        <v>30</v>
      </c>
      <c r="AX1688" s="46"/>
      <c r="AY1688" s="46"/>
      <c r="AZ1688" s="46" t="s">
        <v>30</v>
      </c>
      <c r="BA1688" s="46"/>
      <c r="BB1688" s="51"/>
      <c r="BC1688" s="46"/>
      <c r="BD1688" s="46"/>
      <c r="BE1688" s="46"/>
      <c r="BF1688" s="46">
        <v>1</v>
      </c>
      <c r="BG1688" s="46">
        <v>1</v>
      </c>
      <c r="BH1688" s="46">
        <v>1</v>
      </c>
      <c r="BI1688" s="46" t="s">
        <v>805</v>
      </c>
      <c r="BJ1688" s="46" t="s">
        <v>587</v>
      </c>
      <c r="BK1688" s="46">
        <v>2025</v>
      </c>
      <c r="BL1688" s="46" t="str">
        <f>BK1688&amp;BI1688</f>
        <v>2025Newcastle United</v>
      </c>
      <c r="BM1688" s="46" t="s">
        <v>805</v>
      </c>
      <c r="BN1688" s="46"/>
      <c r="BO1688" s="46"/>
      <c r="BP1688" s="46"/>
      <c r="BQ1688" s="46"/>
      <c r="BR1688" s="46"/>
      <c r="BS1688" s="46"/>
      <c r="BT1688" s="46"/>
      <c r="BU1688" s="46"/>
      <c r="BV1688" s="46" t="s">
        <v>376</v>
      </c>
      <c r="BW1688" s="46" t="s">
        <v>376</v>
      </c>
      <c r="BX1688" s="46"/>
      <c r="BY1688" s="46"/>
      <c r="BZ1688" s="46"/>
      <c r="CA1688" s="46"/>
      <c r="CB1688" s="93" t="str">
        <f t="shared" si="0"/>
        <v>20250205</v>
      </c>
    </row>
    <row r="1689" spans="1:80" s="50" customFormat="1" ht="13.35" customHeight="1" x14ac:dyDescent="0.2">
      <c r="A1689" s="50">
        <f t="shared" si="1"/>
        <v>2</v>
      </c>
      <c r="B1689" s="46">
        <f t="shared" si="2"/>
        <v>5</v>
      </c>
      <c r="C1689" s="46">
        <v>2025</v>
      </c>
      <c r="D1689" s="46" t="s">
        <v>658</v>
      </c>
      <c r="E1689" s="46" t="s">
        <v>180</v>
      </c>
      <c r="F1689" s="46" t="s">
        <v>1327</v>
      </c>
      <c r="G1689" s="46"/>
      <c r="H1689" s="46" t="s">
        <v>1011</v>
      </c>
      <c r="I1689" s="46">
        <v>2</v>
      </c>
      <c r="J1689" s="64">
        <v>45693</v>
      </c>
      <c r="K1689" s="46" t="s">
        <v>587</v>
      </c>
      <c r="L1689" s="46" t="s">
        <v>4</v>
      </c>
      <c r="M1689" s="46" t="s">
        <v>805</v>
      </c>
      <c r="N1689" s="49">
        <v>0</v>
      </c>
      <c r="O1689" s="49">
        <v>2</v>
      </c>
      <c r="P1689" s="46" t="s">
        <v>1368</v>
      </c>
      <c r="Q1689" s="46" t="s">
        <v>1227</v>
      </c>
      <c r="R1689" s="46" t="s">
        <v>376</v>
      </c>
      <c r="S1689" s="46"/>
      <c r="T1689" s="46"/>
      <c r="U1689" s="46"/>
      <c r="V1689" s="46"/>
      <c r="W1689" s="46"/>
      <c r="X1689" s="46"/>
      <c r="Y1689" s="46"/>
      <c r="Z1689" s="46"/>
      <c r="AA1689" s="46"/>
      <c r="AB1689" s="46"/>
      <c r="AC1689" s="46"/>
      <c r="AD1689" s="46" t="s">
        <v>1037</v>
      </c>
      <c r="AE1689" s="46">
        <v>0</v>
      </c>
      <c r="AF1689" s="46">
        <v>0</v>
      </c>
      <c r="AG1689" s="46">
        <v>1</v>
      </c>
      <c r="AH1689" s="46"/>
      <c r="AI1689" s="46"/>
      <c r="AJ1689" s="46"/>
      <c r="AK1689" s="46"/>
      <c r="AL1689" s="46"/>
      <c r="AM1689" s="46"/>
      <c r="AN1689" s="46"/>
      <c r="AO1689" s="46" t="s">
        <v>658</v>
      </c>
      <c r="AP1689" s="46"/>
      <c r="AQ1689" s="46">
        <v>2</v>
      </c>
      <c r="AR1689" s="46"/>
      <c r="AS1689" s="46"/>
      <c r="AT1689" s="46"/>
      <c r="AU1689" s="46" t="s">
        <v>376</v>
      </c>
      <c r="AV1689" s="46"/>
      <c r="AW1689" s="46" t="s">
        <v>30</v>
      </c>
      <c r="AX1689" s="46"/>
      <c r="AY1689" s="46"/>
      <c r="AZ1689" s="46" t="s">
        <v>30</v>
      </c>
      <c r="BA1689" s="46"/>
      <c r="BB1689" s="51"/>
      <c r="BC1689" s="46"/>
      <c r="BD1689" s="46"/>
      <c r="BE1689" s="46"/>
      <c r="BF1689" s="46">
        <v>1</v>
      </c>
      <c r="BG1689" s="46">
        <v>1</v>
      </c>
      <c r="BH1689" s="46">
        <v>1</v>
      </c>
      <c r="BI1689" s="46" t="s">
        <v>587</v>
      </c>
      <c r="BJ1689" s="46" t="s">
        <v>805</v>
      </c>
      <c r="BK1689" s="46">
        <v>2025</v>
      </c>
      <c r="BL1689" s="46" t="str">
        <f>BK1689&amp;BI1689</f>
        <v>2025Arsenal</v>
      </c>
      <c r="BM1689" s="46" t="s">
        <v>805</v>
      </c>
      <c r="BN1689" s="46"/>
      <c r="BO1689" s="46"/>
      <c r="BP1689" s="46"/>
      <c r="BQ1689" s="46"/>
      <c r="BR1689" s="46"/>
      <c r="BS1689" s="46"/>
      <c r="BT1689" s="46"/>
      <c r="BU1689" s="46"/>
      <c r="BV1689" s="46" t="s">
        <v>376</v>
      </c>
      <c r="BW1689" s="46" t="s">
        <v>376</v>
      </c>
      <c r="BX1689" s="46"/>
      <c r="BY1689" s="46"/>
      <c r="BZ1689" s="46"/>
      <c r="CA1689" s="46"/>
      <c r="CB1689" s="93" t="str">
        <f t="shared" si="0"/>
        <v>20250205</v>
      </c>
    </row>
    <row r="1690" spans="1:80" s="50" customFormat="1" ht="13.35" customHeight="1" x14ac:dyDescent="0.2">
      <c r="A1690" s="50">
        <f t="shared" si="1"/>
        <v>2</v>
      </c>
      <c r="B1690" s="46">
        <f t="shared" si="2"/>
        <v>6</v>
      </c>
      <c r="C1690" s="46">
        <v>2025</v>
      </c>
      <c r="D1690" s="46" t="s">
        <v>658</v>
      </c>
      <c r="E1690" s="46" t="s">
        <v>180</v>
      </c>
      <c r="F1690" s="46" t="s">
        <v>1327</v>
      </c>
      <c r="G1690" s="46"/>
      <c r="H1690" s="46" t="s">
        <v>1011</v>
      </c>
      <c r="I1690" s="46">
        <v>2</v>
      </c>
      <c r="J1690" s="64">
        <v>45694</v>
      </c>
      <c r="K1690" s="46" t="s">
        <v>588</v>
      </c>
      <c r="L1690" s="46" t="s">
        <v>3</v>
      </c>
      <c r="M1690" s="46" t="s">
        <v>813</v>
      </c>
      <c r="N1690" s="49">
        <v>4</v>
      </c>
      <c r="O1690" s="49">
        <v>0</v>
      </c>
      <c r="P1690" s="46" t="s">
        <v>1141</v>
      </c>
      <c r="Q1690" s="46" t="s">
        <v>588</v>
      </c>
      <c r="R1690" s="46" t="s">
        <v>376</v>
      </c>
      <c r="S1690" s="46"/>
      <c r="T1690" s="46"/>
      <c r="U1690" s="46"/>
      <c r="V1690" s="46"/>
      <c r="W1690" s="46"/>
      <c r="X1690" s="46"/>
      <c r="Y1690" s="46"/>
      <c r="Z1690" s="46"/>
      <c r="AA1690" s="46"/>
      <c r="AB1690" s="46"/>
      <c r="AC1690" s="46"/>
      <c r="AD1690" s="46" t="s">
        <v>1033</v>
      </c>
      <c r="AE1690" s="46">
        <v>1</v>
      </c>
      <c r="AF1690" s="46">
        <v>0</v>
      </c>
      <c r="AG1690" s="46">
        <v>0</v>
      </c>
      <c r="AH1690" s="46"/>
      <c r="AI1690" s="46"/>
      <c r="AJ1690" s="46"/>
      <c r="AK1690" s="46"/>
      <c r="AL1690" s="46"/>
      <c r="AM1690" s="46"/>
      <c r="AN1690" s="46"/>
      <c r="AO1690" s="46" t="s">
        <v>658</v>
      </c>
      <c r="AP1690" s="46"/>
      <c r="AQ1690" s="46">
        <v>2</v>
      </c>
      <c r="AR1690" s="46"/>
      <c r="AS1690" s="46"/>
      <c r="AT1690" s="46"/>
      <c r="AU1690" s="46" t="s">
        <v>376</v>
      </c>
      <c r="AV1690" s="46"/>
      <c r="AW1690" s="46" t="s">
        <v>30</v>
      </c>
      <c r="AX1690" s="46"/>
      <c r="AY1690" s="46"/>
      <c r="AZ1690" s="46" t="s">
        <v>30</v>
      </c>
      <c r="BA1690" s="46"/>
      <c r="BB1690" s="51"/>
      <c r="BC1690" s="46"/>
      <c r="BD1690" s="46"/>
      <c r="BE1690" s="46"/>
      <c r="BF1690" s="46">
        <v>1</v>
      </c>
      <c r="BG1690" s="46">
        <v>1</v>
      </c>
      <c r="BH1690" s="46">
        <v>1</v>
      </c>
      <c r="BI1690" s="46" t="s">
        <v>588</v>
      </c>
      <c r="BJ1690" s="46" t="s">
        <v>813</v>
      </c>
      <c r="BK1690" s="46">
        <v>2025</v>
      </c>
      <c r="BL1690" s="46" t="str">
        <f>BK1690&amp;BI1690</f>
        <v>2025Liverpool</v>
      </c>
      <c r="BM1690" s="46" t="s">
        <v>588</v>
      </c>
      <c r="BN1690" s="46"/>
      <c r="BO1690" s="46"/>
      <c r="BP1690" s="46"/>
      <c r="BQ1690" s="46"/>
      <c r="BR1690" s="46"/>
      <c r="BS1690" s="46"/>
      <c r="BT1690" s="46"/>
      <c r="BU1690" s="46"/>
      <c r="BV1690" s="46" t="s">
        <v>376</v>
      </c>
      <c r="BW1690" s="46" t="s">
        <v>376</v>
      </c>
      <c r="BX1690" s="46"/>
      <c r="BY1690" s="46"/>
      <c r="BZ1690" s="46"/>
      <c r="CA1690" s="46"/>
      <c r="CB1690" s="93" t="str">
        <f t="shared" si="0"/>
        <v>20250206</v>
      </c>
    </row>
    <row r="1691" spans="1:80" s="50" customFormat="1" ht="13.35" customHeight="1" x14ac:dyDescent="0.2">
      <c r="A1691" s="50">
        <f t="shared" si="1"/>
        <v>2</v>
      </c>
      <c r="B1691" s="46">
        <f t="shared" si="2"/>
        <v>6</v>
      </c>
      <c r="C1691" s="46">
        <v>2025</v>
      </c>
      <c r="D1691" s="46" t="s">
        <v>658</v>
      </c>
      <c r="E1691" s="46" t="s">
        <v>180</v>
      </c>
      <c r="F1691" s="46" t="s">
        <v>1327</v>
      </c>
      <c r="G1691" s="46"/>
      <c r="H1691" s="46" t="s">
        <v>1011</v>
      </c>
      <c r="I1691" s="46">
        <v>2</v>
      </c>
      <c r="J1691" s="64">
        <v>45694</v>
      </c>
      <c r="K1691" s="46" t="s">
        <v>813</v>
      </c>
      <c r="L1691" s="46" t="s">
        <v>4</v>
      </c>
      <c r="M1691" s="46" t="s">
        <v>588</v>
      </c>
      <c r="N1691" s="49">
        <v>0</v>
      </c>
      <c r="O1691" s="49">
        <v>4</v>
      </c>
      <c r="P1691" s="46" t="s">
        <v>1141</v>
      </c>
      <c r="Q1691" s="46" t="s">
        <v>588</v>
      </c>
      <c r="R1691" s="46" t="s">
        <v>376</v>
      </c>
      <c r="S1691" s="46"/>
      <c r="T1691" s="46"/>
      <c r="U1691" s="46"/>
      <c r="V1691" s="46"/>
      <c r="W1691" s="46"/>
      <c r="X1691" s="46"/>
      <c r="Y1691" s="46"/>
      <c r="Z1691" s="46"/>
      <c r="AA1691" s="46"/>
      <c r="AB1691" s="46"/>
      <c r="AC1691" s="46"/>
      <c r="AD1691" s="46" t="s">
        <v>1037</v>
      </c>
      <c r="AE1691" s="46">
        <v>0</v>
      </c>
      <c r="AF1691" s="46">
        <v>0</v>
      </c>
      <c r="AG1691" s="46">
        <v>1</v>
      </c>
      <c r="AH1691" s="46"/>
      <c r="AI1691" s="46"/>
      <c r="AJ1691" s="46"/>
      <c r="AK1691" s="46"/>
      <c r="AL1691" s="46"/>
      <c r="AM1691" s="46"/>
      <c r="AN1691" s="46"/>
      <c r="AO1691" s="46" t="s">
        <v>658</v>
      </c>
      <c r="AP1691" s="46"/>
      <c r="AQ1691" s="46">
        <v>2</v>
      </c>
      <c r="AR1691" s="46"/>
      <c r="AS1691" s="46"/>
      <c r="AT1691" s="46"/>
      <c r="AU1691" s="46" t="s">
        <v>376</v>
      </c>
      <c r="AV1691" s="46"/>
      <c r="AW1691" s="46" t="s">
        <v>30</v>
      </c>
      <c r="AX1691" s="46"/>
      <c r="AY1691" s="46"/>
      <c r="AZ1691" s="46" t="s">
        <v>30</v>
      </c>
      <c r="BA1691" s="46"/>
      <c r="BB1691" s="51"/>
      <c r="BC1691" s="46"/>
      <c r="BD1691" s="46"/>
      <c r="BE1691" s="46"/>
      <c r="BF1691" s="46">
        <v>1</v>
      </c>
      <c r="BG1691" s="46">
        <v>1</v>
      </c>
      <c r="BH1691" s="46">
        <v>1</v>
      </c>
      <c r="BI1691" s="46" t="s">
        <v>813</v>
      </c>
      <c r="BJ1691" s="46" t="s">
        <v>588</v>
      </c>
      <c r="BK1691" s="46">
        <v>2025</v>
      </c>
      <c r="BL1691" s="46" t="str">
        <f>BK1691&amp;BI1691</f>
        <v>2025Tottenham Hotspur</v>
      </c>
      <c r="BM1691" s="46" t="s">
        <v>588</v>
      </c>
      <c r="BN1691" s="46"/>
      <c r="BO1691" s="46"/>
      <c r="BP1691" s="46"/>
      <c r="BQ1691" s="46"/>
      <c r="BR1691" s="46"/>
      <c r="BS1691" s="46"/>
      <c r="BT1691" s="46"/>
      <c r="BU1691" s="46"/>
      <c r="BV1691" s="46" t="s">
        <v>376</v>
      </c>
      <c r="BW1691" s="46" t="s">
        <v>376</v>
      </c>
      <c r="BX1691" s="46"/>
      <c r="BY1691" s="46"/>
      <c r="BZ1691" s="46"/>
      <c r="CA1691" s="46"/>
      <c r="CB1691" s="93" t="str">
        <f t="shared" si="0"/>
        <v>20250206</v>
      </c>
    </row>
    <row r="1692" spans="1:80" s="50" customFormat="1" ht="13.35" customHeight="1" x14ac:dyDescent="0.2">
      <c r="A1692" s="50">
        <f t="shared" si="1"/>
        <v>3</v>
      </c>
      <c r="B1692" s="46">
        <f t="shared" si="2"/>
        <v>16</v>
      </c>
      <c r="C1692" s="46">
        <v>2025</v>
      </c>
      <c r="D1692" s="46" t="s">
        <v>658</v>
      </c>
      <c r="E1692" s="46" t="s">
        <v>180</v>
      </c>
      <c r="F1692" s="46" t="s">
        <v>1327</v>
      </c>
      <c r="G1692" s="46"/>
      <c r="H1692" s="46" t="s">
        <v>40</v>
      </c>
      <c r="I1692" s="46"/>
      <c r="J1692" s="64">
        <v>45732</v>
      </c>
      <c r="K1692" s="46" t="s">
        <v>805</v>
      </c>
      <c r="L1692" s="46" t="s">
        <v>3</v>
      </c>
      <c r="M1692" s="46" t="s">
        <v>588</v>
      </c>
      <c r="N1692" s="49">
        <v>2</v>
      </c>
      <c r="O1692" s="49">
        <v>1</v>
      </c>
      <c r="P1692" s="46" t="s">
        <v>1415</v>
      </c>
      <c r="Q1692" s="46" t="s">
        <v>1017</v>
      </c>
      <c r="R1692" s="46" t="s">
        <v>376</v>
      </c>
      <c r="S1692" s="46"/>
      <c r="T1692" s="46"/>
      <c r="U1692" s="46"/>
      <c r="V1692" s="46"/>
      <c r="W1692" s="46"/>
      <c r="X1692" s="46"/>
      <c r="Y1692" s="46"/>
      <c r="Z1692" s="46"/>
      <c r="AA1692" s="46"/>
      <c r="AB1692" s="46"/>
      <c r="AC1692" s="46"/>
      <c r="AD1692" s="46"/>
      <c r="AE1692" s="46">
        <v>1</v>
      </c>
      <c r="AF1692" s="46">
        <v>0</v>
      </c>
      <c r="AG1692" s="46">
        <v>0</v>
      </c>
      <c r="AH1692" s="46"/>
      <c r="AI1692" s="46"/>
      <c r="AJ1692" s="46"/>
      <c r="AK1692" s="46"/>
      <c r="AL1692" s="46"/>
      <c r="AM1692" s="46"/>
      <c r="AN1692" s="46"/>
      <c r="AO1692" s="46" t="s">
        <v>658</v>
      </c>
      <c r="AP1692" s="46"/>
      <c r="AQ1692" s="46">
        <v>1</v>
      </c>
      <c r="AR1692" s="46"/>
      <c r="AS1692" s="46"/>
      <c r="AT1692" s="46"/>
      <c r="AU1692" s="46" t="s">
        <v>376</v>
      </c>
      <c r="AV1692" s="46"/>
      <c r="AW1692" s="46" t="s">
        <v>30</v>
      </c>
      <c r="AX1692" s="46"/>
      <c r="AY1692" s="46"/>
      <c r="AZ1692" s="46" t="s">
        <v>30</v>
      </c>
      <c r="BA1692" s="46"/>
      <c r="BB1692" s="51" t="s">
        <v>30</v>
      </c>
      <c r="BC1692" s="46" t="s">
        <v>30</v>
      </c>
      <c r="BD1692" s="46"/>
      <c r="BE1692" s="46"/>
      <c r="BF1692" s="46">
        <v>1</v>
      </c>
      <c r="BG1692" s="46">
        <v>1</v>
      </c>
      <c r="BH1692" s="46">
        <v>1</v>
      </c>
      <c r="BI1692" s="46" t="s">
        <v>805</v>
      </c>
      <c r="BJ1692" s="46" t="s">
        <v>588</v>
      </c>
      <c r="BK1692" s="46">
        <v>2025</v>
      </c>
      <c r="BL1692" s="46" t="str">
        <f>BK1692&amp;BI1692</f>
        <v>2025Newcastle United</v>
      </c>
      <c r="BM1692" s="46" t="s">
        <v>1017</v>
      </c>
      <c r="BN1692" s="46"/>
      <c r="BO1692" s="46"/>
      <c r="BP1692" s="46"/>
      <c r="BQ1692" s="46"/>
      <c r="BR1692" s="46"/>
      <c r="BS1692" s="46"/>
      <c r="BT1692" s="46"/>
      <c r="BU1692" s="46"/>
      <c r="BV1692" s="46" t="s">
        <v>376</v>
      </c>
      <c r="BW1692" s="46" t="s">
        <v>376</v>
      </c>
      <c r="BX1692" s="46"/>
      <c r="BY1692" s="46"/>
      <c r="BZ1692" s="46"/>
      <c r="CA1692" s="46"/>
      <c r="CB1692" s="93" t="str">
        <f t="shared" si="0"/>
        <v>20250316</v>
      </c>
    </row>
    <row r="1693" spans="1:80" s="50" customFormat="1" ht="13.35" customHeight="1" x14ac:dyDescent="0.2">
      <c r="A1693" s="50">
        <f t="shared" si="1"/>
        <v>3</v>
      </c>
      <c r="B1693" s="46">
        <f t="shared" si="2"/>
        <v>16</v>
      </c>
      <c r="C1693" s="46">
        <v>2025</v>
      </c>
      <c r="D1693" s="46" t="s">
        <v>658</v>
      </c>
      <c r="E1693" s="46" t="s">
        <v>180</v>
      </c>
      <c r="F1693" s="46" t="s">
        <v>1327</v>
      </c>
      <c r="G1693" s="46"/>
      <c r="H1693" s="46" t="s">
        <v>40</v>
      </c>
      <c r="I1693" s="46"/>
      <c r="J1693" s="64">
        <v>45732</v>
      </c>
      <c r="K1693" s="46" t="s">
        <v>588</v>
      </c>
      <c r="L1693" s="46" t="s">
        <v>4</v>
      </c>
      <c r="M1693" s="46" t="s">
        <v>805</v>
      </c>
      <c r="N1693" s="49">
        <v>1</v>
      </c>
      <c r="O1693" s="49">
        <v>2</v>
      </c>
      <c r="P1693" s="46" t="s">
        <v>1415</v>
      </c>
      <c r="Q1693" s="46" t="s">
        <v>1017</v>
      </c>
      <c r="R1693" s="46" t="s">
        <v>376</v>
      </c>
      <c r="S1693" s="46"/>
      <c r="T1693" s="46"/>
      <c r="U1693" s="46"/>
      <c r="V1693" s="46"/>
      <c r="W1693" s="46"/>
      <c r="X1693" s="46"/>
      <c r="Y1693" s="46"/>
      <c r="Z1693" s="46"/>
      <c r="AA1693" s="46"/>
      <c r="AB1693" s="46"/>
      <c r="AC1693" s="46"/>
      <c r="AD1693" s="46"/>
      <c r="AE1693" s="46">
        <v>0</v>
      </c>
      <c r="AF1693" s="46">
        <v>0</v>
      </c>
      <c r="AG1693" s="46">
        <v>1</v>
      </c>
      <c r="AH1693" s="46"/>
      <c r="AI1693" s="46"/>
      <c r="AJ1693" s="46"/>
      <c r="AK1693" s="46"/>
      <c r="AL1693" s="46"/>
      <c r="AM1693" s="46"/>
      <c r="AN1693" s="46"/>
      <c r="AO1693" s="46" t="s">
        <v>658</v>
      </c>
      <c r="AP1693" s="46"/>
      <c r="AQ1693" s="46">
        <v>1</v>
      </c>
      <c r="AR1693" s="46"/>
      <c r="AS1693" s="46"/>
      <c r="AT1693" s="46"/>
      <c r="AU1693" s="46" t="s">
        <v>376</v>
      </c>
      <c r="AV1693" s="46"/>
      <c r="AW1693" s="46" t="s">
        <v>30</v>
      </c>
      <c r="AX1693" s="46"/>
      <c r="AY1693" s="46"/>
      <c r="AZ1693" s="46" t="s">
        <v>30</v>
      </c>
      <c r="BA1693" s="46"/>
      <c r="BB1693" s="51"/>
      <c r="BC1693" s="46" t="s">
        <v>30</v>
      </c>
      <c r="BD1693" s="46"/>
      <c r="BE1693" s="46"/>
      <c r="BF1693" s="46">
        <v>1</v>
      </c>
      <c r="BG1693" s="46">
        <v>1</v>
      </c>
      <c r="BH1693" s="46">
        <v>1</v>
      </c>
      <c r="BI1693" s="46" t="s">
        <v>588</v>
      </c>
      <c r="BJ1693" s="46" t="s">
        <v>805</v>
      </c>
      <c r="BK1693" s="46">
        <v>2025</v>
      </c>
      <c r="BL1693" s="46" t="str">
        <f>BK1693&amp;BI1693</f>
        <v>2025Liverpool</v>
      </c>
      <c r="BM1693" s="46" t="s">
        <v>1017</v>
      </c>
      <c r="BN1693" s="46"/>
      <c r="BO1693" s="46"/>
      <c r="BP1693" s="46"/>
      <c r="BQ1693" s="46"/>
      <c r="BR1693" s="46"/>
      <c r="BS1693" s="46"/>
      <c r="BT1693" s="46"/>
      <c r="BU1693" s="46"/>
      <c r="BV1693" s="46" t="s">
        <v>376</v>
      </c>
      <c r="BW1693" s="46" t="s">
        <v>376</v>
      </c>
      <c r="BX1693" s="46"/>
      <c r="BY1693" s="46"/>
      <c r="BZ1693" s="46"/>
      <c r="CA1693" s="46"/>
      <c r="CB1693" s="93" t="str">
        <f t="shared" si="0"/>
        <v>20250316</v>
      </c>
    </row>
    <row r="1694" spans="1:80" s="50" customFormat="1" ht="13.35" customHeight="1" x14ac:dyDescent="0.2">
      <c r="A1694" s="50">
        <f t="shared" si="1"/>
        <v>4</v>
      </c>
      <c r="B1694" s="46">
        <f t="shared" si="2"/>
        <v>26</v>
      </c>
      <c r="C1694" s="46">
        <v>2025</v>
      </c>
      <c r="D1694" s="46" t="s">
        <v>658</v>
      </c>
      <c r="E1694" s="46" t="s">
        <v>180</v>
      </c>
      <c r="F1694" s="46" t="s">
        <v>1010</v>
      </c>
      <c r="G1694" s="46"/>
      <c r="H1694" s="46" t="s">
        <v>1011</v>
      </c>
      <c r="I1694" s="46"/>
      <c r="J1694" s="64">
        <v>45773</v>
      </c>
      <c r="K1694" s="46" t="s">
        <v>798</v>
      </c>
      <c r="L1694" s="46" t="s">
        <v>3</v>
      </c>
      <c r="M1694" s="46" t="s">
        <v>806</v>
      </c>
      <c r="N1694" s="49">
        <v>3</v>
      </c>
      <c r="O1694" s="49">
        <v>0</v>
      </c>
      <c r="P1694" s="46" t="s">
        <v>1415</v>
      </c>
      <c r="Q1694" s="46" t="s">
        <v>1017</v>
      </c>
      <c r="R1694" s="46" t="s">
        <v>376</v>
      </c>
      <c r="S1694" s="46"/>
      <c r="T1694" s="46"/>
      <c r="U1694" s="46"/>
      <c r="V1694" s="46"/>
      <c r="W1694" s="46"/>
      <c r="X1694" s="46"/>
      <c r="Y1694" s="46"/>
      <c r="Z1694" s="46"/>
      <c r="AA1694" s="46"/>
      <c r="AB1694" s="46"/>
      <c r="AC1694" s="46"/>
      <c r="AD1694" s="46"/>
      <c r="AE1694" s="46">
        <v>1</v>
      </c>
      <c r="AF1694" s="46">
        <v>0</v>
      </c>
      <c r="AG1694" s="46">
        <v>0</v>
      </c>
      <c r="AH1694" s="46"/>
      <c r="AI1694" s="46"/>
      <c r="AJ1694" s="46"/>
      <c r="AK1694" s="46"/>
      <c r="AL1694" s="46"/>
      <c r="AM1694" s="46"/>
      <c r="AN1694" s="46"/>
      <c r="AO1694" s="46" t="s">
        <v>658</v>
      </c>
      <c r="AP1694" s="46"/>
      <c r="AQ1694" s="46">
        <v>2</v>
      </c>
      <c r="AR1694" s="46"/>
      <c r="AS1694" s="46"/>
      <c r="AT1694" s="46"/>
      <c r="AU1694" s="46" t="s">
        <v>376</v>
      </c>
      <c r="AV1694" s="46"/>
      <c r="AW1694" s="46" t="s">
        <v>30</v>
      </c>
      <c r="AX1694" s="46"/>
      <c r="AY1694" s="46" t="s">
        <v>30</v>
      </c>
      <c r="AZ1694" s="46"/>
      <c r="BA1694" s="46"/>
      <c r="BB1694" s="51"/>
      <c r="BC1694" s="46"/>
      <c r="BD1694" s="46"/>
      <c r="BE1694" s="46"/>
      <c r="BF1694" s="46">
        <v>1</v>
      </c>
      <c r="BG1694" s="46">
        <v>1</v>
      </c>
      <c r="BH1694" s="46">
        <v>1</v>
      </c>
      <c r="BI1694" s="46" t="s">
        <v>798</v>
      </c>
      <c r="BJ1694" s="46" t="s">
        <v>806</v>
      </c>
      <c r="BK1694" s="46">
        <v>2025</v>
      </c>
      <c r="BL1694" s="46" t="str">
        <f>BK1694&amp;BI1694</f>
        <v>2025Crystal Palace</v>
      </c>
      <c r="BM1694" s="46" t="s">
        <v>1017</v>
      </c>
      <c r="BN1694" s="46"/>
      <c r="BO1694" s="46"/>
      <c r="BP1694" s="46"/>
      <c r="BQ1694" s="46"/>
      <c r="BR1694" s="46"/>
      <c r="BS1694" s="46"/>
      <c r="BT1694" s="46"/>
      <c r="BU1694" s="46"/>
      <c r="BV1694" s="46" t="s">
        <v>376</v>
      </c>
      <c r="BW1694" s="46" t="s">
        <v>376</v>
      </c>
      <c r="BX1694" s="46"/>
      <c r="BY1694" s="46"/>
      <c r="BZ1694" s="46"/>
      <c r="CA1694" s="46"/>
      <c r="CB1694" s="93" t="str">
        <f t="shared" si="0"/>
        <v>20250426</v>
      </c>
    </row>
    <row r="1695" spans="1:80" s="50" customFormat="1" ht="13.35" customHeight="1" x14ac:dyDescent="0.2">
      <c r="A1695" s="50">
        <f t="shared" si="1"/>
        <v>4</v>
      </c>
      <c r="B1695" s="46">
        <f t="shared" si="2"/>
        <v>26</v>
      </c>
      <c r="C1695" s="46">
        <v>2025</v>
      </c>
      <c r="D1695" s="46" t="s">
        <v>658</v>
      </c>
      <c r="E1695" s="46" t="s">
        <v>180</v>
      </c>
      <c r="F1695" s="46" t="s">
        <v>1010</v>
      </c>
      <c r="G1695" s="46"/>
      <c r="H1695" s="46" t="s">
        <v>1011</v>
      </c>
      <c r="I1695" s="46"/>
      <c r="J1695" s="64">
        <v>45773</v>
      </c>
      <c r="K1695" s="46" t="s">
        <v>806</v>
      </c>
      <c r="L1695" s="46" t="s">
        <v>4</v>
      </c>
      <c r="M1695" s="46" t="s">
        <v>798</v>
      </c>
      <c r="N1695" s="49">
        <v>0</v>
      </c>
      <c r="O1695" s="49">
        <v>3</v>
      </c>
      <c r="P1695" s="46" t="s">
        <v>1415</v>
      </c>
      <c r="Q1695" s="46" t="s">
        <v>1017</v>
      </c>
      <c r="R1695" s="46" t="s">
        <v>376</v>
      </c>
      <c r="S1695" s="46"/>
      <c r="T1695" s="46"/>
      <c r="U1695" s="46"/>
      <c r="V1695" s="46"/>
      <c r="W1695" s="46"/>
      <c r="X1695" s="46"/>
      <c r="Y1695" s="46"/>
      <c r="Z1695" s="46"/>
      <c r="AA1695" s="46"/>
      <c r="AB1695" s="46"/>
      <c r="AC1695" s="46"/>
      <c r="AD1695" s="46"/>
      <c r="AE1695" s="46">
        <v>0</v>
      </c>
      <c r="AF1695" s="46">
        <v>0</v>
      </c>
      <c r="AG1695" s="46">
        <v>1</v>
      </c>
      <c r="AH1695" s="46"/>
      <c r="AI1695" s="46"/>
      <c r="AJ1695" s="46"/>
      <c r="AK1695" s="46"/>
      <c r="AL1695" s="46"/>
      <c r="AM1695" s="46"/>
      <c r="AN1695" s="46"/>
      <c r="AO1695" s="46" t="s">
        <v>658</v>
      </c>
      <c r="AP1695" s="46"/>
      <c r="AQ1695" s="46">
        <v>2</v>
      </c>
      <c r="AR1695" s="46"/>
      <c r="AS1695" s="46"/>
      <c r="AT1695" s="46"/>
      <c r="AU1695" s="46" t="s">
        <v>376</v>
      </c>
      <c r="AV1695" s="46"/>
      <c r="AW1695" s="46" t="s">
        <v>30</v>
      </c>
      <c r="AX1695" s="46"/>
      <c r="AY1695" s="46" t="s">
        <v>30</v>
      </c>
      <c r="AZ1695" s="46"/>
      <c r="BA1695" s="46"/>
      <c r="BB1695" s="51"/>
      <c r="BC1695" s="46"/>
      <c r="BD1695" s="46"/>
      <c r="BE1695" s="46"/>
      <c r="BF1695" s="46">
        <v>1</v>
      </c>
      <c r="BG1695" s="46">
        <v>1</v>
      </c>
      <c r="BH1695" s="46">
        <v>1</v>
      </c>
      <c r="BI1695" s="46" t="s">
        <v>806</v>
      </c>
      <c r="BJ1695" s="46" t="s">
        <v>798</v>
      </c>
      <c r="BK1695" s="46">
        <v>2025</v>
      </c>
      <c r="BL1695" s="46" t="str">
        <f>BK1695&amp;BI1695</f>
        <v>2025Aston Villa</v>
      </c>
      <c r="BM1695" s="46" t="s">
        <v>1017</v>
      </c>
      <c r="BN1695" s="46"/>
      <c r="BO1695" s="46"/>
      <c r="BP1695" s="46"/>
      <c r="BQ1695" s="46"/>
      <c r="BR1695" s="46"/>
      <c r="BS1695" s="46"/>
      <c r="BT1695" s="46"/>
      <c r="BU1695" s="46"/>
      <c r="BV1695" s="46" t="s">
        <v>376</v>
      </c>
      <c r="BW1695" s="46" t="s">
        <v>376</v>
      </c>
      <c r="BX1695" s="46"/>
      <c r="BY1695" s="46"/>
      <c r="BZ1695" s="46"/>
      <c r="CA1695" s="46"/>
      <c r="CB1695" s="93" t="str">
        <f t="shared" si="0"/>
        <v>20250426</v>
      </c>
    </row>
    <row r="1696" spans="1:80" s="50" customFormat="1" ht="13.35" customHeight="1" x14ac:dyDescent="0.2">
      <c r="A1696" s="50">
        <f t="shared" si="1"/>
        <v>4</v>
      </c>
      <c r="B1696" s="46">
        <f t="shared" si="2"/>
        <v>27</v>
      </c>
      <c r="C1696" s="46">
        <v>2025</v>
      </c>
      <c r="D1696" s="46" t="s">
        <v>658</v>
      </c>
      <c r="E1696" s="46" t="s">
        <v>180</v>
      </c>
      <c r="F1696" s="46" t="s">
        <v>1010</v>
      </c>
      <c r="G1696" s="46"/>
      <c r="H1696" s="46" t="s">
        <v>1011</v>
      </c>
      <c r="I1696" s="46"/>
      <c r="J1696" s="64">
        <v>45774</v>
      </c>
      <c r="K1696" s="46" t="s">
        <v>823</v>
      </c>
      <c r="L1696" s="46" t="s">
        <v>3</v>
      </c>
      <c r="M1696" s="46" t="s">
        <v>1072</v>
      </c>
      <c r="N1696" s="49">
        <v>2</v>
      </c>
      <c r="O1696" s="49">
        <v>0</v>
      </c>
      <c r="P1696" s="46" t="s">
        <v>1415</v>
      </c>
      <c r="Q1696" s="46" t="s">
        <v>1017</v>
      </c>
      <c r="R1696" s="46" t="s">
        <v>376</v>
      </c>
      <c r="S1696" s="46"/>
      <c r="T1696" s="46"/>
      <c r="U1696" s="46"/>
      <c r="V1696" s="46"/>
      <c r="W1696" s="46"/>
      <c r="X1696" s="46"/>
      <c r="Y1696" s="46"/>
      <c r="Z1696" s="46"/>
      <c r="AA1696" s="46"/>
      <c r="AB1696" s="46"/>
      <c r="AC1696" s="46"/>
      <c r="AD1696" s="46"/>
      <c r="AE1696" s="46">
        <v>1</v>
      </c>
      <c r="AF1696" s="46">
        <v>0</v>
      </c>
      <c r="AG1696" s="46">
        <v>0</v>
      </c>
      <c r="AH1696" s="46"/>
      <c r="AI1696" s="46"/>
      <c r="AJ1696" s="46"/>
      <c r="AK1696" s="46"/>
      <c r="AL1696" s="46"/>
      <c r="AM1696" s="46"/>
      <c r="AN1696" s="46"/>
      <c r="AO1696" s="46" t="s">
        <v>658</v>
      </c>
      <c r="AP1696" s="46"/>
      <c r="AQ1696" s="46">
        <v>2</v>
      </c>
      <c r="AR1696" s="46"/>
      <c r="AS1696" s="46"/>
      <c r="AT1696" s="46"/>
      <c r="AU1696" s="46" t="s">
        <v>376</v>
      </c>
      <c r="AV1696" s="46"/>
      <c r="AW1696" s="46" t="s">
        <v>30</v>
      </c>
      <c r="AX1696" s="46"/>
      <c r="AY1696" s="46" t="s">
        <v>30</v>
      </c>
      <c r="AZ1696" s="46"/>
      <c r="BA1696" s="46"/>
      <c r="BB1696" s="51"/>
      <c r="BC1696" s="46"/>
      <c r="BD1696" s="46"/>
      <c r="BE1696" s="46"/>
      <c r="BF1696" s="46">
        <v>1</v>
      </c>
      <c r="BG1696" s="46">
        <v>1</v>
      </c>
      <c r="BH1696" s="46">
        <v>1</v>
      </c>
      <c r="BI1696" s="46" t="s">
        <v>823</v>
      </c>
      <c r="BJ1696" s="46" t="s">
        <v>1072</v>
      </c>
      <c r="BK1696" s="46">
        <v>2025</v>
      </c>
      <c r="BL1696" s="46" t="str">
        <f>BK1696&amp;BI1696</f>
        <v>2025Manchester City</v>
      </c>
      <c r="BM1696" s="46" t="s">
        <v>1017</v>
      </c>
      <c r="BN1696" s="46"/>
      <c r="BO1696" s="46"/>
      <c r="BP1696" s="46"/>
      <c r="BQ1696" s="46"/>
      <c r="BR1696" s="46"/>
      <c r="BS1696" s="46"/>
      <c r="BT1696" s="46"/>
      <c r="BU1696" s="46"/>
      <c r="BV1696" s="46" t="s">
        <v>376</v>
      </c>
      <c r="BW1696" s="46" t="s">
        <v>376</v>
      </c>
      <c r="BX1696" s="46"/>
      <c r="BY1696" s="46"/>
      <c r="BZ1696" s="46"/>
      <c r="CA1696" s="46"/>
      <c r="CB1696" s="93" t="str">
        <f t="shared" si="0"/>
        <v>20250427</v>
      </c>
    </row>
    <row r="1697" spans="1:80" s="50" customFormat="1" ht="13.35" customHeight="1" x14ac:dyDescent="0.2">
      <c r="A1697" s="50">
        <f t="shared" si="1"/>
        <v>4</v>
      </c>
      <c r="B1697" s="46">
        <f t="shared" si="2"/>
        <v>27</v>
      </c>
      <c r="C1697" s="46">
        <v>2025</v>
      </c>
      <c r="D1697" s="46" t="s">
        <v>658</v>
      </c>
      <c r="E1697" s="46" t="s">
        <v>180</v>
      </c>
      <c r="F1697" s="46" t="s">
        <v>1010</v>
      </c>
      <c r="G1697" s="46"/>
      <c r="H1697" s="46" t="s">
        <v>1011</v>
      </c>
      <c r="I1697" s="46"/>
      <c r="J1697" s="64">
        <v>45774</v>
      </c>
      <c r="K1697" s="46" t="s">
        <v>1072</v>
      </c>
      <c r="L1697" s="46" t="s">
        <v>4</v>
      </c>
      <c r="M1697" s="46" t="s">
        <v>823</v>
      </c>
      <c r="N1697" s="49">
        <v>0</v>
      </c>
      <c r="O1697" s="49">
        <v>2</v>
      </c>
      <c r="P1697" s="46" t="s">
        <v>1415</v>
      </c>
      <c r="Q1697" s="46" t="s">
        <v>1017</v>
      </c>
      <c r="R1697" s="46" t="s">
        <v>376</v>
      </c>
      <c r="S1697" s="46"/>
      <c r="T1697" s="46"/>
      <c r="U1697" s="46"/>
      <c r="V1697" s="46"/>
      <c r="W1697" s="46"/>
      <c r="X1697" s="46"/>
      <c r="Y1697" s="46"/>
      <c r="Z1697" s="46"/>
      <c r="AA1697" s="46"/>
      <c r="AB1697" s="46"/>
      <c r="AC1697" s="46"/>
      <c r="AD1697" s="46"/>
      <c r="AE1697" s="46">
        <v>0</v>
      </c>
      <c r="AF1697" s="46">
        <v>0</v>
      </c>
      <c r="AG1697" s="46">
        <v>1</v>
      </c>
      <c r="AH1697" s="46"/>
      <c r="AI1697" s="46"/>
      <c r="AJ1697" s="46"/>
      <c r="AK1697" s="46"/>
      <c r="AL1697" s="46"/>
      <c r="AM1697" s="46"/>
      <c r="AN1697" s="46"/>
      <c r="AO1697" s="46" t="s">
        <v>658</v>
      </c>
      <c r="AP1697" s="46"/>
      <c r="AQ1697" s="46">
        <v>2</v>
      </c>
      <c r="AR1697" s="46"/>
      <c r="AS1697" s="46"/>
      <c r="AT1697" s="46"/>
      <c r="AU1697" s="46" t="s">
        <v>376</v>
      </c>
      <c r="AV1697" s="46"/>
      <c r="AW1697" s="46" t="s">
        <v>30</v>
      </c>
      <c r="AX1697" s="46"/>
      <c r="AY1697" s="46" t="s">
        <v>30</v>
      </c>
      <c r="AZ1697" s="46"/>
      <c r="BA1697" s="46"/>
      <c r="BB1697" s="51"/>
      <c r="BC1697" s="46"/>
      <c r="BD1697" s="46"/>
      <c r="BE1697" s="46"/>
      <c r="BF1697" s="46">
        <v>1</v>
      </c>
      <c r="BG1697" s="46">
        <v>1</v>
      </c>
      <c r="BH1697" s="46">
        <v>1</v>
      </c>
      <c r="BI1697" s="46" t="s">
        <v>1072</v>
      </c>
      <c r="BJ1697" s="46" t="s">
        <v>823</v>
      </c>
      <c r="BK1697" s="46">
        <v>2025</v>
      </c>
      <c r="BL1697" s="46" t="str">
        <f>BK1697&amp;BI1697</f>
        <v>2025Nottingham Forest</v>
      </c>
      <c r="BM1697" s="46" t="s">
        <v>1017</v>
      </c>
      <c r="BN1697" s="46"/>
      <c r="BO1697" s="46"/>
      <c r="BP1697" s="46"/>
      <c r="BQ1697" s="46"/>
      <c r="BR1697" s="46"/>
      <c r="BS1697" s="46"/>
      <c r="BT1697" s="46"/>
      <c r="BU1697" s="46"/>
      <c r="BV1697" s="46" t="s">
        <v>376</v>
      </c>
      <c r="BW1697" s="46" t="s">
        <v>376</v>
      </c>
      <c r="BX1697" s="46"/>
      <c r="BY1697" s="46"/>
      <c r="BZ1697" s="46"/>
      <c r="CA1697" s="46"/>
      <c r="CB1697" s="93" t="str">
        <f t="shared" si="0"/>
        <v>20250427</v>
      </c>
    </row>
    <row r="1698" spans="1:80" s="50" customFormat="1" ht="13.35" customHeight="1" x14ac:dyDescent="0.2">
      <c r="A1698" s="50">
        <f t="shared" si="1"/>
        <v>5</v>
      </c>
      <c r="B1698" s="46">
        <f t="shared" si="2"/>
        <v>17</v>
      </c>
      <c r="C1698" s="46">
        <v>2025</v>
      </c>
      <c r="D1698" s="46" t="s">
        <v>658</v>
      </c>
      <c r="E1698" s="46" t="s">
        <v>180</v>
      </c>
      <c r="F1698" s="46" t="s">
        <v>1010</v>
      </c>
      <c r="G1698" s="46"/>
      <c r="H1698" s="46" t="s">
        <v>40</v>
      </c>
      <c r="I1698" s="46"/>
      <c r="J1698" s="64">
        <v>45794</v>
      </c>
      <c r="K1698" s="46" t="s">
        <v>798</v>
      </c>
      <c r="L1698" s="46" t="s">
        <v>3</v>
      </c>
      <c r="M1698" s="46" t="s">
        <v>823</v>
      </c>
      <c r="N1698" s="49">
        <v>1</v>
      </c>
      <c r="O1698" s="49">
        <v>0</v>
      </c>
      <c r="P1698" s="46" t="s">
        <v>1415</v>
      </c>
      <c r="Q1698" s="46" t="s">
        <v>1017</v>
      </c>
      <c r="R1698" s="46" t="s">
        <v>376</v>
      </c>
      <c r="S1698" s="46"/>
      <c r="T1698" s="46"/>
      <c r="U1698" s="46"/>
      <c r="V1698" s="46"/>
      <c r="W1698" s="46"/>
      <c r="X1698" s="46"/>
      <c r="Y1698" s="46"/>
      <c r="Z1698" s="46"/>
      <c r="AA1698" s="46"/>
      <c r="AB1698" s="46"/>
      <c r="AC1698" s="46"/>
      <c r="AD1698" s="46"/>
      <c r="AE1698" s="46">
        <v>1</v>
      </c>
      <c r="AF1698" s="46">
        <v>0</v>
      </c>
      <c r="AG1698" s="46">
        <v>0</v>
      </c>
      <c r="AH1698" s="46"/>
      <c r="AI1698" s="46"/>
      <c r="AJ1698" s="46"/>
      <c r="AK1698" s="46"/>
      <c r="AL1698" s="46"/>
      <c r="AM1698" s="46"/>
      <c r="AN1698" s="46"/>
      <c r="AO1698" s="46" t="s">
        <v>658</v>
      </c>
      <c r="AP1698" s="46"/>
      <c r="AQ1698" s="46">
        <v>1</v>
      </c>
      <c r="AR1698" s="46"/>
      <c r="AS1698" s="46"/>
      <c r="AT1698" s="46"/>
      <c r="AU1698" s="46" t="s">
        <v>376</v>
      </c>
      <c r="AV1698" s="46"/>
      <c r="AW1698" s="46" t="s">
        <v>30</v>
      </c>
      <c r="AX1698" s="46"/>
      <c r="AY1698" s="46" t="s">
        <v>30</v>
      </c>
      <c r="AZ1698" s="46"/>
      <c r="BA1698" s="46"/>
      <c r="BB1698" s="51" t="s">
        <v>30</v>
      </c>
      <c r="BC1698" s="46" t="s">
        <v>30</v>
      </c>
      <c r="BD1698" s="46"/>
      <c r="BE1698" s="46"/>
      <c r="BF1698" s="46">
        <v>1</v>
      </c>
      <c r="BG1698" s="46">
        <v>1</v>
      </c>
      <c r="BH1698" s="46">
        <v>1</v>
      </c>
      <c r="BI1698" s="46" t="s">
        <v>798</v>
      </c>
      <c r="BJ1698" s="46" t="s">
        <v>823</v>
      </c>
      <c r="BK1698" s="46">
        <v>2025</v>
      </c>
      <c r="BL1698" s="46" t="str">
        <f>BK1698&amp;BI1698</f>
        <v>2025Crystal Palace</v>
      </c>
      <c r="BM1698" s="46" t="s">
        <v>1017</v>
      </c>
      <c r="BN1698" s="46"/>
      <c r="BO1698" s="46"/>
      <c r="BP1698" s="46"/>
      <c r="BQ1698" s="46"/>
      <c r="BR1698" s="46"/>
      <c r="BS1698" s="46"/>
      <c r="BT1698" s="46"/>
      <c r="BU1698" s="46"/>
      <c r="BV1698" s="46" t="s">
        <v>376</v>
      </c>
      <c r="BW1698" s="46" t="s">
        <v>376</v>
      </c>
      <c r="BX1698" s="46"/>
      <c r="BY1698" s="46"/>
      <c r="BZ1698" s="46"/>
      <c r="CA1698" s="46"/>
      <c r="CB1698" s="93" t="str">
        <f t="shared" si="0"/>
        <v>20250517</v>
      </c>
    </row>
    <row r="1699" spans="1:80" s="50" customFormat="1" ht="13.35" customHeight="1" x14ac:dyDescent="0.2">
      <c r="A1699" s="50">
        <f t="shared" si="1"/>
        <v>5</v>
      </c>
      <c r="B1699" s="46">
        <f t="shared" si="2"/>
        <v>17</v>
      </c>
      <c r="C1699" s="46">
        <v>2025</v>
      </c>
      <c r="D1699" s="46" t="s">
        <v>658</v>
      </c>
      <c r="E1699" s="46" t="s">
        <v>180</v>
      </c>
      <c r="F1699" s="46" t="s">
        <v>1010</v>
      </c>
      <c r="G1699" s="46"/>
      <c r="H1699" s="46" t="s">
        <v>40</v>
      </c>
      <c r="I1699" s="46"/>
      <c r="J1699" s="64">
        <v>45794</v>
      </c>
      <c r="K1699" s="46" t="s">
        <v>823</v>
      </c>
      <c r="L1699" s="46" t="s">
        <v>4</v>
      </c>
      <c r="M1699" s="46" t="s">
        <v>798</v>
      </c>
      <c r="N1699" s="49">
        <v>0</v>
      </c>
      <c r="O1699" s="49">
        <v>1</v>
      </c>
      <c r="P1699" s="46" t="s">
        <v>1415</v>
      </c>
      <c r="Q1699" s="46" t="s">
        <v>1017</v>
      </c>
      <c r="R1699" s="46" t="s">
        <v>376</v>
      </c>
      <c r="S1699" s="46"/>
      <c r="T1699" s="46"/>
      <c r="U1699" s="46"/>
      <c r="V1699" s="46"/>
      <c r="W1699" s="46"/>
      <c r="X1699" s="46"/>
      <c r="Y1699" s="46"/>
      <c r="Z1699" s="46"/>
      <c r="AA1699" s="46"/>
      <c r="AB1699" s="46"/>
      <c r="AC1699" s="46"/>
      <c r="AD1699" s="46"/>
      <c r="AE1699" s="46">
        <v>0</v>
      </c>
      <c r="AF1699" s="46">
        <v>0</v>
      </c>
      <c r="AG1699" s="46">
        <v>1</v>
      </c>
      <c r="AH1699" s="46"/>
      <c r="AI1699" s="46"/>
      <c r="AJ1699" s="46"/>
      <c r="AK1699" s="46"/>
      <c r="AL1699" s="46"/>
      <c r="AM1699" s="46"/>
      <c r="AN1699" s="46"/>
      <c r="AO1699" s="46" t="s">
        <v>658</v>
      </c>
      <c r="AP1699" s="46"/>
      <c r="AQ1699" s="46">
        <v>1</v>
      </c>
      <c r="AR1699" s="46"/>
      <c r="AS1699" s="46"/>
      <c r="AT1699" s="46"/>
      <c r="AU1699" s="46" t="s">
        <v>376</v>
      </c>
      <c r="AV1699" s="46"/>
      <c r="AW1699" s="46" t="s">
        <v>30</v>
      </c>
      <c r="AX1699" s="46"/>
      <c r="AY1699" s="46" t="s">
        <v>30</v>
      </c>
      <c r="AZ1699" s="46"/>
      <c r="BA1699" s="46"/>
      <c r="BB1699" s="51"/>
      <c r="BC1699" s="46" t="s">
        <v>30</v>
      </c>
      <c r="BD1699" s="46"/>
      <c r="BE1699" s="46"/>
      <c r="BF1699" s="46">
        <v>1</v>
      </c>
      <c r="BG1699" s="46">
        <v>1</v>
      </c>
      <c r="BH1699" s="46">
        <v>1</v>
      </c>
      <c r="BI1699" s="46" t="s">
        <v>823</v>
      </c>
      <c r="BJ1699" s="46" t="s">
        <v>798</v>
      </c>
      <c r="BK1699" s="46">
        <v>2025</v>
      </c>
      <c r="BL1699" s="46" t="str">
        <f>BK1699&amp;BI1699</f>
        <v>2025Manchester City</v>
      </c>
      <c r="BM1699" s="46" t="s">
        <v>1017</v>
      </c>
      <c r="BN1699" s="46"/>
      <c r="BO1699" s="46"/>
      <c r="BP1699" s="46"/>
      <c r="BQ1699" s="46"/>
      <c r="BR1699" s="46"/>
      <c r="BS1699" s="46"/>
      <c r="BT1699" s="46"/>
      <c r="BU1699" s="46"/>
      <c r="BV1699" s="46" t="s">
        <v>376</v>
      </c>
      <c r="BW1699" s="46" t="s">
        <v>376</v>
      </c>
      <c r="BX1699" s="46"/>
      <c r="BY1699" s="46"/>
      <c r="BZ1699" s="46"/>
      <c r="CA1699" s="46"/>
      <c r="CB1699" s="93" t="str">
        <f t="shared" si="0"/>
        <v>20250517</v>
      </c>
    </row>
    <row r="1700" spans="1:80" s="50" customFormat="1" ht="13.35" customHeight="1" x14ac:dyDescent="0.2">
      <c r="A1700" s="50">
        <f t="shared" si="1"/>
        <v>1</v>
      </c>
      <c r="B1700" s="46">
        <f t="shared" si="2"/>
        <v>13</v>
      </c>
      <c r="C1700" s="46">
        <v>2026</v>
      </c>
      <c r="D1700" s="46" t="s">
        <v>658</v>
      </c>
      <c r="E1700" s="46" t="s">
        <v>150</v>
      </c>
      <c r="F1700" s="46" t="s">
        <v>1327</v>
      </c>
      <c r="G1700" s="46"/>
      <c r="H1700" s="46" t="s">
        <v>1011</v>
      </c>
      <c r="I1700" s="46">
        <v>1</v>
      </c>
      <c r="J1700" s="64">
        <v>46035</v>
      </c>
      <c r="K1700" s="46" t="s">
        <v>805</v>
      </c>
      <c r="L1700" s="46" t="s">
        <v>4</v>
      </c>
      <c r="M1700" s="46" t="s">
        <v>823</v>
      </c>
      <c r="N1700" s="49">
        <v>0</v>
      </c>
      <c r="O1700" s="49">
        <v>2</v>
      </c>
      <c r="P1700" s="46" t="s">
        <v>1368</v>
      </c>
      <c r="Q1700" s="46" t="s">
        <v>1227</v>
      </c>
      <c r="R1700" s="46" t="s">
        <v>376</v>
      </c>
      <c r="S1700" s="46"/>
      <c r="T1700" s="46"/>
      <c r="U1700" s="46"/>
      <c r="V1700" s="46"/>
      <c r="W1700" s="46"/>
      <c r="X1700" s="46"/>
      <c r="Y1700" s="46"/>
      <c r="Z1700" s="46"/>
      <c r="AA1700" s="46"/>
      <c r="AB1700" s="46"/>
      <c r="AC1700" s="46"/>
      <c r="AD1700" s="46" t="s">
        <v>1033</v>
      </c>
      <c r="AE1700" s="46">
        <v>0</v>
      </c>
      <c r="AF1700" s="46">
        <v>0</v>
      </c>
      <c r="AG1700" s="46">
        <v>1</v>
      </c>
      <c r="AH1700" s="46"/>
      <c r="AI1700" s="46"/>
      <c r="AJ1700" s="46"/>
      <c r="AK1700" s="46"/>
      <c r="AL1700" s="46"/>
      <c r="AM1700" s="46"/>
      <c r="AN1700" s="46"/>
      <c r="AO1700" s="46" t="s">
        <v>658</v>
      </c>
      <c r="AP1700" s="46"/>
      <c r="AQ1700" s="46">
        <v>2</v>
      </c>
      <c r="AR1700" s="46"/>
      <c r="AS1700" s="46"/>
      <c r="AT1700" s="46"/>
      <c r="AU1700" s="46" t="s">
        <v>376</v>
      </c>
      <c r="AV1700" s="46"/>
      <c r="AW1700" s="46" t="s">
        <v>30</v>
      </c>
      <c r="AX1700" s="46"/>
      <c r="AY1700" s="46"/>
      <c r="AZ1700" s="46" t="s">
        <v>30</v>
      </c>
      <c r="BA1700" s="46"/>
      <c r="BB1700" s="51"/>
      <c r="BC1700" s="46"/>
      <c r="BD1700" s="46"/>
      <c r="BE1700" s="46"/>
      <c r="BF1700" s="46">
        <v>1</v>
      </c>
      <c r="BG1700" s="46">
        <v>1</v>
      </c>
      <c r="BH1700" s="46">
        <v>1</v>
      </c>
      <c r="BI1700" s="46" t="s">
        <v>805</v>
      </c>
      <c r="BJ1700" s="46" t="s">
        <v>823</v>
      </c>
      <c r="BK1700" s="46">
        <v>2026</v>
      </c>
      <c r="BL1700" s="46" t="str">
        <f>BK1700&amp;BI1700</f>
        <v>2026Newcastle United</v>
      </c>
      <c r="BM1700" s="46" t="s">
        <v>805</v>
      </c>
      <c r="BN1700" s="46"/>
      <c r="BO1700" s="46"/>
      <c r="BP1700" s="46"/>
      <c r="BQ1700" s="46"/>
      <c r="BR1700" s="46"/>
      <c r="BS1700" s="46"/>
      <c r="BT1700" s="46"/>
      <c r="BU1700" s="46"/>
      <c r="BV1700" s="46" t="s">
        <v>376</v>
      </c>
      <c r="BW1700" s="46" t="s">
        <v>376</v>
      </c>
      <c r="BX1700" s="46"/>
      <c r="BY1700" s="46"/>
      <c r="BZ1700" s="46"/>
      <c r="CA1700" s="46"/>
      <c r="CB1700" s="93" t="str">
        <f t="shared" si="0"/>
        <v>20260113</v>
      </c>
    </row>
    <row r="1701" spans="1:80" s="50" customFormat="1" ht="13.35" customHeight="1" x14ac:dyDescent="0.2">
      <c r="A1701" s="50">
        <f t="shared" si="1"/>
        <v>1</v>
      </c>
      <c r="B1701" s="46">
        <f t="shared" si="2"/>
        <v>13</v>
      </c>
      <c r="C1701" s="46">
        <v>2026</v>
      </c>
      <c r="D1701" s="46" t="s">
        <v>658</v>
      </c>
      <c r="E1701" s="46" t="s">
        <v>150</v>
      </c>
      <c r="F1701" s="46" t="s">
        <v>1327</v>
      </c>
      <c r="G1701" s="46"/>
      <c r="H1701" s="46" t="s">
        <v>1011</v>
      </c>
      <c r="I1701" s="46">
        <v>1</v>
      </c>
      <c r="J1701" s="64">
        <v>46035</v>
      </c>
      <c r="K1701" s="46" t="s">
        <v>823</v>
      </c>
      <c r="L1701" s="46" t="s">
        <v>3</v>
      </c>
      <c r="M1701" s="46" t="s">
        <v>805</v>
      </c>
      <c r="N1701" s="49">
        <v>2</v>
      </c>
      <c r="O1701" s="49">
        <v>0</v>
      </c>
      <c r="P1701" s="46" t="s">
        <v>1368</v>
      </c>
      <c r="Q1701" s="46" t="s">
        <v>1227</v>
      </c>
      <c r="R1701" s="46" t="s">
        <v>376</v>
      </c>
      <c r="S1701" s="46"/>
      <c r="T1701" s="46"/>
      <c r="U1701" s="46"/>
      <c r="V1701" s="46"/>
      <c r="W1701" s="46"/>
      <c r="X1701" s="46"/>
      <c r="Y1701" s="46"/>
      <c r="Z1701" s="46"/>
      <c r="AA1701" s="46"/>
      <c r="AB1701" s="46"/>
      <c r="AC1701" s="46"/>
      <c r="AD1701" s="46" t="s">
        <v>1037</v>
      </c>
      <c r="AE1701" s="46">
        <v>1</v>
      </c>
      <c r="AF1701" s="46">
        <v>0</v>
      </c>
      <c r="AG1701" s="46">
        <v>0</v>
      </c>
      <c r="AH1701" s="46"/>
      <c r="AI1701" s="46"/>
      <c r="AJ1701" s="46"/>
      <c r="AK1701" s="46"/>
      <c r="AL1701" s="46"/>
      <c r="AM1701" s="46"/>
      <c r="AN1701" s="46"/>
      <c r="AO1701" s="46" t="s">
        <v>658</v>
      </c>
      <c r="AP1701" s="46"/>
      <c r="AQ1701" s="46">
        <v>2</v>
      </c>
      <c r="AR1701" s="46"/>
      <c r="AS1701" s="46"/>
      <c r="AT1701" s="46"/>
      <c r="AU1701" s="46" t="s">
        <v>376</v>
      </c>
      <c r="AV1701" s="46"/>
      <c r="AW1701" s="46" t="s">
        <v>30</v>
      </c>
      <c r="AX1701" s="46"/>
      <c r="AY1701" s="46"/>
      <c r="AZ1701" s="46" t="s">
        <v>30</v>
      </c>
      <c r="BA1701" s="46"/>
      <c r="BB1701" s="51"/>
      <c r="BC1701" s="46"/>
      <c r="BD1701" s="46"/>
      <c r="BE1701" s="46"/>
      <c r="BF1701" s="46">
        <v>1</v>
      </c>
      <c r="BG1701" s="46">
        <v>1</v>
      </c>
      <c r="BH1701" s="46">
        <v>1</v>
      </c>
      <c r="BI1701" s="46" t="s">
        <v>823</v>
      </c>
      <c r="BJ1701" s="46" t="s">
        <v>805</v>
      </c>
      <c r="BK1701" s="46">
        <v>2026</v>
      </c>
      <c r="BL1701" s="46" t="str">
        <f>BK1701&amp;BI1701</f>
        <v>2026Manchester City</v>
      </c>
      <c r="BM1701" s="46" t="s">
        <v>805</v>
      </c>
      <c r="BN1701" s="46"/>
      <c r="BO1701" s="46"/>
      <c r="BP1701" s="46"/>
      <c r="BQ1701" s="46"/>
      <c r="BR1701" s="46"/>
      <c r="BS1701" s="46"/>
      <c r="BT1701" s="46"/>
      <c r="BU1701" s="46"/>
      <c r="BV1701" s="46" t="s">
        <v>376</v>
      </c>
      <c r="BW1701" s="46" t="s">
        <v>376</v>
      </c>
      <c r="BX1701" s="46"/>
      <c r="BY1701" s="46"/>
      <c r="BZ1701" s="46"/>
      <c r="CA1701" s="46"/>
      <c r="CB1701" s="93" t="str">
        <f t="shared" si="0"/>
        <v>20260113</v>
      </c>
    </row>
    <row r="1702" spans="1:80" s="50" customFormat="1" ht="13.35" customHeight="1" x14ac:dyDescent="0.2">
      <c r="A1702" s="50">
        <f t="shared" si="1"/>
        <v>1</v>
      </c>
      <c r="B1702" s="46">
        <f t="shared" si="2"/>
        <v>14</v>
      </c>
      <c r="C1702" s="46">
        <v>2026</v>
      </c>
      <c r="D1702" s="46" t="s">
        <v>658</v>
      </c>
      <c r="E1702" s="46" t="s">
        <v>150</v>
      </c>
      <c r="F1702" s="46" t="s">
        <v>1327</v>
      </c>
      <c r="G1702" s="46"/>
      <c r="H1702" s="46" t="s">
        <v>1011</v>
      </c>
      <c r="I1702" s="46">
        <v>1</v>
      </c>
      <c r="J1702" s="64">
        <v>46036</v>
      </c>
      <c r="K1702" s="46" t="s">
        <v>816</v>
      </c>
      <c r="L1702" s="46" t="s">
        <v>4</v>
      </c>
      <c r="M1702" s="46" t="s">
        <v>587</v>
      </c>
      <c r="N1702" s="49">
        <v>2</v>
      </c>
      <c r="O1702" s="49">
        <v>3</v>
      </c>
      <c r="P1702" s="46" t="s">
        <v>1234</v>
      </c>
      <c r="Q1702" s="46" t="s">
        <v>1017</v>
      </c>
      <c r="R1702" s="46" t="s">
        <v>376</v>
      </c>
      <c r="S1702" s="46"/>
      <c r="T1702" s="46"/>
      <c r="U1702" s="46"/>
      <c r="V1702" s="46"/>
      <c r="W1702" s="46"/>
      <c r="X1702" s="46"/>
      <c r="Y1702" s="46"/>
      <c r="Z1702" s="46"/>
      <c r="AA1702" s="46"/>
      <c r="AB1702" s="46"/>
      <c r="AC1702" s="46"/>
      <c r="AD1702" s="46" t="s">
        <v>1033</v>
      </c>
      <c r="AE1702" s="46">
        <v>0</v>
      </c>
      <c r="AF1702" s="46">
        <v>0</v>
      </c>
      <c r="AG1702" s="46">
        <v>1</v>
      </c>
      <c r="AH1702" s="46"/>
      <c r="AI1702" s="46"/>
      <c r="AJ1702" s="46"/>
      <c r="AK1702" s="46"/>
      <c r="AL1702" s="46"/>
      <c r="AM1702" s="46"/>
      <c r="AN1702" s="46"/>
      <c r="AO1702" s="46" t="s">
        <v>658</v>
      </c>
      <c r="AP1702" s="46"/>
      <c r="AQ1702" s="46">
        <v>2</v>
      </c>
      <c r="AR1702" s="46"/>
      <c r="AS1702" s="46"/>
      <c r="AT1702" s="46"/>
      <c r="AU1702" s="46" t="s">
        <v>376</v>
      </c>
      <c r="AV1702" s="46"/>
      <c r="AW1702" s="46" t="s">
        <v>30</v>
      </c>
      <c r="AX1702" s="46"/>
      <c r="AY1702" s="46"/>
      <c r="AZ1702" s="46" t="s">
        <v>30</v>
      </c>
      <c r="BA1702" s="46"/>
      <c r="BB1702" s="51"/>
      <c r="BC1702" s="46"/>
      <c r="BD1702" s="46"/>
      <c r="BE1702" s="46"/>
      <c r="BF1702" s="46">
        <v>1</v>
      </c>
      <c r="BG1702" s="46">
        <v>1</v>
      </c>
      <c r="BH1702" s="46">
        <v>1</v>
      </c>
      <c r="BI1702" s="46" t="s">
        <v>816</v>
      </c>
      <c r="BJ1702" s="46" t="s">
        <v>587</v>
      </c>
      <c r="BK1702" s="46">
        <v>2026</v>
      </c>
      <c r="BL1702" s="46" t="str">
        <f>BK1702&amp;BI1702</f>
        <v>2026Chelsea</v>
      </c>
      <c r="BM1702" s="46" t="s">
        <v>816</v>
      </c>
      <c r="BN1702" s="46"/>
      <c r="BO1702" s="46"/>
      <c r="BP1702" s="46"/>
      <c r="BQ1702" s="46"/>
      <c r="BR1702" s="46"/>
      <c r="BS1702" s="46"/>
      <c r="BT1702" s="46"/>
      <c r="BU1702" s="46"/>
      <c r="BV1702" s="46" t="s">
        <v>376</v>
      </c>
      <c r="BW1702" s="46" t="s">
        <v>376</v>
      </c>
      <c r="BX1702" s="46"/>
      <c r="BY1702" s="46"/>
      <c r="BZ1702" s="46"/>
      <c r="CA1702" s="46"/>
      <c r="CB1702" s="93" t="str">
        <f t="shared" si="0"/>
        <v>20260114</v>
      </c>
    </row>
    <row r="1703" spans="1:80" s="50" customFormat="1" ht="13.35" customHeight="1" x14ac:dyDescent="0.2">
      <c r="A1703" s="50">
        <f t="shared" si="1"/>
        <v>1</v>
      </c>
      <c r="B1703" s="46">
        <f t="shared" si="2"/>
        <v>14</v>
      </c>
      <c r="C1703" s="46">
        <v>2026</v>
      </c>
      <c r="D1703" s="46" t="s">
        <v>658</v>
      </c>
      <c r="E1703" s="46" t="s">
        <v>150</v>
      </c>
      <c r="F1703" s="46" t="s">
        <v>1327</v>
      </c>
      <c r="G1703" s="46"/>
      <c r="H1703" s="46" t="s">
        <v>1011</v>
      </c>
      <c r="I1703" s="46">
        <v>1</v>
      </c>
      <c r="J1703" s="64">
        <v>46036</v>
      </c>
      <c r="K1703" s="46" t="s">
        <v>587</v>
      </c>
      <c r="L1703" s="46" t="s">
        <v>3</v>
      </c>
      <c r="M1703" s="46" t="s">
        <v>816</v>
      </c>
      <c r="N1703" s="49">
        <v>3</v>
      </c>
      <c r="O1703" s="49">
        <v>2</v>
      </c>
      <c r="P1703" s="46" t="s">
        <v>1234</v>
      </c>
      <c r="Q1703" s="46" t="s">
        <v>1017</v>
      </c>
      <c r="R1703" s="46" t="s">
        <v>376</v>
      </c>
      <c r="S1703" s="46"/>
      <c r="T1703" s="46"/>
      <c r="U1703" s="46"/>
      <c r="V1703" s="46"/>
      <c r="W1703" s="46"/>
      <c r="X1703" s="46"/>
      <c r="Y1703" s="46"/>
      <c r="Z1703" s="46"/>
      <c r="AA1703" s="46"/>
      <c r="AB1703" s="46"/>
      <c r="AC1703" s="46"/>
      <c r="AD1703" s="46" t="s">
        <v>1037</v>
      </c>
      <c r="AE1703" s="46">
        <v>1</v>
      </c>
      <c r="AF1703" s="46">
        <v>0</v>
      </c>
      <c r="AG1703" s="46">
        <v>0</v>
      </c>
      <c r="AH1703" s="46"/>
      <c r="AI1703" s="46"/>
      <c r="AJ1703" s="46"/>
      <c r="AK1703" s="46"/>
      <c r="AL1703" s="46"/>
      <c r="AM1703" s="46"/>
      <c r="AN1703" s="46"/>
      <c r="AO1703" s="46" t="s">
        <v>658</v>
      </c>
      <c r="AP1703" s="46"/>
      <c r="AQ1703" s="46">
        <v>2</v>
      </c>
      <c r="AR1703" s="46"/>
      <c r="AS1703" s="46"/>
      <c r="AT1703" s="46"/>
      <c r="AU1703" s="46" t="s">
        <v>376</v>
      </c>
      <c r="AV1703" s="46"/>
      <c r="AW1703" s="46" t="s">
        <v>30</v>
      </c>
      <c r="AX1703" s="46"/>
      <c r="AY1703" s="46"/>
      <c r="AZ1703" s="46" t="s">
        <v>30</v>
      </c>
      <c r="BA1703" s="46"/>
      <c r="BB1703" s="51"/>
      <c r="BC1703" s="46"/>
      <c r="BD1703" s="46"/>
      <c r="BE1703" s="46"/>
      <c r="BF1703" s="46">
        <v>1</v>
      </c>
      <c r="BG1703" s="46">
        <v>1</v>
      </c>
      <c r="BH1703" s="46">
        <v>1</v>
      </c>
      <c r="BI1703" s="46" t="s">
        <v>587</v>
      </c>
      <c r="BJ1703" s="46" t="s">
        <v>816</v>
      </c>
      <c r="BK1703" s="46">
        <v>2026</v>
      </c>
      <c r="BL1703" s="46" t="str">
        <f>BK1703&amp;BI1703</f>
        <v>2026Arsenal</v>
      </c>
      <c r="BM1703" s="46" t="s">
        <v>816</v>
      </c>
      <c r="BN1703" s="46"/>
      <c r="BO1703" s="46"/>
      <c r="BP1703" s="46"/>
      <c r="BQ1703" s="46"/>
      <c r="BR1703" s="46"/>
      <c r="BS1703" s="46"/>
      <c r="BT1703" s="46"/>
      <c r="BU1703" s="46"/>
      <c r="BV1703" s="46" t="s">
        <v>376</v>
      </c>
      <c r="BW1703" s="46" t="s">
        <v>376</v>
      </c>
      <c r="BX1703" s="46"/>
      <c r="BY1703" s="46"/>
      <c r="BZ1703" s="46"/>
      <c r="CA1703" s="46"/>
      <c r="CB1703" s="93" t="str">
        <f t="shared" si="0"/>
        <v>20260114</v>
      </c>
    </row>
    <row r="1704" spans="1:80" s="50" customFormat="1" ht="13.35" customHeight="1" x14ac:dyDescent="0.2">
      <c r="A1704" s="50">
        <f t="shared" si="1"/>
        <v>2</v>
      </c>
      <c r="B1704" s="46">
        <f t="shared" si="2"/>
        <v>3</v>
      </c>
      <c r="C1704" s="46">
        <v>2026</v>
      </c>
      <c r="D1704" s="46" t="s">
        <v>658</v>
      </c>
      <c r="E1704" s="46" t="s">
        <v>150</v>
      </c>
      <c r="F1704" s="46" t="s">
        <v>1327</v>
      </c>
      <c r="G1704" s="46"/>
      <c r="H1704" s="46" t="s">
        <v>1011</v>
      </c>
      <c r="I1704" s="46">
        <v>2</v>
      </c>
      <c r="J1704" s="64">
        <v>46056</v>
      </c>
      <c r="K1704" s="46" t="s">
        <v>587</v>
      </c>
      <c r="L1704" s="46" t="s">
        <v>3</v>
      </c>
      <c r="M1704" s="46" t="s">
        <v>816</v>
      </c>
      <c r="N1704" s="49">
        <v>1</v>
      </c>
      <c r="O1704" s="49">
        <v>0</v>
      </c>
      <c r="P1704" s="46" t="s">
        <v>1414</v>
      </c>
      <c r="Q1704" s="46" t="s">
        <v>1017</v>
      </c>
      <c r="R1704" s="46" t="s">
        <v>376</v>
      </c>
      <c r="S1704" s="46"/>
      <c r="T1704" s="46"/>
      <c r="U1704" s="46"/>
      <c r="V1704" s="46"/>
      <c r="W1704" s="46"/>
      <c r="X1704" s="46"/>
      <c r="Y1704" s="46"/>
      <c r="Z1704" s="46"/>
      <c r="AA1704" s="46"/>
      <c r="AB1704" s="46"/>
      <c r="AC1704" s="46"/>
      <c r="AD1704" s="46" t="s">
        <v>1033</v>
      </c>
      <c r="AE1704" s="46">
        <v>1</v>
      </c>
      <c r="AF1704" s="46">
        <v>0</v>
      </c>
      <c r="AG1704" s="46">
        <v>0</v>
      </c>
      <c r="AH1704" s="46"/>
      <c r="AI1704" s="46"/>
      <c r="AJ1704" s="46"/>
      <c r="AK1704" s="46"/>
      <c r="AL1704" s="46"/>
      <c r="AM1704" s="46"/>
      <c r="AN1704" s="46"/>
      <c r="AO1704" s="46" t="s">
        <v>658</v>
      </c>
      <c r="AP1704" s="46"/>
      <c r="AQ1704" s="46">
        <v>2</v>
      </c>
      <c r="AR1704" s="46"/>
      <c r="AS1704" s="46"/>
      <c r="AT1704" s="46"/>
      <c r="AU1704" s="46" t="s">
        <v>376</v>
      </c>
      <c r="AV1704" s="46"/>
      <c r="AW1704" s="46" t="s">
        <v>30</v>
      </c>
      <c r="AX1704" s="46"/>
      <c r="AY1704" s="46"/>
      <c r="AZ1704" s="46" t="s">
        <v>30</v>
      </c>
      <c r="BA1704" s="46"/>
      <c r="BB1704" s="51"/>
      <c r="BC1704" s="46"/>
      <c r="BD1704" s="46"/>
      <c r="BE1704" s="46"/>
      <c r="BF1704" s="46">
        <v>1</v>
      </c>
      <c r="BG1704" s="46">
        <v>1</v>
      </c>
      <c r="BH1704" s="46">
        <v>1</v>
      </c>
      <c r="BI1704" s="46" t="s">
        <v>587</v>
      </c>
      <c r="BJ1704" s="46" t="s">
        <v>816</v>
      </c>
      <c r="BK1704" s="46">
        <v>2026</v>
      </c>
      <c r="BL1704" s="46" t="str">
        <f>BK1704&amp;BI1704</f>
        <v>2026Arsenal</v>
      </c>
      <c r="BM1704" s="46" t="s">
        <v>587</v>
      </c>
      <c r="BN1704" s="46"/>
      <c r="BO1704" s="46"/>
      <c r="BP1704" s="46"/>
      <c r="BQ1704" s="46"/>
      <c r="BR1704" s="46"/>
      <c r="BS1704" s="46"/>
      <c r="BT1704" s="46"/>
      <c r="BU1704" s="46"/>
      <c r="BV1704" s="46" t="s">
        <v>376</v>
      </c>
      <c r="BW1704" s="46" t="s">
        <v>376</v>
      </c>
      <c r="BX1704" s="46"/>
      <c r="BY1704" s="46"/>
      <c r="BZ1704" s="46"/>
      <c r="CA1704" s="46"/>
      <c r="CB1704" s="93" t="str">
        <f t="shared" si="0"/>
        <v>20260203</v>
      </c>
    </row>
    <row r="1705" spans="1:80" s="50" customFormat="1" ht="13.35" customHeight="1" x14ac:dyDescent="0.2">
      <c r="A1705" s="50">
        <f t="shared" si="1"/>
        <v>2</v>
      </c>
      <c r="B1705" s="46">
        <f t="shared" si="2"/>
        <v>3</v>
      </c>
      <c r="C1705" s="46">
        <v>2026</v>
      </c>
      <c r="D1705" s="46" t="s">
        <v>658</v>
      </c>
      <c r="E1705" s="46" t="s">
        <v>150</v>
      </c>
      <c r="F1705" s="46" t="s">
        <v>1327</v>
      </c>
      <c r="G1705" s="46"/>
      <c r="H1705" s="46" t="s">
        <v>1011</v>
      </c>
      <c r="I1705" s="46">
        <v>2</v>
      </c>
      <c r="J1705" s="64">
        <v>46056</v>
      </c>
      <c r="K1705" s="46" t="s">
        <v>816</v>
      </c>
      <c r="L1705" s="46" t="s">
        <v>4</v>
      </c>
      <c r="M1705" s="46" t="s">
        <v>587</v>
      </c>
      <c r="N1705" s="49">
        <v>0</v>
      </c>
      <c r="O1705" s="49">
        <v>1</v>
      </c>
      <c r="P1705" s="46" t="s">
        <v>1414</v>
      </c>
      <c r="Q1705" s="46" t="s">
        <v>1017</v>
      </c>
      <c r="R1705" s="46" t="s">
        <v>376</v>
      </c>
      <c r="S1705" s="46"/>
      <c r="T1705" s="46"/>
      <c r="U1705" s="46"/>
      <c r="V1705" s="46"/>
      <c r="W1705" s="46"/>
      <c r="X1705" s="46"/>
      <c r="Y1705" s="46"/>
      <c r="Z1705" s="46"/>
      <c r="AA1705" s="46"/>
      <c r="AB1705" s="46"/>
      <c r="AC1705" s="46"/>
      <c r="AD1705" s="46" t="s">
        <v>1037</v>
      </c>
      <c r="AE1705" s="46">
        <v>0</v>
      </c>
      <c r="AF1705" s="46">
        <v>0</v>
      </c>
      <c r="AG1705" s="46">
        <v>1</v>
      </c>
      <c r="AH1705" s="46"/>
      <c r="AI1705" s="46"/>
      <c r="AJ1705" s="46"/>
      <c r="AK1705" s="46"/>
      <c r="AL1705" s="46"/>
      <c r="AM1705" s="46"/>
      <c r="AN1705" s="46"/>
      <c r="AO1705" s="46" t="s">
        <v>658</v>
      </c>
      <c r="AP1705" s="46"/>
      <c r="AQ1705" s="46">
        <v>2</v>
      </c>
      <c r="AR1705" s="46"/>
      <c r="AS1705" s="46"/>
      <c r="AT1705" s="46"/>
      <c r="AU1705" s="46" t="s">
        <v>376</v>
      </c>
      <c r="AV1705" s="46"/>
      <c r="AW1705" s="46" t="s">
        <v>30</v>
      </c>
      <c r="AX1705" s="46"/>
      <c r="AY1705" s="46"/>
      <c r="AZ1705" s="46" t="s">
        <v>30</v>
      </c>
      <c r="BA1705" s="46"/>
      <c r="BB1705" s="51"/>
      <c r="BC1705" s="46"/>
      <c r="BD1705" s="46"/>
      <c r="BE1705" s="46"/>
      <c r="BF1705" s="46">
        <v>1</v>
      </c>
      <c r="BG1705" s="46">
        <v>1</v>
      </c>
      <c r="BH1705" s="46">
        <v>1</v>
      </c>
      <c r="BI1705" s="46" t="s">
        <v>816</v>
      </c>
      <c r="BJ1705" s="46" t="s">
        <v>587</v>
      </c>
      <c r="BK1705" s="46">
        <v>2026</v>
      </c>
      <c r="BL1705" s="46" t="str">
        <f>BK1705&amp;BI1705</f>
        <v>2026Chelsea</v>
      </c>
      <c r="BM1705" s="46" t="s">
        <v>587</v>
      </c>
      <c r="BN1705" s="46"/>
      <c r="BO1705" s="46"/>
      <c r="BP1705" s="46"/>
      <c r="BQ1705" s="46"/>
      <c r="BR1705" s="46"/>
      <c r="BS1705" s="46"/>
      <c r="BT1705" s="46"/>
      <c r="BU1705" s="46"/>
      <c r="BV1705" s="46" t="s">
        <v>376</v>
      </c>
      <c r="BW1705" s="46" t="s">
        <v>376</v>
      </c>
      <c r="BX1705" s="46"/>
      <c r="BY1705" s="46"/>
      <c r="BZ1705" s="46"/>
      <c r="CA1705" s="46"/>
      <c r="CB1705" s="93" t="str">
        <f t="shared" si="0"/>
        <v>20260203</v>
      </c>
    </row>
    <row r="1706" spans="1:80" s="50" customFormat="1" ht="13.35" customHeight="1" x14ac:dyDescent="0.2">
      <c r="A1706" s="50">
        <f t="shared" si="1"/>
        <v>2</v>
      </c>
      <c r="B1706" s="46">
        <f t="shared" si="2"/>
        <v>4</v>
      </c>
      <c r="C1706" s="46">
        <v>2026</v>
      </c>
      <c r="D1706" s="46" t="s">
        <v>658</v>
      </c>
      <c r="E1706" s="46" t="s">
        <v>150</v>
      </c>
      <c r="F1706" s="46" t="s">
        <v>1327</v>
      </c>
      <c r="G1706" s="46"/>
      <c r="H1706" s="46" t="s">
        <v>1011</v>
      </c>
      <c r="I1706" s="46">
        <v>2</v>
      </c>
      <c r="J1706" s="64">
        <v>46057</v>
      </c>
      <c r="K1706" s="46" t="s">
        <v>823</v>
      </c>
      <c r="L1706" s="46" t="s">
        <v>3</v>
      </c>
      <c r="M1706" s="46" t="s">
        <v>805</v>
      </c>
      <c r="N1706" s="49">
        <v>3</v>
      </c>
      <c r="O1706" s="49">
        <v>1</v>
      </c>
      <c r="P1706" s="46" t="s">
        <v>1420</v>
      </c>
      <c r="Q1706" s="46" t="s">
        <v>1101</v>
      </c>
      <c r="R1706" s="46" t="s">
        <v>376</v>
      </c>
      <c r="S1706" s="46"/>
      <c r="T1706" s="46"/>
      <c r="U1706" s="46"/>
      <c r="V1706" s="46"/>
      <c r="W1706" s="46"/>
      <c r="X1706" s="46"/>
      <c r="Y1706" s="46"/>
      <c r="Z1706" s="46"/>
      <c r="AA1706" s="46"/>
      <c r="AB1706" s="46"/>
      <c r="AC1706" s="46"/>
      <c r="AD1706" s="46" t="s">
        <v>1033</v>
      </c>
      <c r="AE1706" s="46">
        <v>1</v>
      </c>
      <c r="AF1706" s="46">
        <v>0</v>
      </c>
      <c r="AG1706" s="46">
        <v>0</v>
      </c>
      <c r="AH1706" s="46"/>
      <c r="AI1706" s="46"/>
      <c r="AJ1706" s="46"/>
      <c r="AK1706" s="46"/>
      <c r="AL1706" s="46"/>
      <c r="AM1706" s="46"/>
      <c r="AN1706" s="46"/>
      <c r="AO1706" s="46" t="s">
        <v>658</v>
      </c>
      <c r="AP1706" s="46"/>
      <c r="AQ1706" s="46">
        <v>2</v>
      </c>
      <c r="AR1706" s="46"/>
      <c r="AS1706" s="46"/>
      <c r="AT1706" s="46"/>
      <c r="AU1706" s="46" t="s">
        <v>376</v>
      </c>
      <c r="AV1706" s="46"/>
      <c r="AW1706" s="46" t="s">
        <v>30</v>
      </c>
      <c r="AX1706" s="46"/>
      <c r="AY1706" s="46"/>
      <c r="AZ1706" s="46" t="s">
        <v>30</v>
      </c>
      <c r="BA1706" s="46"/>
      <c r="BB1706" s="51"/>
      <c r="BC1706" s="46"/>
      <c r="BD1706" s="46"/>
      <c r="BE1706" s="46"/>
      <c r="BF1706" s="46">
        <v>1</v>
      </c>
      <c r="BG1706" s="46">
        <v>1</v>
      </c>
      <c r="BH1706" s="46">
        <v>1</v>
      </c>
      <c r="BI1706" s="46" t="s">
        <v>823</v>
      </c>
      <c r="BJ1706" s="46" t="s">
        <v>805</v>
      </c>
      <c r="BK1706" s="46">
        <v>2026</v>
      </c>
      <c r="BL1706" s="46" t="str">
        <f>BK1706&amp;BI1706</f>
        <v>2026Manchester City</v>
      </c>
      <c r="BM1706" s="46" t="s">
        <v>823</v>
      </c>
      <c r="BN1706" s="46"/>
      <c r="BO1706" s="46"/>
      <c r="BP1706" s="46"/>
      <c r="BQ1706" s="46"/>
      <c r="BR1706" s="46"/>
      <c r="BS1706" s="46"/>
      <c r="BT1706" s="46"/>
      <c r="BU1706" s="46"/>
      <c r="BV1706" s="46" t="s">
        <v>376</v>
      </c>
      <c r="BW1706" s="46" t="s">
        <v>376</v>
      </c>
      <c r="BX1706" s="46"/>
      <c r="BY1706" s="46"/>
      <c r="BZ1706" s="46"/>
      <c r="CA1706" s="46"/>
      <c r="CB1706" s="93" t="str">
        <f t="shared" si="0"/>
        <v>20260204</v>
      </c>
    </row>
    <row r="1707" spans="1:80" s="50" customFormat="1" ht="13.35" customHeight="1" x14ac:dyDescent="0.2">
      <c r="A1707" s="50">
        <f t="shared" si="1"/>
        <v>2</v>
      </c>
      <c r="B1707" s="46">
        <f t="shared" si="2"/>
        <v>4</v>
      </c>
      <c r="C1707" s="46">
        <v>2026</v>
      </c>
      <c r="D1707" s="46" t="s">
        <v>658</v>
      </c>
      <c r="E1707" s="46" t="s">
        <v>150</v>
      </c>
      <c r="F1707" s="46" t="s">
        <v>1327</v>
      </c>
      <c r="G1707" s="46"/>
      <c r="H1707" s="46" t="s">
        <v>1011</v>
      </c>
      <c r="I1707" s="46">
        <v>2</v>
      </c>
      <c r="J1707" s="64">
        <v>46057</v>
      </c>
      <c r="K1707" s="46" t="s">
        <v>805</v>
      </c>
      <c r="L1707" s="46" t="s">
        <v>4</v>
      </c>
      <c r="M1707" s="46" t="s">
        <v>823</v>
      </c>
      <c r="N1707" s="49">
        <v>1</v>
      </c>
      <c r="O1707" s="49">
        <v>3</v>
      </c>
      <c r="P1707" s="46" t="s">
        <v>1420</v>
      </c>
      <c r="Q1707" s="46" t="s">
        <v>1101</v>
      </c>
      <c r="R1707" s="46" t="s">
        <v>376</v>
      </c>
      <c r="S1707" s="46"/>
      <c r="T1707" s="46"/>
      <c r="U1707" s="46"/>
      <c r="V1707" s="46"/>
      <c r="W1707" s="46"/>
      <c r="X1707" s="46"/>
      <c r="Y1707" s="46"/>
      <c r="Z1707" s="46"/>
      <c r="AA1707" s="46"/>
      <c r="AB1707" s="46"/>
      <c r="AC1707" s="46"/>
      <c r="AD1707" s="46" t="s">
        <v>1037</v>
      </c>
      <c r="AE1707" s="46">
        <v>0</v>
      </c>
      <c r="AF1707" s="46">
        <v>0</v>
      </c>
      <c r="AG1707" s="46">
        <v>1</v>
      </c>
      <c r="AH1707" s="46"/>
      <c r="AI1707" s="46"/>
      <c r="AJ1707" s="46"/>
      <c r="AK1707" s="46"/>
      <c r="AL1707" s="46"/>
      <c r="AM1707" s="46"/>
      <c r="AN1707" s="46"/>
      <c r="AO1707" s="46" t="s">
        <v>658</v>
      </c>
      <c r="AP1707" s="46"/>
      <c r="AQ1707" s="46">
        <v>2</v>
      </c>
      <c r="AR1707" s="46"/>
      <c r="AS1707" s="46"/>
      <c r="AT1707" s="46"/>
      <c r="AU1707" s="46" t="s">
        <v>376</v>
      </c>
      <c r="AV1707" s="46"/>
      <c r="AW1707" s="46" t="s">
        <v>30</v>
      </c>
      <c r="AX1707" s="46"/>
      <c r="AY1707" s="46"/>
      <c r="AZ1707" s="46" t="s">
        <v>30</v>
      </c>
      <c r="BA1707" s="46"/>
      <c r="BB1707" s="51"/>
      <c r="BC1707" s="46"/>
      <c r="BD1707" s="46"/>
      <c r="BE1707" s="46"/>
      <c r="BF1707" s="46">
        <v>1</v>
      </c>
      <c r="BG1707" s="46">
        <v>1</v>
      </c>
      <c r="BH1707" s="46">
        <v>1</v>
      </c>
      <c r="BI1707" s="46" t="s">
        <v>805</v>
      </c>
      <c r="BJ1707" s="46" t="s">
        <v>823</v>
      </c>
      <c r="BK1707" s="46">
        <v>2026</v>
      </c>
      <c r="BL1707" s="46" t="str">
        <f>BK1707&amp;BI1707</f>
        <v>2026Newcastle United</v>
      </c>
      <c r="BM1707" s="46" t="s">
        <v>823</v>
      </c>
      <c r="BN1707" s="46"/>
      <c r="BO1707" s="46"/>
      <c r="BP1707" s="46"/>
      <c r="BQ1707" s="46"/>
      <c r="BR1707" s="46"/>
      <c r="BS1707" s="46"/>
      <c r="BT1707" s="46"/>
      <c r="BU1707" s="46"/>
      <c r="BV1707" s="46" t="s">
        <v>376</v>
      </c>
      <c r="BW1707" s="46" t="s">
        <v>376</v>
      </c>
      <c r="BX1707" s="46"/>
      <c r="BY1707" s="46"/>
      <c r="BZ1707" s="46"/>
      <c r="CA1707" s="46"/>
      <c r="CB1707" s="93" t="str">
        <f t="shared" si="0"/>
        <v>20260204</v>
      </c>
    </row>
    <row r="1708" spans="1:80" s="50" customFormat="1" ht="13.35" customHeight="1" x14ac:dyDescent="0.2">
      <c r="A1708" s="50">
        <f t="shared" si="1"/>
        <v>3</v>
      </c>
      <c r="B1708" s="46">
        <f t="shared" si="2"/>
        <v>22</v>
      </c>
      <c r="C1708" s="46">
        <v>2026</v>
      </c>
      <c r="D1708" s="46" t="s">
        <v>658</v>
      </c>
      <c r="E1708" s="46" t="s">
        <v>150</v>
      </c>
      <c r="F1708" s="46" t="s">
        <v>1327</v>
      </c>
      <c r="G1708" s="46"/>
      <c r="H1708" s="46" t="s">
        <v>40</v>
      </c>
      <c r="I1708" s="46"/>
      <c r="J1708" s="64">
        <v>46103</v>
      </c>
      <c r="K1708" s="46" t="s">
        <v>823</v>
      </c>
      <c r="L1708" s="46" t="s">
        <v>3</v>
      </c>
      <c r="M1708" s="46" t="s">
        <v>587</v>
      </c>
      <c r="N1708" s="49">
        <v>2</v>
      </c>
      <c r="O1708" s="49">
        <v>0</v>
      </c>
      <c r="P1708" s="46" t="s">
        <v>1415</v>
      </c>
      <c r="Q1708" s="46" t="s">
        <v>1017</v>
      </c>
      <c r="R1708" s="46" t="s">
        <v>376</v>
      </c>
      <c r="S1708" s="46"/>
      <c r="T1708" s="46"/>
      <c r="U1708" s="46"/>
      <c r="V1708" s="46"/>
      <c r="W1708" s="46"/>
      <c r="X1708" s="46"/>
      <c r="Y1708" s="46"/>
      <c r="Z1708" s="46"/>
      <c r="AA1708" s="46"/>
      <c r="AB1708" s="46"/>
      <c r="AC1708" s="46"/>
      <c r="AD1708" s="46"/>
      <c r="AE1708" s="46">
        <v>1</v>
      </c>
      <c r="AF1708" s="46">
        <v>0</v>
      </c>
      <c r="AG1708" s="46">
        <v>0</v>
      </c>
      <c r="AH1708" s="46"/>
      <c r="AI1708" s="46"/>
      <c r="AJ1708" s="46"/>
      <c r="AK1708" s="46"/>
      <c r="AL1708" s="46"/>
      <c r="AM1708" s="46"/>
      <c r="AN1708" s="46"/>
      <c r="AO1708" s="46" t="s">
        <v>658</v>
      </c>
      <c r="AP1708" s="46"/>
      <c r="AQ1708" s="46">
        <v>1</v>
      </c>
      <c r="AR1708" s="46"/>
      <c r="AS1708" s="46"/>
      <c r="AT1708" s="46"/>
      <c r="AU1708" s="46" t="s">
        <v>376</v>
      </c>
      <c r="AV1708" s="46"/>
      <c r="AW1708" s="46" t="s">
        <v>30</v>
      </c>
      <c r="AX1708" s="46"/>
      <c r="AY1708" s="46"/>
      <c r="AZ1708" s="46" t="s">
        <v>30</v>
      </c>
      <c r="BA1708" s="46"/>
      <c r="BB1708" s="51" t="s">
        <v>30</v>
      </c>
      <c r="BC1708" s="46" t="s">
        <v>30</v>
      </c>
      <c r="BD1708" s="46"/>
      <c r="BE1708" s="46"/>
      <c r="BF1708" s="46">
        <v>1</v>
      </c>
      <c r="BG1708" s="46">
        <v>1</v>
      </c>
      <c r="BH1708" s="46">
        <v>1</v>
      </c>
      <c r="BI1708" s="46" t="s">
        <v>823</v>
      </c>
      <c r="BJ1708" s="46" t="s">
        <v>587</v>
      </c>
      <c r="BK1708" s="46">
        <v>2026</v>
      </c>
      <c r="BL1708" s="46" t="str">
        <f>BK1708&amp;BI1708</f>
        <v>2026Manchester City</v>
      </c>
      <c r="BM1708" s="46" t="s">
        <v>1017</v>
      </c>
      <c r="BN1708" s="46"/>
      <c r="BO1708" s="46"/>
      <c r="BP1708" s="46"/>
      <c r="BQ1708" s="46"/>
      <c r="BR1708" s="46"/>
      <c r="BS1708" s="46"/>
      <c r="BT1708" s="46"/>
      <c r="BU1708" s="46"/>
      <c r="BV1708" s="46" t="s">
        <v>376</v>
      </c>
      <c r="BW1708" s="46" t="s">
        <v>376</v>
      </c>
      <c r="BX1708" s="46"/>
      <c r="BY1708" s="46"/>
      <c r="BZ1708" s="46"/>
      <c r="CA1708" s="46"/>
      <c r="CB1708" s="93" t="str">
        <f t="shared" si="0"/>
        <v>20260322</v>
      </c>
    </row>
    <row r="1709" spans="1:80" s="50" customFormat="1" ht="13.35" customHeight="1" x14ac:dyDescent="0.2">
      <c r="A1709" s="50">
        <f t="shared" si="1"/>
        <v>3</v>
      </c>
      <c r="B1709" s="46">
        <f t="shared" si="2"/>
        <v>22</v>
      </c>
      <c r="C1709" s="46">
        <v>2026</v>
      </c>
      <c r="D1709" s="46" t="s">
        <v>658</v>
      </c>
      <c r="E1709" s="46" t="s">
        <v>150</v>
      </c>
      <c r="F1709" s="46" t="s">
        <v>1327</v>
      </c>
      <c r="G1709" s="46"/>
      <c r="H1709" s="46" t="s">
        <v>40</v>
      </c>
      <c r="I1709" s="46"/>
      <c r="J1709" s="64">
        <v>46103</v>
      </c>
      <c r="K1709" s="46" t="s">
        <v>587</v>
      </c>
      <c r="L1709" s="46" t="s">
        <v>4</v>
      </c>
      <c r="M1709" s="46" t="s">
        <v>823</v>
      </c>
      <c r="N1709" s="49">
        <v>0</v>
      </c>
      <c r="O1709" s="49">
        <v>2</v>
      </c>
      <c r="P1709" s="46" t="s">
        <v>1415</v>
      </c>
      <c r="Q1709" s="46" t="s">
        <v>1017</v>
      </c>
      <c r="R1709" s="46" t="s">
        <v>376</v>
      </c>
      <c r="S1709" s="46"/>
      <c r="T1709" s="46"/>
      <c r="U1709" s="46"/>
      <c r="V1709" s="46"/>
      <c r="W1709" s="46"/>
      <c r="X1709" s="46"/>
      <c r="Y1709" s="46"/>
      <c r="Z1709" s="46"/>
      <c r="AA1709" s="46"/>
      <c r="AB1709" s="46"/>
      <c r="AC1709" s="46"/>
      <c r="AD1709" s="46"/>
      <c r="AE1709" s="46">
        <v>0</v>
      </c>
      <c r="AF1709" s="46">
        <v>0</v>
      </c>
      <c r="AG1709" s="46">
        <v>1</v>
      </c>
      <c r="AH1709" s="46"/>
      <c r="AI1709" s="46"/>
      <c r="AJ1709" s="46"/>
      <c r="AK1709" s="46"/>
      <c r="AL1709" s="46"/>
      <c r="AM1709" s="46"/>
      <c r="AN1709" s="46"/>
      <c r="AO1709" s="46" t="s">
        <v>658</v>
      </c>
      <c r="AP1709" s="46"/>
      <c r="AQ1709" s="46">
        <v>1</v>
      </c>
      <c r="AR1709" s="46"/>
      <c r="AS1709" s="46"/>
      <c r="AT1709" s="46"/>
      <c r="AU1709" s="46" t="s">
        <v>376</v>
      </c>
      <c r="AV1709" s="46"/>
      <c r="AW1709" s="46" t="s">
        <v>30</v>
      </c>
      <c r="AX1709" s="46"/>
      <c r="AY1709" s="46"/>
      <c r="AZ1709" s="46" t="s">
        <v>30</v>
      </c>
      <c r="BA1709" s="46"/>
      <c r="BB1709" s="51"/>
      <c r="BC1709" s="46" t="s">
        <v>30</v>
      </c>
      <c r="BD1709" s="46"/>
      <c r="BE1709" s="46"/>
      <c r="BF1709" s="46">
        <v>1</v>
      </c>
      <c r="BG1709" s="46">
        <v>1</v>
      </c>
      <c r="BH1709" s="46">
        <v>1</v>
      </c>
      <c r="BI1709" s="46" t="s">
        <v>587</v>
      </c>
      <c r="BJ1709" s="46" t="s">
        <v>823</v>
      </c>
      <c r="BK1709" s="46">
        <v>2026</v>
      </c>
      <c r="BL1709" s="46" t="str">
        <f>BK1709&amp;BI1709</f>
        <v>2026Arsenal</v>
      </c>
      <c r="BM1709" s="46" t="s">
        <v>1017</v>
      </c>
      <c r="BN1709" s="46"/>
      <c r="BO1709" s="46"/>
      <c r="BP1709" s="46"/>
      <c r="BQ1709" s="46"/>
      <c r="BR1709" s="46"/>
      <c r="BS1709" s="46"/>
      <c r="BT1709" s="46"/>
      <c r="BU1709" s="46"/>
      <c r="BV1709" s="46" t="s">
        <v>376</v>
      </c>
      <c r="BW1709" s="46" t="s">
        <v>376</v>
      </c>
      <c r="BX1709" s="46"/>
      <c r="BY1709" s="46"/>
      <c r="BZ1709" s="46"/>
      <c r="CA1709" s="46"/>
      <c r="CB1709" s="93" t="str">
        <f t="shared" si="0"/>
        <v>20260322</v>
      </c>
    </row>
    <row r="1710" spans="1:80" s="50" customFormat="1" ht="13.35" customHeight="1" x14ac:dyDescent="0.2">
      <c r="A1710" s="50">
        <f t="shared" si="1"/>
        <v>4</v>
      </c>
      <c r="B1710" s="46">
        <f t="shared" si="2"/>
        <v>25</v>
      </c>
      <c r="C1710" s="46">
        <v>2026</v>
      </c>
      <c r="D1710" s="46" t="s">
        <v>658</v>
      </c>
      <c r="E1710" s="46" t="s">
        <v>150</v>
      </c>
      <c r="F1710" s="46" t="s">
        <v>1010</v>
      </c>
      <c r="G1710" s="46"/>
      <c r="H1710" s="46" t="s">
        <v>1011</v>
      </c>
      <c r="I1710" s="46"/>
      <c r="J1710" s="64">
        <v>46137</v>
      </c>
      <c r="K1710" s="46" t="s">
        <v>816</v>
      </c>
      <c r="L1710" s="46" t="s">
        <v>3</v>
      </c>
      <c r="M1710" s="46" t="s">
        <v>794</v>
      </c>
      <c r="N1710" s="49">
        <v>1</v>
      </c>
      <c r="O1710" s="49">
        <v>0</v>
      </c>
      <c r="P1710" s="46" t="s">
        <v>1415</v>
      </c>
      <c r="Q1710" s="46" t="s">
        <v>1017</v>
      </c>
      <c r="R1710" s="46" t="s">
        <v>376</v>
      </c>
      <c r="S1710" s="46"/>
      <c r="T1710" s="46"/>
      <c r="U1710" s="46"/>
      <c r="V1710" s="46"/>
      <c r="W1710" s="46"/>
      <c r="X1710" s="46"/>
      <c r="Y1710" s="46"/>
      <c r="Z1710" s="46"/>
      <c r="AA1710" s="46"/>
      <c r="AB1710" s="46"/>
      <c r="AC1710" s="46"/>
      <c r="AD1710" s="46"/>
      <c r="AE1710" s="46">
        <v>1</v>
      </c>
      <c r="AF1710" s="46">
        <v>0</v>
      </c>
      <c r="AG1710" s="46">
        <v>0</v>
      </c>
      <c r="AH1710" s="46"/>
      <c r="AI1710" s="46"/>
      <c r="AJ1710" s="46"/>
      <c r="AK1710" s="46"/>
      <c r="AL1710" s="46"/>
      <c r="AM1710" s="46"/>
      <c r="AN1710" s="46"/>
      <c r="AO1710" s="46" t="s">
        <v>658</v>
      </c>
      <c r="AP1710" s="46"/>
      <c r="AQ1710" s="46">
        <v>2</v>
      </c>
      <c r="AR1710" s="46"/>
      <c r="AS1710" s="46"/>
      <c r="AT1710" s="46"/>
      <c r="AU1710" s="46" t="s">
        <v>376</v>
      </c>
      <c r="AV1710" s="46"/>
      <c r="AW1710" s="46" t="s">
        <v>30</v>
      </c>
      <c r="AX1710" s="46"/>
      <c r="AY1710" s="46" t="s">
        <v>30</v>
      </c>
      <c r="AZ1710" s="46"/>
      <c r="BA1710" s="46"/>
      <c r="BB1710" s="51"/>
      <c r="BC1710" s="46"/>
      <c r="BD1710" s="46"/>
      <c r="BE1710" s="46"/>
      <c r="BF1710" s="46">
        <v>1</v>
      </c>
      <c r="BG1710" s="46">
        <v>1</v>
      </c>
      <c r="BH1710" s="46">
        <v>1</v>
      </c>
      <c r="BI1710" s="46" t="s">
        <v>816</v>
      </c>
      <c r="BJ1710" s="46" t="s">
        <v>794</v>
      </c>
      <c r="BK1710" s="46">
        <v>2026</v>
      </c>
      <c r="BL1710" s="46" t="str">
        <f>BK1710&amp;BI1710</f>
        <v>2026Chelsea</v>
      </c>
      <c r="BM1710" s="46" t="s">
        <v>1017</v>
      </c>
      <c r="BN1710" s="46"/>
      <c r="BO1710" s="46"/>
      <c r="BP1710" s="46"/>
      <c r="BQ1710" s="46"/>
      <c r="BR1710" s="46"/>
      <c r="BS1710" s="46"/>
      <c r="BT1710" s="46"/>
      <c r="BU1710" s="46"/>
      <c r="BV1710" s="46" t="s">
        <v>376</v>
      </c>
      <c r="BW1710" s="46" t="s">
        <v>376</v>
      </c>
      <c r="BX1710" s="46"/>
      <c r="BY1710" s="46"/>
      <c r="BZ1710" s="46"/>
      <c r="CA1710" s="46"/>
      <c r="CB1710" s="93" t="str">
        <f t="shared" si="0"/>
        <v>20260425</v>
      </c>
    </row>
    <row r="1711" spans="1:80" s="50" customFormat="1" ht="13.35" customHeight="1" x14ac:dyDescent="0.2">
      <c r="A1711" s="50">
        <f t="shared" si="1"/>
        <v>4</v>
      </c>
      <c r="B1711" s="46">
        <f t="shared" si="2"/>
        <v>25</v>
      </c>
      <c r="C1711" s="46">
        <v>2026</v>
      </c>
      <c r="D1711" s="46" t="s">
        <v>658</v>
      </c>
      <c r="E1711" s="46" t="s">
        <v>150</v>
      </c>
      <c r="F1711" s="46" t="s">
        <v>1010</v>
      </c>
      <c r="G1711" s="46"/>
      <c r="H1711" s="46" t="s">
        <v>1011</v>
      </c>
      <c r="I1711" s="46"/>
      <c r="J1711" s="64">
        <v>46137</v>
      </c>
      <c r="K1711" s="46" t="s">
        <v>794</v>
      </c>
      <c r="L1711" s="46" t="s">
        <v>4</v>
      </c>
      <c r="M1711" s="46" t="s">
        <v>816</v>
      </c>
      <c r="N1711" s="49">
        <v>0</v>
      </c>
      <c r="O1711" s="49">
        <v>1</v>
      </c>
      <c r="P1711" s="46" t="s">
        <v>1415</v>
      </c>
      <c r="Q1711" s="46" t="s">
        <v>1017</v>
      </c>
      <c r="R1711" s="46" t="s">
        <v>376</v>
      </c>
      <c r="S1711" s="46"/>
      <c r="T1711" s="46"/>
      <c r="U1711" s="46"/>
      <c r="V1711" s="46"/>
      <c r="W1711" s="46"/>
      <c r="X1711" s="46"/>
      <c r="Y1711" s="46"/>
      <c r="Z1711" s="46"/>
      <c r="AA1711" s="46"/>
      <c r="AB1711" s="46"/>
      <c r="AC1711" s="46"/>
      <c r="AD1711" s="46"/>
      <c r="AE1711" s="46">
        <v>0</v>
      </c>
      <c r="AF1711" s="46">
        <v>0</v>
      </c>
      <c r="AG1711" s="46">
        <v>1</v>
      </c>
      <c r="AH1711" s="46"/>
      <c r="AI1711" s="46"/>
      <c r="AJ1711" s="46"/>
      <c r="AK1711" s="46"/>
      <c r="AL1711" s="46"/>
      <c r="AM1711" s="46"/>
      <c r="AN1711" s="46"/>
      <c r="AO1711" s="46" t="s">
        <v>658</v>
      </c>
      <c r="AP1711" s="46"/>
      <c r="AQ1711" s="46">
        <v>2</v>
      </c>
      <c r="AR1711" s="46"/>
      <c r="AS1711" s="46"/>
      <c r="AT1711" s="46"/>
      <c r="AU1711" s="46" t="s">
        <v>376</v>
      </c>
      <c r="AV1711" s="46"/>
      <c r="AW1711" s="46" t="s">
        <v>30</v>
      </c>
      <c r="AX1711" s="46"/>
      <c r="AY1711" s="46" t="s">
        <v>30</v>
      </c>
      <c r="AZ1711" s="46"/>
      <c r="BA1711" s="46"/>
      <c r="BB1711" s="51"/>
      <c r="BC1711" s="46"/>
      <c r="BD1711" s="46"/>
      <c r="BE1711" s="46"/>
      <c r="BF1711" s="46">
        <v>1</v>
      </c>
      <c r="BG1711" s="46">
        <v>1</v>
      </c>
      <c r="BH1711" s="46">
        <v>1</v>
      </c>
      <c r="BI1711" s="46" t="s">
        <v>794</v>
      </c>
      <c r="BJ1711" s="46" t="s">
        <v>816</v>
      </c>
      <c r="BK1711" s="46">
        <v>2026</v>
      </c>
      <c r="BL1711" s="46" t="str">
        <f>BK1711&amp;BI1711</f>
        <v>2026Leeds United</v>
      </c>
      <c r="BM1711" s="46" t="s">
        <v>1017</v>
      </c>
      <c r="BN1711" s="46"/>
      <c r="BO1711" s="46"/>
      <c r="BP1711" s="46"/>
      <c r="BQ1711" s="46"/>
      <c r="BR1711" s="46"/>
      <c r="BS1711" s="46"/>
      <c r="BT1711" s="46"/>
      <c r="BU1711" s="46"/>
      <c r="BV1711" s="46" t="s">
        <v>376</v>
      </c>
      <c r="BW1711" s="46" t="s">
        <v>376</v>
      </c>
      <c r="BX1711" s="46"/>
      <c r="BY1711" s="46"/>
      <c r="BZ1711" s="46"/>
      <c r="CA1711" s="46"/>
      <c r="CB1711" s="93" t="str">
        <f t="shared" si="0"/>
        <v>20260425</v>
      </c>
    </row>
    <row r="1712" spans="1:80" s="50" customFormat="1" ht="13.35" customHeight="1" x14ac:dyDescent="0.2">
      <c r="A1712" s="50">
        <f t="shared" si="1"/>
        <v>4</v>
      </c>
      <c r="B1712" s="46">
        <f t="shared" si="2"/>
        <v>26</v>
      </c>
      <c r="C1712" s="46">
        <v>2026</v>
      </c>
      <c r="D1712" s="46" t="s">
        <v>658</v>
      </c>
      <c r="E1712" s="46" t="s">
        <v>150</v>
      </c>
      <c r="F1712" s="46" t="s">
        <v>1010</v>
      </c>
      <c r="G1712" s="46"/>
      <c r="H1712" s="46" t="s">
        <v>1011</v>
      </c>
      <c r="I1712" s="46"/>
      <c r="J1712" s="64">
        <v>46138</v>
      </c>
      <c r="K1712" s="46" t="s">
        <v>823</v>
      </c>
      <c r="L1712" s="46" t="s">
        <v>3</v>
      </c>
      <c r="M1712" s="46" t="s">
        <v>629</v>
      </c>
      <c r="N1712" s="49">
        <v>2</v>
      </c>
      <c r="O1712" s="49">
        <v>1</v>
      </c>
      <c r="P1712" s="46" t="s">
        <v>1415</v>
      </c>
      <c r="Q1712" s="46" t="s">
        <v>1017</v>
      </c>
      <c r="R1712" s="46" t="s">
        <v>376</v>
      </c>
      <c r="S1712" s="46"/>
      <c r="T1712" s="46"/>
      <c r="U1712" s="46"/>
      <c r="V1712" s="46"/>
      <c r="W1712" s="46"/>
      <c r="X1712" s="46"/>
      <c r="Y1712" s="46"/>
      <c r="Z1712" s="46"/>
      <c r="AA1712" s="46"/>
      <c r="AB1712" s="46"/>
      <c r="AC1712" s="46"/>
      <c r="AD1712" s="46"/>
      <c r="AE1712" s="46">
        <v>1</v>
      </c>
      <c r="AF1712" s="46">
        <v>0</v>
      </c>
      <c r="AG1712" s="46">
        <v>0</v>
      </c>
      <c r="AH1712" s="46"/>
      <c r="AI1712" s="46"/>
      <c r="AJ1712" s="46"/>
      <c r="AK1712" s="46"/>
      <c r="AL1712" s="46"/>
      <c r="AM1712" s="46"/>
      <c r="AN1712" s="46"/>
      <c r="AO1712" s="46" t="s">
        <v>658</v>
      </c>
      <c r="AP1712" s="46"/>
      <c r="AQ1712" s="46">
        <v>2</v>
      </c>
      <c r="AR1712" s="46"/>
      <c r="AS1712" s="46"/>
      <c r="AT1712" s="46"/>
      <c r="AU1712" s="46" t="s">
        <v>376</v>
      </c>
      <c r="AV1712" s="46"/>
      <c r="AW1712" s="46" t="s">
        <v>30</v>
      </c>
      <c r="AX1712" s="46"/>
      <c r="AY1712" s="46" t="s">
        <v>30</v>
      </c>
      <c r="AZ1712" s="46"/>
      <c r="BA1712" s="46"/>
      <c r="BB1712" s="51"/>
      <c r="BC1712" s="46"/>
      <c r="BD1712" s="46"/>
      <c r="BE1712" s="46"/>
      <c r="BF1712" s="46">
        <v>1</v>
      </c>
      <c r="BG1712" s="46">
        <v>1</v>
      </c>
      <c r="BH1712" s="46">
        <v>2</v>
      </c>
      <c r="BI1712" s="46" t="s">
        <v>823</v>
      </c>
      <c r="BJ1712" s="46" t="s">
        <v>629</v>
      </c>
      <c r="BK1712" s="46">
        <v>2026</v>
      </c>
      <c r="BL1712" s="46" t="str">
        <f>BK1712&amp;BI1712</f>
        <v>2026Manchester City</v>
      </c>
      <c r="BM1712" s="46" t="s">
        <v>1017</v>
      </c>
      <c r="BN1712" s="46"/>
      <c r="BO1712" s="46"/>
      <c r="BP1712" s="46"/>
      <c r="BQ1712" s="46"/>
      <c r="BR1712" s="46"/>
      <c r="BS1712" s="46"/>
      <c r="BT1712" s="46"/>
      <c r="BU1712" s="46"/>
      <c r="BV1712" s="46" t="s">
        <v>376</v>
      </c>
      <c r="BW1712" s="46" t="s">
        <v>376</v>
      </c>
      <c r="BX1712" s="46"/>
      <c r="BY1712" s="46"/>
      <c r="BZ1712" s="46"/>
      <c r="CA1712" s="46"/>
      <c r="CB1712" s="93" t="str">
        <f t="shared" si="0"/>
        <v>20260426</v>
      </c>
    </row>
    <row r="1713" spans="1:80" s="50" customFormat="1" ht="13.35" customHeight="1" x14ac:dyDescent="0.2">
      <c r="A1713" s="50">
        <f t="shared" si="1"/>
        <v>4</v>
      </c>
      <c r="B1713" s="46">
        <f t="shared" si="2"/>
        <v>26</v>
      </c>
      <c r="C1713" s="46">
        <v>2026</v>
      </c>
      <c r="D1713" s="46" t="s">
        <v>658</v>
      </c>
      <c r="E1713" s="46" t="s">
        <v>150</v>
      </c>
      <c r="F1713" s="46" t="s">
        <v>1010</v>
      </c>
      <c r="G1713" s="46"/>
      <c r="H1713" s="46" t="s">
        <v>1011</v>
      </c>
      <c r="I1713" s="46"/>
      <c r="J1713" s="64">
        <v>46138</v>
      </c>
      <c r="K1713" s="46" t="s">
        <v>629</v>
      </c>
      <c r="L1713" s="46" t="s">
        <v>4</v>
      </c>
      <c r="M1713" s="46" t="s">
        <v>823</v>
      </c>
      <c r="N1713" s="49">
        <v>1</v>
      </c>
      <c r="O1713" s="49">
        <v>2</v>
      </c>
      <c r="P1713" s="46" t="s">
        <v>1415</v>
      </c>
      <c r="Q1713" s="46" t="s">
        <v>1017</v>
      </c>
      <c r="R1713" s="46" t="s">
        <v>376</v>
      </c>
      <c r="S1713" s="46"/>
      <c r="T1713" s="46"/>
      <c r="U1713" s="46"/>
      <c r="V1713" s="46"/>
      <c r="W1713" s="46"/>
      <c r="X1713" s="46"/>
      <c r="Y1713" s="46"/>
      <c r="Z1713" s="46"/>
      <c r="AA1713" s="46"/>
      <c r="AB1713" s="46"/>
      <c r="AC1713" s="46"/>
      <c r="AD1713" s="46"/>
      <c r="AE1713" s="46">
        <v>0</v>
      </c>
      <c r="AF1713" s="46">
        <v>0</v>
      </c>
      <c r="AG1713" s="46">
        <v>1</v>
      </c>
      <c r="AH1713" s="46"/>
      <c r="AI1713" s="46"/>
      <c r="AJ1713" s="46"/>
      <c r="AK1713" s="46"/>
      <c r="AL1713" s="46"/>
      <c r="AM1713" s="46"/>
      <c r="AN1713" s="46"/>
      <c r="AO1713" s="46" t="s">
        <v>658</v>
      </c>
      <c r="AP1713" s="46"/>
      <c r="AQ1713" s="46">
        <v>2</v>
      </c>
      <c r="AR1713" s="46"/>
      <c r="AS1713" s="46"/>
      <c r="AT1713" s="46"/>
      <c r="AU1713" s="46" t="s">
        <v>376</v>
      </c>
      <c r="AV1713" s="46"/>
      <c r="AW1713" s="46" t="s">
        <v>30</v>
      </c>
      <c r="AX1713" s="46"/>
      <c r="AY1713" s="46" t="s">
        <v>30</v>
      </c>
      <c r="AZ1713" s="46"/>
      <c r="BA1713" s="46"/>
      <c r="BB1713" s="51"/>
      <c r="BC1713" s="46"/>
      <c r="BD1713" s="46"/>
      <c r="BE1713" s="46"/>
      <c r="BF1713" s="46">
        <v>1</v>
      </c>
      <c r="BG1713" s="46">
        <v>2</v>
      </c>
      <c r="BH1713" s="46">
        <v>1</v>
      </c>
      <c r="BI1713" s="46" t="s">
        <v>629</v>
      </c>
      <c r="BJ1713" s="46" t="s">
        <v>823</v>
      </c>
      <c r="BK1713" s="46">
        <v>2026</v>
      </c>
      <c r="BL1713" s="46" t="str">
        <f>BK1713&amp;BI1713</f>
        <v>2026Southampton</v>
      </c>
      <c r="BM1713" s="46" t="s">
        <v>1017</v>
      </c>
      <c r="BN1713" s="46"/>
      <c r="BO1713" s="46"/>
      <c r="BP1713" s="46"/>
      <c r="BQ1713" s="46"/>
      <c r="BR1713" s="46"/>
      <c r="BS1713" s="46"/>
      <c r="BT1713" s="46"/>
      <c r="BU1713" s="46"/>
      <c r="BV1713" s="46" t="s">
        <v>376</v>
      </c>
      <c r="BW1713" s="46" t="s">
        <v>376</v>
      </c>
      <c r="BX1713" s="46"/>
      <c r="BY1713" s="46"/>
      <c r="BZ1713" s="46"/>
      <c r="CA1713" s="46"/>
      <c r="CB1713" s="93" t="str">
        <f t="shared" si="0"/>
        <v>20260426</v>
      </c>
    </row>
    <row r="1714" spans="1:80" s="50" customFormat="1" ht="13.35" customHeight="1" x14ac:dyDescent="0.2">
      <c r="A1714" s="50">
        <f t="shared" si="1"/>
        <v>5</v>
      </c>
      <c r="B1714" s="46">
        <f t="shared" si="2"/>
        <v>16</v>
      </c>
      <c r="C1714" s="46">
        <v>2026</v>
      </c>
      <c r="D1714" s="46" t="s">
        <v>658</v>
      </c>
      <c r="E1714" s="46" t="s">
        <v>150</v>
      </c>
      <c r="F1714" s="46" t="s">
        <v>1010</v>
      </c>
      <c r="G1714" s="46"/>
      <c r="H1714" s="46" t="s">
        <v>40</v>
      </c>
      <c r="I1714" s="46"/>
      <c r="J1714" s="64">
        <v>46158</v>
      </c>
      <c r="K1714" s="46" t="s">
        <v>823</v>
      </c>
      <c r="L1714" s="46" t="s">
        <v>3</v>
      </c>
      <c r="M1714" s="46" t="s">
        <v>816</v>
      </c>
      <c r="N1714" s="49">
        <v>1</v>
      </c>
      <c r="O1714" s="49">
        <v>0</v>
      </c>
      <c r="P1714" s="46" t="s">
        <v>1415</v>
      </c>
      <c r="Q1714" s="46" t="s">
        <v>1017</v>
      </c>
      <c r="R1714" s="46" t="s">
        <v>376</v>
      </c>
      <c r="S1714" s="46"/>
      <c r="T1714" s="46"/>
      <c r="U1714" s="46"/>
      <c r="V1714" s="46"/>
      <c r="W1714" s="46"/>
      <c r="X1714" s="46"/>
      <c r="Y1714" s="46"/>
      <c r="Z1714" s="46"/>
      <c r="AA1714" s="46"/>
      <c r="AB1714" s="46"/>
      <c r="AC1714" s="46"/>
      <c r="AD1714" s="46"/>
      <c r="AE1714" s="46">
        <v>1</v>
      </c>
      <c r="AF1714" s="46">
        <v>0</v>
      </c>
      <c r="AG1714" s="46">
        <v>0</v>
      </c>
      <c r="AH1714" s="46"/>
      <c r="AI1714" s="46"/>
      <c r="AJ1714" s="46"/>
      <c r="AK1714" s="46"/>
      <c r="AL1714" s="46"/>
      <c r="AM1714" s="46"/>
      <c r="AN1714" s="46"/>
      <c r="AO1714" s="46" t="s">
        <v>658</v>
      </c>
      <c r="AP1714" s="46"/>
      <c r="AQ1714" s="46">
        <v>1</v>
      </c>
      <c r="AR1714" s="46"/>
      <c r="AS1714" s="46"/>
      <c r="AT1714" s="46"/>
      <c r="AU1714" s="46" t="s">
        <v>376</v>
      </c>
      <c r="AV1714" s="46"/>
      <c r="AW1714" s="46" t="s">
        <v>30</v>
      </c>
      <c r="AX1714" s="46"/>
      <c r="AY1714" s="46" t="s">
        <v>30</v>
      </c>
      <c r="AZ1714" s="46"/>
      <c r="BA1714" s="46"/>
      <c r="BB1714" s="51" t="s">
        <v>30</v>
      </c>
      <c r="BC1714" s="46" t="s">
        <v>30</v>
      </c>
      <c r="BD1714" s="46"/>
      <c r="BE1714" s="46"/>
      <c r="BF1714" s="46">
        <v>1</v>
      </c>
      <c r="BG1714" s="46">
        <v>1</v>
      </c>
      <c r="BH1714" s="46">
        <v>1</v>
      </c>
      <c r="BI1714" s="46" t="s">
        <v>823</v>
      </c>
      <c r="BJ1714" s="46" t="s">
        <v>816</v>
      </c>
      <c r="BK1714" s="46">
        <v>2026</v>
      </c>
      <c r="BL1714" s="46" t="str">
        <f>BK1714&amp;BI1714</f>
        <v>2026Manchester City</v>
      </c>
      <c r="BM1714" s="46" t="s">
        <v>1017</v>
      </c>
      <c r="BN1714" s="46"/>
      <c r="BO1714" s="46"/>
      <c r="BP1714" s="46"/>
      <c r="BQ1714" s="46"/>
      <c r="BR1714" s="46"/>
      <c r="BS1714" s="46"/>
      <c r="BT1714" s="46"/>
      <c r="BU1714" s="46"/>
      <c r="BV1714" s="46" t="s">
        <v>376</v>
      </c>
      <c r="BW1714" s="46" t="s">
        <v>376</v>
      </c>
      <c r="BX1714" s="46"/>
      <c r="BY1714" s="46"/>
      <c r="BZ1714" s="46"/>
      <c r="CA1714" s="46"/>
      <c r="CB1714" s="93" t="str">
        <f t="shared" si="0"/>
        <v>20260516</v>
      </c>
    </row>
    <row r="1715" spans="1:80" s="50" customFormat="1" ht="13.35" customHeight="1" x14ac:dyDescent="0.2">
      <c r="A1715" s="50">
        <f t="shared" si="1"/>
        <v>5</v>
      </c>
      <c r="B1715" s="46">
        <f t="shared" si="2"/>
        <v>16</v>
      </c>
      <c r="C1715" s="46">
        <v>2026</v>
      </c>
      <c r="D1715" s="46" t="s">
        <v>658</v>
      </c>
      <c r="E1715" s="46" t="s">
        <v>150</v>
      </c>
      <c r="F1715" s="46" t="s">
        <v>1010</v>
      </c>
      <c r="G1715" s="46"/>
      <c r="H1715" s="46" t="s">
        <v>40</v>
      </c>
      <c r="I1715" s="46"/>
      <c r="J1715" s="64">
        <v>46158</v>
      </c>
      <c r="K1715" s="46" t="s">
        <v>816</v>
      </c>
      <c r="L1715" s="46" t="s">
        <v>4</v>
      </c>
      <c r="M1715" s="46" t="s">
        <v>823</v>
      </c>
      <c r="N1715" s="49">
        <v>0</v>
      </c>
      <c r="O1715" s="49">
        <v>1</v>
      </c>
      <c r="P1715" s="46" t="s">
        <v>1415</v>
      </c>
      <c r="Q1715" s="46" t="s">
        <v>1017</v>
      </c>
      <c r="R1715" s="46" t="s">
        <v>376</v>
      </c>
      <c r="S1715" s="46"/>
      <c r="T1715" s="46"/>
      <c r="U1715" s="46"/>
      <c r="V1715" s="46"/>
      <c r="W1715" s="46"/>
      <c r="X1715" s="46"/>
      <c r="Y1715" s="46"/>
      <c r="Z1715" s="46"/>
      <c r="AA1715" s="46"/>
      <c r="AB1715" s="46"/>
      <c r="AC1715" s="46"/>
      <c r="AD1715" s="46"/>
      <c r="AE1715" s="46">
        <v>0</v>
      </c>
      <c r="AF1715" s="46">
        <v>0</v>
      </c>
      <c r="AG1715" s="46">
        <v>1</v>
      </c>
      <c r="AH1715" s="46"/>
      <c r="AI1715" s="46"/>
      <c r="AJ1715" s="46"/>
      <c r="AK1715" s="46"/>
      <c r="AL1715" s="46"/>
      <c r="AM1715" s="46"/>
      <c r="AN1715" s="46"/>
      <c r="AO1715" s="46" t="s">
        <v>658</v>
      </c>
      <c r="AP1715" s="46"/>
      <c r="AQ1715" s="46">
        <v>1</v>
      </c>
      <c r="AR1715" s="46"/>
      <c r="AS1715" s="46"/>
      <c r="AT1715" s="46"/>
      <c r="AU1715" s="46" t="s">
        <v>376</v>
      </c>
      <c r="AV1715" s="46"/>
      <c r="AW1715" s="46" t="s">
        <v>30</v>
      </c>
      <c r="AX1715" s="46"/>
      <c r="AY1715" s="46" t="s">
        <v>30</v>
      </c>
      <c r="AZ1715" s="46"/>
      <c r="BA1715" s="46"/>
      <c r="BB1715" s="51"/>
      <c r="BC1715" s="46" t="s">
        <v>30</v>
      </c>
      <c r="BD1715" s="46"/>
      <c r="BE1715" s="46"/>
      <c r="BF1715" s="46">
        <v>1</v>
      </c>
      <c r="BG1715" s="46">
        <v>1</v>
      </c>
      <c r="BH1715" s="46">
        <v>1</v>
      </c>
      <c r="BI1715" s="46" t="s">
        <v>816</v>
      </c>
      <c r="BJ1715" s="46" t="s">
        <v>823</v>
      </c>
      <c r="BK1715" s="46">
        <v>2026</v>
      </c>
      <c r="BL1715" s="46" t="str">
        <f>BK1715&amp;BI1715</f>
        <v>2026Chelsea</v>
      </c>
      <c r="BM1715" s="46" t="s">
        <v>1017</v>
      </c>
      <c r="BN1715" s="46"/>
      <c r="BO1715" s="46"/>
      <c r="BP1715" s="46"/>
      <c r="BQ1715" s="46"/>
      <c r="BR1715" s="46"/>
      <c r="BS1715" s="46"/>
      <c r="BT1715" s="46"/>
      <c r="BU1715" s="46"/>
      <c r="BV1715" s="46" t="s">
        <v>376</v>
      </c>
      <c r="BW1715" s="46" t="s">
        <v>376</v>
      </c>
      <c r="BX1715" s="46"/>
      <c r="BY1715" s="46"/>
      <c r="BZ1715" s="46"/>
      <c r="CA1715" s="46"/>
      <c r="CB1715" s="93" t="str">
        <f t="shared" si="0"/>
        <v>20260516</v>
      </c>
    </row>
  </sheetData>
  <sortState xmlns:xlrd2="http://schemas.microsoft.com/office/spreadsheetml/2017/richdata2" ref="A2:CB1715">
    <sortCondition ref="CB2:CB1715"/>
    <sortCondition ref="J2:J1715"/>
    <sortCondition ref="P2:P1715"/>
    <sortCondition descending="1" ref="AD2:AD171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IPL Table</vt:lpstr>
      <vt:lpstr>IPL Playoff Matches</vt:lpstr>
      <vt:lpstr>Euroleague Table</vt:lpstr>
      <vt:lpstr>Women's Club Football</vt:lpstr>
      <vt:lpstr>WNBA</vt:lpstr>
      <vt:lpstr>Team Valuations</vt:lpstr>
      <vt:lpstr>FACup-LgCup SF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Ashwin Desikan</dc:creator>
  <cp:lastModifiedBy>Ashwin Desikan</cp:lastModifiedBy>
  <dcterms:created xsi:type="dcterms:W3CDTF">2026-05-31T18:00:06Z</dcterms:created>
  <dcterms:modified xsi:type="dcterms:W3CDTF">2026-06-05T11:33:07Z</dcterms:modified>
</cp:coreProperties>
</file>